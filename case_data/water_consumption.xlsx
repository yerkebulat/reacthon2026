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120" yWindow="105" windowWidth="15120" windowHeight="8010"/>
  </bookViews>
  <sheets>
    <sheet name="2025г август вода" sheetId="4" r:id="rId1"/>
    <sheet name="Лист1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calcPr calcId="152511"/>
</workbook>
</file>

<file path=xl/calcChain.xml><?xml version="1.0" encoding="utf-8"?>
<calcChain xmlns="http://schemas.openxmlformats.org/spreadsheetml/2006/main">
  <c r="BL31" i="4" l="1"/>
  <c r="BL7" i="4"/>
  <c r="BL32" i="4" l="1"/>
  <c r="BF24" i="4"/>
  <c r="BL30" i="4"/>
  <c r="BL33" i="4"/>
  <c r="BL34" i="4"/>
  <c r="BL35" i="4"/>
  <c r="BL36" i="4"/>
  <c r="BR36" i="4" l="1"/>
  <c r="BS36" i="4" s="1"/>
  <c r="BR35" i="4"/>
  <c r="BS35" i="4" s="1"/>
  <c r="BR34" i="4"/>
  <c r="BS34" i="4" s="1"/>
  <c r="BR33" i="4"/>
  <c r="BS33" i="4" s="1"/>
  <c r="BR32" i="4"/>
  <c r="BS32" i="4" s="1"/>
  <c r="BR31" i="4"/>
  <c r="BS31" i="4" s="1"/>
  <c r="BR30" i="4"/>
  <c r="BS30" i="4" s="1"/>
  <c r="BR29" i="4"/>
  <c r="BS29" i="4" s="1"/>
  <c r="BR28" i="4"/>
  <c r="BS28" i="4" s="1"/>
  <c r="BR27" i="4"/>
  <c r="BS27" i="4" s="1"/>
  <c r="BR26" i="4"/>
  <c r="BS26" i="4" s="1"/>
  <c r="BR25" i="4"/>
  <c r="BS25" i="4" s="1"/>
  <c r="BR24" i="4"/>
  <c r="BS24" i="4" s="1"/>
  <c r="BR23" i="4"/>
  <c r="BS23" i="4" s="1"/>
  <c r="BR22" i="4"/>
  <c r="BS22" i="4" s="1"/>
  <c r="BR21" i="4"/>
  <c r="BS21" i="4" s="1"/>
  <c r="BR20" i="4"/>
  <c r="BS20" i="4" s="1"/>
  <c r="BR19" i="4"/>
  <c r="BS19" i="4" s="1"/>
  <c r="BR18" i="4"/>
  <c r="BS18" i="4" s="1"/>
  <c r="BR17" i="4"/>
  <c r="BS17" i="4" s="1"/>
  <c r="BR16" i="4"/>
  <c r="BS16" i="4" s="1"/>
  <c r="BR15" i="4"/>
  <c r="BS15" i="4" s="1"/>
  <c r="BR14" i="4"/>
  <c r="BS14" i="4" s="1"/>
  <c r="BR13" i="4"/>
  <c r="BS13" i="4" s="1"/>
  <c r="BR12" i="4"/>
  <c r="BS12" i="4" s="1"/>
  <c r="BR11" i="4"/>
  <c r="BS11" i="4" s="1"/>
  <c r="BR10" i="4"/>
  <c r="BS10" i="4" s="1"/>
  <c r="BR9" i="4"/>
  <c r="BS9" i="4" s="1"/>
  <c r="BR8" i="4"/>
  <c r="BS8" i="4" s="1"/>
  <c r="BR7" i="4"/>
  <c r="BS7" i="4" s="1"/>
  <c r="BF31" i="4" l="1"/>
  <c r="BM36" i="4" l="1"/>
  <c r="BM6" i="4" l="1"/>
  <c r="BM7" i="4"/>
  <c r="BL8" i="4"/>
  <c r="BL9" i="4"/>
  <c r="BL10" i="4"/>
  <c r="BM10" i="4" s="1"/>
  <c r="BL11" i="4"/>
  <c r="BM11" i="4" s="1"/>
  <c r="BL12" i="4"/>
  <c r="BL13" i="4"/>
  <c r="BM13" i="4" s="1"/>
  <c r="BL14" i="4"/>
  <c r="BM14" i="4" s="1"/>
  <c r="BL15" i="4"/>
  <c r="BM15" i="4" s="1"/>
  <c r="BM35" i="4"/>
  <c r="BM34" i="4"/>
  <c r="BM33" i="4"/>
  <c r="BM32" i="4"/>
  <c r="BM31" i="4"/>
  <c r="BM30" i="4"/>
  <c r="BL29" i="4"/>
  <c r="BM29" i="4" s="1"/>
  <c r="BL28" i="4"/>
  <c r="BM28" i="4" s="1"/>
  <c r="BL27" i="4"/>
  <c r="BM27" i="4" s="1"/>
  <c r="BL26" i="4"/>
  <c r="BM26" i="4" s="1"/>
  <c r="BL25" i="4"/>
  <c r="BM25" i="4" s="1"/>
  <c r="BL24" i="4"/>
  <c r="BM24" i="4" s="1"/>
  <c r="BL23" i="4"/>
  <c r="BM23" i="4" s="1"/>
  <c r="BL22" i="4"/>
  <c r="BM22" i="4" s="1"/>
  <c r="BL21" i="4"/>
  <c r="BM21" i="4" s="1"/>
  <c r="BL20" i="4"/>
  <c r="BM20" i="4" s="1"/>
  <c r="BL19" i="4"/>
  <c r="BM19" i="4" s="1"/>
  <c r="BL18" i="4"/>
  <c r="BM18" i="4" s="1"/>
  <c r="BL17" i="4"/>
  <c r="BM17" i="4" s="1"/>
  <c r="BL16" i="4"/>
  <c r="BM16" i="4" s="1"/>
  <c r="BM12" i="4"/>
  <c r="BM9" i="4"/>
  <c r="BM8" i="4" l="1"/>
  <c r="BM37" i="4"/>
  <c r="AN22" i="4"/>
  <c r="AN21" i="4"/>
  <c r="AN20" i="4"/>
  <c r="AN19" i="4"/>
  <c r="AN18" i="4"/>
  <c r="AN17" i="4"/>
  <c r="AN16" i="4"/>
  <c r="AN15" i="4"/>
  <c r="AN14" i="4"/>
  <c r="AN13" i="4"/>
  <c r="AZ36" i="4" l="1"/>
  <c r="BA36" i="4" s="1"/>
  <c r="AZ33" i="4"/>
  <c r="AB26" i="4" l="1"/>
  <c r="BG9" i="4" l="1"/>
  <c r="BG10" i="4"/>
  <c r="BG11" i="4"/>
  <c r="BG12" i="4"/>
  <c r="BG13" i="4"/>
  <c r="BG14" i="4"/>
  <c r="BG15" i="4"/>
  <c r="BG6" i="4"/>
  <c r="BG7" i="4"/>
  <c r="BG8" i="4"/>
  <c r="BF16" i="4"/>
  <c r="BG16" i="4" s="1"/>
  <c r="BF17" i="4"/>
  <c r="BG17" i="4" s="1"/>
  <c r="BF18" i="4"/>
  <c r="BG18" i="4" s="1"/>
  <c r="BF19" i="4"/>
  <c r="BG19" i="4" s="1"/>
  <c r="BF20" i="4"/>
  <c r="BG20" i="4" s="1"/>
  <c r="BF21" i="4"/>
  <c r="BG21" i="4" s="1"/>
  <c r="BF22" i="4"/>
  <c r="BG22" i="4" s="1"/>
  <c r="BF23" i="4"/>
  <c r="BG23" i="4" s="1"/>
  <c r="BG24" i="4"/>
  <c r="BF25" i="4"/>
  <c r="BG25" i="4" s="1"/>
  <c r="BF26" i="4"/>
  <c r="BG26" i="4" s="1"/>
  <c r="BF27" i="4"/>
  <c r="BG27" i="4" s="1"/>
  <c r="BF28" i="4"/>
  <c r="BG28" i="4" s="1"/>
  <c r="BF29" i="4"/>
  <c r="BG29" i="4" s="1"/>
  <c r="BF30" i="4"/>
  <c r="BG30" i="4" s="1"/>
  <c r="BG31" i="4"/>
  <c r="BF35" i="4"/>
  <c r="BG35" i="4" s="1"/>
  <c r="BF34" i="4"/>
  <c r="BG34" i="4" s="1"/>
  <c r="BF33" i="4"/>
  <c r="BG33" i="4" s="1"/>
  <c r="BF32" i="4"/>
  <c r="BG32" i="4" s="1"/>
  <c r="BG37" i="4" l="1"/>
  <c r="D6" i="4"/>
  <c r="D34" i="4" s="1"/>
  <c r="E34" i="4" s="1"/>
  <c r="D7" i="4"/>
  <c r="E7" i="4"/>
  <c r="D8" i="4"/>
  <c r="E8" i="4" s="1"/>
  <c r="D9" i="4"/>
  <c r="E9" i="4"/>
  <c r="D10" i="4"/>
  <c r="E10" i="4" s="1"/>
  <c r="D11" i="4"/>
  <c r="E11" i="4"/>
  <c r="E6" i="4" s="1"/>
  <c r="D12" i="4"/>
  <c r="E12" i="4" s="1"/>
  <c r="D13" i="4"/>
  <c r="E13" i="4"/>
  <c r="D14" i="4"/>
  <c r="E14" i="4" s="1"/>
  <c r="D15" i="4"/>
  <c r="E15" i="4"/>
  <c r="D16" i="4"/>
  <c r="E16" i="4" s="1"/>
  <c r="D17" i="4"/>
  <c r="E17" i="4"/>
  <c r="D18" i="4"/>
  <c r="E18" i="4" s="1"/>
  <c r="D19" i="4"/>
  <c r="E19" i="4"/>
  <c r="D20" i="4"/>
  <c r="E20" i="4" s="1"/>
  <c r="D21" i="4"/>
  <c r="E21" i="4"/>
  <c r="D22" i="4"/>
  <c r="E22" i="4" s="1"/>
  <c r="D23" i="4"/>
  <c r="E23" i="4"/>
  <c r="D24" i="4"/>
  <c r="E24" i="4" s="1"/>
  <c r="D25" i="4"/>
  <c r="E25" i="4"/>
  <c r="D26" i="4"/>
  <c r="E26" i="4" s="1"/>
  <c r="D27" i="4"/>
  <c r="E27" i="4"/>
  <c r="D28" i="4"/>
  <c r="E28" i="4" s="1"/>
  <c r="D29" i="4"/>
  <c r="E29" i="4"/>
  <c r="D30" i="4"/>
  <c r="E30" i="4" s="1"/>
  <c r="D31" i="4"/>
  <c r="D32" i="4"/>
  <c r="D33" i="4"/>
  <c r="BA6" i="4" l="1"/>
  <c r="AZ35" i="4"/>
  <c r="BA35" i="4" s="1"/>
  <c r="AZ34" i="4"/>
  <c r="BA34" i="4" s="1"/>
  <c r="BA33" i="4"/>
  <c r="AZ32" i="4"/>
  <c r="BA32" i="4" s="1"/>
  <c r="AZ31" i="4"/>
  <c r="BA31" i="4" s="1"/>
  <c r="AZ30" i="4"/>
  <c r="BA30" i="4" s="1"/>
  <c r="AZ29" i="4"/>
  <c r="BA29" i="4" s="1"/>
  <c r="AZ28" i="4"/>
  <c r="BA28" i="4" s="1"/>
  <c r="AZ27" i="4"/>
  <c r="BA27" i="4" s="1"/>
  <c r="AZ26" i="4"/>
  <c r="BA26" i="4" s="1"/>
  <c r="AZ25" i="4"/>
  <c r="BA25" i="4" s="1"/>
  <c r="AZ24" i="4"/>
  <c r="BA24" i="4" s="1"/>
  <c r="AZ23" i="4"/>
  <c r="BA23" i="4" s="1"/>
  <c r="AZ22" i="4"/>
  <c r="BA22" i="4" s="1"/>
  <c r="AZ21" i="4"/>
  <c r="BA21" i="4" s="1"/>
  <c r="AZ20" i="4"/>
  <c r="BA20" i="4" s="1"/>
  <c r="AZ19" i="4"/>
  <c r="BA19" i="4" s="1"/>
  <c r="AZ18" i="4"/>
  <c r="BA18" i="4" s="1"/>
  <c r="AZ17" i="4"/>
  <c r="BA17" i="4" s="1"/>
  <c r="AZ16" i="4"/>
  <c r="BA16" i="4" s="1"/>
  <c r="AZ15" i="4"/>
  <c r="BA15" i="4" s="1"/>
  <c r="AZ14" i="4"/>
  <c r="BA14" i="4" s="1"/>
  <c r="AZ13" i="4"/>
  <c r="BA13" i="4" s="1"/>
  <c r="AZ12" i="4"/>
  <c r="BA12" i="4" s="1"/>
  <c r="AZ11" i="4"/>
  <c r="BA11" i="4" s="1"/>
  <c r="AZ10" i="4"/>
  <c r="BA10" i="4" s="1"/>
  <c r="AZ9" i="4"/>
  <c r="BA9" i="4" s="1"/>
  <c r="AZ8" i="4"/>
  <c r="BA8" i="4" s="1"/>
  <c r="AZ7" i="4"/>
  <c r="BA7" i="4" s="1"/>
  <c r="AZ37" i="4" l="1"/>
  <c r="BA37" i="4" s="1"/>
  <c r="AN36" i="4" l="1"/>
  <c r="AO36" i="4" s="1"/>
  <c r="AU6" i="4"/>
  <c r="AT35" i="4"/>
  <c r="AU35" i="4" s="1"/>
  <c r="AT34" i="4"/>
  <c r="AU34" i="4" s="1"/>
  <c r="AT33" i="4"/>
  <c r="AU33" i="4" s="1"/>
  <c r="AT32" i="4"/>
  <c r="AU32" i="4" s="1"/>
  <c r="AT31" i="4"/>
  <c r="AU31" i="4" s="1"/>
  <c r="AT30" i="4"/>
  <c r="AU30" i="4" s="1"/>
  <c r="AT29" i="4"/>
  <c r="AU29" i="4" s="1"/>
  <c r="AT28" i="4"/>
  <c r="AU28" i="4" s="1"/>
  <c r="AT27" i="4"/>
  <c r="AU27" i="4" s="1"/>
  <c r="AT26" i="4"/>
  <c r="AU26" i="4" s="1"/>
  <c r="AT25" i="4"/>
  <c r="AU25" i="4" s="1"/>
  <c r="AT24" i="4"/>
  <c r="AU24" i="4" s="1"/>
  <c r="AT23" i="4"/>
  <c r="AU23" i="4" s="1"/>
  <c r="AT22" i="4"/>
  <c r="AU22" i="4" s="1"/>
  <c r="AT21" i="4"/>
  <c r="AU21" i="4" s="1"/>
  <c r="AT20" i="4"/>
  <c r="AU20" i="4" s="1"/>
  <c r="AT19" i="4"/>
  <c r="AU19" i="4" s="1"/>
  <c r="AT18" i="4"/>
  <c r="AU18" i="4" s="1"/>
  <c r="AT17" i="4"/>
  <c r="AU17" i="4" s="1"/>
  <c r="AT16" i="4"/>
  <c r="AU16" i="4" s="1"/>
  <c r="AT15" i="4"/>
  <c r="AU15" i="4" s="1"/>
  <c r="AT14" i="4"/>
  <c r="AU14" i="4" s="1"/>
  <c r="AT13" i="4"/>
  <c r="AU13" i="4" s="1"/>
  <c r="AT12" i="4"/>
  <c r="AU12" i="4" s="1"/>
  <c r="AT11" i="4"/>
  <c r="AU11" i="4" s="1"/>
  <c r="AT10" i="4"/>
  <c r="AU10" i="4" s="1"/>
  <c r="AT9" i="4"/>
  <c r="AU9" i="4" s="1"/>
  <c r="AT8" i="4"/>
  <c r="AU8" i="4" s="1"/>
  <c r="AT7" i="4"/>
  <c r="AU7" i="4" s="1"/>
  <c r="AT37" i="4" l="1"/>
  <c r="AU37" i="4" s="1"/>
  <c r="BL70" i="4"/>
  <c r="BK70" i="4"/>
  <c r="AO6" i="4" l="1"/>
  <c r="AH36" i="4" l="1"/>
  <c r="AI36" i="4" s="1"/>
  <c r="AN7" i="4" l="1"/>
  <c r="AO7" i="4" s="1"/>
  <c r="AN8" i="4"/>
  <c r="AO8" i="4" s="1"/>
  <c r="AN35" i="4" l="1"/>
  <c r="AO35" i="4" s="1"/>
  <c r="AN34" i="4"/>
  <c r="AO34" i="4" s="1"/>
  <c r="AN33" i="4"/>
  <c r="AO33" i="4" s="1"/>
  <c r="AN32" i="4"/>
  <c r="AO32" i="4" s="1"/>
  <c r="AN31" i="4"/>
  <c r="AO31" i="4" s="1"/>
  <c r="AN30" i="4"/>
  <c r="AO30" i="4" s="1"/>
  <c r="AN29" i="4"/>
  <c r="AO29" i="4" s="1"/>
  <c r="AN28" i="4"/>
  <c r="AO28" i="4" s="1"/>
  <c r="AN27" i="4"/>
  <c r="AO27" i="4" s="1"/>
  <c r="AN26" i="4"/>
  <c r="AO26" i="4" s="1"/>
  <c r="AN25" i="4"/>
  <c r="AO25" i="4" s="1"/>
  <c r="AN24" i="4"/>
  <c r="AO24" i="4" s="1"/>
  <c r="AN23" i="4"/>
  <c r="AO23" i="4" s="1"/>
  <c r="AO22" i="4"/>
  <c r="AO21" i="4"/>
  <c r="AO20" i="4"/>
  <c r="AO19" i="4"/>
  <c r="AO18" i="4"/>
  <c r="AO17" i="4"/>
  <c r="AO16" i="4"/>
  <c r="AO15" i="4"/>
  <c r="AO14" i="4"/>
  <c r="AO13" i="4"/>
  <c r="AN12" i="4"/>
  <c r="AO12" i="4" s="1"/>
  <c r="AN11" i="4"/>
  <c r="AO11" i="4" s="1"/>
  <c r="AN10" i="4"/>
  <c r="AO10" i="4" s="1"/>
  <c r="AN9" i="4"/>
  <c r="AN37" i="4" l="1"/>
  <c r="AO37" i="4" s="1"/>
  <c r="AO9" i="4"/>
  <c r="AH17" i="4"/>
  <c r="AI17" i="4" s="1"/>
  <c r="AH35" i="4" l="1"/>
  <c r="AI35" i="4" s="1"/>
  <c r="AH34" i="4"/>
  <c r="AI34" i="4" s="1"/>
  <c r="AH33" i="4"/>
  <c r="AI33" i="4" s="1"/>
  <c r="AH32" i="4"/>
  <c r="AI32" i="4" s="1"/>
  <c r="AH31" i="4"/>
  <c r="AI31" i="4" s="1"/>
  <c r="AH30" i="4"/>
  <c r="AI30" i="4" s="1"/>
  <c r="AH29" i="4"/>
  <c r="AI29" i="4" s="1"/>
  <c r="AH28" i="4"/>
  <c r="AI28" i="4" s="1"/>
  <c r="AH27" i="4"/>
  <c r="AH26" i="4"/>
  <c r="AI26" i="4" s="1"/>
  <c r="AH25" i="4"/>
  <c r="AI25" i="4" s="1"/>
  <c r="AH24" i="4"/>
  <c r="AI24" i="4" s="1"/>
  <c r="AH23" i="4"/>
  <c r="AI23" i="4" s="1"/>
  <c r="AH22" i="4"/>
  <c r="AI22" i="4" s="1"/>
  <c r="AH21" i="4"/>
  <c r="AI21" i="4" s="1"/>
  <c r="AH20" i="4"/>
  <c r="AI20" i="4" s="1"/>
  <c r="AH19" i="4"/>
  <c r="AI19" i="4" s="1"/>
  <c r="AH18" i="4"/>
  <c r="AI18" i="4" s="1"/>
  <c r="AH16" i="4"/>
  <c r="AI16" i="4" s="1"/>
  <c r="AH15" i="4"/>
  <c r="AI15" i="4" s="1"/>
  <c r="AH14" i="4"/>
  <c r="AI14" i="4" s="1"/>
  <c r="AH13" i="4"/>
  <c r="AI13" i="4" s="1"/>
  <c r="AH12" i="4"/>
  <c r="AI12" i="4" s="1"/>
  <c r="AH11" i="4"/>
  <c r="AI11" i="4" s="1"/>
  <c r="AH10" i="4"/>
  <c r="AI10" i="4" s="1"/>
  <c r="AH9" i="4"/>
  <c r="AI9" i="4" s="1"/>
  <c r="AH37" i="4" l="1"/>
  <c r="AI37" i="4" s="1"/>
  <c r="AB11" i="4"/>
  <c r="AB10" i="4"/>
  <c r="AB35" i="4" l="1"/>
  <c r="AC35" i="4" s="1"/>
  <c r="AB34" i="4"/>
  <c r="AC34" i="4" s="1"/>
  <c r="AB33" i="4"/>
  <c r="AC33" i="4" s="1"/>
  <c r="AB32" i="4"/>
  <c r="AC32" i="4" s="1"/>
  <c r="AB31" i="4"/>
  <c r="AC31" i="4" s="1"/>
  <c r="AB30" i="4"/>
  <c r="AC30" i="4" s="1"/>
  <c r="AB29" i="4"/>
  <c r="AC29" i="4" s="1"/>
  <c r="AB28" i="4"/>
  <c r="AC28" i="4" s="1"/>
  <c r="AB27" i="4"/>
  <c r="AC27" i="4" s="1"/>
  <c r="AC26" i="4"/>
  <c r="AB25" i="4"/>
  <c r="AC25" i="4" s="1"/>
  <c r="AC24" i="4"/>
  <c r="AB23" i="4"/>
  <c r="AC23" i="4" s="1"/>
  <c r="AB22" i="4"/>
  <c r="AC22" i="4" s="1"/>
  <c r="AB21" i="4"/>
  <c r="AC21" i="4" s="1"/>
  <c r="AB20" i="4"/>
  <c r="AC20" i="4" s="1"/>
  <c r="AB19" i="4"/>
  <c r="AC19" i="4" s="1"/>
  <c r="AB18" i="4"/>
  <c r="AC18" i="4" s="1"/>
  <c r="AB17" i="4"/>
  <c r="AC17" i="4" s="1"/>
  <c r="AB16" i="4"/>
  <c r="AC16" i="4" s="1"/>
  <c r="AB15" i="4"/>
  <c r="AC15" i="4" s="1"/>
  <c r="AB14" i="4"/>
  <c r="AC14" i="4" s="1"/>
  <c r="AB13" i="4"/>
  <c r="AC13" i="4" s="1"/>
  <c r="AB12" i="4"/>
  <c r="AC12" i="4" s="1"/>
  <c r="AC11" i="4"/>
  <c r="AC10" i="4"/>
  <c r="AB9" i="4"/>
  <c r="AC9" i="4" s="1"/>
  <c r="AB8" i="4"/>
  <c r="AC8" i="4" s="1"/>
  <c r="AC7" i="4"/>
  <c r="AB37" i="4" l="1"/>
  <c r="AC37" i="4" s="1"/>
  <c r="AC6" i="4"/>
  <c r="V22" i="4"/>
  <c r="P30" i="4" l="1"/>
  <c r="V36" i="4" l="1"/>
  <c r="W36" i="4" s="1"/>
  <c r="V6" i="4"/>
  <c r="V35" i="4"/>
  <c r="W35" i="4" s="1"/>
  <c r="V34" i="4"/>
  <c r="W34" i="4" s="1"/>
  <c r="V33" i="4"/>
  <c r="W33" i="4" s="1"/>
  <c r="V32" i="4"/>
  <c r="W32" i="4" s="1"/>
  <c r="V31" i="4"/>
  <c r="W31" i="4" s="1"/>
  <c r="V30" i="4"/>
  <c r="W30" i="4" s="1"/>
  <c r="V29" i="4"/>
  <c r="W29" i="4" s="1"/>
  <c r="V28" i="4"/>
  <c r="W28" i="4" s="1"/>
  <c r="V27" i="4"/>
  <c r="W27" i="4" s="1"/>
  <c r="V26" i="4"/>
  <c r="W26" i="4" s="1"/>
  <c r="V25" i="4"/>
  <c r="W25" i="4" s="1"/>
  <c r="V24" i="4"/>
  <c r="W24" i="4" s="1"/>
  <c r="V23" i="4"/>
  <c r="W23" i="4" s="1"/>
  <c r="W22" i="4"/>
  <c r="V21" i="4"/>
  <c r="W21" i="4" s="1"/>
  <c r="V20" i="4"/>
  <c r="W20" i="4" s="1"/>
  <c r="V19" i="4"/>
  <c r="W19" i="4" s="1"/>
  <c r="V18" i="4"/>
  <c r="W18" i="4" s="1"/>
  <c r="V17" i="4"/>
  <c r="W17" i="4" s="1"/>
  <c r="V16" i="4"/>
  <c r="W16" i="4" s="1"/>
  <c r="V15" i="4"/>
  <c r="W15" i="4" s="1"/>
  <c r="V14" i="4"/>
  <c r="W14" i="4" s="1"/>
  <c r="V13" i="4"/>
  <c r="W13" i="4" s="1"/>
  <c r="V12" i="4"/>
  <c r="W12" i="4" s="1"/>
  <c r="V11" i="4"/>
  <c r="W11" i="4" s="1"/>
  <c r="V10" i="4"/>
  <c r="W10" i="4" s="1"/>
  <c r="V9" i="4"/>
  <c r="W9" i="4" s="1"/>
  <c r="V8" i="4"/>
  <c r="W8" i="4" s="1"/>
  <c r="V7" i="4"/>
  <c r="W7" i="4" s="1"/>
  <c r="P34" i="4"/>
  <c r="P6" i="4"/>
  <c r="V37" i="4" l="1"/>
  <c r="W37" i="4" s="1"/>
  <c r="W6" i="4"/>
  <c r="J36" i="4"/>
  <c r="P31" i="4"/>
  <c r="P32" i="4"/>
  <c r="P33" i="4"/>
  <c r="P35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4" i="4"/>
  <c r="J25" i="4"/>
  <c r="J26" i="4"/>
  <c r="J27" i="4"/>
  <c r="J28" i="4"/>
  <c r="J29" i="4"/>
  <c r="J30" i="4"/>
  <c r="J31" i="4"/>
  <c r="J32" i="4"/>
  <c r="J33" i="4"/>
  <c r="J34" i="4"/>
  <c r="J35" i="4"/>
  <c r="P37" i="4" l="1"/>
  <c r="Q37" i="4" s="1"/>
  <c r="Q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K6" i="4" l="1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H204" i="1"/>
  <c r="G204" i="1"/>
  <c r="J37" i="4" l="1"/>
  <c r="K37" i="4" s="1"/>
  <c r="ER361" i="1" l="1"/>
  <c r="ES361" i="1" s="1"/>
  <c r="ER360" i="1"/>
  <c r="ES360" i="1" s="1"/>
  <c r="ER359" i="1"/>
  <c r="ES359" i="1" s="1"/>
  <c r="ER358" i="1"/>
  <c r="ES358" i="1" s="1"/>
  <c r="ER357" i="1"/>
  <c r="ES357" i="1" s="1"/>
  <c r="ER356" i="1"/>
  <c r="ES356" i="1" s="1"/>
  <c r="ER355" i="1"/>
  <c r="ES355" i="1" s="1"/>
  <c r="ER354" i="1"/>
  <c r="ES354" i="1" s="1"/>
  <c r="ER353" i="1"/>
  <c r="ES353" i="1" s="1"/>
  <c r="ER352" i="1"/>
  <c r="ES352" i="1" s="1"/>
  <c r="ER351" i="1"/>
  <c r="ES351" i="1" s="1"/>
  <c r="ER350" i="1"/>
  <c r="ES350" i="1" s="1"/>
  <c r="ER349" i="1"/>
  <c r="ES349" i="1" s="1"/>
  <c r="ER348" i="1"/>
  <c r="ES348" i="1" s="1"/>
  <c r="ER347" i="1"/>
  <c r="ES347" i="1" s="1"/>
  <c r="ER346" i="1"/>
  <c r="ES346" i="1" s="1"/>
  <c r="ER345" i="1"/>
  <c r="ES345" i="1" s="1"/>
  <c r="ER344" i="1"/>
  <c r="ES344" i="1" s="1"/>
  <c r="ER343" i="1"/>
  <c r="ES343" i="1" s="1"/>
  <c r="ER342" i="1"/>
  <c r="ES342" i="1" s="1"/>
  <c r="ER341" i="1"/>
  <c r="ES341" i="1" s="1"/>
  <c r="ER340" i="1"/>
  <c r="ES340" i="1" s="1"/>
  <c r="ER339" i="1"/>
  <c r="ES339" i="1" s="1"/>
  <c r="ER338" i="1"/>
  <c r="ES338" i="1" s="1"/>
  <c r="ER337" i="1"/>
  <c r="ES337" i="1" s="1"/>
  <c r="ER336" i="1"/>
  <c r="ES336" i="1" s="1"/>
  <c r="ER335" i="1"/>
  <c r="ES335" i="1" s="1"/>
  <c r="ES334" i="1"/>
  <c r="ER334" i="1"/>
  <c r="ER333" i="1"/>
  <c r="ES333" i="1" s="1"/>
  <c r="ER332" i="1"/>
  <c r="ES332" i="1" s="1"/>
  <c r="ER331" i="1"/>
  <c r="ER362" i="1" l="1"/>
  <c r="ES362" i="1" s="1"/>
  <c r="ES331" i="1"/>
  <c r="EM345" i="1" l="1"/>
  <c r="EM360" i="1"/>
  <c r="EN360" i="1" s="1"/>
  <c r="EM359" i="1"/>
  <c r="EN359" i="1" s="1"/>
  <c r="EM358" i="1"/>
  <c r="EN358" i="1" s="1"/>
  <c r="EM357" i="1"/>
  <c r="EN357" i="1" s="1"/>
  <c r="EM356" i="1"/>
  <c r="EN356" i="1" s="1"/>
  <c r="EM355" i="1"/>
  <c r="EN355" i="1" s="1"/>
  <c r="EM354" i="1"/>
  <c r="EN354" i="1" s="1"/>
  <c r="EM353" i="1"/>
  <c r="EN353" i="1" s="1"/>
  <c r="EM352" i="1"/>
  <c r="EN352" i="1" s="1"/>
  <c r="EM351" i="1"/>
  <c r="EN351" i="1" s="1"/>
  <c r="EM350" i="1"/>
  <c r="EN350" i="1" s="1"/>
  <c r="EM349" i="1"/>
  <c r="EN349" i="1" s="1"/>
  <c r="EM348" i="1"/>
  <c r="EN348" i="1" s="1"/>
  <c r="EM347" i="1"/>
  <c r="EN347" i="1" s="1"/>
  <c r="EM346" i="1"/>
  <c r="EN346" i="1" s="1"/>
  <c r="EN345" i="1"/>
  <c r="EM344" i="1"/>
  <c r="EN344" i="1" s="1"/>
  <c r="EM343" i="1"/>
  <c r="EN343" i="1" s="1"/>
  <c r="EM342" i="1"/>
  <c r="EN342" i="1" s="1"/>
  <c r="EM341" i="1"/>
  <c r="EN341" i="1" s="1"/>
  <c r="EM340" i="1"/>
  <c r="EN340" i="1" s="1"/>
  <c r="EM339" i="1"/>
  <c r="EN339" i="1" s="1"/>
  <c r="EM338" i="1"/>
  <c r="EN338" i="1" s="1"/>
  <c r="EM337" i="1"/>
  <c r="EN337" i="1" s="1"/>
  <c r="EM336" i="1"/>
  <c r="EN336" i="1" s="1"/>
  <c r="EM335" i="1"/>
  <c r="EN335" i="1" s="1"/>
  <c r="EM334" i="1"/>
  <c r="EN334" i="1" s="1"/>
  <c r="EM333" i="1"/>
  <c r="EN333" i="1" s="1"/>
  <c r="EM332" i="1"/>
  <c r="EN332" i="1" s="1"/>
  <c r="EN331" i="1"/>
  <c r="EM331" i="1"/>
  <c r="EM362" i="1" l="1"/>
  <c r="EN362" i="1" s="1"/>
  <c r="EH338" i="1" l="1"/>
  <c r="EI338" i="1" s="1"/>
  <c r="EH337" i="1"/>
  <c r="EH334" i="1"/>
  <c r="EI334" i="1" s="1"/>
  <c r="EH335" i="1"/>
  <c r="EI335" i="1" s="1"/>
  <c r="EH336" i="1"/>
  <c r="EI336" i="1" s="1"/>
  <c r="EI337" i="1"/>
  <c r="EH339" i="1"/>
  <c r="EI339" i="1" s="1"/>
  <c r="EH340" i="1"/>
  <c r="EI340" i="1" s="1"/>
  <c r="EH341" i="1"/>
  <c r="EI341" i="1" s="1"/>
  <c r="EH342" i="1"/>
  <c r="EI342" i="1" s="1"/>
  <c r="EH343" i="1"/>
  <c r="EI343" i="1" s="1"/>
  <c r="EH344" i="1"/>
  <c r="EI344" i="1" s="1"/>
  <c r="EH345" i="1"/>
  <c r="EI345" i="1" s="1"/>
  <c r="EH346" i="1"/>
  <c r="EI346" i="1" s="1"/>
  <c r="EH347" i="1"/>
  <c r="EI347" i="1" s="1"/>
  <c r="EH348" i="1"/>
  <c r="EI348" i="1" s="1"/>
  <c r="EH349" i="1"/>
  <c r="EI349" i="1" s="1"/>
  <c r="EH350" i="1"/>
  <c r="EI350" i="1" s="1"/>
  <c r="EH351" i="1"/>
  <c r="EI351" i="1" s="1"/>
  <c r="EH352" i="1"/>
  <c r="EI352" i="1" s="1"/>
  <c r="EH353" i="1"/>
  <c r="EI353" i="1" s="1"/>
  <c r="EH354" i="1"/>
  <c r="EI354" i="1" s="1"/>
  <c r="EH355" i="1"/>
  <c r="EI355" i="1" s="1"/>
  <c r="EH356" i="1"/>
  <c r="EI356" i="1" s="1"/>
  <c r="EH357" i="1"/>
  <c r="EI357" i="1" s="1"/>
  <c r="EH358" i="1"/>
  <c r="EI358" i="1" s="1"/>
  <c r="EH359" i="1"/>
  <c r="EI359" i="1" s="1"/>
  <c r="EH360" i="1"/>
  <c r="EI360" i="1" s="1"/>
  <c r="EH361" i="1"/>
  <c r="EI361" i="1" s="1"/>
  <c r="EH333" i="1"/>
  <c r="EI333" i="1" s="1"/>
  <c r="EH332" i="1"/>
  <c r="EI332" i="1" s="1"/>
  <c r="EH331" i="1"/>
  <c r="EC331" i="1"/>
  <c r="EI331" i="1" l="1"/>
  <c r="EH362" i="1"/>
  <c r="EI362" i="1"/>
  <c r="EC339" i="1" l="1"/>
  <c r="ED339" i="1" s="1"/>
  <c r="EC340" i="1"/>
  <c r="ED340" i="1" s="1"/>
  <c r="EC341" i="1"/>
  <c r="ED341" i="1" s="1"/>
  <c r="EC342" i="1"/>
  <c r="ED342" i="1" s="1"/>
  <c r="EC343" i="1"/>
  <c r="ED343" i="1" s="1"/>
  <c r="EC344" i="1"/>
  <c r="ED344" i="1" s="1"/>
  <c r="ED361" i="1"/>
  <c r="EC360" i="1"/>
  <c r="ED360" i="1" s="1"/>
  <c r="EC359" i="1"/>
  <c r="ED359" i="1" s="1"/>
  <c r="EC358" i="1"/>
  <c r="ED358" i="1" s="1"/>
  <c r="EC357" i="1"/>
  <c r="ED357" i="1" s="1"/>
  <c r="EC356" i="1"/>
  <c r="ED356" i="1" s="1"/>
  <c r="EC355" i="1"/>
  <c r="ED355" i="1" s="1"/>
  <c r="EC354" i="1"/>
  <c r="ED354" i="1" s="1"/>
  <c r="EC353" i="1"/>
  <c r="ED353" i="1" s="1"/>
  <c r="EC352" i="1"/>
  <c r="ED352" i="1" s="1"/>
  <c r="EC351" i="1"/>
  <c r="ED351" i="1" s="1"/>
  <c r="EC350" i="1"/>
  <c r="ED350" i="1" s="1"/>
  <c r="EC349" i="1"/>
  <c r="ED349" i="1" s="1"/>
  <c r="EC348" i="1"/>
  <c r="ED348" i="1" s="1"/>
  <c r="EC347" i="1"/>
  <c r="ED347" i="1" s="1"/>
  <c r="EC346" i="1"/>
  <c r="ED346" i="1" s="1"/>
  <c r="EC345" i="1"/>
  <c r="ED345" i="1" s="1"/>
  <c r="EC338" i="1"/>
  <c r="ED338" i="1" s="1"/>
  <c r="EC337" i="1"/>
  <c r="ED337" i="1" s="1"/>
  <c r="EC336" i="1"/>
  <c r="ED336" i="1" s="1"/>
  <c r="EC335" i="1"/>
  <c r="ED335" i="1" s="1"/>
  <c r="EC334" i="1"/>
  <c r="ED334" i="1" s="1"/>
  <c r="EC333" i="1"/>
  <c r="ED333" i="1" s="1"/>
  <c r="EC332" i="1"/>
  <c r="ED332" i="1" s="1"/>
  <c r="ED331" i="1"/>
  <c r="DX331" i="1"/>
  <c r="DY331" i="1" s="1"/>
  <c r="DX361" i="1"/>
  <c r="DY361" i="1" s="1"/>
  <c r="DX360" i="1"/>
  <c r="DY360" i="1" s="1"/>
  <c r="DX359" i="1"/>
  <c r="DY359" i="1" s="1"/>
  <c r="DX358" i="1"/>
  <c r="DY358" i="1" s="1"/>
  <c r="DX357" i="1"/>
  <c r="DY357" i="1" s="1"/>
  <c r="DX356" i="1"/>
  <c r="DY356" i="1" s="1"/>
  <c r="DX355" i="1"/>
  <c r="DY355" i="1" s="1"/>
  <c r="DX354" i="1"/>
  <c r="DY354" i="1" s="1"/>
  <c r="DX353" i="1"/>
  <c r="DY353" i="1" s="1"/>
  <c r="DX352" i="1"/>
  <c r="DY352" i="1" s="1"/>
  <c r="DX351" i="1"/>
  <c r="DY351" i="1" s="1"/>
  <c r="DX350" i="1"/>
  <c r="DY350" i="1" s="1"/>
  <c r="DX349" i="1"/>
  <c r="DY349" i="1" s="1"/>
  <c r="DX348" i="1"/>
  <c r="DY348" i="1" s="1"/>
  <c r="DX347" i="1"/>
  <c r="DY347" i="1" s="1"/>
  <c r="DX346" i="1"/>
  <c r="DY346" i="1" s="1"/>
  <c r="DX345" i="1"/>
  <c r="DY345" i="1" s="1"/>
  <c r="DX344" i="1"/>
  <c r="DY344" i="1" s="1"/>
  <c r="DX343" i="1"/>
  <c r="DY343" i="1" s="1"/>
  <c r="DX342" i="1"/>
  <c r="DY342" i="1" s="1"/>
  <c r="DX341" i="1"/>
  <c r="DY341" i="1" s="1"/>
  <c r="DX340" i="1"/>
  <c r="DY340" i="1" s="1"/>
  <c r="DX339" i="1"/>
  <c r="DY339" i="1" s="1"/>
  <c r="DX338" i="1"/>
  <c r="DY338" i="1" s="1"/>
  <c r="DX337" i="1"/>
  <c r="DY337" i="1" s="1"/>
  <c r="DX336" i="1"/>
  <c r="DY336" i="1" s="1"/>
  <c r="DX335" i="1"/>
  <c r="DY335" i="1" s="1"/>
  <c r="DX334" i="1"/>
  <c r="DY334" i="1" s="1"/>
  <c r="DX333" i="1"/>
  <c r="DY333" i="1" s="1"/>
  <c r="DX332" i="1"/>
  <c r="DY332" i="1" s="1"/>
  <c r="DS361" i="1"/>
  <c r="EC362" i="1" l="1"/>
  <c r="ED362" i="1" s="1"/>
  <c r="DX362" i="1"/>
  <c r="DY362" i="1" s="1"/>
  <c r="DS331" i="1" l="1"/>
  <c r="DT361" i="1"/>
  <c r="DS360" i="1"/>
  <c r="DT360" i="1" s="1"/>
  <c r="DS359" i="1"/>
  <c r="DT359" i="1" s="1"/>
  <c r="DS358" i="1"/>
  <c r="DT358" i="1" s="1"/>
  <c r="DS357" i="1"/>
  <c r="DT357" i="1" s="1"/>
  <c r="DS356" i="1"/>
  <c r="DT356" i="1" s="1"/>
  <c r="DS355" i="1"/>
  <c r="DT355" i="1" s="1"/>
  <c r="DS354" i="1"/>
  <c r="DT354" i="1" s="1"/>
  <c r="DS353" i="1"/>
  <c r="DT353" i="1" s="1"/>
  <c r="DS352" i="1"/>
  <c r="DT352" i="1" s="1"/>
  <c r="DS351" i="1"/>
  <c r="DT351" i="1" s="1"/>
  <c r="DS350" i="1"/>
  <c r="DT350" i="1" s="1"/>
  <c r="DS349" i="1"/>
  <c r="DT349" i="1" s="1"/>
  <c r="DS348" i="1"/>
  <c r="DT348" i="1" s="1"/>
  <c r="DS347" i="1"/>
  <c r="DT347" i="1" s="1"/>
  <c r="DS346" i="1"/>
  <c r="DT346" i="1" s="1"/>
  <c r="DS345" i="1"/>
  <c r="DT345" i="1" s="1"/>
  <c r="DS344" i="1"/>
  <c r="DT344" i="1" s="1"/>
  <c r="DS343" i="1"/>
  <c r="DT343" i="1" s="1"/>
  <c r="DS342" i="1"/>
  <c r="DT342" i="1" s="1"/>
  <c r="DS341" i="1"/>
  <c r="DT341" i="1" s="1"/>
  <c r="DS340" i="1"/>
  <c r="DT340" i="1" s="1"/>
  <c r="DS339" i="1"/>
  <c r="DT339" i="1" s="1"/>
  <c r="DS338" i="1"/>
  <c r="DT338" i="1" s="1"/>
  <c r="DS337" i="1"/>
  <c r="DT337" i="1" s="1"/>
  <c r="DS336" i="1"/>
  <c r="DT336" i="1" s="1"/>
  <c r="DS335" i="1"/>
  <c r="DT335" i="1" s="1"/>
  <c r="DS334" i="1"/>
  <c r="DT334" i="1" s="1"/>
  <c r="DS333" i="1"/>
  <c r="DT333" i="1" s="1"/>
  <c r="DS332" i="1"/>
  <c r="DT332" i="1" s="1"/>
  <c r="DS362" i="1" l="1"/>
  <c r="DT362" i="1" s="1"/>
  <c r="DT331" i="1"/>
  <c r="DN331" i="1" l="1"/>
  <c r="DO361" i="1"/>
  <c r="DN360" i="1"/>
  <c r="DO360" i="1" s="1"/>
  <c r="DN359" i="1"/>
  <c r="DO359" i="1" s="1"/>
  <c r="DN358" i="1"/>
  <c r="DO358" i="1" s="1"/>
  <c r="DN357" i="1"/>
  <c r="DO357" i="1" s="1"/>
  <c r="DN356" i="1"/>
  <c r="DO356" i="1" s="1"/>
  <c r="DN355" i="1"/>
  <c r="DO355" i="1" s="1"/>
  <c r="DN354" i="1"/>
  <c r="DO354" i="1" s="1"/>
  <c r="DN353" i="1"/>
  <c r="DO353" i="1" s="1"/>
  <c r="DN352" i="1"/>
  <c r="DO352" i="1" s="1"/>
  <c r="DN351" i="1"/>
  <c r="DO351" i="1" s="1"/>
  <c r="DN350" i="1"/>
  <c r="DO350" i="1" s="1"/>
  <c r="DN349" i="1"/>
  <c r="DO349" i="1" s="1"/>
  <c r="DN348" i="1"/>
  <c r="DO348" i="1" s="1"/>
  <c r="DN347" i="1"/>
  <c r="DO347" i="1" s="1"/>
  <c r="DN346" i="1"/>
  <c r="DO346" i="1" s="1"/>
  <c r="DN345" i="1"/>
  <c r="DO345" i="1" s="1"/>
  <c r="DN344" i="1"/>
  <c r="DO344" i="1" s="1"/>
  <c r="DN343" i="1"/>
  <c r="DO343" i="1" s="1"/>
  <c r="DN342" i="1"/>
  <c r="DO342" i="1" s="1"/>
  <c r="DN341" i="1"/>
  <c r="DO341" i="1" s="1"/>
  <c r="DN340" i="1"/>
  <c r="DO340" i="1" s="1"/>
  <c r="DN339" i="1"/>
  <c r="DO339" i="1" s="1"/>
  <c r="DN338" i="1"/>
  <c r="DO338" i="1" s="1"/>
  <c r="DN337" i="1"/>
  <c r="DO337" i="1" s="1"/>
  <c r="DN336" i="1"/>
  <c r="DO336" i="1" s="1"/>
  <c r="DN335" i="1"/>
  <c r="DO335" i="1" s="1"/>
  <c r="DN334" i="1"/>
  <c r="DO334" i="1" s="1"/>
  <c r="DN333" i="1"/>
  <c r="DO333" i="1" s="1"/>
  <c r="DN332" i="1"/>
  <c r="DO332" i="1" s="1"/>
  <c r="DI361" i="1"/>
  <c r="DO331" i="1" l="1"/>
  <c r="DN362" i="1"/>
  <c r="DO362" i="1" s="1"/>
  <c r="DI332" i="1" l="1"/>
  <c r="DJ332" i="1" s="1"/>
  <c r="DI331" i="1"/>
  <c r="DJ361" i="1"/>
  <c r="DI360" i="1"/>
  <c r="DJ360" i="1" s="1"/>
  <c r="DI359" i="1"/>
  <c r="DJ359" i="1" s="1"/>
  <c r="DI358" i="1"/>
  <c r="DJ358" i="1" s="1"/>
  <c r="DI357" i="1"/>
  <c r="DJ357" i="1" s="1"/>
  <c r="DI356" i="1"/>
  <c r="DJ356" i="1" s="1"/>
  <c r="DI355" i="1"/>
  <c r="DJ355" i="1" s="1"/>
  <c r="DI354" i="1"/>
  <c r="DJ354" i="1" s="1"/>
  <c r="DI353" i="1"/>
  <c r="DJ353" i="1" s="1"/>
  <c r="DI352" i="1"/>
  <c r="DJ352" i="1" s="1"/>
  <c r="DI351" i="1"/>
  <c r="DJ351" i="1" s="1"/>
  <c r="DI350" i="1"/>
  <c r="DJ350" i="1" s="1"/>
  <c r="DI349" i="1"/>
  <c r="DJ349" i="1" s="1"/>
  <c r="DI348" i="1"/>
  <c r="DJ348" i="1" s="1"/>
  <c r="DI347" i="1"/>
  <c r="DJ347" i="1" s="1"/>
  <c r="DI346" i="1"/>
  <c r="DJ346" i="1" s="1"/>
  <c r="DI345" i="1"/>
  <c r="DJ345" i="1" s="1"/>
  <c r="DI344" i="1"/>
  <c r="DJ344" i="1" s="1"/>
  <c r="DI343" i="1"/>
  <c r="DJ343" i="1" s="1"/>
  <c r="DI342" i="1"/>
  <c r="DJ342" i="1" s="1"/>
  <c r="DI341" i="1"/>
  <c r="DJ341" i="1" s="1"/>
  <c r="DI340" i="1"/>
  <c r="DJ340" i="1" s="1"/>
  <c r="DI339" i="1"/>
  <c r="DJ339" i="1" s="1"/>
  <c r="DI338" i="1"/>
  <c r="DJ338" i="1" s="1"/>
  <c r="DI337" i="1"/>
  <c r="DJ337" i="1" s="1"/>
  <c r="DI336" i="1"/>
  <c r="DJ336" i="1" s="1"/>
  <c r="DI335" i="1"/>
  <c r="DJ335" i="1" s="1"/>
  <c r="DI334" i="1"/>
  <c r="DJ334" i="1" s="1"/>
  <c r="DI333" i="1"/>
  <c r="CO344" i="1"/>
  <c r="CT344" i="1"/>
  <c r="CY344" i="1"/>
  <c r="CZ344" i="1" s="1"/>
  <c r="DD331" i="1"/>
  <c r="DE331" i="1" s="1"/>
  <c r="DD344" i="1"/>
  <c r="DE344" i="1" s="1"/>
  <c r="DE361" i="1"/>
  <c r="DD360" i="1"/>
  <c r="DE360" i="1" s="1"/>
  <c r="DD359" i="1"/>
  <c r="DE359" i="1" s="1"/>
  <c r="DD358" i="1"/>
  <c r="DE358" i="1" s="1"/>
  <c r="DD357" i="1"/>
  <c r="DE357" i="1" s="1"/>
  <c r="DD356" i="1"/>
  <c r="DE356" i="1" s="1"/>
  <c r="DD355" i="1"/>
  <c r="DE355" i="1" s="1"/>
  <c r="DD354" i="1"/>
  <c r="DE354" i="1" s="1"/>
  <c r="DD353" i="1"/>
  <c r="DE353" i="1" s="1"/>
  <c r="DD352" i="1"/>
  <c r="DE352" i="1" s="1"/>
  <c r="DD351" i="1"/>
  <c r="DE351" i="1" s="1"/>
  <c r="DD350" i="1"/>
  <c r="DE350" i="1" s="1"/>
  <c r="DD349" i="1"/>
  <c r="DE349" i="1" s="1"/>
  <c r="DD348" i="1"/>
  <c r="DE348" i="1" s="1"/>
  <c r="DD347" i="1"/>
  <c r="DE347" i="1" s="1"/>
  <c r="DD346" i="1"/>
  <c r="DE346" i="1" s="1"/>
  <c r="DD345" i="1"/>
  <c r="DE345" i="1" s="1"/>
  <c r="DD343" i="1"/>
  <c r="DE343" i="1" s="1"/>
  <c r="DD342" i="1"/>
  <c r="DE342" i="1" s="1"/>
  <c r="DD341" i="1"/>
  <c r="DE341" i="1" s="1"/>
  <c r="DD340" i="1"/>
  <c r="DE340" i="1" s="1"/>
  <c r="DD339" i="1"/>
  <c r="DE339" i="1" s="1"/>
  <c r="DD338" i="1"/>
  <c r="DE338" i="1" s="1"/>
  <c r="DD337" i="1"/>
  <c r="DE337" i="1" s="1"/>
  <c r="DD336" i="1"/>
  <c r="DE336" i="1" s="1"/>
  <c r="DD335" i="1"/>
  <c r="DE335" i="1" s="1"/>
  <c r="DD334" i="1"/>
  <c r="DE334" i="1" s="1"/>
  <c r="DD333" i="1"/>
  <c r="DE333" i="1" s="1"/>
  <c r="DD332" i="1"/>
  <c r="DE332" i="1" s="1"/>
  <c r="CY331" i="1"/>
  <c r="CY360" i="1"/>
  <c r="CZ360" i="1" s="1"/>
  <c r="CY361" i="1"/>
  <c r="CZ361" i="1" s="1"/>
  <c r="CY359" i="1"/>
  <c r="CZ359" i="1" s="1"/>
  <c r="CY358" i="1"/>
  <c r="CZ358" i="1" s="1"/>
  <c r="CY357" i="1"/>
  <c r="CZ357" i="1" s="1"/>
  <c r="CY356" i="1"/>
  <c r="CZ356" i="1" s="1"/>
  <c r="CY355" i="1"/>
  <c r="CZ355" i="1" s="1"/>
  <c r="CY354" i="1"/>
  <c r="CZ354" i="1" s="1"/>
  <c r="CY353" i="1"/>
  <c r="CZ353" i="1" s="1"/>
  <c r="CY352" i="1"/>
  <c r="CZ352" i="1" s="1"/>
  <c r="CY351" i="1"/>
  <c r="CZ351" i="1" s="1"/>
  <c r="CY350" i="1"/>
  <c r="CZ350" i="1" s="1"/>
  <c r="CY349" i="1"/>
  <c r="CZ349" i="1" s="1"/>
  <c r="CY348" i="1"/>
  <c r="CZ348" i="1" s="1"/>
  <c r="CY347" i="1"/>
  <c r="CZ347" i="1" s="1"/>
  <c r="CY346" i="1"/>
  <c r="CZ346" i="1" s="1"/>
  <c r="CY345" i="1"/>
  <c r="CZ345" i="1" s="1"/>
  <c r="CY343" i="1"/>
  <c r="CZ343" i="1" s="1"/>
  <c r="CY342" i="1"/>
  <c r="CZ342" i="1" s="1"/>
  <c r="CY341" i="1"/>
  <c r="CZ341" i="1" s="1"/>
  <c r="CY340" i="1"/>
  <c r="CZ340" i="1" s="1"/>
  <c r="CY339" i="1"/>
  <c r="CZ339" i="1" s="1"/>
  <c r="CY338" i="1"/>
  <c r="CZ338" i="1" s="1"/>
  <c r="CY337" i="1"/>
  <c r="CZ337" i="1" s="1"/>
  <c r="CY336" i="1"/>
  <c r="CZ336" i="1" s="1"/>
  <c r="CY335" i="1"/>
  <c r="CZ335" i="1" s="1"/>
  <c r="CY334" i="1"/>
  <c r="CZ334" i="1" s="1"/>
  <c r="CY333" i="1"/>
  <c r="CZ333" i="1" s="1"/>
  <c r="CY332" i="1"/>
  <c r="CZ332" i="1" s="1"/>
  <c r="DJ331" i="1" l="1"/>
  <c r="DI362" i="1"/>
  <c r="DJ362" i="1" s="1"/>
  <c r="DJ333" i="1"/>
  <c r="DD362" i="1"/>
  <c r="DE362" i="1" s="1"/>
  <c r="CY362" i="1"/>
  <c r="CZ362" i="1" s="1"/>
  <c r="CZ331" i="1"/>
  <c r="CT331" i="1"/>
  <c r="CU331" i="1" s="1"/>
  <c r="CT361" i="1"/>
  <c r="CU361" i="1" s="1"/>
  <c r="CU360" i="1"/>
  <c r="CT359" i="1"/>
  <c r="CU359" i="1" s="1"/>
  <c r="CT358" i="1"/>
  <c r="CU358" i="1" s="1"/>
  <c r="CT357" i="1"/>
  <c r="CU357" i="1" s="1"/>
  <c r="CT356" i="1"/>
  <c r="CU356" i="1" s="1"/>
  <c r="CT355" i="1"/>
  <c r="CU355" i="1" s="1"/>
  <c r="CT354" i="1"/>
  <c r="CU354" i="1" s="1"/>
  <c r="CT353" i="1"/>
  <c r="CU353" i="1" s="1"/>
  <c r="CT352" i="1"/>
  <c r="CU352" i="1" s="1"/>
  <c r="CT351" i="1"/>
  <c r="CU351" i="1" s="1"/>
  <c r="CT350" i="1"/>
  <c r="CU350" i="1" s="1"/>
  <c r="CT349" i="1"/>
  <c r="CU349" i="1" s="1"/>
  <c r="CT348" i="1"/>
  <c r="CU348" i="1" s="1"/>
  <c r="CT347" i="1"/>
  <c r="CU347" i="1" s="1"/>
  <c r="CT346" i="1"/>
  <c r="CU346" i="1" s="1"/>
  <c r="CT345" i="1"/>
  <c r="CU345" i="1" s="1"/>
  <c r="CU344" i="1"/>
  <c r="CT343" i="1"/>
  <c r="CU343" i="1" s="1"/>
  <c r="CT342" i="1"/>
  <c r="CU342" i="1" s="1"/>
  <c r="CT341" i="1"/>
  <c r="CU341" i="1" s="1"/>
  <c r="CT340" i="1"/>
  <c r="CU340" i="1" s="1"/>
  <c r="CT339" i="1"/>
  <c r="CU339" i="1" s="1"/>
  <c r="CT338" i="1"/>
  <c r="CU338" i="1" s="1"/>
  <c r="CT337" i="1"/>
  <c r="CU337" i="1" s="1"/>
  <c r="CT336" i="1"/>
  <c r="CU336" i="1" s="1"/>
  <c r="CT334" i="1"/>
  <c r="CU334" i="1" s="1"/>
  <c r="CT335" i="1"/>
  <c r="CU335" i="1" s="1"/>
  <c r="CT333" i="1"/>
  <c r="CU333" i="1" s="1"/>
  <c r="CT332" i="1"/>
  <c r="CU332" i="1" s="1"/>
  <c r="CO358" i="1"/>
  <c r="CO357" i="1"/>
  <c r="CT362" i="1" l="1"/>
  <c r="CU362" i="1" s="1"/>
  <c r="CO332" i="1" l="1"/>
  <c r="CN334" i="1" l="1"/>
  <c r="CO334" i="1" s="1"/>
  <c r="CP334" i="1" s="1"/>
  <c r="CO336" i="1"/>
  <c r="CP336" i="1" s="1"/>
  <c r="CO337" i="1"/>
  <c r="CP337" i="1" s="1"/>
  <c r="CO338" i="1"/>
  <c r="CP338" i="1" s="1"/>
  <c r="CO339" i="1"/>
  <c r="CP339" i="1" s="1"/>
  <c r="CO340" i="1"/>
  <c r="CP340" i="1" s="1"/>
  <c r="CO341" i="1"/>
  <c r="CP341" i="1" s="1"/>
  <c r="CO342" i="1"/>
  <c r="CP342" i="1" s="1"/>
  <c r="CO343" i="1"/>
  <c r="CP343" i="1" s="1"/>
  <c r="CO345" i="1"/>
  <c r="CP345" i="1" s="1"/>
  <c r="CO346" i="1"/>
  <c r="CP346" i="1" s="1"/>
  <c r="CO347" i="1"/>
  <c r="CP347" i="1" s="1"/>
  <c r="CO348" i="1"/>
  <c r="CP348" i="1" s="1"/>
  <c r="CO349" i="1"/>
  <c r="CP349" i="1" s="1"/>
  <c r="CO350" i="1"/>
  <c r="CP350" i="1" s="1"/>
  <c r="CO351" i="1"/>
  <c r="CP351" i="1" s="1"/>
  <c r="CO352" i="1"/>
  <c r="CP352" i="1" s="1"/>
  <c r="CO353" i="1"/>
  <c r="CP353" i="1" s="1"/>
  <c r="CO354" i="1"/>
  <c r="CP354" i="1" s="1"/>
  <c r="CO355" i="1"/>
  <c r="CP355" i="1" s="1"/>
  <c r="CO356" i="1"/>
  <c r="CP356" i="1" s="1"/>
  <c r="CP357" i="1"/>
  <c r="CP358" i="1"/>
  <c r="CO359" i="1"/>
  <c r="CP359" i="1" s="1"/>
  <c r="CO360" i="1"/>
  <c r="CP360" i="1" s="1"/>
  <c r="CO361" i="1"/>
  <c r="CP361" i="1" s="1"/>
  <c r="CO333" i="1"/>
  <c r="CO331" i="1"/>
  <c r="CP331" i="1" s="1"/>
  <c r="CP344" i="1"/>
  <c r="CP332" i="1"/>
  <c r="CO335" i="1" l="1"/>
  <c r="CP335" i="1" s="1"/>
  <c r="CJ362" i="1"/>
  <c r="CK362" i="1" s="1"/>
  <c r="CK361" i="1"/>
  <c r="CK360" i="1"/>
  <c r="CK359" i="1"/>
  <c r="CK358" i="1"/>
  <c r="CK357" i="1"/>
  <c r="CK356" i="1"/>
  <c r="CK355" i="1"/>
  <c r="CK354" i="1"/>
  <c r="CK353" i="1"/>
  <c r="CK352" i="1"/>
  <c r="CK351" i="1"/>
  <c r="CK350" i="1"/>
  <c r="CK349" i="1"/>
  <c r="CK348" i="1"/>
  <c r="CK347" i="1"/>
  <c r="CK346" i="1"/>
  <c r="CK345" i="1"/>
  <c r="CK344" i="1"/>
  <c r="CK343" i="1"/>
  <c r="CK342" i="1"/>
  <c r="CK341" i="1"/>
  <c r="CK340" i="1"/>
  <c r="CK339" i="1"/>
  <c r="CK338" i="1"/>
  <c r="CK337" i="1"/>
  <c r="CK336" i="1"/>
  <c r="CK335" i="1"/>
  <c r="CK334" i="1"/>
  <c r="CK333" i="1"/>
  <c r="CK332" i="1"/>
  <c r="CK331" i="1"/>
  <c r="CD331" i="1"/>
  <c r="CD332" i="1" s="1"/>
  <c r="CD333" i="1" s="1"/>
  <c r="CD334" i="1" s="1"/>
  <c r="CD335" i="1" s="1"/>
  <c r="CD336" i="1" s="1"/>
  <c r="CD337" i="1" s="1"/>
  <c r="CD338" i="1" s="1"/>
  <c r="CD339" i="1" s="1"/>
  <c r="CD340" i="1" s="1"/>
  <c r="CD341" i="1" s="1"/>
  <c r="CD342" i="1" s="1"/>
  <c r="CD343" i="1" s="1"/>
  <c r="CD344" i="1" s="1"/>
  <c r="CD345" i="1" s="1"/>
  <c r="CD346" i="1" s="1"/>
  <c r="CD347" i="1" s="1"/>
  <c r="CD348" i="1" s="1"/>
  <c r="CD349" i="1" s="1"/>
  <c r="CD350" i="1" s="1"/>
  <c r="CD351" i="1" s="1"/>
  <c r="CD352" i="1" s="1"/>
  <c r="CD353" i="1" s="1"/>
  <c r="CD354" i="1" s="1"/>
  <c r="CD355" i="1" s="1"/>
  <c r="BZ361" i="1"/>
  <c r="BZ363" i="1"/>
  <c r="CA363" i="1" s="1"/>
  <c r="BY358" i="1" l="1"/>
  <c r="BZ359" i="1" s="1"/>
  <c r="BY357" i="1"/>
  <c r="CE361" i="1"/>
  <c r="CF361" i="1" s="1"/>
  <c r="BY356" i="1"/>
  <c r="BZ331" i="1"/>
  <c r="BZ360" i="1" l="1"/>
  <c r="BZ358" i="1"/>
  <c r="BZ357" i="1"/>
  <c r="BZ356" i="1"/>
  <c r="CA356" i="1" s="1"/>
  <c r="BZ355" i="1"/>
  <c r="BZ354" i="1"/>
  <c r="BZ353" i="1"/>
  <c r="CA353" i="1" s="1"/>
  <c r="BZ352" i="1"/>
  <c r="BZ351" i="1"/>
  <c r="BZ350" i="1"/>
  <c r="BZ349" i="1"/>
  <c r="CA349" i="1" s="1"/>
  <c r="BZ348" i="1"/>
  <c r="CA348" i="1" s="1"/>
  <c r="BZ347" i="1"/>
  <c r="CA347" i="1" s="1"/>
  <c r="BZ346" i="1"/>
  <c r="CA346" i="1" s="1"/>
  <c r="BZ345" i="1"/>
  <c r="CA345" i="1" s="1"/>
  <c r="BZ344" i="1"/>
  <c r="CA344" i="1" s="1"/>
  <c r="BZ343" i="1"/>
  <c r="CA343" i="1" s="1"/>
  <c r="BZ342" i="1"/>
  <c r="BZ341" i="1"/>
  <c r="BZ340" i="1"/>
  <c r="CA340" i="1" s="1"/>
  <c r="BZ339" i="1"/>
  <c r="CA339" i="1" s="1"/>
  <c r="BZ338" i="1"/>
  <c r="CA338" i="1" s="1"/>
  <c r="BZ337" i="1"/>
  <c r="BZ336" i="1"/>
  <c r="CA336" i="1" s="1"/>
  <c r="BZ335" i="1"/>
  <c r="CA335" i="1" s="1"/>
  <c r="BZ334" i="1"/>
  <c r="BZ333" i="1"/>
  <c r="CA333" i="1" s="1"/>
  <c r="BZ332" i="1"/>
  <c r="CA332" i="1" s="1"/>
  <c r="BU361" i="1"/>
  <c r="BU333" i="1"/>
  <c r="BZ362" i="1" l="1"/>
  <c r="CA362" i="1" s="1"/>
  <c r="CA357" i="1"/>
  <c r="CA361" i="1"/>
  <c r="CA360" i="1"/>
  <c r="CA341" i="1"/>
  <c r="CA331" i="1"/>
  <c r="CA351" i="1"/>
  <c r="CA355" i="1"/>
  <c r="CA359" i="1"/>
  <c r="CA337" i="1"/>
  <c r="CA352" i="1"/>
  <c r="CA334" i="1"/>
  <c r="CA342" i="1"/>
  <c r="CA350" i="1"/>
  <c r="CA354" i="1"/>
  <c r="CA358" i="1"/>
  <c r="BU331" i="1"/>
  <c r="BV331" i="1" s="1"/>
  <c r="BV361" i="1"/>
  <c r="BU360" i="1"/>
  <c r="BV360" i="1" s="1"/>
  <c r="BU359" i="1"/>
  <c r="BV359" i="1" s="1"/>
  <c r="BU358" i="1"/>
  <c r="BV358" i="1" s="1"/>
  <c r="BU357" i="1"/>
  <c r="BV357" i="1" s="1"/>
  <c r="BU356" i="1"/>
  <c r="BV356" i="1" s="1"/>
  <c r="BU355" i="1"/>
  <c r="BV355" i="1" s="1"/>
  <c r="BU354" i="1"/>
  <c r="BV354" i="1" s="1"/>
  <c r="BU353" i="1"/>
  <c r="BV353" i="1" s="1"/>
  <c r="BU352" i="1"/>
  <c r="BV352" i="1" s="1"/>
  <c r="BU351" i="1"/>
  <c r="BV351" i="1" s="1"/>
  <c r="BU350" i="1"/>
  <c r="BV350" i="1" s="1"/>
  <c r="BU349" i="1"/>
  <c r="BV349" i="1" s="1"/>
  <c r="BU348" i="1"/>
  <c r="BV348" i="1" s="1"/>
  <c r="BU347" i="1"/>
  <c r="BV347" i="1" s="1"/>
  <c r="BU346" i="1"/>
  <c r="BV346" i="1" s="1"/>
  <c r="BU345" i="1"/>
  <c r="BV345" i="1" s="1"/>
  <c r="BU344" i="1"/>
  <c r="BV344" i="1" s="1"/>
  <c r="BU343" i="1"/>
  <c r="BV343" i="1" s="1"/>
  <c r="BU342" i="1"/>
  <c r="BV342" i="1" s="1"/>
  <c r="BU341" i="1"/>
  <c r="BV341" i="1" s="1"/>
  <c r="BU340" i="1"/>
  <c r="BV340" i="1" s="1"/>
  <c r="BU339" i="1"/>
  <c r="BV339" i="1" s="1"/>
  <c r="BU338" i="1"/>
  <c r="BV338" i="1" s="1"/>
  <c r="BU337" i="1"/>
  <c r="BV337" i="1" s="1"/>
  <c r="BU336" i="1"/>
  <c r="BV336" i="1" s="1"/>
  <c r="BU335" i="1"/>
  <c r="BV335" i="1" s="1"/>
  <c r="BU334" i="1"/>
  <c r="BV334" i="1" s="1"/>
  <c r="BV333" i="1"/>
  <c r="BU332" i="1"/>
  <c r="BV332" i="1" s="1"/>
  <c r="BU362" i="1" l="1"/>
  <c r="BV362" i="1" s="1"/>
  <c r="BP356" i="1"/>
  <c r="BP331" i="1" l="1"/>
  <c r="BP361" i="1"/>
  <c r="BQ361" i="1" s="1"/>
  <c r="BP360" i="1"/>
  <c r="BQ360" i="1" s="1"/>
  <c r="BP359" i="1"/>
  <c r="BQ359" i="1" s="1"/>
  <c r="BP358" i="1"/>
  <c r="BQ358" i="1" s="1"/>
  <c r="BP357" i="1"/>
  <c r="BQ357" i="1" s="1"/>
  <c r="BQ356" i="1"/>
  <c r="BP355" i="1"/>
  <c r="BQ355" i="1" s="1"/>
  <c r="BP354" i="1"/>
  <c r="BQ354" i="1" s="1"/>
  <c r="BP353" i="1"/>
  <c r="BQ353" i="1" s="1"/>
  <c r="BP352" i="1"/>
  <c r="BQ352" i="1" s="1"/>
  <c r="BP351" i="1"/>
  <c r="BQ351" i="1" s="1"/>
  <c r="BP350" i="1"/>
  <c r="BQ350" i="1" s="1"/>
  <c r="BP349" i="1"/>
  <c r="BQ349" i="1" s="1"/>
  <c r="BP348" i="1"/>
  <c r="BQ348" i="1" s="1"/>
  <c r="BP347" i="1"/>
  <c r="BQ347" i="1" s="1"/>
  <c r="BP346" i="1"/>
  <c r="BQ346" i="1" s="1"/>
  <c r="BP345" i="1"/>
  <c r="BQ345" i="1" s="1"/>
  <c r="BP344" i="1"/>
  <c r="BQ344" i="1" s="1"/>
  <c r="BP343" i="1"/>
  <c r="BQ343" i="1" s="1"/>
  <c r="BP342" i="1"/>
  <c r="BQ342" i="1" s="1"/>
  <c r="BP341" i="1"/>
  <c r="BQ341" i="1" s="1"/>
  <c r="BP340" i="1"/>
  <c r="BQ340" i="1" s="1"/>
  <c r="BP339" i="1"/>
  <c r="BQ339" i="1" s="1"/>
  <c r="BP338" i="1"/>
  <c r="BQ338" i="1" s="1"/>
  <c r="BP337" i="1"/>
  <c r="BQ337" i="1" s="1"/>
  <c r="BP336" i="1"/>
  <c r="BQ336" i="1" s="1"/>
  <c r="BP335" i="1"/>
  <c r="BQ335" i="1" s="1"/>
  <c r="BP334" i="1"/>
  <c r="BQ334" i="1" s="1"/>
  <c r="BP333" i="1"/>
  <c r="BQ333" i="1" s="1"/>
  <c r="BP332" i="1"/>
  <c r="BQ332" i="1" s="1"/>
  <c r="BP362" i="1" l="1"/>
  <c r="BQ362" i="1" s="1"/>
  <c r="BQ331" i="1"/>
  <c r="BK357" i="1" l="1"/>
  <c r="BK348" i="1"/>
  <c r="H278" i="1"/>
  <c r="BK331" i="1" l="1"/>
  <c r="BK361" i="1"/>
  <c r="BL361" i="1" s="1"/>
  <c r="BK360" i="1"/>
  <c r="BL360" i="1" s="1"/>
  <c r="BK359" i="1"/>
  <c r="BL359" i="1" s="1"/>
  <c r="BK358" i="1"/>
  <c r="BL358" i="1" s="1"/>
  <c r="BL357" i="1"/>
  <c r="BL356" i="1"/>
  <c r="BK355" i="1"/>
  <c r="BL355" i="1" s="1"/>
  <c r="BK354" i="1"/>
  <c r="BL354" i="1" s="1"/>
  <c r="BK353" i="1"/>
  <c r="BL353" i="1" s="1"/>
  <c r="BK352" i="1"/>
  <c r="BL352" i="1" s="1"/>
  <c r="BK351" i="1"/>
  <c r="BL351" i="1" s="1"/>
  <c r="BK350" i="1"/>
  <c r="BL350" i="1" s="1"/>
  <c r="BK349" i="1"/>
  <c r="BL349" i="1" s="1"/>
  <c r="BL348" i="1"/>
  <c r="BK347" i="1"/>
  <c r="BL347" i="1" s="1"/>
  <c r="BK346" i="1"/>
  <c r="BL346" i="1" s="1"/>
  <c r="BK345" i="1"/>
  <c r="BK344" i="1"/>
  <c r="BK343" i="1"/>
  <c r="BK342" i="1"/>
  <c r="BK341" i="1"/>
  <c r="BK340" i="1"/>
  <c r="BK339" i="1"/>
  <c r="BK338" i="1"/>
  <c r="BL338" i="1" s="1"/>
  <c r="BK337" i="1"/>
  <c r="BL337" i="1" s="1"/>
  <c r="BK336" i="1"/>
  <c r="BL336" i="1" s="1"/>
  <c r="BK335" i="1"/>
  <c r="BL335" i="1" s="1"/>
  <c r="BK334" i="1"/>
  <c r="BL334" i="1" s="1"/>
  <c r="BK333" i="1"/>
  <c r="BL333" i="1" s="1"/>
  <c r="BK332" i="1"/>
  <c r="BL332" i="1" s="1"/>
  <c r="BL340" i="1" l="1"/>
  <c r="G272" i="1"/>
  <c r="BL344" i="1"/>
  <c r="G276" i="1"/>
  <c r="BL339" i="1"/>
  <c r="G271" i="1"/>
  <c r="BL343" i="1"/>
  <c r="G275" i="1"/>
  <c r="BL342" i="1"/>
  <c r="G274" i="1"/>
  <c r="BL341" i="1"/>
  <c r="G273" i="1"/>
  <c r="BL345" i="1"/>
  <c r="G277" i="1"/>
  <c r="BK362" i="1"/>
  <c r="BL362" i="1" s="1"/>
  <c r="BL331" i="1"/>
  <c r="G278" i="1" l="1"/>
  <c r="BA345" i="1"/>
  <c r="BF331" i="1"/>
  <c r="BG361" i="1"/>
  <c r="BF360" i="1"/>
  <c r="BG360" i="1" s="1"/>
  <c r="BF359" i="1"/>
  <c r="BG359" i="1" s="1"/>
  <c r="BF358" i="1"/>
  <c r="BG358" i="1" s="1"/>
  <c r="BF357" i="1"/>
  <c r="BG357" i="1" s="1"/>
  <c r="BF356" i="1"/>
  <c r="BG356" i="1" s="1"/>
  <c r="BF355" i="1"/>
  <c r="BG355" i="1" s="1"/>
  <c r="BF354" i="1"/>
  <c r="BG354" i="1" s="1"/>
  <c r="BF353" i="1"/>
  <c r="BG353" i="1" s="1"/>
  <c r="BF352" i="1"/>
  <c r="BG352" i="1" s="1"/>
  <c r="BF351" i="1"/>
  <c r="BG351" i="1" s="1"/>
  <c r="BF350" i="1"/>
  <c r="BG350" i="1" s="1"/>
  <c r="BF349" i="1"/>
  <c r="BG349" i="1" s="1"/>
  <c r="BF348" i="1"/>
  <c r="BG348" i="1" s="1"/>
  <c r="BF347" i="1"/>
  <c r="BG347" i="1" s="1"/>
  <c r="BF346" i="1"/>
  <c r="BG346" i="1" s="1"/>
  <c r="BF345" i="1"/>
  <c r="BG345" i="1" s="1"/>
  <c r="BF344" i="1"/>
  <c r="BG344" i="1" s="1"/>
  <c r="BF343" i="1"/>
  <c r="BG343" i="1" s="1"/>
  <c r="BF342" i="1"/>
  <c r="BG342" i="1" s="1"/>
  <c r="BF341" i="1"/>
  <c r="BG341" i="1" s="1"/>
  <c r="BF340" i="1"/>
  <c r="BG340" i="1" s="1"/>
  <c r="BF339" i="1"/>
  <c r="BG339" i="1" s="1"/>
  <c r="BF338" i="1"/>
  <c r="BG338" i="1" s="1"/>
  <c r="BF337" i="1"/>
  <c r="BG337" i="1" s="1"/>
  <c r="BF336" i="1"/>
  <c r="BG336" i="1" s="1"/>
  <c r="BF335" i="1"/>
  <c r="BG335" i="1" s="1"/>
  <c r="BF334" i="1"/>
  <c r="BG334" i="1" s="1"/>
  <c r="BF333" i="1"/>
  <c r="BG333" i="1" s="1"/>
  <c r="BF332" i="1"/>
  <c r="BG332" i="1" s="1"/>
  <c r="BA361" i="1"/>
  <c r="BB361" i="1" s="1"/>
  <c r="BA350" i="1"/>
  <c r="F128" i="1"/>
  <c r="BF362" i="1" l="1"/>
  <c r="BG362" i="1" s="1"/>
  <c r="BG331" i="1"/>
  <c r="BA331" i="1" l="1"/>
  <c r="BA360" i="1"/>
  <c r="BB360" i="1" s="1"/>
  <c r="BA359" i="1"/>
  <c r="BB359" i="1" s="1"/>
  <c r="BA358" i="1"/>
  <c r="BB358" i="1" s="1"/>
  <c r="BA357" i="1"/>
  <c r="BA356" i="1"/>
  <c r="BB356" i="1" s="1"/>
  <c r="BA355" i="1"/>
  <c r="BB355" i="1" s="1"/>
  <c r="BA354" i="1"/>
  <c r="BB354" i="1" s="1"/>
  <c r="BA353" i="1"/>
  <c r="BB353" i="1" s="1"/>
  <c r="BA352" i="1"/>
  <c r="BB352" i="1" s="1"/>
  <c r="BA351" i="1"/>
  <c r="BB351" i="1" s="1"/>
  <c r="BB350" i="1"/>
  <c r="BA349" i="1"/>
  <c r="BB349" i="1" s="1"/>
  <c r="BA348" i="1"/>
  <c r="BB348" i="1" s="1"/>
  <c r="BA347" i="1"/>
  <c r="BB347" i="1" s="1"/>
  <c r="BA346" i="1"/>
  <c r="BB346" i="1" s="1"/>
  <c r="BB345" i="1"/>
  <c r="BA344" i="1"/>
  <c r="BB344" i="1" s="1"/>
  <c r="BA343" i="1"/>
  <c r="BB343" i="1" s="1"/>
  <c r="BA342" i="1"/>
  <c r="BB342" i="1" s="1"/>
  <c r="BA341" i="1"/>
  <c r="BB341" i="1" s="1"/>
  <c r="BA340" i="1"/>
  <c r="BB340" i="1" s="1"/>
  <c r="BA339" i="1"/>
  <c r="BB339" i="1" s="1"/>
  <c r="BA338" i="1"/>
  <c r="BB338" i="1" s="1"/>
  <c r="BA337" i="1"/>
  <c r="BB337" i="1" s="1"/>
  <c r="BA336" i="1"/>
  <c r="BB336" i="1" s="1"/>
  <c r="BA335" i="1"/>
  <c r="BB335" i="1" s="1"/>
  <c r="BA334" i="1"/>
  <c r="BB334" i="1" s="1"/>
  <c r="BA333" i="1"/>
  <c r="BB333" i="1" s="1"/>
  <c r="BA332" i="1"/>
  <c r="BB332" i="1" s="1"/>
  <c r="BB357" i="1" l="1"/>
  <c r="BA362" i="1"/>
  <c r="BB362" i="1" s="1"/>
  <c r="BB331" i="1"/>
  <c r="AV331" i="1"/>
  <c r="AV360" i="1"/>
  <c r="AW360" i="1" s="1"/>
  <c r="AV359" i="1"/>
  <c r="AW359" i="1" s="1"/>
  <c r="AV358" i="1"/>
  <c r="AW358" i="1" s="1"/>
  <c r="AV357" i="1"/>
  <c r="AW357" i="1" s="1"/>
  <c r="AV356" i="1"/>
  <c r="AW356" i="1" s="1"/>
  <c r="AV355" i="1"/>
  <c r="AW355" i="1" s="1"/>
  <c r="AV354" i="1"/>
  <c r="AW354" i="1" s="1"/>
  <c r="AV353" i="1"/>
  <c r="AW353" i="1" s="1"/>
  <c r="AV352" i="1"/>
  <c r="AW352" i="1" s="1"/>
  <c r="AV351" i="1"/>
  <c r="AW351" i="1" s="1"/>
  <c r="AV350" i="1"/>
  <c r="AW350" i="1" s="1"/>
  <c r="AV349" i="1"/>
  <c r="AW349" i="1" s="1"/>
  <c r="AV348" i="1"/>
  <c r="AW348" i="1" s="1"/>
  <c r="AV347" i="1"/>
  <c r="AW347" i="1" s="1"/>
  <c r="AV346" i="1"/>
  <c r="AW346" i="1" s="1"/>
  <c r="AV345" i="1"/>
  <c r="AV344" i="1"/>
  <c r="AV343" i="1"/>
  <c r="AV342" i="1"/>
  <c r="AV341" i="1"/>
  <c r="AV340" i="1"/>
  <c r="AV339" i="1"/>
  <c r="AV338" i="1"/>
  <c r="AW338" i="1" s="1"/>
  <c r="AV337" i="1"/>
  <c r="AW337" i="1" s="1"/>
  <c r="AV336" i="1"/>
  <c r="AW336" i="1" s="1"/>
  <c r="AV335" i="1"/>
  <c r="AW335" i="1" s="1"/>
  <c r="AV334" i="1"/>
  <c r="AW334" i="1" s="1"/>
  <c r="AV333" i="1"/>
  <c r="AW333" i="1" s="1"/>
  <c r="AV332" i="1"/>
  <c r="AW332" i="1" s="1"/>
  <c r="AV362" i="1" l="1"/>
  <c r="AW362" i="1" s="1"/>
  <c r="AW339" i="1"/>
  <c r="AW343" i="1"/>
  <c r="AW342" i="1"/>
  <c r="AW341" i="1"/>
  <c r="AW345" i="1"/>
  <c r="AW340" i="1"/>
  <c r="AW344" i="1"/>
  <c r="AW331" i="1"/>
  <c r="AQ356" i="1"/>
  <c r="AQ358" i="1"/>
  <c r="AQ359" i="1"/>
  <c r="AR359" i="1" s="1"/>
  <c r="AQ360" i="1"/>
  <c r="AR360" i="1" s="1"/>
  <c r="AQ361" i="1"/>
  <c r="AR361" i="1" s="1"/>
  <c r="AQ331" i="1" l="1"/>
  <c r="AR331" i="1" s="1"/>
  <c r="AR358" i="1"/>
  <c r="AQ357" i="1"/>
  <c r="AR356" i="1"/>
  <c r="AQ355" i="1"/>
  <c r="AR355" i="1" s="1"/>
  <c r="AQ354" i="1"/>
  <c r="AR354" i="1" s="1"/>
  <c r="AQ353" i="1"/>
  <c r="AR353" i="1" s="1"/>
  <c r="AQ352" i="1"/>
  <c r="AR352" i="1" s="1"/>
  <c r="AQ351" i="1"/>
  <c r="AR351" i="1" s="1"/>
  <c r="AQ350" i="1"/>
  <c r="AR350" i="1" s="1"/>
  <c r="AQ349" i="1"/>
  <c r="AR349" i="1" s="1"/>
  <c r="AQ348" i="1"/>
  <c r="AR348" i="1" s="1"/>
  <c r="AQ347" i="1"/>
  <c r="AR347" i="1" s="1"/>
  <c r="AQ346" i="1"/>
  <c r="AR346" i="1" s="1"/>
  <c r="AQ345" i="1"/>
  <c r="AR345" i="1" s="1"/>
  <c r="AQ344" i="1"/>
  <c r="AR344" i="1" s="1"/>
  <c r="AQ343" i="1"/>
  <c r="AR343" i="1" s="1"/>
  <c r="AQ342" i="1"/>
  <c r="AR342" i="1" s="1"/>
  <c r="AQ341" i="1"/>
  <c r="AR341" i="1" s="1"/>
  <c r="AQ340" i="1"/>
  <c r="AR340" i="1" s="1"/>
  <c r="AQ339" i="1"/>
  <c r="AR339" i="1" s="1"/>
  <c r="AQ338" i="1"/>
  <c r="AR338" i="1" s="1"/>
  <c r="AQ337" i="1"/>
  <c r="AR337" i="1" s="1"/>
  <c r="AQ336" i="1"/>
  <c r="AR336" i="1" s="1"/>
  <c r="AQ335" i="1"/>
  <c r="AR335" i="1" s="1"/>
  <c r="AQ334" i="1"/>
  <c r="AR334" i="1" s="1"/>
  <c r="AQ333" i="1"/>
  <c r="AR333" i="1" s="1"/>
  <c r="AQ332" i="1"/>
  <c r="AR332" i="1" s="1"/>
  <c r="AR357" i="1" l="1"/>
  <c r="AQ362" i="1"/>
  <c r="AR362" i="1" s="1"/>
  <c r="AL332" i="1"/>
  <c r="AL331" i="1"/>
  <c r="AL358" i="1"/>
  <c r="AM358" i="1" s="1"/>
  <c r="AL357" i="1"/>
  <c r="AM357" i="1" s="1"/>
  <c r="AL356" i="1"/>
  <c r="AM356" i="1" s="1"/>
  <c r="AL355" i="1"/>
  <c r="AM355" i="1" s="1"/>
  <c r="AL354" i="1"/>
  <c r="AM354" i="1" s="1"/>
  <c r="AL353" i="1"/>
  <c r="AM353" i="1" s="1"/>
  <c r="AL352" i="1"/>
  <c r="AM352" i="1" s="1"/>
  <c r="AL351" i="1"/>
  <c r="AM351" i="1" s="1"/>
  <c r="AL350" i="1"/>
  <c r="AM350" i="1" s="1"/>
  <c r="AL349" i="1"/>
  <c r="AM349" i="1" s="1"/>
  <c r="AL348" i="1"/>
  <c r="AM348" i="1" s="1"/>
  <c r="AL347" i="1"/>
  <c r="AM347" i="1" s="1"/>
  <c r="AL346" i="1"/>
  <c r="AM346" i="1" s="1"/>
  <c r="AL345" i="1"/>
  <c r="AM345" i="1" s="1"/>
  <c r="AL344" i="1"/>
  <c r="AM344" i="1" s="1"/>
  <c r="AL343" i="1"/>
  <c r="AM343" i="1" s="1"/>
  <c r="AL342" i="1"/>
  <c r="AM342" i="1" s="1"/>
  <c r="AL341" i="1"/>
  <c r="AM341" i="1" s="1"/>
  <c r="AL340" i="1"/>
  <c r="AM340" i="1" s="1"/>
  <c r="AL339" i="1"/>
  <c r="AM339" i="1" s="1"/>
  <c r="AL338" i="1"/>
  <c r="AM338" i="1" s="1"/>
  <c r="AL337" i="1"/>
  <c r="AM337" i="1" s="1"/>
  <c r="AL336" i="1"/>
  <c r="AM336" i="1" s="1"/>
  <c r="AL335" i="1"/>
  <c r="AM335" i="1" s="1"/>
  <c r="AL334" i="1"/>
  <c r="AM334" i="1" s="1"/>
  <c r="AL333" i="1"/>
  <c r="AM333" i="1" s="1"/>
  <c r="AM332" i="1"/>
  <c r="AM331" i="1" l="1"/>
  <c r="AL362" i="1"/>
  <c r="AM362" i="1" s="1"/>
  <c r="AG331" i="1" l="1"/>
  <c r="AG332" i="1"/>
  <c r="AH332" i="1" s="1"/>
  <c r="AG361" i="1"/>
  <c r="AH361" i="1" s="1"/>
  <c r="AG360" i="1"/>
  <c r="AH360" i="1" s="1"/>
  <c r="AG359" i="1"/>
  <c r="AH359" i="1" s="1"/>
  <c r="AG358" i="1"/>
  <c r="AH358" i="1" s="1"/>
  <c r="AG357" i="1"/>
  <c r="AH357" i="1" s="1"/>
  <c r="AG356" i="1"/>
  <c r="AH356" i="1" s="1"/>
  <c r="AG355" i="1"/>
  <c r="AH355" i="1" s="1"/>
  <c r="AG354" i="1"/>
  <c r="AH354" i="1" s="1"/>
  <c r="AG353" i="1"/>
  <c r="AH353" i="1" s="1"/>
  <c r="AG352" i="1"/>
  <c r="AH352" i="1" s="1"/>
  <c r="AG351" i="1"/>
  <c r="AH351" i="1" s="1"/>
  <c r="AG350" i="1"/>
  <c r="AH350" i="1" s="1"/>
  <c r="AG349" i="1"/>
  <c r="AH349" i="1" s="1"/>
  <c r="AG348" i="1"/>
  <c r="AH348" i="1" s="1"/>
  <c r="AG347" i="1"/>
  <c r="AH347" i="1" s="1"/>
  <c r="AG346" i="1"/>
  <c r="AH346" i="1" s="1"/>
  <c r="AG345" i="1"/>
  <c r="AH345" i="1" s="1"/>
  <c r="AG344" i="1"/>
  <c r="AH344" i="1" s="1"/>
  <c r="AG343" i="1"/>
  <c r="AH343" i="1" s="1"/>
  <c r="AG342" i="1"/>
  <c r="AH342" i="1" s="1"/>
  <c r="AG341" i="1"/>
  <c r="AH341" i="1" s="1"/>
  <c r="AG340" i="1"/>
  <c r="AH340" i="1" s="1"/>
  <c r="AG339" i="1"/>
  <c r="AH339" i="1" s="1"/>
  <c r="AG338" i="1"/>
  <c r="AH338" i="1" s="1"/>
  <c r="AG337" i="1"/>
  <c r="AH337" i="1" s="1"/>
  <c r="AG336" i="1"/>
  <c r="AH336" i="1" s="1"/>
  <c r="AG335" i="1"/>
  <c r="AH335" i="1" s="1"/>
  <c r="AG334" i="1"/>
  <c r="AH334" i="1" s="1"/>
  <c r="AG333" i="1"/>
  <c r="AH333" i="1" s="1"/>
  <c r="C3" i="1"/>
  <c r="AG362" i="1" l="1"/>
  <c r="AH362" i="1" s="1"/>
  <c r="AH331" i="1"/>
  <c r="W360" i="1"/>
  <c r="AB333" i="1"/>
  <c r="AC333" i="1" s="1"/>
  <c r="AB332" i="1"/>
  <c r="AC332" i="1" s="1"/>
  <c r="AA331" i="1"/>
  <c r="AB331" i="1" s="1"/>
  <c r="AB361" i="1"/>
  <c r="AC361" i="1" s="1"/>
  <c r="AB360" i="1"/>
  <c r="AC360" i="1" s="1"/>
  <c r="AB359" i="1"/>
  <c r="AC359" i="1" s="1"/>
  <c r="AB358" i="1"/>
  <c r="AC358" i="1" s="1"/>
  <c r="AB357" i="1"/>
  <c r="AC357" i="1" s="1"/>
  <c r="AB356" i="1"/>
  <c r="AC356" i="1" s="1"/>
  <c r="AB355" i="1"/>
  <c r="AC355" i="1" s="1"/>
  <c r="AB354" i="1"/>
  <c r="AC354" i="1" s="1"/>
  <c r="AB353" i="1"/>
  <c r="AC353" i="1" s="1"/>
  <c r="AB352" i="1"/>
  <c r="AC352" i="1" s="1"/>
  <c r="AB351" i="1"/>
  <c r="AC351" i="1" s="1"/>
  <c r="AB350" i="1"/>
  <c r="AC350" i="1" s="1"/>
  <c r="AB349" i="1"/>
  <c r="AC349" i="1" s="1"/>
  <c r="AB348" i="1"/>
  <c r="AC348" i="1" s="1"/>
  <c r="AB347" i="1"/>
  <c r="AC347" i="1" s="1"/>
  <c r="AB346" i="1"/>
  <c r="AC346" i="1" s="1"/>
  <c r="AB345" i="1"/>
  <c r="AC345" i="1" s="1"/>
  <c r="AB344" i="1"/>
  <c r="AC344" i="1" s="1"/>
  <c r="AB343" i="1"/>
  <c r="AC343" i="1" s="1"/>
  <c r="AB342" i="1"/>
  <c r="AC342" i="1" s="1"/>
  <c r="AB341" i="1"/>
  <c r="AC341" i="1" s="1"/>
  <c r="AB340" i="1"/>
  <c r="AC340" i="1" s="1"/>
  <c r="AB339" i="1"/>
  <c r="AC339" i="1" s="1"/>
  <c r="AB338" i="1"/>
  <c r="AC338" i="1" s="1"/>
  <c r="AB337" i="1"/>
  <c r="AC337" i="1" s="1"/>
  <c r="AB336" i="1"/>
  <c r="AC336" i="1" s="1"/>
  <c r="AB335" i="1"/>
  <c r="AC335" i="1" s="1"/>
  <c r="AB334" i="1"/>
  <c r="AC334" i="1" s="1"/>
  <c r="W331" i="1"/>
  <c r="X360" i="1"/>
  <c r="W359" i="1"/>
  <c r="X359" i="1" s="1"/>
  <c r="W358" i="1"/>
  <c r="X358" i="1" s="1"/>
  <c r="W357" i="1"/>
  <c r="X357" i="1" s="1"/>
  <c r="W356" i="1"/>
  <c r="X356" i="1" s="1"/>
  <c r="W355" i="1"/>
  <c r="X355" i="1" s="1"/>
  <c r="W354" i="1"/>
  <c r="X354" i="1" s="1"/>
  <c r="W353" i="1"/>
  <c r="X353" i="1" s="1"/>
  <c r="W352" i="1"/>
  <c r="X352" i="1" s="1"/>
  <c r="W351" i="1"/>
  <c r="X351" i="1" s="1"/>
  <c r="W350" i="1"/>
  <c r="X350" i="1" s="1"/>
  <c r="W349" i="1"/>
  <c r="X349" i="1" s="1"/>
  <c r="W348" i="1"/>
  <c r="X348" i="1" s="1"/>
  <c r="W347" i="1"/>
  <c r="X347" i="1" s="1"/>
  <c r="W346" i="1"/>
  <c r="X346" i="1" s="1"/>
  <c r="W345" i="1"/>
  <c r="X345" i="1" s="1"/>
  <c r="W344" i="1"/>
  <c r="X344" i="1" s="1"/>
  <c r="W343" i="1"/>
  <c r="X343" i="1" s="1"/>
  <c r="W342" i="1"/>
  <c r="X342" i="1" s="1"/>
  <c r="W341" i="1"/>
  <c r="X341" i="1" s="1"/>
  <c r="W340" i="1"/>
  <c r="X340" i="1" s="1"/>
  <c r="W339" i="1"/>
  <c r="X339" i="1" s="1"/>
  <c r="W338" i="1"/>
  <c r="X338" i="1" s="1"/>
  <c r="W337" i="1"/>
  <c r="X337" i="1" s="1"/>
  <c r="W336" i="1"/>
  <c r="X336" i="1" s="1"/>
  <c r="W335" i="1"/>
  <c r="X335" i="1" s="1"/>
  <c r="W334" i="1"/>
  <c r="X334" i="1" s="1"/>
  <c r="W333" i="1"/>
  <c r="X333" i="1" s="1"/>
  <c r="W332" i="1"/>
  <c r="X332" i="1" s="1"/>
  <c r="R332" i="1"/>
  <c r="S332" i="1" s="1"/>
  <c r="R331" i="1"/>
  <c r="R361" i="1"/>
  <c r="S361" i="1" s="1"/>
  <c r="R360" i="1"/>
  <c r="S360" i="1" s="1"/>
  <c r="R359" i="1"/>
  <c r="S359" i="1" s="1"/>
  <c r="R358" i="1"/>
  <c r="S358" i="1" s="1"/>
  <c r="R357" i="1"/>
  <c r="S357" i="1" s="1"/>
  <c r="R356" i="1"/>
  <c r="S356" i="1" s="1"/>
  <c r="R355" i="1"/>
  <c r="S355" i="1" s="1"/>
  <c r="R354" i="1"/>
  <c r="S354" i="1" s="1"/>
  <c r="R353" i="1"/>
  <c r="S353" i="1" s="1"/>
  <c r="R352" i="1"/>
  <c r="S352" i="1" s="1"/>
  <c r="R351" i="1"/>
  <c r="S351" i="1" s="1"/>
  <c r="R350" i="1"/>
  <c r="S350" i="1" s="1"/>
  <c r="R349" i="1"/>
  <c r="S349" i="1" s="1"/>
  <c r="R348" i="1"/>
  <c r="S348" i="1" s="1"/>
  <c r="R347" i="1"/>
  <c r="S347" i="1" s="1"/>
  <c r="R346" i="1"/>
  <c r="S346" i="1" s="1"/>
  <c r="R345" i="1"/>
  <c r="S345" i="1" s="1"/>
  <c r="R344" i="1"/>
  <c r="S344" i="1" s="1"/>
  <c r="R343" i="1"/>
  <c r="S343" i="1" s="1"/>
  <c r="R342" i="1"/>
  <c r="S342" i="1" s="1"/>
  <c r="R341" i="1"/>
  <c r="S341" i="1" s="1"/>
  <c r="R340" i="1"/>
  <c r="S340" i="1" s="1"/>
  <c r="R339" i="1"/>
  <c r="S339" i="1" s="1"/>
  <c r="R338" i="1"/>
  <c r="S338" i="1" s="1"/>
  <c r="R337" i="1"/>
  <c r="S337" i="1" s="1"/>
  <c r="R336" i="1"/>
  <c r="S336" i="1" s="1"/>
  <c r="R335" i="1"/>
  <c r="S335" i="1" s="1"/>
  <c r="R334" i="1"/>
  <c r="S334" i="1" s="1"/>
  <c r="R333" i="1"/>
  <c r="S333" i="1" s="1"/>
  <c r="W362" i="1" l="1"/>
  <c r="X362" i="1" s="1"/>
  <c r="AC331" i="1"/>
  <c r="X331" i="1"/>
  <c r="R362" i="1"/>
  <c r="S362" i="1" s="1"/>
  <c r="S331" i="1"/>
  <c r="M331" i="1"/>
  <c r="M360" i="1"/>
  <c r="N360" i="1" s="1"/>
  <c r="M359" i="1"/>
  <c r="N359" i="1" s="1"/>
  <c r="M358" i="1"/>
  <c r="N358" i="1" s="1"/>
  <c r="M357" i="1"/>
  <c r="N357" i="1" s="1"/>
  <c r="M356" i="1"/>
  <c r="N356" i="1" s="1"/>
  <c r="M355" i="1"/>
  <c r="N355" i="1" s="1"/>
  <c r="M354" i="1"/>
  <c r="N354" i="1" s="1"/>
  <c r="M353" i="1"/>
  <c r="N353" i="1" s="1"/>
  <c r="M352" i="1"/>
  <c r="N352" i="1" s="1"/>
  <c r="M351" i="1"/>
  <c r="N351" i="1" s="1"/>
  <c r="M350" i="1"/>
  <c r="N350" i="1" s="1"/>
  <c r="M349" i="1"/>
  <c r="N349" i="1" s="1"/>
  <c r="M348" i="1"/>
  <c r="N348" i="1" s="1"/>
  <c r="M347" i="1"/>
  <c r="N347" i="1" s="1"/>
  <c r="M346" i="1"/>
  <c r="N346" i="1" s="1"/>
  <c r="M345" i="1"/>
  <c r="N345" i="1" s="1"/>
  <c r="M344" i="1"/>
  <c r="N344" i="1" s="1"/>
  <c r="M343" i="1"/>
  <c r="N343" i="1" s="1"/>
  <c r="M342" i="1"/>
  <c r="N342" i="1" s="1"/>
  <c r="M341" i="1"/>
  <c r="N341" i="1" s="1"/>
  <c r="M340" i="1"/>
  <c r="N340" i="1" s="1"/>
  <c r="M339" i="1"/>
  <c r="N339" i="1" s="1"/>
  <c r="M338" i="1"/>
  <c r="N338" i="1" s="1"/>
  <c r="M337" i="1"/>
  <c r="N337" i="1" s="1"/>
  <c r="M336" i="1"/>
  <c r="N336" i="1" s="1"/>
  <c r="M335" i="1"/>
  <c r="N335" i="1" s="1"/>
  <c r="M334" i="1"/>
  <c r="N334" i="1" s="1"/>
  <c r="M333" i="1"/>
  <c r="N333" i="1" s="1"/>
  <c r="M332" i="1"/>
  <c r="N332" i="1" s="1"/>
  <c r="H357" i="1"/>
  <c r="I359" i="1" s="1"/>
  <c r="H329" i="1"/>
  <c r="I331" i="1" s="1"/>
  <c r="H359" i="1"/>
  <c r="I361" i="1" s="1"/>
  <c r="H358" i="1"/>
  <c r="I360" i="1" s="1"/>
  <c r="H356" i="1"/>
  <c r="I358" i="1" s="1"/>
  <c r="H351" i="1"/>
  <c r="I353" i="1" s="1"/>
  <c r="H350" i="1"/>
  <c r="I352" i="1" s="1"/>
  <c r="H349" i="1"/>
  <c r="I351" i="1" s="1"/>
  <c r="H348" i="1"/>
  <c r="I350" i="1" s="1"/>
  <c r="H347" i="1"/>
  <c r="I349" i="1" s="1"/>
  <c r="H346" i="1"/>
  <c r="I348" i="1" s="1"/>
  <c r="H345" i="1"/>
  <c r="I347" i="1" s="1"/>
  <c r="H344" i="1"/>
  <c r="I346" i="1" s="1"/>
  <c r="H343" i="1"/>
  <c r="I345" i="1" s="1"/>
  <c r="H342" i="1"/>
  <c r="I344" i="1" s="1"/>
  <c r="H341" i="1"/>
  <c r="I343" i="1" s="1"/>
  <c r="H340" i="1"/>
  <c r="I342" i="1" s="1"/>
  <c r="H339" i="1"/>
  <c r="I341" i="1" s="1"/>
  <c r="H338" i="1"/>
  <c r="I340" i="1" s="1"/>
  <c r="H337" i="1"/>
  <c r="I339" i="1" s="1"/>
  <c r="H336" i="1"/>
  <c r="I338" i="1" s="1"/>
  <c r="H335" i="1"/>
  <c r="I337" i="1" s="1"/>
  <c r="H334" i="1"/>
  <c r="I336" i="1" s="1"/>
  <c r="H333" i="1"/>
  <c r="I335" i="1" s="1"/>
  <c r="H332" i="1"/>
  <c r="I334" i="1" s="1"/>
  <c r="H331" i="1"/>
  <c r="I333" i="1" s="1"/>
  <c r="H330" i="1"/>
  <c r="I332" i="1" s="1"/>
  <c r="C337" i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36" i="1"/>
  <c r="D336" i="1" s="1"/>
  <c r="C333" i="1"/>
  <c r="D333" i="1" s="1"/>
  <c r="C334" i="1"/>
  <c r="D334" i="1" s="1"/>
  <c r="C335" i="1"/>
  <c r="D335" i="1" s="1"/>
  <c r="C332" i="1"/>
  <c r="D332" i="1" s="1"/>
  <c r="C321" i="1"/>
  <c r="C331" i="1"/>
  <c r="D331" i="1" s="1"/>
  <c r="D337" i="1"/>
  <c r="AB362" i="1" l="1"/>
  <c r="AC362" i="1" s="1"/>
  <c r="M362" i="1"/>
  <c r="N362" i="1" s="1"/>
  <c r="N331" i="1"/>
  <c r="H354" i="1"/>
  <c r="I356" i="1" s="1"/>
  <c r="H355" i="1"/>
  <c r="I357" i="1" s="1"/>
  <c r="H353" i="1"/>
  <c r="I355" i="1" s="1"/>
  <c r="H352" i="1"/>
  <c r="C362" i="1"/>
  <c r="D362" i="1" s="1"/>
  <c r="I354" i="1" l="1"/>
  <c r="H360" i="1"/>
  <c r="I362" i="1" s="1"/>
  <c r="C294" i="1" l="1"/>
  <c r="D294" i="1" s="1"/>
  <c r="D324" i="1"/>
  <c r="C323" i="1"/>
  <c r="D323" i="1" s="1"/>
  <c r="C322" i="1"/>
  <c r="D322" i="1" s="1"/>
  <c r="D321" i="1"/>
  <c r="C320" i="1"/>
  <c r="D320" i="1" s="1"/>
  <c r="C319" i="1"/>
  <c r="D319" i="1" s="1"/>
  <c r="C318" i="1"/>
  <c r="D318" i="1" s="1"/>
  <c r="C317" i="1"/>
  <c r="D317" i="1" s="1"/>
  <c r="C316" i="1"/>
  <c r="D316" i="1" s="1"/>
  <c r="C315" i="1"/>
  <c r="D315" i="1" s="1"/>
  <c r="C314" i="1"/>
  <c r="D314" i="1" s="1"/>
  <c r="C313" i="1"/>
  <c r="D313" i="1" s="1"/>
  <c r="C312" i="1"/>
  <c r="D312" i="1" s="1"/>
  <c r="C311" i="1"/>
  <c r="D311" i="1" s="1"/>
  <c r="C310" i="1"/>
  <c r="D310" i="1" s="1"/>
  <c r="C309" i="1"/>
  <c r="D309" i="1" s="1"/>
  <c r="C308" i="1"/>
  <c r="D308" i="1" s="1"/>
  <c r="C307" i="1"/>
  <c r="D307" i="1" s="1"/>
  <c r="C306" i="1"/>
  <c r="D306" i="1" s="1"/>
  <c r="C305" i="1"/>
  <c r="D305" i="1" s="1"/>
  <c r="C304" i="1"/>
  <c r="D304" i="1" s="1"/>
  <c r="C303" i="1"/>
  <c r="D303" i="1" s="1"/>
  <c r="C302" i="1"/>
  <c r="D302" i="1" s="1"/>
  <c r="C301" i="1"/>
  <c r="C300" i="1"/>
  <c r="D300" i="1" s="1"/>
  <c r="C299" i="1"/>
  <c r="D299" i="1" s="1"/>
  <c r="C298" i="1"/>
  <c r="D298" i="1" s="1"/>
  <c r="C297" i="1"/>
  <c r="D297" i="1" s="1"/>
  <c r="C296" i="1"/>
  <c r="D296" i="1" s="1"/>
  <c r="C295" i="1"/>
  <c r="D295" i="1" s="1"/>
  <c r="C286" i="1"/>
  <c r="C285" i="1"/>
  <c r="H223" i="1"/>
  <c r="H222" i="1"/>
  <c r="H221" i="1"/>
  <c r="H220" i="1"/>
  <c r="H219" i="1"/>
  <c r="C263" i="1"/>
  <c r="D301" i="1" l="1"/>
  <c r="C325" i="1"/>
  <c r="D325" i="1" s="1"/>
  <c r="C256" i="1"/>
  <c r="D256" i="1" s="1"/>
  <c r="D285" i="1"/>
  <c r="C284" i="1"/>
  <c r="D284" i="1" s="1"/>
  <c r="C283" i="1"/>
  <c r="D283" i="1" s="1"/>
  <c r="C282" i="1"/>
  <c r="D282" i="1" s="1"/>
  <c r="C281" i="1"/>
  <c r="D281" i="1" s="1"/>
  <c r="C280" i="1"/>
  <c r="D280" i="1" s="1"/>
  <c r="C279" i="1"/>
  <c r="D279" i="1" s="1"/>
  <c r="C278" i="1"/>
  <c r="D278" i="1" s="1"/>
  <c r="C277" i="1"/>
  <c r="D277" i="1" s="1"/>
  <c r="C276" i="1"/>
  <c r="D276" i="1" s="1"/>
  <c r="C275" i="1"/>
  <c r="D275" i="1" s="1"/>
  <c r="C274" i="1"/>
  <c r="D274" i="1" s="1"/>
  <c r="C273" i="1"/>
  <c r="D273" i="1" s="1"/>
  <c r="C272" i="1"/>
  <c r="D272" i="1" s="1"/>
  <c r="C271" i="1"/>
  <c r="D271" i="1" s="1"/>
  <c r="C270" i="1"/>
  <c r="D270" i="1" s="1"/>
  <c r="C269" i="1"/>
  <c r="D269" i="1" s="1"/>
  <c r="C268" i="1"/>
  <c r="D268" i="1" s="1"/>
  <c r="C267" i="1"/>
  <c r="D267" i="1" s="1"/>
  <c r="C266" i="1"/>
  <c r="D266" i="1" s="1"/>
  <c r="C265" i="1"/>
  <c r="D265" i="1" s="1"/>
  <c r="C264" i="1"/>
  <c r="D264" i="1" s="1"/>
  <c r="D263" i="1"/>
  <c r="C262" i="1"/>
  <c r="D262" i="1" s="1"/>
  <c r="C261" i="1"/>
  <c r="D261" i="1" s="1"/>
  <c r="C260" i="1"/>
  <c r="D260" i="1" s="1"/>
  <c r="C259" i="1"/>
  <c r="D259" i="1" s="1"/>
  <c r="C258" i="1"/>
  <c r="D258" i="1" s="1"/>
  <c r="C257" i="1"/>
  <c r="D257" i="1" s="1"/>
  <c r="D286" i="1" l="1"/>
  <c r="C287" i="1" l="1"/>
  <c r="D287" i="1" s="1"/>
  <c r="C220" i="1" l="1"/>
  <c r="C219" i="1"/>
  <c r="D219" i="1" s="1"/>
  <c r="C218" i="1"/>
  <c r="C182" i="1"/>
  <c r="C248" i="1"/>
  <c r="D248" i="1" s="1"/>
  <c r="C247" i="1"/>
  <c r="D247" i="1" s="1"/>
  <c r="C246" i="1"/>
  <c r="D246" i="1" s="1"/>
  <c r="C245" i="1"/>
  <c r="D245" i="1" s="1"/>
  <c r="C244" i="1"/>
  <c r="D244" i="1" s="1"/>
  <c r="C242" i="1"/>
  <c r="D242" i="1" s="1"/>
  <c r="C241" i="1"/>
  <c r="D241" i="1" s="1"/>
  <c r="C240" i="1"/>
  <c r="D240" i="1" s="1"/>
  <c r="C239" i="1"/>
  <c r="D239" i="1" s="1"/>
  <c r="C238" i="1"/>
  <c r="D238" i="1" s="1"/>
  <c r="C237" i="1"/>
  <c r="C236" i="1"/>
  <c r="D236" i="1" s="1"/>
  <c r="C235" i="1"/>
  <c r="D235" i="1" s="1"/>
  <c r="C234" i="1"/>
  <c r="D234" i="1" s="1"/>
  <c r="C233" i="1"/>
  <c r="D233" i="1" s="1"/>
  <c r="C232" i="1"/>
  <c r="D232" i="1" s="1"/>
  <c r="C231" i="1"/>
  <c r="D231" i="1" s="1"/>
  <c r="C230" i="1"/>
  <c r="D230" i="1" s="1"/>
  <c r="C229" i="1"/>
  <c r="D229" i="1" s="1"/>
  <c r="C228" i="1"/>
  <c r="D228" i="1" s="1"/>
  <c r="C227" i="1"/>
  <c r="D227" i="1" s="1"/>
  <c r="C226" i="1"/>
  <c r="C225" i="1"/>
  <c r="C224" i="1"/>
  <c r="C223" i="1"/>
  <c r="C222" i="1"/>
  <c r="C221" i="1"/>
  <c r="D237" i="1" l="1"/>
  <c r="C249" i="1"/>
  <c r="D249" i="1" s="1"/>
  <c r="D221" i="1"/>
  <c r="D225" i="1"/>
  <c r="D224" i="1"/>
  <c r="D223" i="1"/>
  <c r="D222" i="1"/>
  <c r="D220" i="1"/>
  <c r="D226" i="1"/>
  <c r="C212" i="1"/>
  <c r="C211" i="1"/>
  <c r="D211" i="1" s="1"/>
  <c r="C210" i="1"/>
  <c r="D210" i="1" s="1"/>
  <c r="D212" i="1" l="1"/>
  <c r="H166" i="1" l="1"/>
  <c r="H162" i="1" l="1"/>
  <c r="H163" i="1" l="1"/>
  <c r="H164" i="1" l="1"/>
  <c r="H165" i="1" l="1"/>
  <c r="H161" i="1" l="1"/>
  <c r="H160" i="1"/>
  <c r="G162" i="1" l="1"/>
  <c r="C148" i="1"/>
  <c r="C191" i="1"/>
  <c r="D191" i="1" s="1"/>
  <c r="C209" i="1"/>
  <c r="D209" i="1" s="1"/>
  <c r="C208" i="1"/>
  <c r="D208" i="1" s="1"/>
  <c r="C207" i="1"/>
  <c r="C206" i="1"/>
  <c r="C205" i="1"/>
  <c r="C204" i="1"/>
  <c r="C203" i="1"/>
  <c r="C202" i="1"/>
  <c r="C201" i="1"/>
  <c r="C200" i="1"/>
  <c r="D200" i="1" s="1"/>
  <c r="C199" i="1"/>
  <c r="D199" i="1" s="1"/>
  <c r="C198" i="1"/>
  <c r="D198" i="1" s="1"/>
  <c r="C197" i="1"/>
  <c r="D197" i="1" s="1"/>
  <c r="C196" i="1"/>
  <c r="D196" i="1" s="1"/>
  <c r="C195" i="1"/>
  <c r="D195" i="1" s="1"/>
  <c r="C194" i="1"/>
  <c r="D194" i="1" s="1"/>
  <c r="C193" i="1"/>
  <c r="D193" i="1" s="1"/>
  <c r="C192" i="1"/>
  <c r="D192" i="1" s="1"/>
  <c r="C190" i="1"/>
  <c r="D190" i="1" s="1"/>
  <c r="C189" i="1"/>
  <c r="D189" i="1" s="1"/>
  <c r="C188" i="1"/>
  <c r="D188" i="1" s="1"/>
  <c r="C187" i="1"/>
  <c r="D187" i="1" s="1"/>
  <c r="C186" i="1"/>
  <c r="G166" i="1" s="1"/>
  <c r="C185" i="1"/>
  <c r="D185" i="1" s="1"/>
  <c r="C184" i="1"/>
  <c r="D184" i="1" s="1"/>
  <c r="C183" i="1"/>
  <c r="D182" i="1"/>
  <c r="D201" i="1" l="1"/>
  <c r="D202" i="1"/>
  <c r="D206" i="1"/>
  <c r="D203" i="1"/>
  <c r="D207" i="1"/>
  <c r="D205" i="1"/>
  <c r="G163" i="1"/>
  <c r="C213" i="1"/>
  <c r="D213" i="1" s="1"/>
  <c r="D186" i="1"/>
  <c r="D204" i="1"/>
  <c r="D183" i="1"/>
  <c r="G164" i="1"/>
  <c r="G165" i="1"/>
  <c r="C158" i="1" l="1"/>
  <c r="C157" i="1"/>
  <c r="G150" i="1" l="1"/>
  <c r="H155" i="1"/>
  <c r="C112" i="1"/>
  <c r="C175" i="1"/>
  <c r="C174" i="1"/>
  <c r="C173" i="1"/>
  <c r="D173" i="1" s="1"/>
  <c r="C172" i="1"/>
  <c r="D172" i="1" s="1"/>
  <c r="C171" i="1"/>
  <c r="D171" i="1" s="1"/>
  <c r="C170" i="1"/>
  <c r="D170" i="1" s="1"/>
  <c r="C169" i="1"/>
  <c r="D169" i="1" s="1"/>
  <c r="C168" i="1"/>
  <c r="D168" i="1" s="1"/>
  <c r="C167" i="1"/>
  <c r="D167" i="1" s="1"/>
  <c r="C166" i="1"/>
  <c r="D166" i="1" s="1"/>
  <c r="C165" i="1"/>
  <c r="D165" i="1" s="1"/>
  <c r="C164" i="1"/>
  <c r="D164" i="1" s="1"/>
  <c r="C163" i="1"/>
  <c r="D163" i="1" s="1"/>
  <c r="C162" i="1"/>
  <c r="D162" i="1" s="1"/>
  <c r="C161" i="1"/>
  <c r="D161" i="1" s="1"/>
  <c r="C160" i="1"/>
  <c r="D160" i="1" s="1"/>
  <c r="C159" i="1"/>
  <c r="D158" i="1"/>
  <c r="D157" i="1"/>
  <c r="C156" i="1"/>
  <c r="D156" i="1" s="1"/>
  <c r="C155" i="1"/>
  <c r="D155" i="1" s="1"/>
  <c r="C154" i="1"/>
  <c r="D154" i="1" s="1"/>
  <c r="C153" i="1"/>
  <c r="D153" i="1" s="1"/>
  <c r="C152" i="1"/>
  <c r="D152" i="1" s="1"/>
  <c r="C151" i="1"/>
  <c r="D151" i="1" s="1"/>
  <c r="C150" i="1"/>
  <c r="D150" i="1" s="1"/>
  <c r="C149" i="1"/>
  <c r="D148" i="1"/>
  <c r="G152" i="1" l="1"/>
  <c r="D149" i="1"/>
  <c r="C176" i="1"/>
  <c r="D174" i="1"/>
  <c r="G160" i="1"/>
  <c r="G151" i="1"/>
  <c r="D175" i="1"/>
  <c r="G161" i="1"/>
  <c r="G153" i="1"/>
  <c r="D159" i="1"/>
  <c r="G154" i="1"/>
  <c r="G136" i="1"/>
  <c r="G135" i="1"/>
  <c r="G134" i="1"/>
  <c r="G133" i="1"/>
  <c r="G132" i="1"/>
  <c r="G131" i="1"/>
  <c r="G130" i="1"/>
  <c r="G167" i="1" l="1"/>
  <c r="G137" i="1"/>
  <c r="G89" i="1" l="1"/>
  <c r="G88" i="1"/>
  <c r="G87" i="1"/>
  <c r="G86" i="1"/>
  <c r="G85" i="1"/>
  <c r="G84" i="1"/>
  <c r="C113" i="1"/>
  <c r="C76" i="1"/>
  <c r="C142" i="1"/>
  <c r="C141" i="1"/>
  <c r="C140" i="1"/>
  <c r="C139" i="1"/>
  <c r="C138" i="1"/>
  <c r="C137" i="1"/>
  <c r="C136" i="1"/>
  <c r="C135" i="1"/>
  <c r="C134" i="1"/>
  <c r="C133" i="1"/>
  <c r="D133" i="1" s="1"/>
  <c r="C132" i="1"/>
  <c r="D132" i="1" s="1"/>
  <c r="C131" i="1"/>
  <c r="D131" i="1" s="1"/>
  <c r="C130" i="1"/>
  <c r="D130" i="1" s="1"/>
  <c r="C129" i="1"/>
  <c r="D129" i="1" s="1"/>
  <c r="C128" i="1"/>
  <c r="D128" i="1" s="1"/>
  <c r="C127" i="1"/>
  <c r="D127" i="1" s="1"/>
  <c r="C126" i="1"/>
  <c r="D126" i="1" s="1"/>
  <c r="C125" i="1"/>
  <c r="D125" i="1" s="1"/>
  <c r="C124" i="1"/>
  <c r="D124" i="1" s="1"/>
  <c r="C123" i="1"/>
  <c r="D123" i="1" s="1"/>
  <c r="C122" i="1"/>
  <c r="D122" i="1" s="1"/>
  <c r="C121" i="1"/>
  <c r="D121" i="1" s="1"/>
  <c r="C120" i="1"/>
  <c r="D120" i="1" s="1"/>
  <c r="C119" i="1"/>
  <c r="D119" i="1" s="1"/>
  <c r="C118" i="1"/>
  <c r="D118" i="1" s="1"/>
  <c r="C117" i="1"/>
  <c r="D117" i="1" s="1"/>
  <c r="C116" i="1"/>
  <c r="D116" i="1" s="1"/>
  <c r="C115" i="1"/>
  <c r="D115" i="1" s="1"/>
  <c r="C114" i="1"/>
  <c r="D114" i="1" s="1"/>
  <c r="D142" i="1" l="1"/>
  <c r="G149" i="1"/>
  <c r="D136" i="1"/>
  <c r="F132" i="1"/>
  <c r="D140" i="1"/>
  <c r="F136" i="1"/>
  <c r="D113" i="1"/>
  <c r="C143" i="1"/>
  <c r="D143" i="1" s="1"/>
  <c r="D135" i="1"/>
  <c r="F131" i="1"/>
  <c r="D137" i="1"/>
  <c r="F133" i="1"/>
  <c r="D141" i="1"/>
  <c r="G148" i="1"/>
  <c r="G155" i="1" s="1"/>
  <c r="D139" i="1"/>
  <c r="F135" i="1"/>
  <c r="D134" i="1"/>
  <c r="F130" i="1"/>
  <c r="D138" i="1"/>
  <c r="F134" i="1"/>
  <c r="D112" i="1"/>
  <c r="F137" i="1" l="1"/>
  <c r="C106" i="1"/>
  <c r="C105" i="1"/>
  <c r="F88" i="1" l="1"/>
  <c r="D105" i="1"/>
  <c r="F89" i="1"/>
  <c r="D106" i="1"/>
  <c r="G91" i="1"/>
  <c r="G74" i="1" l="1"/>
  <c r="F74" i="1"/>
  <c r="D76" i="1"/>
  <c r="C104" i="1"/>
  <c r="C103" i="1"/>
  <c r="C102" i="1"/>
  <c r="C101" i="1"/>
  <c r="C100" i="1"/>
  <c r="C99" i="1"/>
  <c r="C98" i="1"/>
  <c r="C97" i="1"/>
  <c r="C96" i="1"/>
  <c r="C95" i="1"/>
  <c r="C94" i="1"/>
  <c r="C93" i="1"/>
  <c r="D93" i="1" s="1"/>
  <c r="C92" i="1"/>
  <c r="D92" i="1" s="1"/>
  <c r="C91" i="1"/>
  <c r="D91" i="1" s="1"/>
  <c r="C90" i="1"/>
  <c r="D90" i="1" s="1"/>
  <c r="C89" i="1"/>
  <c r="D89" i="1" s="1"/>
  <c r="C88" i="1"/>
  <c r="D88" i="1" s="1"/>
  <c r="C87" i="1"/>
  <c r="D87" i="1" s="1"/>
  <c r="C86" i="1"/>
  <c r="D86" i="1" s="1"/>
  <c r="C85" i="1"/>
  <c r="D85" i="1" s="1"/>
  <c r="C84" i="1"/>
  <c r="D84" i="1" s="1"/>
  <c r="C83" i="1"/>
  <c r="D83" i="1" s="1"/>
  <c r="C82" i="1"/>
  <c r="D82" i="1" s="1"/>
  <c r="C81" i="1"/>
  <c r="D81" i="1" s="1"/>
  <c r="C80" i="1"/>
  <c r="D80" i="1" s="1"/>
  <c r="C79" i="1"/>
  <c r="D79" i="1" s="1"/>
  <c r="C78" i="1"/>
  <c r="D78" i="1" s="1"/>
  <c r="C77" i="1"/>
  <c r="D77" i="1" s="1"/>
  <c r="F86" i="1" l="1"/>
  <c r="D103" i="1"/>
  <c r="F87" i="1"/>
  <c r="D104" i="1"/>
  <c r="F84" i="1"/>
  <c r="D101" i="1"/>
  <c r="D102" i="1"/>
  <c r="F85" i="1"/>
  <c r="D95" i="1"/>
  <c r="D99" i="1"/>
  <c r="D97" i="1"/>
  <c r="D94" i="1"/>
  <c r="D98" i="1"/>
  <c r="D96" i="1"/>
  <c r="D100" i="1"/>
  <c r="C107" i="1"/>
  <c r="D107" i="1" s="1"/>
  <c r="H36" i="1"/>
  <c r="H35" i="1"/>
  <c r="H34" i="1"/>
  <c r="H33" i="1"/>
  <c r="H32" i="1"/>
  <c r="H31" i="1"/>
  <c r="H30" i="1"/>
  <c r="F64" i="1"/>
  <c r="F55" i="1"/>
  <c r="C70" i="1"/>
  <c r="D70" i="1" s="1"/>
  <c r="C69" i="1"/>
  <c r="D69" i="1" s="1"/>
  <c r="C68" i="1"/>
  <c r="D68" i="1" s="1"/>
  <c r="C67" i="1"/>
  <c r="G36" i="1" s="1"/>
  <c r="C66" i="1"/>
  <c r="D66" i="1" s="1"/>
  <c r="C65" i="1"/>
  <c r="D65" i="1" s="1"/>
  <c r="C64" i="1"/>
  <c r="D64" i="1" s="1"/>
  <c r="C63" i="1"/>
  <c r="D63" i="1" s="1"/>
  <c r="C62" i="1"/>
  <c r="D62" i="1" s="1"/>
  <c r="C61" i="1"/>
  <c r="D61" i="1" s="1"/>
  <c r="C60" i="1"/>
  <c r="D60" i="1" s="1"/>
  <c r="C59" i="1"/>
  <c r="D59" i="1" s="1"/>
  <c r="C58" i="1"/>
  <c r="D58" i="1" s="1"/>
  <c r="C57" i="1"/>
  <c r="D57" i="1" s="1"/>
  <c r="C56" i="1"/>
  <c r="D56" i="1" s="1"/>
  <c r="C55" i="1"/>
  <c r="D55" i="1" s="1"/>
  <c r="C54" i="1"/>
  <c r="D54" i="1" s="1"/>
  <c r="C53" i="1"/>
  <c r="D53" i="1" s="1"/>
  <c r="C52" i="1"/>
  <c r="D52" i="1" s="1"/>
  <c r="C51" i="1"/>
  <c r="D51" i="1" s="1"/>
  <c r="C50" i="1"/>
  <c r="D50" i="1" s="1"/>
  <c r="C49" i="1"/>
  <c r="D49" i="1" s="1"/>
  <c r="C48" i="1"/>
  <c r="D48" i="1" s="1"/>
  <c r="C47" i="1"/>
  <c r="D47" i="1" s="1"/>
  <c r="C46" i="1"/>
  <c r="D46" i="1" s="1"/>
  <c r="C45" i="1"/>
  <c r="D45" i="1" s="1"/>
  <c r="C44" i="1"/>
  <c r="D44" i="1" s="1"/>
  <c r="C43" i="1"/>
  <c r="D43" i="1" s="1"/>
  <c r="C42" i="1"/>
  <c r="D42" i="1" s="1"/>
  <c r="C41" i="1"/>
  <c r="C33" i="1"/>
  <c r="D33" i="1" s="1"/>
  <c r="C32" i="1"/>
  <c r="G26" i="1" s="1"/>
  <c r="C31" i="1"/>
  <c r="G25" i="1" s="1"/>
  <c r="C30" i="1"/>
  <c r="G24" i="1" s="1"/>
  <c r="C29" i="1"/>
  <c r="G23" i="1" s="1"/>
  <c r="C28" i="1"/>
  <c r="D28" i="1" s="1"/>
  <c r="C27" i="1"/>
  <c r="G21" i="1" s="1"/>
  <c r="C26" i="1"/>
  <c r="D26" i="1" s="1"/>
  <c r="C25" i="1"/>
  <c r="D25" i="1" s="1"/>
  <c r="C24" i="1"/>
  <c r="D24" i="1" s="1"/>
  <c r="C23" i="1"/>
  <c r="D23" i="1" s="1"/>
  <c r="C22" i="1"/>
  <c r="D22" i="1" s="1"/>
  <c r="C21" i="1"/>
  <c r="D21" i="1" s="1"/>
  <c r="C20" i="1"/>
  <c r="D20" i="1" s="1"/>
  <c r="C19" i="1"/>
  <c r="D19" i="1" s="1"/>
  <c r="G18" i="1"/>
  <c r="C18" i="1"/>
  <c r="D18" i="1" s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  <c r="C5" i="1"/>
  <c r="D5" i="1" s="1"/>
  <c r="C4" i="1"/>
  <c r="D4" i="1" s="1"/>
  <c r="D3" i="1"/>
  <c r="D67" i="1" l="1"/>
  <c r="G20" i="1"/>
  <c r="D27" i="1"/>
  <c r="C72" i="1"/>
  <c r="D72" i="1" s="1"/>
  <c r="F91" i="1"/>
  <c r="D29" i="1"/>
  <c r="G22" i="1"/>
  <c r="D41" i="1"/>
  <c r="G30" i="1"/>
  <c r="H37" i="1"/>
  <c r="D32" i="1"/>
  <c r="G32" i="1"/>
  <c r="G35" i="1"/>
  <c r="G31" i="1"/>
  <c r="G33" i="1"/>
  <c r="D31" i="1"/>
  <c r="G34" i="1"/>
  <c r="C34" i="1"/>
  <c r="D34" i="1" s="1"/>
  <c r="D30" i="1"/>
  <c r="G27" i="1" l="1"/>
  <c r="G37" i="1"/>
  <c r="J62" i="1"/>
  <c r="J61" i="1" l="1"/>
  <c r="J60" i="1" l="1"/>
  <c r="J59" i="1" l="1"/>
  <c r="J58" i="1" l="1"/>
  <c r="J57" i="1" l="1"/>
  <c r="J63" i="1" l="1"/>
  <c r="H167" i="1" l="1"/>
  <c r="D218" i="1"/>
  <c r="C250" i="1"/>
  <c r="D250" i="1" s="1"/>
  <c r="CF331" i="1" l="1"/>
  <c r="CF339" i="1"/>
  <c r="CF343" i="1"/>
  <c r="CF344" i="1"/>
  <c r="CF333" i="1"/>
  <c r="CF341" i="1"/>
  <c r="CF334" i="1"/>
  <c r="CF342" i="1"/>
  <c r="CF340" i="1"/>
  <c r="CF337" i="1"/>
  <c r="CF346" i="1"/>
  <c r="CF348" i="1"/>
  <c r="CF338" i="1"/>
  <c r="CF349" i="1"/>
  <c r="CF336" i="1"/>
  <c r="CF351" i="1"/>
  <c r="CF335" i="1"/>
  <c r="CF347" i="1"/>
  <c r="CF353" i="1"/>
  <c r="CF350" i="1"/>
  <c r="CF355" i="1"/>
  <c r="CF332" i="1"/>
  <c r="CF345" i="1"/>
  <c r="CF354" i="1"/>
  <c r="CF352" i="1"/>
  <c r="CF359" i="1"/>
  <c r="CF356" i="1"/>
  <c r="CF357" i="1"/>
  <c r="CE362" i="1"/>
  <c r="CF362" i="1" s="1"/>
  <c r="CF360" i="1"/>
  <c r="CF358" i="1"/>
  <c r="CD356" i="1"/>
  <c r="CD357" i="1" s="1"/>
  <c r="CD358" i="1" s="1"/>
  <c r="CD359" i="1" l="1"/>
  <c r="CD360" i="1" s="1"/>
  <c r="CI331" i="1" s="1"/>
  <c r="CI332" i="1" s="1"/>
  <c r="CI333" i="1" s="1"/>
  <c r="CI334" i="1" s="1"/>
  <c r="CI335" i="1" s="1"/>
  <c r="CI336" i="1" s="1"/>
  <c r="CI337" i="1" s="1"/>
  <c r="CI338" i="1" s="1"/>
  <c r="CI339" i="1" s="1"/>
  <c r="CI340" i="1" s="1"/>
  <c r="CI341" i="1" s="1"/>
  <c r="CI342" i="1" s="1"/>
  <c r="CI343" i="1" s="1"/>
  <c r="CI344" i="1" s="1"/>
  <c r="CI345" i="1" s="1"/>
  <c r="CI346" i="1" s="1"/>
  <c r="CI347" i="1" s="1"/>
  <c r="CI348" i="1" s="1"/>
  <c r="CI349" i="1" s="1"/>
  <c r="CI350" i="1" s="1"/>
  <c r="CI351" i="1" s="1"/>
  <c r="CI352" i="1" s="1"/>
  <c r="CI353" i="1" s="1"/>
  <c r="CI354" i="1" s="1"/>
  <c r="CI355" i="1" s="1"/>
  <c r="CI356" i="1" s="1"/>
  <c r="CI357" i="1" s="1"/>
  <c r="CI358" i="1" s="1"/>
  <c r="CI359" i="1" s="1"/>
  <c r="CI360" i="1" s="1"/>
  <c r="CI361" i="1" s="1"/>
  <c r="CP333" i="1"/>
  <c r="CO362" i="1"/>
  <c r="CP362" i="1" s="1"/>
</calcChain>
</file>

<file path=xl/comments1.xml><?xml version="1.0" encoding="utf-8"?>
<comments xmlns="http://schemas.openxmlformats.org/spreadsheetml/2006/main">
  <authors>
    <author>Автор</author>
  </authors>
  <commentList>
    <comment ref="AW21" authorId="0" shapeId="0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вышел из строя расходомер</t>
        </r>
      </text>
    </comment>
    <comment ref="BI31" authorId="0" shapeId="0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запустили расходомер </t>
        </r>
      </text>
    </comment>
  </commentList>
</comments>
</file>

<file path=xl/sharedStrings.xml><?xml version="1.0" encoding="utf-8"?>
<sst xmlns="http://schemas.openxmlformats.org/spreadsheetml/2006/main" count="314" uniqueCount="52">
  <si>
    <t>Дата</t>
  </si>
  <si>
    <t>показание счетчика</t>
  </si>
  <si>
    <t>Расход за сутки</t>
  </si>
  <si>
    <t>Расход в час</t>
  </si>
  <si>
    <t>октябрь</t>
  </si>
  <si>
    <t>Расход</t>
  </si>
  <si>
    <t>ноябрь</t>
  </si>
  <si>
    <t>Тов извл</t>
  </si>
  <si>
    <t>Сод в конц</t>
  </si>
  <si>
    <t>Переработка</t>
  </si>
  <si>
    <t>январь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</si>
  <si>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</si>
  <si>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</si>
  <si>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</si>
  <si>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</si>
  <si>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</si>
  <si>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</si>
  <si>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</si>
  <si>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</si>
  <si>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</si>
  <si>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</si>
  <si>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</si>
  <si>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</si>
  <si>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Переработка, тн </t>
  </si>
  <si>
    <t>Содержание меди в к-те, %</t>
  </si>
  <si>
    <t>Товарное извлчение, %</t>
  </si>
  <si>
    <t>Месяц</t>
  </si>
  <si>
    <t>Расход воды</t>
  </si>
  <si>
    <t>февраль</t>
  </si>
  <si>
    <t>Расход воды 2022 г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</si>
  <si>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</si>
  <si>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</si>
  <si>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</si>
  <si>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</si>
  <si>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</si>
  <si>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</si>
  <si>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</si>
  <si>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декабрь</t>
  </si>
  <si>
    <t>Февраль 2025г</t>
  </si>
  <si>
    <t>Март 2025г</t>
  </si>
  <si>
    <t>Апрель 2025г</t>
  </si>
  <si>
    <t>Номинальный ежедневный расход</t>
  </si>
  <si>
    <t>Фактический расход за сутки</t>
  </si>
  <si>
    <t>Май 2025г</t>
  </si>
  <si>
    <t>Июнь 2025г</t>
  </si>
  <si>
    <t>Июль 2025г</t>
  </si>
  <si>
    <t>август 2025г</t>
  </si>
  <si>
    <t>сентябрь 2025г</t>
  </si>
  <si>
    <t>ОКТЯБРЬ 2025г</t>
  </si>
  <si>
    <t>Ноябрь 2025г</t>
  </si>
  <si>
    <t>декабрь 2025г</t>
  </si>
  <si>
    <t>январь 2026г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</si>
</sst>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₽_-;\-* #,##0.00\ _₽_-;_-* &quot;-&quot;??\ _₽_-;_-@_-"/>
    <numFmt numFmtId="164" formatCode="0.000"/>
    <numFmt numFmtId="165" formatCode="[$-F800]dddd\,\ mmmm\ dd\,\ yyyy"/>
    <numFmt numFmtId="166" formatCode="#,##0.000"/>
    <numFmt numFmtId="167" formatCode="[$-419]d\ mmm;@"/>
    <numFmt numFmtId="168" formatCode="dd/mm/yy;@"/>
  </numFmts>
  <fonts count="1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0">
    <xf numFmtId="0" fontId="0" fillId="0" borderId="0" xfId="0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/>
    </xf>
    <xf numFmtId="166" fontId="1" fillId="0" borderId="1" xfId="0" applyNumberFormat="1" applyFont="1" applyFill="1" applyBorder="1" applyAlignment="1">
      <alignment horizontal="center"/>
    </xf>
    <xf numFmtId="4" fontId="1" fillId="0" borderId="1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" fontId="1" fillId="0" borderId="4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4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 applyAlignment="1">
      <alignment horizont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1" fontId="3" fillId="4" borderId="5" xfId="0" applyNumberFormat="1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 vertical="center"/>
    </xf>
    <xf numFmtId="2" fontId="2" fillId="0" borderId="0" xfId="0" applyNumberFormat="1" applyFont="1"/>
    <xf numFmtId="4" fontId="2" fillId="0" borderId="0" xfId="0" applyNumberFormat="1" applyFont="1"/>
    <xf numFmtId="1" fontId="2" fillId="0" borderId="0" xfId="0" applyNumberFormat="1" applyFont="1"/>
    <xf numFmtId="14" fontId="2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/>
    <xf numFmtId="4" fontId="2" fillId="0" borderId="0" xfId="0" applyNumberFormat="1" applyFont="1" applyAlignment="1"/>
    <xf numFmtId="164" fontId="2" fillId="0" borderId="0" xfId="0" applyNumberFormat="1" applyFont="1"/>
    <xf numFmtId="0" fontId="2" fillId="0" borderId="0" xfId="0" applyFont="1" applyFill="1"/>
    <xf numFmtId="0" fontId="4" fillId="0" borderId="0" xfId="0" applyFont="1" applyFill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4" fontId="2" fillId="0" borderId="0" xfId="0" applyNumberFormat="1" applyFont="1" applyFill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6" fontId="1" fillId="0" borderId="0" xfId="0" applyNumberFormat="1" applyFont="1"/>
    <xf numFmtId="164" fontId="6" fillId="4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/>
    <xf numFmtId="0" fontId="5" fillId="0" borderId="0" xfId="0" applyFont="1" applyBorder="1" applyAlignment="1">
      <alignment horizontal="center" vertical="center"/>
    </xf>
    <xf numFmtId="168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6" xfId="0" applyFont="1" applyBorder="1"/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7" fontId="2" fillId="0" borderId="2" xfId="0" applyNumberFormat="1" applyFont="1" applyFill="1" applyBorder="1" applyAlignment="1">
      <alignment horizontal="center"/>
    </xf>
    <xf numFmtId="17" fontId="2" fillId="0" borderId="3" xfId="0" applyNumberFormat="1" applyFont="1" applyFill="1" applyBorder="1" applyAlignment="1">
      <alignment horizontal="center"/>
    </xf>
    <xf numFmtId="14" fontId="2" fillId="0" borderId="1" xfId="0" applyNumberFormat="1" applyFont="1" applyBorder="1"/>
    <xf numFmtId="166" fontId="2" fillId="0" borderId="1" xfId="0" applyNumberFormat="1" applyFont="1" applyBorder="1"/>
    <xf numFmtId="0" fontId="8" fillId="0" borderId="1" xfId="0" applyFont="1" applyBorder="1"/>
    <xf numFmtId="0" fontId="2" fillId="0" borderId="3" xfId="0" applyFont="1" applyBorder="1" applyAlignment="1">
      <alignment horizontal="center"/>
    </xf>
    <xf numFmtId="0" fontId="2" fillId="0" borderId="2" xfId="0" applyFont="1" applyBorder="1"/>
    <xf numFmtId="0" fontId="2" fillId="0" borderId="7" xfId="0" applyFont="1" applyBorder="1"/>
    <xf numFmtId="0" fontId="2" fillId="0" borderId="3" xfId="0" applyFont="1" applyBorder="1"/>
    <xf numFmtId="17" fontId="2" fillId="0" borderId="2" xfId="0" applyNumberFormat="1" applyFont="1" applyBorder="1"/>
    <xf numFmtId="43" fontId="2" fillId="0" borderId="0" xfId="1" applyFont="1"/>
    <xf numFmtId="43" fontId="2" fillId="0" borderId="0" xfId="1" applyFont="1" applyFill="1"/>
    <xf numFmtId="43" fontId="2" fillId="0" borderId="2" xfId="1" applyFont="1" applyBorder="1"/>
    <xf numFmtId="43" fontId="2" fillId="0" borderId="3" xfId="1" applyFont="1" applyBorder="1"/>
    <xf numFmtId="43" fontId="1" fillId="0" borderId="1" xfId="1" applyFont="1" applyBorder="1" applyAlignment="1">
      <alignment horizontal="center" vertical="center" wrapText="1"/>
    </xf>
    <xf numFmtId="43" fontId="1" fillId="0" borderId="1" xfId="1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3" fontId="1" fillId="0" borderId="1" xfId="1" applyFont="1" applyFill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1" fillId="0" borderId="8" xfId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1" fillId="5" borderId="1" xfId="0" applyNumberFormat="1" applyFont="1" applyFill="1" applyBorder="1" applyAlignment="1">
      <alignment horizontal="center"/>
    </xf>
    <xf numFmtId="43" fontId="1" fillId="5" borderId="1" xfId="1" applyFont="1" applyFill="1" applyBorder="1" applyAlignment="1">
      <alignment horizontal="center"/>
    </xf>
    <xf numFmtId="43" fontId="0" fillId="5" borderId="1" xfId="1" applyFont="1" applyFill="1" applyBorder="1" applyAlignment="1">
      <alignment horizontal="center" vertical="center"/>
    </xf>
    <xf numFmtId="43" fontId="0" fillId="4" borderId="1" xfId="1" applyFont="1" applyFill="1" applyBorder="1" applyAlignment="1">
      <alignment horizontal="center" vertical="center"/>
    </xf>
    <xf numFmtId="17" fontId="2" fillId="0" borderId="2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center"/>
    </xf>
    <xf numFmtId="17" fontId="2" fillId="0" borderId="2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План </a:t>
            </a:r>
            <a:r>
              <a:rPr lang="ru-RU" baseline="0"/>
              <a:t>-факт  расхода воды</a:t>
            </a:r>
            <a:endParaRPr lang="ru-RU"/>
          </a:p>
        </c:rich>
      </c:tx>
      <c:layout>
        <c:manualLayout>
          <c:xMode val="edge"/>
          <c:yMode val="edge"/>
          <c:x val="0.34682103430538519"/>
          <c:y val="1.71316907769999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'2025г август вода'!$BK$62</c:f>
              <c:strCache>
                <c:ptCount val="1"/>
                <c:pt idx="0">
                  <c:v>Номинальный ежедневный расход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2222222222222223E-2"/>
                  <c:y val="-3.70370370370371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2.3355937650650811E-2"/>
                  <c:y val="-3.7732022191697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3.299325084364458E-2"/>
                  <c:y val="-5.07344693821530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2.3526112807327654E-2"/>
                  <c:y val="-5.3001371979737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2.0779171447790207E-2"/>
                  <c:y val="-4.95530951813997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3.4282594072725985E-2"/>
                  <c:y val="-4.61048183830622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2.2541209986942735E-2"/>
                  <c:y val="-4.69671591005048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'2025г август вода'!$BJ$63:$BJ$69</c:f>
              <c:numCache>
                <c:formatCode>m/d/yyyy</c:formatCode>
                <c:ptCount val="7"/>
                <c:pt idx="0">
                  <c:v>46040</c:v>
                </c:pt>
                <c:pt idx="1">
                  <c:v>46041</c:v>
                </c:pt>
                <c:pt idx="2">
                  <c:v>46042</c:v>
                </c:pt>
                <c:pt idx="3">
                  <c:v>46043</c:v>
                </c:pt>
                <c:pt idx="4">
                  <c:v>46044</c:v>
                </c:pt>
                <c:pt idx="5">
                  <c:v>46045</c:v>
                </c:pt>
                <c:pt idx="6">
                  <c:v>46046</c:v>
                </c:pt>
              </c:numCache>
            </c:numRef>
          </c:cat>
          <c:val>
            <c:numRef>
              <c:f>'2025г август вода'!$BK$63:$BK$69</c:f>
              <c:numCache>
                <c:formatCode>_(* #,##0.00_);_(* \(#,##0.00\);_(* "-"??_);_(@_)</c:formatCode>
                <c:ptCount val="7"/>
                <c:pt idx="0">
                  <c:v>1451</c:v>
                </c:pt>
                <c:pt idx="1">
                  <c:v>1451</c:v>
                </c:pt>
                <c:pt idx="2">
                  <c:v>1451</c:v>
                </c:pt>
                <c:pt idx="3">
                  <c:v>1451</c:v>
                </c:pt>
                <c:pt idx="4">
                  <c:v>1451</c:v>
                </c:pt>
                <c:pt idx="5">
                  <c:v>1451</c:v>
                </c:pt>
                <c:pt idx="6">
                  <c:v>1451</c:v>
                </c:pt>
              </c:numCache>
            </c:numRef>
          </c:val>
        </c:ser>
        <c:ser>
          <c:idx val="1"/>
          <c:order val="1"/>
          <c:tx>
            <c:strRef>
              <c:f>'2025г август вода'!$BL$62</c:f>
              <c:strCache>
                <c:ptCount val="1"/>
                <c:pt idx="0">
                  <c:v>Фактический расход за сутки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849752700510426E-2"/>
                  <c:y val="-0.340277855084945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9.5604004273335177E-3"/>
                  <c:y val="-0.274727470737841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5.4888616309895942E-4"/>
                  <c:y val="-0.216517571685466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8.8480196256875664E-3"/>
                  <c:y val="-0.240306337308264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8.9956612566271393E-4"/>
                  <c:y val="-0.167632953470799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1.5080599849641911E-2"/>
                  <c:y val="-9.5515638206798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1.927400783444783E-2"/>
                  <c:y val="-1.030274512700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'2025г август вода'!$BJ$63:$BJ$69</c:f>
              <c:numCache>
                <c:formatCode>m/d/yyyy</c:formatCode>
                <c:ptCount val="7"/>
                <c:pt idx="0">
                  <c:v>46040</c:v>
                </c:pt>
                <c:pt idx="1">
                  <c:v>46041</c:v>
                </c:pt>
                <c:pt idx="2">
                  <c:v>46042</c:v>
                </c:pt>
                <c:pt idx="3">
                  <c:v>46043</c:v>
                </c:pt>
                <c:pt idx="4">
                  <c:v>46044</c:v>
                </c:pt>
                <c:pt idx="5">
                  <c:v>46045</c:v>
                </c:pt>
                <c:pt idx="6">
                  <c:v>46046</c:v>
                </c:pt>
              </c:numCache>
            </c:numRef>
          </c:cat>
          <c:val>
            <c:numRef>
              <c:f>'2025г август вода'!$BL$63:$BL$69</c:f>
              <c:numCache>
                <c:formatCode>_(* #,##0.00_);_(* \(#,##0.00\);_(* "-"??_);_(@_)</c:formatCode>
                <c:ptCount val="7"/>
                <c:pt idx="0">
                  <c:v>1588</c:v>
                </c:pt>
                <c:pt idx="1">
                  <c:v>1269.1719999999041</c:v>
                </c:pt>
                <c:pt idx="2">
                  <c:v>1473.9180000000633</c:v>
                </c:pt>
                <c:pt idx="3">
                  <c:v>1455.0699999999488</c:v>
                </c:pt>
                <c:pt idx="4">
                  <c:v>1000</c:v>
                </c:pt>
                <c:pt idx="5">
                  <c:v>2012.0100000000093</c:v>
                </c:pt>
                <c:pt idx="6">
                  <c:v>1365.7099999999627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5673264"/>
        <c:axId val="655670000"/>
      </c:barChart>
      <c:dateAx>
        <c:axId val="6556732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5670000"/>
        <c:crosses val="autoZero"/>
        <c:auto val="1"/>
        <c:lblOffset val="100"/>
        <c:baseTimeUnit val="days"/>
      </c:dateAx>
      <c:valAx>
        <c:axId val="65567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567326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603954786937518E-2"/>
          <c:y val="9.3904224809736606E-2"/>
          <c:w val="0.84479209042616465"/>
          <c:h val="0.59690714336383632"/>
        </c:manualLayout>
      </c:layout>
      <c:lineChart>
        <c:grouping val="standard"/>
        <c:varyColors val="0"/>
        <c:ser>
          <c:idx val="0"/>
          <c:order val="0"/>
          <c:tx>
            <c:v>Расход воды, м3</c:v>
          </c:tx>
          <c:marker>
            <c:symbol val="none"/>
          </c:marker>
          <c:dLbls>
            <c:dLbl>
              <c:idx val="0"/>
              <c:layout>
                <c:manualLayout>
                  <c:x val="6.1297231447452014E-2"/>
                  <c:y val="5.9774973113034934E-3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accent1"/>
                        </a:solidFill>
                      </a:rPr>
                      <a:t>722,27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4.2032387278252703E-2"/>
                  <c:y val="4.7819978490423083E-2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accent1"/>
                        </a:solidFill>
                      </a:rPr>
                      <a:t>2 378,84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3.5026989398543843E-3"/>
                  <c:y val="7.1729967735634587E-2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accent1"/>
                        </a:solidFill>
                      </a:rPr>
                      <a:t>1 095,95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2.6270242048912429E-2"/>
                  <c:y val="6.2763721768680433E-2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accent1"/>
                        </a:solidFill>
                      </a:rPr>
                      <a:t>1 242,46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1.9264844169199123E-2"/>
                  <c:y val="7.1729967735634587E-2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accent1"/>
                        </a:solidFill>
                      </a:rPr>
                      <a:t>1 890,61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accent1"/>
                        </a:solidFill>
                      </a:rPr>
                      <a:t>2 592,49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accent1"/>
                        </a:solidFill>
                      </a:rPr>
                      <a:t>2 553,73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Лист1!$F$30:$F$36</c:f>
              <c:numCache>
                <c:formatCode>m/d/yyyy</c:formatCode>
                <c:ptCount val="7"/>
                <c:pt idx="0">
                  <c:v>44521</c:v>
                </c:pt>
                <c:pt idx="1">
                  <c:v>44522</c:v>
                </c:pt>
                <c:pt idx="2">
                  <c:v>44523</c:v>
                </c:pt>
                <c:pt idx="3">
                  <c:v>44524</c:v>
                </c:pt>
                <c:pt idx="4">
                  <c:v>44525</c:v>
                </c:pt>
                <c:pt idx="5">
                  <c:v>44526</c:v>
                </c:pt>
                <c:pt idx="6">
                  <c:v>44527</c:v>
                </c:pt>
              </c:numCache>
            </c:numRef>
          </c:cat>
          <c:val>
            <c:numRef>
              <c:f>Лист1!$G$30:$G$36</c:f>
              <c:numCache>
                <c:formatCode>#,##0.00</c:formatCode>
                <c:ptCount val="7"/>
                <c:pt idx="0">
                  <c:v>722.27199999999721</c:v>
                </c:pt>
                <c:pt idx="1">
                  <c:v>2378.8439999999246</c:v>
                </c:pt>
                <c:pt idx="2">
                  <c:v>1095.9480000000913</c:v>
                </c:pt>
                <c:pt idx="3">
                  <c:v>1242.4560000000056</c:v>
                </c:pt>
                <c:pt idx="4">
                  <c:v>1890.607999999891</c:v>
                </c:pt>
                <c:pt idx="5">
                  <c:v>2592.4920000000857</c:v>
                </c:pt>
                <c:pt idx="6">
                  <c:v>2553.7280000000028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5678160"/>
        <c:axId val="655665648"/>
      </c:lineChart>
      <c:lineChart>
        <c:grouping val="standard"/>
        <c:varyColors val="0"/>
        <c:ser>
          <c:idx val="1"/>
          <c:order val="1"/>
          <c:tx>
            <c:v>Переработка, т/сутки</c:v>
          </c:tx>
          <c:marker>
            <c:symbol val="none"/>
          </c:marker>
          <c:dLbls>
            <c:dLbl>
              <c:idx val="5"/>
              <c:layout>
                <c:manualLayout>
                  <c:x val="2.1016193639126352E-2"/>
                  <c:y val="9.2651208325194745E-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Лист1!$F$30:$F$36</c:f>
              <c:numCache>
                <c:formatCode>m/d/yyyy</c:formatCode>
                <c:ptCount val="7"/>
                <c:pt idx="0">
                  <c:v>44521</c:v>
                </c:pt>
                <c:pt idx="1">
                  <c:v>44522</c:v>
                </c:pt>
                <c:pt idx="2">
                  <c:v>44523</c:v>
                </c:pt>
                <c:pt idx="3">
                  <c:v>44524</c:v>
                </c:pt>
                <c:pt idx="4">
                  <c:v>44525</c:v>
                </c:pt>
                <c:pt idx="5">
                  <c:v>44526</c:v>
                </c:pt>
                <c:pt idx="6">
                  <c:v>44527</c:v>
                </c:pt>
              </c:numCache>
            </c:numRef>
          </c:cat>
          <c:val>
            <c:numRef>
              <c:f>Лист1!$H$30:$H$36</c:f>
              <c:numCache>
                <c:formatCode>0</c:formatCode>
                <c:ptCount val="7"/>
                <c:pt idx="0">
                  <c:v>2034</c:v>
                </c:pt>
                <c:pt idx="1">
                  <c:v>1885.1659999999999</c:v>
                </c:pt>
                <c:pt idx="2">
                  <c:v>1720</c:v>
                </c:pt>
                <c:pt idx="3">
                  <c:v>1900.702</c:v>
                </c:pt>
                <c:pt idx="4">
                  <c:v>1670.0709999999999</c:v>
                </c:pt>
                <c:pt idx="5">
                  <c:v>1814.96</c:v>
                </c:pt>
                <c:pt idx="6">
                  <c:v>1928.09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5670544"/>
        <c:axId val="655675440"/>
      </c:lineChart>
      <c:dateAx>
        <c:axId val="655678160"/>
        <c:scaling>
          <c:orientation val="minMax"/>
        </c:scaling>
        <c:delete val="0"/>
        <c:axPos val="b"/>
        <c:majorGridlines/>
        <c:minorGridlines/>
        <c:numFmt formatCode="m/d/yyyy" sourceLinked="1"/>
        <c:majorTickMark val="out"/>
        <c:minorTickMark val="none"/>
        <c:tickLblPos val="nextTo"/>
        <c:crossAx val="655665648"/>
        <c:crossesAt val="600"/>
        <c:auto val="1"/>
        <c:lblOffset val="100"/>
        <c:baseTimeUnit val="days"/>
      </c:dateAx>
      <c:valAx>
        <c:axId val="655665648"/>
        <c:scaling>
          <c:orientation val="minMax"/>
          <c:max val="3000"/>
          <c:min val="600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655678160"/>
        <c:crosses val="autoZero"/>
        <c:crossBetween val="between"/>
      </c:valAx>
      <c:valAx>
        <c:axId val="655675440"/>
        <c:scaling>
          <c:orientation val="minMax"/>
          <c:min val="650"/>
        </c:scaling>
        <c:delete val="0"/>
        <c:axPos val="r"/>
        <c:numFmt formatCode="0" sourceLinked="1"/>
        <c:majorTickMark val="out"/>
        <c:minorTickMark val="none"/>
        <c:tickLblPos val="nextTo"/>
        <c:crossAx val="655670544"/>
        <c:crosses val="max"/>
        <c:crossBetween val="between"/>
        <c:majorUnit val="100"/>
      </c:valAx>
      <c:dateAx>
        <c:axId val="65567054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55675440"/>
        <c:crosses val="autoZero"/>
        <c:auto val="1"/>
        <c:lblOffset val="100"/>
        <c:baseTimeUnit val="days"/>
      </c:dateAx>
      <c:dTable>
        <c:showHorzBorder val="1"/>
        <c:showVertBorder val="1"/>
        <c:showOutline val="1"/>
        <c:showKeys val="0"/>
      </c:dTable>
    </c:plotArea>
    <c:legend>
      <c:legendPos val="t"/>
      <c:overlay val="0"/>
    </c:legend>
    <c:plotVisOnly val="1"/>
    <c:dispBlanksAs val="gap"/>
    <c:showDLblsOverMax val="0"/>
  </c:chart>
  <c:spPr>
    <a:ln w="0"/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Извлечение меди  в к-т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Лист1!$I$84:$I$90</c:f>
              <c:numCache>
                <c:formatCode>m/d/yyyy</c:formatCode>
                <c:ptCount val="7"/>
                <c:pt idx="0">
                  <c:v>44738</c:v>
                </c:pt>
                <c:pt idx="1">
                  <c:v>44739</c:v>
                </c:pt>
                <c:pt idx="2">
                  <c:v>44740</c:v>
                </c:pt>
                <c:pt idx="3">
                  <c:v>44741</c:v>
                </c:pt>
                <c:pt idx="4">
                  <c:v>44742</c:v>
                </c:pt>
                <c:pt idx="5">
                  <c:v>44743</c:v>
                </c:pt>
                <c:pt idx="6">
                  <c:v>44744</c:v>
                </c:pt>
              </c:numCache>
            </c:numRef>
          </c:cat>
          <c:val>
            <c:numRef>
              <c:f>Лист1!$J$84:$J$90</c:f>
              <c:numCache>
                <c:formatCode>#,##0.00</c:formatCode>
                <c:ptCount val="7"/>
                <c:pt idx="0">
                  <c:v>92.265887571800661</c:v>
                </c:pt>
                <c:pt idx="1">
                  <c:v>82.205374352652825</c:v>
                </c:pt>
                <c:pt idx="2">
                  <c:v>84.303898300471218</c:v>
                </c:pt>
                <c:pt idx="3">
                  <c:v>90.280051085985008</c:v>
                </c:pt>
                <c:pt idx="4">
                  <c:v>80.324666695748462</c:v>
                </c:pt>
                <c:pt idx="5">
                  <c:v>75.906817228947858</c:v>
                </c:pt>
                <c:pt idx="6">
                  <c:v>102.56294754213752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5671088"/>
        <c:axId val="655672720"/>
      </c:lineChart>
      <c:lineChart>
        <c:grouping val="standard"/>
        <c:varyColors val="0"/>
        <c:ser>
          <c:idx val="1"/>
          <c:order val="1"/>
          <c:tx>
            <c:v>Содержание меди в к-те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2082527616486401E-2"/>
                  <c:y val="-6.0720015821255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Лист1!$I$84:$I$90</c:f>
              <c:numCache>
                <c:formatCode>m/d/yyyy</c:formatCode>
                <c:ptCount val="7"/>
                <c:pt idx="0">
                  <c:v>44738</c:v>
                </c:pt>
                <c:pt idx="1">
                  <c:v>44739</c:v>
                </c:pt>
                <c:pt idx="2">
                  <c:v>44740</c:v>
                </c:pt>
                <c:pt idx="3">
                  <c:v>44741</c:v>
                </c:pt>
                <c:pt idx="4">
                  <c:v>44742</c:v>
                </c:pt>
                <c:pt idx="5">
                  <c:v>44743</c:v>
                </c:pt>
                <c:pt idx="6">
                  <c:v>44744</c:v>
                </c:pt>
              </c:numCache>
            </c:numRef>
          </c:cat>
          <c:val>
            <c:numRef>
              <c:f>Лист1!$K$84:$K$90</c:f>
              <c:numCache>
                <c:formatCode>#,##0.00</c:formatCode>
                <c:ptCount val="7"/>
                <c:pt idx="0">
                  <c:v>13.722012368287592</c:v>
                </c:pt>
                <c:pt idx="1">
                  <c:v>13.75582358797697</c:v>
                </c:pt>
                <c:pt idx="2">
                  <c:v>16.005709094760675</c:v>
                </c:pt>
                <c:pt idx="3">
                  <c:v>16.35292912128503</c:v>
                </c:pt>
                <c:pt idx="4">
                  <c:v>12.837964985587796</c:v>
                </c:pt>
                <c:pt idx="5">
                  <c:v>15.870249757759883</c:v>
                </c:pt>
                <c:pt idx="6">
                  <c:v>13.382738636301658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5676528"/>
        <c:axId val="655675984"/>
      </c:lineChart>
      <c:dateAx>
        <c:axId val="6556710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5672720"/>
        <c:crosses val="autoZero"/>
        <c:auto val="1"/>
        <c:lblOffset val="100"/>
        <c:baseTimeUnit val="days"/>
      </c:dateAx>
      <c:valAx>
        <c:axId val="655672720"/>
        <c:scaling>
          <c:orientation val="minMax"/>
          <c:max val="130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Товарное извлечение </a:t>
                </a:r>
                <a:r>
                  <a:rPr lang="en-US"/>
                  <a:t>Cu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5671088"/>
        <c:crosses val="autoZero"/>
        <c:crossBetween val="between"/>
      </c:valAx>
      <c:valAx>
        <c:axId val="655675984"/>
        <c:scaling>
          <c:orientation val="minMax"/>
          <c:max val="3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Содержание </a:t>
                </a:r>
                <a:r>
                  <a:rPr lang="en-US"/>
                  <a:t>Cu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5676528"/>
        <c:crosses val="max"/>
        <c:crossBetween val="between"/>
      </c:valAx>
      <c:dateAx>
        <c:axId val="65567652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5567598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Лист1!$F$119</c:f>
              <c:strCache>
                <c:ptCount val="1"/>
                <c:pt idx="0">
                  <c:v>Расход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Лист1!$E$120:$E$127</c:f>
              <c:numCache>
                <c:formatCode>m/d/yyyy</c:formatCode>
                <c:ptCount val="8"/>
                <c:pt idx="0">
                  <c:v>45109</c:v>
                </c:pt>
                <c:pt idx="1">
                  <c:v>45110</c:v>
                </c:pt>
                <c:pt idx="2">
                  <c:v>45111</c:v>
                </c:pt>
                <c:pt idx="3">
                  <c:v>45112</c:v>
                </c:pt>
                <c:pt idx="4">
                  <c:v>45113</c:v>
                </c:pt>
                <c:pt idx="5">
                  <c:v>45114</c:v>
                </c:pt>
                <c:pt idx="6">
                  <c:v>45115</c:v>
                </c:pt>
              </c:numCache>
            </c:numRef>
          </c:cat>
          <c:val>
            <c:numRef>
              <c:f>Лист1!$F$120:$F$127</c:f>
              <c:numCache>
                <c:formatCode>#\ ##0.000</c:formatCode>
                <c:ptCount val="8"/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5667824"/>
        <c:axId val="655666192"/>
      </c:lineChart>
      <c:lineChart>
        <c:grouping val="standard"/>
        <c:varyColors val="0"/>
        <c:ser>
          <c:idx val="1"/>
          <c:order val="1"/>
          <c:tx>
            <c:strRef>
              <c:f>Лист1!$G$119</c:f>
              <c:strCache>
                <c:ptCount val="1"/>
                <c:pt idx="0">
                  <c:v>Переработка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4"/>
              <c:layout>
                <c:manualLayout>
                  <c:x val="-1.0890456301543873E-2"/>
                  <c:y val="-7.2290806985381539E-2"/>
                </c:manualLayout>
              </c:layout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"/>
                  <c:y val="-0.12592597429388167"/>
                </c:manualLayout>
              </c:layout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6.0502535008577114E-3"/>
                  <c:y val="-6.2962960922752123E-2"/>
                </c:manualLayout>
              </c:layout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Лист1!$E$120:$E$127</c:f>
              <c:numCache>
                <c:formatCode>m/d/yyyy</c:formatCode>
                <c:ptCount val="8"/>
                <c:pt idx="0">
                  <c:v>45109</c:v>
                </c:pt>
                <c:pt idx="1">
                  <c:v>45110</c:v>
                </c:pt>
                <c:pt idx="2">
                  <c:v>45111</c:v>
                </c:pt>
                <c:pt idx="3">
                  <c:v>45112</c:v>
                </c:pt>
                <c:pt idx="4">
                  <c:v>45113</c:v>
                </c:pt>
                <c:pt idx="5">
                  <c:v>45114</c:v>
                </c:pt>
                <c:pt idx="6">
                  <c:v>45115</c:v>
                </c:pt>
              </c:numCache>
            </c:numRef>
          </c:cat>
          <c:val>
            <c:numRef>
              <c:f>Лист1!$G$120:$G$127</c:f>
              <c:numCache>
                <c:formatCode>0.000</c:formatCode>
                <c:ptCount val="8"/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5667280"/>
        <c:axId val="655666736"/>
      </c:lineChart>
      <c:dateAx>
        <c:axId val="6556678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5666192"/>
        <c:crosses val="autoZero"/>
        <c:auto val="1"/>
        <c:lblOffset val="100"/>
        <c:baseTimeUnit val="days"/>
      </c:dateAx>
      <c:valAx>
        <c:axId val="65566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Расход воды, м3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\ 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5667824"/>
        <c:crosses val="autoZero"/>
        <c:crossBetween val="between"/>
      </c:valAx>
      <c:valAx>
        <c:axId val="6556667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Переработка, т/сутки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5667280"/>
        <c:crosses val="max"/>
        <c:crossBetween val="between"/>
      </c:valAx>
      <c:dateAx>
        <c:axId val="65566728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55666736"/>
        <c:crosses val="autoZero"/>
        <c:auto val="1"/>
        <c:lblOffset val="100"/>
        <c:baseTimeUnit val="days"/>
      </c:dateAx>
      <c:dTable>
        <c:showHorzBorder val="1"/>
        <c:showVertBorder val="1"/>
        <c:showOutline val="1"/>
        <c:showKeys val="0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Переработка 2021 г</a:t>
            </a:r>
          </a:p>
        </c:rich>
      </c:tx>
      <c:layout>
        <c:manualLayout>
          <c:xMode val="edge"/>
          <c:yMode val="edge"/>
          <c:x val="0.31812346010527254"/>
          <c:y val="2.750808610866405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25400"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Лист1!$N$92:$N$103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Лист1!$O$92:$O$103</c:f>
              <c:numCache>
                <c:formatCode>General</c:formatCode>
                <c:ptCount val="12"/>
                <c:pt idx="0">
                  <c:v>51373</c:v>
                </c:pt>
                <c:pt idx="1">
                  <c:v>41430</c:v>
                </c:pt>
                <c:pt idx="2">
                  <c:v>47149</c:v>
                </c:pt>
                <c:pt idx="3">
                  <c:v>54442</c:v>
                </c:pt>
                <c:pt idx="4">
                  <c:v>57882</c:v>
                </c:pt>
                <c:pt idx="5">
                  <c:v>57091</c:v>
                </c:pt>
                <c:pt idx="6">
                  <c:v>59292</c:v>
                </c:pt>
                <c:pt idx="7">
                  <c:v>31088</c:v>
                </c:pt>
                <c:pt idx="8">
                  <c:v>44809</c:v>
                </c:pt>
                <c:pt idx="9">
                  <c:v>55301</c:v>
                </c:pt>
                <c:pt idx="10">
                  <c:v>53079</c:v>
                </c:pt>
                <c:pt idx="11">
                  <c:v>56757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106400"/>
        <c:axId val="526111840"/>
      </c:barChart>
      <c:catAx>
        <c:axId val="52610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6111840"/>
        <c:crosses val="autoZero"/>
        <c:auto val="1"/>
        <c:lblAlgn val="ctr"/>
        <c:lblOffset val="100"/>
        <c:tickMarkSkip val="1"/>
        <c:noMultiLvlLbl val="0"/>
      </c:catAx>
      <c:valAx>
        <c:axId val="5261118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ПЕРЕРАБОТКА,</a:t>
                </a:r>
                <a:r>
                  <a:rPr lang="ru-RU" baseline="0"/>
                  <a:t> тонн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5261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Лист1!$C$111</c:f>
              <c:strCache>
                <c:ptCount val="1"/>
                <c:pt idx="0">
                  <c:v>Расход за сутки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Лист1!$A$112:$A$119</c:f>
              <c:numCache>
                <c:formatCode>m/d/yyyy</c:formatCode>
                <c:ptCount val="8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</c:numCache>
            </c:numRef>
          </c:cat>
          <c:val>
            <c:numRef>
              <c:f>Лист1!$C$112:$C$119</c:f>
              <c:numCache>
                <c:formatCode>#\ ##0.000</c:formatCode>
                <c:ptCount val="8"/>
                <c:pt idx="0">
                  <c:v>779.06400000001304</c:v>
                </c:pt>
                <c:pt idx="1">
                  <c:v>2845.1679999999469</c:v>
                </c:pt>
                <c:pt idx="2">
                  <c:v>3019.2890000001062</c:v>
                </c:pt>
                <c:pt idx="3">
                  <c:v>2839.1999999999534</c:v>
                </c:pt>
                <c:pt idx="4">
                  <c:v>1308.0359999999637</c:v>
                </c:pt>
                <c:pt idx="5">
                  <c:v>2499.9760000000242</c:v>
                </c:pt>
                <c:pt idx="6">
                  <c:v>2745.7719999999972</c:v>
                </c:pt>
                <c:pt idx="7">
                  <c:v>2829.3159999999916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3387120"/>
        <c:axId val="813385488"/>
      </c:lineChart>
      <c:dateAx>
        <c:axId val="8133871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3385488"/>
        <c:crosses val="autoZero"/>
        <c:auto val="1"/>
        <c:lblOffset val="100"/>
        <c:baseTimeUnit val="days"/>
      </c:dateAx>
      <c:valAx>
        <c:axId val="81338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338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06703148518669"/>
          <c:y val="3.2772104516389296E-2"/>
          <c:w val="0.76913919777212969"/>
          <c:h val="0.73960959313616803"/>
        </c:manualLayout>
      </c:layout>
      <c:lineChart>
        <c:grouping val="standard"/>
        <c:varyColors val="0"/>
        <c:ser>
          <c:idx val="0"/>
          <c:order val="0"/>
          <c:tx>
            <c:strRef>
              <c:f>Лист1!$G$196</c:f>
              <c:strCache>
                <c:ptCount val="1"/>
                <c:pt idx="0">
                  <c:v>Номинальный ежедневный расход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3.655089625963458E-3"/>
                  <c:y val="5.3977083115578021E-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2.4367264173089697E-3"/>
                  <c:y val="4.3937408621473474E-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0"/>
                  <c:y val="4.4969102793272445E-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4.8734528346179393E-3"/>
                  <c:y val="4.3013924410956854E-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Лист1!$F$197:$F$203</c:f>
              <c:numCache>
                <c:formatCode>m/d/yyyy</c:formatCode>
                <c:ptCount val="7"/>
                <c:pt idx="0">
                  <c:v>45718</c:v>
                </c:pt>
                <c:pt idx="1">
                  <c:v>45719</c:v>
                </c:pt>
                <c:pt idx="2">
                  <c:v>45720</c:v>
                </c:pt>
                <c:pt idx="3">
                  <c:v>45721</c:v>
                </c:pt>
                <c:pt idx="4">
                  <c:v>45722</c:v>
                </c:pt>
                <c:pt idx="5">
                  <c:v>45723</c:v>
                </c:pt>
                <c:pt idx="6">
                  <c:v>45724</c:v>
                </c:pt>
              </c:numCache>
            </c:numRef>
          </c:cat>
          <c:val>
            <c:numRef>
              <c:f>Лист1!$G$197:$G$203</c:f>
              <c:numCache>
                <c:formatCode>_(* #,##0.00_);_(* \(#,##0.00\);_(* "-"??_);_(@_)</c:formatCode>
                <c:ptCount val="7"/>
                <c:pt idx="0">
                  <c:v>483.87096774193549</c:v>
                </c:pt>
                <c:pt idx="1">
                  <c:v>483.87096774193549</c:v>
                </c:pt>
                <c:pt idx="2">
                  <c:v>483.87096774193549</c:v>
                </c:pt>
                <c:pt idx="3">
                  <c:v>483.87096774193549</c:v>
                </c:pt>
                <c:pt idx="4">
                  <c:v>483.87096774193549</c:v>
                </c:pt>
                <c:pt idx="5">
                  <c:v>483.87096774193549</c:v>
                </c:pt>
                <c:pt idx="6">
                  <c:v>483.87096774193549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3387664"/>
        <c:axId val="813395280"/>
      </c:lineChart>
      <c:lineChart>
        <c:grouping val="standard"/>
        <c:varyColors val="0"/>
        <c:ser>
          <c:idx val="1"/>
          <c:order val="1"/>
          <c:tx>
            <c:strRef>
              <c:f>Лист1!$H$196</c:f>
              <c:strCache>
                <c:ptCount val="1"/>
                <c:pt idx="0">
                  <c:v>Фактический расход за сутки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9.7469056692358683E-3"/>
                  <c:y val="-4.7979629436069392E-2"/>
                </c:manualLayout>
              </c:layout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1.2183632086544831E-3"/>
                  <c:y val="-2.8550083303215588E-3"/>
                </c:manualLayout>
              </c:layout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3.655089625963458E-3"/>
                  <c:y val="-4.5980478209566474E-2"/>
                </c:manualLayout>
              </c:layout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4.8734528346180382E-3"/>
                  <c:y val="-4.7979629436069364E-2"/>
                </c:manualLayout>
              </c:layout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3.655089625963458E-3"/>
                  <c:y val="-4.6190782622055282E-2"/>
                </c:manualLayout>
              </c:layout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Лист1!$F$197:$F$203</c:f>
              <c:numCache>
                <c:formatCode>m/d/yyyy</c:formatCode>
                <c:ptCount val="7"/>
                <c:pt idx="0">
                  <c:v>45718</c:v>
                </c:pt>
                <c:pt idx="1">
                  <c:v>45719</c:v>
                </c:pt>
                <c:pt idx="2">
                  <c:v>45720</c:v>
                </c:pt>
                <c:pt idx="3">
                  <c:v>45721</c:v>
                </c:pt>
                <c:pt idx="4">
                  <c:v>45722</c:v>
                </c:pt>
                <c:pt idx="5">
                  <c:v>45723</c:v>
                </c:pt>
                <c:pt idx="6">
                  <c:v>45724</c:v>
                </c:pt>
              </c:numCache>
            </c:numRef>
          </c:cat>
          <c:val>
            <c:numRef>
              <c:f>Лист1!$H$197:$H$203</c:f>
              <c:numCache>
                <c:formatCode>_(* #,##0.00_);_(* \(#,##0.00\);_(* "-"??_);_(@_)</c:formatCode>
                <c:ptCount val="7"/>
                <c:pt idx="0">
                  <c:v>738.31200000003446</c:v>
                </c:pt>
                <c:pt idx="1">
                  <c:v>465.30400000000373</c:v>
                </c:pt>
                <c:pt idx="2">
                  <c:v>2045.5019999999786</c:v>
                </c:pt>
                <c:pt idx="3">
                  <c:v>4207.1500000000233</c:v>
                </c:pt>
                <c:pt idx="4">
                  <c:v>3804.5409999999683</c:v>
                </c:pt>
                <c:pt idx="5">
                  <c:v>1318.155999999959</c:v>
                </c:pt>
                <c:pt idx="6">
                  <c:v>397.00400000007357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396368"/>
        <c:axId val="813386576"/>
      </c:lineChart>
      <c:dateAx>
        <c:axId val="81338766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813395280"/>
        <c:crosses val="autoZero"/>
        <c:auto val="1"/>
        <c:lblOffset val="100"/>
        <c:baseTimeUnit val="days"/>
      </c:dateAx>
      <c:valAx>
        <c:axId val="81339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/>
                  <a:t>Расход воды, м3</a:t>
                </a:r>
              </a:p>
            </c:rich>
          </c:tx>
          <c:layout>
            <c:manualLayout>
              <c:xMode val="edge"/>
              <c:yMode val="edge"/>
              <c:x val="2.2019323635145006E-2"/>
              <c:y val="0.3258407537907151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813387664"/>
        <c:crosses val="autoZero"/>
        <c:crossBetween val="between"/>
      </c:valAx>
      <c:valAx>
        <c:axId val="81338657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/>
                  <a:t>Переработка, т/сутки</a:t>
                </a:r>
              </a:p>
            </c:rich>
          </c:tx>
          <c:layout>
            <c:manualLayout>
              <c:xMode val="edge"/>
              <c:yMode val="edge"/>
              <c:x val="0.96820768172519989"/>
              <c:y val="0.2756379606621031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813396368"/>
        <c:crosses val="max"/>
        <c:crossBetween val="between"/>
      </c:valAx>
      <c:dateAx>
        <c:axId val="813396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813386576"/>
        <c:crosses val="autoZero"/>
        <c:auto val="1"/>
        <c:lblOffset val="100"/>
        <c:baseTimeUnit val="days"/>
      </c:date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09308214831322"/>
          <c:y val="4.3244790868667657E-2"/>
          <c:w val="0.81662813411521962"/>
          <c:h val="0.73584503131275758"/>
        </c:manualLayout>
      </c:layout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2.3716427905869905E-2"/>
                  <c:y val="-3.11922965614650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2738793599091E-2"/>
                  <c:y val="4.78905884902518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4992704121789357E-2"/>
                  <c:y val="-4.11798082397732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4.8487510044972593E-2"/>
                  <c:y val="-3.11094061477307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3.5072425122672592E-2"/>
                  <c:y val="-6.1723046180959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5.4051902670827403E-3"/>
                  <c:y val="-2.48257438182210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5.4158626445278933E-2"/>
                  <c:y val="-3.20348032430300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Лист1!$F$226:$F$233</c:f>
            </c:multiLvlStrRef>
          </c:cat>
          <c:val>
            <c:numRef>
              <c:f>Лист1!$G$226:$G$233</c:f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3388752"/>
        <c:axId val="813392560"/>
      </c:line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4.8884594883800932E-2"/>
                  <c:y val="3.12296514279782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3.6222931661826212E-2"/>
                  <c:y val="-3.26582747410242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9596676028079612E-2"/>
                  <c:y val="6.59135171241839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3.210961934528965E-2"/>
                  <c:y val="2.58459730877878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4.0820336916668094E-2"/>
                  <c:y val="-2.870776071879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2.0806518133573811E-2"/>
                  <c:y val="-4.36766861593535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1.918232546220593E-2"/>
                  <c:y val="-3.39238601543735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Лист1!$F$226:$F$233</c:f>
            </c:multiLvlStrRef>
          </c:cat>
          <c:val>
            <c:numRef>
              <c:f>Лист1!$H$226:$H$233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393104"/>
        <c:axId val="813398000"/>
      </c:lineChart>
      <c:catAx>
        <c:axId val="813388752"/>
        <c:scaling>
          <c:orientation val="minMax"/>
        </c:scaling>
        <c:delete val="0"/>
        <c:axPos val="b"/>
        <c:numFmt formatCode="dd/m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813392560"/>
        <c:crosses val="autoZero"/>
        <c:auto val="1"/>
        <c:lblAlgn val="ctr"/>
        <c:lblOffset val="100"/>
        <c:noMultiLvlLbl val="0"/>
      </c:catAx>
      <c:valAx>
        <c:axId val="813392560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 sz="1400">
                    <a:solidFill>
                      <a:sysClr val="windowText" lastClr="000000"/>
                    </a:solidFill>
                  </a:rPr>
                  <a:t>Расход воды, м3</a:t>
                </a:r>
              </a:p>
            </c:rich>
          </c:tx>
          <c:layout>
            <c:manualLayout>
              <c:xMode val="edge"/>
              <c:yMode val="edge"/>
              <c:x val="1.4100735812102983E-2"/>
              <c:y val="0.3279352660735175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813388752"/>
        <c:crosses val="autoZero"/>
        <c:crossBetween val="between"/>
      </c:valAx>
      <c:valAx>
        <c:axId val="813398000"/>
        <c:scaling>
          <c:orientation val="minMax"/>
          <c:max val="2500"/>
          <c:min val="-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 sz="1400">
                    <a:solidFill>
                      <a:sysClr val="windowText" lastClr="000000"/>
                    </a:solidFill>
                  </a:rPr>
                  <a:t>Переработка, т/сутки</a:t>
                </a:r>
              </a:p>
            </c:rich>
          </c:tx>
          <c:layout>
            <c:manualLayout>
              <c:xMode val="edge"/>
              <c:yMode val="edge"/>
              <c:x val="0.89511806798169258"/>
              <c:y val="0.300772692555906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813393104"/>
        <c:crosses val="max"/>
        <c:crossBetween val="between"/>
        <c:majorUnit val="200"/>
      </c:valAx>
      <c:catAx>
        <c:axId val="813393104"/>
        <c:scaling>
          <c:orientation val="minMax"/>
        </c:scaling>
        <c:delete val="1"/>
        <c:axPos val="b"/>
        <c:numFmt formatCode="dd/mm/yyyy" sourceLinked="1"/>
        <c:majorTickMark val="out"/>
        <c:minorTickMark val="none"/>
        <c:tickLblPos val="nextTo"/>
        <c:crossAx val="81339800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Лист1!$G$270</c:f>
              <c:strCache>
                <c:ptCount val="1"/>
                <c:pt idx="0">
                  <c:v>Расход воды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Лист1!$F$271:$F$277</c:f>
            </c:multiLvlStrRef>
          </c:cat>
          <c:val>
            <c:numRef>
              <c:f>Лист1!$G$271:$G$277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398544"/>
        <c:axId val="813393648"/>
      </c:lineChart>
      <c:lineChart>
        <c:grouping val="stacked"/>
        <c:varyColors val="0"/>
        <c:ser>
          <c:idx val="1"/>
          <c:order val="1"/>
          <c:tx>
            <c:strRef>
              <c:f>Лист1!$H$270</c:f>
              <c:strCache>
                <c:ptCount val="1"/>
                <c:pt idx="0">
                  <c:v>Переработка</c:v>
                </c:pt>
              </c:strCache>
            </c:strRef>
          </c:tx>
          <c:dLbls>
            <c:dLbl>
              <c:idx val="6"/>
              <c:layout>
                <c:manualLayout>
                  <c:x val="-5.7755774326815924E-2"/>
                  <c:y val="-4.8971196589300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Лист1!$H$271:$H$277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390384"/>
        <c:axId val="813389840"/>
      </c:lineChart>
      <c:catAx>
        <c:axId val="81339854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crossAx val="813393648"/>
        <c:crosses val="autoZero"/>
        <c:auto val="1"/>
        <c:lblAlgn val="ctr"/>
        <c:lblOffset val="100"/>
        <c:noMultiLvlLbl val="0"/>
      </c:catAx>
      <c:valAx>
        <c:axId val="8133936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 sz="1200" b="1" i="0" baseline="0">
                    <a:latin typeface="Times New Roman" pitchFamily="18" charset="0"/>
                    <a:cs typeface="Times New Roman" pitchFamily="18" charset="0"/>
                  </a:rPr>
                  <a:t>Расход воды, м3</a:t>
                </a:r>
                <a:endParaRPr lang="ru-RU" sz="7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crossAx val="813398544"/>
        <c:crosses val="autoZero"/>
        <c:crossBetween val="between"/>
      </c:valAx>
      <c:valAx>
        <c:axId val="813389840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ru-RU" sz="1200" b="1" i="0" baseline="0">
                    <a:latin typeface="Times New Roman" pitchFamily="18" charset="0"/>
                    <a:cs typeface="Times New Roman" pitchFamily="18" charset="0"/>
                  </a:rPr>
                  <a:t>Переработка, т/сутки</a:t>
                </a:r>
                <a:endParaRPr lang="ru-RU" sz="7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813390384"/>
        <c:crosses val="max"/>
        <c:crossBetween val="between"/>
      </c:valAx>
      <c:catAx>
        <c:axId val="813390384"/>
        <c:scaling>
          <c:orientation val="minMax"/>
        </c:scaling>
        <c:delete val="1"/>
        <c:axPos val="b"/>
        <c:majorTickMark val="out"/>
        <c:minorTickMark val="none"/>
        <c:tickLblPos val="nextTo"/>
        <c:crossAx val="81338984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Лист1!$G$196</c:f>
              <c:strCache>
                <c:ptCount val="1"/>
                <c:pt idx="0">
                  <c:v>Номинальный ежедневный расход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Лист1!$F$197:$F$203</c:f>
              <c:numCache>
                <c:formatCode>m/d/yyyy</c:formatCode>
                <c:ptCount val="7"/>
                <c:pt idx="0">
                  <c:v>45718</c:v>
                </c:pt>
                <c:pt idx="1">
                  <c:v>45719</c:v>
                </c:pt>
                <c:pt idx="2">
                  <c:v>45720</c:v>
                </c:pt>
                <c:pt idx="3">
                  <c:v>45721</c:v>
                </c:pt>
                <c:pt idx="4">
                  <c:v>45722</c:v>
                </c:pt>
                <c:pt idx="5">
                  <c:v>45723</c:v>
                </c:pt>
                <c:pt idx="6">
                  <c:v>45724</c:v>
                </c:pt>
              </c:numCache>
            </c:numRef>
          </c:cat>
          <c:val>
            <c:numRef>
              <c:f>Лист1!$G$197:$G$203</c:f>
              <c:numCache>
                <c:formatCode>_(* #,##0.00_);_(* \(#,##0.00\);_(* "-"??_);_(@_)</c:formatCode>
                <c:ptCount val="7"/>
                <c:pt idx="0">
                  <c:v>483.87096774193549</c:v>
                </c:pt>
                <c:pt idx="1">
                  <c:v>483.87096774193549</c:v>
                </c:pt>
                <c:pt idx="2">
                  <c:v>483.87096774193549</c:v>
                </c:pt>
                <c:pt idx="3">
                  <c:v>483.87096774193549</c:v>
                </c:pt>
                <c:pt idx="4">
                  <c:v>483.87096774193549</c:v>
                </c:pt>
                <c:pt idx="5">
                  <c:v>483.87096774193549</c:v>
                </c:pt>
                <c:pt idx="6">
                  <c:v>483.87096774193549</c:v>
                </c:pt>
              </c:numCache>
            </c:numRef>
          </c:val>
        </c:ser>
        <c:ser>
          <c:idx val="1"/>
          <c:order val="1"/>
          <c:tx>
            <c:strRef>
              <c:f>Лист1!$H$196</c:f>
              <c:strCache>
                <c:ptCount val="1"/>
                <c:pt idx="0">
                  <c:v>Фактический расход за сутки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Лист1!$F$197:$F$203</c:f>
              <c:numCache>
                <c:formatCode>m/d/yyyy</c:formatCode>
                <c:ptCount val="7"/>
                <c:pt idx="0">
                  <c:v>45718</c:v>
                </c:pt>
                <c:pt idx="1">
                  <c:v>45719</c:v>
                </c:pt>
                <c:pt idx="2">
                  <c:v>45720</c:v>
                </c:pt>
                <c:pt idx="3">
                  <c:v>45721</c:v>
                </c:pt>
                <c:pt idx="4">
                  <c:v>45722</c:v>
                </c:pt>
                <c:pt idx="5">
                  <c:v>45723</c:v>
                </c:pt>
                <c:pt idx="6">
                  <c:v>45724</c:v>
                </c:pt>
              </c:numCache>
            </c:numRef>
          </c:cat>
          <c:val>
            <c:numRef>
              <c:f>Лист1!$H$197:$H$203</c:f>
              <c:numCache>
                <c:formatCode>_(* #,##0.00_);_(* \(#,##0.00\);_(* "-"??_);_(@_)</c:formatCode>
                <c:ptCount val="7"/>
                <c:pt idx="0">
                  <c:v>738.31200000003446</c:v>
                </c:pt>
                <c:pt idx="1">
                  <c:v>465.30400000000373</c:v>
                </c:pt>
                <c:pt idx="2">
                  <c:v>2045.5019999999786</c:v>
                </c:pt>
                <c:pt idx="3">
                  <c:v>4207.1500000000233</c:v>
                </c:pt>
                <c:pt idx="4">
                  <c:v>3804.5409999999683</c:v>
                </c:pt>
                <c:pt idx="5">
                  <c:v>1318.155999999959</c:v>
                </c:pt>
                <c:pt idx="6">
                  <c:v>397.00400000007357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3396912"/>
        <c:axId val="813397456"/>
      </c:barChart>
      <c:dateAx>
        <c:axId val="8133969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3397456"/>
        <c:crosses val="autoZero"/>
        <c:auto val="1"/>
        <c:lblOffset val="100"/>
        <c:baseTimeUnit val="days"/>
      </c:dateAx>
      <c:valAx>
        <c:axId val="81339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339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250033</xdr:colOff>
      <xdr:row>40</xdr:row>
      <xdr:rowOff>95250</xdr:rowOff>
    </xdr:from>
    <xdr:to>
      <xdr:col>65</xdr:col>
      <xdr:colOff>424658</xdr:colOff>
      <xdr:row>59</xdr:row>
      <xdr:rowOff>39687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87406</xdr:colOff>
      <xdr:row>15</xdr:row>
      <xdr:rowOff>12551</xdr:rowOff>
    </xdr:from>
    <xdr:to>
      <xdr:col>21</xdr:col>
      <xdr:colOff>498886</xdr:colOff>
      <xdr:row>36</xdr:row>
      <xdr:rowOff>155986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35860</xdr:colOff>
      <xdr:row>58</xdr:row>
      <xdr:rowOff>150159</xdr:rowOff>
    </xdr:from>
    <xdr:to>
      <xdr:col>22</xdr:col>
      <xdr:colOff>448235</xdr:colOff>
      <xdr:row>81</xdr:row>
      <xdr:rowOff>0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130630</xdr:colOff>
      <xdr:row>106</xdr:row>
      <xdr:rowOff>176415</xdr:rowOff>
    </xdr:from>
    <xdr:to>
      <xdr:col>18</xdr:col>
      <xdr:colOff>498929</xdr:colOff>
      <xdr:row>123</xdr:row>
      <xdr:rowOff>113394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112059</xdr:colOff>
      <xdr:row>72</xdr:row>
      <xdr:rowOff>85163</xdr:rowOff>
    </xdr:from>
    <xdr:to>
      <xdr:col>34</xdr:col>
      <xdr:colOff>257735</xdr:colOff>
      <xdr:row>87</xdr:row>
      <xdr:rowOff>112058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767764</xdr:colOff>
      <xdr:row>91</xdr:row>
      <xdr:rowOff>17608</xdr:rowOff>
    </xdr:from>
    <xdr:to>
      <xdr:col>23</xdr:col>
      <xdr:colOff>181428</xdr:colOff>
      <xdr:row>104</xdr:row>
      <xdr:rowOff>45357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200396</xdr:colOff>
      <xdr:row>180</xdr:row>
      <xdr:rowOff>18410</xdr:rowOff>
    </xdr:from>
    <xdr:to>
      <xdr:col>22</xdr:col>
      <xdr:colOff>118142</xdr:colOff>
      <xdr:row>210</xdr:row>
      <xdr:rowOff>113181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664026</xdr:colOff>
      <xdr:row>210</xdr:row>
      <xdr:rowOff>195941</xdr:rowOff>
    </xdr:from>
    <xdr:to>
      <xdr:col>24</xdr:col>
      <xdr:colOff>228599</xdr:colOff>
      <xdr:row>241</xdr:row>
      <xdr:rowOff>21770</xdr:rowOff>
    </xdr:to>
    <xdr:graphicFrame macro="">
      <xdr:nvGraphicFramePr>
        <xdr:cNvPr id="10" name="Диаграмма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283027</xdr:colOff>
      <xdr:row>274</xdr:row>
      <xdr:rowOff>21771</xdr:rowOff>
    </xdr:from>
    <xdr:to>
      <xdr:col>16</xdr:col>
      <xdr:colOff>174170</xdr:colOff>
      <xdr:row>298</xdr:row>
      <xdr:rowOff>32656</xdr:rowOff>
    </xdr:to>
    <xdr:graphicFrame macro="">
      <xdr:nvGraphicFramePr>
        <xdr:cNvPr id="14" name="Диаграмма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458106</xdr:colOff>
      <xdr:row>178</xdr:row>
      <xdr:rowOff>68488</xdr:rowOff>
    </xdr:from>
    <xdr:to>
      <xdr:col>9</xdr:col>
      <xdr:colOff>312963</xdr:colOff>
      <xdr:row>190</xdr:row>
      <xdr:rowOff>192313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54;&#1058;&#1063;&#1045;&#1058;&#1067;,%20&#1054;&#1058;&#1043;&#1056;&#1059;&#1047;&#1050;&#1040;,%20&#1041;&#1051;\&#1090;&#1077;&#1093;%20&#1073;&#1072;&#1083;&#1072;&#1085;&#1089;\&#1058;&#1077;&#1093;&#1085;&#1086;&#1083;&#1086;&#1075;&#1080;&#1095;&#1077;&#1089;&#1082;&#1080;&#1081;%20&#1073;&#1072;&#1083;&#1072;&#1085;&#1089;%20(&#1054;&#1087;&#1077;&#1088;&#1072;&#1090;&#1080;&#1074;&#1085;&#1099;&#1081;)%20%20&#1085;&#1086;&#1103;&#1073;&#1088;&#1100;%202021%20&#1075;&#1086;&#107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72;&#1074;&#1075;&#1091;&#1089;&#1090;%202021%20&#1087;&#1086;&#1082;&#1072;&#1079;&#1072;&#1090;&#1077;&#1083;&#1080;\&#1058;&#1077;&#1093;&#1085;&#1086;&#1083;&#1086;&#1075;&#1080;&#1095;&#1077;&#1089;&#1082;&#1080;&#1081;%20&#1073;&#1072;&#1083;&#1072;&#1085;&#1089;%20(&#1054;&#1087;&#1077;&#1088;&#1072;&#1090;&#1080;&#1074;&#1085;&#1099;&#1081;)%20%20&#1076;&#1077;&#1082;&#1072;&#1073;&#1088;&#1100;%202021%20&#1075;&#1086;&#1076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7;&#1074;&#1086;&#1076;&#1082;&#1072;%20&#1071;&#1085;&#1074;&#1072;&#1088;&#1100;%202022%20&#1075;&#1086;&#107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AppData\Roaming\Microsoft\Excel\&#1057;&#1074;&#1086;&#1076;&#1082;&#1072;%20&#1060;&#1077;&#1074;&#1088;&#1072;&#1083;&#1100;%202022%20&#1075;&#1086;&#1076;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AppData\Roaming\Microsoft\Excel\&#1057;&#1074;&#1086;&#1076;&#1082;&#1072;%20&#1052;&#1072;&#1088;&#1090;%202022%20&#1075;&#1086;&#1076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7;&#1074;&#1086;&#1076;&#1082;&#1072;%20&#1052;&#1072;&#1088;&#1090;%202022%20&#1075;&#1086;&#1076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&#1057;&#1074;&#1086;&#1076;&#1082;&#1072;%20&#1052;&#1072;&#1081;%202022%20&#1075;&#1086;&#107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ехнологическая сводка "/>
      <sheetName val="МКР"/>
      <sheetName val="Лист1"/>
    </sheetNames>
    <sheetDataSet>
      <sheetData sheetId="0">
        <row r="4">
          <cell r="E4">
            <v>539.34199999999998</v>
          </cell>
        </row>
        <row r="86">
          <cell r="E86">
            <v>2034</v>
          </cell>
          <cell r="Y86">
            <v>83.215142577210216</v>
          </cell>
        </row>
        <row r="90">
          <cell r="E90">
            <v>1885.1659999999999</v>
          </cell>
          <cell r="Y90">
            <v>86.917986283287163</v>
          </cell>
        </row>
        <row r="94">
          <cell r="E94">
            <v>1720</v>
          </cell>
          <cell r="Y94">
            <v>104.45633063062903</v>
          </cell>
        </row>
        <row r="98">
          <cell r="E98">
            <v>1900.702</v>
          </cell>
          <cell r="Y98">
            <v>81.929366791719502</v>
          </cell>
        </row>
        <row r="102">
          <cell r="E102">
            <v>1670.0709999999999</v>
          </cell>
          <cell r="Y102">
            <v>90.148193849015783</v>
          </cell>
        </row>
        <row r="106">
          <cell r="E106">
            <v>1814.96</v>
          </cell>
          <cell r="Y106">
            <v>71.35020248699395</v>
          </cell>
        </row>
        <row r="110">
          <cell r="E110">
            <v>1928.09</v>
          </cell>
        </row>
        <row r="111">
          <cell r="Y111">
            <v>84.529406305203025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ехнологическая сводка "/>
      <sheetName val="МКР"/>
      <sheetName val="МКР с влагой"/>
      <sheetName val="Лист2"/>
      <sheetName val="Лист1"/>
    </sheetNames>
    <sheetDataSet>
      <sheetData sheetId="0" refreshError="1">
        <row r="106">
          <cell r="E106">
            <v>1904.31</v>
          </cell>
        </row>
        <row r="110">
          <cell r="E110">
            <v>1716.326</v>
          </cell>
        </row>
        <row r="114">
          <cell r="E114">
            <v>1772.269</v>
          </cell>
        </row>
        <row r="118">
          <cell r="E118">
            <v>1899.26</v>
          </cell>
        </row>
        <row r="122">
          <cell r="E122">
            <v>1917.9</v>
          </cell>
        </row>
        <row r="126">
          <cell r="E126">
            <v>1817.0740000000001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евраль 2021 "/>
      <sheetName val="январь 2022г"/>
    </sheetNames>
    <sheetDataSet>
      <sheetData sheetId="0" refreshError="1"/>
      <sheetData sheetId="1" refreshError="1">
        <row r="73">
          <cell r="D73">
            <v>1948.1006000000002</v>
          </cell>
        </row>
        <row r="76">
          <cell r="D76">
            <v>1889.3739999999998</v>
          </cell>
        </row>
        <row r="79">
          <cell r="D79">
            <v>2025.3890000000001</v>
          </cell>
        </row>
        <row r="82">
          <cell r="D82">
            <v>1944.384</v>
          </cell>
        </row>
        <row r="85">
          <cell r="D85">
            <v>1974.4785000000002</v>
          </cell>
        </row>
        <row r="88">
          <cell r="D88">
            <v>1917.8679999999999</v>
          </cell>
        </row>
        <row r="91">
          <cell r="D91">
            <v>1924.7139999999999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евраль 2021 "/>
      <sheetName val="февраль 2022г"/>
    </sheetNames>
    <sheetDataSet>
      <sheetData sheetId="0"/>
      <sheetData sheetId="1">
        <row r="85">
          <cell r="D85">
            <v>1805.5909999999999</v>
          </cell>
        </row>
        <row r="88">
          <cell r="D88">
            <v>1671.816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евраль 2021 "/>
      <sheetName val="МАРТ 2022г"/>
    </sheetNames>
    <sheetDataSet>
      <sheetData sheetId="0" refreshError="1"/>
      <sheetData sheetId="1">
        <row r="7">
          <cell r="D7">
            <v>1714.2809999999999</v>
          </cell>
        </row>
        <row r="10">
          <cell r="D10">
            <v>1528.23</v>
          </cell>
        </row>
        <row r="13">
          <cell r="D13">
            <v>1771.9594999999999</v>
          </cell>
        </row>
        <row r="16">
          <cell r="D16">
            <v>1411.251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евраль 2021 "/>
      <sheetName val="МАРТ 2022г"/>
    </sheetNames>
    <sheetDataSet>
      <sheetData sheetId="0"/>
      <sheetData sheetId="1">
        <row r="7">
          <cell r="G7">
            <v>81.478339758898869</v>
          </cell>
        </row>
        <row r="19">
          <cell r="D19">
            <v>1506.548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евраль 2021 "/>
      <sheetName val="МАЙ 2022г"/>
    </sheetNames>
    <sheetDataSet>
      <sheetData sheetId="0"/>
      <sheetData sheetId="1">
        <row r="28">
          <cell r="D28">
            <v>2149.2690000000002</v>
          </cell>
        </row>
        <row r="31">
          <cell r="D31">
            <v>1905.875</v>
          </cell>
        </row>
        <row r="34">
          <cell r="D34">
            <v>2159.6350000000002</v>
          </cell>
        </row>
        <row r="37">
          <cell r="D37">
            <v>1998.462</v>
          </cell>
        </row>
        <row r="40">
          <cell r="D40">
            <v>1071.6179999999999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4:BS70"/>
  <sheetViews>
    <sheetView tabSelected="1" topLeftCell="AT34" zoomScale="80" zoomScaleNormal="80" workbookViewId="0">
      <selection activeCell="BN68" sqref="BN68"/>
    </sheetView>
  </sheetViews>
  <sheetFormatPr defaultRowHeight="15" x14ac:dyDescent="0.25"/>
  <cols>
    <col min="1" max="1" width="14" customWidth="1"/>
    <col min="2" max="2" width="13" customWidth="1"/>
    <col min="3" max="3" width="18.85546875" customWidth="1"/>
    <col min="4" max="4" width="19" customWidth="1"/>
    <col min="5" max="5" width="13.7109375" customWidth="1"/>
    <col min="7" max="7" width="11.85546875" bestFit="1" customWidth="1"/>
    <col min="8" max="8" width="19.85546875" customWidth="1"/>
    <col min="9" max="9" width="18.140625" customWidth="1"/>
    <col min="10" max="10" width="17.140625" customWidth="1"/>
    <col min="11" max="11" width="16.140625" customWidth="1"/>
    <col min="13" max="13" width="13.140625" customWidth="1"/>
    <col min="14" max="15" width="17.28515625" customWidth="1"/>
    <col min="16" max="16" width="15.28515625" customWidth="1"/>
    <col min="17" max="17" width="16.7109375" customWidth="1"/>
    <col min="19" max="19" width="11.85546875" bestFit="1" customWidth="1"/>
    <col min="20" max="20" width="11" bestFit="1" customWidth="1"/>
    <col min="21" max="21" width="18" customWidth="1"/>
    <col min="22" max="22" width="15.85546875" customWidth="1"/>
    <col min="23" max="23" width="14.140625" customWidth="1"/>
    <col min="25" max="25" width="11.7109375" customWidth="1"/>
    <col min="26" max="26" width="14.42578125" customWidth="1"/>
    <col min="27" max="27" width="16.7109375" customWidth="1"/>
    <col min="28" max="28" width="16" customWidth="1"/>
    <col min="29" max="29" width="18.28515625" customWidth="1"/>
    <col min="31" max="31" width="11.28515625" customWidth="1"/>
    <col min="32" max="32" width="11.7109375" customWidth="1"/>
    <col min="33" max="33" width="14.5703125" customWidth="1"/>
    <col min="34" max="34" width="15" customWidth="1"/>
    <col min="35" max="35" width="13.85546875" customWidth="1"/>
    <col min="36" max="36" width="12.7109375" customWidth="1"/>
    <col min="37" max="37" width="13.5703125" customWidth="1"/>
    <col min="38" max="38" width="12.7109375" customWidth="1"/>
    <col min="39" max="39" width="15.7109375" customWidth="1"/>
    <col min="40" max="40" width="15.42578125" customWidth="1"/>
    <col min="41" max="41" width="13.7109375" customWidth="1"/>
    <col min="43" max="43" width="15" customWidth="1"/>
    <col min="44" max="44" width="12.7109375" customWidth="1"/>
    <col min="45" max="46" width="13.7109375" customWidth="1"/>
    <col min="47" max="47" width="13.42578125" customWidth="1"/>
    <col min="49" max="49" width="12.7109375" customWidth="1"/>
    <col min="50" max="50" width="11.85546875" customWidth="1"/>
    <col min="51" max="51" width="14" customWidth="1"/>
    <col min="52" max="52" width="13.85546875" customWidth="1"/>
    <col min="53" max="53" width="11.85546875" customWidth="1"/>
    <col min="55" max="55" width="12.5703125" customWidth="1"/>
    <col min="56" max="56" width="12.140625" customWidth="1"/>
    <col min="57" max="57" width="15" customWidth="1"/>
    <col min="58" max="58" width="14.7109375" customWidth="1"/>
    <col min="59" max="59" width="13.42578125" customWidth="1"/>
    <col min="61" max="62" width="13.5703125" customWidth="1"/>
    <col min="63" max="63" width="13.85546875" customWidth="1"/>
    <col min="64" max="64" width="14.5703125" customWidth="1"/>
    <col min="65" max="65" width="14" customWidth="1"/>
    <col min="67" max="67" width="10.5703125" customWidth="1"/>
    <col min="68" max="68" width="13.28515625" customWidth="1"/>
    <col min="69" max="69" width="18.140625" customWidth="1"/>
    <col min="70" max="70" width="13.7109375" customWidth="1"/>
    <col min="71" max="71" width="13.42578125" customWidth="1"/>
  </cols>
  <sheetData>
    <row r="4" spans="2:71" x14ac:dyDescent="0.25">
      <c r="B4" s="66"/>
      <c r="C4" s="71" t="s">
        <v>38</v>
      </c>
      <c r="D4" s="71"/>
      <c r="E4" s="72"/>
      <c r="G4" s="66"/>
      <c r="H4" s="65"/>
      <c r="I4" s="71" t="s">
        <v>39</v>
      </c>
      <c r="J4" s="71"/>
      <c r="K4" s="72"/>
      <c r="M4" s="66"/>
      <c r="N4" s="65"/>
      <c r="O4" s="71" t="s">
        <v>40</v>
      </c>
      <c r="P4" s="71"/>
      <c r="Q4" s="72"/>
      <c r="S4" s="66"/>
      <c r="T4" s="65"/>
      <c r="U4" s="71" t="s">
        <v>43</v>
      </c>
      <c r="V4" s="71"/>
      <c r="W4" s="72"/>
      <c r="Y4" s="66"/>
      <c r="Z4" s="65"/>
      <c r="AA4" s="71" t="s">
        <v>44</v>
      </c>
      <c r="AB4" s="71"/>
      <c r="AC4" s="72"/>
      <c r="AE4" s="66"/>
      <c r="AF4" s="65"/>
      <c r="AG4" s="71" t="s">
        <v>45</v>
      </c>
      <c r="AH4" s="71"/>
      <c r="AI4" s="72"/>
      <c r="AK4" s="66"/>
      <c r="AL4" s="65"/>
      <c r="AM4" s="71" t="s">
        <v>46</v>
      </c>
      <c r="AN4" s="71"/>
      <c r="AO4" s="72"/>
      <c r="AQ4" s="66"/>
      <c r="AR4" s="65"/>
      <c r="AS4" s="71" t="s">
        <v>47</v>
      </c>
      <c r="AT4" s="71"/>
      <c r="AU4" s="72"/>
      <c r="AW4" s="66"/>
      <c r="AX4" s="65"/>
      <c r="AY4" s="71" t="s">
        <v>48</v>
      </c>
      <c r="AZ4" s="71"/>
      <c r="BA4" s="72"/>
      <c r="BC4" s="66"/>
      <c r="BD4" s="65"/>
      <c r="BE4" s="71" t="s">
        <v>49</v>
      </c>
      <c r="BF4" s="71"/>
      <c r="BG4" s="72"/>
      <c r="BI4" s="66"/>
      <c r="BJ4" s="65"/>
      <c r="BK4" s="71" t="s">
        <v>50</v>
      </c>
      <c r="BL4" s="71"/>
      <c r="BM4" s="72"/>
      <c r="BO4" s="66"/>
      <c r="BP4" s="65"/>
      <c r="BQ4" s="71" t="s">
        <v>51</v>
      </c>
      <c r="BR4" s="71"/>
      <c r="BS4" s="72"/>
    </row>
    <row r="5" spans="2:71" ht="63" x14ac:dyDescent="0.25">
      <c r="B5" s="1" t="s">
        <v>0</v>
      </c>
      <c r="C5" s="73" t="s">
        <v>1</v>
      </c>
      <c r="D5" s="73" t="s">
        <v>2</v>
      </c>
      <c r="E5" s="73" t="s">
        <v>3</v>
      </c>
      <c r="G5" s="1" t="s">
        <v>0</v>
      </c>
      <c r="H5" s="75" t="s">
        <v>41</v>
      </c>
      <c r="I5" s="73" t="s">
        <v>1</v>
      </c>
      <c r="J5" s="73" t="s">
        <v>42</v>
      </c>
      <c r="K5" s="73" t="s">
        <v>3</v>
      </c>
      <c r="M5" s="1" t="s">
        <v>0</v>
      </c>
      <c r="N5" s="75" t="s">
        <v>41</v>
      </c>
      <c r="O5" s="73" t="s">
        <v>1</v>
      </c>
      <c r="P5" s="73" t="s">
        <v>42</v>
      </c>
      <c r="Q5" s="73" t="s">
        <v>3</v>
      </c>
      <c r="S5" s="1" t="s">
        <v>0</v>
      </c>
      <c r="T5" s="75" t="s">
        <v>41</v>
      </c>
      <c r="U5" s="73" t="s">
        <v>1</v>
      </c>
      <c r="V5" s="73" t="s">
        <v>42</v>
      </c>
      <c r="W5" s="73" t="s">
        <v>3</v>
      </c>
      <c r="Y5" s="1" t="s">
        <v>0</v>
      </c>
      <c r="Z5" s="75" t="s">
        <v>41</v>
      </c>
      <c r="AA5" s="73" t="s">
        <v>1</v>
      </c>
      <c r="AB5" s="73" t="s">
        <v>42</v>
      </c>
      <c r="AC5" s="73" t="s">
        <v>3</v>
      </c>
      <c r="AE5" s="1" t="s">
        <v>0</v>
      </c>
      <c r="AF5" s="75" t="s">
        <v>41</v>
      </c>
      <c r="AG5" s="73" t="s">
        <v>1</v>
      </c>
      <c r="AH5" s="73" t="s">
        <v>42</v>
      </c>
      <c r="AI5" s="73" t="s">
        <v>3</v>
      </c>
      <c r="AK5" s="1" t="s">
        <v>0</v>
      </c>
      <c r="AL5" s="75" t="s">
        <v>41</v>
      </c>
      <c r="AM5" s="73" t="s">
        <v>1</v>
      </c>
      <c r="AN5" s="73" t="s">
        <v>42</v>
      </c>
      <c r="AO5" s="73" t="s">
        <v>3</v>
      </c>
      <c r="AQ5" s="1" t="s">
        <v>0</v>
      </c>
      <c r="AR5" s="75" t="s">
        <v>41</v>
      </c>
      <c r="AS5" s="73" t="s">
        <v>1</v>
      </c>
      <c r="AT5" s="73" t="s">
        <v>42</v>
      </c>
      <c r="AU5" s="73" t="s">
        <v>3</v>
      </c>
      <c r="AW5" s="1" t="s">
        <v>0</v>
      </c>
      <c r="AX5" s="75" t="s">
        <v>41</v>
      </c>
      <c r="AY5" s="73" t="s">
        <v>1</v>
      </c>
      <c r="AZ5" s="73" t="s">
        <v>42</v>
      </c>
      <c r="BA5" s="73" t="s">
        <v>3</v>
      </c>
      <c r="BC5" s="1" t="s">
        <v>0</v>
      </c>
      <c r="BD5" s="75" t="s">
        <v>41</v>
      </c>
      <c r="BE5" s="73" t="s">
        <v>1</v>
      </c>
      <c r="BF5" s="73" t="s">
        <v>42</v>
      </c>
      <c r="BG5" s="73" t="s">
        <v>3</v>
      </c>
      <c r="BI5" s="1" t="s">
        <v>0</v>
      </c>
      <c r="BJ5" s="75" t="s">
        <v>41</v>
      </c>
      <c r="BK5" s="73" t="s">
        <v>1</v>
      </c>
      <c r="BL5" s="73" t="s">
        <v>42</v>
      </c>
      <c r="BM5" s="73" t="s">
        <v>3</v>
      </c>
      <c r="BO5" s="1" t="s">
        <v>0</v>
      </c>
      <c r="BP5" s="75" t="s">
        <v>41</v>
      </c>
      <c r="BQ5" s="73" t="s">
        <v>1</v>
      </c>
      <c r="BR5" s="73" t="s">
        <v>42</v>
      </c>
      <c r="BS5" s="73" t="s">
        <v>3</v>
      </c>
    </row>
    <row r="6" spans="2:71" ht="15.75" x14ac:dyDescent="0.25">
      <c r="B6" s="4">
        <v>45689</v>
      </c>
      <c r="C6" s="74">
        <v>964258.61399999994</v>
      </c>
      <c r="D6" s="74" t="e">
        <f>C6-#REF!</f>
        <v>#REF!</v>
      </c>
      <c r="E6" s="74">
        <f>E11</f>
        <v>17.9223333333357</v>
      </c>
      <c r="G6" s="4">
        <v>45717</v>
      </c>
      <c r="H6" s="76">
        <v>483.87096774193549</v>
      </c>
      <c r="I6" s="74">
        <v>976854.18700000003</v>
      </c>
      <c r="J6" s="74">
        <v>492.82</v>
      </c>
      <c r="K6" s="74">
        <f t="shared" ref="K6:K33" si="0">J6/24</f>
        <v>20.534166666666668</v>
      </c>
      <c r="M6" s="4">
        <v>45748</v>
      </c>
      <c r="N6" s="74">
        <v>483.87096774193549</v>
      </c>
      <c r="O6" s="74">
        <v>15046.35</v>
      </c>
      <c r="P6" s="74">
        <f>O6-I36</f>
        <v>615.91600000000108</v>
      </c>
      <c r="Q6" s="74">
        <f t="shared" ref="Q6:Q35" si="1">P6/24</f>
        <v>25.663166666666712</v>
      </c>
      <c r="S6" s="4">
        <v>45778</v>
      </c>
      <c r="T6" s="74">
        <v>483.87096774193549</v>
      </c>
      <c r="U6" s="74">
        <v>53468.321000000004</v>
      </c>
      <c r="V6" s="74">
        <f>U6-O35</f>
        <v>865.16000000000349</v>
      </c>
      <c r="W6" s="74">
        <f t="shared" ref="W6:W30" si="2">V6/24</f>
        <v>36.048333333333481</v>
      </c>
      <c r="Y6" s="4">
        <v>45809</v>
      </c>
      <c r="Z6" s="74">
        <v>3333</v>
      </c>
      <c r="AA6" s="74">
        <v>151746.29300000001</v>
      </c>
      <c r="AB6" s="74">
        <v>3855.56</v>
      </c>
      <c r="AC6" s="74">
        <f t="shared" ref="AC6:AC30" si="3">AB6/24</f>
        <v>160.64833333333334</v>
      </c>
      <c r="AE6" s="4">
        <v>45839</v>
      </c>
      <c r="AF6" s="74">
        <v>3333</v>
      </c>
      <c r="AG6" s="74">
        <v>225061.46599999999</v>
      </c>
      <c r="AH6" s="74">
        <v>2232.2439999999769</v>
      </c>
      <c r="AI6" s="74"/>
      <c r="AK6" s="4">
        <v>45870</v>
      </c>
      <c r="AL6" s="74">
        <v>3333</v>
      </c>
      <c r="AM6" s="74">
        <v>340380.38500000001</v>
      </c>
      <c r="AN6" s="74">
        <v>4166.13</v>
      </c>
      <c r="AO6" s="74">
        <f t="shared" ref="AO6:AO8" si="4">AN6/24</f>
        <v>173.58875</v>
      </c>
      <c r="AQ6" s="4">
        <v>45901</v>
      </c>
      <c r="AR6" s="74">
        <v>3333</v>
      </c>
      <c r="AS6" s="74">
        <v>463590.788</v>
      </c>
      <c r="AT6" s="74">
        <v>4079</v>
      </c>
      <c r="AU6" s="74">
        <f t="shared" ref="AU6" si="5">AT6/24</f>
        <v>169.95833333333334</v>
      </c>
      <c r="AW6" s="4">
        <v>45931</v>
      </c>
      <c r="AX6" s="74">
        <v>3333</v>
      </c>
      <c r="AY6" s="74">
        <v>527894.19700000004</v>
      </c>
      <c r="AZ6" s="74">
        <v>4000.91</v>
      </c>
      <c r="BA6" s="74">
        <f t="shared" ref="BA6:BA30" si="6">AZ6/24</f>
        <v>166.70458333333332</v>
      </c>
      <c r="BC6" s="4">
        <v>45962</v>
      </c>
      <c r="BD6" s="74">
        <v>3333</v>
      </c>
      <c r="BE6" s="74">
        <v>642315.36</v>
      </c>
      <c r="BF6" s="74">
        <v>3931.9769999999553</v>
      </c>
      <c r="BG6" s="74">
        <f t="shared" ref="BG6:BG31" si="7">BF6/24</f>
        <v>163.83237499999814</v>
      </c>
      <c r="BI6" s="4">
        <v>45992</v>
      </c>
      <c r="BJ6" s="74">
        <v>3333</v>
      </c>
      <c r="BK6" s="74">
        <v>755227.35</v>
      </c>
      <c r="BL6" s="74">
        <v>3786.98</v>
      </c>
      <c r="BM6" s="74">
        <f t="shared" ref="BM6:BM36" si="8">BL6/24</f>
        <v>157.79083333333332</v>
      </c>
      <c r="BO6" s="4">
        <v>46023</v>
      </c>
      <c r="BP6" s="74">
        <v>965.56399999999996</v>
      </c>
      <c r="BQ6" s="74">
        <v>608713.75399999996</v>
      </c>
      <c r="BR6" s="74">
        <v>1349.41</v>
      </c>
      <c r="BS6" s="74">
        <v>56.365000000000386</v>
      </c>
    </row>
    <row r="7" spans="2:71" ht="15.75" x14ac:dyDescent="0.25">
      <c r="B7" s="4">
        <v>45690</v>
      </c>
      <c r="C7" s="74">
        <v>964326.76199999999</v>
      </c>
      <c r="D7" s="74">
        <f t="shared" ref="D7:D11" si="9">C7-C6</f>
        <v>68.148000000044703</v>
      </c>
      <c r="E7" s="74">
        <f t="shared" ref="E7:E28" si="10">D7/24</f>
        <v>2.8395000000018626</v>
      </c>
      <c r="G7" s="4">
        <v>45718</v>
      </c>
      <c r="H7" s="76">
        <v>483.87096774193549</v>
      </c>
      <c r="I7" s="74">
        <v>977547.30700000003</v>
      </c>
      <c r="J7" s="74">
        <f t="shared" ref="J7:J30" si="11">I7-I6</f>
        <v>693.11999999999534</v>
      </c>
      <c r="K7" s="74">
        <f t="shared" si="0"/>
        <v>28.879999999999807</v>
      </c>
      <c r="M7" s="4">
        <v>45749</v>
      </c>
      <c r="N7" s="76">
        <v>483.87096774193549</v>
      </c>
      <c r="O7" s="74">
        <v>15505.57</v>
      </c>
      <c r="P7" s="74">
        <f t="shared" ref="P7:P35" si="12">O7-O6</f>
        <v>459.21999999999935</v>
      </c>
      <c r="Q7" s="74">
        <f t="shared" si="1"/>
        <v>19.134166666666641</v>
      </c>
      <c r="S7" s="4">
        <v>45779</v>
      </c>
      <c r="T7" s="74">
        <v>483.87096774193549</v>
      </c>
      <c r="U7" s="74">
        <v>56093.021000000001</v>
      </c>
      <c r="V7" s="74">
        <f t="shared" ref="V7:V33" si="13">U7-U6</f>
        <v>2624.6999999999971</v>
      </c>
      <c r="W7" s="74">
        <f t="shared" si="2"/>
        <v>109.36249999999988</v>
      </c>
      <c r="Y7" s="4">
        <v>45810</v>
      </c>
      <c r="Z7" s="74">
        <v>3333</v>
      </c>
      <c r="AA7" s="74">
        <v>155452.77299999999</v>
      </c>
      <c r="AB7" s="74">
        <v>3706.4849999999901</v>
      </c>
      <c r="AC7" s="74">
        <f t="shared" si="3"/>
        <v>154.43687499999959</v>
      </c>
      <c r="AE7" s="4">
        <v>45840</v>
      </c>
      <c r="AF7" s="74">
        <v>3333</v>
      </c>
      <c r="AG7" s="74">
        <v>225622.33600000001</v>
      </c>
      <c r="AH7" s="74">
        <v>560.87</v>
      </c>
      <c r="AI7" s="74"/>
      <c r="AK7" s="4">
        <v>45871</v>
      </c>
      <c r="AL7" s="74">
        <v>3333</v>
      </c>
      <c r="AM7" s="74">
        <v>344753.84100000001</v>
      </c>
      <c r="AN7" s="74">
        <f t="shared" ref="AN7:AN36" si="14">AM7-AM6</f>
        <v>4373.4560000000056</v>
      </c>
      <c r="AO7" s="74">
        <f t="shared" si="4"/>
        <v>182.22733333333358</v>
      </c>
      <c r="AQ7" s="4">
        <v>45902</v>
      </c>
      <c r="AR7" s="74">
        <v>3333</v>
      </c>
      <c r="AS7" s="74">
        <v>467685.848</v>
      </c>
      <c r="AT7" s="74">
        <f t="shared" ref="AT7:AT35" si="15">AS7-AS6</f>
        <v>4095.0599999999977</v>
      </c>
      <c r="AU7" s="74">
        <f t="shared" ref="AU7:AU30" si="16">AT7/24</f>
        <v>170.62749999999991</v>
      </c>
      <c r="AW7" s="4">
        <v>45932</v>
      </c>
      <c r="AX7" s="74">
        <v>3333</v>
      </c>
      <c r="AY7" s="74">
        <v>531694.85699999996</v>
      </c>
      <c r="AZ7" s="74">
        <f t="shared" ref="AZ7:AZ36" si="17">AY7-AY6</f>
        <v>3800.6599999999162</v>
      </c>
      <c r="BA7" s="74">
        <f t="shared" si="6"/>
        <v>158.36083333332985</v>
      </c>
      <c r="BC7" s="4">
        <v>45963</v>
      </c>
      <c r="BD7" s="74">
        <v>3333</v>
      </c>
      <c r="BE7" s="74">
        <v>646247.34</v>
      </c>
      <c r="BF7" s="74">
        <v>3578.2000000000116</v>
      </c>
      <c r="BG7" s="74">
        <f t="shared" si="7"/>
        <v>149.09166666666715</v>
      </c>
      <c r="BI7" s="4">
        <v>45993</v>
      </c>
      <c r="BJ7" s="74">
        <v>3333</v>
      </c>
      <c r="BK7" s="74">
        <v>756028.01</v>
      </c>
      <c r="BL7" s="74">
        <f>BK7-BK6</f>
        <v>800.6600000000326</v>
      </c>
      <c r="BM7" s="74">
        <f t="shared" si="8"/>
        <v>33.360833333334689</v>
      </c>
      <c r="BO7" s="4">
        <v>46024</v>
      </c>
      <c r="BP7" s="74">
        <v>965.56399999999996</v>
      </c>
      <c r="BQ7" s="74">
        <v>610042.48400000005</v>
      </c>
      <c r="BR7" s="74">
        <f t="shared" ref="BR7:BR36" si="18">BQ7-BQ6</f>
        <v>1328.7300000000978</v>
      </c>
      <c r="BS7" s="74">
        <f t="shared" ref="BS7:BS36" si="19">BR7/24</f>
        <v>55.363750000004075</v>
      </c>
    </row>
    <row r="8" spans="2:71" ht="15.75" x14ac:dyDescent="0.25">
      <c r="B8" s="4">
        <v>45691</v>
      </c>
      <c r="C8" s="74">
        <v>964478.42200000002</v>
      </c>
      <c r="D8" s="74">
        <f t="shared" si="9"/>
        <v>151.6600000000326</v>
      </c>
      <c r="E8" s="74">
        <f t="shared" si="10"/>
        <v>6.3191666666680248</v>
      </c>
      <c r="G8" s="4">
        <v>45719</v>
      </c>
      <c r="H8" s="76">
        <v>483.87096774193549</v>
      </c>
      <c r="I8" s="74">
        <v>978085.81900000002</v>
      </c>
      <c r="J8" s="74">
        <f t="shared" si="11"/>
        <v>538.51199999998789</v>
      </c>
      <c r="K8" s="74">
        <f t="shared" si="0"/>
        <v>22.437999999999494</v>
      </c>
      <c r="M8" s="4">
        <v>45750</v>
      </c>
      <c r="N8" s="76">
        <v>483.87096774193549</v>
      </c>
      <c r="O8" s="74">
        <v>15718.737999999999</v>
      </c>
      <c r="P8" s="74">
        <f t="shared" si="12"/>
        <v>213.16799999999967</v>
      </c>
      <c r="Q8" s="74">
        <f t="shared" si="1"/>
        <v>8.8819999999999855</v>
      </c>
      <c r="S8" s="4">
        <v>45780</v>
      </c>
      <c r="T8" s="74">
        <v>483.87096774193549</v>
      </c>
      <c r="U8" s="74">
        <v>58250.677000000003</v>
      </c>
      <c r="V8" s="74">
        <f t="shared" si="13"/>
        <v>2157.6560000000027</v>
      </c>
      <c r="W8" s="74">
        <f t="shared" si="2"/>
        <v>89.902333333333445</v>
      </c>
      <c r="Y8" s="4">
        <v>45811</v>
      </c>
      <c r="Z8" s="74">
        <v>3333</v>
      </c>
      <c r="AA8" s="74">
        <v>159297.821</v>
      </c>
      <c r="AB8" s="74">
        <f t="shared" ref="AB8:AB33" si="20">AA8-AA7</f>
        <v>3845.0480000000098</v>
      </c>
      <c r="AC8" s="74">
        <f t="shared" si="3"/>
        <v>160.21033333333375</v>
      </c>
      <c r="AE8" s="4">
        <v>45841</v>
      </c>
      <c r="AF8" s="74">
        <v>3333</v>
      </c>
      <c r="AG8" s="74">
        <v>228236.13800000001</v>
      </c>
      <c r="AH8" s="74">
        <v>2613.8000000000002</v>
      </c>
      <c r="AI8" s="74"/>
      <c r="AK8" s="4">
        <v>45872</v>
      </c>
      <c r="AL8" s="74">
        <v>3333</v>
      </c>
      <c r="AM8" s="74">
        <v>348579.87400000001</v>
      </c>
      <c r="AN8" s="74">
        <f t="shared" si="14"/>
        <v>3826.0329999999958</v>
      </c>
      <c r="AO8" s="74">
        <f t="shared" si="4"/>
        <v>159.41804166666648</v>
      </c>
      <c r="AQ8" s="4">
        <v>45903</v>
      </c>
      <c r="AR8" s="74">
        <v>3333</v>
      </c>
      <c r="AS8" s="74">
        <v>471656.47600000002</v>
      </c>
      <c r="AT8" s="74">
        <f t="shared" si="15"/>
        <v>3970.6280000000261</v>
      </c>
      <c r="AU8" s="74">
        <f t="shared" si="16"/>
        <v>165.44283333333442</v>
      </c>
      <c r="AW8" s="4">
        <v>45933</v>
      </c>
      <c r="AX8" s="74">
        <v>3333</v>
      </c>
      <c r="AY8" s="74">
        <v>534994.24600000004</v>
      </c>
      <c r="AZ8" s="74">
        <f t="shared" si="17"/>
        <v>3299.3890000000829</v>
      </c>
      <c r="BA8" s="74">
        <f t="shared" si="6"/>
        <v>137.47454166667012</v>
      </c>
      <c r="BC8" s="4">
        <v>45964</v>
      </c>
      <c r="BD8" s="74">
        <v>3333</v>
      </c>
      <c r="BE8" s="74">
        <v>649825.54</v>
      </c>
      <c r="BF8" s="74">
        <v>3825.2640000000247</v>
      </c>
      <c r="BG8" s="74">
        <f t="shared" si="7"/>
        <v>159.38600000000102</v>
      </c>
      <c r="BI8" s="4">
        <v>45994</v>
      </c>
      <c r="BJ8" s="74">
        <v>3333</v>
      </c>
      <c r="BK8" s="74">
        <v>757606.21</v>
      </c>
      <c r="BL8" s="74">
        <f t="shared" ref="BL8:BL15" si="21">BK8-BK7</f>
        <v>1578.1999999999534</v>
      </c>
      <c r="BM8" s="74">
        <f t="shared" si="8"/>
        <v>65.758333333331393</v>
      </c>
      <c r="BO8" s="4">
        <v>46025</v>
      </c>
      <c r="BP8" s="74">
        <v>965.56399999999996</v>
      </c>
      <c r="BQ8" s="74">
        <v>610636.23400000005</v>
      </c>
      <c r="BR8" s="74">
        <f t="shared" si="18"/>
        <v>593.75</v>
      </c>
      <c r="BS8" s="74">
        <f t="shared" si="19"/>
        <v>24.739583333333332</v>
      </c>
    </row>
    <row r="9" spans="2:71" ht="15.75" x14ac:dyDescent="0.25">
      <c r="B9" s="4">
        <v>45692</v>
      </c>
      <c r="C9" s="74">
        <v>964972.89399999997</v>
      </c>
      <c r="D9" s="74">
        <f t="shared" si="9"/>
        <v>494.47199999995064</v>
      </c>
      <c r="E9" s="74">
        <f t="shared" si="10"/>
        <v>20.602999999997945</v>
      </c>
      <c r="G9" s="4">
        <v>45720</v>
      </c>
      <c r="H9" s="76">
        <v>483.87096774193549</v>
      </c>
      <c r="I9" s="74">
        <v>978551.12300000002</v>
      </c>
      <c r="J9" s="74">
        <f t="shared" si="11"/>
        <v>465.30400000000373</v>
      </c>
      <c r="K9" s="74">
        <f t="shared" si="0"/>
        <v>19.387666666666821</v>
      </c>
      <c r="M9" s="4">
        <v>45751</v>
      </c>
      <c r="N9" s="76">
        <v>483.87096774193549</v>
      </c>
      <c r="O9" s="74">
        <v>18136.57</v>
      </c>
      <c r="P9" s="74">
        <f t="shared" si="12"/>
        <v>2417.8320000000003</v>
      </c>
      <c r="Q9" s="74">
        <f t="shared" si="1"/>
        <v>100.74300000000001</v>
      </c>
      <c r="S9" s="4">
        <v>45781</v>
      </c>
      <c r="T9" s="74">
        <v>483.87096774193549</v>
      </c>
      <c r="U9" s="74">
        <v>60951.201999999997</v>
      </c>
      <c r="V9" s="74">
        <f t="shared" si="13"/>
        <v>2700.5249999999942</v>
      </c>
      <c r="W9" s="74">
        <f t="shared" si="2"/>
        <v>112.52187499999975</v>
      </c>
      <c r="Y9" s="4">
        <v>45812</v>
      </c>
      <c r="Z9" s="74">
        <v>3333</v>
      </c>
      <c r="AA9" s="74">
        <v>163114.08499999999</v>
      </c>
      <c r="AB9" s="74">
        <f>AA9-AA8</f>
        <v>3816.2639999999956</v>
      </c>
      <c r="AC9" s="74">
        <f t="shared" si="3"/>
        <v>159.01099999999983</v>
      </c>
      <c r="AE9" s="4">
        <v>45842</v>
      </c>
      <c r="AF9" s="74">
        <v>3333</v>
      </c>
      <c r="AG9" s="74">
        <v>232375.36300000001</v>
      </c>
      <c r="AH9" s="74">
        <f>AG9-AG8</f>
        <v>4139.2250000000058</v>
      </c>
      <c r="AI9" s="74">
        <f t="shared" ref="AI9:AI30" si="22">AH9/24</f>
        <v>172.46770833333358</v>
      </c>
      <c r="AK9" s="4">
        <v>45873</v>
      </c>
      <c r="AL9" s="74">
        <v>3333</v>
      </c>
      <c r="AM9" s="74">
        <v>352158.07400000002</v>
      </c>
      <c r="AN9" s="74">
        <f t="shared" si="14"/>
        <v>3578.2000000000116</v>
      </c>
      <c r="AO9" s="74">
        <f t="shared" ref="AO9:AO30" si="23">AN9/24</f>
        <v>149.09166666666715</v>
      </c>
      <c r="AQ9" s="4">
        <v>45904</v>
      </c>
      <c r="AR9" s="74">
        <v>3333</v>
      </c>
      <c r="AS9" s="74">
        <v>475446.84100000001</v>
      </c>
      <c r="AT9" s="74">
        <f t="shared" si="15"/>
        <v>3790.3649999999907</v>
      </c>
      <c r="AU9" s="74">
        <f t="shared" si="16"/>
        <v>157.93187499999962</v>
      </c>
      <c r="AW9" s="4">
        <v>45934</v>
      </c>
      <c r="AX9" s="74">
        <v>3333</v>
      </c>
      <c r="AY9" s="74">
        <v>538717.23800000001</v>
      </c>
      <c r="AZ9" s="74">
        <f t="shared" si="17"/>
        <v>3722.9919999999693</v>
      </c>
      <c r="BA9" s="74">
        <f t="shared" si="6"/>
        <v>155.12466666666538</v>
      </c>
      <c r="BC9" s="4">
        <v>45965</v>
      </c>
      <c r="BD9" s="74">
        <v>3333</v>
      </c>
      <c r="BE9" s="74">
        <v>653650.80000000005</v>
      </c>
      <c r="BF9" s="74">
        <v>3694.6759999999776</v>
      </c>
      <c r="BG9" s="74">
        <f t="shared" si="7"/>
        <v>153.94483333333241</v>
      </c>
      <c r="BI9" s="4">
        <v>45995</v>
      </c>
      <c r="BJ9" s="74">
        <v>3333</v>
      </c>
      <c r="BK9" s="74">
        <v>758315.65</v>
      </c>
      <c r="BL9" s="74">
        <f t="shared" si="21"/>
        <v>709.44000000006054</v>
      </c>
      <c r="BM9" s="74">
        <f t="shared" si="8"/>
        <v>29.560000000002521</v>
      </c>
      <c r="BO9" s="4">
        <v>46026</v>
      </c>
      <c r="BP9" s="74">
        <v>965.56399999999996</v>
      </c>
      <c r="BQ9" s="74">
        <v>611252.89399999997</v>
      </c>
      <c r="BR9" s="74">
        <f t="shared" si="18"/>
        <v>616.65999999991618</v>
      </c>
      <c r="BS9" s="74">
        <f t="shared" si="19"/>
        <v>25.694166666663175</v>
      </c>
    </row>
    <row r="10" spans="2:71" ht="15.75" x14ac:dyDescent="0.25">
      <c r="B10" s="4">
        <v>45693</v>
      </c>
      <c r="C10" s="74">
        <v>965156.05799999996</v>
      </c>
      <c r="D10" s="74">
        <f t="shared" si="9"/>
        <v>183.16399999998976</v>
      </c>
      <c r="E10" s="74">
        <f t="shared" si="10"/>
        <v>7.6318333333329065</v>
      </c>
      <c r="G10" s="4">
        <v>45721</v>
      </c>
      <c r="H10" s="76">
        <v>483.87096774193549</v>
      </c>
      <c r="I10" s="74">
        <v>980596.62300000002</v>
      </c>
      <c r="J10" s="74">
        <f t="shared" si="11"/>
        <v>2045.5</v>
      </c>
      <c r="K10" s="74">
        <f t="shared" si="0"/>
        <v>85.229166666666671</v>
      </c>
      <c r="M10" s="4">
        <v>45752</v>
      </c>
      <c r="N10" s="76">
        <v>483.87096774193549</v>
      </c>
      <c r="O10" s="74">
        <v>21719.23</v>
      </c>
      <c r="P10" s="74">
        <f t="shared" si="12"/>
        <v>3582.66</v>
      </c>
      <c r="Q10" s="74">
        <f t="shared" si="1"/>
        <v>149.2775</v>
      </c>
      <c r="S10" s="4">
        <v>45782</v>
      </c>
      <c r="T10" s="74">
        <v>483.87096774193549</v>
      </c>
      <c r="U10" s="74">
        <v>62570.194000000003</v>
      </c>
      <c r="V10" s="74">
        <f t="shared" si="13"/>
        <v>1618.9920000000056</v>
      </c>
      <c r="W10" s="74">
        <f t="shared" si="2"/>
        <v>67.45800000000024</v>
      </c>
      <c r="Y10" s="4">
        <v>45813</v>
      </c>
      <c r="Z10" s="74">
        <v>3333</v>
      </c>
      <c r="AA10" s="74">
        <v>166790.274</v>
      </c>
      <c r="AB10" s="74">
        <f>AA10-AA9</f>
        <v>3676.189000000013</v>
      </c>
      <c r="AC10" s="74">
        <f t="shared" si="3"/>
        <v>153.17454166666721</v>
      </c>
      <c r="AE10" s="4">
        <v>45843</v>
      </c>
      <c r="AF10" s="74">
        <v>3333</v>
      </c>
      <c r="AG10" s="74">
        <v>236434.07500000001</v>
      </c>
      <c r="AH10" s="74">
        <f>AG10-AG9</f>
        <v>4058.7119999999995</v>
      </c>
      <c r="AI10" s="74">
        <f t="shared" si="22"/>
        <v>169.11299999999997</v>
      </c>
      <c r="AK10" s="4">
        <v>45874</v>
      </c>
      <c r="AL10" s="74">
        <v>3333</v>
      </c>
      <c r="AM10" s="74">
        <v>355770.92700000003</v>
      </c>
      <c r="AN10" s="74">
        <f t="shared" si="14"/>
        <v>3612.8530000000028</v>
      </c>
      <c r="AO10" s="74">
        <f t="shared" si="23"/>
        <v>150.53554166666677</v>
      </c>
      <c r="AQ10" s="4">
        <v>45905</v>
      </c>
      <c r="AR10" s="74">
        <v>3333</v>
      </c>
      <c r="AS10" s="74">
        <v>479354.02500000002</v>
      </c>
      <c r="AT10" s="74">
        <f t="shared" si="15"/>
        <v>3907.1840000000084</v>
      </c>
      <c r="AU10" s="74">
        <f t="shared" si="16"/>
        <v>162.79933333333369</v>
      </c>
      <c r="AW10" s="4">
        <v>45935</v>
      </c>
      <c r="AX10" s="74">
        <v>3333</v>
      </c>
      <c r="AY10" s="74">
        <v>542141.72199999995</v>
      </c>
      <c r="AZ10" s="74">
        <f t="shared" si="17"/>
        <v>3424.4839999999385</v>
      </c>
      <c r="BA10" s="74">
        <f t="shared" si="6"/>
        <v>142.68683333333078</v>
      </c>
      <c r="BC10" s="4">
        <v>45966</v>
      </c>
      <c r="BD10" s="74">
        <v>3333</v>
      </c>
      <c r="BE10" s="74">
        <v>657345.48</v>
      </c>
      <c r="BF10" s="74">
        <v>3682.8640000000014</v>
      </c>
      <c r="BG10" s="74">
        <f t="shared" si="7"/>
        <v>153.45266666666672</v>
      </c>
      <c r="BI10" s="4">
        <v>45996</v>
      </c>
      <c r="BJ10" s="74">
        <v>3333</v>
      </c>
      <c r="BK10" s="74">
        <v>759680.94</v>
      </c>
      <c r="BL10" s="74">
        <f t="shared" si="21"/>
        <v>1365.2899999999208</v>
      </c>
      <c r="BM10" s="74">
        <f t="shared" si="8"/>
        <v>56.887083333330033</v>
      </c>
      <c r="BO10" s="4">
        <v>46027</v>
      </c>
      <c r="BP10" s="74">
        <v>965.56399999999996</v>
      </c>
      <c r="BQ10" s="74">
        <v>612026.59400000004</v>
      </c>
      <c r="BR10" s="74">
        <f t="shared" si="18"/>
        <v>773.70000000006985</v>
      </c>
      <c r="BS10" s="74">
        <f t="shared" si="19"/>
        <v>32.23750000000291</v>
      </c>
    </row>
    <row r="11" spans="2:71" ht="15.75" x14ac:dyDescent="0.25">
      <c r="B11" s="4">
        <v>45694</v>
      </c>
      <c r="C11" s="74">
        <v>965586.19400000002</v>
      </c>
      <c r="D11" s="74">
        <f t="shared" si="9"/>
        <v>430.13600000005681</v>
      </c>
      <c r="E11" s="74">
        <f t="shared" si="10"/>
        <v>17.9223333333357</v>
      </c>
      <c r="G11" s="4">
        <v>45722</v>
      </c>
      <c r="H11" s="76">
        <v>483.87096774193549</v>
      </c>
      <c r="I11" s="74">
        <v>984803.77500000002</v>
      </c>
      <c r="J11" s="74">
        <f t="shared" si="11"/>
        <v>4207.1520000000019</v>
      </c>
      <c r="K11" s="74">
        <f t="shared" si="0"/>
        <v>175.29800000000009</v>
      </c>
      <c r="M11" s="4">
        <v>45753</v>
      </c>
      <c r="N11" s="76">
        <v>483.87096774193549</v>
      </c>
      <c r="O11" s="74">
        <v>25490.751</v>
      </c>
      <c r="P11" s="74">
        <f t="shared" si="12"/>
        <v>3771.5210000000006</v>
      </c>
      <c r="Q11" s="74">
        <f t="shared" si="1"/>
        <v>157.14670833333335</v>
      </c>
      <c r="S11" s="4">
        <v>45783</v>
      </c>
      <c r="T11" s="74">
        <v>483.87096774193549</v>
      </c>
      <c r="U11" s="74">
        <v>64736.95</v>
      </c>
      <c r="V11" s="74">
        <f t="shared" si="13"/>
        <v>2166.7559999999939</v>
      </c>
      <c r="W11" s="74">
        <f t="shared" si="2"/>
        <v>90.281499999999753</v>
      </c>
      <c r="Y11" s="4">
        <v>45814</v>
      </c>
      <c r="Z11" s="74">
        <v>3333</v>
      </c>
      <c r="AA11" s="74">
        <v>170637.37</v>
      </c>
      <c r="AB11" s="74">
        <f>AA11-AA10</f>
        <v>3847.0959999999905</v>
      </c>
      <c r="AC11" s="74">
        <f t="shared" si="3"/>
        <v>160.29566666666628</v>
      </c>
      <c r="AE11" s="4">
        <v>45844</v>
      </c>
      <c r="AF11" s="74">
        <v>3333</v>
      </c>
      <c r="AG11" s="74">
        <v>240210.72700000001</v>
      </c>
      <c r="AH11" s="74">
        <f>AG11-AG10</f>
        <v>3776.6520000000019</v>
      </c>
      <c r="AI11" s="74">
        <f t="shared" si="22"/>
        <v>157.36050000000009</v>
      </c>
      <c r="AK11" s="4">
        <v>45875</v>
      </c>
      <c r="AL11" s="74">
        <v>3333</v>
      </c>
      <c r="AM11" s="74">
        <v>359203.99900000001</v>
      </c>
      <c r="AN11" s="74">
        <f t="shared" si="14"/>
        <v>3433.0719999999856</v>
      </c>
      <c r="AO11" s="74">
        <f t="shared" si="23"/>
        <v>143.04466666666607</v>
      </c>
      <c r="AQ11" s="4">
        <v>45906</v>
      </c>
      <c r="AR11" s="74">
        <v>3333</v>
      </c>
      <c r="AS11" s="74">
        <v>483047.74900000001</v>
      </c>
      <c r="AT11" s="74">
        <f t="shared" si="15"/>
        <v>3693.7239999999874</v>
      </c>
      <c r="AU11" s="74">
        <f t="shared" si="16"/>
        <v>153.90516666666613</v>
      </c>
      <c r="AW11" s="4">
        <v>45936</v>
      </c>
      <c r="AX11" s="74">
        <v>3333</v>
      </c>
      <c r="AY11" s="74">
        <v>545928.69900000002</v>
      </c>
      <c r="AZ11" s="74">
        <f t="shared" si="17"/>
        <v>3786.9770000000717</v>
      </c>
      <c r="BA11" s="74">
        <f t="shared" si="6"/>
        <v>157.79070833333631</v>
      </c>
      <c r="BC11" s="4">
        <v>45967</v>
      </c>
      <c r="BD11" s="74">
        <v>3333</v>
      </c>
      <c r="BE11" s="74">
        <v>661028.34</v>
      </c>
      <c r="BF11" s="74">
        <v>3433.0719999999856</v>
      </c>
      <c r="BG11" s="74">
        <f t="shared" si="7"/>
        <v>143.04466666666607</v>
      </c>
      <c r="BI11" s="4">
        <v>45997</v>
      </c>
      <c r="BJ11" s="74">
        <v>3333</v>
      </c>
      <c r="BK11" s="74">
        <v>761375.62</v>
      </c>
      <c r="BL11" s="74">
        <f t="shared" si="21"/>
        <v>1694.6800000000512</v>
      </c>
      <c r="BM11" s="74">
        <f t="shared" si="8"/>
        <v>70.611666666668796</v>
      </c>
      <c r="BO11" s="4">
        <v>46028</v>
      </c>
      <c r="BP11" s="74">
        <v>965.56399999999996</v>
      </c>
      <c r="BQ11" s="74">
        <v>612932.91399999999</v>
      </c>
      <c r="BR11" s="74">
        <f t="shared" si="18"/>
        <v>906.31999999994878</v>
      </c>
      <c r="BS11" s="74">
        <f t="shared" si="19"/>
        <v>37.763333333331197</v>
      </c>
    </row>
    <row r="12" spans="2:71" ht="15.75" x14ac:dyDescent="0.25">
      <c r="B12" s="4">
        <v>45695</v>
      </c>
      <c r="C12" s="74">
        <v>965586.19400000002</v>
      </c>
      <c r="D12" s="74">
        <f t="shared" ref="D12:D33" si="24">C12-C11</f>
        <v>0</v>
      </c>
      <c r="E12" s="74">
        <f t="shared" si="10"/>
        <v>0</v>
      </c>
      <c r="G12" s="4">
        <v>45723</v>
      </c>
      <c r="H12" s="76">
        <v>483.87096774193549</v>
      </c>
      <c r="I12" s="74">
        <v>988608.31599999999</v>
      </c>
      <c r="J12" s="74">
        <f t="shared" si="11"/>
        <v>3804.5409999999683</v>
      </c>
      <c r="K12" s="74">
        <f t="shared" si="0"/>
        <v>158.52254166666535</v>
      </c>
      <c r="M12" s="4">
        <v>45754</v>
      </c>
      <c r="N12" s="76">
        <v>483.87096774193549</v>
      </c>
      <c r="O12" s="74">
        <v>28439.082999999999</v>
      </c>
      <c r="P12" s="74">
        <f t="shared" si="12"/>
        <v>2948.3319999999985</v>
      </c>
      <c r="Q12" s="74">
        <f t="shared" si="1"/>
        <v>122.84716666666661</v>
      </c>
      <c r="S12" s="4">
        <v>45784</v>
      </c>
      <c r="T12" s="74">
        <v>483.87096774193549</v>
      </c>
      <c r="U12" s="74">
        <v>66338.474000000002</v>
      </c>
      <c r="V12" s="74">
        <f t="shared" si="13"/>
        <v>1601.5240000000049</v>
      </c>
      <c r="W12" s="74">
        <f t="shared" si="2"/>
        <v>66.730166666666875</v>
      </c>
      <c r="Y12" s="4">
        <v>45815</v>
      </c>
      <c r="Z12" s="74">
        <v>3333</v>
      </c>
      <c r="AA12" s="74">
        <v>174360.23</v>
      </c>
      <c r="AB12" s="74">
        <f t="shared" si="20"/>
        <v>3722.8600000000151</v>
      </c>
      <c r="AC12" s="74">
        <f t="shared" si="3"/>
        <v>155.1191666666673</v>
      </c>
      <c r="AE12" s="4">
        <v>45845</v>
      </c>
      <c r="AF12" s="74">
        <v>3333</v>
      </c>
      <c r="AG12" s="74">
        <v>243956.144</v>
      </c>
      <c r="AH12" s="74">
        <f t="shared" ref="AH12:AH33" si="25">AG12-AG11</f>
        <v>3745.4169999999867</v>
      </c>
      <c r="AI12" s="74">
        <f t="shared" si="22"/>
        <v>156.0590416666661</v>
      </c>
      <c r="AK12" s="4">
        <v>45876</v>
      </c>
      <c r="AL12" s="74">
        <v>3333</v>
      </c>
      <c r="AM12" s="74">
        <v>362569.29100000003</v>
      </c>
      <c r="AN12" s="74">
        <f t="shared" si="14"/>
        <v>3365.2920000000158</v>
      </c>
      <c r="AO12" s="74">
        <f t="shared" si="23"/>
        <v>140.22050000000067</v>
      </c>
      <c r="AQ12" s="4">
        <v>45907</v>
      </c>
      <c r="AR12" s="74">
        <v>3333</v>
      </c>
      <c r="AS12" s="74">
        <v>486742.42499999999</v>
      </c>
      <c r="AT12" s="74">
        <f t="shared" si="15"/>
        <v>3694.6759999999776</v>
      </c>
      <c r="AU12" s="74">
        <f t="shared" si="16"/>
        <v>153.94483333333241</v>
      </c>
      <c r="AW12" s="4">
        <v>45937</v>
      </c>
      <c r="AX12" s="74">
        <v>3333</v>
      </c>
      <c r="AY12" s="74">
        <v>549589.67500000005</v>
      </c>
      <c r="AZ12" s="74">
        <f t="shared" si="17"/>
        <v>3660.9760000000242</v>
      </c>
      <c r="BA12" s="74">
        <f t="shared" si="6"/>
        <v>152.54066666666768</v>
      </c>
      <c r="BC12" s="4">
        <v>45968</v>
      </c>
      <c r="BD12" s="74">
        <v>3333</v>
      </c>
      <c r="BE12" s="74">
        <v>664461.41</v>
      </c>
      <c r="BF12" s="74">
        <v>3709.4440000000177</v>
      </c>
      <c r="BG12" s="74">
        <f t="shared" si="7"/>
        <v>154.56016666666741</v>
      </c>
      <c r="BI12" s="4">
        <v>45998</v>
      </c>
      <c r="BJ12" s="74">
        <v>3333</v>
      </c>
      <c r="BK12" s="74">
        <v>764069.34</v>
      </c>
      <c r="BL12" s="74">
        <f t="shared" si="21"/>
        <v>2693.7199999999721</v>
      </c>
      <c r="BM12" s="74">
        <f t="shared" si="8"/>
        <v>112.23833333333216</v>
      </c>
      <c r="BO12" s="4">
        <v>46029</v>
      </c>
      <c r="BP12" s="74">
        <v>965.56399999999996</v>
      </c>
      <c r="BQ12" s="74">
        <v>613792.49399999995</v>
      </c>
      <c r="BR12" s="74">
        <f t="shared" si="18"/>
        <v>859.57999999995809</v>
      </c>
      <c r="BS12" s="74">
        <f t="shared" si="19"/>
        <v>35.815833333331589</v>
      </c>
    </row>
    <row r="13" spans="2:71" ht="15.75" x14ac:dyDescent="0.25">
      <c r="B13" s="4">
        <v>45696</v>
      </c>
      <c r="C13" s="74">
        <v>965703.37</v>
      </c>
      <c r="D13" s="74">
        <f t="shared" si="24"/>
        <v>117.17599999997765</v>
      </c>
      <c r="E13" s="74">
        <f t="shared" si="10"/>
        <v>4.8823333333324017</v>
      </c>
      <c r="G13" s="4">
        <v>45724</v>
      </c>
      <c r="H13" s="76">
        <v>483.87096774193549</v>
      </c>
      <c r="I13" s="74">
        <v>989926.47199999995</v>
      </c>
      <c r="J13" s="74">
        <f t="shared" si="11"/>
        <v>1318.155999999959</v>
      </c>
      <c r="K13" s="74">
        <f t="shared" si="0"/>
        <v>54.923166666664962</v>
      </c>
      <c r="M13" s="4">
        <v>45755</v>
      </c>
      <c r="N13" s="76">
        <v>483.87096774193549</v>
      </c>
      <c r="O13" s="74">
        <v>30173.595000000001</v>
      </c>
      <c r="P13" s="74">
        <f t="shared" si="12"/>
        <v>1734.5120000000024</v>
      </c>
      <c r="Q13" s="74">
        <f t="shared" si="1"/>
        <v>72.27133333333343</v>
      </c>
      <c r="S13" s="4">
        <v>45785</v>
      </c>
      <c r="T13" s="74">
        <v>483.87096774193549</v>
      </c>
      <c r="U13" s="74">
        <v>68522.377999999997</v>
      </c>
      <c r="V13" s="74">
        <f t="shared" si="13"/>
        <v>2183.903999999995</v>
      </c>
      <c r="W13" s="74">
        <f t="shared" si="2"/>
        <v>90.995999999999796</v>
      </c>
      <c r="Y13" s="4">
        <v>45816</v>
      </c>
      <c r="Z13" s="74">
        <v>3333</v>
      </c>
      <c r="AA13" s="74">
        <v>178153.378</v>
      </c>
      <c r="AB13" s="74">
        <f t="shared" si="20"/>
        <v>3793.1479999999865</v>
      </c>
      <c r="AC13" s="74">
        <f t="shared" si="3"/>
        <v>158.04783333333276</v>
      </c>
      <c r="AE13" s="4">
        <v>45846</v>
      </c>
      <c r="AF13" s="74">
        <v>3333</v>
      </c>
      <c r="AG13" s="74">
        <v>247749.34400000001</v>
      </c>
      <c r="AH13" s="74">
        <f t="shared" si="25"/>
        <v>3793.2000000000116</v>
      </c>
      <c r="AI13" s="74">
        <f t="shared" si="22"/>
        <v>158.05000000000049</v>
      </c>
      <c r="AK13" s="4">
        <v>45877</v>
      </c>
      <c r="AL13" s="74">
        <v>3333</v>
      </c>
      <c r="AM13" s="74">
        <v>366501.26799999998</v>
      </c>
      <c r="AN13" s="74">
        <f t="shared" si="14"/>
        <v>3931.9769999999553</v>
      </c>
      <c r="AO13" s="74">
        <f t="shared" si="23"/>
        <v>163.83237499999814</v>
      </c>
      <c r="AQ13" s="4">
        <v>45908</v>
      </c>
      <c r="AR13" s="74">
        <v>3333</v>
      </c>
      <c r="AS13" s="74">
        <v>490245.20699999999</v>
      </c>
      <c r="AT13" s="74">
        <f t="shared" si="15"/>
        <v>3502.7820000000065</v>
      </c>
      <c r="AU13" s="74">
        <f t="shared" si="16"/>
        <v>145.94925000000026</v>
      </c>
      <c r="AW13" s="4">
        <v>45938</v>
      </c>
      <c r="AX13" s="74">
        <v>3333</v>
      </c>
      <c r="AY13" s="74">
        <v>553758.07900000003</v>
      </c>
      <c r="AZ13" s="74">
        <f t="shared" si="17"/>
        <v>4168.4039999999804</v>
      </c>
      <c r="BA13" s="74">
        <f t="shared" si="6"/>
        <v>173.68349999999919</v>
      </c>
      <c r="BC13" s="4">
        <v>45969</v>
      </c>
      <c r="BD13" s="74">
        <v>3333</v>
      </c>
      <c r="BE13" s="74">
        <v>668170.85</v>
      </c>
      <c r="BF13" s="74">
        <v>3884.1719999999623</v>
      </c>
      <c r="BG13" s="74">
        <f t="shared" si="7"/>
        <v>161.84049999999843</v>
      </c>
      <c r="BI13" s="4">
        <v>45999</v>
      </c>
      <c r="BJ13" s="74">
        <v>3333</v>
      </c>
      <c r="BK13" s="74">
        <v>766865.89</v>
      </c>
      <c r="BL13" s="74">
        <f t="shared" si="21"/>
        <v>2796.5500000000466</v>
      </c>
      <c r="BM13" s="74">
        <f t="shared" si="8"/>
        <v>116.52291666666861</v>
      </c>
      <c r="BO13" s="4">
        <v>46030</v>
      </c>
      <c r="BP13" s="74">
        <v>965.56399999999996</v>
      </c>
      <c r="BQ13" s="74">
        <v>614815.005</v>
      </c>
      <c r="BR13" s="74">
        <f t="shared" si="18"/>
        <v>1022.5110000000568</v>
      </c>
      <c r="BS13" s="74">
        <f t="shared" si="19"/>
        <v>42.604625000002365</v>
      </c>
    </row>
    <row r="14" spans="2:71" ht="15.75" x14ac:dyDescent="0.25">
      <c r="B14" s="4">
        <v>45697</v>
      </c>
      <c r="C14" s="74">
        <v>965826.72600000002</v>
      </c>
      <c r="D14" s="74">
        <f t="shared" si="24"/>
        <v>123.35600000002887</v>
      </c>
      <c r="E14" s="74">
        <f t="shared" si="10"/>
        <v>5.1398333333345363</v>
      </c>
      <c r="G14" s="4">
        <v>45725</v>
      </c>
      <c r="H14" s="76">
        <v>483.87096774193549</v>
      </c>
      <c r="I14" s="74">
        <v>990323.47600000002</v>
      </c>
      <c r="J14" s="74">
        <f t="shared" si="11"/>
        <v>397.00400000007357</v>
      </c>
      <c r="K14" s="74">
        <f t="shared" si="0"/>
        <v>16.541833333336399</v>
      </c>
      <c r="M14" s="4">
        <v>45756</v>
      </c>
      <c r="N14" s="76">
        <v>483.87096774193549</v>
      </c>
      <c r="O14" s="74">
        <v>30664.179</v>
      </c>
      <c r="P14" s="74">
        <f t="shared" si="12"/>
        <v>490.58399999999892</v>
      </c>
      <c r="Q14" s="74">
        <f t="shared" si="1"/>
        <v>20.440999999999956</v>
      </c>
      <c r="S14" s="4">
        <v>45786</v>
      </c>
      <c r="T14" s="74">
        <v>483.87096774193549</v>
      </c>
      <c r="U14" s="74">
        <v>69875.138000000006</v>
      </c>
      <c r="V14" s="74">
        <f t="shared" si="13"/>
        <v>1352.7600000000093</v>
      </c>
      <c r="W14" s="74">
        <f t="shared" si="2"/>
        <v>56.365000000000386</v>
      </c>
      <c r="Y14" s="4">
        <v>45817</v>
      </c>
      <c r="Z14" s="74">
        <v>3333</v>
      </c>
      <c r="AA14" s="74">
        <v>181923.427</v>
      </c>
      <c r="AB14" s="74">
        <f t="shared" si="20"/>
        <v>3770.0489999999991</v>
      </c>
      <c r="AC14" s="74">
        <f t="shared" si="3"/>
        <v>157.08537499999997</v>
      </c>
      <c r="AE14" s="4">
        <v>45847</v>
      </c>
      <c r="AF14" s="74">
        <v>3333</v>
      </c>
      <c r="AG14" s="74">
        <v>251258.18</v>
      </c>
      <c r="AH14" s="74">
        <f t="shared" si="25"/>
        <v>3508.8359999999811</v>
      </c>
      <c r="AI14" s="74">
        <f t="shared" si="22"/>
        <v>146.20149999999921</v>
      </c>
      <c r="AK14" s="4">
        <v>45878</v>
      </c>
      <c r="AL14" s="74">
        <v>3333</v>
      </c>
      <c r="AM14" s="74">
        <v>370210.712</v>
      </c>
      <c r="AN14" s="74">
        <f t="shared" si="14"/>
        <v>3709.4440000000177</v>
      </c>
      <c r="AO14" s="74">
        <f t="shared" si="23"/>
        <v>154.56016666666741</v>
      </c>
      <c r="AQ14" s="4">
        <v>45909</v>
      </c>
      <c r="AR14" s="74">
        <v>3333</v>
      </c>
      <c r="AS14" s="74">
        <v>494103.37400000001</v>
      </c>
      <c r="AT14" s="74">
        <f t="shared" si="15"/>
        <v>3858.1670000000158</v>
      </c>
      <c r="AU14" s="74">
        <f t="shared" si="16"/>
        <v>160.75695833333398</v>
      </c>
      <c r="AW14" s="4">
        <v>45939</v>
      </c>
      <c r="AX14" s="74">
        <v>3333</v>
      </c>
      <c r="AY14" s="74">
        <v>557421.23199999996</v>
      </c>
      <c r="AZ14" s="74">
        <f t="shared" si="17"/>
        <v>3663.1529999999329</v>
      </c>
      <c r="BA14" s="74">
        <f t="shared" si="6"/>
        <v>152.63137499999721</v>
      </c>
      <c r="BC14" s="4">
        <v>45970</v>
      </c>
      <c r="BD14" s="74">
        <v>3333</v>
      </c>
      <c r="BE14" s="74">
        <v>672055.02</v>
      </c>
      <c r="BF14" s="74">
        <v>3612.8530000000001</v>
      </c>
      <c r="BG14" s="74">
        <f t="shared" si="7"/>
        <v>150.53554166666666</v>
      </c>
      <c r="BI14" s="4">
        <v>46000</v>
      </c>
      <c r="BJ14" s="74">
        <v>3333</v>
      </c>
      <c r="BK14" s="74">
        <v>767590.86</v>
      </c>
      <c r="BL14" s="74">
        <f t="shared" si="21"/>
        <v>724.96999999997206</v>
      </c>
      <c r="BM14" s="74">
        <f t="shared" si="8"/>
        <v>30.207083333332168</v>
      </c>
      <c r="BO14" s="4">
        <v>46031</v>
      </c>
      <c r="BP14" s="74">
        <v>965.56399999999996</v>
      </c>
      <c r="BQ14" s="74">
        <v>616010.875</v>
      </c>
      <c r="BR14" s="74">
        <f t="shared" si="18"/>
        <v>1195.8699999999953</v>
      </c>
      <c r="BS14" s="74">
        <f t="shared" si="19"/>
        <v>49.827916666666475</v>
      </c>
    </row>
    <row r="15" spans="2:71" ht="15.75" x14ac:dyDescent="0.25">
      <c r="B15" s="4">
        <v>45698</v>
      </c>
      <c r="C15" s="74">
        <v>965826.72600000002</v>
      </c>
      <c r="D15" s="74">
        <f t="shared" si="24"/>
        <v>0</v>
      </c>
      <c r="E15" s="74">
        <f t="shared" si="10"/>
        <v>0</v>
      </c>
      <c r="G15" s="4">
        <v>45726</v>
      </c>
      <c r="H15" s="76">
        <v>483.87096774193549</v>
      </c>
      <c r="I15" s="74">
        <v>990589.23199999996</v>
      </c>
      <c r="J15" s="74">
        <f t="shared" si="11"/>
        <v>265.75599999993574</v>
      </c>
      <c r="K15" s="74">
        <f t="shared" si="0"/>
        <v>11.073166666663989</v>
      </c>
      <c r="M15" s="4">
        <v>45757</v>
      </c>
      <c r="N15" s="76">
        <v>483.87096774193549</v>
      </c>
      <c r="O15" s="74">
        <v>31541.147000000001</v>
      </c>
      <c r="P15" s="74">
        <f t="shared" si="12"/>
        <v>876.96800000000076</v>
      </c>
      <c r="Q15" s="74">
        <f t="shared" si="1"/>
        <v>36.540333333333365</v>
      </c>
      <c r="S15" s="4">
        <v>45787</v>
      </c>
      <c r="T15" s="74">
        <v>483.87096774193549</v>
      </c>
      <c r="U15" s="74">
        <v>71516.642000000007</v>
      </c>
      <c r="V15" s="74">
        <f t="shared" si="13"/>
        <v>1641.5040000000008</v>
      </c>
      <c r="W15" s="74">
        <f t="shared" si="2"/>
        <v>68.396000000000029</v>
      </c>
      <c r="Y15" s="4">
        <v>45818</v>
      </c>
      <c r="Z15" s="74">
        <v>3333</v>
      </c>
      <c r="AA15" s="74">
        <v>185638.64300000001</v>
      </c>
      <c r="AB15" s="74">
        <f t="shared" si="20"/>
        <v>3715.2160000000149</v>
      </c>
      <c r="AC15" s="74">
        <f t="shared" si="3"/>
        <v>154.8006666666673</v>
      </c>
      <c r="AE15" s="4">
        <v>45848</v>
      </c>
      <c r="AF15" s="74">
        <v>3333</v>
      </c>
      <c r="AG15" s="74">
        <v>255084.03700000001</v>
      </c>
      <c r="AH15" s="74">
        <f t="shared" si="25"/>
        <v>3825.8570000000182</v>
      </c>
      <c r="AI15" s="74">
        <f t="shared" si="22"/>
        <v>159.4107083333341</v>
      </c>
      <c r="AK15" s="4">
        <v>45879</v>
      </c>
      <c r="AL15" s="74">
        <v>3333</v>
      </c>
      <c r="AM15" s="74">
        <v>374035.97600000002</v>
      </c>
      <c r="AN15" s="74">
        <f t="shared" si="14"/>
        <v>3825.2640000000247</v>
      </c>
      <c r="AO15" s="74">
        <f t="shared" si="23"/>
        <v>159.38600000000102</v>
      </c>
      <c r="AQ15" s="4">
        <v>45910</v>
      </c>
      <c r="AR15" s="74">
        <v>3333</v>
      </c>
      <c r="AS15" s="74">
        <v>497924.74599999998</v>
      </c>
      <c r="AT15" s="74">
        <f t="shared" si="15"/>
        <v>3821.3719999999739</v>
      </c>
      <c r="AU15" s="74">
        <f t="shared" si="16"/>
        <v>159.22383333333224</v>
      </c>
      <c r="AW15" s="4">
        <v>45940</v>
      </c>
      <c r="AX15" s="74">
        <v>3333</v>
      </c>
      <c r="AY15" s="74">
        <v>561356.36399999994</v>
      </c>
      <c r="AZ15" s="74">
        <f t="shared" si="17"/>
        <v>3935.1319999999832</v>
      </c>
      <c r="BA15" s="74">
        <f t="shared" si="6"/>
        <v>163.96383333333264</v>
      </c>
      <c r="BC15" s="4">
        <v>45971</v>
      </c>
      <c r="BD15" s="74">
        <v>3333</v>
      </c>
      <c r="BE15" s="74">
        <v>675667.87</v>
      </c>
      <c r="BF15" s="74">
        <v>3612.8530000000001</v>
      </c>
      <c r="BG15" s="74">
        <f t="shared" si="7"/>
        <v>150.53554166666666</v>
      </c>
      <c r="BI15" s="4">
        <v>46001</v>
      </c>
      <c r="BJ15" s="74">
        <v>3333</v>
      </c>
      <c r="BK15" s="74">
        <v>769023.93</v>
      </c>
      <c r="BL15" s="74">
        <f t="shared" si="21"/>
        <v>1433.0700000000652</v>
      </c>
      <c r="BM15" s="74">
        <f t="shared" si="8"/>
        <v>59.711250000002714</v>
      </c>
      <c r="BO15" s="4">
        <v>46032</v>
      </c>
      <c r="BP15" s="74">
        <v>965.56399999999996</v>
      </c>
      <c r="BQ15" s="74">
        <v>617395.18500000006</v>
      </c>
      <c r="BR15" s="74">
        <f t="shared" si="18"/>
        <v>1384.3100000000559</v>
      </c>
      <c r="BS15" s="74">
        <f t="shared" si="19"/>
        <v>57.679583333335664</v>
      </c>
    </row>
    <row r="16" spans="2:71" ht="15.75" x14ac:dyDescent="0.25">
      <c r="B16" s="4">
        <v>45699</v>
      </c>
      <c r="C16" s="74">
        <v>965977.96600000001</v>
      </c>
      <c r="D16" s="74">
        <f t="shared" si="24"/>
        <v>151.23999999999069</v>
      </c>
      <c r="E16" s="74">
        <f t="shared" si="10"/>
        <v>6.3016666666662786</v>
      </c>
      <c r="G16" s="4">
        <v>45727</v>
      </c>
      <c r="H16" s="76">
        <v>483.87096774193549</v>
      </c>
      <c r="I16" s="74">
        <v>992829.29599999997</v>
      </c>
      <c r="J16" s="74">
        <f t="shared" si="11"/>
        <v>2240.064000000013</v>
      </c>
      <c r="K16" s="74">
        <f t="shared" si="0"/>
        <v>93.336000000000539</v>
      </c>
      <c r="M16" s="4">
        <v>45758</v>
      </c>
      <c r="N16" s="76">
        <v>483.87096774193549</v>
      </c>
      <c r="O16" s="74">
        <v>31956.215</v>
      </c>
      <c r="P16" s="74">
        <f t="shared" si="12"/>
        <v>415.0679999999993</v>
      </c>
      <c r="Q16" s="74">
        <f t="shared" si="1"/>
        <v>17.294499999999971</v>
      </c>
      <c r="S16" s="4">
        <v>45788</v>
      </c>
      <c r="T16" s="74">
        <v>483.87096774193549</v>
      </c>
      <c r="U16" s="74">
        <v>75070.255000000005</v>
      </c>
      <c r="V16" s="74">
        <f t="shared" si="13"/>
        <v>3553.6129999999976</v>
      </c>
      <c r="W16" s="74">
        <f t="shared" si="2"/>
        <v>148.06720833333324</v>
      </c>
      <c r="Y16" s="4">
        <v>45819</v>
      </c>
      <c r="Z16" s="74">
        <v>3333</v>
      </c>
      <c r="AA16" s="74">
        <v>189632.55499999999</v>
      </c>
      <c r="AB16" s="74">
        <f t="shared" si="20"/>
        <v>3993.9119999999821</v>
      </c>
      <c r="AC16" s="74">
        <f t="shared" si="3"/>
        <v>166.41299999999924</v>
      </c>
      <c r="AE16" s="4">
        <v>45849</v>
      </c>
      <c r="AF16" s="74">
        <v>3333</v>
      </c>
      <c r="AG16" s="74">
        <v>258686.63699999999</v>
      </c>
      <c r="AH16" s="74">
        <f t="shared" si="25"/>
        <v>3602.5999999999767</v>
      </c>
      <c r="AI16" s="74">
        <f t="shared" si="22"/>
        <v>150.10833333333235</v>
      </c>
      <c r="AK16" s="4">
        <v>45880</v>
      </c>
      <c r="AL16" s="74">
        <v>3333</v>
      </c>
      <c r="AM16" s="74">
        <v>378031.217</v>
      </c>
      <c r="AN16" s="74">
        <f t="shared" si="14"/>
        <v>3995.24099999998</v>
      </c>
      <c r="AO16" s="74">
        <f t="shared" si="23"/>
        <v>166.46837499999916</v>
      </c>
      <c r="AQ16" s="4">
        <v>45911</v>
      </c>
      <c r="AR16" s="74">
        <v>3333</v>
      </c>
      <c r="AS16" s="74">
        <v>501743.03499999997</v>
      </c>
      <c r="AT16" s="74">
        <f t="shared" si="15"/>
        <v>3818.2889999999898</v>
      </c>
      <c r="AU16" s="74">
        <f t="shared" si="16"/>
        <v>159.09537499999956</v>
      </c>
      <c r="AW16" s="4">
        <v>45941</v>
      </c>
      <c r="AX16" s="74">
        <v>3333</v>
      </c>
      <c r="AY16" s="74">
        <v>565442.98</v>
      </c>
      <c r="AZ16" s="74">
        <f t="shared" si="17"/>
        <v>4086.6160000000382</v>
      </c>
      <c r="BA16" s="74">
        <f t="shared" si="6"/>
        <v>170.27566666666826</v>
      </c>
      <c r="BC16" s="4">
        <v>45972</v>
      </c>
      <c r="BD16" s="74">
        <v>3333</v>
      </c>
      <c r="BE16" s="74">
        <v>679425.85</v>
      </c>
      <c r="BF16" s="74">
        <f t="shared" ref="BF16:BF35" si="26">BE16-BE15</f>
        <v>3757.9799999999814</v>
      </c>
      <c r="BG16" s="74">
        <f t="shared" si="7"/>
        <v>156.58249999999921</v>
      </c>
      <c r="BI16" s="4">
        <v>46002</v>
      </c>
      <c r="BJ16" s="74">
        <v>3333</v>
      </c>
      <c r="BK16" s="74">
        <v>771636.78</v>
      </c>
      <c r="BL16" s="74">
        <f t="shared" ref="BL16:BL29" si="27">BK16-BK15</f>
        <v>2612.8499999999767</v>
      </c>
      <c r="BM16" s="74">
        <f t="shared" si="8"/>
        <v>108.86874999999903</v>
      </c>
      <c r="BO16" s="4">
        <v>46033</v>
      </c>
      <c r="BP16" s="74">
        <v>965.56399999999996</v>
      </c>
      <c r="BQ16" s="74">
        <v>618983.18500000006</v>
      </c>
      <c r="BR16" s="74">
        <f t="shared" si="18"/>
        <v>1588</v>
      </c>
      <c r="BS16" s="74">
        <f t="shared" si="19"/>
        <v>66.166666666666671</v>
      </c>
    </row>
    <row r="17" spans="2:71" ht="15.75" x14ac:dyDescent="0.25">
      <c r="B17" s="4">
        <v>45700</v>
      </c>
      <c r="C17" s="74">
        <v>966102.75</v>
      </c>
      <c r="D17" s="74">
        <f t="shared" si="24"/>
        <v>124.7839999999851</v>
      </c>
      <c r="E17" s="74">
        <f t="shared" si="10"/>
        <v>5.1993333333327127</v>
      </c>
      <c r="G17" s="4">
        <v>45728</v>
      </c>
      <c r="H17" s="76">
        <v>483.87096774193549</v>
      </c>
      <c r="I17" s="74">
        <v>994100.1</v>
      </c>
      <c r="J17" s="74">
        <f t="shared" si="11"/>
        <v>1270.8040000000037</v>
      </c>
      <c r="K17" s="74">
        <f t="shared" si="0"/>
        <v>52.950166666666824</v>
      </c>
      <c r="M17" s="4">
        <v>45759</v>
      </c>
      <c r="N17" s="76">
        <v>483.87096774193549</v>
      </c>
      <c r="O17" s="74">
        <v>32633.827000000001</v>
      </c>
      <c r="P17" s="74">
        <f t="shared" si="12"/>
        <v>677.61200000000099</v>
      </c>
      <c r="Q17" s="74">
        <f t="shared" si="1"/>
        <v>28.233833333333376</v>
      </c>
      <c r="S17" s="4">
        <v>45789</v>
      </c>
      <c r="T17" s="74">
        <v>483.87096774193549</v>
      </c>
      <c r="U17" s="74">
        <v>78070.255000000005</v>
      </c>
      <c r="V17" s="74">
        <f t="shared" si="13"/>
        <v>3000</v>
      </c>
      <c r="W17" s="74">
        <f t="shared" si="2"/>
        <v>125</v>
      </c>
      <c r="Y17" s="4">
        <v>45820</v>
      </c>
      <c r="Z17" s="74">
        <v>3333</v>
      </c>
      <c r="AA17" s="74">
        <v>193179.33100000001</v>
      </c>
      <c r="AB17" s="74">
        <f t="shared" si="20"/>
        <v>3546.7760000000126</v>
      </c>
      <c r="AC17" s="74">
        <f t="shared" si="3"/>
        <v>147.78233333333387</v>
      </c>
      <c r="AE17" s="4">
        <v>45850</v>
      </c>
      <c r="AF17" s="74">
        <v>3333</v>
      </c>
      <c r="AG17" s="74">
        <v>262431.777</v>
      </c>
      <c r="AH17" s="74">
        <f t="shared" si="25"/>
        <v>3745.140000000014</v>
      </c>
      <c r="AI17" s="74">
        <f t="shared" si="22"/>
        <v>156.04750000000058</v>
      </c>
      <c r="AK17" s="4">
        <v>45881</v>
      </c>
      <c r="AL17" s="74">
        <v>3333</v>
      </c>
      <c r="AM17" s="74">
        <v>381827.76500000001</v>
      </c>
      <c r="AN17" s="74">
        <f t="shared" si="14"/>
        <v>3796.5480000000098</v>
      </c>
      <c r="AO17" s="74">
        <f t="shared" si="23"/>
        <v>158.18950000000041</v>
      </c>
      <c r="AQ17" s="4">
        <v>45912</v>
      </c>
      <c r="AR17" s="74">
        <v>3333</v>
      </c>
      <c r="AS17" s="74">
        <v>505044.20699999999</v>
      </c>
      <c r="AT17" s="74">
        <f t="shared" si="15"/>
        <v>3301.1720000000205</v>
      </c>
      <c r="AU17" s="74">
        <f t="shared" si="16"/>
        <v>137.54883333333419</v>
      </c>
      <c r="AW17" s="4">
        <v>45942</v>
      </c>
      <c r="AX17" s="74">
        <v>3333</v>
      </c>
      <c r="AY17" s="74">
        <v>569520.65700000001</v>
      </c>
      <c r="AZ17" s="74">
        <f t="shared" si="17"/>
        <v>4077.6770000000251</v>
      </c>
      <c r="BA17" s="74">
        <f t="shared" si="6"/>
        <v>169.90320833333439</v>
      </c>
      <c r="BC17" s="4">
        <v>45973</v>
      </c>
      <c r="BD17" s="74">
        <v>3333</v>
      </c>
      <c r="BE17" s="74">
        <v>683148.38</v>
      </c>
      <c r="BF17" s="74">
        <f t="shared" si="26"/>
        <v>3722.5300000000279</v>
      </c>
      <c r="BG17" s="74">
        <f t="shared" si="7"/>
        <v>155.10541666666782</v>
      </c>
      <c r="BI17" s="4">
        <v>46003</v>
      </c>
      <c r="BJ17" s="74">
        <v>3333</v>
      </c>
      <c r="BK17" s="74">
        <v>772214.98</v>
      </c>
      <c r="BL17" s="74">
        <f t="shared" si="27"/>
        <v>578.19999999995343</v>
      </c>
      <c r="BM17" s="74">
        <f t="shared" si="8"/>
        <v>24.091666666664725</v>
      </c>
      <c r="BO17" s="4">
        <v>46034</v>
      </c>
      <c r="BP17" s="74">
        <v>965.56399999999996</v>
      </c>
      <c r="BQ17" s="74">
        <v>620252.35699999996</v>
      </c>
      <c r="BR17" s="74">
        <f t="shared" si="18"/>
        <v>1269.1719999999041</v>
      </c>
      <c r="BS17" s="74">
        <f t="shared" si="19"/>
        <v>52.88216666666267</v>
      </c>
    </row>
    <row r="18" spans="2:71" ht="15.75" x14ac:dyDescent="0.25">
      <c r="B18" s="4">
        <v>45701</v>
      </c>
      <c r="C18" s="74">
        <v>966478.76199999999</v>
      </c>
      <c r="D18" s="74">
        <f t="shared" si="24"/>
        <v>376.01199999998789</v>
      </c>
      <c r="E18" s="74">
        <f t="shared" si="10"/>
        <v>15.667166666666162</v>
      </c>
      <c r="G18" s="4">
        <v>45729</v>
      </c>
      <c r="H18" s="76">
        <v>483.87096774193549</v>
      </c>
      <c r="I18" s="74">
        <v>995022.93200000003</v>
      </c>
      <c r="J18" s="74">
        <f t="shared" si="11"/>
        <v>922.83200000005309</v>
      </c>
      <c r="K18" s="74">
        <f t="shared" si="0"/>
        <v>38.451333333335548</v>
      </c>
      <c r="M18" s="4">
        <v>45760</v>
      </c>
      <c r="N18" s="76">
        <v>483.87096774193549</v>
      </c>
      <c r="O18" s="74">
        <v>33204.750999999997</v>
      </c>
      <c r="P18" s="74">
        <f t="shared" si="12"/>
        <v>570.92399999999543</v>
      </c>
      <c r="Q18" s="74">
        <f t="shared" si="1"/>
        <v>23.788499999999811</v>
      </c>
      <c r="S18" s="4">
        <v>45790</v>
      </c>
      <c r="T18" s="74">
        <v>483.87096774193549</v>
      </c>
      <c r="U18" s="74">
        <v>82340.247000000003</v>
      </c>
      <c r="V18" s="74">
        <f t="shared" si="13"/>
        <v>4269.9919999999984</v>
      </c>
      <c r="W18" s="74">
        <f t="shared" si="2"/>
        <v>177.91633333333326</v>
      </c>
      <c r="Y18" s="4">
        <v>45821</v>
      </c>
      <c r="Z18" s="74">
        <v>3333</v>
      </c>
      <c r="AA18" s="74">
        <v>196952.864</v>
      </c>
      <c r="AB18" s="74">
        <f t="shared" si="20"/>
        <v>3773.5329999999958</v>
      </c>
      <c r="AC18" s="74">
        <f t="shared" si="3"/>
        <v>157.23054166666648</v>
      </c>
      <c r="AE18" s="4">
        <v>45851</v>
      </c>
      <c r="AF18" s="74">
        <v>3333</v>
      </c>
      <c r="AG18" s="74">
        <v>266531.28200000001</v>
      </c>
      <c r="AH18" s="74">
        <f t="shared" si="25"/>
        <v>4099.5050000000047</v>
      </c>
      <c r="AI18" s="74">
        <f t="shared" si="22"/>
        <v>170.81270833333352</v>
      </c>
      <c r="AK18" s="4">
        <v>45882</v>
      </c>
      <c r="AL18" s="74">
        <v>3333</v>
      </c>
      <c r="AM18" s="74">
        <v>385711.93699999998</v>
      </c>
      <c r="AN18" s="74">
        <f t="shared" si="14"/>
        <v>3884.1719999999623</v>
      </c>
      <c r="AO18" s="74">
        <f t="shared" si="23"/>
        <v>161.84049999999843</v>
      </c>
      <c r="AQ18" s="4">
        <v>45913</v>
      </c>
      <c r="AR18" s="74">
        <v>3333</v>
      </c>
      <c r="AS18" s="74">
        <v>505044.20699999999</v>
      </c>
      <c r="AT18" s="74">
        <f t="shared" si="15"/>
        <v>0</v>
      </c>
      <c r="AU18" s="74">
        <f t="shared" si="16"/>
        <v>0</v>
      </c>
      <c r="AW18" s="4">
        <v>45943</v>
      </c>
      <c r="AX18" s="74">
        <v>3333</v>
      </c>
      <c r="AY18" s="74">
        <v>573943.46499999997</v>
      </c>
      <c r="AZ18" s="74">
        <f t="shared" si="17"/>
        <v>4422.8079999999609</v>
      </c>
      <c r="BA18" s="74">
        <f t="shared" si="6"/>
        <v>184.28366666666503</v>
      </c>
      <c r="BC18" s="4">
        <v>45974</v>
      </c>
      <c r="BD18" s="74">
        <v>3333</v>
      </c>
      <c r="BE18" s="74">
        <v>686841.56</v>
      </c>
      <c r="BF18" s="74">
        <f t="shared" si="26"/>
        <v>3693.1800000000512</v>
      </c>
      <c r="BG18" s="74">
        <f t="shared" si="7"/>
        <v>153.88250000000212</v>
      </c>
      <c r="BI18" s="4">
        <v>46004</v>
      </c>
      <c r="BJ18" s="74">
        <v>3333</v>
      </c>
      <c r="BK18" s="74">
        <v>774592.74</v>
      </c>
      <c r="BL18" s="74">
        <f t="shared" si="27"/>
        <v>2377.7600000000093</v>
      </c>
      <c r="BM18" s="74">
        <f t="shared" si="8"/>
        <v>99.073333333333721</v>
      </c>
      <c r="BO18" s="4">
        <v>46035</v>
      </c>
      <c r="BP18" s="74">
        <v>965.56399999999996</v>
      </c>
      <c r="BQ18" s="74">
        <v>621726.27500000002</v>
      </c>
      <c r="BR18" s="74">
        <f t="shared" si="18"/>
        <v>1473.9180000000633</v>
      </c>
      <c r="BS18" s="74">
        <f t="shared" si="19"/>
        <v>61.413250000002641</v>
      </c>
    </row>
    <row r="19" spans="2:71" ht="15.75" x14ac:dyDescent="0.25">
      <c r="B19" s="4">
        <v>45702</v>
      </c>
      <c r="C19" s="74">
        <v>967128.01</v>
      </c>
      <c r="D19" s="74">
        <f t="shared" si="24"/>
        <v>649.24800000002142</v>
      </c>
      <c r="E19" s="74">
        <f t="shared" si="10"/>
        <v>27.052000000000891</v>
      </c>
      <c r="G19" s="4">
        <v>45730</v>
      </c>
      <c r="H19" s="76">
        <v>483.87096774193549</v>
      </c>
      <c r="I19" s="74">
        <v>996196.77599999995</v>
      </c>
      <c r="J19" s="74">
        <f t="shared" si="11"/>
        <v>1173.8439999999246</v>
      </c>
      <c r="K19" s="74">
        <f t="shared" si="0"/>
        <v>48.910166666663521</v>
      </c>
      <c r="M19" s="4">
        <v>45761</v>
      </c>
      <c r="N19" s="76">
        <v>483.87096774193549</v>
      </c>
      <c r="O19" s="74">
        <v>33524.419000000002</v>
      </c>
      <c r="P19" s="74">
        <f t="shared" si="12"/>
        <v>319.66800000000512</v>
      </c>
      <c r="Q19" s="74">
        <f t="shared" si="1"/>
        <v>13.319500000000213</v>
      </c>
      <c r="S19" s="4">
        <v>45791</v>
      </c>
      <c r="T19" s="74">
        <v>483.87096774193549</v>
      </c>
      <c r="U19" s="74">
        <v>86144.294999999998</v>
      </c>
      <c r="V19" s="74">
        <f t="shared" si="13"/>
        <v>3804.0479999999952</v>
      </c>
      <c r="W19" s="74">
        <f t="shared" si="2"/>
        <v>158.50199999999981</v>
      </c>
      <c r="Y19" s="4">
        <v>45822</v>
      </c>
      <c r="Z19" s="74">
        <v>3333</v>
      </c>
      <c r="AA19" s="74">
        <v>200708.304</v>
      </c>
      <c r="AB19" s="74">
        <f t="shared" si="20"/>
        <v>3755.4400000000023</v>
      </c>
      <c r="AC19" s="74">
        <f t="shared" si="3"/>
        <v>156.47666666666677</v>
      </c>
      <c r="AE19" s="4">
        <v>45852</v>
      </c>
      <c r="AF19" s="74">
        <v>3333</v>
      </c>
      <c r="AG19" s="74">
        <v>270406.31400000001</v>
      </c>
      <c r="AH19" s="74">
        <f t="shared" si="25"/>
        <v>3875.0320000000065</v>
      </c>
      <c r="AI19" s="74">
        <f t="shared" si="22"/>
        <v>161.45966666666695</v>
      </c>
      <c r="AK19" s="4">
        <v>45883</v>
      </c>
      <c r="AL19" s="74">
        <v>3333</v>
      </c>
      <c r="AM19" s="74">
        <v>389779.62199999997</v>
      </c>
      <c r="AN19" s="74">
        <f t="shared" si="14"/>
        <v>4067.6849999999977</v>
      </c>
      <c r="AO19" s="74">
        <f t="shared" si="23"/>
        <v>169.48687499999991</v>
      </c>
      <c r="AQ19" s="4">
        <v>45914</v>
      </c>
      <c r="AR19" s="74">
        <v>3333</v>
      </c>
      <c r="AS19" s="74">
        <v>505044.20699999999</v>
      </c>
      <c r="AT19" s="74">
        <f t="shared" si="15"/>
        <v>0</v>
      </c>
      <c r="AU19" s="74">
        <f t="shared" si="16"/>
        <v>0</v>
      </c>
      <c r="AW19" s="4">
        <v>45944</v>
      </c>
      <c r="AX19" s="74">
        <v>3333</v>
      </c>
      <c r="AY19" s="74">
        <v>578151.098</v>
      </c>
      <c r="AZ19" s="74">
        <f t="shared" si="17"/>
        <v>4207.6330000000307</v>
      </c>
      <c r="BA19" s="74">
        <f t="shared" si="6"/>
        <v>175.31804166666794</v>
      </c>
      <c r="BC19" s="4">
        <v>45975</v>
      </c>
      <c r="BD19" s="74">
        <v>3333</v>
      </c>
      <c r="BE19" s="74">
        <v>690974.12</v>
      </c>
      <c r="BF19" s="74">
        <f t="shared" si="26"/>
        <v>4132.5599999999395</v>
      </c>
      <c r="BG19" s="74">
        <f t="shared" si="7"/>
        <v>172.18999999999747</v>
      </c>
      <c r="BI19" s="4">
        <v>46005</v>
      </c>
      <c r="BJ19" s="74">
        <v>3333</v>
      </c>
      <c r="BK19" s="74">
        <v>776141.50399999996</v>
      </c>
      <c r="BL19" s="74">
        <f t="shared" si="27"/>
        <v>1548.7639999999665</v>
      </c>
      <c r="BM19" s="74">
        <f t="shared" si="8"/>
        <v>64.531833333331932</v>
      </c>
      <c r="BO19" s="4">
        <v>46036</v>
      </c>
      <c r="BP19" s="74">
        <v>965.56399999999996</v>
      </c>
      <c r="BQ19" s="74">
        <v>623181.34499999997</v>
      </c>
      <c r="BR19" s="74">
        <f t="shared" si="18"/>
        <v>1455.0699999999488</v>
      </c>
      <c r="BS19" s="74">
        <f t="shared" si="19"/>
        <v>60.627916666664532</v>
      </c>
    </row>
    <row r="20" spans="2:71" ht="15.75" x14ac:dyDescent="0.25">
      <c r="B20" s="4">
        <v>45703</v>
      </c>
      <c r="C20" s="74">
        <v>967978.33799999999</v>
      </c>
      <c r="D20" s="74">
        <f t="shared" si="24"/>
        <v>850.32799999997951</v>
      </c>
      <c r="E20" s="74">
        <f t="shared" si="10"/>
        <v>35.430333333332477</v>
      </c>
      <c r="G20" s="4">
        <v>45731</v>
      </c>
      <c r="H20" s="76">
        <v>483.87096774193549</v>
      </c>
      <c r="I20" s="74">
        <v>997499.87600000005</v>
      </c>
      <c r="J20" s="74">
        <f t="shared" si="11"/>
        <v>1303.1000000000931</v>
      </c>
      <c r="K20" s="74">
        <f t="shared" si="0"/>
        <v>54.295833333337214</v>
      </c>
      <c r="M20" s="4">
        <v>45762</v>
      </c>
      <c r="N20" s="76">
        <v>483.87096774193549</v>
      </c>
      <c r="O20" s="74">
        <v>33839.347000000002</v>
      </c>
      <c r="P20" s="74">
        <f t="shared" si="12"/>
        <v>314.92799999999988</v>
      </c>
      <c r="Q20" s="74">
        <f t="shared" si="1"/>
        <v>13.121999999999995</v>
      </c>
      <c r="S20" s="4">
        <v>45792</v>
      </c>
      <c r="T20" s="74">
        <v>483.87096774193549</v>
      </c>
      <c r="U20" s="74">
        <v>89801.691999999995</v>
      </c>
      <c r="V20" s="74">
        <f t="shared" si="13"/>
        <v>3657.3969999999972</v>
      </c>
      <c r="W20" s="74">
        <f t="shared" si="2"/>
        <v>152.39154166666654</v>
      </c>
      <c r="Y20" s="4">
        <v>45823</v>
      </c>
      <c r="Z20" s="74">
        <v>3333</v>
      </c>
      <c r="AA20" s="74">
        <v>204448.356</v>
      </c>
      <c r="AB20" s="74">
        <f t="shared" si="20"/>
        <v>3740.051999999996</v>
      </c>
      <c r="AC20" s="74">
        <f t="shared" si="3"/>
        <v>155.83549999999983</v>
      </c>
      <c r="AE20" s="4">
        <v>45853</v>
      </c>
      <c r="AF20" s="74">
        <v>3333</v>
      </c>
      <c r="AG20" s="74">
        <v>274342.82199999999</v>
      </c>
      <c r="AH20" s="74">
        <f t="shared" si="25"/>
        <v>3936.5079999999725</v>
      </c>
      <c r="AI20" s="74">
        <f t="shared" si="22"/>
        <v>164.02116666666552</v>
      </c>
      <c r="AK20" s="4">
        <v>45884</v>
      </c>
      <c r="AL20" s="74">
        <v>3333</v>
      </c>
      <c r="AM20" s="74">
        <v>393504.59</v>
      </c>
      <c r="AN20" s="74">
        <f t="shared" si="14"/>
        <v>3724.9680000000517</v>
      </c>
      <c r="AO20" s="74">
        <f t="shared" si="23"/>
        <v>155.20700000000215</v>
      </c>
      <c r="AQ20" s="4">
        <v>45915</v>
      </c>
      <c r="AR20" s="74">
        <v>3333</v>
      </c>
      <c r="AS20" s="74">
        <v>505044.20699999999</v>
      </c>
      <c r="AT20" s="74">
        <f t="shared" si="15"/>
        <v>0</v>
      </c>
      <c r="AU20" s="74">
        <f t="shared" si="16"/>
        <v>0</v>
      </c>
      <c r="AW20" s="4">
        <v>45945</v>
      </c>
      <c r="AX20" s="74">
        <v>3333</v>
      </c>
      <c r="AY20" s="74">
        <v>582185.42000000004</v>
      </c>
      <c r="AZ20" s="74">
        <f t="shared" si="17"/>
        <v>4034.3220000000438</v>
      </c>
      <c r="BA20" s="74">
        <f t="shared" si="6"/>
        <v>168.09675000000183</v>
      </c>
      <c r="BC20" s="4">
        <v>45976</v>
      </c>
      <c r="BD20" s="74">
        <v>3333</v>
      </c>
      <c r="BE20" s="74">
        <v>694598.15</v>
      </c>
      <c r="BF20" s="74">
        <f t="shared" si="26"/>
        <v>3624.0300000000279</v>
      </c>
      <c r="BG20" s="74">
        <f t="shared" si="7"/>
        <v>151.00125000000116</v>
      </c>
      <c r="BI20" s="4">
        <v>46006</v>
      </c>
      <c r="BJ20" s="74">
        <v>3333</v>
      </c>
      <c r="BK20" s="74">
        <v>779215.84</v>
      </c>
      <c r="BL20" s="74">
        <f t="shared" si="27"/>
        <v>3074.3360000000102</v>
      </c>
      <c r="BM20" s="74">
        <f t="shared" si="8"/>
        <v>128.09733333333375</v>
      </c>
      <c r="BO20" s="4">
        <v>46037</v>
      </c>
      <c r="BP20" s="74">
        <v>965.56399999999996</v>
      </c>
      <c r="BQ20" s="74">
        <v>624181.34499999997</v>
      </c>
      <c r="BR20" s="74">
        <f t="shared" si="18"/>
        <v>1000</v>
      </c>
      <c r="BS20" s="74">
        <f t="shared" si="19"/>
        <v>41.666666666666664</v>
      </c>
    </row>
    <row r="21" spans="2:71" ht="15.75" x14ac:dyDescent="0.25">
      <c r="B21" s="4">
        <v>45704</v>
      </c>
      <c r="C21" s="74">
        <v>968787.01</v>
      </c>
      <c r="D21" s="74">
        <f t="shared" si="24"/>
        <v>808.67200000002049</v>
      </c>
      <c r="E21" s="74">
        <f t="shared" si="10"/>
        <v>33.694666666667523</v>
      </c>
      <c r="G21" s="4">
        <v>45732</v>
      </c>
      <c r="H21" s="76">
        <v>483.87096774193549</v>
      </c>
      <c r="I21" s="74">
        <v>998986.71200000006</v>
      </c>
      <c r="J21" s="74">
        <f t="shared" si="11"/>
        <v>1486.8360000000102</v>
      </c>
      <c r="K21" s="74">
        <f t="shared" si="0"/>
        <v>61.951500000000429</v>
      </c>
      <c r="M21" s="4">
        <v>45763</v>
      </c>
      <c r="N21" s="76">
        <v>483.87096774193549</v>
      </c>
      <c r="O21" s="74">
        <v>34566.254999999997</v>
      </c>
      <c r="P21" s="74">
        <f t="shared" si="12"/>
        <v>726.90799999999581</v>
      </c>
      <c r="Q21" s="74">
        <f t="shared" si="1"/>
        <v>30.287833333333158</v>
      </c>
      <c r="S21" s="4">
        <v>45793</v>
      </c>
      <c r="T21" s="74">
        <v>483.87096774193549</v>
      </c>
      <c r="U21" s="74">
        <v>93535.907999999996</v>
      </c>
      <c r="V21" s="74">
        <f t="shared" si="13"/>
        <v>3734.2160000000003</v>
      </c>
      <c r="W21" s="74">
        <f t="shared" si="2"/>
        <v>155.59233333333336</v>
      </c>
      <c r="Y21" s="4">
        <v>45824</v>
      </c>
      <c r="Z21" s="74">
        <v>3333</v>
      </c>
      <c r="AA21" s="74">
        <v>208752.72899999999</v>
      </c>
      <c r="AB21" s="74">
        <f t="shared" si="20"/>
        <v>4304.3729999999923</v>
      </c>
      <c r="AC21" s="74">
        <f t="shared" si="3"/>
        <v>179.34887499999968</v>
      </c>
      <c r="AE21" s="4">
        <v>45854</v>
      </c>
      <c r="AF21" s="74">
        <v>3333</v>
      </c>
      <c r="AG21" s="74">
        <v>278927.745</v>
      </c>
      <c r="AH21" s="74">
        <f t="shared" si="25"/>
        <v>4584.9230000000098</v>
      </c>
      <c r="AI21" s="74">
        <f t="shared" si="22"/>
        <v>191.03845833333375</v>
      </c>
      <c r="AK21" s="4">
        <v>45885</v>
      </c>
      <c r="AL21" s="74">
        <v>3333</v>
      </c>
      <c r="AM21" s="74">
        <v>398124.77399999998</v>
      </c>
      <c r="AN21" s="74">
        <f t="shared" si="14"/>
        <v>4620.1839999999502</v>
      </c>
      <c r="AO21" s="74">
        <f t="shared" si="23"/>
        <v>192.50766666666459</v>
      </c>
      <c r="AQ21" s="4">
        <v>45916</v>
      </c>
      <c r="AR21" s="74">
        <v>3333</v>
      </c>
      <c r="AS21" s="74">
        <v>505044.20699999999</v>
      </c>
      <c r="AT21" s="74">
        <f t="shared" si="15"/>
        <v>0</v>
      </c>
      <c r="AU21" s="74">
        <f t="shared" si="16"/>
        <v>0</v>
      </c>
      <c r="AW21" s="86">
        <v>45946</v>
      </c>
      <c r="AX21" s="87">
        <v>3333</v>
      </c>
      <c r="AY21" s="87">
        <v>583970.36</v>
      </c>
      <c r="AZ21" s="87">
        <f t="shared" si="17"/>
        <v>1784.9399999999441</v>
      </c>
      <c r="BA21" s="87">
        <f t="shared" si="6"/>
        <v>74.372499999997672</v>
      </c>
      <c r="BC21" s="4">
        <v>45977</v>
      </c>
      <c r="BD21" s="74">
        <v>3333</v>
      </c>
      <c r="BE21" s="74">
        <v>698485.97</v>
      </c>
      <c r="BF21" s="74">
        <f t="shared" si="26"/>
        <v>3887.8199999999488</v>
      </c>
      <c r="BG21" s="74">
        <f t="shared" si="7"/>
        <v>161.99249999999788</v>
      </c>
      <c r="BI21" s="4">
        <v>46007</v>
      </c>
      <c r="BJ21" s="74">
        <v>3333</v>
      </c>
      <c r="BK21" s="74">
        <v>780615.35600000003</v>
      </c>
      <c r="BL21" s="74">
        <f t="shared" si="27"/>
        <v>1399.5160000000615</v>
      </c>
      <c r="BM21" s="74">
        <f t="shared" si="8"/>
        <v>58.313166666669225</v>
      </c>
      <c r="BO21" s="4">
        <v>46038</v>
      </c>
      <c r="BP21" s="74">
        <v>965.56399999999996</v>
      </c>
      <c r="BQ21" s="74">
        <v>626193.35499999998</v>
      </c>
      <c r="BR21" s="74">
        <f t="shared" si="18"/>
        <v>2012.0100000000093</v>
      </c>
      <c r="BS21" s="74">
        <f t="shared" si="19"/>
        <v>83.833750000000393</v>
      </c>
    </row>
    <row r="22" spans="2:71" ht="15.75" x14ac:dyDescent="0.25">
      <c r="B22" s="4">
        <v>45705</v>
      </c>
      <c r="C22" s="74">
        <v>969798.87</v>
      </c>
      <c r="D22" s="74">
        <f t="shared" si="24"/>
        <v>1011.859999999986</v>
      </c>
      <c r="E22" s="74">
        <f t="shared" si="10"/>
        <v>42.160833333332754</v>
      </c>
      <c r="G22" s="4">
        <v>45733</v>
      </c>
      <c r="H22" s="76">
        <v>483.87096774193549</v>
      </c>
      <c r="I22" s="74">
        <v>999698.48499999999</v>
      </c>
      <c r="J22" s="74">
        <f t="shared" si="11"/>
        <v>711.77299999992829</v>
      </c>
      <c r="K22" s="74">
        <f t="shared" si="0"/>
        <v>29.657208333330345</v>
      </c>
      <c r="M22" s="4">
        <v>45764</v>
      </c>
      <c r="N22" s="76">
        <v>483.87096774193549</v>
      </c>
      <c r="O22" s="74">
        <v>35343.987000000001</v>
      </c>
      <c r="P22" s="74">
        <f t="shared" si="12"/>
        <v>777.73200000000361</v>
      </c>
      <c r="Q22" s="74">
        <f t="shared" si="1"/>
        <v>32.405500000000153</v>
      </c>
      <c r="S22" s="4">
        <v>45794</v>
      </c>
      <c r="T22" s="74">
        <v>483.87096774193549</v>
      </c>
      <c r="U22" s="74">
        <v>97159.679999999993</v>
      </c>
      <c r="V22" s="74">
        <f t="shared" si="13"/>
        <v>3623.7719999999972</v>
      </c>
      <c r="W22" s="74">
        <f t="shared" si="2"/>
        <v>150.99049999999988</v>
      </c>
      <c r="Y22" s="4">
        <v>45825</v>
      </c>
      <c r="Z22" s="74">
        <v>3333</v>
      </c>
      <c r="AA22" s="74">
        <v>211904.533</v>
      </c>
      <c r="AB22" s="74">
        <f t="shared" si="20"/>
        <v>3151.8040000000037</v>
      </c>
      <c r="AC22" s="74">
        <f t="shared" si="3"/>
        <v>131.32516666666683</v>
      </c>
      <c r="AE22" s="4">
        <v>45855</v>
      </c>
      <c r="AF22" s="74">
        <v>3333</v>
      </c>
      <c r="AG22" s="74">
        <v>282428.47100000002</v>
      </c>
      <c r="AH22" s="74">
        <f t="shared" si="25"/>
        <v>3500.7260000000242</v>
      </c>
      <c r="AI22" s="74">
        <f t="shared" si="22"/>
        <v>145.86358333333433</v>
      </c>
      <c r="AK22" s="4">
        <v>45886</v>
      </c>
      <c r="AL22" s="74">
        <v>3333</v>
      </c>
      <c r="AM22" s="74">
        <v>401926.72700000001</v>
      </c>
      <c r="AN22" s="74">
        <f t="shared" si="14"/>
        <v>3801.9530000000377</v>
      </c>
      <c r="AO22" s="74">
        <f t="shared" si="23"/>
        <v>158.41470833333491</v>
      </c>
      <c r="AQ22" s="4">
        <v>45917</v>
      </c>
      <c r="AR22" s="74">
        <v>3333</v>
      </c>
      <c r="AS22" s="74">
        <v>505044.20699999999</v>
      </c>
      <c r="AT22" s="74">
        <f t="shared" si="15"/>
        <v>0</v>
      </c>
      <c r="AU22" s="74">
        <f t="shared" si="16"/>
        <v>0</v>
      </c>
      <c r="AW22" s="4">
        <v>45947</v>
      </c>
      <c r="AX22" s="74">
        <v>3333</v>
      </c>
      <c r="AY22" s="74">
        <v>587610.53</v>
      </c>
      <c r="AZ22" s="74">
        <f t="shared" si="17"/>
        <v>3640.1700000000419</v>
      </c>
      <c r="BA22" s="74">
        <f t="shared" si="6"/>
        <v>151.67375000000175</v>
      </c>
      <c r="BC22" s="4">
        <v>45978</v>
      </c>
      <c r="BD22" s="74">
        <v>3333</v>
      </c>
      <c r="BE22" s="74">
        <v>702098.57</v>
      </c>
      <c r="BF22" s="74">
        <f t="shared" si="26"/>
        <v>3612.5999999999767</v>
      </c>
      <c r="BG22" s="74">
        <f t="shared" si="7"/>
        <v>150.52499999999904</v>
      </c>
      <c r="BI22" s="4">
        <v>46008</v>
      </c>
      <c r="BJ22" s="74">
        <v>3333</v>
      </c>
      <c r="BK22" s="74">
        <v>782512.8</v>
      </c>
      <c r="BL22" s="74">
        <f t="shared" si="27"/>
        <v>1897.4440000000177</v>
      </c>
      <c r="BM22" s="74">
        <f t="shared" si="8"/>
        <v>79.060166666667399</v>
      </c>
      <c r="BO22" s="4">
        <v>46039</v>
      </c>
      <c r="BP22" s="74">
        <v>965.56399999999996</v>
      </c>
      <c r="BQ22" s="74">
        <v>627559.06499999994</v>
      </c>
      <c r="BR22" s="74">
        <f t="shared" si="18"/>
        <v>1365.7099999999627</v>
      </c>
      <c r="BS22" s="74">
        <f t="shared" si="19"/>
        <v>56.904583333331779</v>
      </c>
    </row>
    <row r="23" spans="2:71" ht="15.75" x14ac:dyDescent="0.25">
      <c r="B23" s="4">
        <v>45706</v>
      </c>
      <c r="C23" s="74">
        <v>970596.71400000004</v>
      </c>
      <c r="D23" s="74">
        <f t="shared" si="24"/>
        <v>797.84400000004098</v>
      </c>
      <c r="E23" s="74">
        <f t="shared" si="10"/>
        <v>33.24350000000171</v>
      </c>
      <c r="G23" s="4">
        <v>45734</v>
      </c>
      <c r="H23" s="76">
        <v>483.87096774193549</v>
      </c>
      <c r="I23" s="74">
        <v>810.18499999999995</v>
      </c>
      <c r="J23" s="74">
        <v>1102.7</v>
      </c>
      <c r="K23" s="74">
        <f t="shared" si="0"/>
        <v>45.945833333333333</v>
      </c>
      <c r="M23" s="4">
        <v>45765</v>
      </c>
      <c r="N23" s="76">
        <v>483.87096774193549</v>
      </c>
      <c r="O23" s="74">
        <v>35847.690999999999</v>
      </c>
      <c r="P23" s="74">
        <f t="shared" si="12"/>
        <v>503.7039999999979</v>
      </c>
      <c r="Q23" s="74">
        <f t="shared" si="1"/>
        <v>20.987666666666581</v>
      </c>
      <c r="S23" s="4">
        <v>45795</v>
      </c>
      <c r="T23" s="74">
        <v>483.87096774193549</v>
      </c>
      <c r="U23" s="74">
        <v>100865.621</v>
      </c>
      <c r="V23" s="74">
        <f t="shared" si="13"/>
        <v>3705.9410000000062</v>
      </c>
      <c r="W23" s="74">
        <f t="shared" si="2"/>
        <v>154.41420833333359</v>
      </c>
      <c r="Y23" s="4">
        <v>45826</v>
      </c>
      <c r="Z23" s="74">
        <v>3333</v>
      </c>
      <c r="AA23" s="74">
        <v>215661.77299999999</v>
      </c>
      <c r="AB23" s="74">
        <f t="shared" si="20"/>
        <v>3757.2399999999907</v>
      </c>
      <c r="AC23" s="74">
        <f t="shared" si="3"/>
        <v>156.55166666666628</v>
      </c>
      <c r="AE23" s="4">
        <v>45856</v>
      </c>
      <c r="AF23" s="74">
        <v>3333</v>
      </c>
      <c r="AG23" s="74">
        <v>286609.55200000003</v>
      </c>
      <c r="AH23" s="74">
        <f t="shared" si="25"/>
        <v>4181.0810000000056</v>
      </c>
      <c r="AI23" s="74">
        <f t="shared" si="22"/>
        <v>174.21170833333358</v>
      </c>
      <c r="AK23" s="4">
        <v>45887</v>
      </c>
      <c r="AL23" s="74">
        <v>3333</v>
      </c>
      <c r="AM23" s="74">
        <v>405757.19300000003</v>
      </c>
      <c r="AN23" s="74">
        <f t="shared" si="14"/>
        <v>3830.4660000000149</v>
      </c>
      <c r="AO23" s="74">
        <f t="shared" si="23"/>
        <v>159.60275000000061</v>
      </c>
      <c r="AQ23" s="4">
        <v>45918</v>
      </c>
      <c r="AR23" s="74">
        <v>3333</v>
      </c>
      <c r="AS23" s="74">
        <v>505044.20699999999</v>
      </c>
      <c r="AT23" s="74">
        <f t="shared" si="15"/>
        <v>0</v>
      </c>
      <c r="AU23" s="74">
        <f t="shared" si="16"/>
        <v>0</v>
      </c>
      <c r="AW23" s="4">
        <v>45948</v>
      </c>
      <c r="AX23" s="74">
        <v>3333</v>
      </c>
      <c r="AY23" s="74">
        <v>591615.38</v>
      </c>
      <c r="AZ23" s="74">
        <f t="shared" si="17"/>
        <v>4004.8499999999767</v>
      </c>
      <c r="BA23" s="74">
        <f t="shared" si="6"/>
        <v>166.86874999999904</v>
      </c>
      <c r="BC23" s="4">
        <v>45979</v>
      </c>
      <c r="BD23" s="74">
        <v>3333</v>
      </c>
      <c r="BE23" s="74">
        <v>705910.85199999996</v>
      </c>
      <c r="BF23" s="74">
        <f t="shared" si="26"/>
        <v>3812.2820000000065</v>
      </c>
      <c r="BG23" s="74">
        <f t="shared" si="7"/>
        <v>158.8450833333336</v>
      </c>
      <c r="BI23" s="4">
        <v>46009</v>
      </c>
      <c r="BJ23" s="74">
        <v>3333</v>
      </c>
      <c r="BK23" s="74">
        <v>785986.71</v>
      </c>
      <c r="BL23" s="74">
        <f t="shared" si="27"/>
        <v>3473.9099999999162</v>
      </c>
      <c r="BM23" s="74">
        <f t="shared" si="8"/>
        <v>144.74624999999651</v>
      </c>
      <c r="BO23" s="4">
        <v>46040</v>
      </c>
      <c r="BP23" s="74">
        <v>965.56399999999996</v>
      </c>
      <c r="BQ23" s="74">
        <v>628881.826</v>
      </c>
      <c r="BR23" s="74">
        <f t="shared" si="18"/>
        <v>1322.7610000000568</v>
      </c>
      <c r="BS23" s="74">
        <f t="shared" si="19"/>
        <v>55.115041666669036</v>
      </c>
    </row>
    <row r="24" spans="2:71" ht="15.75" x14ac:dyDescent="0.25">
      <c r="B24" s="4">
        <v>45707</v>
      </c>
      <c r="C24" s="74">
        <v>971287.07799999998</v>
      </c>
      <c r="D24" s="74">
        <f t="shared" si="24"/>
        <v>690.36399999994319</v>
      </c>
      <c r="E24" s="74">
        <f t="shared" si="10"/>
        <v>28.7651666666643</v>
      </c>
      <c r="G24" s="4">
        <v>45735</v>
      </c>
      <c r="H24" s="76">
        <v>483.87096774193549</v>
      </c>
      <c r="I24" s="74">
        <v>2177.6329999999998</v>
      </c>
      <c r="J24" s="74">
        <f t="shared" si="11"/>
        <v>1367.4479999999999</v>
      </c>
      <c r="K24" s="74">
        <f t="shared" si="0"/>
        <v>56.976999999999997</v>
      </c>
      <c r="M24" s="4">
        <v>45766</v>
      </c>
      <c r="N24" s="76">
        <v>483.87096774193549</v>
      </c>
      <c r="O24" s="74">
        <v>36570.337</v>
      </c>
      <c r="P24" s="74">
        <f t="shared" si="12"/>
        <v>722.64600000000064</v>
      </c>
      <c r="Q24" s="74">
        <f t="shared" si="1"/>
        <v>30.110250000000025</v>
      </c>
      <c r="S24" s="4">
        <v>45796</v>
      </c>
      <c r="T24" s="74">
        <v>483.87096774193549</v>
      </c>
      <c r="U24" s="74">
        <v>104571.59299999999</v>
      </c>
      <c r="V24" s="74">
        <f t="shared" si="13"/>
        <v>3705.9719999999943</v>
      </c>
      <c r="W24" s="74">
        <f t="shared" si="2"/>
        <v>154.41549999999975</v>
      </c>
      <c r="Y24" s="4">
        <v>45827</v>
      </c>
      <c r="Z24" s="74">
        <v>3333</v>
      </c>
      <c r="AA24" s="74">
        <v>215661.77299999999</v>
      </c>
      <c r="AB24" s="74">
        <v>0</v>
      </c>
      <c r="AC24" s="74">
        <f t="shared" si="3"/>
        <v>0</v>
      </c>
      <c r="AE24" s="4">
        <v>45857</v>
      </c>
      <c r="AF24" s="74">
        <v>3333</v>
      </c>
      <c r="AG24" s="74">
        <v>290715.90399999998</v>
      </c>
      <c r="AH24" s="74">
        <f t="shared" si="25"/>
        <v>4106.3519999999553</v>
      </c>
      <c r="AI24" s="74">
        <f t="shared" si="22"/>
        <v>171.09799999999814</v>
      </c>
      <c r="AK24" s="4">
        <v>45888</v>
      </c>
      <c r="AL24" s="74">
        <v>3333</v>
      </c>
      <c r="AM24" s="74">
        <v>409215.82699999999</v>
      </c>
      <c r="AN24" s="74">
        <f t="shared" si="14"/>
        <v>3458.6339999999618</v>
      </c>
      <c r="AO24" s="74">
        <f t="shared" si="23"/>
        <v>144.1097499999984</v>
      </c>
      <c r="AQ24" s="4">
        <v>45919</v>
      </c>
      <c r="AR24" s="74">
        <v>3333</v>
      </c>
      <c r="AS24" s="74">
        <v>505044.20699999999</v>
      </c>
      <c r="AT24" s="74">
        <f t="shared" si="15"/>
        <v>0</v>
      </c>
      <c r="AU24" s="74">
        <f t="shared" si="16"/>
        <v>0</v>
      </c>
      <c r="AW24" s="4">
        <v>45949</v>
      </c>
      <c r="AX24" s="74">
        <v>3333</v>
      </c>
      <c r="AY24" s="74">
        <v>595510.61</v>
      </c>
      <c r="AZ24" s="74">
        <f t="shared" si="17"/>
        <v>3895.2299999999814</v>
      </c>
      <c r="BA24" s="74">
        <f t="shared" si="6"/>
        <v>162.30124999999921</v>
      </c>
      <c r="BC24" s="4">
        <v>45980</v>
      </c>
      <c r="BD24" s="74">
        <v>3333</v>
      </c>
      <c r="BE24" s="74">
        <v>709910.25</v>
      </c>
      <c r="BF24" s="74">
        <f>BE24-BE23</f>
        <v>3999.3980000000447</v>
      </c>
      <c r="BG24" s="74">
        <f t="shared" si="7"/>
        <v>166.64158333333521</v>
      </c>
      <c r="BI24" s="4">
        <v>46010</v>
      </c>
      <c r="BJ24" s="74">
        <v>3333</v>
      </c>
      <c r="BK24" s="74">
        <v>786570.12199999997</v>
      </c>
      <c r="BL24" s="74">
        <f t="shared" si="27"/>
        <v>583.41200000001118</v>
      </c>
      <c r="BM24" s="74">
        <f t="shared" si="8"/>
        <v>24.308833333333798</v>
      </c>
      <c r="BO24" s="4">
        <v>46041</v>
      </c>
      <c r="BP24" s="74">
        <v>965.56399999999996</v>
      </c>
      <c r="BQ24" s="74">
        <v>630208.42599999998</v>
      </c>
      <c r="BR24" s="74">
        <f t="shared" si="18"/>
        <v>1326.5999999999767</v>
      </c>
      <c r="BS24" s="74">
        <f t="shared" si="19"/>
        <v>55.274999999999032</v>
      </c>
    </row>
    <row r="25" spans="2:71" ht="15.75" x14ac:dyDescent="0.25">
      <c r="B25" s="4">
        <v>45708</v>
      </c>
      <c r="C25" s="74">
        <v>971694.33</v>
      </c>
      <c r="D25" s="74">
        <f t="shared" si="24"/>
        <v>407.25199999997858</v>
      </c>
      <c r="E25" s="74">
        <f t="shared" si="10"/>
        <v>16.968833333332441</v>
      </c>
      <c r="G25" s="4">
        <v>45736</v>
      </c>
      <c r="H25" s="76">
        <v>483.87096774193549</v>
      </c>
      <c r="I25" s="74">
        <v>3470.7689999999998</v>
      </c>
      <c r="J25" s="74">
        <f t="shared" si="11"/>
        <v>1293.136</v>
      </c>
      <c r="K25" s="74">
        <f t="shared" si="0"/>
        <v>53.880666666666663</v>
      </c>
      <c r="M25" s="4">
        <v>45767</v>
      </c>
      <c r="N25" s="76">
        <v>483.87096774193549</v>
      </c>
      <c r="O25" s="74">
        <v>37066.292000000001</v>
      </c>
      <c r="P25" s="74">
        <f t="shared" si="12"/>
        <v>495.95500000000175</v>
      </c>
      <c r="Q25" s="74">
        <f t="shared" si="1"/>
        <v>20.664791666666741</v>
      </c>
      <c r="S25" s="4">
        <v>45797</v>
      </c>
      <c r="T25" s="74">
        <v>483.87096774193549</v>
      </c>
      <c r="U25" s="74">
        <v>107219.573</v>
      </c>
      <c r="V25" s="74">
        <f t="shared" si="13"/>
        <v>2647.9800000000105</v>
      </c>
      <c r="W25" s="74">
        <f t="shared" si="2"/>
        <v>110.33250000000044</v>
      </c>
      <c r="Y25" s="4">
        <v>45828</v>
      </c>
      <c r="Z25" s="74">
        <v>3333</v>
      </c>
      <c r="AA25" s="74">
        <v>215661.77299999999</v>
      </c>
      <c r="AB25" s="74">
        <f t="shared" si="20"/>
        <v>0</v>
      </c>
      <c r="AC25" s="74">
        <f t="shared" si="3"/>
        <v>0</v>
      </c>
      <c r="AE25" s="4">
        <v>45858</v>
      </c>
      <c r="AF25" s="74">
        <v>3333</v>
      </c>
      <c r="AG25" s="74">
        <v>294847.89600000001</v>
      </c>
      <c r="AH25" s="74">
        <f t="shared" si="25"/>
        <v>4131.9920000000275</v>
      </c>
      <c r="AI25" s="74">
        <f t="shared" si="22"/>
        <v>172.16633333333448</v>
      </c>
      <c r="AK25" s="4">
        <v>45889</v>
      </c>
      <c r="AL25" s="74">
        <v>3333</v>
      </c>
      <c r="AM25" s="74">
        <v>413438.84399999998</v>
      </c>
      <c r="AN25" s="74">
        <f t="shared" si="14"/>
        <v>4223.0169999999925</v>
      </c>
      <c r="AO25" s="74">
        <f t="shared" si="23"/>
        <v>175.95904166666637</v>
      </c>
      <c r="AQ25" s="4">
        <v>45920</v>
      </c>
      <c r="AR25" s="74">
        <v>3333</v>
      </c>
      <c r="AS25" s="74">
        <v>505044.20699999999</v>
      </c>
      <c r="AT25" s="74">
        <f t="shared" si="15"/>
        <v>0</v>
      </c>
      <c r="AU25" s="74">
        <f t="shared" si="16"/>
        <v>0</v>
      </c>
      <c r="AW25" s="4">
        <v>45950</v>
      </c>
      <c r="AX25" s="74">
        <v>3333</v>
      </c>
      <c r="AY25" s="74">
        <v>599180.13</v>
      </c>
      <c r="AZ25" s="74">
        <f t="shared" si="17"/>
        <v>3669.5200000000186</v>
      </c>
      <c r="BA25" s="74">
        <f t="shared" si="6"/>
        <v>152.89666666666744</v>
      </c>
      <c r="BC25" s="4">
        <v>45981</v>
      </c>
      <c r="BD25" s="74">
        <v>3333</v>
      </c>
      <c r="BE25" s="74">
        <v>713110.24100000004</v>
      </c>
      <c r="BF25" s="74">
        <f t="shared" si="26"/>
        <v>3199.9910000000382</v>
      </c>
      <c r="BG25" s="74">
        <f t="shared" si="7"/>
        <v>133.33295833333491</v>
      </c>
      <c r="BI25" s="4">
        <v>46011</v>
      </c>
      <c r="BJ25" s="74">
        <v>3333</v>
      </c>
      <c r="BK25" s="74">
        <v>788175.61399999994</v>
      </c>
      <c r="BL25" s="74">
        <f t="shared" si="27"/>
        <v>1605.4919999999693</v>
      </c>
      <c r="BM25" s="74">
        <f t="shared" si="8"/>
        <v>66.895499999998719</v>
      </c>
      <c r="BO25" s="4">
        <v>46042</v>
      </c>
      <c r="BP25" s="74">
        <v>965.56399999999996</v>
      </c>
      <c r="BQ25" s="74"/>
      <c r="BR25" s="74">
        <f t="shared" si="18"/>
        <v>-630208.42599999998</v>
      </c>
      <c r="BS25" s="74">
        <f t="shared" si="19"/>
        <v>-26258.684416666667</v>
      </c>
    </row>
    <row r="26" spans="2:71" ht="15.75" x14ac:dyDescent="0.25">
      <c r="B26" s="4">
        <v>45709</v>
      </c>
      <c r="C26" s="74">
        <v>972233.35400000005</v>
      </c>
      <c r="D26" s="74">
        <f t="shared" si="24"/>
        <v>539.0240000000922</v>
      </c>
      <c r="E26" s="74">
        <f t="shared" si="10"/>
        <v>22.459333333337174</v>
      </c>
      <c r="G26" s="4">
        <v>45737</v>
      </c>
      <c r="H26" s="76">
        <v>483.87096774193549</v>
      </c>
      <c r="I26" s="74">
        <v>4685.1170000000002</v>
      </c>
      <c r="J26" s="74">
        <f t="shared" si="11"/>
        <v>1214.3480000000004</v>
      </c>
      <c r="K26" s="74">
        <f t="shared" si="0"/>
        <v>50.597833333333348</v>
      </c>
      <c r="M26" s="4">
        <v>45768</v>
      </c>
      <c r="N26" s="76">
        <v>483.87096774193549</v>
      </c>
      <c r="O26" s="74">
        <v>37744.160000000003</v>
      </c>
      <c r="P26" s="74">
        <f t="shared" si="12"/>
        <v>677.86800000000221</v>
      </c>
      <c r="Q26" s="74">
        <f t="shared" si="1"/>
        <v>28.244500000000091</v>
      </c>
      <c r="S26" s="4">
        <v>45798</v>
      </c>
      <c r="T26" s="74">
        <v>483.87096774193549</v>
      </c>
      <c r="U26" s="74">
        <v>110758.09699999999</v>
      </c>
      <c r="V26" s="74">
        <f t="shared" si="13"/>
        <v>3538.5239999999903</v>
      </c>
      <c r="W26" s="74">
        <f t="shared" si="2"/>
        <v>147.43849999999961</v>
      </c>
      <c r="Y26" s="4">
        <v>45829</v>
      </c>
      <c r="Z26" s="74">
        <v>3333</v>
      </c>
      <c r="AA26" s="74">
        <v>218206.16500000001</v>
      </c>
      <c r="AB26" s="74">
        <f t="shared" si="20"/>
        <v>2544.3920000000217</v>
      </c>
      <c r="AC26" s="74">
        <f t="shared" si="3"/>
        <v>106.01633333333423</v>
      </c>
      <c r="AE26" s="4">
        <v>45859</v>
      </c>
      <c r="AF26" s="74">
        <v>3333</v>
      </c>
      <c r="AG26" s="74">
        <v>298915.79700000002</v>
      </c>
      <c r="AH26" s="74">
        <f t="shared" si="25"/>
        <v>4067.9010000000126</v>
      </c>
      <c r="AI26" s="74">
        <f t="shared" si="22"/>
        <v>169.49587500000052</v>
      </c>
      <c r="AK26" s="4">
        <v>45890</v>
      </c>
      <c r="AL26" s="74">
        <v>3333</v>
      </c>
      <c r="AM26" s="74">
        <v>417693.63199999998</v>
      </c>
      <c r="AN26" s="74">
        <f t="shared" si="14"/>
        <v>4254.7880000000005</v>
      </c>
      <c r="AO26" s="74">
        <f t="shared" si="23"/>
        <v>177.28283333333334</v>
      </c>
      <c r="AQ26" s="4">
        <v>45921</v>
      </c>
      <c r="AR26" s="74">
        <v>3333</v>
      </c>
      <c r="AS26" s="74">
        <v>505044.20699999999</v>
      </c>
      <c r="AT26" s="74">
        <f t="shared" si="15"/>
        <v>0</v>
      </c>
      <c r="AU26" s="74">
        <f t="shared" si="16"/>
        <v>0</v>
      </c>
      <c r="AW26" s="4">
        <v>45951</v>
      </c>
      <c r="AX26" s="74">
        <v>3333</v>
      </c>
      <c r="AY26" s="74">
        <v>603050.89</v>
      </c>
      <c r="AZ26" s="74">
        <f t="shared" si="17"/>
        <v>3870.7600000000093</v>
      </c>
      <c r="BA26" s="74">
        <f t="shared" si="6"/>
        <v>161.28166666666706</v>
      </c>
      <c r="BC26" s="4">
        <v>45982</v>
      </c>
      <c r="BD26" s="74">
        <v>3333</v>
      </c>
      <c r="BE26" s="74">
        <v>716958.91</v>
      </c>
      <c r="BF26" s="74">
        <f t="shared" si="26"/>
        <v>3848.6689999999944</v>
      </c>
      <c r="BG26" s="74">
        <f t="shared" si="7"/>
        <v>160.36120833333311</v>
      </c>
      <c r="BI26" s="4">
        <v>46012</v>
      </c>
      <c r="BJ26" s="74">
        <v>3333</v>
      </c>
      <c r="BK26" s="74">
        <v>790142.1</v>
      </c>
      <c r="BL26" s="74">
        <f t="shared" si="27"/>
        <v>1966.4860000000335</v>
      </c>
      <c r="BM26" s="74">
        <f t="shared" si="8"/>
        <v>81.936916666668068</v>
      </c>
      <c r="BO26" s="4">
        <v>46043</v>
      </c>
      <c r="BP26" s="74">
        <v>965.56399999999996</v>
      </c>
      <c r="BQ26" s="74"/>
      <c r="BR26" s="74">
        <f t="shared" si="18"/>
        <v>0</v>
      </c>
      <c r="BS26" s="74">
        <f t="shared" si="19"/>
        <v>0</v>
      </c>
    </row>
    <row r="27" spans="2:71" ht="15.75" x14ac:dyDescent="0.25">
      <c r="B27" s="4">
        <v>45710</v>
      </c>
      <c r="C27" s="74">
        <v>973515.12199999997</v>
      </c>
      <c r="D27" s="74">
        <f t="shared" si="24"/>
        <v>1281.7679999999236</v>
      </c>
      <c r="E27" s="74">
        <f t="shared" si="10"/>
        <v>53.40699999999682</v>
      </c>
      <c r="G27" s="4">
        <v>45738</v>
      </c>
      <c r="H27" s="76">
        <v>483.87096774193549</v>
      </c>
      <c r="I27" s="74">
        <v>5653.9970000000003</v>
      </c>
      <c r="J27" s="74">
        <f t="shared" si="11"/>
        <v>968.88000000000011</v>
      </c>
      <c r="K27" s="74">
        <f t="shared" si="0"/>
        <v>40.370000000000005</v>
      </c>
      <c r="M27" s="4">
        <v>45769</v>
      </c>
      <c r="N27" s="76">
        <v>483.87096774193549</v>
      </c>
      <c r="O27" s="74">
        <v>38040.411999999997</v>
      </c>
      <c r="P27" s="74">
        <f t="shared" si="12"/>
        <v>296.25199999999313</v>
      </c>
      <c r="Q27" s="74">
        <f t="shared" si="1"/>
        <v>12.343833333333047</v>
      </c>
      <c r="S27" s="4">
        <v>45799</v>
      </c>
      <c r="T27" s="74">
        <v>483.87096774193549</v>
      </c>
      <c r="U27" s="74">
        <v>114104.06600000001</v>
      </c>
      <c r="V27" s="74">
        <f t="shared" si="13"/>
        <v>3345.9690000000119</v>
      </c>
      <c r="W27" s="74">
        <f t="shared" si="2"/>
        <v>139.41537500000049</v>
      </c>
      <c r="Y27" s="4">
        <v>45830</v>
      </c>
      <c r="Z27" s="74">
        <v>3333</v>
      </c>
      <c r="AA27" s="74">
        <v>222039.30600000001</v>
      </c>
      <c r="AB27" s="74">
        <f t="shared" si="20"/>
        <v>3833.1410000000033</v>
      </c>
      <c r="AC27" s="74">
        <f t="shared" si="3"/>
        <v>159.71420833333346</v>
      </c>
      <c r="AE27" s="4">
        <v>45860</v>
      </c>
      <c r="AF27" s="74">
        <v>3333</v>
      </c>
      <c r="AG27" s="74">
        <v>303092.73300000001</v>
      </c>
      <c r="AH27" s="74">
        <f t="shared" si="25"/>
        <v>4176.935999999987</v>
      </c>
      <c r="AI27" s="74">
        <v>142</v>
      </c>
      <c r="AK27" s="4">
        <v>45891</v>
      </c>
      <c r="AL27" s="74">
        <v>3333</v>
      </c>
      <c r="AM27" s="74">
        <v>421644.37599999999</v>
      </c>
      <c r="AN27" s="74">
        <f t="shared" si="14"/>
        <v>3950.7440000000061</v>
      </c>
      <c r="AO27" s="74">
        <f t="shared" si="23"/>
        <v>164.61433333333358</v>
      </c>
      <c r="AQ27" s="4">
        <v>45922</v>
      </c>
      <c r="AR27" s="74">
        <v>3333</v>
      </c>
      <c r="AS27" s="74">
        <v>505044.20699999999</v>
      </c>
      <c r="AT27" s="74">
        <f t="shared" si="15"/>
        <v>0</v>
      </c>
      <c r="AU27" s="74">
        <f t="shared" si="16"/>
        <v>0</v>
      </c>
      <c r="AW27" s="4">
        <v>45952</v>
      </c>
      <c r="AX27" s="74">
        <v>3333</v>
      </c>
      <c r="AY27" s="74">
        <v>607015.93999999994</v>
      </c>
      <c r="AZ27" s="74">
        <f t="shared" si="17"/>
        <v>3965.0499999999302</v>
      </c>
      <c r="BA27" s="74">
        <f t="shared" si="6"/>
        <v>165.21041666666375</v>
      </c>
      <c r="BC27" s="4">
        <v>45983</v>
      </c>
      <c r="BD27" s="74">
        <v>3333</v>
      </c>
      <c r="BE27" s="74">
        <v>720910.62100000004</v>
      </c>
      <c r="BF27" s="74">
        <f t="shared" si="26"/>
        <v>3951.7110000000102</v>
      </c>
      <c r="BG27" s="74">
        <f t="shared" si="7"/>
        <v>164.65462500000044</v>
      </c>
      <c r="BI27" s="4">
        <v>46013</v>
      </c>
      <c r="BJ27" s="74">
        <v>3333</v>
      </c>
      <c r="BK27" s="74">
        <v>791614.12300000002</v>
      </c>
      <c r="BL27" s="74">
        <f t="shared" si="27"/>
        <v>1472.0230000000447</v>
      </c>
      <c r="BM27" s="74">
        <f t="shared" si="8"/>
        <v>61.334291666668527</v>
      </c>
      <c r="BO27" s="4">
        <v>46044</v>
      </c>
      <c r="BP27" s="74">
        <v>965.56399999999996</v>
      </c>
      <c r="BQ27" s="74"/>
      <c r="BR27" s="74">
        <f t="shared" si="18"/>
        <v>0</v>
      </c>
      <c r="BS27" s="74">
        <f t="shared" si="19"/>
        <v>0</v>
      </c>
    </row>
    <row r="28" spans="2:71" ht="15.75" x14ac:dyDescent="0.25">
      <c r="B28" s="4">
        <v>45711</v>
      </c>
      <c r="C28" s="74">
        <v>973816.07400000002</v>
      </c>
      <c r="D28" s="74">
        <f t="shared" si="24"/>
        <v>300.95200000004843</v>
      </c>
      <c r="E28" s="74">
        <f t="shared" si="10"/>
        <v>12.539666666668685</v>
      </c>
      <c r="G28" s="4">
        <v>45739</v>
      </c>
      <c r="H28" s="76">
        <v>483.87096774193549</v>
      </c>
      <c r="I28" s="74">
        <v>6273.0010000000002</v>
      </c>
      <c r="J28" s="74">
        <f t="shared" si="11"/>
        <v>619.00399999999991</v>
      </c>
      <c r="K28" s="74">
        <f t="shared" si="0"/>
        <v>25.791833333333329</v>
      </c>
      <c r="M28" s="4">
        <v>45770</v>
      </c>
      <c r="N28" s="76">
        <v>483.87096774193549</v>
      </c>
      <c r="O28" s="74">
        <v>40036.131999999998</v>
      </c>
      <c r="P28" s="74">
        <f t="shared" si="12"/>
        <v>1995.7200000000012</v>
      </c>
      <c r="Q28" s="74">
        <f t="shared" si="1"/>
        <v>83.155000000000044</v>
      </c>
      <c r="S28" s="4">
        <v>45800</v>
      </c>
      <c r="T28" s="74">
        <v>483.87096774193549</v>
      </c>
      <c r="U28" s="74">
        <v>117779.97</v>
      </c>
      <c r="V28" s="74">
        <f t="shared" si="13"/>
        <v>3675.903999999995</v>
      </c>
      <c r="W28" s="74">
        <f t="shared" si="2"/>
        <v>153.16266666666647</v>
      </c>
      <c r="Y28" s="4">
        <v>45831</v>
      </c>
      <c r="Z28" s="74">
        <v>3333</v>
      </c>
      <c r="AA28" s="74">
        <v>222829.22200000001</v>
      </c>
      <c r="AB28" s="74">
        <f t="shared" si="20"/>
        <v>789.91599999999744</v>
      </c>
      <c r="AC28" s="74">
        <f t="shared" si="3"/>
        <v>32.913166666666562</v>
      </c>
      <c r="AE28" s="4">
        <v>45861</v>
      </c>
      <c r="AF28" s="74">
        <v>3333</v>
      </c>
      <c r="AG28" s="74">
        <v>307079.87800000003</v>
      </c>
      <c r="AH28" s="74">
        <f t="shared" si="25"/>
        <v>3987.1450000000186</v>
      </c>
      <c r="AI28" s="74">
        <f t="shared" si="22"/>
        <v>166.13104166666744</v>
      </c>
      <c r="AK28" s="4">
        <v>45892</v>
      </c>
      <c r="AL28" s="74">
        <v>3333</v>
      </c>
      <c r="AM28" s="74">
        <v>425890.473</v>
      </c>
      <c r="AN28" s="74">
        <f t="shared" si="14"/>
        <v>4246.0970000000088</v>
      </c>
      <c r="AO28" s="74">
        <f t="shared" si="23"/>
        <v>176.92070833333369</v>
      </c>
      <c r="AQ28" s="4">
        <v>45923</v>
      </c>
      <c r="AR28" s="74">
        <v>3333</v>
      </c>
      <c r="AS28" s="74">
        <v>505044.20699999999</v>
      </c>
      <c r="AT28" s="74">
        <f t="shared" si="15"/>
        <v>0</v>
      </c>
      <c r="AU28" s="74">
        <f t="shared" si="16"/>
        <v>0</v>
      </c>
      <c r="AW28" s="4">
        <v>45953</v>
      </c>
      <c r="AX28" s="74">
        <v>3333</v>
      </c>
      <c r="AY28" s="74">
        <v>611120.52</v>
      </c>
      <c r="AZ28" s="74">
        <f t="shared" si="17"/>
        <v>4104.5800000000745</v>
      </c>
      <c r="BA28" s="74">
        <f t="shared" si="6"/>
        <v>171.02416666666977</v>
      </c>
      <c r="BC28" s="4">
        <v>45984</v>
      </c>
      <c r="BD28" s="74">
        <v>3333</v>
      </c>
      <c r="BE28" s="74">
        <v>724875.326</v>
      </c>
      <c r="BF28" s="74">
        <f t="shared" si="26"/>
        <v>3964.7049999999581</v>
      </c>
      <c r="BG28" s="74">
        <f t="shared" si="7"/>
        <v>165.19604166666491</v>
      </c>
      <c r="BI28" s="4">
        <v>46014</v>
      </c>
      <c r="BJ28" s="74">
        <v>3333</v>
      </c>
      <c r="BK28" s="74">
        <v>793145.12300000002</v>
      </c>
      <c r="BL28" s="74">
        <f t="shared" si="27"/>
        <v>1531</v>
      </c>
      <c r="BM28" s="74">
        <f t="shared" si="8"/>
        <v>63.791666666666664</v>
      </c>
      <c r="BO28" s="4">
        <v>46045</v>
      </c>
      <c r="BP28" s="74">
        <v>965.56399999999996</v>
      </c>
      <c r="BQ28" s="74"/>
      <c r="BR28" s="74">
        <f t="shared" si="18"/>
        <v>0</v>
      </c>
      <c r="BS28" s="74">
        <f t="shared" si="19"/>
        <v>0</v>
      </c>
    </row>
    <row r="29" spans="2:71" ht="15.75" x14ac:dyDescent="0.25">
      <c r="B29" s="4">
        <v>45712</v>
      </c>
      <c r="C29" s="74">
        <v>974216.88600000006</v>
      </c>
      <c r="D29" s="74">
        <f t="shared" si="24"/>
        <v>400.81200000003446</v>
      </c>
      <c r="E29" s="74">
        <f t="shared" ref="E29" si="28">D29/24</f>
        <v>16.700500000001437</v>
      </c>
      <c r="G29" s="4">
        <v>45740</v>
      </c>
      <c r="H29" s="76">
        <v>483.87096774193549</v>
      </c>
      <c r="I29" s="74">
        <v>6953.1049999999996</v>
      </c>
      <c r="J29" s="74">
        <f t="shared" si="11"/>
        <v>680.10399999999936</v>
      </c>
      <c r="K29" s="74">
        <f t="shared" si="0"/>
        <v>28.337666666666639</v>
      </c>
      <c r="M29" s="4">
        <v>45771</v>
      </c>
      <c r="N29" s="76">
        <v>483.87096774193549</v>
      </c>
      <c r="O29" s="74">
        <v>43413.896000000001</v>
      </c>
      <c r="P29" s="74">
        <f t="shared" si="12"/>
        <v>3377.7640000000029</v>
      </c>
      <c r="Q29" s="74">
        <f t="shared" si="1"/>
        <v>140.74016666666679</v>
      </c>
      <c r="S29" s="4">
        <v>45801</v>
      </c>
      <c r="T29" s="74">
        <v>483.87096774193549</v>
      </c>
      <c r="U29" s="74">
        <v>121640.618</v>
      </c>
      <c r="V29" s="74">
        <f t="shared" si="13"/>
        <v>3860.648000000001</v>
      </c>
      <c r="W29" s="74">
        <f t="shared" si="2"/>
        <v>160.86033333333339</v>
      </c>
      <c r="Y29" s="4">
        <v>45832</v>
      </c>
      <c r="Z29" s="74">
        <v>3333</v>
      </c>
      <c r="AA29" s="74">
        <v>222829.22200000001</v>
      </c>
      <c r="AB29" s="74">
        <f t="shared" si="20"/>
        <v>0</v>
      </c>
      <c r="AC29" s="74">
        <f t="shared" si="3"/>
        <v>0</v>
      </c>
      <c r="AE29" s="4">
        <v>45862</v>
      </c>
      <c r="AF29" s="74">
        <v>3333</v>
      </c>
      <c r="AG29" s="74">
        <v>311155.56199999998</v>
      </c>
      <c r="AH29" s="74">
        <f t="shared" si="25"/>
        <v>4075.6839999999502</v>
      </c>
      <c r="AI29" s="74">
        <f t="shared" si="22"/>
        <v>169.82016666666459</v>
      </c>
      <c r="AK29" s="4">
        <v>45893</v>
      </c>
      <c r="AL29" s="74">
        <v>3333</v>
      </c>
      <c r="AM29" s="74">
        <v>429974.76500000001</v>
      </c>
      <c r="AN29" s="74">
        <f t="shared" si="14"/>
        <v>4084.2920000000158</v>
      </c>
      <c r="AO29" s="74">
        <f t="shared" si="23"/>
        <v>170.17883333333398</v>
      </c>
      <c r="AQ29" s="4">
        <v>45924</v>
      </c>
      <c r="AR29" s="74">
        <v>3333</v>
      </c>
      <c r="AS29" s="74">
        <v>505044.20699999999</v>
      </c>
      <c r="AT29" s="74">
        <f t="shared" si="15"/>
        <v>0</v>
      </c>
      <c r="AU29" s="74">
        <f t="shared" si="16"/>
        <v>0</v>
      </c>
      <c r="AW29" s="4">
        <v>45954</v>
      </c>
      <c r="AX29" s="74">
        <v>3333</v>
      </c>
      <c r="AY29" s="74">
        <v>615080.95999999996</v>
      </c>
      <c r="AZ29" s="74">
        <f t="shared" si="17"/>
        <v>3960.4399999999441</v>
      </c>
      <c r="BA29" s="74">
        <f t="shared" si="6"/>
        <v>165.01833333333101</v>
      </c>
      <c r="BC29" s="4">
        <v>45985</v>
      </c>
      <c r="BD29" s="74">
        <v>3333</v>
      </c>
      <c r="BE29" s="74">
        <v>728615.28700000001</v>
      </c>
      <c r="BF29" s="74">
        <f t="shared" si="26"/>
        <v>3739.9610000000102</v>
      </c>
      <c r="BG29" s="74">
        <f t="shared" si="7"/>
        <v>155.83170833333375</v>
      </c>
      <c r="BI29" s="4">
        <v>46015</v>
      </c>
      <c r="BJ29" s="74">
        <v>3333</v>
      </c>
      <c r="BK29" s="74">
        <v>794040.07</v>
      </c>
      <c r="BL29" s="74">
        <f t="shared" si="27"/>
        <v>894.94699999992736</v>
      </c>
      <c r="BM29" s="74">
        <f t="shared" si="8"/>
        <v>37.289458333330309</v>
      </c>
      <c r="BO29" s="4">
        <v>46046</v>
      </c>
      <c r="BP29" s="74">
        <v>965.56399999999996</v>
      </c>
      <c r="BQ29" s="74"/>
      <c r="BR29" s="74">
        <f t="shared" si="18"/>
        <v>0</v>
      </c>
      <c r="BS29" s="74">
        <f t="shared" si="19"/>
        <v>0</v>
      </c>
    </row>
    <row r="30" spans="2:71" ht="15.75" x14ac:dyDescent="0.25">
      <c r="B30" s="4">
        <v>45713</v>
      </c>
      <c r="C30" s="74">
        <v>974724.174</v>
      </c>
      <c r="D30" s="74">
        <f t="shared" si="24"/>
        <v>507.28799999994226</v>
      </c>
      <c r="E30" s="74">
        <f>D30/24</f>
        <v>21.136999999997595</v>
      </c>
      <c r="G30" s="4">
        <v>45741</v>
      </c>
      <c r="H30" s="76">
        <v>483.87096774193549</v>
      </c>
      <c r="I30" s="74">
        <v>7812.3850000000002</v>
      </c>
      <c r="J30" s="74">
        <f t="shared" si="11"/>
        <v>859.28000000000065</v>
      </c>
      <c r="K30" s="74">
        <f t="shared" si="0"/>
        <v>35.803333333333363</v>
      </c>
      <c r="M30" s="4">
        <v>45772</v>
      </c>
      <c r="N30" s="76">
        <v>483.87096774193549</v>
      </c>
      <c r="O30" s="74">
        <v>44305.084000000003</v>
      </c>
      <c r="P30" s="74">
        <f t="shared" si="12"/>
        <v>891.18800000000192</v>
      </c>
      <c r="Q30" s="74">
        <f t="shared" si="1"/>
        <v>37.132833333333416</v>
      </c>
      <c r="S30" s="4">
        <v>45802</v>
      </c>
      <c r="T30" s="74">
        <v>483.87096774193549</v>
      </c>
      <c r="U30" s="74">
        <v>125526.599</v>
      </c>
      <c r="V30" s="74">
        <f t="shared" si="13"/>
        <v>3885.9809999999998</v>
      </c>
      <c r="W30" s="74">
        <f t="shared" si="2"/>
        <v>161.915875</v>
      </c>
      <c r="Y30" s="4">
        <v>45833</v>
      </c>
      <c r="Z30" s="74">
        <v>3333</v>
      </c>
      <c r="AA30" s="74">
        <v>222829.22200000001</v>
      </c>
      <c r="AB30" s="74">
        <f t="shared" si="20"/>
        <v>0</v>
      </c>
      <c r="AC30" s="74">
        <f t="shared" si="3"/>
        <v>0</v>
      </c>
      <c r="AE30" s="4">
        <v>45863</v>
      </c>
      <c r="AF30" s="74">
        <v>3333</v>
      </c>
      <c r="AG30" s="74">
        <v>313286.45600000001</v>
      </c>
      <c r="AH30" s="74">
        <f t="shared" si="25"/>
        <v>2130.8940000000293</v>
      </c>
      <c r="AI30" s="74">
        <f t="shared" si="22"/>
        <v>88.787250000001222</v>
      </c>
      <c r="AK30" s="4">
        <v>45894</v>
      </c>
      <c r="AL30" s="74">
        <v>3333</v>
      </c>
      <c r="AM30" s="74">
        <v>434180.049</v>
      </c>
      <c r="AN30" s="74">
        <f t="shared" si="14"/>
        <v>4205.2839999999851</v>
      </c>
      <c r="AO30" s="74">
        <f t="shared" si="23"/>
        <v>175.22016666666605</v>
      </c>
      <c r="AQ30" s="4">
        <v>45925</v>
      </c>
      <c r="AR30" s="74">
        <v>3333</v>
      </c>
      <c r="AS30" s="74">
        <v>505044.20699999999</v>
      </c>
      <c r="AT30" s="74">
        <f t="shared" si="15"/>
        <v>0</v>
      </c>
      <c r="AU30" s="74">
        <f t="shared" si="16"/>
        <v>0</v>
      </c>
      <c r="AW30" s="4">
        <v>45955</v>
      </c>
      <c r="AX30" s="74">
        <v>3333</v>
      </c>
      <c r="AY30" s="74">
        <v>619105.56000000006</v>
      </c>
      <c r="AZ30" s="74">
        <f t="shared" si="17"/>
        <v>4024.6000000000931</v>
      </c>
      <c r="BA30" s="74">
        <f t="shared" si="6"/>
        <v>167.69166666667056</v>
      </c>
      <c r="BC30" s="4">
        <v>45986</v>
      </c>
      <c r="BD30" s="74">
        <v>3333</v>
      </c>
      <c r="BE30" s="74">
        <v>731992.97</v>
      </c>
      <c r="BF30" s="74">
        <f t="shared" si="26"/>
        <v>3377.6829999999609</v>
      </c>
      <c r="BG30" s="74">
        <f t="shared" si="7"/>
        <v>140.73679166666503</v>
      </c>
      <c r="BI30" s="4">
        <v>46016</v>
      </c>
      <c r="BJ30" s="74">
        <v>3333</v>
      </c>
      <c r="BK30" s="74">
        <v>797473.14</v>
      </c>
      <c r="BL30" s="74">
        <f>BK30-BK29</f>
        <v>3433.0700000000652</v>
      </c>
      <c r="BM30" s="74">
        <f t="shared" si="8"/>
        <v>143.04458333333605</v>
      </c>
      <c r="BO30" s="4">
        <v>46047</v>
      </c>
      <c r="BP30" s="74">
        <v>965.56399999999996</v>
      </c>
      <c r="BQ30" s="74"/>
      <c r="BR30" s="74">
        <f t="shared" si="18"/>
        <v>0</v>
      </c>
      <c r="BS30" s="74">
        <f t="shared" si="19"/>
        <v>0</v>
      </c>
    </row>
    <row r="31" spans="2:71" ht="15.75" x14ac:dyDescent="0.25">
      <c r="B31" s="4">
        <v>45714</v>
      </c>
      <c r="C31" s="74">
        <v>975249.86300000001</v>
      </c>
      <c r="D31" s="74">
        <f t="shared" si="24"/>
        <v>525.68900000001304</v>
      </c>
      <c r="E31" s="74">
        <v>21.903708333333878</v>
      </c>
      <c r="G31" s="4">
        <v>45742</v>
      </c>
      <c r="H31" s="76">
        <v>483.87096774193549</v>
      </c>
      <c r="I31" s="74">
        <v>8724.5689999999995</v>
      </c>
      <c r="J31" s="74">
        <f>I31-I30</f>
        <v>912.18399999999929</v>
      </c>
      <c r="K31" s="74">
        <f>J31/24</f>
        <v>38.007666666666637</v>
      </c>
      <c r="M31" s="4">
        <v>45773</v>
      </c>
      <c r="N31" s="76">
        <v>483.87096774193549</v>
      </c>
      <c r="O31" s="74">
        <v>46354.084000000003</v>
      </c>
      <c r="P31" s="74">
        <f t="shared" si="12"/>
        <v>2049</v>
      </c>
      <c r="Q31" s="74">
        <f>P31/24</f>
        <v>85.375</v>
      </c>
      <c r="S31" s="4">
        <v>45803</v>
      </c>
      <c r="T31" s="74">
        <v>483.87096774193549</v>
      </c>
      <c r="U31" s="74">
        <v>129209.463</v>
      </c>
      <c r="V31" s="74">
        <f t="shared" si="13"/>
        <v>3682.8640000000014</v>
      </c>
      <c r="W31" s="74">
        <f>V31/24</f>
        <v>153.45266666666672</v>
      </c>
      <c r="Y31" s="4">
        <v>45834</v>
      </c>
      <c r="Z31" s="74">
        <v>3333</v>
      </c>
      <c r="AA31" s="74">
        <v>222829.22200000001</v>
      </c>
      <c r="AB31" s="74">
        <f t="shared" si="20"/>
        <v>0</v>
      </c>
      <c r="AC31" s="74">
        <f>AB31/24</f>
        <v>0</v>
      </c>
      <c r="AE31" s="4">
        <v>45864</v>
      </c>
      <c r="AF31" s="74">
        <v>3333</v>
      </c>
      <c r="AG31" s="74">
        <v>315991.72700000001</v>
      </c>
      <c r="AH31" s="74">
        <f t="shared" si="25"/>
        <v>2705.2710000000079</v>
      </c>
      <c r="AI31" s="74">
        <f>AH31/24</f>
        <v>112.71962500000033</v>
      </c>
      <c r="AK31" s="4">
        <v>45895</v>
      </c>
      <c r="AL31" s="74">
        <v>3333</v>
      </c>
      <c r="AM31" s="74">
        <v>438346.33799999999</v>
      </c>
      <c r="AN31" s="74">
        <f t="shared" si="14"/>
        <v>4166.2889999999898</v>
      </c>
      <c r="AO31" s="74">
        <f>AN31/24</f>
        <v>173.59537499999956</v>
      </c>
      <c r="AQ31" s="4">
        <v>45926</v>
      </c>
      <c r="AR31" s="74">
        <v>3333</v>
      </c>
      <c r="AS31" s="74">
        <v>509737.40299999999</v>
      </c>
      <c r="AT31" s="74">
        <f t="shared" si="15"/>
        <v>4693.1959999999963</v>
      </c>
      <c r="AU31" s="74">
        <f>AT31/24</f>
        <v>195.54983333333317</v>
      </c>
      <c r="AW31" s="4">
        <v>45956</v>
      </c>
      <c r="AX31" s="74">
        <v>3333</v>
      </c>
      <c r="AY31" s="74">
        <v>623102.1</v>
      </c>
      <c r="AZ31" s="74">
        <f t="shared" si="17"/>
        <v>3996.5399999999208</v>
      </c>
      <c r="BA31" s="74">
        <f>AZ31/24</f>
        <v>166.52249999999671</v>
      </c>
      <c r="BC31" s="4">
        <v>45987</v>
      </c>
      <c r="BD31" s="74">
        <v>3333</v>
      </c>
      <c r="BE31" s="74">
        <v>735863.73</v>
      </c>
      <c r="BF31" s="74">
        <f t="shared" si="26"/>
        <v>3870.7600000000093</v>
      </c>
      <c r="BG31" s="74">
        <f t="shared" si="7"/>
        <v>161.28166666666706</v>
      </c>
      <c r="BI31" s="86">
        <v>46017</v>
      </c>
      <c r="BJ31" s="87">
        <v>3333</v>
      </c>
      <c r="BK31" s="87">
        <v>600711.91399999999</v>
      </c>
      <c r="BL31" s="87">
        <f>BK31-AY21</f>
        <v>16741.554000000004</v>
      </c>
      <c r="BM31" s="87">
        <f t="shared" si="8"/>
        <v>697.56475000000012</v>
      </c>
      <c r="BO31" s="4">
        <v>46048</v>
      </c>
      <c r="BP31" s="74">
        <v>965.56399999999996</v>
      </c>
      <c r="BQ31" s="74"/>
      <c r="BR31" s="74">
        <f t="shared" si="18"/>
        <v>0</v>
      </c>
      <c r="BS31" s="74">
        <f t="shared" si="19"/>
        <v>0</v>
      </c>
    </row>
    <row r="32" spans="2:71" ht="15.75" x14ac:dyDescent="0.25">
      <c r="B32" s="4">
        <v>45715</v>
      </c>
      <c r="C32" s="74">
        <v>976072.19900000002</v>
      </c>
      <c r="D32" s="74">
        <f t="shared" si="24"/>
        <v>822.33600000001024</v>
      </c>
      <c r="E32" s="74">
        <v>34.264000000000429</v>
      </c>
      <c r="G32" s="4">
        <v>45743</v>
      </c>
      <c r="H32" s="76">
        <v>483.87096774193549</v>
      </c>
      <c r="I32" s="74">
        <v>9855.5650000000005</v>
      </c>
      <c r="J32" s="74">
        <f>I32-I31</f>
        <v>1130.996000000001</v>
      </c>
      <c r="K32" s="74">
        <f t="shared" si="0"/>
        <v>47.124833333333378</v>
      </c>
      <c r="M32" s="4">
        <v>45774</v>
      </c>
      <c r="N32" s="76">
        <v>483.87096774193549</v>
      </c>
      <c r="O32" s="74">
        <v>46354.563999999998</v>
      </c>
      <c r="P32" s="74">
        <f t="shared" si="12"/>
        <v>0.47999999999592546</v>
      </c>
      <c r="Q32" s="74">
        <f t="shared" si="1"/>
        <v>1.9999999999830226E-2</v>
      </c>
      <c r="S32" s="4">
        <v>45804</v>
      </c>
      <c r="T32" s="74">
        <v>483.87096774193549</v>
      </c>
      <c r="U32" s="74">
        <v>133037.65900000001</v>
      </c>
      <c r="V32" s="74">
        <f t="shared" si="13"/>
        <v>3828.1960000000108</v>
      </c>
      <c r="W32" s="74">
        <f t="shared" ref="W32:W36" si="29">V32/24</f>
        <v>159.50816666666711</v>
      </c>
      <c r="Y32" s="4">
        <v>45835</v>
      </c>
      <c r="Z32" s="74">
        <v>3333</v>
      </c>
      <c r="AA32" s="74">
        <v>222829.22200000001</v>
      </c>
      <c r="AB32" s="74">
        <f t="shared" si="20"/>
        <v>0</v>
      </c>
      <c r="AC32" s="74">
        <f t="shared" ref="AC32:AC37" si="30">AB32/24</f>
        <v>0</v>
      </c>
      <c r="AE32" s="4">
        <v>45865</v>
      </c>
      <c r="AF32" s="74">
        <v>3333</v>
      </c>
      <c r="AG32" s="74">
        <v>320235.83500000002</v>
      </c>
      <c r="AH32" s="74">
        <f t="shared" si="25"/>
        <v>4244.1080000000075</v>
      </c>
      <c r="AI32" s="74">
        <f t="shared" ref="AI32:AI36" si="31">AH32/24</f>
        <v>176.83783333333363</v>
      </c>
      <c r="AK32" s="4">
        <v>45896</v>
      </c>
      <c r="AL32" s="74">
        <v>3333</v>
      </c>
      <c r="AM32" s="74">
        <v>442624.12599999999</v>
      </c>
      <c r="AN32" s="74">
        <f t="shared" si="14"/>
        <v>4277.7880000000005</v>
      </c>
      <c r="AO32" s="74">
        <f t="shared" ref="AO32:AO36" si="32">AN32/24</f>
        <v>178.24116666666669</v>
      </c>
      <c r="AQ32" s="4">
        <v>45927</v>
      </c>
      <c r="AR32" s="74">
        <v>3333</v>
      </c>
      <c r="AS32" s="74">
        <v>512497.05499999999</v>
      </c>
      <c r="AT32" s="74">
        <f t="shared" si="15"/>
        <v>2759.6520000000019</v>
      </c>
      <c r="AU32" s="74">
        <f t="shared" ref="AU32:AU35" si="33">AT32/24</f>
        <v>114.98550000000007</v>
      </c>
      <c r="AW32" s="4">
        <v>45957</v>
      </c>
      <c r="AX32" s="74">
        <v>3333</v>
      </c>
      <c r="AY32" s="74">
        <v>627059.25</v>
      </c>
      <c r="AZ32" s="74">
        <f t="shared" si="17"/>
        <v>3957.1500000000233</v>
      </c>
      <c r="BA32" s="74">
        <f t="shared" ref="BA32:BA37" si="34">AZ32/24</f>
        <v>164.88125000000096</v>
      </c>
      <c r="BC32" s="4">
        <v>45988</v>
      </c>
      <c r="BD32" s="74">
        <v>3333</v>
      </c>
      <c r="BE32" s="74">
        <v>739828.78</v>
      </c>
      <c r="BF32" s="74">
        <f t="shared" si="26"/>
        <v>3965.0500000000466</v>
      </c>
      <c r="BG32" s="74">
        <f t="shared" ref="BG32:BG35" si="35">BF32/24</f>
        <v>165.21041666666861</v>
      </c>
      <c r="BI32" s="4">
        <v>46018</v>
      </c>
      <c r="BJ32" s="74">
        <v>3333</v>
      </c>
      <c r="BK32" s="74">
        <v>602079.304</v>
      </c>
      <c r="BL32" s="74">
        <f>BK32-BK31</f>
        <v>1367.390000000014</v>
      </c>
      <c r="BM32" s="74">
        <f t="shared" si="8"/>
        <v>56.974583333333918</v>
      </c>
      <c r="BO32" s="4">
        <v>46049</v>
      </c>
      <c r="BP32" s="74">
        <v>965.56399999999996</v>
      </c>
      <c r="BQ32" s="74"/>
      <c r="BR32" s="74">
        <f t="shared" si="18"/>
        <v>0</v>
      </c>
      <c r="BS32" s="74">
        <f t="shared" si="19"/>
        <v>0</v>
      </c>
    </row>
    <row r="33" spans="2:71" ht="15.75" x14ac:dyDescent="0.25">
      <c r="B33" s="4">
        <v>45716</v>
      </c>
      <c r="C33" s="74">
        <v>976854.68700000003</v>
      </c>
      <c r="D33" s="74">
        <f t="shared" si="24"/>
        <v>782.48800000001211</v>
      </c>
      <c r="E33" s="74">
        <v>32.603666666667174</v>
      </c>
      <c r="G33" s="4">
        <v>45744</v>
      </c>
      <c r="H33" s="76">
        <v>483.87096774193549</v>
      </c>
      <c r="I33" s="74">
        <v>10978.697</v>
      </c>
      <c r="J33" s="74">
        <f>I33-I32</f>
        <v>1123.1319999999996</v>
      </c>
      <c r="K33" s="74">
        <f t="shared" si="0"/>
        <v>46.797166666666648</v>
      </c>
      <c r="M33" s="4">
        <v>45775</v>
      </c>
      <c r="N33" s="76">
        <v>483.87096774193549</v>
      </c>
      <c r="O33" s="74">
        <v>48599.084000000003</v>
      </c>
      <c r="P33" s="74">
        <f t="shared" si="12"/>
        <v>2244.5200000000041</v>
      </c>
      <c r="Q33" s="74">
        <f t="shared" si="1"/>
        <v>93.521666666666832</v>
      </c>
      <c r="S33" s="4">
        <v>45805</v>
      </c>
      <c r="T33" s="74">
        <v>483.87096774193549</v>
      </c>
      <c r="U33" s="74">
        <v>136801.61199999999</v>
      </c>
      <c r="V33" s="74">
        <f t="shared" si="13"/>
        <v>3763.9529999999795</v>
      </c>
      <c r="W33" s="74">
        <f t="shared" si="29"/>
        <v>156.83137499999916</v>
      </c>
      <c r="Y33" s="4">
        <v>45836</v>
      </c>
      <c r="Z33" s="74">
        <v>3333</v>
      </c>
      <c r="AA33" s="74">
        <v>222829.22200000001</v>
      </c>
      <c r="AB33" s="74">
        <f t="shared" si="20"/>
        <v>0</v>
      </c>
      <c r="AC33" s="74">
        <f t="shared" si="30"/>
        <v>0</v>
      </c>
      <c r="AE33" s="4">
        <v>45866</v>
      </c>
      <c r="AF33" s="74">
        <v>3333</v>
      </c>
      <c r="AG33" s="74">
        <v>324235.83500000002</v>
      </c>
      <c r="AH33" s="74">
        <f t="shared" si="25"/>
        <v>4000</v>
      </c>
      <c r="AI33" s="74">
        <f t="shared" si="31"/>
        <v>166.66666666666666</v>
      </c>
      <c r="AK33" s="4">
        <v>45897</v>
      </c>
      <c r="AL33" s="74">
        <v>3333</v>
      </c>
      <c r="AM33" s="74">
        <v>446726.31800000003</v>
      </c>
      <c r="AN33" s="74">
        <f t="shared" si="14"/>
        <v>4102.1920000000391</v>
      </c>
      <c r="AO33" s="74">
        <f t="shared" si="32"/>
        <v>170.92466666666829</v>
      </c>
      <c r="AQ33" s="4">
        <v>45928</v>
      </c>
      <c r="AR33" s="74">
        <v>3333</v>
      </c>
      <c r="AS33" s="74">
        <v>516315.08</v>
      </c>
      <c r="AT33" s="74">
        <f t="shared" si="15"/>
        <v>3818.0250000000233</v>
      </c>
      <c r="AU33" s="74">
        <f t="shared" si="33"/>
        <v>159.08437500000096</v>
      </c>
      <c r="AW33" s="4">
        <v>45958</v>
      </c>
      <c r="AX33" s="74">
        <v>3333</v>
      </c>
      <c r="AY33" s="74">
        <v>631023.6</v>
      </c>
      <c r="AZ33" s="74">
        <f t="shared" si="17"/>
        <v>3964.3499999999767</v>
      </c>
      <c r="BA33" s="74">
        <f t="shared" si="34"/>
        <v>165.18124999999904</v>
      </c>
      <c r="BC33" s="4">
        <v>45989</v>
      </c>
      <c r="BD33" s="74">
        <v>3333</v>
      </c>
      <c r="BE33" s="74">
        <v>743763.91</v>
      </c>
      <c r="BF33" s="74">
        <f t="shared" si="26"/>
        <v>3935.1300000000047</v>
      </c>
      <c r="BG33" s="74">
        <f t="shared" si="35"/>
        <v>163.9637500000002</v>
      </c>
      <c r="BI33" s="4">
        <v>46019</v>
      </c>
      <c r="BJ33" s="74">
        <v>3333</v>
      </c>
      <c r="BK33" s="74">
        <v>603286.53399999999</v>
      </c>
      <c r="BL33" s="74">
        <f>BK33-BK32</f>
        <v>1207.2299999999814</v>
      </c>
      <c r="BM33" s="74">
        <f t="shared" si="8"/>
        <v>50.301249999999222</v>
      </c>
      <c r="BO33" s="4">
        <v>46050</v>
      </c>
      <c r="BP33" s="74">
        <v>965.56399999999996</v>
      </c>
      <c r="BQ33" s="74"/>
      <c r="BR33" s="74">
        <f t="shared" si="18"/>
        <v>0</v>
      </c>
      <c r="BS33" s="74">
        <f t="shared" si="19"/>
        <v>0</v>
      </c>
    </row>
    <row r="34" spans="2:71" ht="15.75" x14ac:dyDescent="0.25">
      <c r="B34" s="11"/>
      <c r="C34" s="69"/>
      <c r="D34" s="74" t="e">
        <f>SUM(D6:D33)</f>
        <v>#REF!</v>
      </c>
      <c r="E34" s="74" t="e">
        <f>D34/24</f>
        <v>#REF!</v>
      </c>
      <c r="G34" s="4">
        <v>45745</v>
      </c>
      <c r="H34" s="76">
        <v>483.87096774193549</v>
      </c>
      <c r="I34" s="74">
        <v>12138.694</v>
      </c>
      <c r="J34" s="74">
        <f>I34-I33</f>
        <v>1159.9969999999994</v>
      </c>
      <c r="K34" s="74">
        <f t="shared" ref="K34:K37" si="36">J34/24</f>
        <v>48.33320833333331</v>
      </c>
      <c r="M34" s="4">
        <v>45776</v>
      </c>
      <c r="N34" s="76">
        <v>483.87096774193549</v>
      </c>
      <c r="O34" s="74">
        <v>51213.877</v>
      </c>
      <c r="P34" s="74">
        <f>O34-O33</f>
        <v>2614.7929999999978</v>
      </c>
      <c r="Q34" s="74">
        <f t="shared" si="1"/>
        <v>108.94970833333325</v>
      </c>
      <c r="S34" s="4">
        <v>45806</v>
      </c>
      <c r="T34" s="74">
        <v>483.87096774193549</v>
      </c>
      <c r="U34" s="74">
        <v>140673.66</v>
      </c>
      <c r="V34" s="74">
        <f>U34-U33</f>
        <v>3872.0480000000098</v>
      </c>
      <c r="W34" s="74">
        <f t="shared" si="29"/>
        <v>161.33533333333375</v>
      </c>
      <c r="Y34" s="4">
        <v>45837</v>
      </c>
      <c r="Z34" s="74">
        <v>3333</v>
      </c>
      <c r="AA34" s="74">
        <v>222829.22200000001</v>
      </c>
      <c r="AB34" s="74">
        <f>AA34-AA33</f>
        <v>0</v>
      </c>
      <c r="AC34" s="74">
        <f t="shared" si="30"/>
        <v>0</v>
      </c>
      <c r="AE34" s="4">
        <v>45867</v>
      </c>
      <c r="AF34" s="74">
        <v>3333</v>
      </c>
      <c r="AG34" s="74">
        <v>328430.75599999999</v>
      </c>
      <c r="AH34" s="74">
        <f>AG34-AG33</f>
        <v>4194.920999999973</v>
      </c>
      <c r="AI34" s="74">
        <f t="shared" si="31"/>
        <v>174.78837499999887</v>
      </c>
      <c r="AK34" s="4">
        <v>45898</v>
      </c>
      <c r="AL34" s="74">
        <v>3333</v>
      </c>
      <c r="AM34" s="74">
        <v>451028.391</v>
      </c>
      <c r="AN34" s="74">
        <f t="shared" si="14"/>
        <v>4302.0729999999749</v>
      </c>
      <c r="AO34" s="74">
        <f t="shared" si="32"/>
        <v>179.25304166666561</v>
      </c>
      <c r="AQ34" s="4">
        <v>45929</v>
      </c>
      <c r="AR34" s="74">
        <v>3333</v>
      </c>
      <c r="AS34" s="74">
        <v>520326.37199999997</v>
      </c>
      <c r="AT34" s="74">
        <f t="shared" si="15"/>
        <v>4011.2919999999576</v>
      </c>
      <c r="AU34" s="74">
        <f t="shared" si="33"/>
        <v>167.13716666666491</v>
      </c>
      <c r="AW34" s="4">
        <v>45959</v>
      </c>
      <c r="AX34" s="74">
        <v>3333</v>
      </c>
      <c r="AY34" s="74">
        <v>634970.9</v>
      </c>
      <c r="AZ34" s="74">
        <f t="shared" si="17"/>
        <v>3947.3000000000466</v>
      </c>
      <c r="BA34" s="74">
        <f t="shared" si="34"/>
        <v>164.47083333333526</v>
      </c>
      <c r="BC34" s="4">
        <v>45990</v>
      </c>
      <c r="BD34" s="74">
        <v>3333</v>
      </c>
      <c r="BE34" s="74">
        <v>747582.2</v>
      </c>
      <c r="BF34" s="74">
        <f t="shared" si="26"/>
        <v>3818.2899999999208</v>
      </c>
      <c r="BG34" s="74">
        <f t="shared" si="35"/>
        <v>159.09541666666337</v>
      </c>
      <c r="BI34" s="4">
        <v>46020</v>
      </c>
      <c r="BJ34" s="74">
        <v>3333</v>
      </c>
      <c r="BK34" s="74">
        <v>604714.74399999995</v>
      </c>
      <c r="BL34" s="74">
        <f t="shared" ref="BL34:BL36" si="37">BK34-BK33</f>
        <v>1428.2099999999627</v>
      </c>
      <c r="BM34" s="74">
        <f t="shared" si="8"/>
        <v>59.50874999999845</v>
      </c>
      <c r="BO34" s="4">
        <v>46051</v>
      </c>
      <c r="BP34" s="74">
        <v>965.56399999999996</v>
      </c>
      <c r="BQ34" s="74"/>
      <c r="BR34" s="74">
        <f t="shared" si="18"/>
        <v>0</v>
      </c>
      <c r="BS34" s="74">
        <f t="shared" si="19"/>
        <v>0</v>
      </c>
    </row>
    <row r="35" spans="2:71" ht="15.75" x14ac:dyDescent="0.25">
      <c r="G35" s="4">
        <v>45746</v>
      </c>
      <c r="H35" s="76">
        <v>483.87096774193549</v>
      </c>
      <c r="I35" s="74">
        <v>13194.361999999999</v>
      </c>
      <c r="J35" s="74">
        <f t="shared" ref="J35" si="38">I35-I34</f>
        <v>1055.6679999999997</v>
      </c>
      <c r="K35" s="74">
        <f t="shared" si="36"/>
        <v>43.986166666666655</v>
      </c>
      <c r="M35" s="4">
        <v>45777</v>
      </c>
      <c r="N35" s="76">
        <v>483.87096774193549</v>
      </c>
      <c r="O35" s="74">
        <v>52603.161</v>
      </c>
      <c r="P35" s="74">
        <f t="shared" si="12"/>
        <v>1389.2839999999997</v>
      </c>
      <c r="Q35" s="74">
        <f t="shared" si="1"/>
        <v>57.886833333333321</v>
      </c>
      <c r="S35" s="4">
        <v>45807</v>
      </c>
      <c r="T35" s="74">
        <v>483.87096774193549</v>
      </c>
      <c r="U35" s="74">
        <v>144194.348</v>
      </c>
      <c r="V35" s="74">
        <f t="shared" ref="V35:V36" si="39">U35-U34</f>
        <v>3520.6879999999946</v>
      </c>
      <c r="W35" s="74">
        <f t="shared" si="29"/>
        <v>146.69533333333311</v>
      </c>
      <c r="Y35" s="4">
        <v>45838</v>
      </c>
      <c r="Z35" s="74">
        <v>3333</v>
      </c>
      <c r="AA35" s="74">
        <v>222829.22200000001</v>
      </c>
      <c r="AB35" s="74">
        <f t="shared" ref="AB35" si="40">AA35-AA34</f>
        <v>0</v>
      </c>
      <c r="AC35" s="74">
        <f t="shared" si="30"/>
        <v>0</v>
      </c>
      <c r="AE35" s="4">
        <v>45868</v>
      </c>
      <c r="AF35" s="74">
        <v>3333</v>
      </c>
      <c r="AG35" s="74">
        <v>332398.42</v>
      </c>
      <c r="AH35" s="74">
        <f t="shared" ref="AH35:AH36" si="41">AG35-AG34</f>
        <v>3967.6639999999898</v>
      </c>
      <c r="AI35" s="74">
        <f t="shared" si="31"/>
        <v>165.31933333333291</v>
      </c>
      <c r="AK35" s="4">
        <v>45899</v>
      </c>
      <c r="AL35" s="74">
        <v>3333</v>
      </c>
      <c r="AM35" s="74">
        <v>455286.18300000002</v>
      </c>
      <c r="AN35" s="74">
        <f t="shared" si="14"/>
        <v>4257.7920000000158</v>
      </c>
      <c r="AO35" s="74">
        <f t="shared" si="32"/>
        <v>177.40800000000067</v>
      </c>
      <c r="AQ35" s="4">
        <v>45930</v>
      </c>
      <c r="AR35" s="74">
        <v>3333</v>
      </c>
      <c r="AS35" s="74">
        <v>523893.288</v>
      </c>
      <c r="AT35" s="74">
        <f t="shared" si="15"/>
        <v>3566.9160000000265</v>
      </c>
      <c r="AU35" s="74">
        <f t="shared" si="33"/>
        <v>148.62150000000111</v>
      </c>
      <c r="AW35" s="4">
        <v>45960</v>
      </c>
      <c r="AX35" s="74">
        <v>3333</v>
      </c>
      <c r="AY35" s="74">
        <v>638652.82999999996</v>
      </c>
      <c r="AZ35" s="74">
        <f t="shared" si="17"/>
        <v>3681.9299999999348</v>
      </c>
      <c r="BA35" s="74">
        <f t="shared" si="34"/>
        <v>153.41374999999729</v>
      </c>
      <c r="BC35" s="4">
        <v>45991</v>
      </c>
      <c r="BD35" s="74">
        <v>3333</v>
      </c>
      <c r="BE35" s="74">
        <v>751440.37</v>
      </c>
      <c r="BF35" s="74">
        <f t="shared" si="26"/>
        <v>3858.1700000000419</v>
      </c>
      <c r="BG35" s="74">
        <f t="shared" si="35"/>
        <v>160.75708333333509</v>
      </c>
      <c r="BI35" s="4">
        <v>46021</v>
      </c>
      <c r="BJ35" s="74">
        <v>3333</v>
      </c>
      <c r="BK35" s="74">
        <v>606100.11399999994</v>
      </c>
      <c r="BL35" s="74">
        <f t="shared" si="37"/>
        <v>1385.3699999999953</v>
      </c>
      <c r="BM35" s="74">
        <f t="shared" si="8"/>
        <v>57.723749999999804</v>
      </c>
      <c r="BO35" s="4">
        <v>46052</v>
      </c>
      <c r="BP35" s="74">
        <v>965.56399999999996</v>
      </c>
      <c r="BQ35" s="74"/>
      <c r="BR35" s="74">
        <f t="shared" si="18"/>
        <v>0</v>
      </c>
      <c r="BS35" s="74">
        <f t="shared" si="19"/>
        <v>0</v>
      </c>
    </row>
    <row r="36" spans="2:71" ht="15.75" x14ac:dyDescent="0.25">
      <c r="G36" s="4">
        <v>45747</v>
      </c>
      <c r="H36" s="76">
        <v>483.87096774193549</v>
      </c>
      <c r="I36" s="74">
        <v>14430.433999999999</v>
      </c>
      <c r="J36" s="74">
        <f>I36-I35</f>
        <v>1236.0720000000001</v>
      </c>
      <c r="K36" s="74">
        <f t="shared" si="36"/>
        <v>51.503000000000007</v>
      </c>
      <c r="S36" s="4">
        <v>45808</v>
      </c>
      <c r="T36" s="76">
        <v>483.87096774193549</v>
      </c>
      <c r="U36" s="84">
        <v>147890.728</v>
      </c>
      <c r="V36" s="74">
        <f t="shared" si="39"/>
        <v>3696.3800000000047</v>
      </c>
      <c r="W36" s="74">
        <f t="shared" si="29"/>
        <v>154.01583333333352</v>
      </c>
      <c r="Y36" s="4"/>
      <c r="Z36" s="74"/>
      <c r="AA36" s="74">
        <v>222829.22200000001</v>
      </c>
      <c r="AB36" s="74"/>
      <c r="AC36" s="74"/>
      <c r="AE36" s="4">
        <v>45869</v>
      </c>
      <c r="AF36" s="74">
        <v>3333</v>
      </c>
      <c r="AG36" s="74">
        <v>336214.25300000003</v>
      </c>
      <c r="AH36" s="74">
        <f t="shared" si="41"/>
        <v>3815.8330000000424</v>
      </c>
      <c r="AI36" s="74">
        <f t="shared" si="31"/>
        <v>158.99304166666843</v>
      </c>
      <c r="AK36" s="4">
        <v>45900</v>
      </c>
      <c r="AL36" s="74">
        <v>3333</v>
      </c>
      <c r="AM36" s="85">
        <v>459511.62699999998</v>
      </c>
      <c r="AN36" s="74">
        <f t="shared" si="14"/>
        <v>4225.4439999999595</v>
      </c>
      <c r="AO36" s="74">
        <f t="shared" si="32"/>
        <v>176.06016666666497</v>
      </c>
      <c r="AQ36" s="4"/>
      <c r="AR36" s="74"/>
      <c r="AS36" s="84"/>
      <c r="AT36" s="74"/>
      <c r="AU36" s="74"/>
      <c r="AW36" s="4">
        <v>45961</v>
      </c>
      <c r="AX36" s="74">
        <v>3333</v>
      </c>
      <c r="AY36" s="84">
        <v>642315.36</v>
      </c>
      <c r="AZ36" s="74">
        <f t="shared" si="17"/>
        <v>3662.5300000000279</v>
      </c>
      <c r="BA36" s="74">
        <f t="shared" si="34"/>
        <v>152.60541666666782</v>
      </c>
      <c r="BC36" s="4"/>
      <c r="BD36" s="74"/>
      <c r="BE36" s="84"/>
      <c r="BF36" s="74"/>
      <c r="BG36" s="74"/>
      <c r="BI36" s="4">
        <v>46022</v>
      </c>
      <c r="BJ36" s="74">
        <v>3333</v>
      </c>
      <c r="BK36" s="84">
        <v>607364.34400000004</v>
      </c>
      <c r="BL36" s="74">
        <f t="shared" si="37"/>
        <v>1264.2300000000978</v>
      </c>
      <c r="BM36" s="74">
        <f t="shared" si="8"/>
        <v>52.676250000004075</v>
      </c>
      <c r="BO36" s="4">
        <v>46053</v>
      </c>
      <c r="BP36" s="74">
        <v>965.56399999999996</v>
      </c>
      <c r="BQ36" s="84"/>
      <c r="BR36" s="74">
        <f t="shared" si="18"/>
        <v>0</v>
      </c>
      <c r="BS36" s="74">
        <f t="shared" si="19"/>
        <v>0</v>
      </c>
    </row>
    <row r="37" spans="2:71" ht="15.75" x14ac:dyDescent="0.25">
      <c r="G37" s="11"/>
      <c r="H37" s="11"/>
      <c r="I37" s="69"/>
      <c r="J37" s="74">
        <f>SUM(J6:J36)</f>
        <v>38060.066999999945</v>
      </c>
      <c r="K37" s="74">
        <f t="shared" si="36"/>
        <v>1585.8361249999978</v>
      </c>
      <c r="M37" s="11"/>
      <c r="N37" s="11"/>
      <c r="O37" s="69"/>
      <c r="P37" s="74">
        <f>SUM(P6:P36)</f>
        <v>38172.727000000006</v>
      </c>
      <c r="Q37" s="74">
        <f t="shared" ref="Q37" si="42">P37/24</f>
        <v>1590.5302916666669</v>
      </c>
      <c r="S37" s="11"/>
      <c r="T37" s="11"/>
      <c r="U37" s="69"/>
      <c r="V37" s="83">
        <f>SUM(V6:V36)</f>
        <v>95287.566999999995</v>
      </c>
      <c r="W37" s="83">
        <f t="shared" ref="W37" si="43">V37/24</f>
        <v>3970.3152916666663</v>
      </c>
      <c r="Y37" s="11"/>
      <c r="Z37" s="11"/>
      <c r="AA37" s="69"/>
      <c r="AB37" s="83">
        <f>SUM(AB6:AB36)</f>
        <v>74938.494000000006</v>
      </c>
      <c r="AC37" s="83">
        <f t="shared" si="30"/>
        <v>3122.4372500000004</v>
      </c>
      <c r="AE37" s="11"/>
      <c r="AF37" s="11"/>
      <c r="AG37" s="69"/>
      <c r="AH37" s="83">
        <f>SUM(AH6:AH36)</f>
        <v>113385.02899999999</v>
      </c>
      <c r="AI37" s="83">
        <f t="shared" ref="AI37" si="44">AH37/24</f>
        <v>4724.3762083333331</v>
      </c>
      <c r="AK37" s="11"/>
      <c r="AL37" s="11"/>
      <c r="AM37" s="69"/>
      <c r="AN37" s="83">
        <f>SUM(AN6:AN36)</f>
        <v>123297.37199999997</v>
      </c>
      <c r="AO37" s="83">
        <f t="shared" ref="AO37" si="45">AN37/24</f>
        <v>5137.3904999999986</v>
      </c>
      <c r="AQ37" s="11"/>
      <c r="AR37" s="11"/>
      <c r="AS37" s="69"/>
      <c r="AT37" s="83">
        <f>SUM(AT6:AT36)</f>
        <v>64381.5</v>
      </c>
      <c r="AU37" s="83">
        <f t="shared" ref="AU37" si="46">AT37/24</f>
        <v>2682.5625</v>
      </c>
      <c r="AW37" s="11"/>
      <c r="AX37" s="11"/>
      <c r="AY37" s="69"/>
      <c r="AZ37" s="83">
        <f>SUM(AZ6:AZ36)</f>
        <v>118422.07299999995</v>
      </c>
      <c r="BA37" s="74">
        <f t="shared" si="34"/>
        <v>4934.2530416666641</v>
      </c>
      <c r="BC37" s="11"/>
      <c r="BD37" s="11"/>
      <c r="BE37" s="69"/>
      <c r="BF37" s="83">
        <v>92773</v>
      </c>
      <c r="BG37" s="83">
        <f t="shared" ref="BG37" si="47">BF37/24</f>
        <v>3865.5416666666665</v>
      </c>
      <c r="BI37" s="11"/>
      <c r="BJ37" s="11"/>
      <c r="BK37" s="69"/>
      <c r="BL37" s="83">
        <v>92773</v>
      </c>
      <c r="BM37" s="83">
        <f t="shared" ref="BM37" si="48">BL37/24</f>
        <v>3865.5416666666665</v>
      </c>
    </row>
    <row r="44" spans="2:71" ht="18.75" customHeight="1" x14ac:dyDescent="0.25"/>
    <row r="46" spans="2:71" ht="21" customHeight="1" x14ac:dyDescent="0.25"/>
    <row r="62" spans="62:64" ht="63" x14ac:dyDescent="0.25">
      <c r="BJ62" s="79" t="s">
        <v>0</v>
      </c>
      <c r="BK62" s="80" t="s">
        <v>41</v>
      </c>
      <c r="BL62" s="80" t="s">
        <v>42</v>
      </c>
    </row>
    <row r="63" spans="62:64" ht="15.75" x14ac:dyDescent="0.25">
      <c r="BJ63" s="33">
        <v>46040</v>
      </c>
      <c r="BK63" s="81">
        <v>1451</v>
      </c>
      <c r="BL63" s="82">
        <v>1588</v>
      </c>
    </row>
    <row r="64" spans="62:64" ht="15.75" x14ac:dyDescent="0.25">
      <c r="BJ64" s="33">
        <v>46041</v>
      </c>
      <c r="BK64" s="81">
        <v>1451</v>
      </c>
      <c r="BL64" s="82">
        <v>1269.1719999999041</v>
      </c>
    </row>
    <row r="65" spans="62:64" ht="15.75" x14ac:dyDescent="0.25">
      <c r="BJ65" s="33">
        <v>46042</v>
      </c>
      <c r="BK65" s="81">
        <v>1451</v>
      </c>
      <c r="BL65" s="89">
        <v>1473.9180000000633</v>
      </c>
    </row>
    <row r="66" spans="62:64" ht="15.75" x14ac:dyDescent="0.25">
      <c r="BJ66" s="33">
        <v>46043</v>
      </c>
      <c r="BK66" s="81">
        <v>1451</v>
      </c>
      <c r="BL66" s="89">
        <v>1455.0699999999488</v>
      </c>
    </row>
    <row r="67" spans="62:64" ht="15.75" x14ac:dyDescent="0.25">
      <c r="BJ67" s="33">
        <v>46044</v>
      </c>
      <c r="BK67" s="81">
        <v>1451</v>
      </c>
      <c r="BL67" s="89">
        <v>1000</v>
      </c>
    </row>
    <row r="68" spans="62:64" ht="15.75" x14ac:dyDescent="0.25">
      <c r="BJ68" s="33">
        <v>46045</v>
      </c>
      <c r="BK68" s="81">
        <v>1451</v>
      </c>
      <c r="BL68" s="88">
        <v>2012.0100000000093</v>
      </c>
    </row>
    <row r="69" spans="62:64" ht="15.75" x14ac:dyDescent="0.25">
      <c r="BJ69" s="33">
        <v>46046</v>
      </c>
      <c r="BK69" s="81">
        <v>1451</v>
      </c>
      <c r="BL69" s="82">
        <v>1365.7099999999627</v>
      </c>
    </row>
    <row r="70" spans="62:64" x14ac:dyDescent="0.25">
      <c r="BJ70" s="39"/>
      <c r="BK70" s="46">
        <f>SUM(BK63:BK69)</f>
        <v>10157</v>
      </c>
      <c r="BL70" s="46">
        <f>SUM(BL63:BL69)</f>
        <v>10163.879999999888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366"/>
  <sheetViews>
    <sheetView topLeftCell="P326" zoomScale="84" zoomScaleNormal="84" workbookViewId="0">
      <selection activeCell="A39" sqref="A39:D72"/>
    </sheetView>
  </sheetViews>
  <sheetFormatPr defaultColWidth="8.85546875" defaultRowHeight="15" x14ac:dyDescent="0.25"/>
  <cols>
    <col min="1" max="1" width="12.5703125" style="11" customWidth="1"/>
    <col min="2" max="2" width="14.7109375" style="11" customWidth="1"/>
    <col min="3" max="3" width="14.140625" style="11" customWidth="1"/>
    <col min="4" max="4" width="13" style="11" customWidth="1"/>
    <col min="5" max="5" width="12.7109375" style="11" customWidth="1"/>
    <col min="6" max="6" width="13.28515625" style="11" customWidth="1"/>
    <col min="7" max="7" width="25.140625" style="11" customWidth="1"/>
    <col min="8" max="8" width="18.7109375" style="11" customWidth="1"/>
    <col min="9" max="9" width="13.5703125" style="11" bestFit="1" customWidth="1"/>
    <col min="10" max="10" width="10.28515625" style="11" bestFit="1" customWidth="1"/>
    <col min="11" max="11" width="14.85546875" style="11" customWidth="1"/>
    <col min="12" max="12" width="18.28515625" style="11" customWidth="1"/>
    <col min="13" max="13" width="19.140625" style="11" customWidth="1"/>
    <col min="14" max="14" width="20.42578125" style="11" customWidth="1"/>
    <col min="15" max="15" width="13.5703125" style="11" customWidth="1"/>
    <col min="16" max="16" width="11.5703125" style="11" customWidth="1"/>
    <col min="17" max="17" width="16.42578125" style="11" customWidth="1"/>
    <col min="18" max="18" width="20.42578125" style="11" customWidth="1"/>
    <col min="19" max="19" width="16.28515625" style="11" customWidth="1"/>
    <col min="20" max="20" width="8.85546875" style="11" customWidth="1"/>
    <col min="21" max="21" width="15.5703125" style="11" customWidth="1"/>
    <col min="22" max="22" width="15.28515625" style="11" customWidth="1"/>
    <col min="23" max="23" width="17.28515625" style="11" customWidth="1"/>
    <col min="24" max="24" width="18.7109375" style="11" customWidth="1"/>
    <col min="25" max="25" width="8.85546875" style="11" customWidth="1"/>
    <col min="26" max="26" width="13.5703125" style="11" customWidth="1"/>
    <col min="27" max="27" width="15.140625" style="11" customWidth="1"/>
    <col min="28" max="28" width="16.7109375" style="11" customWidth="1"/>
    <col min="29" max="29" width="12" style="11" customWidth="1"/>
    <col min="30" max="30" width="8.85546875" style="11" customWidth="1"/>
    <col min="31" max="31" width="16.5703125" style="11" customWidth="1"/>
    <col min="32" max="32" width="16.28515625" style="11" customWidth="1"/>
    <col min="33" max="33" width="13.7109375" style="11" customWidth="1"/>
    <col min="34" max="34" width="15.28515625" style="11" customWidth="1"/>
    <col min="35" max="35" width="8.85546875" style="11" customWidth="1"/>
    <col min="36" max="36" width="13.28515625" style="11" customWidth="1"/>
    <col min="37" max="37" width="13.7109375" style="11" customWidth="1"/>
    <col min="38" max="38" width="14.5703125" style="11" customWidth="1"/>
    <col min="39" max="39" width="14.28515625" style="11" customWidth="1"/>
    <col min="40" max="40" width="8.85546875" style="11" customWidth="1"/>
    <col min="41" max="41" width="12.28515625" style="11" customWidth="1"/>
    <col min="42" max="42" width="13.28515625" style="11" customWidth="1"/>
    <col min="43" max="43" width="13.7109375" style="11" customWidth="1"/>
    <col min="44" max="44" width="12.7109375" style="11" customWidth="1"/>
    <col min="45" max="45" width="8.85546875" style="11" customWidth="1"/>
    <col min="46" max="46" width="12.28515625" style="11" customWidth="1"/>
    <col min="47" max="47" width="14.42578125" style="11" customWidth="1"/>
    <col min="48" max="48" width="14.5703125" style="11" customWidth="1"/>
    <col min="49" max="49" width="11.5703125" style="11" customWidth="1"/>
    <col min="50" max="50" width="8.85546875" style="11" customWidth="1"/>
    <col min="51" max="51" width="12" style="11" customWidth="1"/>
    <col min="52" max="52" width="14.42578125" style="11" customWidth="1"/>
    <col min="53" max="53" width="13.140625" style="11" customWidth="1"/>
    <col min="54" max="54" width="15" style="11" customWidth="1"/>
    <col min="55" max="55" width="8.85546875" style="11" customWidth="1"/>
    <col min="56" max="56" width="11.85546875" style="11" customWidth="1"/>
    <col min="57" max="57" width="13.7109375" style="11" customWidth="1"/>
    <col min="58" max="58" width="16.28515625" style="11" customWidth="1"/>
    <col min="59" max="59" width="13.28515625" style="11" customWidth="1"/>
    <col min="60" max="60" width="8.85546875" style="11" customWidth="1"/>
    <col min="61" max="61" width="13.28515625" style="11" customWidth="1"/>
    <col min="62" max="62" width="15.140625" style="11" customWidth="1"/>
    <col min="63" max="63" width="15.7109375" style="11" customWidth="1"/>
    <col min="64" max="64" width="14.28515625" style="11" customWidth="1"/>
    <col min="65" max="65" width="8.85546875" style="11" customWidth="1"/>
    <col min="66" max="66" width="15.5703125" style="11" customWidth="1"/>
    <col min="67" max="68" width="13.28515625" style="11" customWidth="1"/>
    <col min="69" max="69" width="13.42578125" style="11" customWidth="1"/>
    <col min="70" max="70" width="8.85546875" style="11"/>
    <col min="71" max="71" width="11.85546875" style="11" customWidth="1"/>
    <col min="72" max="72" width="14.140625" style="11" customWidth="1"/>
    <col min="73" max="73" width="14" style="11" customWidth="1"/>
    <col min="74" max="74" width="12.28515625" style="11" customWidth="1"/>
    <col min="75" max="75" width="8.85546875" style="11"/>
    <col min="76" max="76" width="15.85546875" style="11" customWidth="1"/>
    <col min="77" max="77" width="17.7109375" style="11" customWidth="1"/>
    <col min="78" max="78" width="14.7109375" style="11" customWidth="1"/>
    <col min="79" max="79" width="14.140625" style="11" customWidth="1"/>
    <col min="80" max="80" width="8.85546875" style="11"/>
    <col min="81" max="81" width="15.140625" style="11" customWidth="1"/>
    <col min="82" max="82" width="13.7109375" style="11" customWidth="1"/>
    <col min="83" max="83" width="16.7109375" style="11" customWidth="1"/>
    <col min="84" max="84" width="14.7109375" style="11" customWidth="1"/>
    <col min="85" max="85" width="8.85546875" style="11"/>
    <col min="86" max="86" width="13.42578125" style="11" customWidth="1"/>
    <col min="87" max="87" width="13.7109375" style="11" customWidth="1"/>
    <col min="88" max="88" width="15.140625" style="11" customWidth="1"/>
    <col min="89" max="89" width="14" style="11" customWidth="1"/>
    <col min="90" max="90" width="8.85546875" style="11"/>
    <col min="91" max="91" width="14.85546875" style="11" customWidth="1"/>
    <col min="92" max="92" width="13.28515625" style="11" customWidth="1"/>
    <col min="93" max="93" width="15.5703125" style="11" customWidth="1"/>
    <col min="94" max="94" width="14.28515625" style="11" customWidth="1"/>
    <col min="95" max="95" width="8.85546875" style="11"/>
    <col min="96" max="96" width="11.42578125" style="11" customWidth="1"/>
    <col min="97" max="97" width="12.28515625" style="11" customWidth="1"/>
    <col min="98" max="98" width="14.7109375" style="11" customWidth="1"/>
    <col min="99" max="99" width="13.7109375" style="11" customWidth="1"/>
    <col min="100" max="100" width="8.85546875" style="11"/>
    <col min="101" max="101" width="15.28515625" style="11" customWidth="1"/>
    <col min="102" max="102" width="16.5703125" style="11" customWidth="1"/>
    <col min="103" max="103" width="13.7109375" style="11" customWidth="1"/>
    <col min="104" max="104" width="15.42578125" style="11" customWidth="1"/>
    <col min="105" max="105" width="8.85546875" style="11"/>
    <col min="106" max="106" width="15.5703125" style="11" customWidth="1"/>
    <col min="107" max="107" width="14.7109375" style="11" customWidth="1"/>
    <col min="108" max="108" width="14.140625" style="11" customWidth="1"/>
    <col min="109" max="109" width="12.140625" style="11" customWidth="1"/>
    <col min="110" max="110" width="8.85546875" style="11"/>
    <col min="111" max="111" width="14.28515625" style="11" customWidth="1"/>
    <col min="112" max="112" width="15.5703125" style="11" customWidth="1"/>
    <col min="113" max="113" width="13.7109375" style="11" customWidth="1"/>
    <col min="114" max="114" width="12.7109375" style="11" customWidth="1"/>
    <col min="115" max="115" width="8.85546875" style="11"/>
    <col min="116" max="116" width="13" style="11" customWidth="1"/>
    <col min="117" max="117" width="14.28515625" style="11" customWidth="1"/>
    <col min="118" max="118" width="18.28515625" style="11" customWidth="1"/>
    <col min="119" max="119" width="17.42578125" style="11" customWidth="1"/>
    <col min="120" max="120" width="8.85546875" style="11"/>
    <col min="121" max="122" width="12.5703125" style="11" customWidth="1"/>
    <col min="123" max="123" width="13.140625" style="11" customWidth="1"/>
    <col min="124" max="124" width="11.140625" style="11" customWidth="1"/>
    <col min="125" max="125" width="8.85546875" style="11"/>
    <col min="126" max="126" width="12.28515625" style="11" customWidth="1"/>
    <col min="127" max="127" width="16" style="11" customWidth="1"/>
    <col min="128" max="128" width="14.7109375" style="11" customWidth="1"/>
    <col min="129" max="129" width="12.42578125" style="11" customWidth="1"/>
    <col min="130" max="130" width="8.85546875" style="11"/>
    <col min="131" max="131" width="12.28515625" style="11" customWidth="1"/>
    <col min="132" max="132" width="17.140625" style="11" customWidth="1"/>
    <col min="133" max="133" width="14" style="11" customWidth="1"/>
    <col min="134" max="134" width="15.28515625" style="11" customWidth="1"/>
    <col min="135" max="135" width="8.85546875" style="11"/>
    <col min="136" max="136" width="11.42578125" style="11" customWidth="1"/>
    <col min="137" max="137" width="16.7109375" style="11" customWidth="1"/>
    <col min="138" max="138" width="16" style="11" customWidth="1"/>
    <col min="139" max="139" width="18.42578125" style="11" customWidth="1"/>
    <col min="140" max="140" width="8.85546875" style="11"/>
    <col min="141" max="141" width="12.5703125" style="11" customWidth="1"/>
    <col min="142" max="143" width="13" style="11" customWidth="1"/>
    <col min="144" max="144" width="13.7109375" style="11" customWidth="1"/>
    <col min="145" max="145" width="8.85546875" style="11"/>
    <col min="146" max="146" width="13.42578125" style="11" customWidth="1"/>
    <col min="147" max="147" width="13.5703125" style="11" customWidth="1"/>
    <col min="148" max="148" width="12.7109375" style="11" customWidth="1"/>
    <col min="149" max="150" width="8.85546875" style="11"/>
    <col min="151" max="151" width="11.28515625" style="11" bestFit="1" customWidth="1"/>
    <col min="152" max="152" width="14.85546875" style="69" bestFit="1" customWidth="1"/>
    <col min="153" max="153" width="13.7109375" style="69" bestFit="1" customWidth="1"/>
    <col min="154" max="154" width="12" style="69" customWidth="1"/>
    <col min="155" max="16384" width="8.85546875" style="11"/>
  </cols>
  <sheetData>
    <row r="1" spans="1:24" ht="31.5" x14ac:dyDescent="0.25">
      <c r="A1" s="1" t="s">
        <v>0</v>
      </c>
      <c r="B1" s="2" t="s">
        <v>1</v>
      </c>
      <c r="C1" s="3" t="s">
        <v>2</v>
      </c>
      <c r="D1" s="2" t="s">
        <v>3</v>
      </c>
    </row>
    <row r="2" spans="1:24" x14ac:dyDescent="0.25">
      <c r="A2" s="96" t="s">
        <v>4</v>
      </c>
      <c r="B2" s="96"/>
      <c r="C2" s="96"/>
      <c r="D2" s="97"/>
      <c r="F2" s="11" t="s">
        <v>0</v>
      </c>
      <c r="G2" s="10" t="s">
        <v>5</v>
      </c>
    </row>
    <row r="3" spans="1:24" ht="15.75" x14ac:dyDescent="0.25">
      <c r="A3" s="4">
        <v>44470</v>
      </c>
      <c r="B3" s="5">
        <v>723641.36499999999</v>
      </c>
      <c r="C3" s="6" t="e">
        <f>B3-#REF!</f>
        <v>#REF!</v>
      </c>
      <c r="D3" s="6" t="e">
        <f>C3/24</f>
        <v>#REF!</v>
      </c>
      <c r="F3" s="12">
        <v>44465</v>
      </c>
      <c r="G3" s="19">
        <v>2545.2519999999786</v>
      </c>
    </row>
    <row r="4" spans="1:24" ht="15.75" x14ac:dyDescent="0.25">
      <c r="A4" s="4">
        <v>44471</v>
      </c>
      <c r="B4" s="5">
        <v>726097.88100000005</v>
      </c>
      <c r="C4" s="6">
        <f t="shared" ref="C4:C20" si="0">B4-B3</f>
        <v>2456.5160000000615</v>
      </c>
      <c r="D4" s="6">
        <f t="shared" ref="D4:D34" si="1">C4/24</f>
        <v>102.35483333333589</v>
      </c>
      <c r="F4" s="12">
        <v>44466</v>
      </c>
      <c r="G4" s="19">
        <v>2761.188000000082</v>
      </c>
    </row>
    <row r="5" spans="1:24" ht="15.75" x14ac:dyDescent="0.25">
      <c r="A5" s="4">
        <v>44472</v>
      </c>
      <c r="B5" s="5">
        <v>728196.96600000001</v>
      </c>
      <c r="C5" s="6">
        <f t="shared" si="0"/>
        <v>2099.0849999999627</v>
      </c>
      <c r="D5" s="6">
        <f t="shared" si="1"/>
        <v>87.461874999998443</v>
      </c>
      <c r="F5" s="12">
        <v>44467</v>
      </c>
      <c r="G5" s="19">
        <v>2709.1119999999646</v>
      </c>
    </row>
    <row r="6" spans="1:24" ht="15.75" x14ac:dyDescent="0.25">
      <c r="A6" s="4">
        <v>44473</v>
      </c>
      <c r="B6" s="5">
        <v>730718.99</v>
      </c>
      <c r="C6" s="6">
        <f t="shared" si="0"/>
        <v>2522.0239999999758</v>
      </c>
      <c r="D6" s="6">
        <f t="shared" si="1"/>
        <v>105.08433333333232</v>
      </c>
      <c r="F6" s="12">
        <v>44468</v>
      </c>
      <c r="G6" s="19">
        <v>2723.3610000000335</v>
      </c>
    </row>
    <row r="7" spans="1:24" ht="15.75" x14ac:dyDescent="0.25">
      <c r="A7" s="4">
        <v>44474</v>
      </c>
      <c r="B7" s="5">
        <v>733300.11</v>
      </c>
      <c r="C7" s="6">
        <f t="shared" si="0"/>
        <v>2581.1199999999953</v>
      </c>
      <c r="D7" s="6">
        <f t="shared" si="1"/>
        <v>107.54666666666647</v>
      </c>
      <c r="F7" s="12">
        <v>44469</v>
      </c>
      <c r="G7" s="19">
        <v>2715.0999999999767</v>
      </c>
    </row>
    <row r="8" spans="1:24" ht="15.75" x14ac:dyDescent="0.25">
      <c r="A8" s="4">
        <v>44475</v>
      </c>
      <c r="B8" s="5">
        <v>735737.96200000006</v>
      </c>
      <c r="C8" s="6">
        <f t="shared" si="0"/>
        <v>2437.8520000000717</v>
      </c>
      <c r="D8" s="6">
        <f t="shared" si="1"/>
        <v>101.57716666666965</v>
      </c>
      <c r="F8" s="12">
        <v>44470</v>
      </c>
      <c r="G8" s="19">
        <v>2527.8159999999916</v>
      </c>
    </row>
    <row r="9" spans="1:24" ht="15.75" x14ac:dyDescent="0.25">
      <c r="A9" s="4">
        <v>44476</v>
      </c>
      <c r="B9" s="5">
        <v>738113.04200000002</v>
      </c>
      <c r="C9" s="6">
        <f t="shared" si="0"/>
        <v>2375.0799999999581</v>
      </c>
      <c r="D9" s="6">
        <f t="shared" si="1"/>
        <v>98.961666666664925</v>
      </c>
      <c r="F9" s="12">
        <v>44471</v>
      </c>
      <c r="G9" s="19">
        <v>2456.5160000000615</v>
      </c>
      <c r="X9" s="11">
        <v>150</v>
      </c>
    </row>
    <row r="10" spans="1:24" ht="15.75" x14ac:dyDescent="0.25">
      <c r="A10" s="4">
        <v>44477</v>
      </c>
      <c r="B10" s="5">
        <v>740123.96600000001</v>
      </c>
      <c r="C10" s="6">
        <f t="shared" si="0"/>
        <v>2010.9239999999991</v>
      </c>
      <c r="D10" s="6">
        <f t="shared" si="1"/>
        <v>83.788499999999956</v>
      </c>
    </row>
    <row r="11" spans="1:24" ht="15.75" x14ac:dyDescent="0.25">
      <c r="A11" s="4">
        <v>44478</v>
      </c>
      <c r="B11" s="5">
        <v>742641.38699999999</v>
      </c>
      <c r="C11" s="6">
        <f t="shared" si="0"/>
        <v>2517.420999999973</v>
      </c>
      <c r="D11" s="6">
        <f t="shared" si="1"/>
        <v>104.89254166666554</v>
      </c>
      <c r="F11" s="12">
        <v>44472</v>
      </c>
      <c r="G11" s="20">
        <v>2099.0849999999627</v>
      </c>
    </row>
    <row r="12" spans="1:24" ht="15.75" x14ac:dyDescent="0.25">
      <c r="A12" s="4">
        <v>44479</v>
      </c>
      <c r="B12" s="5">
        <v>745068.93099999998</v>
      </c>
      <c r="C12" s="6">
        <f t="shared" si="0"/>
        <v>2427.5439999999944</v>
      </c>
      <c r="D12" s="6">
        <f t="shared" si="1"/>
        <v>101.14766666666644</v>
      </c>
      <c r="F12" s="12">
        <v>44473</v>
      </c>
      <c r="G12" s="20">
        <v>2522.0239999999758</v>
      </c>
    </row>
    <row r="13" spans="1:24" ht="15.75" x14ac:dyDescent="0.25">
      <c r="A13" s="4">
        <v>44480</v>
      </c>
      <c r="B13" s="5">
        <v>747349.74699999997</v>
      </c>
      <c r="C13" s="6">
        <f t="shared" si="0"/>
        <v>2280.8159999999916</v>
      </c>
      <c r="D13" s="6">
        <f t="shared" si="1"/>
        <v>95.033999999999651</v>
      </c>
      <c r="F13" s="12">
        <v>44474</v>
      </c>
      <c r="G13" s="20">
        <v>2581.1199999999953</v>
      </c>
    </row>
    <row r="14" spans="1:24" ht="15.75" x14ac:dyDescent="0.25">
      <c r="A14" s="4">
        <v>44481</v>
      </c>
      <c r="B14" s="5">
        <v>749863.19900000002</v>
      </c>
      <c r="C14" s="6">
        <f t="shared" si="0"/>
        <v>2513.4520000000484</v>
      </c>
      <c r="D14" s="6">
        <f t="shared" si="1"/>
        <v>104.72716666666868</v>
      </c>
      <c r="F14" s="12">
        <v>44475</v>
      </c>
      <c r="G14" s="20">
        <v>2437.8520000000717</v>
      </c>
    </row>
    <row r="15" spans="1:24" ht="15.75" x14ac:dyDescent="0.25">
      <c r="A15" s="4">
        <v>44482</v>
      </c>
      <c r="B15" s="7">
        <v>752436.82</v>
      </c>
      <c r="C15" s="6">
        <f t="shared" si="0"/>
        <v>2573.6209999999264</v>
      </c>
      <c r="D15" s="6">
        <f t="shared" si="1"/>
        <v>107.23420833333027</v>
      </c>
      <c r="F15" s="12">
        <v>44476</v>
      </c>
      <c r="G15" s="20">
        <v>2375.0799999999581</v>
      </c>
    </row>
    <row r="16" spans="1:24" ht="15.75" x14ac:dyDescent="0.25">
      <c r="A16" s="4">
        <v>44483</v>
      </c>
      <c r="B16" s="7">
        <v>754880.25199999998</v>
      </c>
      <c r="C16" s="6">
        <f t="shared" si="0"/>
        <v>2443.4320000000298</v>
      </c>
      <c r="D16" s="6">
        <f t="shared" si="1"/>
        <v>101.80966666666791</v>
      </c>
      <c r="F16" s="12">
        <v>44477</v>
      </c>
      <c r="G16" s="20">
        <v>2010.9239999999991</v>
      </c>
    </row>
    <row r="17" spans="1:8" ht="15.75" x14ac:dyDescent="0.25">
      <c r="A17" s="4">
        <v>44484</v>
      </c>
      <c r="B17" s="7">
        <v>757173.38399999996</v>
      </c>
      <c r="C17" s="6">
        <f t="shared" si="0"/>
        <v>2293.1319999999832</v>
      </c>
      <c r="D17" s="6">
        <f t="shared" si="1"/>
        <v>95.547166666665973</v>
      </c>
      <c r="F17" s="12">
        <v>44478</v>
      </c>
      <c r="G17" s="20">
        <v>2517.420999999973</v>
      </c>
    </row>
    <row r="18" spans="1:8" ht="15.75" x14ac:dyDescent="0.25">
      <c r="A18" s="4">
        <v>44485</v>
      </c>
      <c r="B18" s="7">
        <v>759834.48800000001</v>
      </c>
      <c r="C18" s="6">
        <f t="shared" si="0"/>
        <v>2661.1040000000503</v>
      </c>
      <c r="D18" s="6">
        <f t="shared" si="1"/>
        <v>110.87933333333542</v>
      </c>
      <c r="G18" s="20">
        <f>SUM(G11:G17)</f>
        <v>16543.505999999936</v>
      </c>
    </row>
    <row r="19" spans="1:8" ht="15.75" x14ac:dyDescent="0.25">
      <c r="A19" s="4">
        <v>44486</v>
      </c>
      <c r="B19" s="7">
        <v>762620.48400000005</v>
      </c>
      <c r="C19" s="6">
        <f t="shared" si="0"/>
        <v>2785.9960000000428</v>
      </c>
      <c r="D19" s="6">
        <f t="shared" si="1"/>
        <v>116.08316666666845</v>
      </c>
    </row>
    <row r="20" spans="1:8" ht="15.75" x14ac:dyDescent="0.25">
      <c r="A20" s="4">
        <v>44487</v>
      </c>
      <c r="B20" s="7">
        <v>765262.49300000002</v>
      </c>
      <c r="C20" s="6">
        <f t="shared" si="0"/>
        <v>2642.0089999999618</v>
      </c>
      <c r="D20" s="6">
        <f t="shared" si="1"/>
        <v>110.08370833333174</v>
      </c>
      <c r="F20" s="12">
        <v>44493</v>
      </c>
      <c r="G20" s="21">
        <f t="shared" ref="G20:G26" si="2">C26</f>
        <v>2654.2920000000158</v>
      </c>
      <c r="H20" s="11">
        <v>1600</v>
      </c>
    </row>
    <row r="21" spans="1:8" ht="15.75" x14ac:dyDescent="0.25">
      <c r="A21" s="4">
        <v>44488</v>
      </c>
      <c r="B21" s="7">
        <v>767419.76500000001</v>
      </c>
      <c r="C21" s="6">
        <f>B21-B20</f>
        <v>2157.2719999999972</v>
      </c>
      <c r="D21" s="6">
        <f t="shared" si="1"/>
        <v>89.886333333333212</v>
      </c>
      <c r="F21" s="12">
        <v>44494</v>
      </c>
      <c r="G21" s="21">
        <f t="shared" si="2"/>
        <v>1591.9039999999804</v>
      </c>
      <c r="H21" s="11">
        <v>1550</v>
      </c>
    </row>
    <row r="22" spans="1:8" ht="15.75" x14ac:dyDescent="0.25">
      <c r="A22" s="4">
        <v>44489</v>
      </c>
      <c r="B22" s="7">
        <v>769460.25699999998</v>
      </c>
      <c r="C22" s="6">
        <f t="shared" ref="C22:C33" si="3">B22-B21</f>
        <v>2040.4919999999693</v>
      </c>
      <c r="D22" s="6">
        <f t="shared" si="1"/>
        <v>85.020499999998719</v>
      </c>
      <c r="F22" s="12">
        <v>44495</v>
      </c>
      <c r="G22" s="21">
        <f t="shared" si="2"/>
        <v>2055.7920000000158</v>
      </c>
      <c r="H22" s="11">
        <v>1700</v>
      </c>
    </row>
    <row r="23" spans="1:8" ht="15.75" x14ac:dyDescent="0.25">
      <c r="A23" s="4">
        <v>44490</v>
      </c>
      <c r="B23" s="7">
        <v>772103.74899999995</v>
      </c>
      <c r="C23" s="6">
        <f t="shared" si="3"/>
        <v>2643.4919999999693</v>
      </c>
      <c r="D23" s="6">
        <f t="shared" si="1"/>
        <v>110.14549999999872</v>
      </c>
      <c r="F23" s="12">
        <v>44496</v>
      </c>
      <c r="G23" s="21">
        <f t="shared" si="2"/>
        <v>2379.795999999973</v>
      </c>
      <c r="H23" s="11">
        <v>1400</v>
      </c>
    </row>
    <row r="24" spans="1:8" ht="15.75" x14ac:dyDescent="0.25">
      <c r="A24" s="4">
        <v>44491</v>
      </c>
      <c r="B24" s="7">
        <v>774775.26899999997</v>
      </c>
      <c r="C24" s="6">
        <f t="shared" si="3"/>
        <v>2671.5200000000186</v>
      </c>
      <c r="D24" s="6">
        <f t="shared" si="1"/>
        <v>111.31333333333411</v>
      </c>
      <c r="F24" s="12">
        <v>44497</v>
      </c>
      <c r="G24" s="21">
        <f t="shared" si="2"/>
        <v>1565.3400000000838</v>
      </c>
      <c r="H24" s="11">
        <v>1620</v>
      </c>
    </row>
    <row r="25" spans="1:8" ht="15.75" x14ac:dyDescent="0.25">
      <c r="A25" s="4">
        <v>44492</v>
      </c>
      <c r="B25" s="7">
        <v>777450.76199999999</v>
      </c>
      <c r="C25" s="6">
        <f t="shared" si="3"/>
        <v>2675.4930000000168</v>
      </c>
      <c r="D25" s="6">
        <f t="shared" si="1"/>
        <v>111.4788750000007</v>
      </c>
      <c r="F25" s="12">
        <v>44498</v>
      </c>
      <c r="G25" s="21">
        <f t="shared" si="2"/>
        <v>2337.2529999999097</v>
      </c>
      <c r="H25" s="11">
        <v>1480</v>
      </c>
    </row>
    <row r="26" spans="1:8" ht="15.75" x14ac:dyDescent="0.25">
      <c r="A26" s="4">
        <v>44493</v>
      </c>
      <c r="B26" s="8">
        <v>780105.054</v>
      </c>
      <c r="C26" s="6">
        <f t="shared" si="3"/>
        <v>2654.2920000000158</v>
      </c>
      <c r="D26" s="6">
        <f t="shared" si="1"/>
        <v>110.59550000000065</v>
      </c>
      <c r="F26" s="12">
        <v>44499</v>
      </c>
      <c r="G26" s="21">
        <f t="shared" si="2"/>
        <v>2672.6720000000205</v>
      </c>
      <c r="H26" s="11">
        <v>1530</v>
      </c>
    </row>
    <row r="27" spans="1:8" ht="15.75" x14ac:dyDescent="0.25">
      <c r="A27" s="4">
        <v>44494</v>
      </c>
      <c r="B27" s="8">
        <v>781696.95799999998</v>
      </c>
      <c r="C27" s="6">
        <f t="shared" si="3"/>
        <v>1591.9039999999804</v>
      </c>
      <c r="D27" s="6">
        <f t="shared" si="1"/>
        <v>66.329333333332514</v>
      </c>
      <c r="F27" s="12"/>
      <c r="G27" s="20">
        <f>SUM(G20:G26)</f>
        <v>15257.048999999999</v>
      </c>
    </row>
    <row r="28" spans="1:8" ht="15.75" x14ac:dyDescent="0.25">
      <c r="A28" s="4">
        <v>44495</v>
      </c>
      <c r="B28" s="7">
        <v>783752.75</v>
      </c>
      <c r="C28" s="6">
        <f t="shared" si="3"/>
        <v>2055.7920000000158</v>
      </c>
      <c r="D28" s="6">
        <f t="shared" si="1"/>
        <v>85.658000000000655</v>
      </c>
      <c r="F28" s="12"/>
    </row>
    <row r="29" spans="1:8" ht="15.75" x14ac:dyDescent="0.25">
      <c r="A29" s="4">
        <v>44496</v>
      </c>
      <c r="B29" s="7">
        <v>786132.54599999997</v>
      </c>
      <c r="C29" s="6">
        <f t="shared" si="3"/>
        <v>2379.795999999973</v>
      </c>
      <c r="D29" s="6">
        <f t="shared" si="1"/>
        <v>99.158166666665537</v>
      </c>
    </row>
    <row r="30" spans="1:8" ht="15.75" x14ac:dyDescent="0.25">
      <c r="A30" s="4">
        <v>44497</v>
      </c>
      <c r="B30" s="8">
        <v>787697.88600000006</v>
      </c>
      <c r="C30" s="6">
        <f t="shared" si="3"/>
        <v>1565.3400000000838</v>
      </c>
      <c r="D30" s="6">
        <f t="shared" si="1"/>
        <v>65.222500000003492</v>
      </c>
      <c r="F30" s="12">
        <v>44521</v>
      </c>
      <c r="G30" s="22">
        <f>C61</f>
        <v>722.27199999999721</v>
      </c>
      <c r="H30" s="23">
        <f>'[1]технологическая сводка '!$E$86</f>
        <v>2034</v>
      </c>
    </row>
    <row r="31" spans="1:8" ht="15.75" x14ac:dyDescent="0.25">
      <c r="A31" s="4">
        <v>44498</v>
      </c>
      <c r="B31" s="8">
        <v>790035.13899999997</v>
      </c>
      <c r="C31" s="6">
        <f t="shared" si="3"/>
        <v>2337.2529999999097</v>
      </c>
      <c r="D31" s="6">
        <f t="shared" si="1"/>
        <v>97.385541666662903</v>
      </c>
      <c r="F31" s="12">
        <v>44522</v>
      </c>
      <c r="G31" s="22">
        <f t="shared" ref="G31:G36" si="4">C62</f>
        <v>2378.8439999999246</v>
      </c>
      <c r="H31" s="23">
        <f>'[1]технологическая сводка '!$E$90</f>
        <v>1885.1659999999999</v>
      </c>
    </row>
    <row r="32" spans="1:8" ht="15.75" x14ac:dyDescent="0.25">
      <c r="A32" s="4">
        <v>44499</v>
      </c>
      <c r="B32" s="8">
        <v>792707.81099999999</v>
      </c>
      <c r="C32" s="6">
        <f t="shared" si="3"/>
        <v>2672.6720000000205</v>
      </c>
      <c r="D32" s="6">
        <f t="shared" si="1"/>
        <v>111.36133333333419</v>
      </c>
      <c r="F32" s="12">
        <v>44523</v>
      </c>
      <c r="G32" s="22">
        <f t="shared" si="4"/>
        <v>1095.9480000000913</v>
      </c>
      <c r="H32" s="23">
        <f>'[1]технологическая сводка '!$E$94</f>
        <v>1720</v>
      </c>
    </row>
    <row r="33" spans="1:8" ht="15.75" x14ac:dyDescent="0.25">
      <c r="A33" s="4">
        <v>44500</v>
      </c>
      <c r="B33" s="8">
        <v>795287.679</v>
      </c>
      <c r="C33" s="6">
        <f t="shared" si="3"/>
        <v>2579.8680000000168</v>
      </c>
      <c r="D33" s="6">
        <f t="shared" si="1"/>
        <v>107.4945000000007</v>
      </c>
      <c r="F33" s="12">
        <v>44524</v>
      </c>
      <c r="G33" s="22">
        <f t="shared" si="4"/>
        <v>1242.4560000000056</v>
      </c>
      <c r="H33" s="23">
        <f>'[1]технологическая сводка '!$E$98</f>
        <v>1900.702</v>
      </c>
    </row>
    <row r="34" spans="1:8" ht="15.75" x14ac:dyDescent="0.25">
      <c r="C34" s="13" t="e">
        <f>SUM(C3:C33)</f>
        <v>#REF!</v>
      </c>
      <c r="D34" s="9" t="e">
        <f t="shared" si="1"/>
        <v>#REF!</v>
      </c>
      <c r="F34" s="12">
        <v>44525</v>
      </c>
      <c r="G34" s="22">
        <f t="shared" si="4"/>
        <v>1890.607999999891</v>
      </c>
      <c r="H34" s="23">
        <f>'[1]технологическая сводка '!$E$102</f>
        <v>1670.0709999999999</v>
      </c>
    </row>
    <row r="35" spans="1:8" x14ac:dyDescent="0.25">
      <c r="F35" s="12">
        <v>44526</v>
      </c>
      <c r="G35" s="22">
        <f t="shared" si="4"/>
        <v>2592.4920000000857</v>
      </c>
      <c r="H35" s="23">
        <f>'[1]технологическая сводка '!$E$106</f>
        <v>1814.96</v>
      </c>
    </row>
    <row r="36" spans="1:8" x14ac:dyDescent="0.25">
      <c r="F36" s="12">
        <v>44527</v>
      </c>
      <c r="G36" s="22">
        <f t="shared" si="4"/>
        <v>2553.7280000000028</v>
      </c>
      <c r="H36" s="23">
        <f>'[1]технологическая сводка '!$E$110</f>
        <v>1928.09</v>
      </c>
    </row>
    <row r="37" spans="1:8" x14ac:dyDescent="0.25">
      <c r="G37" s="11">
        <f>SUM(G30:G36)</f>
        <v>12476.347999999998</v>
      </c>
      <c r="H37" s="23">
        <f>SUM(H30:H36)</f>
        <v>12952.989000000001</v>
      </c>
    </row>
    <row r="39" spans="1:8" ht="31.5" x14ac:dyDescent="0.25">
      <c r="A39" s="1" t="s">
        <v>0</v>
      </c>
      <c r="B39" s="2" t="s">
        <v>1</v>
      </c>
      <c r="C39" s="3" t="s">
        <v>2</v>
      </c>
      <c r="D39" s="2" t="s">
        <v>3</v>
      </c>
      <c r="F39" s="11" t="s">
        <v>7</v>
      </c>
      <c r="G39" s="11" t="s">
        <v>8</v>
      </c>
    </row>
    <row r="40" spans="1:8" x14ac:dyDescent="0.25">
      <c r="A40" s="96" t="s">
        <v>6</v>
      </c>
      <c r="B40" s="96"/>
      <c r="C40" s="96"/>
      <c r="D40" s="97"/>
      <c r="E40" s="12">
        <v>44500</v>
      </c>
      <c r="F40" s="11">
        <v>91.98</v>
      </c>
      <c r="G40" s="11">
        <v>15.02</v>
      </c>
    </row>
    <row r="41" spans="1:8" ht="15.75" x14ac:dyDescent="0.25">
      <c r="A41" s="4">
        <v>44501</v>
      </c>
      <c r="B41" s="5">
        <v>797837.59100000001</v>
      </c>
      <c r="C41" s="6">
        <f>B41-B33</f>
        <v>2549.9120000000112</v>
      </c>
      <c r="D41" s="6">
        <f>C41/24</f>
        <v>106.24633333333379</v>
      </c>
      <c r="E41" s="12">
        <v>44501</v>
      </c>
      <c r="F41" s="11">
        <v>93.28</v>
      </c>
      <c r="G41" s="11">
        <v>14.86</v>
      </c>
    </row>
    <row r="42" spans="1:8" ht="15.75" x14ac:dyDescent="0.25">
      <c r="A42" s="4">
        <v>44502</v>
      </c>
      <c r="B42" s="5">
        <v>800399.924</v>
      </c>
      <c r="C42" s="6">
        <f t="shared" ref="C42:C58" si="5">B42-B41</f>
        <v>2562.3329999999842</v>
      </c>
      <c r="D42" s="6">
        <f t="shared" ref="D42:D72" si="6">C42/24</f>
        <v>106.76387499999935</v>
      </c>
      <c r="E42" s="12">
        <v>44502</v>
      </c>
      <c r="F42" s="11">
        <v>79.06</v>
      </c>
      <c r="G42" s="11">
        <v>14.21</v>
      </c>
    </row>
    <row r="43" spans="1:8" ht="15.75" x14ac:dyDescent="0.25">
      <c r="A43" s="4">
        <v>44503</v>
      </c>
      <c r="B43" s="5">
        <v>803068.53200000001</v>
      </c>
      <c r="C43" s="6">
        <f t="shared" si="5"/>
        <v>2668.6080000000075</v>
      </c>
      <c r="D43" s="6">
        <f t="shared" si="6"/>
        <v>111.19200000000031</v>
      </c>
      <c r="E43" s="12">
        <v>44503</v>
      </c>
      <c r="F43" s="11">
        <v>87.89</v>
      </c>
      <c r="G43" s="11">
        <v>15.99</v>
      </c>
    </row>
    <row r="44" spans="1:8" ht="15.75" x14ac:dyDescent="0.25">
      <c r="A44" s="4">
        <v>44504</v>
      </c>
      <c r="B44" s="5">
        <v>805678.96799999999</v>
      </c>
      <c r="C44" s="6">
        <f t="shared" si="5"/>
        <v>2610.435999999987</v>
      </c>
      <c r="D44" s="6">
        <f t="shared" si="6"/>
        <v>108.76816666666612</v>
      </c>
      <c r="E44" s="12">
        <v>44504</v>
      </c>
      <c r="F44" s="11">
        <v>92.44</v>
      </c>
      <c r="G44" s="11">
        <v>12.77</v>
      </c>
    </row>
    <row r="45" spans="1:8" ht="15.75" x14ac:dyDescent="0.25">
      <c r="A45" s="4">
        <v>44505</v>
      </c>
      <c r="B45" s="5">
        <v>808010.95200000005</v>
      </c>
      <c r="C45" s="6">
        <f t="shared" si="5"/>
        <v>2331.9840000000549</v>
      </c>
      <c r="D45" s="6">
        <f t="shared" si="6"/>
        <v>97.166000000002285</v>
      </c>
      <c r="E45" s="12">
        <v>44505</v>
      </c>
      <c r="F45" s="11">
        <v>93.94</v>
      </c>
      <c r="G45" s="11">
        <v>16.510000000000002</v>
      </c>
    </row>
    <row r="46" spans="1:8" ht="15.75" x14ac:dyDescent="0.25">
      <c r="A46" s="4">
        <v>44506</v>
      </c>
      <c r="B46" s="5">
        <v>810681.84</v>
      </c>
      <c r="C46" s="6">
        <f t="shared" si="5"/>
        <v>2670.887999999919</v>
      </c>
      <c r="D46" s="6">
        <f t="shared" si="6"/>
        <v>111.28699999999662</v>
      </c>
      <c r="E46" s="12">
        <v>44506</v>
      </c>
      <c r="F46" s="11">
        <v>75.69</v>
      </c>
      <c r="G46" s="11">
        <v>16.649999999999999</v>
      </c>
    </row>
    <row r="47" spans="1:8" ht="15.75" x14ac:dyDescent="0.25">
      <c r="A47" s="4">
        <v>44507</v>
      </c>
      <c r="B47" s="5">
        <v>813357.12899999996</v>
      </c>
      <c r="C47" s="6">
        <f t="shared" si="5"/>
        <v>2675.2889999999898</v>
      </c>
      <c r="D47" s="6">
        <f t="shared" si="6"/>
        <v>111.47037499999958</v>
      </c>
    </row>
    <row r="48" spans="1:8" ht="15.75" x14ac:dyDescent="0.25">
      <c r="A48" s="4">
        <v>44508</v>
      </c>
      <c r="B48" s="5">
        <v>816036.60900000005</v>
      </c>
      <c r="C48" s="6">
        <f t="shared" si="5"/>
        <v>2679.4800000000978</v>
      </c>
      <c r="D48" s="6">
        <f t="shared" si="6"/>
        <v>111.64500000000407</v>
      </c>
      <c r="F48" s="11">
        <v>2579.87</v>
      </c>
    </row>
    <row r="49" spans="1:11" ht="15.75" x14ac:dyDescent="0.25">
      <c r="A49" s="4">
        <v>44509</v>
      </c>
      <c r="B49" s="5">
        <v>818702.21699999995</v>
      </c>
      <c r="C49" s="6">
        <f t="shared" si="5"/>
        <v>2665.607999999891</v>
      </c>
      <c r="D49" s="6">
        <f t="shared" si="6"/>
        <v>111.06699999999546</v>
      </c>
      <c r="F49" s="11">
        <v>2549.91</v>
      </c>
    </row>
    <row r="50" spans="1:11" ht="15.75" x14ac:dyDescent="0.25">
      <c r="A50" s="4">
        <v>44510</v>
      </c>
      <c r="B50" s="5">
        <v>820396.76100000006</v>
      </c>
      <c r="C50" s="6">
        <f t="shared" si="5"/>
        <v>1694.5440000001108</v>
      </c>
      <c r="D50" s="6">
        <f t="shared" si="6"/>
        <v>70.606000000004613</v>
      </c>
      <c r="F50" s="11">
        <v>2562.33</v>
      </c>
    </row>
    <row r="51" spans="1:11" ht="15.75" x14ac:dyDescent="0.25">
      <c r="A51" s="4">
        <v>44511</v>
      </c>
      <c r="B51" s="5">
        <v>821469.60499999998</v>
      </c>
      <c r="C51" s="6">
        <f t="shared" si="5"/>
        <v>1072.8439999999246</v>
      </c>
      <c r="D51" s="6">
        <f t="shared" si="6"/>
        <v>44.701833333330192</v>
      </c>
      <c r="F51" s="11">
        <v>2668.61</v>
      </c>
    </row>
    <row r="52" spans="1:11" ht="15.75" x14ac:dyDescent="0.25">
      <c r="A52" s="4">
        <v>44512</v>
      </c>
      <c r="B52" s="5">
        <v>822537.40500000003</v>
      </c>
      <c r="C52" s="6">
        <f t="shared" si="5"/>
        <v>1067.8000000000466</v>
      </c>
      <c r="D52" s="6">
        <f t="shared" si="6"/>
        <v>44.491666666668607</v>
      </c>
      <c r="F52" s="11">
        <v>2610.44</v>
      </c>
    </row>
    <row r="53" spans="1:11" ht="15.75" x14ac:dyDescent="0.25">
      <c r="A53" s="4">
        <v>44513</v>
      </c>
      <c r="B53" s="7">
        <v>823824.99300000002</v>
      </c>
      <c r="C53" s="6">
        <f t="shared" si="5"/>
        <v>1287.5879999999888</v>
      </c>
      <c r="D53" s="6">
        <f t="shared" si="6"/>
        <v>53.649499999999534</v>
      </c>
      <c r="F53" s="11">
        <v>2331.98</v>
      </c>
    </row>
    <row r="54" spans="1:11" ht="15.75" x14ac:dyDescent="0.25">
      <c r="A54" s="4">
        <v>44514</v>
      </c>
      <c r="B54" s="7">
        <v>824876.05799999996</v>
      </c>
      <c r="C54" s="6">
        <f t="shared" si="5"/>
        <v>1051.0649999999441</v>
      </c>
      <c r="D54" s="6">
        <f t="shared" si="6"/>
        <v>43.794374999997672</v>
      </c>
      <c r="F54" s="11">
        <v>2670.89</v>
      </c>
    </row>
    <row r="55" spans="1:11" ht="15.75" x14ac:dyDescent="0.25">
      <c r="A55" s="4">
        <v>44515</v>
      </c>
      <c r="B55" s="7">
        <v>825935.95</v>
      </c>
      <c r="C55" s="6">
        <f t="shared" si="5"/>
        <v>1059.8919999999925</v>
      </c>
      <c r="D55" s="6">
        <f t="shared" si="6"/>
        <v>44.162166666666359</v>
      </c>
      <c r="F55" s="11">
        <f>F48+F49+F50+F51+F52+F53+F54</f>
        <v>17974.03</v>
      </c>
    </row>
    <row r="56" spans="1:11" ht="15.75" x14ac:dyDescent="0.25">
      <c r="A56" s="4">
        <v>44516</v>
      </c>
      <c r="B56" s="7">
        <v>828747.34199999995</v>
      </c>
      <c r="C56" s="6">
        <f t="shared" si="5"/>
        <v>2811.3919999999925</v>
      </c>
      <c r="D56" s="6">
        <f t="shared" si="6"/>
        <v>117.14133333333302</v>
      </c>
      <c r="E56" s="12"/>
      <c r="J56" s="11" t="s">
        <v>7</v>
      </c>
      <c r="K56" s="11" t="s">
        <v>8</v>
      </c>
    </row>
    <row r="57" spans="1:11" ht="15.75" x14ac:dyDescent="0.25">
      <c r="A57" s="4">
        <v>44517</v>
      </c>
      <c r="B57" s="7">
        <v>831929.33400000003</v>
      </c>
      <c r="C57" s="6">
        <f t="shared" si="5"/>
        <v>3181.9920000000857</v>
      </c>
      <c r="D57" s="6">
        <f t="shared" si="6"/>
        <v>132.58300000000358</v>
      </c>
      <c r="E57" s="24">
        <v>44514</v>
      </c>
      <c r="F57" s="25">
        <v>1051.0649999999441</v>
      </c>
      <c r="G57" s="26">
        <v>1880.2489999999998</v>
      </c>
      <c r="I57" s="24">
        <v>44521</v>
      </c>
      <c r="J57" s="27">
        <f>'[1]технологическая сводка '!$Y$86</f>
        <v>83.215142577210216</v>
      </c>
      <c r="K57" s="27">
        <v>17.399999999999999</v>
      </c>
    </row>
    <row r="58" spans="1:11" ht="15.75" x14ac:dyDescent="0.25">
      <c r="A58" s="4">
        <v>44518</v>
      </c>
      <c r="B58" s="7">
        <v>834668.29799999995</v>
      </c>
      <c r="C58" s="6">
        <f t="shared" si="5"/>
        <v>2738.9639999999199</v>
      </c>
      <c r="D58" s="6">
        <f t="shared" si="6"/>
        <v>114.12349999999667</v>
      </c>
      <c r="E58" s="24">
        <v>44515</v>
      </c>
      <c r="F58" s="25">
        <v>1059.8919999999925</v>
      </c>
      <c r="G58" s="26">
        <v>1842.232</v>
      </c>
      <c r="I58" s="24">
        <v>44522</v>
      </c>
      <c r="J58" s="27">
        <f>'[1]технологическая сводка '!$Y$90</f>
        <v>86.917986283287163</v>
      </c>
      <c r="K58" s="10">
        <v>17.25</v>
      </c>
    </row>
    <row r="59" spans="1:11" ht="15.75" x14ac:dyDescent="0.25">
      <c r="A59" s="4">
        <v>44519</v>
      </c>
      <c r="B59" s="7">
        <v>835971.50600000005</v>
      </c>
      <c r="C59" s="6">
        <f>B59-B58</f>
        <v>1303.2080000001006</v>
      </c>
      <c r="D59" s="6">
        <f t="shared" si="6"/>
        <v>54.300333333337527</v>
      </c>
      <c r="E59" s="24">
        <v>44516</v>
      </c>
      <c r="F59" s="25">
        <v>2811.3919999999925</v>
      </c>
      <c r="G59" s="26">
        <v>1927.652</v>
      </c>
      <c r="I59" s="24">
        <v>44523</v>
      </c>
      <c r="J59" s="27">
        <f>'[1]технологическая сводка '!$Y$94</f>
        <v>104.45633063062903</v>
      </c>
      <c r="K59" s="10">
        <v>17.75</v>
      </c>
    </row>
    <row r="60" spans="1:11" ht="15.75" x14ac:dyDescent="0.25">
      <c r="A60" s="4">
        <v>44520</v>
      </c>
      <c r="B60" s="7">
        <v>836995.76300000004</v>
      </c>
      <c r="C60" s="6">
        <f t="shared" ref="C60:C70" si="7">B60-B59</f>
        <v>1024.2569999999832</v>
      </c>
      <c r="D60" s="6">
        <f t="shared" si="6"/>
        <v>42.677374999999302</v>
      </c>
      <c r="E60" s="24">
        <v>44517</v>
      </c>
      <c r="F60" s="25">
        <v>3181.9920000000857</v>
      </c>
      <c r="G60" s="26">
        <v>1294.9346</v>
      </c>
      <c r="I60" s="24">
        <v>44524</v>
      </c>
      <c r="J60" s="27">
        <f>'[1]технологическая сводка '!$Y$98</f>
        <v>81.929366791719502</v>
      </c>
      <c r="K60" s="10">
        <v>20.75</v>
      </c>
    </row>
    <row r="61" spans="1:11" ht="15.75" x14ac:dyDescent="0.25">
      <c r="A61" s="4">
        <v>44521</v>
      </c>
      <c r="B61" s="7">
        <v>837718.03500000003</v>
      </c>
      <c r="C61" s="6">
        <f t="shared" si="7"/>
        <v>722.27199999999721</v>
      </c>
      <c r="D61" s="6">
        <f t="shared" si="6"/>
        <v>30.094666666666551</v>
      </c>
      <c r="E61" s="24">
        <v>44518</v>
      </c>
      <c r="F61" s="25">
        <v>2738.9639999999199</v>
      </c>
      <c r="G61" s="26">
        <v>1690.1979999999999</v>
      </c>
      <c r="I61" s="24">
        <v>44525</v>
      </c>
      <c r="J61" s="27">
        <f>'[1]технологическая сводка '!$Y$102</f>
        <v>90.148193849015783</v>
      </c>
      <c r="K61" s="10">
        <v>17.579999999999998</v>
      </c>
    </row>
    <row r="62" spans="1:11" ht="15.75" x14ac:dyDescent="0.25">
      <c r="A62" s="4">
        <v>44522</v>
      </c>
      <c r="B62" s="7">
        <v>840096.87899999996</v>
      </c>
      <c r="C62" s="6">
        <f t="shared" si="7"/>
        <v>2378.8439999999246</v>
      </c>
      <c r="D62" s="6">
        <f t="shared" si="6"/>
        <v>99.118499999996857</v>
      </c>
      <c r="E62" s="24">
        <v>44519</v>
      </c>
      <c r="F62" s="25">
        <v>1303.2080000001006</v>
      </c>
      <c r="G62" s="26">
        <v>1925.69</v>
      </c>
      <c r="I62" s="24">
        <v>44526</v>
      </c>
      <c r="J62" s="27">
        <f>'[1]технологическая сводка '!$Y$106</f>
        <v>71.35020248699395</v>
      </c>
      <c r="K62" s="10">
        <v>16.61</v>
      </c>
    </row>
    <row r="63" spans="1:11" ht="15.75" x14ac:dyDescent="0.25">
      <c r="A63" s="4">
        <v>44523</v>
      </c>
      <c r="B63" s="7">
        <v>841192.82700000005</v>
      </c>
      <c r="C63" s="6">
        <f t="shared" si="7"/>
        <v>1095.9480000000913</v>
      </c>
      <c r="D63" s="6">
        <f t="shared" si="6"/>
        <v>45.664500000003805</v>
      </c>
      <c r="E63" s="24"/>
      <c r="F63" s="28"/>
      <c r="G63" s="28"/>
      <c r="I63" s="24">
        <v>44527</v>
      </c>
      <c r="J63" s="27">
        <f>'[1]технологическая сводка '!$Y$111</f>
        <v>84.529406305203025</v>
      </c>
      <c r="K63" s="10">
        <v>21.63</v>
      </c>
    </row>
    <row r="64" spans="1:11" ht="15.75" x14ac:dyDescent="0.25">
      <c r="A64" s="4">
        <v>44524</v>
      </c>
      <c r="B64" s="8">
        <v>842435.28300000005</v>
      </c>
      <c r="C64" s="6">
        <f t="shared" si="7"/>
        <v>1242.4560000000056</v>
      </c>
      <c r="D64" s="6">
        <f t="shared" si="6"/>
        <v>51.769000000000233</v>
      </c>
      <c r="F64" s="11">
        <f>F57+F58+F59+F60+F61+F62+F63</f>
        <v>12146.513000000035</v>
      </c>
    </row>
    <row r="65" spans="1:11" ht="15.75" x14ac:dyDescent="0.25">
      <c r="A65" s="4">
        <v>44525</v>
      </c>
      <c r="B65" s="8">
        <v>844325.89099999995</v>
      </c>
      <c r="C65" s="6">
        <f t="shared" si="7"/>
        <v>1890.607999999891</v>
      </c>
      <c r="D65" s="6">
        <f t="shared" si="6"/>
        <v>78.775333333328788</v>
      </c>
      <c r="I65" s="24"/>
    </row>
    <row r="66" spans="1:11" ht="15.75" x14ac:dyDescent="0.25">
      <c r="A66" s="4">
        <v>44526</v>
      </c>
      <c r="B66" s="7">
        <v>846918.38300000003</v>
      </c>
      <c r="C66" s="6">
        <f t="shared" si="7"/>
        <v>2592.4920000000857</v>
      </c>
      <c r="D66" s="6">
        <f t="shared" si="6"/>
        <v>108.02050000000357</v>
      </c>
      <c r="J66" s="11" t="s">
        <v>7</v>
      </c>
      <c r="K66" s="11" t="s">
        <v>8</v>
      </c>
    </row>
    <row r="67" spans="1:11" ht="15.75" x14ac:dyDescent="0.25">
      <c r="A67" s="4">
        <v>44527</v>
      </c>
      <c r="B67" s="7">
        <v>849472.11100000003</v>
      </c>
      <c r="C67" s="6">
        <f t="shared" si="7"/>
        <v>2553.7280000000028</v>
      </c>
      <c r="D67" s="6">
        <f t="shared" si="6"/>
        <v>106.40533333333345</v>
      </c>
      <c r="E67" s="12">
        <v>44528</v>
      </c>
      <c r="F67" s="11">
        <v>3027.96</v>
      </c>
      <c r="G67" s="11">
        <v>1834</v>
      </c>
      <c r="I67" s="12">
        <v>44738</v>
      </c>
      <c r="J67" s="10">
        <v>92.03</v>
      </c>
      <c r="K67" s="10">
        <v>22.64</v>
      </c>
    </row>
    <row r="68" spans="1:11" ht="15.75" x14ac:dyDescent="0.25">
      <c r="A68" s="4">
        <v>44528</v>
      </c>
      <c r="B68" s="8">
        <v>852500.07200000004</v>
      </c>
      <c r="C68" s="6">
        <f t="shared" si="7"/>
        <v>3027.9610000000102</v>
      </c>
      <c r="D68" s="6">
        <f t="shared" si="6"/>
        <v>126.16504166666709</v>
      </c>
      <c r="E68" s="12">
        <v>44529</v>
      </c>
      <c r="F68" s="11">
        <v>2910.67</v>
      </c>
      <c r="G68" s="11">
        <v>1751</v>
      </c>
      <c r="I68" s="12">
        <v>44739</v>
      </c>
      <c r="J68" s="10">
        <v>116.35</v>
      </c>
      <c r="K68" s="10">
        <v>22.76</v>
      </c>
    </row>
    <row r="69" spans="1:11" ht="15.75" x14ac:dyDescent="0.25">
      <c r="A69" s="4">
        <v>44529</v>
      </c>
      <c r="B69" s="7">
        <v>855410.74</v>
      </c>
      <c r="C69" s="6">
        <f t="shared" si="7"/>
        <v>2910.6679999999469</v>
      </c>
      <c r="D69" s="6">
        <f t="shared" si="6"/>
        <v>121.27783333333112</v>
      </c>
      <c r="E69" s="12">
        <v>44530</v>
      </c>
      <c r="F69" s="11">
        <v>2451.31</v>
      </c>
      <c r="G69" s="11">
        <v>1917</v>
      </c>
      <c r="I69" s="12">
        <v>44740</v>
      </c>
      <c r="J69" s="10">
        <v>102.9</v>
      </c>
      <c r="K69" s="10">
        <v>20.47</v>
      </c>
    </row>
    <row r="70" spans="1:11" ht="15.75" x14ac:dyDescent="0.25">
      <c r="A70" s="4">
        <v>44530</v>
      </c>
      <c r="B70" s="8">
        <v>857862.04799999995</v>
      </c>
      <c r="C70" s="6">
        <f t="shared" si="7"/>
        <v>2451.3079999999609</v>
      </c>
      <c r="D70" s="6">
        <f t="shared" si="6"/>
        <v>102.1378333333317</v>
      </c>
      <c r="E70" s="12">
        <v>44531</v>
      </c>
      <c r="F70" s="11">
        <v>2783.52</v>
      </c>
      <c r="G70" s="11">
        <v>1709</v>
      </c>
      <c r="I70" s="12">
        <v>44741</v>
      </c>
      <c r="J70" s="10">
        <v>93.37</v>
      </c>
      <c r="K70" s="10">
        <v>18.309999999999999</v>
      </c>
    </row>
    <row r="71" spans="1:11" ht="15.75" x14ac:dyDescent="0.25">
      <c r="A71" s="4"/>
      <c r="B71" s="8"/>
      <c r="C71" s="6"/>
      <c r="D71" s="6"/>
      <c r="E71" s="12">
        <v>44532</v>
      </c>
      <c r="F71" s="11">
        <v>1645.96</v>
      </c>
      <c r="G71" s="11">
        <v>1552</v>
      </c>
      <c r="I71" s="12">
        <v>44742</v>
      </c>
      <c r="J71" s="10">
        <v>92.28</v>
      </c>
      <c r="K71" s="10">
        <v>15.58</v>
      </c>
    </row>
    <row r="72" spans="1:11" ht="15.75" x14ac:dyDescent="0.25">
      <c r="B72" s="13"/>
      <c r="C72" s="13">
        <f>SUM(C41:C71)</f>
        <v>62574.368999999948</v>
      </c>
      <c r="D72" s="9">
        <f t="shared" si="6"/>
        <v>2607.2653749999977</v>
      </c>
      <c r="E72" s="12">
        <v>44533</v>
      </c>
      <c r="F72" s="11">
        <v>671.36</v>
      </c>
      <c r="G72" s="11">
        <v>1667</v>
      </c>
      <c r="I72" s="12">
        <v>44743</v>
      </c>
      <c r="J72" s="10">
        <v>81.010000000000005</v>
      </c>
      <c r="K72" s="10">
        <v>15.58</v>
      </c>
    </row>
    <row r="73" spans="1:11" x14ac:dyDescent="0.25">
      <c r="E73" s="12">
        <v>44534</v>
      </c>
      <c r="F73" s="11">
        <v>855.17</v>
      </c>
      <c r="G73" s="11">
        <v>1827</v>
      </c>
      <c r="I73" s="12">
        <v>44744</v>
      </c>
      <c r="J73" s="10">
        <v>74.53</v>
      </c>
      <c r="K73" s="10">
        <v>14.45</v>
      </c>
    </row>
    <row r="74" spans="1:11" ht="31.5" x14ac:dyDescent="0.25">
      <c r="A74" s="1" t="s">
        <v>0</v>
      </c>
      <c r="B74" s="2" t="s">
        <v>1</v>
      </c>
      <c r="C74" s="3" t="s">
        <v>2</v>
      </c>
      <c r="D74" s="2" t="s">
        <v>3</v>
      </c>
      <c r="F74" s="11">
        <f>F67+F68+F69+F70+F71+F72+F73</f>
        <v>14345.950000000003</v>
      </c>
      <c r="G74" s="11">
        <f>G67+G68+G69+G70+G71+G72+G73</f>
        <v>12257</v>
      </c>
    </row>
    <row r="75" spans="1:11" x14ac:dyDescent="0.25">
      <c r="A75" s="96" t="s">
        <v>6</v>
      </c>
      <c r="B75" s="96"/>
      <c r="C75" s="96"/>
      <c r="D75" s="97"/>
    </row>
    <row r="76" spans="1:11" ht="15.75" x14ac:dyDescent="0.25">
      <c r="A76" s="4">
        <v>44531</v>
      </c>
      <c r="B76" s="5">
        <v>860645.56400000001</v>
      </c>
      <c r="C76" s="5">
        <f>B76-B70</f>
        <v>2783.5160000000615</v>
      </c>
      <c r="D76" s="6">
        <f>C76/24</f>
        <v>115.97983333333589</v>
      </c>
    </row>
    <row r="77" spans="1:11" ht="15.75" x14ac:dyDescent="0.25">
      <c r="A77" s="4">
        <v>44532</v>
      </c>
      <c r="B77" s="5">
        <v>862291.52800000005</v>
      </c>
      <c r="C77" s="5">
        <f t="shared" ref="C77:C93" si="8">B77-B76</f>
        <v>1645.9640000000363</v>
      </c>
      <c r="D77" s="6">
        <f t="shared" ref="D77:D102" si="9">C77/24</f>
        <v>68.581833333334842</v>
      </c>
    </row>
    <row r="78" spans="1:11" ht="15.75" x14ac:dyDescent="0.25">
      <c r="A78" s="4">
        <v>44533</v>
      </c>
      <c r="B78" s="5">
        <v>862962.88800000004</v>
      </c>
      <c r="C78" s="5">
        <f t="shared" si="8"/>
        <v>671.35999999998603</v>
      </c>
      <c r="D78" s="6">
        <f t="shared" si="9"/>
        <v>27.97333333333275</v>
      </c>
    </row>
    <row r="79" spans="1:11" ht="15.75" x14ac:dyDescent="0.25">
      <c r="A79" s="4">
        <v>44534</v>
      </c>
      <c r="B79" s="5">
        <v>863818.05700000003</v>
      </c>
      <c r="C79" s="5">
        <f t="shared" si="8"/>
        <v>855.16899999999441</v>
      </c>
      <c r="D79" s="6">
        <f t="shared" si="9"/>
        <v>35.632041666666431</v>
      </c>
    </row>
    <row r="80" spans="1:11" ht="15.75" x14ac:dyDescent="0.25">
      <c r="A80" s="4">
        <v>44535</v>
      </c>
      <c r="B80" s="5">
        <v>864853.58100000001</v>
      </c>
      <c r="C80" s="5">
        <f t="shared" si="8"/>
        <v>1035.5239999999758</v>
      </c>
      <c r="D80" s="6">
        <f t="shared" si="9"/>
        <v>43.146833333332324</v>
      </c>
    </row>
    <row r="81" spans="1:17" ht="15.75" x14ac:dyDescent="0.25">
      <c r="A81" s="4">
        <v>44536</v>
      </c>
      <c r="B81" s="5">
        <v>865519.00899999996</v>
      </c>
      <c r="C81" s="5">
        <f t="shared" si="8"/>
        <v>665.42799999995623</v>
      </c>
      <c r="D81" s="6">
        <f t="shared" si="9"/>
        <v>27.726166666664842</v>
      </c>
    </row>
    <row r="82" spans="1:17" ht="15.75" x14ac:dyDescent="0.25">
      <c r="A82" s="4">
        <v>44537</v>
      </c>
      <c r="B82" s="5">
        <v>865890.89800000004</v>
      </c>
      <c r="C82" s="5">
        <f t="shared" si="8"/>
        <v>371.88900000008289</v>
      </c>
      <c r="D82" s="6">
        <f t="shared" si="9"/>
        <v>15.495375000003454</v>
      </c>
    </row>
    <row r="83" spans="1:17" ht="15.75" x14ac:dyDescent="0.25">
      <c r="A83" s="4">
        <v>44538</v>
      </c>
      <c r="B83" s="5">
        <v>866746.86100000003</v>
      </c>
      <c r="C83" s="5">
        <f t="shared" si="8"/>
        <v>855.96299999998882</v>
      </c>
      <c r="D83" s="6">
        <f t="shared" si="9"/>
        <v>35.665124999999534</v>
      </c>
      <c r="E83" s="10" t="s">
        <v>0</v>
      </c>
      <c r="F83" s="10" t="s">
        <v>5</v>
      </c>
      <c r="G83" s="11" t="s">
        <v>9</v>
      </c>
      <c r="I83" s="10" t="s">
        <v>0</v>
      </c>
      <c r="J83" s="11" t="s">
        <v>7</v>
      </c>
      <c r="K83" s="11" t="s">
        <v>8</v>
      </c>
    </row>
    <row r="84" spans="1:17" ht="15.75" x14ac:dyDescent="0.25">
      <c r="A84" s="4">
        <v>44539</v>
      </c>
      <c r="B84" s="5">
        <v>867442.96499999997</v>
      </c>
      <c r="C84" s="5">
        <f t="shared" si="8"/>
        <v>696.10399999993388</v>
      </c>
      <c r="D84" s="6">
        <f t="shared" si="9"/>
        <v>29.004333333330578</v>
      </c>
      <c r="E84" s="12">
        <v>44556</v>
      </c>
      <c r="F84" s="19">
        <f t="shared" ref="F84:F89" si="10">C101</f>
        <v>2536.6280000000261</v>
      </c>
      <c r="G84" s="19">
        <f>'[2]технологическая сводка '!$E$106</f>
        <v>1904.31</v>
      </c>
      <c r="I84" s="12">
        <v>44738</v>
      </c>
      <c r="J84" s="19">
        <v>92.265887571800661</v>
      </c>
      <c r="K84" s="19">
        <v>13.722012368287592</v>
      </c>
    </row>
    <row r="85" spans="1:17" ht="15.75" x14ac:dyDescent="0.25">
      <c r="A85" s="4">
        <v>44540</v>
      </c>
      <c r="B85" s="5">
        <v>868352.21299999999</v>
      </c>
      <c r="C85" s="5">
        <f t="shared" si="8"/>
        <v>909.24800000002142</v>
      </c>
      <c r="D85" s="6">
        <f t="shared" si="9"/>
        <v>37.885333333334223</v>
      </c>
      <c r="E85" s="12">
        <v>44557</v>
      </c>
      <c r="F85" s="19">
        <f t="shared" si="10"/>
        <v>1862.9769999999553</v>
      </c>
      <c r="G85" s="19">
        <f>'[2]технологическая сводка '!$E$110</f>
        <v>1716.326</v>
      </c>
      <c r="I85" s="12">
        <v>44739</v>
      </c>
      <c r="J85" s="19">
        <v>82.205374352652825</v>
      </c>
      <c r="K85" s="19">
        <v>13.75582358797697</v>
      </c>
    </row>
    <row r="86" spans="1:17" ht="15.75" x14ac:dyDescent="0.25">
      <c r="A86" s="4">
        <v>44541</v>
      </c>
      <c r="B86" s="5">
        <v>869269.91299999994</v>
      </c>
      <c r="C86" s="5">
        <f t="shared" si="8"/>
        <v>917.69999999995343</v>
      </c>
      <c r="D86" s="6">
        <f t="shared" si="9"/>
        <v>38.237499999998057</v>
      </c>
      <c r="E86" s="12">
        <v>44558</v>
      </c>
      <c r="F86" s="19">
        <f t="shared" si="10"/>
        <v>1717.0720000000438</v>
      </c>
      <c r="G86" s="19">
        <f>'[2]технологическая сводка '!$E$114</f>
        <v>1772.269</v>
      </c>
      <c r="I86" s="12">
        <v>44740</v>
      </c>
      <c r="J86" s="19">
        <v>84.303898300471218</v>
      </c>
      <c r="K86" s="19">
        <v>16.005709094760675</v>
      </c>
    </row>
    <row r="87" spans="1:17" ht="15.75" x14ac:dyDescent="0.25">
      <c r="A87" s="4">
        <v>44542</v>
      </c>
      <c r="B87" s="5">
        <v>871826.777</v>
      </c>
      <c r="C87" s="5">
        <f t="shared" si="8"/>
        <v>2556.8640000000596</v>
      </c>
      <c r="D87" s="6">
        <f t="shared" si="9"/>
        <v>106.53600000000249</v>
      </c>
      <c r="E87" s="12">
        <v>44559</v>
      </c>
      <c r="F87" s="19">
        <f t="shared" si="10"/>
        <v>1836.1359999999404</v>
      </c>
      <c r="G87" s="19">
        <f>'[2]технологическая сводка '!$E$118</f>
        <v>1899.26</v>
      </c>
      <c r="I87" s="12">
        <v>44741</v>
      </c>
      <c r="J87" s="19">
        <v>90.280051085985008</v>
      </c>
      <c r="K87" s="19">
        <v>16.35292912128503</v>
      </c>
    </row>
    <row r="88" spans="1:17" ht="15.75" x14ac:dyDescent="0.25">
      <c r="A88" s="4">
        <v>44543</v>
      </c>
      <c r="B88" s="7">
        <v>874446.76500000001</v>
      </c>
      <c r="C88" s="5">
        <f t="shared" si="8"/>
        <v>2619.9880000000121</v>
      </c>
      <c r="D88" s="6">
        <f t="shared" si="9"/>
        <v>109.16616666666717</v>
      </c>
      <c r="E88" s="12">
        <v>44560</v>
      </c>
      <c r="F88" s="19">
        <f t="shared" si="10"/>
        <v>1868.1680000000633</v>
      </c>
      <c r="G88" s="19">
        <f>'[2]технологическая сводка '!$E$122</f>
        <v>1917.9</v>
      </c>
      <c r="I88" s="12">
        <v>44742</v>
      </c>
      <c r="J88" s="19">
        <v>80.324666695748462</v>
      </c>
      <c r="K88" s="19">
        <v>12.837964985587796</v>
      </c>
    </row>
    <row r="89" spans="1:17" ht="15.75" x14ac:dyDescent="0.25">
      <c r="A89" s="4">
        <v>44544</v>
      </c>
      <c r="B89" s="7">
        <v>877178.54599999997</v>
      </c>
      <c r="C89" s="5">
        <f t="shared" si="8"/>
        <v>2731.780999999959</v>
      </c>
      <c r="D89" s="6">
        <f t="shared" si="9"/>
        <v>113.82420833333163</v>
      </c>
      <c r="E89" s="12">
        <v>44561</v>
      </c>
      <c r="F89" s="19">
        <f t="shared" si="10"/>
        <v>1656.1239999999525</v>
      </c>
      <c r="G89" s="19">
        <f>'[2]технологическая сводка '!$E$126</f>
        <v>1817.0740000000001</v>
      </c>
      <c r="I89" s="12">
        <v>44743</v>
      </c>
      <c r="J89" s="19">
        <v>75.906817228947858</v>
      </c>
      <c r="K89" s="19">
        <v>15.870249757759883</v>
      </c>
    </row>
    <row r="90" spans="1:17" ht="15.75" x14ac:dyDescent="0.25">
      <c r="A90" s="4">
        <v>44545</v>
      </c>
      <c r="B90" s="7">
        <v>880215.92599999998</v>
      </c>
      <c r="C90" s="5">
        <f t="shared" si="8"/>
        <v>3037.3800000000047</v>
      </c>
      <c r="D90" s="6">
        <f t="shared" si="9"/>
        <v>126.55750000000019</v>
      </c>
      <c r="E90" s="12"/>
      <c r="F90" s="19"/>
      <c r="G90" s="19"/>
      <c r="I90" s="12">
        <v>44744</v>
      </c>
      <c r="J90" s="19">
        <v>102.56294754213752</v>
      </c>
      <c r="K90" s="19">
        <v>13.382738636301658</v>
      </c>
    </row>
    <row r="91" spans="1:17" ht="45" x14ac:dyDescent="0.25">
      <c r="A91" s="4">
        <v>44546</v>
      </c>
      <c r="B91" s="7">
        <v>882904.04599999997</v>
      </c>
      <c r="C91" s="5">
        <f t="shared" si="8"/>
        <v>2688.1199999999953</v>
      </c>
      <c r="D91" s="6">
        <f t="shared" si="9"/>
        <v>112.00499999999981</v>
      </c>
      <c r="F91" s="29">
        <f>SUM(F84:F90)</f>
        <v>11477.104999999981</v>
      </c>
      <c r="G91" s="29">
        <f>SUM(G84:G90)</f>
        <v>11027.139000000001</v>
      </c>
      <c r="N91" s="30" t="s">
        <v>26</v>
      </c>
      <c r="O91" s="31" t="s">
        <v>23</v>
      </c>
      <c r="P91" s="31" t="s">
        <v>24</v>
      </c>
      <c r="Q91" s="31" t="s">
        <v>25</v>
      </c>
    </row>
    <row r="92" spans="1:17" ht="15.75" x14ac:dyDescent="0.25">
      <c r="A92" s="4">
        <v>44547</v>
      </c>
      <c r="B92" s="7">
        <v>884952.44200000004</v>
      </c>
      <c r="C92" s="5">
        <f t="shared" si="8"/>
        <v>2048.3960000000661</v>
      </c>
      <c r="D92" s="6">
        <f t="shared" si="9"/>
        <v>85.349833333336093</v>
      </c>
      <c r="N92" s="30" t="s">
        <v>11</v>
      </c>
      <c r="O92" s="30">
        <v>51373</v>
      </c>
      <c r="P92" s="30">
        <v>13.48</v>
      </c>
      <c r="Q92" s="32">
        <v>83.83</v>
      </c>
    </row>
    <row r="93" spans="1:17" ht="15.75" x14ac:dyDescent="0.25">
      <c r="A93" s="4">
        <v>44548</v>
      </c>
      <c r="B93" s="7">
        <v>886255.65399999998</v>
      </c>
      <c r="C93" s="5">
        <f t="shared" si="8"/>
        <v>1303.2119999999413</v>
      </c>
      <c r="D93" s="6">
        <f t="shared" si="9"/>
        <v>54.300499999997555</v>
      </c>
      <c r="N93" s="30" t="s">
        <v>12</v>
      </c>
      <c r="O93" s="30">
        <v>41430</v>
      </c>
      <c r="P93" s="32">
        <v>15</v>
      </c>
      <c r="Q93" s="32">
        <v>85.02</v>
      </c>
    </row>
    <row r="94" spans="1:17" ht="15.75" x14ac:dyDescent="0.25">
      <c r="A94" s="4">
        <v>44549</v>
      </c>
      <c r="B94" s="7">
        <v>888251.36600000004</v>
      </c>
      <c r="C94" s="5">
        <f>B94-B93</f>
        <v>1995.7120000000577</v>
      </c>
      <c r="D94" s="6">
        <f t="shared" si="9"/>
        <v>83.154666666669073</v>
      </c>
      <c r="N94" s="30" t="s">
        <v>13</v>
      </c>
      <c r="O94" s="30">
        <v>47149</v>
      </c>
      <c r="P94" s="30">
        <v>13.55</v>
      </c>
      <c r="Q94" s="32">
        <v>79.069999999999993</v>
      </c>
    </row>
    <row r="95" spans="1:17" ht="15.75" x14ac:dyDescent="0.25">
      <c r="A95" s="4">
        <v>44550</v>
      </c>
      <c r="B95" s="7">
        <v>890411.55</v>
      </c>
      <c r="C95" s="5">
        <f t="shared" ref="C95:C106" si="11">B95-B94</f>
        <v>2160.1840000000084</v>
      </c>
      <c r="D95" s="6">
        <f t="shared" si="9"/>
        <v>90.007666666667021</v>
      </c>
      <c r="N95" s="30" t="s">
        <v>14</v>
      </c>
      <c r="O95" s="30">
        <v>54442</v>
      </c>
      <c r="P95" s="30">
        <v>15.07</v>
      </c>
      <c r="Q95" s="32">
        <v>81.34</v>
      </c>
    </row>
    <row r="96" spans="1:17" ht="15.75" x14ac:dyDescent="0.25">
      <c r="A96" s="4">
        <v>44551</v>
      </c>
      <c r="B96" s="7">
        <v>892615.79099999997</v>
      </c>
      <c r="C96" s="5">
        <f t="shared" si="11"/>
        <v>2204.2409999999218</v>
      </c>
      <c r="D96" s="6">
        <f t="shared" si="9"/>
        <v>91.84337499999674</v>
      </c>
      <c r="N96" s="30" t="s">
        <v>15</v>
      </c>
      <c r="O96" s="30">
        <v>57882</v>
      </c>
      <c r="P96" s="30">
        <v>16.579999999999998</v>
      </c>
      <c r="Q96" s="32">
        <v>89.01</v>
      </c>
    </row>
    <row r="97" spans="1:17" ht="15.75" x14ac:dyDescent="0.25">
      <c r="A97" s="4">
        <v>44552</v>
      </c>
      <c r="B97" s="7">
        <v>894813.82700000005</v>
      </c>
      <c r="C97" s="5">
        <f t="shared" si="11"/>
        <v>2198.0360000000801</v>
      </c>
      <c r="D97" s="6">
        <f t="shared" si="9"/>
        <v>91.584833333336675</v>
      </c>
      <c r="N97" s="30" t="s">
        <v>16</v>
      </c>
      <c r="O97" s="30">
        <v>57091</v>
      </c>
      <c r="P97" s="30">
        <v>15.89</v>
      </c>
      <c r="Q97" s="32">
        <v>87.92</v>
      </c>
    </row>
    <row r="98" spans="1:17" ht="15.75" x14ac:dyDescent="0.25">
      <c r="A98" s="4">
        <v>44553</v>
      </c>
      <c r="B98" s="7">
        <v>897127.31099999999</v>
      </c>
      <c r="C98" s="5">
        <f t="shared" si="11"/>
        <v>2313.4839999999385</v>
      </c>
      <c r="D98" s="6">
        <f t="shared" si="9"/>
        <v>96.39516666666411</v>
      </c>
      <c r="N98" s="30" t="s">
        <v>17</v>
      </c>
      <c r="O98" s="30">
        <v>59292</v>
      </c>
      <c r="P98" s="30">
        <v>15.28</v>
      </c>
      <c r="Q98" s="32">
        <v>83.15</v>
      </c>
    </row>
    <row r="99" spans="1:17" ht="15.75" x14ac:dyDescent="0.25">
      <c r="A99" s="4">
        <v>44554</v>
      </c>
      <c r="B99" s="8">
        <v>899202.31499999994</v>
      </c>
      <c r="C99" s="5">
        <f t="shared" si="11"/>
        <v>2075.0039999999572</v>
      </c>
      <c r="D99" s="6">
        <f t="shared" si="9"/>
        <v>86.45849999999821</v>
      </c>
      <c r="N99" s="30" t="s">
        <v>18</v>
      </c>
      <c r="O99" s="30">
        <v>31088</v>
      </c>
      <c r="P99" s="30">
        <v>16.04</v>
      </c>
      <c r="Q99" s="32">
        <v>87.07</v>
      </c>
    </row>
    <row r="100" spans="1:17" ht="15.75" x14ac:dyDescent="0.25">
      <c r="A100" s="4">
        <v>44555</v>
      </c>
      <c r="B100" s="8">
        <v>901830.63500000001</v>
      </c>
      <c r="C100" s="5">
        <f t="shared" si="11"/>
        <v>2628.3200000000652</v>
      </c>
      <c r="D100" s="6">
        <f t="shared" si="9"/>
        <v>109.51333333333605</v>
      </c>
      <c r="N100" s="30" t="s">
        <v>19</v>
      </c>
      <c r="O100" s="30">
        <v>44809</v>
      </c>
      <c r="P100" s="30">
        <v>15.36</v>
      </c>
      <c r="Q100" s="32">
        <v>85.08</v>
      </c>
    </row>
    <row r="101" spans="1:17" ht="15.75" x14ac:dyDescent="0.25">
      <c r="A101" s="4">
        <v>44556</v>
      </c>
      <c r="B101" s="7">
        <v>904367.26300000004</v>
      </c>
      <c r="C101" s="5">
        <f t="shared" si="11"/>
        <v>2536.6280000000261</v>
      </c>
      <c r="D101" s="6">
        <f>C101/24</f>
        <v>105.69283333333442</v>
      </c>
      <c r="N101" s="30" t="s">
        <v>20</v>
      </c>
      <c r="O101" s="30">
        <v>55301</v>
      </c>
      <c r="P101" s="30">
        <v>14.47</v>
      </c>
      <c r="Q101" s="32">
        <v>86.2</v>
      </c>
    </row>
    <row r="102" spans="1:17" ht="15.75" x14ac:dyDescent="0.25">
      <c r="A102" s="4">
        <v>44557</v>
      </c>
      <c r="B102" s="7">
        <v>906230.24</v>
      </c>
      <c r="C102" s="5">
        <f t="shared" si="11"/>
        <v>1862.9769999999553</v>
      </c>
      <c r="D102" s="6">
        <f t="shared" si="9"/>
        <v>77.624041666664809</v>
      </c>
      <c r="N102" s="30" t="s">
        <v>21</v>
      </c>
      <c r="O102" s="30">
        <v>53079</v>
      </c>
      <c r="P102" s="30">
        <v>17.309999999999999</v>
      </c>
      <c r="Q102" s="32">
        <v>87.82</v>
      </c>
    </row>
    <row r="103" spans="1:17" ht="15.75" x14ac:dyDescent="0.25">
      <c r="A103" s="4">
        <v>44558</v>
      </c>
      <c r="B103" s="8">
        <v>907947.31200000003</v>
      </c>
      <c r="C103" s="5">
        <f t="shared" si="11"/>
        <v>1717.0720000000438</v>
      </c>
      <c r="D103" s="6">
        <f>C103/24</f>
        <v>71.544666666668491</v>
      </c>
      <c r="N103" s="30" t="s">
        <v>22</v>
      </c>
      <c r="O103" s="30">
        <v>56757</v>
      </c>
      <c r="P103" s="30">
        <v>17.329999999999998</v>
      </c>
      <c r="Q103" s="32">
        <v>89.6</v>
      </c>
    </row>
    <row r="104" spans="1:17" ht="15.75" x14ac:dyDescent="0.25">
      <c r="A104" s="4">
        <v>44559</v>
      </c>
      <c r="B104" s="8">
        <v>909783.44799999997</v>
      </c>
      <c r="C104" s="5">
        <f t="shared" si="11"/>
        <v>1836.1359999999404</v>
      </c>
      <c r="D104" s="6">
        <f>C104/24</f>
        <v>76.505666666664183</v>
      </c>
    </row>
    <row r="105" spans="1:17" ht="15.75" x14ac:dyDescent="0.25">
      <c r="A105" s="4">
        <v>44560</v>
      </c>
      <c r="B105" s="8">
        <v>911651.61600000004</v>
      </c>
      <c r="C105" s="5">
        <f t="shared" si="11"/>
        <v>1868.1680000000633</v>
      </c>
      <c r="D105" s="6">
        <f>C105/24</f>
        <v>77.840333333335977</v>
      </c>
    </row>
    <row r="106" spans="1:17" ht="15.75" x14ac:dyDescent="0.25">
      <c r="A106" s="4">
        <v>44561</v>
      </c>
      <c r="B106" s="7">
        <v>913307.74</v>
      </c>
      <c r="C106" s="5">
        <f t="shared" si="11"/>
        <v>1656.1239999999525</v>
      </c>
      <c r="D106" s="6">
        <f>C106/24</f>
        <v>69.005166666664692</v>
      </c>
    </row>
    <row r="107" spans="1:17" ht="15.75" x14ac:dyDescent="0.25">
      <c r="B107" s="13"/>
      <c r="C107" s="13">
        <f>SUM(C76:C106)</f>
        <v>55445.692000000039</v>
      </c>
      <c r="D107" s="9">
        <f>C107/24</f>
        <v>2310.2371666666681</v>
      </c>
    </row>
    <row r="110" spans="1:17" x14ac:dyDescent="0.25">
      <c r="A110" s="96" t="s">
        <v>10</v>
      </c>
      <c r="B110" s="96"/>
      <c r="C110" s="96"/>
      <c r="D110" s="97"/>
    </row>
    <row r="111" spans="1:17" ht="31.5" x14ac:dyDescent="0.25">
      <c r="A111" s="1" t="s">
        <v>0</v>
      </c>
      <c r="B111" s="2" t="s">
        <v>1</v>
      </c>
      <c r="C111" s="3" t="s">
        <v>2</v>
      </c>
      <c r="D111" s="2" t="s">
        <v>3</v>
      </c>
      <c r="E111" s="10" t="s">
        <v>0</v>
      </c>
      <c r="F111" s="10" t="s">
        <v>5</v>
      </c>
      <c r="G111" s="11" t="s">
        <v>9</v>
      </c>
    </row>
    <row r="112" spans="1:17" ht="15.75" x14ac:dyDescent="0.25">
      <c r="A112" s="4">
        <v>44562</v>
      </c>
      <c r="B112" s="5">
        <v>914086.804</v>
      </c>
      <c r="C112" s="5">
        <f>B112-B106</f>
        <v>779.06400000001304</v>
      </c>
      <c r="D112" s="6">
        <f>C112/24</f>
        <v>32.461000000000546</v>
      </c>
      <c r="E112" s="12">
        <v>44562</v>
      </c>
      <c r="F112" s="11">
        <v>779.06400000001304</v>
      </c>
      <c r="G112" s="11">
        <v>1631.2433000000001</v>
      </c>
      <c r="N112" s="33" t="s">
        <v>11</v>
      </c>
      <c r="O112" s="30">
        <v>13.48</v>
      </c>
      <c r="P112" s="32">
        <v>83.83</v>
      </c>
    </row>
    <row r="113" spans="1:16" ht="15.75" x14ac:dyDescent="0.25">
      <c r="A113" s="4">
        <v>44563</v>
      </c>
      <c r="B113" s="5">
        <v>916931.97199999995</v>
      </c>
      <c r="C113" s="5">
        <f t="shared" ref="C113:C129" si="12">B113-B112</f>
        <v>2845.1679999999469</v>
      </c>
      <c r="D113" s="6">
        <f t="shared" ref="D113:D136" si="13">C113/24</f>
        <v>118.54866666666446</v>
      </c>
      <c r="E113" s="34">
        <v>44563</v>
      </c>
      <c r="F113" s="35">
        <v>2845.1679999999469</v>
      </c>
      <c r="G113" s="35">
        <v>1758.2159999999999</v>
      </c>
      <c r="N113" s="33" t="s">
        <v>12</v>
      </c>
      <c r="O113" s="32">
        <v>15</v>
      </c>
      <c r="P113" s="32">
        <v>85.02</v>
      </c>
    </row>
    <row r="114" spans="1:16" ht="15.75" x14ac:dyDescent="0.25">
      <c r="A114" s="4">
        <v>44564</v>
      </c>
      <c r="B114" s="5">
        <v>919951.26100000006</v>
      </c>
      <c r="C114" s="5">
        <f t="shared" si="12"/>
        <v>3019.2890000001062</v>
      </c>
      <c r="D114" s="6">
        <f t="shared" si="13"/>
        <v>125.80370833333775</v>
      </c>
      <c r="E114" s="34">
        <v>44564</v>
      </c>
      <c r="F114" s="35">
        <v>3019.2890000001062</v>
      </c>
      <c r="G114" s="35">
        <v>1779.71</v>
      </c>
      <c r="N114" s="33" t="s">
        <v>13</v>
      </c>
      <c r="O114" s="30">
        <v>13.55</v>
      </c>
      <c r="P114" s="32">
        <v>79.069999999999993</v>
      </c>
    </row>
    <row r="115" spans="1:16" ht="15.75" x14ac:dyDescent="0.25">
      <c r="A115" s="4">
        <v>44565</v>
      </c>
      <c r="B115" s="5">
        <v>922790.46100000001</v>
      </c>
      <c r="C115" s="5">
        <f t="shared" si="12"/>
        <v>2839.1999999999534</v>
      </c>
      <c r="D115" s="6">
        <f t="shared" si="13"/>
        <v>118.29999999999806</v>
      </c>
      <c r="E115" s="34">
        <v>44565</v>
      </c>
      <c r="F115" s="35">
        <v>2839.1999999999534</v>
      </c>
      <c r="G115" s="35">
        <v>1850.58</v>
      </c>
      <c r="N115" s="33" t="s">
        <v>14</v>
      </c>
      <c r="O115" s="30">
        <v>15.07</v>
      </c>
      <c r="P115" s="32">
        <v>81.34</v>
      </c>
    </row>
    <row r="116" spans="1:16" ht="15.75" x14ac:dyDescent="0.25">
      <c r="A116" s="4">
        <v>44566</v>
      </c>
      <c r="B116" s="5">
        <v>924098.49699999997</v>
      </c>
      <c r="C116" s="5">
        <f t="shared" si="12"/>
        <v>1308.0359999999637</v>
      </c>
      <c r="D116" s="6">
        <f t="shared" si="13"/>
        <v>54.501499999998487</v>
      </c>
      <c r="E116" s="34">
        <v>44566</v>
      </c>
      <c r="F116" s="35">
        <v>1308.0359999999637</v>
      </c>
      <c r="G116" s="35">
        <v>1826.4839999999999</v>
      </c>
      <c r="N116" s="33" t="s">
        <v>15</v>
      </c>
      <c r="O116" s="30">
        <v>16.579999999999998</v>
      </c>
      <c r="P116" s="32">
        <v>89.01</v>
      </c>
    </row>
    <row r="117" spans="1:16" ht="15.75" x14ac:dyDescent="0.25">
      <c r="A117" s="4">
        <v>44567</v>
      </c>
      <c r="B117" s="5">
        <v>926598.473</v>
      </c>
      <c r="C117" s="5">
        <f t="shared" si="12"/>
        <v>2499.9760000000242</v>
      </c>
      <c r="D117" s="6">
        <f t="shared" si="13"/>
        <v>104.16566666666768</v>
      </c>
      <c r="E117" s="34">
        <v>44567</v>
      </c>
      <c r="F117" s="35">
        <v>2499.9760000000242</v>
      </c>
      <c r="G117" s="35">
        <v>1744.4639999999999</v>
      </c>
      <c r="N117" s="33" t="s">
        <v>16</v>
      </c>
      <c r="O117" s="30">
        <v>15.89</v>
      </c>
      <c r="P117" s="32">
        <v>87.92</v>
      </c>
    </row>
    <row r="118" spans="1:16" ht="15.75" x14ac:dyDescent="0.25">
      <c r="A118" s="4">
        <v>44568</v>
      </c>
      <c r="B118" s="5">
        <v>929344.245</v>
      </c>
      <c r="C118" s="5">
        <f t="shared" si="12"/>
        <v>2745.7719999999972</v>
      </c>
      <c r="D118" s="6">
        <f t="shared" si="13"/>
        <v>114.40716666666655</v>
      </c>
      <c r="E118" s="34">
        <v>44568</v>
      </c>
      <c r="F118" s="35">
        <v>2745.7719999999972</v>
      </c>
      <c r="G118" s="35">
        <v>1899</v>
      </c>
      <c r="N118" s="33" t="s">
        <v>17</v>
      </c>
      <c r="O118" s="30">
        <v>15.28</v>
      </c>
      <c r="P118" s="32">
        <v>83.15</v>
      </c>
    </row>
    <row r="119" spans="1:16" ht="15.75" x14ac:dyDescent="0.25">
      <c r="A119" s="4">
        <v>44569</v>
      </c>
      <c r="B119" s="5">
        <v>932173.56099999999</v>
      </c>
      <c r="C119" s="5">
        <f t="shared" si="12"/>
        <v>2829.3159999999916</v>
      </c>
      <c r="D119" s="6">
        <f t="shared" si="13"/>
        <v>117.88816666666632</v>
      </c>
      <c r="E119" s="10" t="s">
        <v>0</v>
      </c>
      <c r="F119" s="10" t="s">
        <v>5</v>
      </c>
      <c r="G119" s="11" t="s">
        <v>9</v>
      </c>
      <c r="N119" s="33" t="s">
        <v>18</v>
      </c>
      <c r="O119" s="30">
        <v>16.04</v>
      </c>
      <c r="P119" s="32">
        <v>87.07</v>
      </c>
    </row>
    <row r="120" spans="1:16" ht="15.75" x14ac:dyDescent="0.25">
      <c r="A120" s="4">
        <v>44570</v>
      </c>
      <c r="B120" s="5">
        <v>934726.09400000004</v>
      </c>
      <c r="C120" s="5">
        <f t="shared" si="12"/>
        <v>2552.533000000054</v>
      </c>
      <c r="D120" s="6">
        <f t="shared" si="13"/>
        <v>106.35554166666891</v>
      </c>
      <c r="E120" s="12">
        <v>45109</v>
      </c>
      <c r="F120" s="49"/>
      <c r="G120" s="36"/>
      <c r="N120" s="33" t="s">
        <v>19</v>
      </c>
      <c r="O120" s="30">
        <v>15.36</v>
      </c>
      <c r="P120" s="32">
        <v>85.08</v>
      </c>
    </row>
    <row r="121" spans="1:16" ht="15.75" x14ac:dyDescent="0.25">
      <c r="A121" s="4">
        <v>44571</v>
      </c>
      <c r="B121" s="5">
        <v>936862.77399999998</v>
      </c>
      <c r="C121" s="5">
        <f t="shared" si="12"/>
        <v>2136.6799999999348</v>
      </c>
      <c r="D121" s="6">
        <f t="shared" si="13"/>
        <v>89.028333333330622</v>
      </c>
      <c r="E121" s="12">
        <v>45110</v>
      </c>
      <c r="F121" s="49"/>
      <c r="G121" s="36"/>
      <c r="N121" s="33" t="s">
        <v>20</v>
      </c>
      <c r="O121" s="30">
        <v>14.47</v>
      </c>
      <c r="P121" s="32">
        <v>86.2</v>
      </c>
    </row>
    <row r="122" spans="1:16" ht="15.75" x14ac:dyDescent="0.25">
      <c r="A122" s="4">
        <v>44572</v>
      </c>
      <c r="B122" s="5">
        <v>938856.57</v>
      </c>
      <c r="C122" s="5">
        <f t="shared" si="12"/>
        <v>1993.795999999973</v>
      </c>
      <c r="D122" s="6">
        <f t="shared" si="13"/>
        <v>83.074833333332208</v>
      </c>
      <c r="E122" s="12">
        <v>45111</v>
      </c>
      <c r="F122" s="49"/>
      <c r="G122" s="36"/>
      <c r="N122" s="33" t="s">
        <v>21</v>
      </c>
      <c r="O122" s="30">
        <v>17.309999999999999</v>
      </c>
      <c r="P122" s="32">
        <v>87.82</v>
      </c>
    </row>
    <row r="123" spans="1:16" ht="15.75" x14ac:dyDescent="0.25">
      <c r="A123" s="4">
        <v>44573</v>
      </c>
      <c r="B123" s="5">
        <v>940515.82200000004</v>
      </c>
      <c r="C123" s="5">
        <f t="shared" si="12"/>
        <v>1659.252000000095</v>
      </c>
      <c r="D123" s="6">
        <f t="shared" si="13"/>
        <v>69.135500000003958</v>
      </c>
      <c r="E123" s="12">
        <v>45112</v>
      </c>
      <c r="F123" s="49"/>
      <c r="G123" s="36"/>
      <c r="N123" s="33" t="s">
        <v>22</v>
      </c>
      <c r="O123" s="30">
        <v>17.329999999999998</v>
      </c>
      <c r="P123" s="32">
        <v>89.6</v>
      </c>
    </row>
    <row r="124" spans="1:16" ht="15.75" x14ac:dyDescent="0.25">
      <c r="A124" s="4">
        <v>44574</v>
      </c>
      <c r="B124" s="7">
        <v>941811.30599999998</v>
      </c>
      <c r="C124" s="5">
        <f t="shared" si="12"/>
        <v>1295.4839999999385</v>
      </c>
      <c r="D124" s="6">
        <f t="shared" si="13"/>
        <v>53.978499999997439</v>
      </c>
      <c r="E124" s="12">
        <v>45113</v>
      </c>
      <c r="F124" s="49"/>
      <c r="G124" s="36"/>
    </row>
    <row r="125" spans="1:16" ht="15.75" x14ac:dyDescent="0.25">
      <c r="A125" s="4">
        <v>44575</v>
      </c>
      <c r="B125" s="7">
        <v>943620.05799999996</v>
      </c>
      <c r="C125" s="5">
        <f t="shared" si="12"/>
        <v>1808.7519999999786</v>
      </c>
      <c r="D125" s="6">
        <f t="shared" si="13"/>
        <v>75.364666666665769</v>
      </c>
      <c r="E125" s="12">
        <v>45114</v>
      </c>
      <c r="F125" s="49"/>
      <c r="G125" s="36"/>
    </row>
    <row r="126" spans="1:16" ht="15.75" x14ac:dyDescent="0.25">
      <c r="A126" s="4">
        <v>44576</v>
      </c>
      <c r="B126" s="7">
        <v>945410.54200000002</v>
      </c>
      <c r="C126" s="5">
        <f t="shared" si="12"/>
        <v>1790.4840000000549</v>
      </c>
      <c r="D126" s="6">
        <f t="shared" si="13"/>
        <v>74.603500000002285</v>
      </c>
      <c r="E126" s="12">
        <v>45115</v>
      </c>
      <c r="F126" s="49"/>
    </row>
    <row r="127" spans="1:16" ht="15.75" x14ac:dyDescent="0.25">
      <c r="A127" s="4">
        <v>44577</v>
      </c>
      <c r="B127" s="7">
        <v>948397.73499999999</v>
      </c>
      <c r="C127" s="5">
        <f t="shared" si="12"/>
        <v>2987.1929999999702</v>
      </c>
      <c r="D127" s="6">
        <f t="shared" si="13"/>
        <v>124.46637499999876</v>
      </c>
      <c r="E127" s="12"/>
      <c r="F127" s="13"/>
      <c r="G127" s="13"/>
    </row>
    <row r="128" spans="1:16" ht="15.75" x14ac:dyDescent="0.25">
      <c r="A128" s="4">
        <v>44578</v>
      </c>
      <c r="B128" s="7">
        <v>950424.54700000002</v>
      </c>
      <c r="C128" s="5">
        <f t="shared" si="12"/>
        <v>2026.8120000000345</v>
      </c>
      <c r="D128" s="6">
        <f t="shared" si="13"/>
        <v>84.450500000001441</v>
      </c>
      <c r="F128" s="13">
        <f>SUM(F120:F126)</f>
        <v>0</v>
      </c>
    </row>
    <row r="129" spans="1:7" ht="15.75" x14ac:dyDescent="0.25">
      <c r="A129" s="4">
        <v>44579</v>
      </c>
      <c r="B129" s="7">
        <v>952150.45900000003</v>
      </c>
      <c r="C129" s="5">
        <f t="shared" si="12"/>
        <v>1725.9120000000112</v>
      </c>
      <c r="D129" s="6">
        <f t="shared" si="13"/>
        <v>71.913000000000466</v>
      </c>
      <c r="E129" s="10" t="s">
        <v>0</v>
      </c>
      <c r="F129" s="10" t="s">
        <v>27</v>
      </c>
      <c r="G129" s="11" t="s">
        <v>9</v>
      </c>
    </row>
    <row r="130" spans="1:7" ht="15.75" x14ac:dyDescent="0.25">
      <c r="A130" s="4">
        <v>44580</v>
      </c>
      <c r="B130" s="7">
        <v>953991.05500000005</v>
      </c>
      <c r="C130" s="5">
        <f>B130-B129</f>
        <v>1840.5960000000196</v>
      </c>
      <c r="D130" s="6">
        <f t="shared" si="13"/>
        <v>76.691500000000815</v>
      </c>
      <c r="E130" s="12">
        <v>44584</v>
      </c>
      <c r="F130" s="13">
        <f>C134</f>
        <v>1727.8439999999246</v>
      </c>
      <c r="G130" s="23">
        <f>'[3]январь 2022г'!$D$73</f>
        <v>1948.1006000000002</v>
      </c>
    </row>
    <row r="131" spans="1:7" ht="15.75" x14ac:dyDescent="0.25">
      <c r="A131" s="4">
        <v>44581</v>
      </c>
      <c r="B131" s="7">
        <v>955941.70700000005</v>
      </c>
      <c r="C131" s="5">
        <f t="shared" ref="C131:C142" si="14">B131-B130</f>
        <v>1950.6520000000019</v>
      </c>
      <c r="D131" s="6">
        <f t="shared" si="13"/>
        <v>81.277166666666744</v>
      </c>
      <c r="E131" s="12">
        <v>44585</v>
      </c>
      <c r="F131" s="13">
        <f t="shared" ref="F131:F136" si="15">C135</f>
        <v>1534.5410000000848</v>
      </c>
      <c r="G131" s="23">
        <f>'[3]январь 2022г'!$D$76</f>
        <v>1889.3739999999998</v>
      </c>
    </row>
    <row r="132" spans="1:7" ht="15.75" x14ac:dyDescent="0.25">
      <c r="A132" s="4">
        <v>44582</v>
      </c>
      <c r="B132" s="7">
        <v>957433.51500000001</v>
      </c>
      <c r="C132" s="5">
        <f t="shared" si="14"/>
        <v>1491.8079999999609</v>
      </c>
      <c r="D132" s="6">
        <f t="shared" si="13"/>
        <v>62.158666666665034</v>
      </c>
      <c r="E132" s="12">
        <v>44586</v>
      </c>
      <c r="F132" s="13">
        <f t="shared" si="15"/>
        <v>1927.887999999919</v>
      </c>
      <c r="G132" s="23">
        <f>'[3]январь 2022г'!$D$79</f>
        <v>2025.3890000000001</v>
      </c>
    </row>
    <row r="133" spans="1:7" ht="15.75" x14ac:dyDescent="0.25">
      <c r="A133" s="4">
        <v>44583</v>
      </c>
      <c r="B133" s="7">
        <v>959410.94700000004</v>
      </c>
      <c r="C133" s="5">
        <f t="shared" si="14"/>
        <v>1977.4320000000298</v>
      </c>
      <c r="D133" s="6">
        <f t="shared" si="13"/>
        <v>82.393000000001237</v>
      </c>
      <c r="E133" s="12">
        <v>44587</v>
      </c>
      <c r="F133" s="13">
        <f t="shared" si="15"/>
        <v>1944.9479999999749</v>
      </c>
      <c r="G133" s="23">
        <f>'[3]январь 2022г'!$D$82</f>
        <v>1944.384</v>
      </c>
    </row>
    <row r="134" spans="1:7" ht="15.75" x14ac:dyDescent="0.25">
      <c r="A134" s="4">
        <v>44584</v>
      </c>
      <c r="B134" s="7">
        <v>961138.79099999997</v>
      </c>
      <c r="C134" s="5">
        <f t="shared" si="14"/>
        <v>1727.8439999999246</v>
      </c>
      <c r="D134" s="6">
        <f t="shared" si="13"/>
        <v>71.993499999996857</v>
      </c>
      <c r="E134" s="12">
        <v>44588</v>
      </c>
      <c r="F134" s="13">
        <f t="shared" si="15"/>
        <v>2888.5400000000373</v>
      </c>
      <c r="G134" s="23">
        <f>'[3]январь 2022г'!$D$85</f>
        <v>1974.4785000000002</v>
      </c>
    </row>
    <row r="135" spans="1:7" ht="15.75" x14ac:dyDescent="0.25">
      <c r="A135" s="4">
        <v>44585</v>
      </c>
      <c r="B135" s="8">
        <v>962673.33200000005</v>
      </c>
      <c r="C135" s="5">
        <f t="shared" si="14"/>
        <v>1534.5410000000848</v>
      </c>
      <c r="D135" s="6">
        <f t="shared" si="13"/>
        <v>63.939208333336865</v>
      </c>
      <c r="E135" s="12">
        <v>44589</v>
      </c>
      <c r="F135" s="13">
        <f t="shared" si="15"/>
        <v>2811</v>
      </c>
      <c r="G135" s="23">
        <f>'[3]январь 2022г'!$D$88</f>
        <v>1917.8679999999999</v>
      </c>
    </row>
    <row r="136" spans="1:7" ht="15.75" x14ac:dyDescent="0.25">
      <c r="A136" s="4">
        <v>44586</v>
      </c>
      <c r="B136" s="8">
        <v>964601.22</v>
      </c>
      <c r="C136" s="5">
        <f t="shared" si="14"/>
        <v>1927.887999999919</v>
      </c>
      <c r="D136" s="6">
        <f t="shared" si="13"/>
        <v>80.328666666663295</v>
      </c>
      <c r="E136" s="12">
        <v>44590</v>
      </c>
      <c r="F136" s="13">
        <f t="shared" si="15"/>
        <v>2440.4720000000671</v>
      </c>
      <c r="G136" s="23">
        <f>'[3]январь 2022г'!$D$91</f>
        <v>1924.7139999999999</v>
      </c>
    </row>
    <row r="137" spans="1:7" ht="15.75" x14ac:dyDescent="0.25">
      <c r="A137" s="4">
        <v>44587</v>
      </c>
      <c r="B137" s="7">
        <v>966546.16799999995</v>
      </c>
      <c r="C137" s="5">
        <f t="shared" si="14"/>
        <v>1944.9479999999749</v>
      </c>
      <c r="D137" s="6">
        <f t="shared" ref="D137:D143" si="16">C137/24</f>
        <v>81.039499999998952</v>
      </c>
      <c r="F137" s="11">
        <f>SUM(F130:F136)</f>
        <v>15275.233000000007</v>
      </c>
      <c r="G137" s="36">
        <f>SUM(G130:G136)</f>
        <v>13624.3081</v>
      </c>
    </row>
    <row r="138" spans="1:7" ht="15.75" x14ac:dyDescent="0.25">
      <c r="A138" s="4">
        <v>44588</v>
      </c>
      <c r="B138" s="7">
        <v>969434.70799999998</v>
      </c>
      <c r="C138" s="5">
        <f t="shared" si="14"/>
        <v>2888.5400000000373</v>
      </c>
      <c r="D138" s="6">
        <f t="shared" si="16"/>
        <v>120.35583333333489</v>
      </c>
    </row>
    <row r="139" spans="1:7" ht="15.75" x14ac:dyDescent="0.25">
      <c r="A139" s="4">
        <v>44589</v>
      </c>
      <c r="B139" s="8">
        <v>972245.70799999998</v>
      </c>
      <c r="C139" s="5">
        <f t="shared" si="14"/>
        <v>2811</v>
      </c>
      <c r="D139" s="6">
        <f t="shared" si="16"/>
        <v>117.125</v>
      </c>
    </row>
    <row r="140" spans="1:7" ht="15.75" x14ac:dyDescent="0.25">
      <c r="A140" s="4">
        <v>44590</v>
      </c>
      <c r="B140" s="7">
        <v>974686.18</v>
      </c>
      <c r="C140" s="5">
        <f t="shared" si="14"/>
        <v>2440.4720000000671</v>
      </c>
      <c r="D140" s="6">
        <f t="shared" si="16"/>
        <v>101.68633333333612</v>
      </c>
    </row>
    <row r="141" spans="1:7" ht="15.75" x14ac:dyDescent="0.25">
      <c r="A141" s="4">
        <v>44591</v>
      </c>
      <c r="B141" s="8">
        <v>977359.50100000005</v>
      </c>
      <c r="C141" s="5">
        <f t="shared" si="14"/>
        <v>2673.3209999999963</v>
      </c>
      <c r="D141" s="6">
        <f t="shared" si="16"/>
        <v>111.38837499999984</v>
      </c>
    </row>
    <row r="142" spans="1:7" ht="15.75" x14ac:dyDescent="0.25">
      <c r="A142" s="4">
        <v>44592</v>
      </c>
      <c r="B142" s="7">
        <v>979301.245</v>
      </c>
      <c r="C142" s="5">
        <f t="shared" si="14"/>
        <v>1941.7439999999478</v>
      </c>
      <c r="D142" s="6">
        <f t="shared" si="16"/>
        <v>80.905999999997832</v>
      </c>
    </row>
    <row r="143" spans="1:7" ht="15.75" x14ac:dyDescent="0.25">
      <c r="B143" s="13"/>
      <c r="C143" s="13">
        <f>SUM(C112:C142)</f>
        <v>65993.505000000005</v>
      </c>
      <c r="D143" s="9">
        <f t="shared" si="16"/>
        <v>2749.7293750000003</v>
      </c>
    </row>
    <row r="146" spans="1:8" x14ac:dyDescent="0.25">
      <c r="A146" s="96" t="s">
        <v>28</v>
      </c>
      <c r="B146" s="96"/>
      <c r="C146" s="96"/>
      <c r="D146" s="97"/>
    </row>
    <row r="147" spans="1:8" ht="31.5" x14ac:dyDescent="0.25">
      <c r="A147" s="1" t="s">
        <v>0</v>
      </c>
      <c r="B147" s="2" t="s">
        <v>1</v>
      </c>
      <c r="C147" s="3" t="s">
        <v>2</v>
      </c>
      <c r="D147" s="2" t="s">
        <v>3</v>
      </c>
      <c r="F147" s="10" t="s">
        <v>0</v>
      </c>
      <c r="G147" s="10" t="s">
        <v>27</v>
      </c>
      <c r="H147" s="11" t="s">
        <v>9</v>
      </c>
    </row>
    <row r="148" spans="1:8" ht="15.75" x14ac:dyDescent="0.25">
      <c r="A148" s="4">
        <v>44593</v>
      </c>
      <c r="B148" s="5">
        <v>981224.37699999998</v>
      </c>
      <c r="C148" s="5">
        <f>B148-B142</f>
        <v>1923.1319999999832</v>
      </c>
      <c r="D148" s="6">
        <f>C148/24</f>
        <v>80.130499999999302</v>
      </c>
      <c r="F148" s="12">
        <v>44591</v>
      </c>
      <c r="G148" s="13">
        <f>C141</f>
        <v>2673.3209999999963</v>
      </c>
      <c r="H148" s="14">
        <v>1798.45</v>
      </c>
    </row>
    <row r="149" spans="1:8" ht="15.75" x14ac:dyDescent="0.25">
      <c r="A149" s="4">
        <v>44594</v>
      </c>
      <c r="B149" s="5">
        <v>982530.16500000004</v>
      </c>
      <c r="C149" s="5">
        <f t="shared" ref="C149:C165" si="17">B149-B148</f>
        <v>1305.7880000000587</v>
      </c>
      <c r="D149" s="6">
        <f t="shared" ref="D149:D172" si="18">C149/24</f>
        <v>54.40783333333578</v>
      </c>
      <c r="F149" s="12">
        <v>44592</v>
      </c>
      <c r="G149" s="13">
        <f>C142</f>
        <v>1941.7439999999478</v>
      </c>
      <c r="H149" s="14">
        <v>1888.902</v>
      </c>
    </row>
    <row r="150" spans="1:8" ht="15.75" x14ac:dyDescent="0.25">
      <c r="A150" s="4">
        <v>44595</v>
      </c>
      <c r="B150" s="5">
        <v>984373.22100000002</v>
      </c>
      <c r="C150" s="5">
        <f t="shared" si="17"/>
        <v>1843.0559999999823</v>
      </c>
      <c r="D150" s="6">
        <f t="shared" si="18"/>
        <v>76.793999999999258</v>
      </c>
      <c r="F150" s="12">
        <v>44593</v>
      </c>
      <c r="G150" s="13">
        <f>C148</f>
        <v>1923.1319999999832</v>
      </c>
      <c r="H150" s="14">
        <v>1982.5259999999998</v>
      </c>
    </row>
    <row r="151" spans="1:8" ht="15.75" x14ac:dyDescent="0.25">
      <c r="A151" s="4">
        <v>44596</v>
      </c>
      <c r="B151" s="5">
        <v>986362.31700000004</v>
      </c>
      <c r="C151" s="5">
        <f t="shared" si="17"/>
        <v>1989.0960000000196</v>
      </c>
      <c r="D151" s="6">
        <f t="shared" si="18"/>
        <v>82.879000000000815</v>
      </c>
      <c r="F151" s="12">
        <v>44594</v>
      </c>
      <c r="G151" s="13">
        <f>C149</f>
        <v>1305.7880000000587</v>
      </c>
      <c r="H151" s="14">
        <v>1615.2035000000001</v>
      </c>
    </row>
    <row r="152" spans="1:8" ht="15.75" x14ac:dyDescent="0.25">
      <c r="A152" s="4">
        <v>44597</v>
      </c>
      <c r="B152" s="5">
        <v>988123.73300000001</v>
      </c>
      <c r="C152" s="5">
        <f t="shared" si="17"/>
        <v>1761.4159999999683</v>
      </c>
      <c r="D152" s="6">
        <f t="shared" si="18"/>
        <v>73.392333333332019</v>
      </c>
      <c r="F152" s="12">
        <v>44595</v>
      </c>
      <c r="G152" s="13">
        <f>C150</f>
        <v>1843.0559999999823</v>
      </c>
      <c r="H152" s="14">
        <v>1575.3580000000002</v>
      </c>
    </row>
    <row r="153" spans="1:8" ht="15.75" x14ac:dyDescent="0.25">
      <c r="A153" s="4">
        <v>44598</v>
      </c>
      <c r="B153" s="5">
        <v>990406.43</v>
      </c>
      <c r="C153" s="5">
        <f t="shared" si="17"/>
        <v>2282.6970000000438</v>
      </c>
      <c r="D153" s="6">
        <f t="shared" si="18"/>
        <v>95.112375000001819</v>
      </c>
      <c r="F153" s="12">
        <v>44596</v>
      </c>
      <c r="G153" s="13">
        <f>C151</f>
        <v>1989.0960000000196</v>
      </c>
      <c r="H153" s="14">
        <v>2116.5160000000001</v>
      </c>
    </row>
    <row r="154" spans="1:8" ht="15.75" x14ac:dyDescent="0.25">
      <c r="A154" s="4">
        <v>44599</v>
      </c>
      <c r="B154" s="5">
        <v>992778.826</v>
      </c>
      <c r="C154" s="5">
        <f t="shared" si="17"/>
        <v>2372.3959999999497</v>
      </c>
      <c r="D154" s="6">
        <f t="shared" si="18"/>
        <v>98.849833333331233</v>
      </c>
      <c r="F154" s="12">
        <v>44597</v>
      </c>
      <c r="G154" s="13">
        <f>C152</f>
        <v>1761.4159999999683</v>
      </c>
      <c r="H154" s="14">
        <v>1625</v>
      </c>
    </row>
    <row r="155" spans="1:8" ht="15.75" x14ac:dyDescent="0.25">
      <c r="A155" s="4">
        <v>44600</v>
      </c>
      <c r="B155" s="5">
        <v>995377.27800000005</v>
      </c>
      <c r="C155" s="5">
        <f t="shared" si="17"/>
        <v>2598.4520000000484</v>
      </c>
      <c r="D155" s="6">
        <f t="shared" si="18"/>
        <v>108.26883333333535</v>
      </c>
      <c r="G155" s="13">
        <f>SUM(G148:G154)</f>
        <v>13437.552999999956</v>
      </c>
      <c r="H155" s="36">
        <f>SUM(H148:H154)</f>
        <v>12601.9555</v>
      </c>
    </row>
    <row r="156" spans="1:8" ht="15.75" x14ac:dyDescent="0.25">
      <c r="A156" s="4">
        <v>44601</v>
      </c>
      <c r="B156" s="5">
        <v>998034.51399999997</v>
      </c>
      <c r="C156" s="5">
        <f t="shared" si="17"/>
        <v>2657.2359999999171</v>
      </c>
      <c r="D156" s="6">
        <f t="shared" si="18"/>
        <v>110.71816666666321</v>
      </c>
    </row>
    <row r="157" spans="1:8" ht="15.75" x14ac:dyDescent="0.25">
      <c r="A157" s="4">
        <v>44602</v>
      </c>
      <c r="B157" s="5">
        <v>737.43</v>
      </c>
      <c r="C157" s="5">
        <f>B157+(1000000-B156)</f>
        <v>2702.9160000000334</v>
      </c>
      <c r="D157" s="6">
        <f t="shared" si="18"/>
        <v>112.62150000000139</v>
      </c>
    </row>
    <row r="158" spans="1:8" ht="15.75" x14ac:dyDescent="0.25">
      <c r="A158" s="4">
        <v>44603</v>
      </c>
      <c r="B158" s="5">
        <v>2741</v>
      </c>
      <c r="C158" s="5">
        <f>B158-B157</f>
        <v>2003.5700000000002</v>
      </c>
      <c r="D158" s="6">
        <f t="shared" si="18"/>
        <v>83.482083333333335</v>
      </c>
    </row>
    <row r="159" spans="1:8" ht="15.75" x14ac:dyDescent="0.25">
      <c r="A159" s="4">
        <v>44604</v>
      </c>
      <c r="B159" s="5">
        <v>4574</v>
      </c>
      <c r="C159" s="5">
        <f t="shared" si="17"/>
        <v>1833</v>
      </c>
      <c r="D159" s="6">
        <f t="shared" si="18"/>
        <v>76.375</v>
      </c>
      <c r="F159" s="10" t="s">
        <v>0</v>
      </c>
      <c r="G159" s="10" t="s">
        <v>27</v>
      </c>
      <c r="H159" s="11" t="s">
        <v>9</v>
      </c>
    </row>
    <row r="160" spans="1:8" ht="15.75" x14ac:dyDescent="0.25">
      <c r="A160" s="4">
        <v>44605</v>
      </c>
      <c r="B160" s="7">
        <v>6040.0230000000001</v>
      </c>
      <c r="C160" s="5">
        <f t="shared" si="17"/>
        <v>1466.0230000000001</v>
      </c>
      <c r="D160" s="6">
        <f t="shared" si="18"/>
        <v>61.084291666666672</v>
      </c>
      <c r="F160" s="12">
        <v>44619</v>
      </c>
      <c r="G160" s="13">
        <f>C174</f>
        <v>1241.5120000000024</v>
      </c>
      <c r="H160" s="14">
        <f>'[4]февраль 2022г'!$D$85</f>
        <v>1805.5909999999999</v>
      </c>
    </row>
    <row r="161" spans="1:8" ht="15.75" x14ac:dyDescent="0.25">
      <c r="A161" s="4">
        <v>44606</v>
      </c>
      <c r="B161" s="7">
        <v>7736.5630000000001</v>
      </c>
      <c r="C161" s="5">
        <f t="shared" si="17"/>
        <v>1696.54</v>
      </c>
      <c r="D161" s="6">
        <f t="shared" si="18"/>
        <v>70.689166666666665</v>
      </c>
      <c r="F161" s="12">
        <v>44620</v>
      </c>
      <c r="G161" s="13">
        <f>C175</f>
        <v>1110.6289999999972</v>
      </c>
      <c r="H161" s="14">
        <f>'[4]февраль 2022г'!$D$88</f>
        <v>1671.816</v>
      </c>
    </row>
    <row r="162" spans="1:8" ht="15.75" x14ac:dyDescent="0.25">
      <c r="A162" s="4">
        <v>44607</v>
      </c>
      <c r="B162" s="7">
        <v>9492.759</v>
      </c>
      <c r="C162" s="5">
        <f t="shared" si="17"/>
        <v>1756.1959999999999</v>
      </c>
      <c r="D162" s="6">
        <f t="shared" si="18"/>
        <v>73.174833333333325</v>
      </c>
      <c r="F162" s="12">
        <v>44621</v>
      </c>
      <c r="G162" s="13">
        <f>C182</f>
        <v>1538.4720000000016</v>
      </c>
      <c r="H162" s="14">
        <f>'[5]МАРТ 2022г'!$D$7</f>
        <v>1714.2809999999999</v>
      </c>
    </row>
    <row r="163" spans="1:8" ht="15.75" x14ac:dyDescent="0.25">
      <c r="A163" s="4">
        <v>44608</v>
      </c>
      <c r="B163" s="7">
        <v>11233.187</v>
      </c>
      <c r="C163" s="5">
        <f t="shared" si="17"/>
        <v>1740.4279999999999</v>
      </c>
      <c r="D163" s="6">
        <f t="shared" si="18"/>
        <v>72.517833333333328</v>
      </c>
      <c r="F163" s="12">
        <v>44622</v>
      </c>
      <c r="G163" s="13">
        <f>C183</f>
        <v>1471.9679999999971</v>
      </c>
      <c r="H163" s="14">
        <f>'[5]МАРТ 2022г'!$D$10</f>
        <v>1528.23</v>
      </c>
    </row>
    <row r="164" spans="1:8" ht="15.75" x14ac:dyDescent="0.25">
      <c r="A164" s="4">
        <v>44609</v>
      </c>
      <c r="B164" s="7">
        <v>13023.883</v>
      </c>
      <c r="C164" s="5">
        <f t="shared" si="17"/>
        <v>1790.6959999999999</v>
      </c>
      <c r="D164" s="6">
        <f t="shared" si="18"/>
        <v>74.612333333333325</v>
      </c>
      <c r="F164" s="12">
        <v>44623</v>
      </c>
      <c r="G164" s="13">
        <f>C184</f>
        <v>1707.1840000000011</v>
      </c>
      <c r="H164" s="14">
        <f>'[5]МАРТ 2022г'!$D$13</f>
        <v>1771.9594999999999</v>
      </c>
    </row>
    <row r="165" spans="1:8" ht="15.75" x14ac:dyDescent="0.25">
      <c r="A165" s="4">
        <v>44610</v>
      </c>
      <c r="B165" s="7">
        <v>15155.923000000001</v>
      </c>
      <c r="C165" s="5">
        <f t="shared" si="17"/>
        <v>2132.0400000000009</v>
      </c>
      <c r="D165" s="6">
        <f t="shared" si="18"/>
        <v>88.835000000000036</v>
      </c>
      <c r="F165" s="12">
        <v>44624</v>
      </c>
      <c r="G165" s="13">
        <f>C185</f>
        <v>1067.2839999999997</v>
      </c>
      <c r="H165" s="14">
        <f>'[5]МАРТ 2022г'!$D$16</f>
        <v>1411.251</v>
      </c>
    </row>
    <row r="166" spans="1:8" ht="15.75" x14ac:dyDescent="0.25">
      <c r="A166" s="4">
        <v>44611</v>
      </c>
      <c r="B166" s="7">
        <v>17908.740000000002</v>
      </c>
      <c r="C166" s="5">
        <f>B166-B165</f>
        <v>2752.8170000000009</v>
      </c>
      <c r="D166" s="6">
        <f t="shared" si="18"/>
        <v>114.70070833333337</v>
      </c>
      <c r="F166" s="12">
        <v>44625</v>
      </c>
      <c r="G166" s="13">
        <f>C186</f>
        <v>1973.6560000000027</v>
      </c>
      <c r="H166" s="14">
        <f>'[6]МАРТ 2022г'!$D$19</f>
        <v>1506.548</v>
      </c>
    </row>
    <row r="167" spans="1:8" ht="15.75" x14ac:dyDescent="0.25">
      <c r="A167" s="4">
        <v>44612</v>
      </c>
      <c r="B167" s="7">
        <v>20047.295999999998</v>
      </c>
      <c r="C167" s="5">
        <f t="shared" ref="C167:C175" si="19">B167-B166</f>
        <v>2138.5559999999969</v>
      </c>
      <c r="D167" s="6">
        <f t="shared" si="18"/>
        <v>89.106499999999869</v>
      </c>
      <c r="G167" s="13">
        <f>SUM(G160:G166)</f>
        <v>10110.705000000002</v>
      </c>
      <c r="H167" s="36">
        <f>SUM(H160:H166)</f>
        <v>11409.6765</v>
      </c>
    </row>
    <row r="168" spans="1:8" ht="15.75" x14ac:dyDescent="0.25">
      <c r="A168" s="4">
        <v>44613</v>
      </c>
      <c r="B168" s="7">
        <v>21515.383999999998</v>
      </c>
      <c r="C168" s="5">
        <f t="shared" si="19"/>
        <v>1468.0879999999997</v>
      </c>
      <c r="D168" s="6">
        <f t="shared" si="18"/>
        <v>61.170333333333325</v>
      </c>
    </row>
    <row r="169" spans="1:8" ht="15.75" x14ac:dyDescent="0.25">
      <c r="A169" s="4">
        <v>44614</v>
      </c>
      <c r="B169" s="7">
        <v>22789.916000000001</v>
      </c>
      <c r="C169" s="5">
        <f t="shared" si="19"/>
        <v>1274.5320000000029</v>
      </c>
      <c r="D169" s="6">
        <f t="shared" si="18"/>
        <v>53.10550000000012</v>
      </c>
    </row>
    <row r="170" spans="1:8" ht="15.75" x14ac:dyDescent="0.25">
      <c r="A170" s="4">
        <v>44615</v>
      </c>
      <c r="B170" s="7">
        <v>24483.624</v>
      </c>
      <c r="C170" s="5">
        <f t="shared" si="19"/>
        <v>1693.7079999999987</v>
      </c>
      <c r="D170" s="6">
        <f t="shared" si="18"/>
        <v>70.571166666666613</v>
      </c>
    </row>
    <row r="171" spans="1:8" ht="15.75" x14ac:dyDescent="0.25">
      <c r="A171" s="4">
        <v>44616</v>
      </c>
      <c r="B171" s="8">
        <v>25791.547999999999</v>
      </c>
      <c r="C171" s="5">
        <f t="shared" si="19"/>
        <v>1307.9239999999991</v>
      </c>
      <c r="D171" s="6">
        <f t="shared" si="18"/>
        <v>54.496833333333292</v>
      </c>
    </row>
    <row r="172" spans="1:8" ht="15.75" x14ac:dyDescent="0.25">
      <c r="A172" s="4">
        <v>44617</v>
      </c>
      <c r="B172" s="8">
        <v>27123.94</v>
      </c>
      <c r="C172" s="5">
        <f t="shared" si="19"/>
        <v>1332.3919999999998</v>
      </c>
      <c r="D172" s="6">
        <f t="shared" si="18"/>
        <v>55.516333333333328</v>
      </c>
    </row>
    <row r="173" spans="1:8" ht="15.75" x14ac:dyDescent="0.25">
      <c r="A173" s="4">
        <v>44618</v>
      </c>
      <c r="B173" s="7">
        <v>28202.603999999999</v>
      </c>
      <c r="C173" s="5">
        <f t="shared" si="19"/>
        <v>1078.6640000000007</v>
      </c>
      <c r="D173" s="6">
        <f>C173/24</f>
        <v>44.944333333333361</v>
      </c>
    </row>
    <row r="174" spans="1:8" ht="15.75" x14ac:dyDescent="0.25">
      <c r="A174" s="4">
        <v>44619</v>
      </c>
      <c r="B174" s="7">
        <v>29444.116000000002</v>
      </c>
      <c r="C174" s="5">
        <f t="shared" si="19"/>
        <v>1241.5120000000024</v>
      </c>
      <c r="D174" s="6">
        <f>C174/24</f>
        <v>51.729666666666766</v>
      </c>
    </row>
    <row r="175" spans="1:8" ht="15.75" x14ac:dyDescent="0.25">
      <c r="A175" s="4">
        <v>44620</v>
      </c>
      <c r="B175" s="8">
        <v>30554.744999999999</v>
      </c>
      <c r="C175" s="5">
        <f t="shared" si="19"/>
        <v>1110.6289999999972</v>
      </c>
      <c r="D175" s="6">
        <f>C175/24</f>
        <v>46.276208333333216</v>
      </c>
    </row>
    <row r="176" spans="1:8" ht="15.75" x14ac:dyDescent="0.25">
      <c r="A176" s="4"/>
      <c r="B176" s="7"/>
      <c r="C176" s="5">
        <f>SUM(C145:C175)</f>
        <v>51253.500000000015</v>
      </c>
      <c r="D176" s="6"/>
    </row>
    <row r="177" spans="1:11" ht="15.75" x14ac:dyDescent="0.25">
      <c r="A177" s="4"/>
      <c r="B177" s="8"/>
      <c r="C177" s="5"/>
      <c r="D177" s="6"/>
    </row>
    <row r="178" spans="1:11" ht="15.75" x14ac:dyDescent="0.25">
      <c r="A178" s="4"/>
      <c r="B178" s="7"/>
      <c r="C178" s="5"/>
      <c r="D178" s="6"/>
    </row>
    <row r="180" spans="1:11" x14ac:dyDescent="0.25">
      <c r="A180" s="93">
        <v>44621</v>
      </c>
      <c r="B180" s="94"/>
      <c r="C180" s="94"/>
      <c r="D180" s="95"/>
    </row>
    <row r="181" spans="1:11" ht="31.5" x14ac:dyDescent="0.25">
      <c r="A181" s="1" t="s">
        <v>0</v>
      </c>
      <c r="B181" s="2" t="s">
        <v>1</v>
      </c>
      <c r="C181" s="3" t="s">
        <v>2</v>
      </c>
      <c r="D181" s="2" t="s">
        <v>3</v>
      </c>
    </row>
    <row r="182" spans="1:11" ht="15.75" x14ac:dyDescent="0.25">
      <c r="A182" s="4">
        <v>44621</v>
      </c>
      <c r="B182" s="5">
        <v>32093.217000000001</v>
      </c>
      <c r="C182" s="5">
        <f>B182-B175</f>
        <v>1538.4720000000016</v>
      </c>
      <c r="D182" s="6">
        <f>C182/24</f>
        <v>64.103000000000065</v>
      </c>
    </row>
    <row r="183" spans="1:11" ht="15.75" x14ac:dyDescent="0.25">
      <c r="A183" s="4">
        <v>44622</v>
      </c>
      <c r="B183" s="5">
        <v>33565.184999999998</v>
      </c>
      <c r="C183" s="5">
        <f t="shared" ref="C183:C191" si="20">B183-B182</f>
        <v>1471.9679999999971</v>
      </c>
      <c r="D183" s="6">
        <f t="shared" ref="D183:D206" si="21">C183/24</f>
        <v>61.33199999999988</v>
      </c>
    </row>
    <row r="184" spans="1:11" ht="15.75" x14ac:dyDescent="0.25">
      <c r="A184" s="4">
        <v>44623</v>
      </c>
      <c r="B184" s="5">
        <v>35272.368999999999</v>
      </c>
      <c r="C184" s="5">
        <f t="shared" si="20"/>
        <v>1707.1840000000011</v>
      </c>
      <c r="D184" s="6">
        <f t="shared" si="21"/>
        <v>71.132666666666708</v>
      </c>
    </row>
    <row r="185" spans="1:11" ht="15.75" x14ac:dyDescent="0.25">
      <c r="A185" s="4">
        <v>44624</v>
      </c>
      <c r="B185" s="5">
        <v>36339.652999999998</v>
      </c>
      <c r="C185" s="5">
        <f t="shared" si="20"/>
        <v>1067.2839999999997</v>
      </c>
      <c r="D185" s="6">
        <f t="shared" si="21"/>
        <v>44.47016666666665</v>
      </c>
    </row>
    <row r="186" spans="1:11" ht="15.75" x14ac:dyDescent="0.25">
      <c r="A186" s="4">
        <v>44625</v>
      </c>
      <c r="B186" s="5">
        <v>38313.309000000001</v>
      </c>
      <c r="C186" s="5">
        <f t="shared" si="20"/>
        <v>1973.6560000000027</v>
      </c>
      <c r="D186" s="6">
        <f t="shared" si="21"/>
        <v>82.235666666666773</v>
      </c>
    </row>
    <row r="187" spans="1:11" ht="15.75" x14ac:dyDescent="0.25">
      <c r="A187" s="4">
        <v>44626</v>
      </c>
      <c r="B187" s="5">
        <v>39766.985000000001</v>
      </c>
      <c r="C187" s="5">
        <f t="shared" si="20"/>
        <v>1453.6759999999995</v>
      </c>
      <c r="D187" s="6">
        <f t="shared" si="21"/>
        <v>60.569833333333314</v>
      </c>
      <c r="F187" s="12"/>
    </row>
    <row r="188" spans="1:11" ht="15.75" x14ac:dyDescent="0.25">
      <c r="A188" s="4">
        <v>44627</v>
      </c>
      <c r="B188" s="5">
        <v>41352.281000000003</v>
      </c>
      <c r="C188" s="5">
        <f t="shared" si="20"/>
        <v>1585.2960000000021</v>
      </c>
      <c r="D188" s="6">
        <f t="shared" si="21"/>
        <v>66.054000000000087</v>
      </c>
      <c r="F188" s="12"/>
    </row>
    <row r="189" spans="1:11" ht="15.75" x14ac:dyDescent="0.25">
      <c r="A189" s="4">
        <v>44628</v>
      </c>
      <c r="B189" s="5">
        <v>42730.152999999998</v>
      </c>
      <c r="C189" s="5">
        <f t="shared" si="20"/>
        <v>1377.8719999999958</v>
      </c>
      <c r="D189" s="6">
        <f t="shared" si="21"/>
        <v>57.411333333333154</v>
      </c>
      <c r="F189" s="12"/>
    </row>
    <row r="190" spans="1:11" ht="15.75" x14ac:dyDescent="0.25">
      <c r="A190" s="4">
        <v>44629</v>
      </c>
      <c r="B190" s="5">
        <v>44361.101000000002</v>
      </c>
      <c r="C190" s="5">
        <f t="shared" si="20"/>
        <v>1630.948000000004</v>
      </c>
      <c r="D190" s="6">
        <f t="shared" si="21"/>
        <v>67.956166666666832</v>
      </c>
      <c r="F190" s="12"/>
    </row>
    <row r="191" spans="1:11" ht="15.75" x14ac:dyDescent="0.25">
      <c r="A191" s="4">
        <v>44630</v>
      </c>
      <c r="B191" s="5">
        <v>45650.794000000002</v>
      </c>
      <c r="C191" s="5">
        <f t="shared" si="20"/>
        <v>1289.6929999999993</v>
      </c>
      <c r="D191" s="6">
        <f t="shared" si="21"/>
        <v>53.737208333333307</v>
      </c>
      <c r="F191" s="12"/>
    </row>
    <row r="192" spans="1:11" ht="15.75" x14ac:dyDescent="0.25">
      <c r="A192" s="4">
        <v>44631</v>
      </c>
      <c r="B192" s="5">
        <v>47304.925999999999</v>
      </c>
      <c r="C192" s="5">
        <f>B192-B191</f>
        <v>1654.1319999999978</v>
      </c>
      <c r="D192" s="6">
        <f t="shared" si="21"/>
        <v>68.92216666666657</v>
      </c>
      <c r="F192" s="12"/>
      <c r="K192" s="11">
        <v>24542.133999999998</v>
      </c>
    </row>
    <row r="193" spans="1:134" ht="15.75" x14ac:dyDescent="0.25">
      <c r="A193" s="4">
        <v>44632</v>
      </c>
      <c r="B193" s="5">
        <v>49276.381999999998</v>
      </c>
      <c r="C193" s="5">
        <f t="shared" ref="C193:C199" si="22">B193-B192</f>
        <v>1971.4559999999983</v>
      </c>
      <c r="D193" s="6">
        <f t="shared" si="21"/>
        <v>82.143999999999934</v>
      </c>
      <c r="F193" s="12"/>
    </row>
    <row r="194" spans="1:134" ht="15.75" x14ac:dyDescent="0.25">
      <c r="A194" s="4">
        <v>44633</v>
      </c>
      <c r="B194" s="7">
        <v>50944.925999999999</v>
      </c>
      <c r="C194" s="5">
        <f t="shared" si="22"/>
        <v>1668.5440000000017</v>
      </c>
      <c r="D194" s="6">
        <f t="shared" si="21"/>
        <v>69.522666666666737</v>
      </c>
      <c r="G194" s="22"/>
    </row>
    <row r="195" spans="1:134" ht="15.75" x14ac:dyDescent="0.25">
      <c r="A195" s="4">
        <v>44634</v>
      </c>
      <c r="B195" s="7">
        <v>52666.017999999996</v>
      </c>
      <c r="C195" s="5">
        <f t="shared" si="22"/>
        <v>1721.0919999999969</v>
      </c>
      <c r="D195" s="6">
        <f t="shared" si="21"/>
        <v>71.712166666666533</v>
      </c>
    </row>
    <row r="196" spans="1:134" ht="15.75" x14ac:dyDescent="0.25">
      <c r="A196" s="4">
        <v>44635</v>
      </c>
      <c r="B196" s="7">
        <v>54822.79</v>
      </c>
      <c r="C196" s="5">
        <f t="shared" si="22"/>
        <v>2156.7720000000045</v>
      </c>
      <c r="D196" s="6">
        <f t="shared" si="21"/>
        <v>89.865500000000182</v>
      </c>
      <c r="F196" s="63" t="s">
        <v>0</v>
      </c>
      <c r="G196" s="63" t="s">
        <v>41</v>
      </c>
      <c r="H196" s="63" t="s">
        <v>42</v>
      </c>
    </row>
    <row r="197" spans="1:134" ht="15.75" x14ac:dyDescent="0.25">
      <c r="A197" s="4">
        <v>44636</v>
      </c>
      <c r="B197" s="7">
        <v>57048.845999999998</v>
      </c>
      <c r="C197" s="5">
        <f>B197-B196</f>
        <v>2226.0559999999969</v>
      </c>
      <c r="D197" s="6">
        <f t="shared" si="21"/>
        <v>92.752333333333198</v>
      </c>
      <c r="F197" s="61">
        <v>45718</v>
      </c>
      <c r="G197" s="74">
        <v>483.87096774193549</v>
      </c>
      <c r="H197" s="77">
        <v>738.31200000003446</v>
      </c>
    </row>
    <row r="198" spans="1:134" ht="15.75" x14ac:dyDescent="0.25">
      <c r="A198" s="4">
        <v>44637</v>
      </c>
      <c r="B198" s="7">
        <v>58971.377999999997</v>
      </c>
      <c r="C198" s="5">
        <f t="shared" si="22"/>
        <v>1922.5319999999992</v>
      </c>
      <c r="D198" s="6">
        <f t="shared" si="21"/>
        <v>80.105499999999964</v>
      </c>
      <c r="F198" s="61">
        <v>45719</v>
      </c>
      <c r="G198" s="74">
        <v>483.87096774193549</v>
      </c>
      <c r="H198" s="77">
        <v>465.30400000000373</v>
      </c>
      <c r="K198" s="11">
        <v>15324.001</v>
      </c>
      <c r="ED198" s="11">
        <v>107396.378</v>
      </c>
    </row>
    <row r="199" spans="1:134" ht="15.75" x14ac:dyDescent="0.25">
      <c r="A199" s="4">
        <v>44638</v>
      </c>
      <c r="B199" s="7">
        <v>60492.006999999998</v>
      </c>
      <c r="C199" s="5">
        <f t="shared" si="22"/>
        <v>1520.6290000000008</v>
      </c>
      <c r="D199" s="6">
        <f t="shared" si="21"/>
        <v>63.359541666666701</v>
      </c>
      <c r="F199" s="61">
        <v>45720</v>
      </c>
      <c r="G199" s="74">
        <v>483.87096774193549</v>
      </c>
      <c r="H199" s="77">
        <v>2045.5019999999786</v>
      </c>
    </row>
    <row r="200" spans="1:134" ht="15.75" x14ac:dyDescent="0.25">
      <c r="A200" s="4">
        <v>44639</v>
      </c>
      <c r="B200" s="7">
        <v>61504.271000000001</v>
      </c>
      <c r="C200" s="5">
        <f>B200-B199</f>
        <v>1012.2640000000029</v>
      </c>
      <c r="D200" s="6">
        <f t="shared" si="21"/>
        <v>42.177666666666788</v>
      </c>
      <c r="F200" s="61">
        <v>45721</v>
      </c>
      <c r="G200" s="74">
        <v>483.87096774193549</v>
      </c>
      <c r="H200" s="77">
        <v>4207.1500000000233</v>
      </c>
    </row>
    <row r="201" spans="1:134" ht="15.75" x14ac:dyDescent="0.25">
      <c r="A201" s="4">
        <v>44640</v>
      </c>
      <c r="B201" s="7">
        <v>62988.042999999998</v>
      </c>
      <c r="C201" s="5">
        <f t="shared" ref="C201:C212" si="23">B201-B200</f>
        <v>1483.7719999999972</v>
      </c>
      <c r="D201" s="6">
        <f t="shared" si="21"/>
        <v>61.823833333333219</v>
      </c>
      <c r="F201" s="61">
        <v>45722</v>
      </c>
      <c r="G201" s="74">
        <v>483.87096774193549</v>
      </c>
      <c r="H201" s="77">
        <v>3804.5409999999683</v>
      </c>
    </row>
    <row r="202" spans="1:134" ht="20.25" customHeight="1" x14ac:dyDescent="0.25">
      <c r="A202" s="4">
        <v>44641</v>
      </c>
      <c r="B202" s="7">
        <v>65555.323000000004</v>
      </c>
      <c r="C202" s="5">
        <f t="shared" si="23"/>
        <v>2567.2800000000061</v>
      </c>
      <c r="D202" s="6">
        <f t="shared" si="21"/>
        <v>106.97000000000025</v>
      </c>
      <c r="F202" s="61">
        <v>45723</v>
      </c>
      <c r="G202" s="74">
        <v>483.87096774193549</v>
      </c>
      <c r="H202" s="77">
        <v>1318.155999999959</v>
      </c>
      <c r="K202" s="11">
        <v>25362.03</v>
      </c>
    </row>
    <row r="203" spans="1:134" ht="15.75" x14ac:dyDescent="0.25">
      <c r="A203" s="4">
        <v>44642</v>
      </c>
      <c r="B203" s="7">
        <v>68506.058999999994</v>
      </c>
      <c r="C203" s="5">
        <f>B203-B202</f>
        <v>2950.7359999999899</v>
      </c>
      <c r="D203" s="6">
        <f t="shared" si="21"/>
        <v>122.94733333333291</v>
      </c>
      <c r="F203" s="61">
        <v>45724</v>
      </c>
      <c r="G203" s="74">
        <v>483.87096774193549</v>
      </c>
      <c r="H203" s="78">
        <v>397.00400000007357</v>
      </c>
    </row>
    <row r="204" spans="1:134" ht="15.75" x14ac:dyDescent="0.25">
      <c r="A204" s="4">
        <v>44643</v>
      </c>
      <c r="B204" s="7">
        <v>71496.447</v>
      </c>
      <c r="C204" s="5">
        <f t="shared" si="23"/>
        <v>2990.3880000000063</v>
      </c>
      <c r="D204" s="6">
        <f t="shared" si="21"/>
        <v>124.59950000000026</v>
      </c>
      <c r="G204" s="62">
        <f>SUM(G197:G203)</f>
        <v>3387.0967741935488</v>
      </c>
      <c r="H204" s="62">
        <f>SUM(H197:H203)</f>
        <v>12975.969000000041</v>
      </c>
    </row>
    <row r="205" spans="1:134" ht="15.75" x14ac:dyDescent="0.25">
      <c r="A205" s="4">
        <v>44644</v>
      </c>
      <c r="B205" s="8">
        <v>74516.835999999996</v>
      </c>
      <c r="C205" s="5">
        <f t="shared" si="23"/>
        <v>3020.3889999999956</v>
      </c>
      <c r="D205" s="6">
        <f t="shared" si="21"/>
        <v>125.84954166666648</v>
      </c>
      <c r="K205" s="11">
        <v>23240.986000000001</v>
      </c>
    </row>
    <row r="206" spans="1:134" ht="15.75" x14ac:dyDescent="0.25">
      <c r="A206" s="4">
        <v>44645</v>
      </c>
      <c r="B206" s="8">
        <v>77540.356</v>
      </c>
      <c r="C206" s="5">
        <f t="shared" si="23"/>
        <v>3023.5200000000041</v>
      </c>
      <c r="D206" s="6">
        <f t="shared" si="21"/>
        <v>125.98000000000017</v>
      </c>
    </row>
    <row r="207" spans="1:134" ht="15.75" x14ac:dyDescent="0.25">
      <c r="A207" s="4">
        <v>44646</v>
      </c>
      <c r="B207" s="7">
        <v>80456.763999999996</v>
      </c>
      <c r="C207" s="5">
        <f t="shared" si="23"/>
        <v>2916.4079999999958</v>
      </c>
      <c r="D207" s="6">
        <f t="shared" ref="D207:D213" si="24">C207/24</f>
        <v>121.51699999999983</v>
      </c>
      <c r="K207" s="11">
        <v>29782.05</v>
      </c>
    </row>
    <row r="208" spans="1:134" ht="15.75" x14ac:dyDescent="0.25">
      <c r="A208" s="4">
        <v>44647</v>
      </c>
      <c r="B208" s="7">
        <v>83149.399999999994</v>
      </c>
      <c r="C208" s="5">
        <f t="shared" si="23"/>
        <v>2692.6359999999986</v>
      </c>
      <c r="D208" s="6">
        <f t="shared" si="24"/>
        <v>112.19316666666661</v>
      </c>
      <c r="G208" s="11">
        <v>2156.8560000000298</v>
      </c>
      <c r="H208" s="11">
        <v>14872.394</v>
      </c>
    </row>
    <row r="209" spans="1:154" ht="15.75" x14ac:dyDescent="0.25">
      <c r="A209" s="4">
        <v>44648</v>
      </c>
      <c r="B209" s="8">
        <v>86103.676000000007</v>
      </c>
      <c r="C209" s="5">
        <f t="shared" si="23"/>
        <v>2954.2760000000126</v>
      </c>
      <c r="D209" s="6">
        <f t="shared" si="24"/>
        <v>123.09483333333385</v>
      </c>
    </row>
    <row r="210" spans="1:154" ht="15.75" x14ac:dyDescent="0.25">
      <c r="A210" s="4">
        <v>44649</v>
      </c>
      <c r="B210" s="7">
        <v>87581.548999999999</v>
      </c>
      <c r="C210" s="5">
        <f t="shared" si="23"/>
        <v>1477.8729999999923</v>
      </c>
      <c r="D210" s="6">
        <f t="shared" si="24"/>
        <v>61.578041666666344</v>
      </c>
    </row>
    <row r="211" spans="1:154" ht="15.75" x14ac:dyDescent="0.25">
      <c r="A211" s="4">
        <v>44650</v>
      </c>
      <c r="B211" s="8">
        <v>89092.365000000005</v>
      </c>
      <c r="C211" s="5">
        <f t="shared" si="23"/>
        <v>1510.8160000000062</v>
      </c>
      <c r="D211" s="6">
        <f t="shared" si="24"/>
        <v>62.950666666666926</v>
      </c>
    </row>
    <row r="212" spans="1:154" ht="15.75" hidden="1" x14ac:dyDescent="0.25">
      <c r="A212" s="4">
        <v>44651</v>
      </c>
      <c r="B212" s="7">
        <v>91845.092999999993</v>
      </c>
      <c r="C212" s="5">
        <f t="shared" si="23"/>
        <v>2752.7279999999882</v>
      </c>
      <c r="D212" s="6">
        <f t="shared" si="24"/>
        <v>114.69699999999951</v>
      </c>
    </row>
    <row r="213" spans="1:154" ht="15.75" hidden="1" x14ac:dyDescent="0.25">
      <c r="C213" s="5">
        <f>SUM(C182:C212)</f>
        <v>61290.347999999998</v>
      </c>
      <c r="D213" s="6">
        <f t="shared" si="24"/>
        <v>2553.7644999999998</v>
      </c>
    </row>
    <row r="214" spans="1:154" hidden="1" x14ac:dyDescent="0.25"/>
    <row r="215" spans="1:154" ht="14.45" hidden="1" customHeight="1" x14ac:dyDescent="0.25"/>
    <row r="216" spans="1:154" hidden="1" x14ac:dyDescent="0.25">
      <c r="A216" s="93">
        <v>44652</v>
      </c>
      <c r="B216" s="94"/>
      <c r="C216" s="94"/>
      <c r="D216" s="95"/>
    </row>
    <row r="217" spans="1:154" s="37" customFormat="1" ht="31.5" hidden="1" x14ac:dyDescent="0.4">
      <c r="A217" s="15" t="s">
        <v>0</v>
      </c>
      <c r="B217" s="16" t="s">
        <v>1</v>
      </c>
      <c r="C217" s="17" t="s">
        <v>2</v>
      </c>
      <c r="D217" s="16" t="s">
        <v>3</v>
      </c>
      <c r="G217" s="38"/>
      <c r="EV217" s="70"/>
      <c r="EW217" s="70"/>
      <c r="EX217" s="70"/>
    </row>
    <row r="218" spans="1:154" ht="15.75" hidden="1" x14ac:dyDescent="0.25">
      <c r="A218" s="4">
        <v>44652</v>
      </c>
      <c r="B218" s="5">
        <v>94208.157000000007</v>
      </c>
      <c r="C218" s="5">
        <f>B218-B212</f>
        <v>2363.064000000013</v>
      </c>
      <c r="D218" s="6">
        <f>C218/24</f>
        <v>98.461000000000539</v>
      </c>
      <c r="F218" s="39" t="s">
        <v>0</v>
      </c>
      <c r="G218" s="39" t="s">
        <v>27</v>
      </c>
      <c r="H218" s="39" t="s">
        <v>9</v>
      </c>
    </row>
    <row r="219" spans="1:154" ht="15.75" hidden="1" x14ac:dyDescent="0.25">
      <c r="A219" s="4">
        <v>44653</v>
      </c>
      <c r="B219" s="5">
        <v>96428.129000000001</v>
      </c>
      <c r="C219" s="5">
        <f>B219-B218</f>
        <v>2219.9719999999943</v>
      </c>
      <c r="D219" s="6">
        <f t="shared" ref="D219:D242" si="25">C219/24</f>
        <v>92.498833333333096</v>
      </c>
      <c r="F219" s="40">
        <v>44689</v>
      </c>
      <c r="G219" s="41">
        <v>1408.2479999999923</v>
      </c>
      <c r="H219" s="42">
        <f>'[7]МАЙ 2022г'!$D$28</f>
        <v>2149.2690000000002</v>
      </c>
    </row>
    <row r="220" spans="1:154" ht="15.75" hidden="1" x14ac:dyDescent="0.25">
      <c r="A220" s="4">
        <v>44654</v>
      </c>
      <c r="B220" s="5">
        <v>97137.832999999999</v>
      </c>
      <c r="C220" s="5">
        <f>B220-B219</f>
        <v>709.7039999999979</v>
      </c>
      <c r="D220" s="6">
        <f t="shared" si="25"/>
        <v>29.570999999999913</v>
      </c>
      <c r="F220" s="40">
        <v>44690</v>
      </c>
      <c r="G220" s="41">
        <v>1431.7320000000036</v>
      </c>
      <c r="H220" s="42">
        <f>'[7]МАЙ 2022г'!$D$31</f>
        <v>1905.875</v>
      </c>
    </row>
    <row r="221" spans="1:154" ht="15.75" hidden="1" x14ac:dyDescent="0.25">
      <c r="A221" s="4">
        <v>44655</v>
      </c>
      <c r="B221" s="5">
        <v>98136.968999999997</v>
      </c>
      <c r="C221" s="5">
        <f t="shared" ref="C221:C227" si="26">B221-B220</f>
        <v>999.1359999999986</v>
      </c>
      <c r="D221" s="6">
        <f t="shared" si="25"/>
        <v>41.630666666666606</v>
      </c>
      <c r="F221" s="40">
        <v>44691</v>
      </c>
      <c r="G221" s="41">
        <v>2233.1679999999906</v>
      </c>
      <c r="H221" s="42">
        <f>'[7]МАЙ 2022г'!$D$34</f>
        <v>2159.6350000000002</v>
      </c>
    </row>
    <row r="222" spans="1:154" ht="15.75" hidden="1" x14ac:dyDescent="0.25">
      <c r="A222" s="4">
        <v>44656</v>
      </c>
      <c r="B222" s="5">
        <v>98709.404999999999</v>
      </c>
      <c r="C222" s="5">
        <f t="shared" si="26"/>
        <v>572.43600000000151</v>
      </c>
      <c r="D222" s="6">
        <f t="shared" si="25"/>
        <v>23.851500000000062</v>
      </c>
      <c r="F222" s="40">
        <v>44692</v>
      </c>
      <c r="G222" s="41">
        <v>1350.6040000000212</v>
      </c>
      <c r="H222" s="42">
        <f>'[7]МАЙ 2022г'!$D$37</f>
        <v>1998.462</v>
      </c>
    </row>
    <row r="223" spans="1:154" ht="15.75" hidden="1" x14ac:dyDescent="0.25">
      <c r="A223" s="4">
        <v>44657</v>
      </c>
      <c r="B223" s="5">
        <v>98896.777000000002</v>
      </c>
      <c r="C223" s="5">
        <f t="shared" si="26"/>
        <v>187.37200000000303</v>
      </c>
      <c r="D223" s="6">
        <f t="shared" si="25"/>
        <v>7.8071666666667925</v>
      </c>
      <c r="F223" s="40">
        <v>44693</v>
      </c>
      <c r="G223" s="41">
        <v>204.05999999999767</v>
      </c>
      <c r="H223" s="42">
        <f>'[7]МАЙ 2022г'!$D$40</f>
        <v>1071.6179999999999</v>
      </c>
    </row>
    <row r="224" spans="1:154" ht="15.75" hidden="1" x14ac:dyDescent="0.25">
      <c r="A224" s="4">
        <v>44658</v>
      </c>
      <c r="B224" s="5">
        <v>98919.120999999999</v>
      </c>
      <c r="C224" s="5">
        <f t="shared" si="26"/>
        <v>22.343999999997322</v>
      </c>
      <c r="D224" s="6">
        <f t="shared" si="25"/>
        <v>0.93099999999988847</v>
      </c>
      <c r="F224" s="40">
        <v>44694</v>
      </c>
      <c r="G224" s="41">
        <v>0</v>
      </c>
      <c r="H224" s="42">
        <v>0</v>
      </c>
    </row>
    <row r="225" spans="1:8" ht="15.75" hidden="1" x14ac:dyDescent="0.25">
      <c r="A225" s="4">
        <v>44659</v>
      </c>
      <c r="B225" s="5">
        <v>99039.544999999998</v>
      </c>
      <c r="C225" s="5">
        <f t="shared" si="26"/>
        <v>120.42399999999907</v>
      </c>
      <c r="D225" s="6">
        <f t="shared" si="25"/>
        <v>5.0176666666666279</v>
      </c>
      <c r="F225" s="40">
        <v>44695</v>
      </c>
      <c r="G225" s="41">
        <v>0</v>
      </c>
      <c r="H225" s="42">
        <v>0</v>
      </c>
    </row>
    <row r="226" spans="1:8" ht="15.75" hidden="1" x14ac:dyDescent="0.25">
      <c r="A226" s="4">
        <v>44660</v>
      </c>
      <c r="B226" s="5">
        <v>99238.725000000006</v>
      </c>
      <c r="C226" s="5">
        <f t="shared" si="26"/>
        <v>199.18000000000757</v>
      </c>
      <c r="D226" s="6">
        <f t="shared" si="25"/>
        <v>8.2991666666669826</v>
      </c>
      <c r="F226" s="40">
        <v>44710</v>
      </c>
      <c r="G226" s="41">
        <v>0</v>
      </c>
      <c r="H226" s="18">
        <v>439</v>
      </c>
    </row>
    <row r="227" spans="1:8" ht="15.75" hidden="1" x14ac:dyDescent="0.25">
      <c r="A227" s="4">
        <v>44661</v>
      </c>
      <c r="B227" s="5">
        <v>99402.505000000005</v>
      </c>
      <c r="C227" s="5">
        <f t="shared" si="26"/>
        <v>163.77999999999884</v>
      </c>
      <c r="D227" s="6">
        <f t="shared" si="25"/>
        <v>6.8241666666666179</v>
      </c>
      <c r="F227" s="40">
        <v>44711</v>
      </c>
      <c r="G227" s="41">
        <v>0</v>
      </c>
      <c r="H227" s="18">
        <v>638</v>
      </c>
    </row>
    <row r="228" spans="1:8" ht="15.75" hidden="1" x14ac:dyDescent="0.25">
      <c r="A228" s="4">
        <v>44662</v>
      </c>
      <c r="B228" s="5">
        <v>99402.505000000005</v>
      </c>
      <c r="C228" s="5">
        <f>B228-B227</f>
        <v>0</v>
      </c>
      <c r="D228" s="6">
        <f t="shared" si="25"/>
        <v>0</v>
      </c>
      <c r="F228" s="40">
        <v>44712</v>
      </c>
      <c r="G228" s="41">
        <v>0</v>
      </c>
      <c r="H228" s="18">
        <v>634</v>
      </c>
    </row>
    <row r="229" spans="1:8" ht="15.75" hidden="1" x14ac:dyDescent="0.25">
      <c r="A229" s="4">
        <v>44663</v>
      </c>
      <c r="B229" s="5">
        <v>99579.801000000007</v>
      </c>
      <c r="C229" s="5">
        <f t="shared" ref="C229:C235" si="27">B229-B228</f>
        <v>177.2960000000021</v>
      </c>
      <c r="D229" s="6">
        <f t="shared" si="25"/>
        <v>7.3873333333334203</v>
      </c>
      <c r="F229" s="40"/>
      <c r="G229" s="41"/>
      <c r="H229" s="18"/>
    </row>
    <row r="230" spans="1:8" ht="15.75" hidden="1" x14ac:dyDescent="0.25">
      <c r="A230" s="4">
        <v>44664</v>
      </c>
      <c r="B230" s="7">
        <v>99774.236999999994</v>
      </c>
      <c r="C230" s="5">
        <f t="shared" si="27"/>
        <v>194.43599999998696</v>
      </c>
      <c r="D230" s="6">
        <f t="shared" si="25"/>
        <v>8.1014999999994561</v>
      </c>
      <c r="F230" s="40"/>
      <c r="G230" s="41"/>
      <c r="H230" s="18"/>
    </row>
    <row r="231" spans="1:8" ht="15.75" hidden="1" x14ac:dyDescent="0.25">
      <c r="A231" s="4">
        <v>44665</v>
      </c>
      <c r="B231" s="7">
        <v>99962.748999999996</v>
      </c>
      <c r="C231" s="5">
        <f t="shared" si="27"/>
        <v>188.51200000000244</v>
      </c>
      <c r="D231" s="6">
        <f t="shared" si="25"/>
        <v>7.8546666666667688</v>
      </c>
      <c r="F231" s="40"/>
      <c r="G231" s="41"/>
      <c r="H231" s="18"/>
    </row>
    <row r="232" spans="1:8" ht="15.75" hidden="1" x14ac:dyDescent="0.25">
      <c r="A232" s="4">
        <v>44666</v>
      </c>
      <c r="B232" s="7">
        <v>101967.594</v>
      </c>
      <c r="C232" s="5">
        <f t="shared" si="27"/>
        <v>2004.8450000000012</v>
      </c>
      <c r="D232" s="6">
        <f t="shared" si="25"/>
        <v>83.535208333333387</v>
      </c>
      <c r="F232" s="40"/>
      <c r="G232" s="10"/>
      <c r="H232" s="18"/>
    </row>
    <row r="233" spans="1:8" ht="15.75" hidden="1" x14ac:dyDescent="0.25">
      <c r="A233" s="4">
        <v>44667</v>
      </c>
      <c r="B233" s="7">
        <v>103140.622</v>
      </c>
      <c r="C233" s="5">
        <f t="shared" si="27"/>
        <v>1173.0280000000057</v>
      </c>
      <c r="D233" s="6">
        <f t="shared" si="25"/>
        <v>48.876166666666904</v>
      </c>
      <c r="F233" s="40"/>
      <c r="G233" s="10"/>
      <c r="H233" s="10"/>
    </row>
    <row r="234" spans="1:8" ht="15.75" hidden="1" x14ac:dyDescent="0.25">
      <c r="A234" s="4">
        <v>44668</v>
      </c>
      <c r="B234" s="7">
        <v>103952.526</v>
      </c>
      <c r="C234" s="5">
        <f t="shared" si="27"/>
        <v>811.90399999999499</v>
      </c>
      <c r="D234" s="6">
        <f t="shared" si="25"/>
        <v>33.829333333333125</v>
      </c>
      <c r="F234" s="40"/>
    </row>
    <row r="235" spans="1:8" ht="15.75" hidden="1" x14ac:dyDescent="0.25">
      <c r="A235" s="4">
        <v>44669</v>
      </c>
      <c r="B235" s="7">
        <v>105103.05</v>
      </c>
      <c r="C235" s="5">
        <f t="shared" si="27"/>
        <v>1150.5240000000049</v>
      </c>
      <c r="D235" s="6">
        <f t="shared" si="25"/>
        <v>47.938500000000204</v>
      </c>
      <c r="F235" s="40"/>
    </row>
    <row r="236" spans="1:8" ht="15.75" hidden="1" x14ac:dyDescent="0.25">
      <c r="A236" s="4">
        <v>44670</v>
      </c>
      <c r="B236" s="7">
        <v>105641.522</v>
      </c>
      <c r="C236" s="5">
        <f>B236-B235</f>
        <v>538.4719999999943</v>
      </c>
      <c r="D236" s="6">
        <f t="shared" si="25"/>
        <v>22.436333333333096</v>
      </c>
      <c r="F236" s="40"/>
    </row>
    <row r="237" spans="1:8" ht="15.75" hidden="1" x14ac:dyDescent="0.25">
      <c r="A237" s="4">
        <v>44671</v>
      </c>
      <c r="B237" s="7">
        <v>106105.92200000001</v>
      </c>
      <c r="C237" s="5">
        <f t="shared" ref="C237:C248" si="28">B237-B236</f>
        <v>464.40000000000873</v>
      </c>
      <c r="D237" s="6">
        <f t="shared" si="25"/>
        <v>19.350000000000364</v>
      </c>
      <c r="F237" s="40"/>
    </row>
    <row r="238" spans="1:8" ht="15.75" hidden="1" x14ac:dyDescent="0.25">
      <c r="A238" s="4">
        <v>44672</v>
      </c>
      <c r="B238" s="7">
        <v>106105.92200000001</v>
      </c>
      <c r="C238" s="5">
        <f t="shared" si="28"/>
        <v>0</v>
      </c>
      <c r="D238" s="6">
        <f t="shared" si="25"/>
        <v>0</v>
      </c>
      <c r="F238" s="40"/>
    </row>
    <row r="239" spans="1:8" ht="15.75" hidden="1" x14ac:dyDescent="0.25">
      <c r="A239" s="4">
        <v>44673</v>
      </c>
      <c r="B239" s="7">
        <v>106459.89</v>
      </c>
      <c r="C239" s="5">
        <f t="shared" si="28"/>
        <v>353.96799999999348</v>
      </c>
      <c r="D239" s="6">
        <f t="shared" si="25"/>
        <v>14.748666666666395</v>
      </c>
      <c r="F239" s="40"/>
    </row>
    <row r="240" spans="1:8" ht="15.75" hidden="1" x14ac:dyDescent="0.25">
      <c r="A240" s="4">
        <v>44674</v>
      </c>
      <c r="B240" s="7">
        <v>107288.338</v>
      </c>
      <c r="C240" s="5">
        <f t="shared" si="28"/>
        <v>828.44800000000396</v>
      </c>
      <c r="D240" s="6">
        <f t="shared" si="25"/>
        <v>34.518666666666832</v>
      </c>
      <c r="F240" s="40"/>
    </row>
    <row r="241" spans="1:154" ht="15.75" hidden="1" x14ac:dyDescent="0.25">
      <c r="A241" s="4">
        <v>44675</v>
      </c>
      <c r="B241" s="8">
        <v>108073.00599999999</v>
      </c>
      <c r="C241" s="5">
        <f t="shared" si="28"/>
        <v>784.66799999999057</v>
      </c>
      <c r="D241" s="6">
        <f t="shared" si="25"/>
        <v>32.694499999999607</v>
      </c>
      <c r="F241" s="40"/>
    </row>
    <row r="242" spans="1:154" ht="15.75" hidden="1" x14ac:dyDescent="0.25">
      <c r="A242" s="4">
        <v>44676</v>
      </c>
      <c r="B242" s="8">
        <v>109044.99800000001</v>
      </c>
      <c r="C242" s="5">
        <f t="shared" si="28"/>
        <v>971.99200000001292</v>
      </c>
      <c r="D242" s="6">
        <f t="shared" si="25"/>
        <v>40.499666666667203</v>
      </c>
      <c r="F242" s="40"/>
    </row>
    <row r="243" spans="1:154" ht="15.75" hidden="1" x14ac:dyDescent="0.25">
      <c r="A243" s="4"/>
      <c r="B243" s="8"/>
      <c r="C243" s="5"/>
      <c r="D243" s="6"/>
      <c r="F243" s="40"/>
    </row>
    <row r="244" spans="1:154" ht="15.75" hidden="1" x14ac:dyDescent="0.25">
      <c r="A244" s="4">
        <v>44677</v>
      </c>
      <c r="B244" s="7">
        <v>109884.77800000001</v>
      </c>
      <c r="C244" s="5">
        <f>B244-B242</f>
        <v>839.77999999999884</v>
      </c>
      <c r="D244" s="6">
        <f t="shared" ref="D244:D250" si="29">C244/24</f>
        <v>34.990833333333285</v>
      </c>
    </row>
    <row r="245" spans="1:154" ht="15.75" hidden="1" x14ac:dyDescent="0.25">
      <c r="A245" s="4">
        <v>44678</v>
      </c>
      <c r="B245" s="7">
        <v>111003.70699999999</v>
      </c>
      <c r="C245" s="5">
        <f t="shared" si="28"/>
        <v>1118.9289999999892</v>
      </c>
      <c r="D245" s="6">
        <f t="shared" si="29"/>
        <v>46.622041666666213</v>
      </c>
      <c r="F245" s="39"/>
      <c r="G245" s="39"/>
      <c r="H245" s="39"/>
    </row>
    <row r="246" spans="1:154" ht="15.75" hidden="1" x14ac:dyDescent="0.25">
      <c r="A246" s="4">
        <v>44679</v>
      </c>
      <c r="B246" s="8">
        <v>112853.33100000001</v>
      </c>
      <c r="C246" s="5">
        <f t="shared" si="28"/>
        <v>1849.6240000000107</v>
      </c>
      <c r="D246" s="6">
        <f t="shared" si="29"/>
        <v>77.067666666667108</v>
      </c>
      <c r="F246" s="40"/>
      <c r="G246" s="20"/>
      <c r="H246" s="42"/>
    </row>
    <row r="247" spans="1:154" ht="15.75" hidden="1" x14ac:dyDescent="0.25">
      <c r="A247" s="4">
        <v>44680</v>
      </c>
      <c r="B247" s="7">
        <v>114593.571</v>
      </c>
      <c r="C247" s="5">
        <f t="shared" si="28"/>
        <v>1740.2399999999907</v>
      </c>
      <c r="D247" s="6">
        <f t="shared" si="29"/>
        <v>72.509999999999607</v>
      </c>
      <c r="F247" s="40"/>
      <c r="G247" s="20"/>
      <c r="H247" s="42"/>
    </row>
    <row r="248" spans="1:154" ht="15.75" hidden="1" x14ac:dyDescent="0.25">
      <c r="A248" s="4">
        <v>44681</v>
      </c>
      <c r="B248" s="8">
        <v>116245.447</v>
      </c>
      <c r="C248" s="5">
        <f t="shared" si="28"/>
        <v>1651.8760000000038</v>
      </c>
      <c r="D248" s="6">
        <f t="shared" si="29"/>
        <v>68.828166666666831</v>
      </c>
      <c r="F248" s="40"/>
      <c r="G248" s="20"/>
      <c r="H248" s="42"/>
    </row>
    <row r="249" spans="1:154" ht="15.75" hidden="1" x14ac:dyDescent="0.25">
      <c r="A249" s="4"/>
      <c r="B249" s="7"/>
      <c r="C249" s="5">
        <f>SUM(C218:C248)</f>
        <v>24400.354000000007</v>
      </c>
      <c r="D249" s="6">
        <f t="shared" si="29"/>
        <v>1016.6814166666669</v>
      </c>
      <c r="F249" s="40"/>
      <c r="G249" s="20"/>
      <c r="H249" s="42"/>
    </row>
    <row r="250" spans="1:154" ht="15.75" hidden="1" x14ac:dyDescent="0.25">
      <c r="C250" s="5">
        <f>SUM(C218:C249)</f>
        <v>48800.708000000013</v>
      </c>
      <c r="D250" s="6">
        <f t="shared" si="29"/>
        <v>2033.3628333333338</v>
      </c>
      <c r="F250" s="40"/>
      <c r="G250" s="20"/>
      <c r="H250" s="42"/>
    </row>
    <row r="251" spans="1:154" ht="10.9" hidden="1" customHeight="1" x14ac:dyDescent="0.25">
      <c r="F251" s="40"/>
      <c r="G251" s="20"/>
      <c r="H251" s="42"/>
    </row>
    <row r="252" spans="1:154" hidden="1" x14ac:dyDescent="0.25">
      <c r="F252" s="40"/>
      <c r="G252" s="20"/>
      <c r="H252" s="42"/>
    </row>
    <row r="253" spans="1:154" s="37" customFormat="1" hidden="1" x14ac:dyDescent="0.25">
      <c r="F253" s="43"/>
      <c r="G253" s="44"/>
      <c r="H253" s="45"/>
      <c r="EV253" s="70"/>
      <c r="EW253" s="70"/>
      <c r="EX253" s="70"/>
    </row>
    <row r="254" spans="1:154" hidden="1" x14ac:dyDescent="0.25">
      <c r="A254" s="90">
        <v>44682</v>
      </c>
      <c r="B254" s="91"/>
      <c r="C254" s="91"/>
      <c r="D254" s="92"/>
      <c r="F254" s="43"/>
      <c r="G254" s="44"/>
      <c r="H254" s="45"/>
      <c r="I254" s="51"/>
    </row>
    <row r="255" spans="1:154" ht="31.5" hidden="1" x14ac:dyDescent="0.25">
      <c r="A255" s="1" t="s">
        <v>0</v>
      </c>
      <c r="B255" s="2" t="s">
        <v>1</v>
      </c>
      <c r="C255" s="3" t="s">
        <v>2</v>
      </c>
      <c r="D255" s="2" t="s">
        <v>3</v>
      </c>
      <c r="F255" s="43"/>
      <c r="G255" s="44"/>
      <c r="H255" s="45"/>
    </row>
    <row r="256" spans="1:154" ht="15.75" hidden="1" x14ac:dyDescent="0.25">
      <c r="A256" s="4">
        <v>44682</v>
      </c>
      <c r="B256" s="5">
        <v>117489.531</v>
      </c>
      <c r="C256" s="5">
        <f>B256-B248</f>
        <v>1244.0840000000026</v>
      </c>
      <c r="D256" s="6">
        <f>C256/24</f>
        <v>51.836833333333438</v>
      </c>
      <c r="F256" s="43"/>
      <c r="G256" s="44"/>
      <c r="H256" s="45"/>
    </row>
    <row r="257" spans="1:8" ht="15.75" hidden="1" x14ac:dyDescent="0.25">
      <c r="A257" s="4">
        <v>44683</v>
      </c>
      <c r="B257" s="5">
        <v>119157.98299999999</v>
      </c>
      <c r="C257" s="5">
        <f>B257-B256</f>
        <v>1668.4519999999902</v>
      </c>
      <c r="D257" s="6">
        <f t="shared" ref="D257:D287" si="30">C257/24</f>
        <v>69.518833333332921</v>
      </c>
      <c r="F257" s="43"/>
      <c r="G257" s="44"/>
      <c r="H257" s="45"/>
    </row>
    <row r="258" spans="1:8" ht="15.75" hidden="1" x14ac:dyDescent="0.25">
      <c r="A258" s="4">
        <v>44684</v>
      </c>
      <c r="B258" s="5">
        <v>120729.255</v>
      </c>
      <c r="C258" s="5">
        <f>B258-B257</f>
        <v>1571.2720000000118</v>
      </c>
      <c r="D258" s="6">
        <f t="shared" si="30"/>
        <v>65.469666666667152</v>
      </c>
      <c r="F258" s="43"/>
      <c r="G258" s="44"/>
      <c r="H258" s="45"/>
    </row>
    <row r="259" spans="1:8" ht="15.75" hidden="1" x14ac:dyDescent="0.25">
      <c r="A259" s="4">
        <v>44685</v>
      </c>
      <c r="B259" s="5">
        <v>122452.83199999999</v>
      </c>
      <c r="C259" s="5">
        <f t="shared" ref="C259:C265" si="31">B259-B258</f>
        <v>1723.5769999999902</v>
      </c>
      <c r="D259" s="6">
        <f t="shared" si="30"/>
        <v>71.815708333332921</v>
      </c>
      <c r="F259" s="43"/>
      <c r="G259" s="44"/>
      <c r="H259" s="45"/>
    </row>
    <row r="260" spans="1:8" ht="15.75" hidden="1" x14ac:dyDescent="0.25">
      <c r="A260" s="4">
        <v>44686</v>
      </c>
      <c r="B260" s="5">
        <v>124273.912</v>
      </c>
      <c r="C260" s="5">
        <f t="shared" si="31"/>
        <v>1821.0800000000017</v>
      </c>
      <c r="D260" s="6">
        <f t="shared" si="30"/>
        <v>75.878333333333401</v>
      </c>
    </row>
    <row r="261" spans="1:8" ht="15.75" hidden="1" x14ac:dyDescent="0.25">
      <c r="A261" s="4">
        <v>44687</v>
      </c>
      <c r="B261" s="5">
        <v>125376.12</v>
      </c>
      <c r="C261" s="5">
        <f t="shared" si="31"/>
        <v>1102.2079999999987</v>
      </c>
      <c r="D261" s="6">
        <f t="shared" si="30"/>
        <v>45.925333333333278</v>
      </c>
    </row>
    <row r="262" spans="1:8" ht="15.75" hidden="1" x14ac:dyDescent="0.25">
      <c r="A262" s="4">
        <v>44688</v>
      </c>
      <c r="B262" s="5">
        <v>126888.236</v>
      </c>
      <c r="C262" s="5">
        <f t="shared" si="31"/>
        <v>1512.1160000000091</v>
      </c>
      <c r="D262" s="6">
        <f t="shared" si="30"/>
        <v>63.004833333333714</v>
      </c>
    </row>
    <row r="263" spans="1:8" ht="15.75" hidden="1" x14ac:dyDescent="0.25">
      <c r="A263" s="4">
        <v>44689</v>
      </c>
      <c r="B263" s="5">
        <v>128296.484</v>
      </c>
      <c r="C263" s="5">
        <f t="shared" si="31"/>
        <v>1408.2479999999923</v>
      </c>
      <c r="D263" s="6">
        <f t="shared" si="30"/>
        <v>58.67699999999968</v>
      </c>
    </row>
    <row r="264" spans="1:8" ht="15.75" hidden="1" x14ac:dyDescent="0.25">
      <c r="A264" s="4">
        <v>44690</v>
      </c>
      <c r="B264" s="5">
        <v>129728.216</v>
      </c>
      <c r="C264" s="5">
        <f t="shared" si="31"/>
        <v>1431.7320000000036</v>
      </c>
      <c r="D264" s="6">
        <f t="shared" si="30"/>
        <v>59.655500000000153</v>
      </c>
    </row>
    <row r="265" spans="1:8" ht="15.75" hidden="1" x14ac:dyDescent="0.25">
      <c r="A265" s="4">
        <v>44691</v>
      </c>
      <c r="B265" s="5">
        <v>131961.38399999999</v>
      </c>
      <c r="C265" s="5">
        <f t="shared" si="31"/>
        <v>2233.1679999999906</v>
      </c>
      <c r="D265" s="6">
        <f t="shared" si="30"/>
        <v>93.048666666666279</v>
      </c>
    </row>
    <row r="266" spans="1:8" ht="15.75" hidden="1" x14ac:dyDescent="0.25">
      <c r="A266" s="4">
        <v>44692</v>
      </c>
      <c r="B266" s="5">
        <v>133311.98800000001</v>
      </c>
      <c r="C266" s="5">
        <f>B266-B265</f>
        <v>1350.6040000000212</v>
      </c>
      <c r="D266" s="6">
        <f t="shared" si="30"/>
        <v>56.275166666667552</v>
      </c>
    </row>
    <row r="267" spans="1:8" ht="15.75" hidden="1" x14ac:dyDescent="0.25">
      <c r="A267" s="4">
        <v>44693</v>
      </c>
      <c r="B267" s="5">
        <v>133516.04800000001</v>
      </c>
      <c r="C267" s="5">
        <f t="shared" ref="C267:C273" si="32">B267-B266</f>
        <v>204.05999999999767</v>
      </c>
      <c r="D267" s="6">
        <f t="shared" si="30"/>
        <v>8.5024999999999036</v>
      </c>
    </row>
    <row r="268" spans="1:8" ht="15.75" hidden="1" x14ac:dyDescent="0.25">
      <c r="A268" s="4">
        <v>44694</v>
      </c>
      <c r="B268" s="5">
        <v>133516.04800000001</v>
      </c>
      <c r="C268" s="5">
        <f t="shared" si="32"/>
        <v>0</v>
      </c>
      <c r="D268" s="6">
        <f t="shared" si="30"/>
        <v>0</v>
      </c>
    </row>
    <row r="269" spans="1:8" ht="15.75" hidden="1" x14ac:dyDescent="0.25">
      <c r="A269" s="4">
        <v>44695</v>
      </c>
      <c r="B269" s="5">
        <v>133516.04800000001</v>
      </c>
      <c r="C269" s="5">
        <f t="shared" si="32"/>
        <v>0</v>
      </c>
      <c r="D269" s="6">
        <f t="shared" si="30"/>
        <v>0</v>
      </c>
    </row>
    <row r="270" spans="1:8" ht="15.75" hidden="1" x14ac:dyDescent="0.25">
      <c r="A270" s="4">
        <v>44696</v>
      </c>
      <c r="B270" s="5">
        <v>133516.04800000001</v>
      </c>
      <c r="C270" s="5">
        <f t="shared" si="32"/>
        <v>0</v>
      </c>
      <c r="D270" s="6">
        <f t="shared" si="30"/>
        <v>0</v>
      </c>
      <c r="F270" s="47" t="s">
        <v>0</v>
      </c>
      <c r="G270" s="47" t="s">
        <v>27</v>
      </c>
      <c r="H270" s="47" t="s">
        <v>9</v>
      </c>
    </row>
    <row r="271" spans="1:8" ht="15.75" hidden="1" x14ac:dyDescent="0.25">
      <c r="A271" s="4">
        <v>44697</v>
      </c>
      <c r="B271" s="5">
        <v>133516.04800000001</v>
      </c>
      <c r="C271" s="5">
        <f t="shared" si="32"/>
        <v>0</v>
      </c>
      <c r="D271" s="6">
        <f t="shared" si="30"/>
        <v>0</v>
      </c>
      <c r="F271" s="48">
        <v>45116</v>
      </c>
      <c r="G271" s="46">
        <f>BK339</f>
        <v>3084.4960000000428</v>
      </c>
      <c r="H271" s="50">
        <v>2469.607</v>
      </c>
    </row>
    <row r="272" spans="1:8" ht="15.75" hidden="1" x14ac:dyDescent="0.25">
      <c r="A272" s="4">
        <v>44698</v>
      </c>
      <c r="B272" s="5">
        <v>133516.04800000001</v>
      </c>
      <c r="C272" s="5">
        <f t="shared" si="32"/>
        <v>0</v>
      </c>
      <c r="D272" s="6">
        <f t="shared" si="30"/>
        <v>0</v>
      </c>
      <c r="F272" s="48">
        <v>45117</v>
      </c>
      <c r="G272" s="46">
        <f t="shared" ref="G272:G277" si="33">BK340</f>
        <v>3327.3679999999003</v>
      </c>
      <c r="H272" s="50">
        <v>2647.5079999999998</v>
      </c>
    </row>
    <row r="273" spans="1:8" ht="15.75" hidden="1" x14ac:dyDescent="0.25">
      <c r="A273" s="4">
        <v>44699</v>
      </c>
      <c r="B273" s="5">
        <v>133516.04800000001</v>
      </c>
      <c r="C273" s="5">
        <f t="shared" si="32"/>
        <v>0</v>
      </c>
      <c r="D273" s="6">
        <f t="shared" si="30"/>
        <v>0</v>
      </c>
      <c r="F273" s="48">
        <v>45118</v>
      </c>
      <c r="G273" s="46">
        <f t="shared" si="33"/>
        <v>3835.9640000000363</v>
      </c>
      <c r="H273" s="50">
        <v>2573.5569999999998</v>
      </c>
    </row>
    <row r="274" spans="1:8" ht="15.75" hidden="1" x14ac:dyDescent="0.25">
      <c r="A274" s="4">
        <v>44700</v>
      </c>
      <c r="B274" s="5">
        <v>133516.04800000001</v>
      </c>
      <c r="C274" s="5">
        <f>B274-B273</f>
        <v>0</v>
      </c>
      <c r="D274" s="6">
        <f t="shared" si="30"/>
        <v>0</v>
      </c>
      <c r="F274" s="48">
        <v>45119</v>
      </c>
      <c r="G274" s="46">
        <f t="shared" si="33"/>
        <v>3620.7410000000382</v>
      </c>
      <c r="H274" s="50">
        <v>2485.018</v>
      </c>
    </row>
    <row r="275" spans="1:8" ht="15.75" hidden="1" x14ac:dyDescent="0.25">
      <c r="A275" s="4">
        <v>44701</v>
      </c>
      <c r="B275" s="5">
        <v>134308.87599999999</v>
      </c>
      <c r="C275" s="5">
        <f t="shared" ref="C275:C284" si="34">B275-B274</f>
        <v>792.82799999997951</v>
      </c>
      <c r="D275" s="6">
        <f t="shared" si="30"/>
        <v>33.034499999999149</v>
      </c>
      <c r="F275" s="48">
        <v>45120</v>
      </c>
      <c r="G275" s="46">
        <f t="shared" si="33"/>
        <v>3582.5359999999637</v>
      </c>
      <c r="H275" s="50">
        <v>2631.99</v>
      </c>
    </row>
    <row r="276" spans="1:8" ht="15.75" hidden="1" x14ac:dyDescent="0.25">
      <c r="A276" s="4">
        <v>44702</v>
      </c>
      <c r="B276" s="7">
        <v>137011.50899999999</v>
      </c>
      <c r="C276" s="5">
        <f t="shared" si="34"/>
        <v>2702.6330000000016</v>
      </c>
      <c r="D276" s="6">
        <f t="shared" si="30"/>
        <v>112.6097083333334</v>
      </c>
      <c r="F276" s="48">
        <v>45121</v>
      </c>
      <c r="G276" s="46">
        <f t="shared" si="33"/>
        <v>3602.5500000000466</v>
      </c>
      <c r="H276" s="50">
        <v>2670.7559999999999</v>
      </c>
    </row>
    <row r="277" spans="1:8" ht="15.75" hidden="1" x14ac:dyDescent="0.25">
      <c r="A277" s="4">
        <v>44703</v>
      </c>
      <c r="B277" s="7">
        <v>139527.88099999999</v>
      </c>
      <c r="C277" s="5">
        <f t="shared" si="34"/>
        <v>2516.372000000003</v>
      </c>
      <c r="D277" s="6">
        <f t="shared" si="30"/>
        <v>104.84883333333346</v>
      </c>
      <c r="F277" s="48">
        <v>45122</v>
      </c>
      <c r="G277" s="46">
        <f t="shared" si="33"/>
        <v>3617.9340000000084</v>
      </c>
      <c r="H277" s="50">
        <v>2689</v>
      </c>
    </row>
    <row r="278" spans="1:8" ht="15.75" hidden="1" x14ac:dyDescent="0.25">
      <c r="A278" s="4">
        <v>44704</v>
      </c>
      <c r="B278" s="7">
        <v>141310.70499999999</v>
      </c>
      <c r="C278" s="5">
        <f t="shared" si="34"/>
        <v>1782.8239999999932</v>
      </c>
      <c r="D278" s="6">
        <f t="shared" si="30"/>
        <v>74.284333333333052</v>
      </c>
      <c r="G278" s="29">
        <f>G271+G272+G273+G274+G275+G276+G277</f>
        <v>24671.589000000036</v>
      </c>
      <c r="H278" s="19">
        <f>SUM(H271:H277)</f>
        <v>18167.435999999998</v>
      </c>
    </row>
    <row r="279" spans="1:8" ht="15.75" hidden="1" x14ac:dyDescent="0.25">
      <c r="A279" s="4">
        <v>44705</v>
      </c>
      <c r="B279" s="8">
        <v>142601.63699999999</v>
      </c>
      <c r="C279" s="5">
        <f t="shared" si="34"/>
        <v>1290.9320000000007</v>
      </c>
      <c r="D279" s="6">
        <f t="shared" si="30"/>
        <v>53.788833333333365</v>
      </c>
    </row>
    <row r="280" spans="1:8" ht="15.75" hidden="1" x14ac:dyDescent="0.25">
      <c r="A280" s="4">
        <v>44706</v>
      </c>
      <c r="B280" s="8">
        <v>143931.13699999999</v>
      </c>
      <c r="C280" s="5">
        <f t="shared" si="34"/>
        <v>1329.5</v>
      </c>
      <c r="D280" s="6">
        <f t="shared" si="30"/>
        <v>55.395833333333336</v>
      </c>
    </row>
    <row r="281" spans="1:8" ht="15.75" hidden="1" x14ac:dyDescent="0.25">
      <c r="A281" s="4">
        <v>44707</v>
      </c>
      <c r="B281" s="7">
        <v>145646.845</v>
      </c>
      <c r="C281" s="5">
        <f t="shared" si="34"/>
        <v>1715.7080000000133</v>
      </c>
      <c r="D281" s="6">
        <f t="shared" si="30"/>
        <v>71.487833333333882</v>
      </c>
    </row>
    <row r="282" spans="1:8" ht="15.75" hidden="1" x14ac:dyDescent="0.25">
      <c r="A282" s="4">
        <v>44708</v>
      </c>
      <c r="B282" s="7">
        <v>147989.106</v>
      </c>
      <c r="C282" s="5">
        <f t="shared" si="34"/>
        <v>2342.2609999999986</v>
      </c>
      <c r="D282" s="6">
        <f t="shared" si="30"/>
        <v>97.59420833333327</v>
      </c>
    </row>
    <row r="283" spans="1:8" ht="15.75" hidden="1" x14ac:dyDescent="0.25">
      <c r="A283" s="4">
        <v>44709</v>
      </c>
      <c r="B283" s="8">
        <v>149783.23800000001</v>
      </c>
      <c r="C283" s="5">
        <f t="shared" si="34"/>
        <v>1794.1320000000123</v>
      </c>
      <c r="D283" s="6">
        <f t="shared" si="30"/>
        <v>74.755500000000509</v>
      </c>
    </row>
    <row r="284" spans="1:8" ht="15.75" hidden="1" x14ac:dyDescent="0.25">
      <c r="A284" s="4">
        <v>44710</v>
      </c>
      <c r="B284" s="7">
        <v>151217.23000000001</v>
      </c>
      <c r="C284" s="5">
        <f t="shared" si="34"/>
        <v>1433.9919999999984</v>
      </c>
      <c r="D284" s="6">
        <f t="shared" si="30"/>
        <v>59.749666666666599</v>
      </c>
    </row>
    <row r="285" spans="1:8" ht="15.75" hidden="1" x14ac:dyDescent="0.25">
      <c r="A285" s="4">
        <v>44711</v>
      </c>
      <c r="B285" s="8">
        <v>153237.89799999999</v>
      </c>
      <c r="C285" s="5">
        <f>B285-B284</f>
        <v>2020.667999999976</v>
      </c>
      <c r="D285" s="6">
        <f t="shared" si="30"/>
        <v>84.194499999998996</v>
      </c>
    </row>
    <row r="286" spans="1:8" ht="15.75" hidden="1" x14ac:dyDescent="0.25">
      <c r="A286" s="4">
        <v>44712</v>
      </c>
      <c r="B286" s="7">
        <v>155602.234</v>
      </c>
      <c r="C286" s="5">
        <f>B286-B285</f>
        <v>2364.3360000000102</v>
      </c>
      <c r="D286" s="6">
        <f t="shared" si="30"/>
        <v>98.514000000000422</v>
      </c>
    </row>
    <row r="287" spans="1:8" ht="15.75" hidden="1" x14ac:dyDescent="0.25">
      <c r="C287" s="5">
        <f>SUM(C256:C286)</f>
        <v>39356.786999999997</v>
      </c>
      <c r="D287" s="6">
        <f t="shared" si="30"/>
        <v>1639.8661249999998</v>
      </c>
    </row>
    <row r="288" spans="1:8" hidden="1" x14ac:dyDescent="0.25"/>
    <row r="289" spans="1:8" hidden="1" x14ac:dyDescent="0.25"/>
    <row r="290" spans="1:8" hidden="1" x14ac:dyDescent="0.25"/>
    <row r="291" spans="1:8" hidden="1" x14ac:dyDescent="0.25"/>
    <row r="292" spans="1:8" hidden="1" x14ac:dyDescent="0.25">
      <c r="A292" s="90">
        <v>44713</v>
      </c>
      <c r="B292" s="91"/>
      <c r="C292" s="91"/>
      <c r="D292" s="92"/>
    </row>
    <row r="293" spans="1:8" ht="31.5" hidden="1" x14ac:dyDescent="0.25">
      <c r="A293" s="1" t="s">
        <v>0</v>
      </c>
      <c r="B293" s="2" t="s">
        <v>1</v>
      </c>
      <c r="C293" s="3" t="s">
        <v>2</v>
      </c>
      <c r="D293" s="2" t="s">
        <v>3</v>
      </c>
    </row>
    <row r="294" spans="1:8" ht="15.75" hidden="1" x14ac:dyDescent="0.25">
      <c r="A294" s="4">
        <v>44713</v>
      </c>
      <c r="B294" s="5">
        <v>158481.179</v>
      </c>
      <c r="C294" s="5">
        <f>B294-B286</f>
        <v>2878.945000000007</v>
      </c>
      <c r="D294" s="6">
        <f>C294/24</f>
        <v>119.95604166666696</v>
      </c>
    </row>
    <row r="295" spans="1:8" ht="15.75" hidden="1" x14ac:dyDescent="0.25">
      <c r="A295" s="4">
        <v>44714</v>
      </c>
      <c r="B295" s="5">
        <v>159811.69500000001</v>
      </c>
      <c r="C295" s="5">
        <f>B295-B294</f>
        <v>1330.5160000000033</v>
      </c>
      <c r="D295" s="6">
        <f t="shared" ref="D295:D325" si="35">C295/24</f>
        <v>55.438166666666802</v>
      </c>
    </row>
    <row r="296" spans="1:8" ht="15.75" hidden="1" x14ac:dyDescent="0.25">
      <c r="A296" s="4">
        <v>44715</v>
      </c>
      <c r="B296" s="5">
        <v>161616.655</v>
      </c>
      <c r="C296" s="5">
        <f>B296-B295</f>
        <v>1804.9599999999919</v>
      </c>
      <c r="D296" s="6">
        <f t="shared" si="35"/>
        <v>75.206666666666322</v>
      </c>
    </row>
    <row r="297" spans="1:8" ht="15.75" hidden="1" x14ac:dyDescent="0.25">
      <c r="A297" s="4">
        <v>44716</v>
      </c>
      <c r="B297" s="5">
        <v>163900.68299999999</v>
      </c>
      <c r="C297" s="5">
        <f t="shared" ref="C297:C303" si="36">B297-B296</f>
        <v>2284.0279999999912</v>
      </c>
      <c r="D297" s="6">
        <f t="shared" si="35"/>
        <v>95.167833333332965</v>
      </c>
    </row>
    <row r="298" spans="1:8" ht="15.75" hidden="1" x14ac:dyDescent="0.25">
      <c r="A298" s="4">
        <v>44717</v>
      </c>
      <c r="B298" s="5">
        <v>165968.399</v>
      </c>
      <c r="C298" s="5">
        <f t="shared" si="36"/>
        <v>2067.7160000000149</v>
      </c>
      <c r="D298" s="6">
        <f t="shared" si="35"/>
        <v>86.154833333333954</v>
      </c>
    </row>
    <row r="299" spans="1:8" ht="15.75" hidden="1" x14ac:dyDescent="0.25">
      <c r="A299" s="4">
        <v>44718</v>
      </c>
      <c r="B299" s="5">
        <v>168532.519</v>
      </c>
      <c r="C299" s="5">
        <f t="shared" si="36"/>
        <v>2564.1199999999953</v>
      </c>
      <c r="D299" s="6">
        <f t="shared" si="35"/>
        <v>106.83833333333314</v>
      </c>
    </row>
    <row r="300" spans="1:8" ht="15.75" hidden="1" x14ac:dyDescent="0.25">
      <c r="A300" s="4">
        <v>44719</v>
      </c>
      <c r="B300" s="5">
        <v>170951.27600000001</v>
      </c>
      <c r="C300" s="5">
        <f t="shared" si="36"/>
        <v>2418.7570000000123</v>
      </c>
      <c r="D300" s="6">
        <f t="shared" si="35"/>
        <v>100.78154166666718</v>
      </c>
    </row>
    <row r="301" spans="1:8" ht="15.75" hidden="1" x14ac:dyDescent="0.25">
      <c r="A301" s="4">
        <v>44720</v>
      </c>
      <c r="B301" s="5">
        <v>172863.44399999999</v>
      </c>
      <c r="C301" s="5">
        <f t="shared" si="36"/>
        <v>1912.167999999976</v>
      </c>
      <c r="D301" s="6">
        <f t="shared" si="35"/>
        <v>79.673666666665667</v>
      </c>
      <c r="F301" s="51"/>
      <c r="G301" s="51"/>
      <c r="H301" s="51"/>
    </row>
    <row r="302" spans="1:8" ht="15.75" hidden="1" x14ac:dyDescent="0.25">
      <c r="A302" s="4">
        <v>44721</v>
      </c>
      <c r="B302" s="5">
        <v>174374.6</v>
      </c>
      <c r="C302" s="5">
        <f t="shared" si="36"/>
        <v>1511.1560000000172</v>
      </c>
      <c r="D302" s="6">
        <f t="shared" si="35"/>
        <v>62.964833333334049</v>
      </c>
      <c r="F302" s="52"/>
      <c r="G302" s="52"/>
      <c r="H302" s="52"/>
    </row>
    <row r="303" spans="1:8" ht="15.75" hidden="1" x14ac:dyDescent="0.25">
      <c r="A303" s="4">
        <v>44722</v>
      </c>
      <c r="B303" s="5">
        <v>176558.28</v>
      </c>
      <c r="C303" s="5">
        <f t="shared" si="36"/>
        <v>2183.679999999993</v>
      </c>
      <c r="D303" s="6">
        <f t="shared" si="35"/>
        <v>90.98666666666638</v>
      </c>
      <c r="F303" s="53"/>
      <c r="G303" s="54"/>
      <c r="H303" s="55"/>
    </row>
    <row r="304" spans="1:8" ht="15.75" hidden="1" x14ac:dyDescent="0.25">
      <c r="A304" s="4">
        <v>44723</v>
      </c>
      <c r="B304" s="5">
        <v>177964.26</v>
      </c>
      <c r="C304" s="5">
        <f>B304-B303</f>
        <v>1405.9800000000105</v>
      </c>
      <c r="D304" s="6">
        <f t="shared" si="35"/>
        <v>58.582500000000437</v>
      </c>
      <c r="F304" s="53"/>
      <c r="G304" s="54"/>
      <c r="H304" s="55"/>
    </row>
    <row r="305" spans="1:15" ht="15.75" hidden="1" x14ac:dyDescent="0.25">
      <c r="A305" s="4">
        <v>44724</v>
      </c>
      <c r="B305" s="5">
        <v>180757.29199999999</v>
      </c>
      <c r="C305" s="5">
        <f t="shared" ref="C305:C311" si="37">B305-B304</f>
        <v>2793.0319999999774</v>
      </c>
      <c r="D305" s="6">
        <f t="shared" si="35"/>
        <v>116.3763333333324</v>
      </c>
      <c r="F305" s="53"/>
      <c r="G305" s="54"/>
      <c r="H305" s="55"/>
    </row>
    <row r="306" spans="1:15" ht="15.75" hidden="1" x14ac:dyDescent="0.25">
      <c r="A306" s="4">
        <v>44725</v>
      </c>
      <c r="B306" s="5">
        <v>183495.073</v>
      </c>
      <c r="C306" s="5">
        <f t="shared" si="37"/>
        <v>2737.7810000000172</v>
      </c>
      <c r="D306" s="6">
        <f t="shared" si="35"/>
        <v>114.07420833333406</v>
      </c>
      <c r="F306" s="53"/>
      <c r="G306" s="54"/>
      <c r="H306" s="55"/>
    </row>
    <row r="307" spans="1:15" ht="15.75" hidden="1" x14ac:dyDescent="0.25">
      <c r="A307" s="4">
        <v>44726</v>
      </c>
      <c r="B307" s="5">
        <v>186003.66899999999</v>
      </c>
      <c r="C307" s="5">
        <f t="shared" si="37"/>
        <v>2508.5959999999905</v>
      </c>
      <c r="D307" s="6">
        <f t="shared" si="35"/>
        <v>104.52483333333294</v>
      </c>
      <c r="F307" s="53"/>
      <c r="G307" s="54"/>
      <c r="H307" s="55"/>
      <c r="L307" s="98" t="s">
        <v>29</v>
      </c>
      <c r="M307" s="99"/>
    </row>
    <row r="308" spans="1:15" ht="20.25" hidden="1" x14ac:dyDescent="0.25">
      <c r="A308" s="4">
        <v>44727</v>
      </c>
      <c r="B308" s="5">
        <v>188086.44899999999</v>
      </c>
      <c r="C308" s="5">
        <f t="shared" si="37"/>
        <v>2082.7799999999988</v>
      </c>
      <c r="D308" s="6">
        <f t="shared" si="35"/>
        <v>86.782499999999956</v>
      </c>
      <c r="F308" s="53"/>
      <c r="G308" s="54"/>
      <c r="H308" s="55"/>
      <c r="I308" s="51"/>
      <c r="L308" s="57" t="s">
        <v>10</v>
      </c>
      <c r="M308" s="57">
        <v>65993.505000000005</v>
      </c>
    </row>
    <row r="309" spans="1:15" ht="20.25" hidden="1" x14ac:dyDescent="0.25">
      <c r="A309" s="4">
        <v>44728</v>
      </c>
      <c r="B309" s="5">
        <v>190269.09299999999</v>
      </c>
      <c r="C309" s="5">
        <f t="shared" si="37"/>
        <v>2182.6440000000002</v>
      </c>
      <c r="D309" s="6">
        <f t="shared" si="35"/>
        <v>90.943500000000014</v>
      </c>
      <c r="F309" s="53"/>
      <c r="G309" s="54"/>
      <c r="H309" s="55"/>
      <c r="L309" s="57" t="s">
        <v>28</v>
      </c>
      <c r="M309" s="58">
        <v>51253.500000000015</v>
      </c>
    </row>
    <row r="310" spans="1:15" ht="20.25" hidden="1" x14ac:dyDescent="0.25">
      <c r="A310" s="4">
        <v>44729</v>
      </c>
      <c r="B310" s="5">
        <v>191229.405</v>
      </c>
      <c r="C310" s="5">
        <f t="shared" si="37"/>
        <v>960.31200000000536</v>
      </c>
      <c r="D310" s="6">
        <f t="shared" si="35"/>
        <v>40.013000000000225</v>
      </c>
      <c r="G310" s="19"/>
      <c r="H310" s="19"/>
      <c r="L310" s="57" t="s">
        <v>30</v>
      </c>
      <c r="M310" s="57">
        <v>61290.347999999998</v>
      </c>
    </row>
    <row r="311" spans="1:15" ht="20.25" hidden="1" x14ac:dyDescent="0.25">
      <c r="A311" s="4">
        <v>44730</v>
      </c>
      <c r="B311" s="5">
        <v>191915.85699999999</v>
      </c>
      <c r="C311" s="5">
        <f t="shared" si="37"/>
        <v>686.45199999999022</v>
      </c>
      <c r="D311" s="6">
        <f t="shared" si="35"/>
        <v>28.60216666666626</v>
      </c>
      <c r="L311" s="57" t="s">
        <v>31</v>
      </c>
      <c r="M311" s="57">
        <v>48800.708000000013</v>
      </c>
    </row>
    <row r="312" spans="1:15" ht="20.25" hidden="1" x14ac:dyDescent="0.25">
      <c r="A312" s="4">
        <v>44731</v>
      </c>
      <c r="B312" s="5">
        <v>192826.981</v>
      </c>
      <c r="C312" s="5">
        <f>B312-B311</f>
        <v>911.12400000001071</v>
      </c>
      <c r="D312" s="6">
        <f t="shared" si="35"/>
        <v>37.963500000000444</v>
      </c>
      <c r="L312" s="57" t="s">
        <v>32</v>
      </c>
      <c r="M312" s="57">
        <v>39356.786999999997</v>
      </c>
      <c r="O312" s="51"/>
    </row>
    <row r="313" spans="1:15" ht="20.25" hidden="1" x14ac:dyDescent="0.25">
      <c r="A313" s="4">
        <v>44732</v>
      </c>
      <c r="B313" s="5">
        <v>194832</v>
      </c>
      <c r="C313" s="5">
        <f t="shared" ref="C313:C322" si="38">B313-B312</f>
        <v>2005.0190000000002</v>
      </c>
      <c r="D313" s="6">
        <f t="shared" si="35"/>
        <v>83.542458333333343</v>
      </c>
      <c r="L313" s="57" t="s">
        <v>33</v>
      </c>
      <c r="M313" s="57">
        <v>56269.929000000004</v>
      </c>
      <c r="O313" s="51"/>
    </row>
    <row r="314" spans="1:15" ht="20.25" hidden="1" x14ac:dyDescent="0.25">
      <c r="A314" s="4">
        <v>44733</v>
      </c>
      <c r="B314" s="7">
        <v>196640.71400000001</v>
      </c>
      <c r="C314" s="5">
        <f t="shared" si="38"/>
        <v>1808.7140000000072</v>
      </c>
      <c r="D314" s="6">
        <f t="shared" si="35"/>
        <v>75.363083333333634</v>
      </c>
      <c r="L314" s="57" t="s">
        <v>34</v>
      </c>
      <c r="M314" s="57">
        <v>66715.541000000027</v>
      </c>
    </row>
    <row r="315" spans="1:15" ht="20.25" hidden="1" x14ac:dyDescent="0.25">
      <c r="A315" s="4">
        <v>44734</v>
      </c>
      <c r="B315" s="7">
        <v>197570.514</v>
      </c>
      <c r="C315" s="5">
        <f t="shared" si="38"/>
        <v>929.79999999998836</v>
      </c>
      <c r="D315" s="6">
        <f t="shared" si="35"/>
        <v>38.741666666666184</v>
      </c>
      <c r="L315" s="57" t="s">
        <v>35</v>
      </c>
      <c r="M315" s="57">
        <v>98116.522999999986</v>
      </c>
    </row>
    <row r="316" spans="1:15" ht="20.25" hidden="1" x14ac:dyDescent="0.25">
      <c r="A316" s="4">
        <v>44735</v>
      </c>
      <c r="B316" s="7">
        <v>198207.054</v>
      </c>
      <c r="C316" s="5">
        <f t="shared" si="38"/>
        <v>636.54000000000815</v>
      </c>
      <c r="D316" s="6">
        <f t="shared" si="35"/>
        <v>26.522500000000338</v>
      </c>
      <c r="L316" s="57" t="s">
        <v>36</v>
      </c>
      <c r="M316" s="57">
        <v>58846.195999999996</v>
      </c>
    </row>
    <row r="317" spans="1:15" ht="20.25" hidden="1" x14ac:dyDescent="0.25">
      <c r="A317" s="4">
        <v>44736</v>
      </c>
      <c r="B317" s="8">
        <v>199232.28200000001</v>
      </c>
      <c r="C317" s="5">
        <f t="shared" si="38"/>
        <v>1025.2280000000028</v>
      </c>
      <c r="D317" s="6">
        <f t="shared" si="35"/>
        <v>42.717833333333452</v>
      </c>
      <c r="L317" s="57" t="s">
        <v>4</v>
      </c>
      <c r="M317" s="57">
        <v>78182.178000000014</v>
      </c>
    </row>
    <row r="318" spans="1:15" ht="20.25" hidden="1" x14ac:dyDescent="0.25">
      <c r="A318" s="4">
        <v>44737</v>
      </c>
      <c r="B318" s="8">
        <v>201132.274</v>
      </c>
      <c r="C318" s="5">
        <f t="shared" si="38"/>
        <v>1899.9919999999984</v>
      </c>
      <c r="D318" s="6">
        <f t="shared" si="35"/>
        <v>79.16633333333327</v>
      </c>
      <c r="L318" s="57" t="s">
        <v>6</v>
      </c>
      <c r="M318" s="57">
        <v>72700.061999999976</v>
      </c>
    </row>
    <row r="319" spans="1:15" ht="20.25" hidden="1" x14ac:dyDescent="0.25">
      <c r="A319" s="4">
        <v>44738</v>
      </c>
      <c r="B319" s="7">
        <v>203019.174</v>
      </c>
      <c r="C319" s="5">
        <f t="shared" si="38"/>
        <v>1886.8999999999942</v>
      </c>
      <c r="D319" s="6">
        <f t="shared" si="35"/>
        <v>78.620833333333096</v>
      </c>
      <c r="L319" s="57" t="s">
        <v>37</v>
      </c>
      <c r="M319" s="57">
        <v>49460.974999999977</v>
      </c>
    </row>
    <row r="320" spans="1:15" ht="15.75" hidden="1" x14ac:dyDescent="0.25">
      <c r="A320" s="4">
        <v>44739</v>
      </c>
      <c r="B320" s="7">
        <v>204082.122</v>
      </c>
      <c r="C320" s="5">
        <f t="shared" si="38"/>
        <v>1062.948000000004</v>
      </c>
      <c r="D320" s="6">
        <f t="shared" si="35"/>
        <v>44.289500000000167</v>
      </c>
      <c r="L320" s="56"/>
      <c r="M320" s="56"/>
      <c r="N320" s="51"/>
    </row>
    <row r="321" spans="1:149" ht="15.75" hidden="1" x14ac:dyDescent="0.25">
      <c r="A321" s="4">
        <v>44740</v>
      </c>
      <c r="B321" s="7">
        <v>206389.55</v>
      </c>
      <c r="C321" s="5">
        <f>B321-B320</f>
        <v>2307.4279999999853</v>
      </c>
      <c r="D321" s="6">
        <f t="shared" si="35"/>
        <v>96.142833333332717</v>
      </c>
      <c r="L321" s="51"/>
      <c r="M321" s="51"/>
      <c r="N321" s="51"/>
    </row>
    <row r="322" spans="1:149" ht="15.75" hidden="1" x14ac:dyDescent="0.25">
      <c r="A322" s="4">
        <v>44741</v>
      </c>
      <c r="B322" s="7">
        <v>208731.19500000001</v>
      </c>
      <c r="C322" s="5">
        <f t="shared" si="38"/>
        <v>2341.6450000000186</v>
      </c>
      <c r="D322" s="6">
        <f t="shared" si="35"/>
        <v>97.568541666667443</v>
      </c>
      <c r="K322" s="51"/>
      <c r="L322" s="51"/>
      <c r="M322" s="51"/>
      <c r="N322" s="51"/>
    </row>
    <row r="323" spans="1:149" ht="15.75" hidden="1" x14ac:dyDescent="0.25">
      <c r="A323" s="4">
        <v>44742</v>
      </c>
      <c r="B323" s="8">
        <v>211872.163</v>
      </c>
      <c r="C323" s="5">
        <f>B323-B322</f>
        <v>3140.9679999999935</v>
      </c>
      <c r="D323" s="6">
        <f t="shared" si="35"/>
        <v>130.8736666666664</v>
      </c>
      <c r="K323" s="51"/>
      <c r="L323" s="51"/>
      <c r="M323" s="51"/>
      <c r="N323" s="51"/>
    </row>
    <row r="324" spans="1:149" ht="15.75" hidden="1" x14ac:dyDescent="0.25">
      <c r="A324" s="4"/>
      <c r="B324" s="7"/>
      <c r="C324" s="5"/>
      <c r="D324" s="6">
        <f t="shared" si="35"/>
        <v>0</v>
      </c>
    </row>
    <row r="325" spans="1:149" ht="15.75" hidden="1" x14ac:dyDescent="0.25">
      <c r="C325" s="5">
        <f>SUM(C294:C324)</f>
        <v>56269.929000000004</v>
      </c>
      <c r="D325" s="6">
        <f t="shared" si="35"/>
        <v>2344.580375</v>
      </c>
    </row>
    <row r="326" spans="1:149" x14ac:dyDescent="0.25">
      <c r="F326" s="59">
        <v>44774</v>
      </c>
      <c r="G326" s="59"/>
      <c r="H326" s="59"/>
    </row>
    <row r="327" spans="1:149" ht="15.75" x14ac:dyDescent="0.25">
      <c r="F327" s="1" t="s">
        <v>0</v>
      </c>
      <c r="G327" s="2" t="s">
        <v>1</v>
      </c>
      <c r="H327" s="3" t="s">
        <v>2</v>
      </c>
    </row>
    <row r="328" spans="1:149" ht="15.75" x14ac:dyDescent="0.25">
      <c r="F328" s="1"/>
      <c r="G328" s="2"/>
      <c r="H328" s="3"/>
    </row>
    <row r="329" spans="1:149" ht="15.75" x14ac:dyDescent="0.25">
      <c r="A329" s="90">
        <v>44743</v>
      </c>
      <c r="B329" s="91"/>
      <c r="C329" s="91"/>
      <c r="D329" s="92"/>
      <c r="F329" s="4">
        <v>44774</v>
      </c>
      <c r="G329" s="5">
        <v>281348.16800000001</v>
      </c>
      <c r="H329" s="5">
        <f>G329-B361</f>
        <v>2760.4639999999781</v>
      </c>
      <c r="I329" s="60"/>
      <c r="K329" s="90">
        <v>44805</v>
      </c>
      <c r="L329" s="91"/>
      <c r="M329" s="91"/>
      <c r="N329" s="92"/>
      <c r="P329" s="90">
        <v>44835</v>
      </c>
      <c r="Q329" s="91"/>
      <c r="R329" s="91"/>
      <c r="S329" s="92"/>
      <c r="U329" s="90">
        <v>44866</v>
      </c>
      <c r="V329" s="91"/>
      <c r="W329" s="91"/>
      <c r="X329" s="92"/>
      <c r="Z329" s="90">
        <v>44896</v>
      </c>
      <c r="AA329" s="91"/>
      <c r="AB329" s="91"/>
      <c r="AC329" s="92"/>
      <c r="AE329" s="90">
        <v>44927</v>
      </c>
      <c r="AF329" s="91"/>
      <c r="AG329" s="91"/>
      <c r="AH329" s="92"/>
      <c r="AJ329" s="90">
        <v>44958</v>
      </c>
      <c r="AK329" s="91"/>
      <c r="AL329" s="91"/>
      <c r="AM329" s="92"/>
      <c r="AO329" s="90">
        <v>44986</v>
      </c>
      <c r="AP329" s="91"/>
      <c r="AQ329" s="91"/>
      <c r="AR329" s="92"/>
      <c r="AT329" s="90">
        <v>45017</v>
      </c>
      <c r="AU329" s="91"/>
      <c r="AV329" s="91"/>
      <c r="AW329" s="92"/>
      <c r="AY329" s="90">
        <v>45047</v>
      </c>
      <c r="AZ329" s="91"/>
      <c r="BA329" s="91"/>
      <c r="BB329" s="92"/>
      <c r="BD329" s="90">
        <v>45078</v>
      </c>
      <c r="BE329" s="91"/>
      <c r="BF329" s="91"/>
      <c r="BG329" s="92"/>
      <c r="BI329" s="90">
        <v>45108</v>
      </c>
      <c r="BJ329" s="91"/>
      <c r="BK329" s="91"/>
      <c r="BL329" s="92"/>
      <c r="BN329" s="90">
        <v>45139</v>
      </c>
      <c r="BO329" s="91"/>
      <c r="BP329" s="91"/>
      <c r="BQ329" s="92"/>
      <c r="BS329" s="90">
        <v>45170</v>
      </c>
      <c r="BT329" s="91"/>
      <c r="BU329" s="91"/>
      <c r="BV329" s="92"/>
      <c r="BX329" s="90">
        <v>45200</v>
      </c>
      <c r="BY329" s="91"/>
      <c r="BZ329" s="91"/>
      <c r="CA329" s="92"/>
      <c r="CC329" s="90">
        <v>45231</v>
      </c>
      <c r="CD329" s="91"/>
      <c r="CE329" s="91"/>
      <c r="CF329" s="92"/>
      <c r="CH329" s="90">
        <v>45261</v>
      </c>
      <c r="CI329" s="91"/>
      <c r="CJ329" s="91"/>
      <c r="CK329" s="92"/>
      <c r="CM329" s="90">
        <v>45292</v>
      </c>
      <c r="CN329" s="91"/>
      <c r="CO329" s="91"/>
      <c r="CP329" s="92"/>
      <c r="CR329" s="90">
        <v>45323</v>
      </c>
      <c r="CS329" s="91"/>
      <c r="CT329" s="91"/>
      <c r="CU329" s="92"/>
      <c r="CW329" s="90">
        <v>45352</v>
      </c>
      <c r="CX329" s="91"/>
      <c r="CY329" s="91"/>
      <c r="CZ329" s="92"/>
      <c r="DB329" s="90">
        <v>45383</v>
      </c>
      <c r="DC329" s="91"/>
      <c r="DD329" s="91"/>
      <c r="DE329" s="92"/>
      <c r="DG329" s="90">
        <v>45413</v>
      </c>
      <c r="DH329" s="91"/>
      <c r="DI329" s="91"/>
      <c r="DJ329" s="92"/>
      <c r="DL329" s="90">
        <v>45444</v>
      </c>
      <c r="DM329" s="91"/>
      <c r="DN329" s="91"/>
      <c r="DO329" s="92"/>
      <c r="DQ329" s="90">
        <v>45474</v>
      </c>
      <c r="DR329" s="91"/>
      <c r="DS329" s="91"/>
      <c r="DT329" s="92"/>
      <c r="DV329" s="90">
        <v>45505</v>
      </c>
      <c r="DW329" s="91"/>
      <c r="DX329" s="91"/>
      <c r="DY329" s="92"/>
      <c r="EA329" s="90">
        <v>45536</v>
      </c>
      <c r="EB329" s="91"/>
      <c r="EC329" s="91"/>
      <c r="ED329" s="92"/>
      <c r="EF329" s="90">
        <v>45566</v>
      </c>
      <c r="EG329" s="91"/>
      <c r="EH329" s="91"/>
      <c r="EI329" s="92"/>
      <c r="EK329" s="66"/>
      <c r="EL329" s="68">
        <v>45597</v>
      </c>
      <c r="EM329" s="65"/>
      <c r="EN329" s="64"/>
      <c r="EP329" s="66"/>
      <c r="EQ329" s="68">
        <v>45627</v>
      </c>
      <c r="ER329" s="65"/>
      <c r="ES329" s="67"/>
    </row>
    <row r="330" spans="1:149" ht="31.5" x14ac:dyDescent="0.25">
      <c r="A330" s="1" t="s">
        <v>0</v>
      </c>
      <c r="B330" s="2" t="s">
        <v>1</v>
      </c>
      <c r="C330" s="3" t="s">
        <v>2</v>
      </c>
      <c r="D330" s="2" t="s">
        <v>3</v>
      </c>
      <c r="F330" s="4">
        <v>44775</v>
      </c>
      <c r="G330" s="5">
        <v>283913.89199999999</v>
      </c>
      <c r="H330" s="5">
        <f>G330-G329</f>
        <v>2565.7239999999874</v>
      </c>
      <c r="I330" s="2" t="s">
        <v>3</v>
      </c>
      <c r="K330" s="1" t="s">
        <v>0</v>
      </c>
      <c r="L330" s="2" t="s">
        <v>1</v>
      </c>
      <c r="M330" s="3" t="s">
        <v>2</v>
      </c>
      <c r="N330" s="2" t="s">
        <v>3</v>
      </c>
      <c r="P330" s="1" t="s">
        <v>0</v>
      </c>
      <c r="Q330" s="2" t="s">
        <v>1</v>
      </c>
      <c r="R330" s="3" t="s">
        <v>2</v>
      </c>
      <c r="S330" s="2" t="s">
        <v>3</v>
      </c>
      <c r="U330" s="1" t="s">
        <v>0</v>
      </c>
      <c r="V330" s="2" t="s">
        <v>1</v>
      </c>
      <c r="W330" s="3" t="s">
        <v>2</v>
      </c>
      <c r="X330" s="2" t="s">
        <v>3</v>
      </c>
      <c r="Z330" s="1" t="s">
        <v>0</v>
      </c>
      <c r="AA330" s="2" t="s">
        <v>1</v>
      </c>
      <c r="AB330" s="3" t="s">
        <v>2</v>
      </c>
      <c r="AC330" s="2" t="s">
        <v>3</v>
      </c>
      <c r="AE330" s="1" t="s">
        <v>0</v>
      </c>
      <c r="AF330" s="2" t="s">
        <v>1</v>
      </c>
      <c r="AG330" s="3" t="s">
        <v>2</v>
      </c>
      <c r="AH330" s="2" t="s">
        <v>3</v>
      </c>
      <c r="AJ330" s="1" t="s">
        <v>0</v>
      </c>
      <c r="AK330" s="2" t="s">
        <v>1</v>
      </c>
      <c r="AL330" s="3" t="s">
        <v>2</v>
      </c>
      <c r="AM330" s="2" t="s">
        <v>3</v>
      </c>
      <c r="AO330" s="1" t="s">
        <v>0</v>
      </c>
      <c r="AP330" s="2" t="s">
        <v>1</v>
      </c>
      <c r="AQ330" s="3" t="s">
        <v>2</v>
      </c>
      <c r="AR330" s="2" t="s">
        <v>3</v>
      </c>
      <c r="AT330" s="1" t="s">
        <v>0</v>
      </c>
      <c r="AU330" s="2" t="s">
        <v>1</v>
      </c>
      <c r="AV330" s="3" t="s">
        <v>2</v>
      </c>
      <c r="AW330" s="2" t="s">
        <v>3</v>
      </c>
      <c r="AY330" s="1" t="s">
        <v>0</v>
      </c>
      <c r="AZ330" s="2" t="s">
        <v>1</v>
      </c>
      <c r="BA330" s="3" t="s">
        <v>2</v>
      </c>
      <c r="BB330" s="2" t="s">
        <v>3</v>
      </c>
      <c r="BD330" s="1" t="s">
        <v>0</v>
      </c>
      <c r="BE330" s="2" t="s">
        <v>1</v>
      </c>
      <c r="BF330" s="3" t="s">
        <v>2</v>
      </c>
      <c r="BG330" s="2" t="s">
        <v>3</v>
      </c>
      <c r="BI330" s="1" t="s">
        <v>0</v>
      </c>
      <c r="BJ330" s="2" t="s">
        <v>1</v>
      </c>
      <c r="BK330" s="3" t="s">
        <v>2</v>
      </c>
      <c r="BL330" s="2" t="s">
        <v>3</v>
      </c>
      <c r="BN330" s="1" t="s">
        <v>0</v>
      </c>
      <c r="BO330" s="2" t="s">
        <v>1</v>
      </c>
      <c r="BP330" s="3" t="s">
        <v>2</v>
      </c>
      <c r="BQ330" s="2" t="s">
        <v>3</v>
      </c>
      <c r="BS330" s="1" t="s">
        <v>0</v>
      </c>
      <c r="BT330" s="2" t="s">
        <v>1</v>
      </c>
      <c r="BU330" s="3" t="s">
        <v>2</v>
      </c>
      <c r="BV330" s="2" t="s">
        <v>3</v>
      </c>
      <c r="BX330" s="1" t="s">
        <v>0</v>
      </c>
      <c r="BY330" s="2" t="s">
        <v>1</v>
      </c>
      <c r="BZ330" s="3" t="s">
        <v>2</v>
      </c>
      <c r="CA330" s="2" t="s">
        <v>3</v>
      </c>
      <c r="CC330" s="1" t="s">
        <v>0</v>
      </c>
      <c r="CD330" s="2" t="s">
        <v>1</v>
      </c>
      <c r="CE330" s="3" t="s">
        <v>2</v>
      </c>
      <c r="CF330" s="2" t="s">
        <v>3</v>
      </c>
      <c r="CH330" s="1" t="s">
        <v>0</v>
      </c>
      <c r="CI330" s="2" t="s">
        <v>1</v>
      </c>
      <c r="CJ330" s="3" t="s">
        <v>2</v>
      </c>
      <c r="CK330" s="2" t="s">
        <v>3</v>
      </c>
      <c r="CM330" s="1" t="s">
        <v>0</v>
      </c>
      <c r="CN330" s="2" t="s">
        <v>1</v>
      </c>
      <c r="CO330" s="3" t="s">
        <v>2</v>
      </c>
      <c r="CP330" s="2" t="s">
        <v>3</v>
      </c>
      <c r="CR330" s="1" t="s">
        <v>0</v>
      </c>
      <c r="CS330" s="2" t="s">
        <v>1</v>
      </c>
      <c r="CT330" s="3" t="s">
        <v>2</v>
      </c>
      <c r="CU330" s="2" t="s">
        <v>3</v>
      </c>
      <c r="CW330" s="1" t="s">
        <v>0</v>
      </c>
      <c r="CX330" s="2" t="s">
        <v>1</v>
      </c>
      <c r="CY330" s="3" t="s">
        <v>2</v>
      </c>
      <c r="CZ330" s="2" t="s">
        <v>3</v>
      </c>
      <c r="DB330" s="1" t="s">
        <v>0</v>
      </c>
      <c r="DC330" s="2" t="s">
        <v>1</v>
      </c>
      <c r="DD330" s="3" t="s">
        <v>2</v>
      </c>
      <c r="DE330" s="2" t="s">
        <v>3</v>
      </c>
      <c r="DG330" s="1" t="s">
        <v>0</v>
      </c>
      <c r="DH330" s="2" t="s">
        <v>1</v>
      </c>
      <c r="DI330" s="3" t="s">
        <v>2</v>
      </c>
      <c r="DJ330" s="2" t="s">
        <v>3</v>
      </c>
      <c r="DL330" s="1" t="s">
        <v>0</v>
      </c>
      <c r="DM330" s="2" t="s">
        <v>1</v>
      </c>
      <c r="DN330" s="3" t="s">
        <v>2</v>
      </c>
      <c r="DO330" s="2" t="s">
        <v>3</v>
      </c>
      <c r="DQ330" s="1" t="s">
        <v>0</v>
      </c>
      <c r="DR330" s="2" t="s">
        <v>1</v>
      </c>
      <c r="DS330" s="3" t="s">
        <v>2</v>
      </c>
      <c r="DT330" s="2" t="s">
        <v>3</v>
      </c>
      <c r="DV330" s="1" t="s">
        <v>0</v>
      </c>
      <c r="DW330" s="2" t="s">
        <v>1</v>
      </c>
      <c r="DX330" s="3" t="s">
        <v>2</v>
      </c>
      <c r="DY330" s="2" t="s">
        <v>3</v>
      </c>
      <c r="EA330" s="1" t="s">
        <v>0</v>
      </c>
      <c r="EB330" s="2" t="s">
        <v>1</v>
      </c>
      <c r="EC330" s="3" t="s">
        <v>2</v>
      </c>
      <c r="ED330" s="2" t="s">
        <v>3</v>
      </c>
      <c r="EF330" s="1" t="s">
        <v>0</v>
      </c>
      <c r="EG330" s="2" t="s">
        <v>1</v>
      </c>
      <c r="EH330" s="3" t="s">
        <v>2</v>
      </c>
      <c r="EI330" s="2" t="s">
        <v>3</v>
      </c>
      <c r="EK330" s="1" t="s">
        <v>0</v>
      </c>
      <c r="EL330" s="2" t="s">
        <v>1</v>
      </c>
      <c r="EM330" s="3" t="s">
        <v>2</v>
      </c>
      <c r="EN330" s="2" t="s">
        <v>3</v>
      </c>
      <c r="EP330" s="1" t="s">
        <v>0</v>
      </c>
      <c r="EQ330" s="2" t="s">
        <v>1</v>
      </c>
      <c r="ER330" s="3" t="s">
        <v>2</v>
      </c>
      <c r="ES330" s="2" t="s">
        <v>3</v>
      </c>
    </row>
    <row r="331" spans="1:149" ht="15.75" x14ac:dyDescent="0.25">
      <c r="A331" s="4">
        <v>44743</v>
      </c>
      <c r="B331" s="5">
        <v>213922.71100000001</v>
      </c>
      <c r="C331" s="5">
        <f>B331-B323</f>
        <v>2050.5480000000098</v>
      </c>
      <c r="D331" s="6">
        <f>C331/24</f>
        <v>85.439500000000407</v>
      </c>
      <c r="F331" s="4">
        <v>44776</v>
      </c>
      <c r="G331" s="5">
        <v>285024.97200000001</v>
      </c>
      <c r="H331" s="5">
        <f t="shared" ref="H331:H333" si="39">G331-G330</f>
        <v>1111.0800000000163</v>
      </c>
      <c r="I331" s="6">
        <f>H329/24</f>
        <v>115.01933333333243</v>
      </c>
      <c r="K331" s="4">
        <v>44805</v>
      </c>
      <c r="L331" s="5">
        <v>380052.19900000002</v>
      </c>
      <c r="M331" s="5">
        <f>L331-G359</f>
        <v>3347.9720000000088</v>
      </c>
      <c r="N331" s="6">
        <f>M331/24</f>
        <v>139.49883333333369</v>
      </c>
      <c r="P331" s="4">
        <v>44835</v>
      </c>
      <c r="Q331" s="5">
        <v>438089.80300000001</v>
      </c>
      <c r="R331" s="5">
        <f>Q331-L360</f>
        <v>2539.3800000000047</v>
      </c>
      <c r="S331" s="6">
        <f>R331/24</f>
        <v>105.80750000000019</v>
      </c>
      <c r="U331" s="4">
        <v>44866</v>
      </c>
      <c r="V331" s="5">
        <v>514617.549</v>
      </c>
      <c r="W331" s="5">
        <f>V331-Q361</f>
        <v>116.47200000000885</v>
      </c>
      <c r="X331" s="6">
        <f>W331/24</f>
        <v>4.8530000000003684</v>
      </c>
      <c r="Z331" s="4">
        <v>44896</v>
      </c>
      <c r="AA331" s="5">
        <f>V360-V360</f>
        <v>0</v>
      </c>
      <c r="AB331" s="5">
        <f>AA331-V361</f>
        <v>0</v>
      </c>
      <c r="AC331" s="6">
        <f>AB331/24</f>
        <v>0</v>
      </c>
      <c r="AE331" s="4">
        <v>44927</v>
      </c>
      <c r="AF331" s="5">
        <v>637538.77</v>
      </c>
      <c r="AG331" s="5">
        <f>AF331-AA361</f>
        <v>456.87199999997392</v>
      </c>
      <c r="AH331" s="6">
        <f>AG331/24</f>
        <v>19.036333333332248</v>
      </c>
      <c r="AJ331" s="4">
        <v>44958</v>
      </c>
      <c r="AK331" s="7">
        <v>668885.76000000001</v>
      </c>
      <c r="AL331" s="5">
        <f>AK331-AF361</f>
        <v>0</v>
      </c>
      <c r="AM331" s="6">
        <f>AL331/24</f>
        <v>0</v>
      </c>
      <c r="AO331" s="4">
        <v>44986</v>
      </c>
      <c r="AP331" s="7">
        <v>676716.01699999999</v>
      </c>
      <c r="AQ331" s="5">
        <f>AP331-AK358</f>
        <v>556.70400000002701</v>
      </c>
      <c r="AR331" s="6">
        <f>AQ331/24</f>
        <v>23.196000000001124</v>
      </c>
      <c r="AT331" s="4">
        <v>45017</v>
      </c>
      <c r="AU331" s="7">
        <v>716229.17599999998</v>
      </c>
      <c r="AV331" s="5">
        <f>AU331-AP361</f>
        <v>1144.8560000000289</v>
      </c>
      <c r="AW331" s="6">
        <f>AV331/24</f>
        <v>47.702333333334536</v>
      </c>
      <c r="AY331" s="4">
        <v>45047</v>
      </c>
      <c r="AZ331" s="7">
        <v>773825.35199999996</v>
      </c>
      <c r="BA331" s="5">
        <f>AZ331-AU360</f>
        <v>838.90399999998044</v>
      </c>
      <c r="BB331" s="6">
        <f>BA331/24</f>
        <v>34.954333333332521</v>
      </c>
      <c r="BD331" s="4">
        <v>45078</v>
      </c>
      <c r="BE331" s="7">
        <v>833346.321</v>
      </c>
      <c r="BF331" s="5">
        <f>BE331-AZ361</f>
        <v>1386.85699999996</v>
      </c>
      <c r="BG331" s="6">
        <f>BF331/24</f>
        <v>57.785708333331662</v>
      </c>
      <c r="BI331" s="4">
        <v>45108</v>
      </c>
      <c r="BJ331" s="7">
        <v>913369.03</v>
      </c>
      <c r="BK331" s="5">
        <f>BJ331-BE360</f>
        <v>3519.564000000013</v>
      </c>
      <c r="BL331" s="6">
        <f>BK331/24</f>
        <v>146.64850000000055</v>
      </c>
      <c r="BN331" s="4">
        <v>45139</v>
      </c>
      <c r="BO331" s="7">
        <v>22421.786</v>
      </c>
      <c r="BP331" s="5">
        <f>BO331-BJ361</f>
        <v>3880.7279999999992</v>
      </c>
      <c r="BQ331" s="6">
        <f>BP331/24</f>
        <v>161.69699999999997</v>
      </c>
      <c r="BS331" s="4">
        <v>45170</v>
      </c>
      <c r="BT331" s="7">
        <v>129636.962</v>
      </c>
      <c r="BU331" s="5">
        <f>BT331-BO361</f>
        <v>4103.3040000000037</v>
      </c>
      <c r="BV331" s="6">
        <f>BU331/24</f>
        <v>170.97100000000015</v>
      </c>
      <c r="BX331" s="4">
        <v>45200</v>
      </c>
      <c r="BY331" s="7">
        <v>197928.94399999999</v>
      </c>
      <c r="BZ331" s="5">
        <f>BY331-BT360</f>
        <v>3467.8759999999893</v>
      </c>
      <c r="CA331" s="6">
        <f>BZ331/24</f>
        <v>144.49483333333288</v>
      </c>
      <c r="CC331" s="4">
        <v>45231</v>
      </c>
      <c r="CD331" s="7">
        <f>BY361+CE331</f>
        <v>295700</v>
      </c>
      <c r="CE331" s="5">
        <v>3500</v>
      </c>
      <c r="CF331" s="6">
        <f>CE331/24</f>
        <v>145.83333333333334</v>
      </c>
      <c r="CH331" s="4">
        <v>45261</v>
      </c>
      <c r="CI331" s="7">
        <f>CD360+3500</f>
        <v>398950</v>
      </c>
      <c r="CJ331" s="5">
        <v>3500</v>
      </c>
      <c r="CK331" s="6">
        <f>CJ331/24</f>
        <v>145.83333333333334</v>
      </c>
      <c r="CM331" s="4">
        <v>45292</v>
      </c>
      <c r="CN331" s="7">
        <v>272533.511</v>
      </c>
      <c r="CO331" s="5">
        <f>CN331-BY352</f>
        <v>1333.5109999999986</v>
      </c>
      <c r="CP331" s="6">
        <f>CO331/24</f>
        <v>55.562958333333277</v>
      </c>
      <c r="CR331" s="4">
        <v>45323</v>
      </c>
      <c r="CS331" s="7">
        <v>283083.45600000001</v>
      </c>
      <c r="CT331" s="5">
        <f>CS331-CN361</f>
        <v>1141.6840000000084</v>
      </c>
      <c r="CU331" s="6">
        <f>CT331/24</f>
        <v>47.570166666667014</v>
      </c>
      <c r="CW331" s="4">
        <v>45352</v>
      </c>
      <c r="CX331" s="7">
        <v>339379.64899999998</v>
      </c>
      <c r="CY331" s="5">
        <f>CX331-CS359</f>
        <v>3347.5601000000024</v>
      </c>
      <c r="CZ331" s="6">
        <f>CY331/24</f>
        <v>139.48167083333342</v>
      </c>
      <c r="DB331" s="4">
        <v>45383</v>
      </c>
      <c r="DC331" s="7">
        <v>394738.19400000002</v>
      </c>
      <c r="DD331" s="5">
        <f>DC331-CX361</f>
        <v>2476.1959999999963</v>
      </c>
      <c r="DE331" s="6">
        <f>DD331/24</f>
        <v>103.17483333333318</v>
      </c>
      <c r="DG331" s="4">
        <v>45413</v>
      </c>
      <c r="DH331" s="7">
        <v>415306.81599999999</v>
      </c>
      <c r="DI331" s="5">
        <f>DH331-DC360</f>
        <v>919.58799999998882</v>
      </c>
      <c r="DJ331" s="6">
        <f>DI331/24</f>
        <v>38.316166666666199</v>
      </c>
      <c r="DL331" s="4">
        <v>45444</v>
      </c>
      <c r="DM331" s="7">
        <v>443955.76699999999</v>
      </c>
      <c r="DN331" s="5">
        <f>DM331-DH361</f>
        <v>1613.1879999999655</v>
      </c>
      <c r="DO331" s="6">
        <f>DN331/24</f>
        <v>67.216166666665231</v>
      </c>
      <c r="DQ331" s="4">
        <v>45474</v>
      </c>
      <c r="DR331" s="7">
        <v>498109.36499999999</v>
      </c>
      <c r="DS331" s="5">
        <f>DR331-DM360</f>
        <v>3311.0769999999902</v>
      </c>
      <c r="DT331" s="6">
        <f>DS331/24</f>
        <v>137.96154166666625</v>
      </c>
      <c r="DV331" s="4">
        <v>45505</v>
      </c>
      <c r="DW331" s="7">
        <v>577000</v>
      </c>
      <c r="DX331" s="5">
        <f>DW331-DR361</f>
        <v>3350.8880000000354</v>
      </c>
      <c r="DY331" s="6">
        <f>DX331/24</f>
        <v>139.6203333333348</v>
      </c>
      <c r="EA331" s="4">
        <v>45536</v>
      </c>
      <c r="EB331" s="7">
        <v>687690.19700000004</v>
      </c>
      <c r="EC331" s="5">
        <f>EB331-DW361</f>
        <v>3727.1959999999963</v>
      </c>
      <c r="ED331" s="6">
        <f>EC331/24</f>
        <v>155.29983333333317</v>
      </c>
      <c r="EF331" s="4">
        <v>45566</v>
      </c>
      <c r="EG331" s="7">
        <v>759279.70400000003</v>
      </c>
      <c r="EH331" s="5">
        <f>EG331-EB360</f>
        <v>3906.8850000000093</v>
      </c>
      <c r="EI331" s="6">
        <f>EH331/24</f>
        <v>162.78687500000038</v>
      </c>
      <c r="EK331" s="4">
        <v>45597</v>
      </c>
      <c r="EL331" s="7">
        <v>866426.48899999994</v>
      </c>
      <c r="EM331" s="5">
        <f>EL331-EG360</f>
        <v>7491.2519999999786</v>
      </c>
      <c r="EN331" s="6">
        <f>EM331/24</f>
        <v>312.13549999999913</v>
      </c>
      <c r="EP331" s="4">
        <v>45627</v>
      </c>
      <c r="EQ331" s="7">
        <v>931472.80299999996</v>
      </c>
      <c r="ER331" s="5">
        <f>EQ331-EL360</f>
        <v>134.25599999993574</v>
      </c>
      <c r="ES331" s="6">
        <f>ER331/24</f>
        <v>5.5939999999973224</v>
      </c>
    </row>
    <row r="332" spans="1:149" ht="15.75" x14ac:dyDescent="0.25">
      <c r="A332" s="4">
        <v>44744</v>
      </c>
      <c r="B332" s="5">
        <v>215011.12299999999</v>
      </c>
      <c r="C332" s="5">
        <f>B332-B331</f>
        <v>1088.4119999999821</v>
      </c>
      <c r="D332" s="6">
        <f t="shared" ref="D332:D362" si="40">C332/24</f>
        <v>45.350499999999251</v>
      </c>
      <c r="F332" s="4">
        <v>44777</v>
      </c>
      <c r="G332" s="5">
        <v>286725.86</v>
      </c>
      <c r="H332" s="5">
        <f t="shared" si="39"/>
        <v>1700.8879999999772</v>
      </c>
      <c r="I332" s="6">
        <f t="shared" ref="I332:I334" si="41">H330/24</f>
        <v>106.90516666666615</v>
      </c>
      <c r="K332" s="4">
        <v>44806</v>
      </c>
      <c r="L332" s="5">
        <v>383088.571</v>
      </c>
      <c r="M332" s="5">
        <f>L332-L331</f>
        <v>3036.3719999999739</v>
      </c>
      <c r="N332" s="6">
        <f t="shared" ref="N332:N334" si="42">M332/24</f>
        <v>126.51549999999891</v>
      </c>
      <c r="P332" s="4">
        <v>44836</v>
      </c>
      <c r="Q332" s="5">
        <v>440715.51199999999</v>
      </c>
      <c r="R332" s="5">
        <f>Q332-Q331</f>
        <v>2625.7089999999735</v>
      </c>
      <c r="S332" s="6">
        <f t="shared" ref="S332:S334" si="43">R332/24</f>
        <v>109.40454166666557</v>
      </c>
      <c r="U332" s="4">
        <v>44867</v>
      </c>
      <c r="V332" s="5">
        <v>515768.90100000001</v>
      </c>
      <c r="W332" s="5">
        <f>V332-V331</f>
        <v>1151.3520000000135</v>
      </c>
      <c r="X332" s="6">
        <f t="shared" ref="X332:X334" si="44">W332/24</f>
        <v>47.97300000000056</v>
      </c>
      <c r="Z332" s="4">
        <v>44897</v>
      </c>
      <c r="AA332" s="5">
        <v>588811.679</v>
      </c>
      <c r="AB332" s="5">
        <f>AA332-V360</f>
        <v>1610.5400000000373</v>
      </c>
      <c r="AC332" s="6">
        <f>AB332/24</f>
        <v>67.105833333334886</v>
      </c>
      <c r="AE332" s="4">
        <v>44928</v>
      </c>
      <c r="AF332" s="5">
        <v>637538.77</v>
      </c>
      <c r="AG332" s="5">
        <f t="shared" ref="AG332" si="45">AF332-AF331</f>
        <v>0</v>
      </c>
      <c r="AH332" s="6">
        <f>AG332/24</f>
        <v>0</v>
      </c>
      <c r="AJ332" s="4">
        <v>44959</v>
      </c>
      <c r="AK332" s="5">
        <v>668970.61199999996</v>
      </c>
      <c r="AL332" s="5">
        <f>AK332-AK331</f>
        <v>84.851999999955297</v>
      </c>
      <c r="AM332" s="6">
        <f>AL332/24</f>
        <v>3.5354999999981374</v>
      </c>
      <c r="AO332" s="4">
        <v>44987</v>
      </c>
      <c r="AP332" s="5">
        <v>676985.25699999998</v>
      </c>
      <c r="AQ332" s="5">
        <f>AP332-AP331</f>
        <v>269.23999999999069</v>
      </c>
      <c r="AR332" s="6">
        <f>AQ332/24</f>
        <v>11.218333333332945</v>
      </c>
      <c r="AT332" s="4">
        <v>45018</v>
      </c>
      <c r="AU332" s="5">
        <v>717987.13199999998</v>
      </c>
      <c r="AV332" s="5">
        <f>AU332-AU331</f>
        <v>1757.9560000000056</v>
      </c>
      <c r="AW332" s="6">
        <f>AV332/24</f>
        <v>73.248166666666904</v>
      </c>
      <c r="AY332" s="4">
        <v>45048</v>
      </c>
      <c r="AZ332" s="5">
        <v>774101.57200000004</v>
      </c>
      <c r="BA332" s="5">
        <f>AZ332-AZ331</f>
        <v>276.22000000008848</v>
      </c>
      <c r="BB332" s="6">
        <f>BA332/24</f>
        <v>11.509166666670353</v>
      </c>
      <c r="BD332" s="4">
        <v>45079</v>
      </c>
      <c r="BE332" s="5">
        <v>833850.47699999996</v>
      </c>
      <c r="BF332" s="5">
        <f>BE332-BE331</f>
        <v>504.15599999995902</v>
      </c>
      <c r="BG332" s="6">
        <f>BF332/24</f>
        <v>21.006499999998294</v>
      </c>
      <c r="BI332" s="4">
        <v>45109</v>
      </c>
      <c r="BJ332" s="5">
        <v>916554.74600000004</v>
      </c>
      <c r="BK332" s="5">
        <f>BJ332-BJ331</f>
        <v>3185.7160000000149</v>
      </c>
      <c r="BL332" s="6">
        <f>BK332/24</f>
        <v>132.7381666666673</v>
      </c>
      <c r="BN332" s="4">
        <v>45140</v>
      </c>
      <c r="BO332" s="5">
        <v>26101.15</v>
      </c>
      <c r="BP332" s="5">
        <f>BO332-BO331</f>
        <v>3679.3640000000014</v>
      </c>
      <c r="BQ332" s="6">
        <f>BP332/24</f>
        <v>153.3068333333334</v>
      </c>
      <c r="BS332" s="4">
        <v>45171</v>
      </c>
      <c r="BT332" s="5">
        <v>133446.96299999999</v>
      </c>
      <c r="BU332" s="5">
        <f>BT332-BT331</f>
        <v>3810.0009999999893</v>
      </c>
      <c r="BV332" s="6">
        <f>BU332/24</f>
        <v>158.75004166666622</v>
      </c>
      <c r="BX332" s="4">
        <v>45201</v>
      </c>
      <c r="BY332" s="5">
        <v>200975.448</v>
      </c>
      <c r="BZ332" s="5">
        <f t="shared" ref="BZ332:BZ360" si="46">BY332-BY331</f>
        <v>3046.5040000000154</v>
      </c>
      <c r="CA332" s="6">
        <f>BZ332/24</f>
        <v>126.93766666666731</v>
      </c>
      <c r="CC332" s="4">
        <v>45232</v>
      </c>
      <c r="CD332" s="5">
        <f>CD331+CE332</f>
        <v>299200</v>
      </c>
      <c r="CE332" s="5">
        <v>3500</v>
      </c>
      <c r="CF332" s="6">
        <f>CE332/24</f>
        <v>145.83333333333334</v>
      </c>
      <c r="CH332" s="4">
        <v>45262</v>
      </c>
      <c r="CI332" s="5">
        <f>CI331+CJ332</f>
        <v>402450</v>
      </c>
      <c r="CJ332" s="5">
        <v>3500</v>
      </c>
      <c r="CK332" s="6">
        <f>CJ332/24</f>
        <v>145.83333333333334</v>
      </c>
      <c r="CM332" s="4">
        <v>45293</v>
      </c>
      <c r="CN332" s="7">
        <v>273000</v>
      </c>
      <c r="CO332" s="5">
        <f>CN332-CN331</f>
        <v>466.4890000000014</v>
      </c>
      <c r="CP332" s="6">
        <f>CO332/24</f>
        <v>19.437041666666726</v>
      </c>
      <c r="CR332" s="4">
        <v>45324</v>
      </c>
      <c r="CS332" s="7">
        <v>283589.02399999998</v>
      </c>
      <c r="CT332" s="5">
        <f>CS332-CS331</f>
        <v>505.5679999999702</v>
      </c>
      <c r="CU332" s="6">
        <f>CT332/24</f>
        <v>21.065333333332092</v>
      </c>
      <c r="CW332" s="4">
        <v>45353</v>
      </c>
      <c r="CX332" s="7">
        <v>342753.46100000001</v>
      </c>
      <c r="CY332" s="5">
        <f>CX332-CX331</f>
        <v>3373.8120000000345</v>
      </c>
      <c r="CZ332" s="6">
        <f>CY332/24</f>
        <v>140.57550000000143</v>
      </c>
      <c r="DB332" s="4">
        <v>45384</v>
      </c>
      <c r="DC332" s="7">
        <v>395685.60700000002</v>
      </c>
      <c r="DD332" s="5">
        <f>DC332-DC331</f>
        <v>947.41300000000047</v>
      </c>
      <c r="DE332" s="6">
        <f>DD332/24</f>
        <v>39.475541666666686</v>
      </c>
      <c r="DG332" s="4">
        <v>45414</v>
      </c>
      <c r="DH332" s="7">
        <v>417157.60499999998</v>
      </c>
      <c r="DI332" s="5">
        <f>DH332-DH331</f>
        <v>1850.7889999999898</v>
      </c>
      <c r="DJ332" s="6">
        <f>DI332/24</f>
        <v>77.116208333332906</v>
      </c>
      <c r="DL332" s="4">
        <v>45445</v>
      </c>
      <c r="DM332" s="7">
        <v>445128.55900000001</v>
      </c>
      <c r="DN332" s="5">
        <f>DM332-DM331</f>
        <v>1172.7920000000158</v>
      </c>
      <c r="DO332" s="6">
        <f>DN332/24</f>
        <v>48.866333333333991</v>
      </c>
      <c r="DQ332" s="4">
        <v>45475</v>
      </c>
      <c r="DR332" s="7">
        <v>501676.21299999999</v>
      </c>
      <c r="DS332" s="5">
        <f>DR332-DR331</f>
        <v>3566.8479999999981</v>
      </c>
      <c r="DT332" s="6">
        <f>DS332/24</f>
        <v>148.6186666666666</v>
      </c>
      <c r="DV332" s="4">
        <v>45506</v>
      </c>
      <c r="DW332" s="7">
        <v>580830.31999999995</v>
      </c>
      <c r="DX332" s="5">
        <f>DW332-DW331</f>
        <v>3830.3199999999488</v>
      </c>
      <c r="DY332" s="6">
        <f>DX332/24</f>
        <v>159.59666666666453</v>
      </c>
      <c r="EA332" s="4">
        <v>45537</v>
      </c>
      <c r="EB332" s="7">
        <v>691303.94499999995</v>
      </c>
      <c r="EC332" s="5">
        <f>EB332-EB331</f>
        <v>3613.747999999905</v>
      </c>
      <c r="ED332" s="6">
        <f>EC332/24</f>
        <v>150.57283333332938</v>
      </c>
      <c r="EF332" s="4">
        <v>45567</v>
      </c>
      <c r="EG332" s="7">
        <v>763133.49600000004</v>
      </c>
      <c r="EH332" s="5">
        <f>EG332-EG331</f>
        <v>3853.7920000000158</v>
      </c>
      <c r="EI332" s="6">
        <f t="shared" ref="EI332:EI361" si="47">EH332/24</f>
        <v>160.57466666666733</v>
      </c>
      <c r="EK332" s="4">
        <v>45598</v>
      </c>
      <c r="EL332" s="7">
        <v>869871.89399999997</v>
      </c>
      <c r="EM332" s="5">
        <f>EL332-EL331</f>
        <v>3445.4050000000279</v>
      </c>
      <c r="EN332" s="6">
        <f t="shared" ref="EN332:EN362" si="48">EM332/24</f>
        <v>143.55854166666782</v>
      </c>
      <c r="EP332" s="4">
        <v>45628</v>
      </c>
      <c r="EQ332" s="7">
        <v>931634.27500000002</v>
      </c>
      <c r="ER332" s="5">
        <f>EQ332-EQ331</f>
        <v>161.47200000006706</v>
      </c>
      <c r="ES332" s="6">
        <f t="shared" ref="ES332:ES361" si="49">ER332/24</f>
        <v>6.728000000002794</v>
      </c>
    </row>
    <row r="333" spans="1:149" ht="15.75" x14ac:dyDescent="0.25">
      <c r="A333" s="4">
        <v>44745</v>
      </c>
      <c r="B333" s="5">
        <v>216668.01500000001</v>
      </c>
      <c r="C333" s="5">
        <f t="shared" ref="C333:C361" si="50">B333-B332</f>
        <v>1656.8920000000217</v>
      </c>
      <c r="D333" s="6">
        <f t="shared" si="40"/>
        <v>69.037166666667574</v>
      </c>
      <c r="F333" s="4">
        <v>44778</v>
      </c>
      <c r="G333" s="5">
        <v>289253.12900000002</v>
      </c>
      <c r="H333" s="5">
        <f t="shared" si="39"/>
        <v>2527.2690000000293</v>
      </c>
      <c r="I333" s="6">
        <f t="shared" si="41"/>
        <v>46.295000000000677</v>
      </c>
      <c r="K333" s="4">
        <v>44807</v>
      </c>
      <c r="L333" s="5">
        <v>385927.1</v>
      </c>
      <c r="M333" s="5">
        <f t="shared" ref="M333:M335" si="51">L333-L332</f>
        <v>2838.5289999999804</v>
      </c>
      <c r="N333" s="6">
        <f t="shared" si="42"/>
        <v>118.27204166666586</v>
      </c>
      <c r="P333" s="4">
        <v>44837</v>
      </c>
      <c r="Q333" s="5">
        <v>443203.83600000001</v>
      </c>
      <c r="R333" s="5">
        <f t="shared" ref="R333:R335" si="52">Q333-Q332</f>
        <v>2488.3240000000224</v>
      </c>
      <c r="S333" s="6">
        <f t="shared" si="43"/>
        <v>103.6801666666676</v>
      </c>
      <c r="U333" s="4">
        <v>44868</v>
      </c>
      <c r="V333" s="5">
        <v>517860.64899999998</v>
      </c>
      <c r="W333" s="5">
        <f t="shared" ref="W333:W335" si="53">V333-V332</f>
        <v>2091.7479999999632</v>
      </c>
      <c r="X333" s="6">
        <f t="shared" si="44"/>
        <v>87.156166666665129</v>
      </c>
      <c r="Z333" s="4">
        <v>44898</v>
      </c>
      <c r="AA333" s="5">
        <v>590893.83900000004</v>
      </c>
      <c r="AB333" s="5">
        <f>AA333-AA332</f>
        <v>2082.1600000000326</v>
      </c>
      <c r="AC333" s="6">
        <f t="shared" ref="AC333:AC334" si="54">AB333/24</f>
        <v>86.756666666668025</v>
      </c>
      <c r="AE333" s="4">
        <v>44929</v>
      </c>
      <c r="AF333" s="5">
        <v>637754.13399999996</v>
      </c>
      <c r="AG333" s="5">
        <f>AF333-AF332</f>
        <v>215.36399999994319</v>
      </c>
      <c r="AH333" s="6">
        <f t="shared" ref="AH333:AH334" si="55">AG333/24</f>
        <v>8.9734999999976335</v>
      </c>
      <c r="AJ333" s="4">
        <v>44960</v>
      </c>
      <c r="AK333" s="5">
        <v>669158.71600000001</v>
      </c>
      <c r="AL333" s="5">
        <f>AK333-AK332</f>
        <v>188.10400000005029</v>
      </c>
      <c r="AM333" s="6">
        <f t="shared" ref="AM333:AM334" si="56">AL333/24</f>
        <v>7.8376666666687624</v>
      </c>
      <c r="AO333" s="4">
        <v>44988</v>
      </c>
      <c r="AP333" s="5">
        <v>677437.20900000003</v>
      </c>
      <c r="AQ333" s="5">
        <f>AP333-AP332</f>
        <v>451.95200000004843</v>
      </c>
      <c r="AR333" s="6">
        <f t="shared" ref="AR333:AR334" si="57">AQ333/24</f>
        <v>18.831333333335351</v>
      </c>
      <c r="AT333" s="4">
        <v>45019</v>
      </c>
      <c r="AU333" s="5">
        <v>721139.804</v>
      </c>
      <c r="AV333" s="5">
        <f>AU333-AU332</f>
        <v>3152.6720000000205</v>
      </c>
      <c r="AW333" s="6">
        <f t="shared" ref="AW333:AW334" si="58">AV333/24</f>
        <v>131.36133333333419</v>
      </c>
      <c r="AY333" s="4">
        <v>45049</v>
      </c>
      <c r="AZ333" s="5">
        <v>774437.85600000003</v>
      </c>
      <c r="BA333" s="5">
        <f>AZ333-AZ332</f>
        <v>336.2839999999851</v>
      </c>
      <c r="BB333" s="6">
        <f t="shared" ref="BB333:BB334" si="59">BA333/24</f>
        <v>14.011833333332712</v>
      </c>
      <c r="BD333" s="4">
        <v>45080</v>
      </c>
      <c r="BE333" s="5">
        <v>834649.19299999997</v>
      </c>
      <c r="BF333" s="5">
        <f>BE333-BE332</f>
        <v>798.7160000000149</v>
      </c>
      <c r="BG333" s="6">
        <f t="shared" ref="BG333:BG334" si="60">BF333/24</f>
        <v>33.279833333333954</v>
      </c>
      <c r="BI333" s="4">
        <v>45110</v>
      </c>
      <c r="BJ333" s="5">
        <v>919711.73499999999</v>
      </c>
      <c r="BK333" s="5">
        <f>BJ333-BJ332</f>
        <v>3156.9889999999432</v>
      </c>
      <c r="BL333" s="6">
        <f t="shared" ref="BL333:BL334" si="61">BK333/24</f>
        <v>131.54120833333096</v>
      </c>
      <c r="BN333" s="4">
        <v>45141</v>
      </c>
      <c r="BO333" s="5">
        <v>29915.442999999999</v>
      </c>
      <c r="BP333" s="5">
        <f>BO333-BO332</f>
        <v>3814.2929999999978</v>
      </c>
      <c r="BQ333" s="6">
        <f t="shared" ref="BQ333:BQ334" si="62">BP333/24</f>
        <v>158.92887499999992</v>
      </c>
      <c r="BS333" s="4">
        <v>45172</v>
      </c>
      <c r="BT333" s="5">
        <v>137109.035</v>
      </c>
      <c r="BU333" s="5">
        <f>BT333-BT332</f>
        <v>3662.0720000000147</v>
      </c>
      <c r="BV333" s="6">
        <f t="shared" ref="BV333:BV334" si="63">BU333/24</f>
        <v>152.58633333333395</v>
      </c>
      <c r="BX333" s="4">
        <v>45202</v>
      </c>
      <c r="BY333" s="5">
        <v>204132.12899999999</v>
      </c>
      <c r="BZ333" s="5">
        <f t="shared" si="46"/>
        <v>3156.6809999999823</v>
      </c>
      <c r="CA333" s="6">
        <f t="shared" ref="CA333:CA334" si="64">BZ333/24</f>
        <v>131.52837499999927</v>
      </c>
      <c r="CC333" s="4">
        <v>45233</v>
      </c>
      <c r="CD333" s="5">
        <f>CD332+CE333</f>
        <v>302700</v>
      </c>
      <c r="CE333" s="5">
        <v>3500</v>
      </c>
      <c r="CF333" s="6">
        <f t="shared" ref="CF333:CF334" si="65">CE333/24</f>
        <v>145.83333333333334</v>
      </c>
      <c r="CH333" s="4">
        <v>45263</v>
      </c>
      <c r="CI333" s="5">
        <f>CI332+CJ333</f>
        <v>405950</v>
      </c>
      <c r="CJ333" s="5">
        <v>3500</v>
      </c>
      <c r="CK333" s="6">
        <f t="shared" ref="CK333:CK334" si="66">CJ333/24</f>
        <v>145.83333333333334</v>
      </c>
      <c r="CM333" s="4">
        <v>45294</v>
      </c>
      <c r="CN333" s="5">
        <v>273554.18699999998</v>
      </c>
      <c r="CO333" s="5">
        <f>CN333-CN332</f>
        <v>554.18699999997625</v>
      </c>
      <c r="CP333" s="6">
        <f t="shared" ref="CP333:CP334" si="67">CO333/24</f>
        <v>23.09112499999901</v>
      </c>
      <c r="CR333" s="4">
        <v>45325</v>
      </c>
      <c r="CS333" s="5">
        <v>284161.5</v>
      </c>
      <c r="CT333" s="5">
        <f>CS333-CS332</f>
        <v>572.47600000002421</v>
      </c>
      <c r="CU333" s="6">
        <f t="shared" ref="CU333:CU334" si="68">CT333/24</f>
        <v>23.853166666667676</v>
      </c>
      <c r="CW333" s="4">
        <v>45354</v>
      </c>
      <c r="CX333" s="5">
        <v>346042.99</v>
      </c>
      <c r="CY333" s="5">
        <f>CX333-CX332</f>
        <v>3289.5289999999804</v>
      </c>
      <c r="CZ333" s="6">
        <f t="shared" ref="CZ333:CZ334" si="69">CY333/24</f>
        <v>137.06370833333253</v>
      </c>
      <c r="DB333" s="4">
        <v>45385</v>
      </c>
      <c r="DC333" s="5">
        <v>396168.147</v>
      </c>
      <c r="DD333" s="5">
        <f>DC333-DC332</f>
        <v>482.53999999997905</v>
      </c>
      <c r="DE333" s="6">
        <f t="shared" ref="DE333:DE334" si="70">DD333/24</f>
        <v>20.105833333332459</v>
      </c>
      <c r="DG333" s="4">
        <v>45415</v>
      </c>
      <c r="DH333" s="5">
        <v>418518.91700000002</v>
      </c>
      <c r="DI333" s="5">
        <f>DH333-DH332</f>
        <v>1361.3120000000345</v>
      </c>
      <c r="DJ333" s="6">
        <f t="shared" ref="DJ333:DJ334" si="71">DI333/24</f>
        <v>56.721333333334769</v>
      </c>
      <c r="DL333" s="4">
        <v>45446</v>
      </c>
      <c r="DM333" s="5">
        <v>445874.87099999998</v>
      </c>
      <c r="DN333" s="5">
        <f>DM333-DM332</f>
        <v>746.31199999997625</v>
      </c>
      <c r="DO333" s="6">
        <f t="shared" ref="DO333:DO334" si="72">DN333/24</f>
        <v>31.096333333332343</v>
      </c>
      <c r="DQ333" s="4">
        <v>45476</v>
      </c>
      <c r="DR333" s="5">
        <v>505452.78100000002</v>
      </c>
      <c r="DS333" s="5">
        <f>DR333-DR332</f>
        <v>3776.5680000000284</v>
      </c>
      <c r="DT333" s="6">
        <f t="shared" ref="DT333:DT334" si="73">DS333/24</f>
        <v>157.35700000000119</v>
      </c>
      <c r="DV333" s="4">
        <v>45507</v>
      </c>
      <c r="DW333" s="5">
        <v>584307.80000000005</v>
      </c>
      <c r="DX333" s="5">
        <f>DW333-DW332</f>
        <v>3477.4800000000978</v>
      </c>
      <c r="DY333" s="6">
        <f t="shared" ref="DY333:DY334" si="74">DX333/24</f>
        <v>144.89500000000407</v>
      </c>
      <c r="EA333" s="4">
        <v>45538</v>
      </c>
      <c r="EB333" s="5">
        <v>694494.55799999996</v>
      </c>
      <c r="EC333" s="5">
        <f>EB333-EB332</f>
        <v>3190.6130000000121</v>
      </c>
      <c r="ED333" s="6">
        <f t="shared" ref="ED333:ED334" si="75">EC333/24</f>
        <v>132.94220833333384</v>
      </c>
      <c r="EF333" s="4">
        <v>45568</v>
      </c>
      <c r="EG333" s="5">
        <v>766492.68799999997</v>
      </c>
      <c r="EH333" s="5">
        <f>EG333-EG332</f>
        <v>3359.1919999999227</v>
      </c>
      <c r="EI333" s="6">
        <f t="shared" si="47"/>
        <v>139.96633333333011</v>
      </c>
      <c r="EK333" s="4">
        <v>45599</v>
      </c>
      <c r="EL333" s="5">
        <v>873279.37</v>
      </c>
      <c r="EM333" s="5">
        <f>EL333-EL332</f>
        <v>3407.4760000000242</v>
      </c>
      <c r="EN333" s="6">
        <f t="shared" si="48"/>
        <v>141.97816666666768</v>
      </c>
      <c r="EP333" s="4">
        <v>45629</v>
      </c>
      <c r="EQ333" s="5">
        <v>932208.99899999995</v>
      </c>
      <c r="ER333" s="5">
        <f>EQ333-EQ332</f>
        <v>574.72399999992922</v>
      </c>
      <c r="ES333" s="6">
        <f t="shared" si="49"/>
        <v>23.946833333330385</v>
      </c>
    </row>
    <row r="334" spans="1:149" ht="15.75" x14ac:dyDescent="0.25">
      <c r="A334" s="4">
        <v>44746</v>
      </c>
      <c r="B334" s="5">
        <v>219037.49100000001</v>
      </c>
      <c r="C334" s="5">
        <f t="shared" si="50"/>
        <v>2369.4759999999951</v>
      </c>
      <c r="D334" s="6">
        <f t="shared" si="40"/>
        <v>98.728166666666468</v>
      </c>
      <c r="F334" s="4">
        <v>44779</v>
      </c>
      <c r="G334" s="5">
        <v>292442.04499999998</v>
      </c>
      <c r="H334" s="5">
        <f>G334-G333</f>
        <v>3188.9159999999683</v>
      </c>
      <c r="I334" s="6">
        <f t="shared" si="41"/>
        <v>70.870333333332383</v>
      </c>
      <c r="K334" s="4">
        <v>44808</v>
      </c>
      <c r="L334" s="5">
        <v>388793.68</v>
      </c>
      <c r="M334" s="5">
        <f t="shared" si="51"/>
        <v>2866.5800000000163</v>
      </c>
      <c r="N334" s="6">
        <f t="shared" si="42"/>
        <v>119.44083333333401</v>
      </c>
      <c r="P334" s="4">
        <v>44838</v>
      </c>
      <c r="Q334" s="5">
        <v>445703.87199999997</v>
      </c>
      <c r="R334" s="5">
        <f t="shared" si="52"/>
        <v>2500.0359999999637</v>
      </c>
      <c r="S334" s="6">
        <f t="shared" si="43"/>
        <v>104.16816666666516</v>
      </c>
      <c r="U334" s="4">
        <v>44869</v>
      </c>
      <c r="V334" s="5">
        <v>520567.81300000002</v>
      </c>
      <c r="W334" s="5">
        <f t="shared" si="53"/>
        <v>2707.164000000048</v>
      </c>
      <c r="X334" s="6">
        <f t="shared" si="44"/>
        <v>112.79850000000199</v>
      </c>
      <c r="Z334" s="4">
        <v>44899</v>
      </c>
      <c r="AA334" s="5">
        <v>590893.83900000004</v>
      </c>
      <c r="AB334" s="5">
        <f t="shared" ref="AB334:AB335" si="76">AA334-AA333</f>
        <v>0</v>
      </c>
      <c r="AC334" s="6">
        <f t="shared" si="54"/>
        <v>0</v>
      </c>
      <c r="AE334" s="4">
        <v>44930</v>
      </c>
      <c r="AF334" s="5">
        <v>637754.13399999996</v>
      </c>
      <c r="AG334" s="5">
        <f t="shared" ref="AG334:AG335" si="77">AF334-AF333</f>
        <v>0</v>
      </c>
      <c r="AH334" s="6">
        <f t="shared" si="55"/>
        <v>0</v>
      </c>
      <c r="AJ334" s="4">
        <v>44961</v>
      </c>
      <c r="AK334" s="5">
        <v>669314.16799999995</v>
      </c>
      <c r="AL334" s="5">
        <f t="shared" ref="AL334:AL335" si="78">AK334-AK333</f>
        <v>155.45199999993201</v>
      </c>
      <c r="AM334" s="6">
        <f t="shared" si="56"/>
        <v>6.4771666666638339</v>
      </c>
      <c r="AO334" s="4">
        <v>44989</v>
      </c>
      <c r="AP334" s="5">
        <v>677825.14500000002</v>
      </c>
      <c r="AQ334" s="5">
        <f t="shared" ref="AQ334:AQ335" si="79">AP334-AP333</f>
        <v>387.93599999998696</v>
      </c>
      <c r="AR334" s="6">
        <f t="shared" si="57"/>
        <v>16.163999999999458</v>
      </c>
      <c r="AT334" s="4">
        <v>45020</v>
      </c>
      <c r="AU334" s="5">
        <v>724281.74100000004</v>
      </c>
      <c r="AV334" s="5">
        <f t="shared" ref="AV334:AV335" si="80">AU334-AU333</f>
        <v>3141.9370000000345</v>
      </c>
      <c r="AW334" s="6">
        <f t="shared" si="58"/>
        <v>130.91404166666811</v>
      </c>
      <c r="AY334" s="4">
        <v>45050</v>
      </c>
      <c r="AZ334" s="5">
        <v>775093.09199999995</v>
      </c>
      <c r="BA334" s="5">
        <f t="shared" ref="BA334:BA335" si="81">AZ334-AZ333</f>
        <v>655.23599999991711</v>
      </c>
      <c r="BB334" s="6">
        <f t="shared" si="59"/>
        <v>27.301499999996548</v>
      </c>
      <c r="BD334" s="4">
        <v>45081</v>
      </c>
      <c r="BE334" s="5">
        <v>837933.15300000005</v>
      </c>
      <c r="BF334" s="5">
        <f t="shared" ref="BF334:BF335" si="82">BE334-BE333</f>
        <v>3283.9600000000792</v>
      </c>
      <c r="BG334" s="6">
        <f t="shared" si="60"/>
        <v>136.83166666666997</v>
      </c>
      <c r="BI334" s="4">
        <v>45111</v>
      </c>
      <c r="BJ334" s="5">
        <v>922988.61899999995</v>
      </c>
      <c r="BK334" s="5">
        <f t="shared" ref="BK334:BK335" si="83">BJ334-BJ333</f>
        <v>3276.8839999999618</v>
      </c>
      <c r="BL334" s="6">
        <f t="shared" si="61"/>
        <v>136.53683333333174</v>
      </c>
      <c r="BN334" s="4">
        <v>45142</v>
      </c>
      <c r="BO334" s="5">
        <v>33650.898999999998</v>
      </c>
      <c r="BP334" s="5">
        <f t="shared" ref="BP334:BP335" si="84">BO334-BO333</f>
        <v>3735.4559999999983</v>
      </c>
      <c r="BQ334" s="6">
        <f t="shared" si="62"/>
        <v>155.64399999999992</v>
      </c>
      <c r="BS334" s="4">
        <v>45173</v>
      </c>
      <c r="BT334" s="5">
        <v>140175.715</v>
      </c>
      <c r="BU334" s="5">
        <f t="shared" ref="BU334:BU335" si="85">BT334-BT333</f>
        <v>3066.679999999993</v>
      </c>
      <c r="BV334" s="6">
        <f t="shared" si="63"/>
        <v>127.77833333333304</v>
      </c>
      <c r="BX334" s="4">
        <v>45203</v>
      </c>
      <c r="BY334" s="5">
        <v>207443.00099999999</v>
      </c>
      <c r="BZ334" s="5">
        <f t="shared" si="46"/>
        <v>3310.872000000003</v>
      </c>
      <c r="CA334" s="6">
        <f t="shared" si="64"/>
        <v>137.95300000000012</v>
      </c>
      <c r="CC334" s="4">
        <v>45234</v>
      </c>
      <c r="CD334" s="5">
        <f t="shared" ref="CD334:CD360" si="86">CD333+CE334</f>
        <v>306200</v>
      </c>
      <c r="CE334" s="5">
        <v>3500</v>
      </c>
      <c r="CF334" s="6">
        <f t="shared" si="65"/>
        <v>145.83333333333334</v>
      </c>
      <c r="CH334" s="4">
        <v>45264</v>
      </c>
      <c r="CI334" s="5">
        <f t="shared" ref="CI334:CI361" si="87">CI333+CJ334</f>
        <v>407750</v>
      </c>
      <c r="CJ334" s="5">
        <v>1800</v>
      </c>
      <c r="CK334" s="6">
        <f t="shared" si="66"/>
        <v>75</v>
      </c>
      <c r="CM334" s="4">
        <v>45295</v>
      </c>
      <c r="CN334" s="5">
        <f>273663.295</f>
        <v>273663.29499999998</v>
      </c>
      <c r="CO334" s="5">
        <f t="shared" ref="CO334:CO361" si="88">CN334-CN333</f>
        <v>109.10800000000745</v>
      </c>
      <c r="CP334" s="6">
        <f t="shared" si="67"/>
        <v>4.5461666666669771</v>
      </c>
      <c r="CR334" s="4">
        <v>45326</v>
      </c>
      <c r="CS334" s="5">
        <v>284834.3</v>
      </c>
      <c r="CT334" s="5">
        <f t="shared" ref="CT334:CT344" si="89">CS334-CS333</f>
        <v>672.79999999998836</v>
      </c>
      <c r="CU334" s="6">
        <f t="shared" si="68"/>
        <v>28.033333333332848</v>
      </c>
      <c r="CW334" s="4">
        <v>45355</v>
      </c>
      <c r="CX334" s="5">
        <v>349110.81</v>
      </c>
      <c r="CY334" s="5">
        <f t="shared" ref="CY334:CY344" si="90">CX334-CX333</f>
        <v>3067.820000000007</v>
      </c>
      <c r="CZ334" s="6">
        <f t="shared" si="69"/>
        <v>127.82583333333362</v>
      </c>
      <c r="DB334" s="4">
        <v>45386</v>
      </c>
      <c r="DC334" s="5">
        <v>396654.74699999997</v>
      </c>
      <c r="DD334" s="5">
        <f t="shared" ref="DD334:DD344" si="91">DC334-DC333</f>
        <v>486.59999999997672</v>
      </c>
      <c r="DE334" s="6">
        <f t="shared" si="70"/>
        <v>20.274999999999029</v>
      </c>
      <c r="DG334" s="4">
        <v>45416</v>
      </c>
      <c r="DH334" s="5">
        <v>419842.48499999999</v>
      </c>
      <c r="DI334" s="5">
        <f t="shared" ref="DI334:DI356" si="92">DH334-DH333</f>
        <v>1323.5679999999702</v>
      </c>
      <c r="DJ334" s="6">
        <f t="shared" si="71"/>
        <v>55.148666666665427</v>
      </c>
      <c r="DL334" s="4">
        <v>45447</v>
      </c>
      <c r="DM334" s="5">
        <v>446262.79200000002</v>
      </c>
      <c r="DN334" s="5">
        <f t="shared" ref="DN334:DN356" si="93">DM334-DM333</f>
        <v>387.9210000000312</v>
      </c>
      <c r="DO334" s="6">
        <f t="shared" si="72"/>
        <v>16.163375000001299</v>
      </c>
      <c r="DQ334" s="4">
        <v>45477</v>
      </c>
      <c r="DR334" s="5">
        <v>508959.72600000002</v>
      </c>
      <c r="DS334" s="5">
        <f t="shared" ref="DS334:DS356" si="94">DR334-DR333</f>
        <v>3506.945000000007</v>
      </c>
      <c r="DT334" s="6">
        <f t="shared" si="73"/>
        <v>146.12270833333363</v>
      </c>
      <c r="DV334" s="4">
        <v>45508</v>
      </c>
      <c r="DW334" s="5">
        <v>587899.321</v>
      </c>
      <c r="DX334" s="5">
        <f t="shared" ref="DX334:DX356" si="95">DW334-DW333</f>
        <v>3591.5209999999497</v>
      </c>
      <c r="DY334" s="6">
        <f t="shared" si="74"/>
        <v>149.64670833333125</v>
      </c>
      <c r="EA334" s="4">
        <v>45539</v>
      </c>
      <c r="EB334" s="5">
        <v>697468.00600000005</v>
      </c>
      <c r="EC334" s="5">
        <f t="shared" ref="EC334:EC356" si="96">EB334-EB333</f>
        <v>2973.4480000000913</v>
      </c>
      <c r="ED334" s="6">
        <f t="shared" si="75"/>
        <v>123.89366666667047</v>
      </c>
      <c r="EF334" s="4">
        <v>45569</v>
      </c>
      <c r="EG334" s="5">
        <v>770080.45299999998</v>
      </c>
      <c r="EH334" s="5">
        <f t="shared" ref="EH334:EH361" si="97">EG334-EG333</f>
        <v>3587.765000000014</v>
      </c>
      <c r="EI334" s="6">
        <f t="shared" si="47"/>
        <v>149.49020833333392</v>
      </c>
      <c r="EK334" s="4">
        <v>45600</v>
      </c>
      <c r="EL334" s="5">
        <v>875042.76199999999</v>
      </c>
      <c r="EM334" s="5">
        <f t="shared" ref="EM334:EM360" si="98">EL334-EL333</f>
        <v>1763.3919999999925</v>
      </c>
      <c r="EN334" s="6">
        <f t="shared" si="48"/>
        <v>73.474666666666351</v>
      </c>
      <c r="EP334" s="4">
        <v>45630</v>
      </c>
      <c r="EQ334" s="5">
        <v>932779.48699999996</v>
      </c>
      <c r="ER334" s="5">
        <f t="shared" ref="ER334:ER344" si="99">EQ334-EQ333</f>
        <v>570.48800000001211</v>
      </c>
      <c r="ES334" s="6">
        <f t="shared" si="49"/>
        <v>23.770333333333838</v>
      </c>
    </row>
    <row r="335" spans="1:149" ht="15.75" x14ac:dyDescent="0.25">
      <c r="A335" s="4">
        <v>44747</v>
      </c>
      <c r="B335" s="5">
        <v>221508.88800000001</v>
      </c>
      <c r="C335" s="5">
        <f t="shared" si="50"/>
        <v>2471.3969999999972</v>
      </c>
      <c r="D335" s="6">
        <f>C335/24</f>
        <v>102.97487499999988</v>
      </c>
      <c r="F335" s="4">
        <v>44780</v>
      </c>
      <c r="G335" s="5">
        <v>295385.84100000001</v>
      </c>
      <c r="H335" s="5">
        <f t="shared" ref="H335:H359" si="100">G335-G334</f>
        <v>2943.7960000000312</v>
      </c>
      <c r="I335" s="6">
        <f>H333/24</f>
        <v>105.30287500000122</v>
      </c>
      <c r="K335" s="4">
        <v>44809</v>
      </c>
      <c r="L335" s="5">
        <v>388793.68</v>
      </c>
      <c r="M335" s="5">
        <f t="shared" si="51"/>
        <v>0</v>
      </c>
      <c r="N335" s="6">
        <f>M335/24</f>
        <v>0</v>
      </c>
      <c r="P335" s="4">
        <v>44839</v>
      </c>
      <c r="Q335" s="5">
        <v>448816.82</v>
      </c>
      <c r="R335" s="5">
        <f t="shared" si="52"/>
        <v>3112.9480000000331</v>
      </c>
      <c r="S335" s="6">
        <f>R335/24</f>
        <v>129.70616666666805</v>
      </c>
      <c r="U335" s="4">
        <v>44870</v>
      </c>
      <c r="V335" s="5">
        <v>523212.59700000001</v>
      </c>
      <c r="W335" s="5">
        <f t="shared" si="53"/>
        <v>2644.7839999999851</v>
      </c>
      <c r="X335" s="6">
        <f>W335/24</f>
        <v>110.19933333333272</v>
      </c>
      <c r="Z335" s="4">
        <v>44900</v>
      </c>
      <c r="AA335" s="5">
        <v>593763.26300000004</v>
      </c>
      <c r="AB335" s="5">
        <f t="shared" si="76"/>
        <v>2869.4239999999991</v>
      </c>
      <c r="AC335" s="6">
        <f>AB335/24</f>
        <v>119.5593333333333</v>
      </c>
      <c r="AE335" s="4">
        <v>44931</v>
      </c>
      <c r="AF335" s="5">
        <v>637963.01800000004</v>
      </c>
      <c r="AG335" s="5">
        <f t="shared" si="77"/>
        <v>208.88400000007823</v>
      </c>
      <c r="AH335" s="6">
        <f>AG335/24</f>
        <v>8.7035000000032596</v>
      </c>
      <c r="AJ335" s="4">
        <v>44962</v>
      </c>
      <c r="AK335" s="5">
        <v>669456.67200000002</v>
      </c>
      <c r="AL335" s="5">
        <f t="shared" si="78"/>
        <v>142.50400000007357</v>
      </c>
      <c r="AM335" s="6">
        <f>AL335/24</f>
        <v>5.937666666669732</v>
      </c>
      <c r="AO335" s="4">
        <v>44990</v>
      </c>
      <c r="AP335" s="5">
        <v>677825.14500000002</v>
      </c>
      <c r="AQ335" s="5">
        <f t="shared" si="79"/>
        <v>0</v>
      </c>
      <c r="AR335" s="6">
        <f>AQ335/24</f>
        <v>0</v>
      </c>
      <c r="AT335" s="4">
        <v>45021</v>
      </c>
      <c r="AU335" s="5">
        <v>727791.30900000001</v>
      </c>
      <c r="AV335" s="5">
        <f t="shared" si="80"/>
        <v>3509.5679999999702</v>
      </c>
      <c r="AW335" s="6">
        <f>AV335/24</f>
        <v>146.23199999999875</v>
      </c>
      <c r="AY335" s="4">
        <v>45051</v>
      </c>
      <c r="AZ335" s="5">
        <v>777906.35699999996</v>
      </c>
      <c r="BA335" s="5">
        <f t="shared" si="81"/>
        <v>2813.265000000014</v>
      </c>
      <c r="BB335" s="6">
        <f>BA335/24</f>
        <v>117.21937500000058</v>
      </c>
      <c r="BD335" s="4">
        <v>45082</v>
      </c>
      <c r="BE335" s="5">
        <v>841708.26100000006</v>
      </c>
      <c r="BF335" s="5">
        <f t="shared" si="82"/>
        <v>3775.1080000000075</v>
      </c>
      <c r="BG335" s="6">
        <f>BF335/24</f>
        <v>157.29616666666698</v>
      </c>
      <c r="BI335" s="4">
        <v>45112</v>
      </c>
      <c r="BJ335" s="5">
        <v>925193.04700000002</v>
      </c>
      <c r="BK335" s="5">
        <f t="shared" si="83"/>
        <v>2204.4280000000726</v>
      </c>
      <c r="BL335" s="6">
        <f>BK335/24</f>
        <v>91.851166666669698</v>
      </c>
      <c r="BN335" s="4">
        <v>45143</v>
      </c>
      <c r="BO335" s="5">
        <v>36488.199000000001</v>
      </c>
      <c r="BP335" s="5">
        <f t="shared" si="84"/>
        <v>2837.3000000000029</v>
      </c>
      <c r="BQ335" s="6">
        <f>BP335/24</f>
        <v>118.22083333333346</v>
      </c>
      <c r="BS335" s="4">
        <v>45174</v>
      </c>
      <c r="BT335" s="5">
        <v>142767.86300000001</v>
      </c>
      <c r="BU335" s="5">
        <f t="shared" si="85"/>
        <v>2592.1480000000156</v>
      </c>
      <c r="BV335" s="6">
        <f>BU335/24</f>
        <v>108.00616666666731</v>
      </c>
      <c r="BX335" s="4">
        <v>45204</v>
      </c>
      <c r="BY335" s="5">
        <v>210834.28899999999</v>
      </c>
      <c r="BZ335" s="5">
        <f t="shared" si="46"/>
        <v>3391.2880000000005</v>
      </c>
      <c r="CA335" s="6">
        <f>BZ335/24</f>
        <v>141.30366666666669</v>
      </c>
      <c r="CC335" s="4">
        <v>45235</v>
      </c>
      <c r="CD335" s="5">
        <f t="shared" si="86"/>
        <v>309700</v>
      </c>
      <c r="CE335" s="5">
        <v>3500</v>
      </c>
      <c r="CF335" s="6">
        <f>CE335/24</f>
        <v>145.83333333333334</v>
      </c>
      <c r="CH335" s="4">
        <v>45265</v>
      </c>
      <c r="CI335" s="5">
        <f t="shared" si="87"/>
        <v>408725</v>
      </c>
      <c r="CJ335" s="5">
        <v>975</v>
      </c>
      <c r="CK335" s="6">
        <f>CJ335/24</f>
        <v>40.625</v>
      </c>
      <c r="CM335" s="4">
        <v>45296</v>
      </c>
      <c r="CN335" s="5">
        <v>274266.95899999997</v>
      </c>
      <c r="CO335" s="5">
        <f t="shared" si="88"/>
        <v>603.66399999998976</v>
      </c>
      <c r="CP335" s="6">
        <f>CO335/24</f>
        <v>25.152666666666239</v>
      </c>
      <c r="CR335" s="4">
        <v>45327</v>
      </c>
      <c r="CS335" s="5">
        <v>285154.53999999998</v>
      </c>
      <c r="CT335" s="5">
        <f t="shared" si="89"/>
        <v>320.23999999999069</v>
      </c>
      <c r="CU335" s="6">
        <f>CT335/24</f>
        <v>13.343333333332945</v>
      </c>
      <c r="CW335" s="4">
        <v>45356</v>
      </c>
      <c r="CX335" s="5">
        <v>352559.234</v>
      </c>
      <c r="CY335" s="5">
        <f t="shared" si="90"/>
        <v>3448.4239999999991</v>
      </c>
      <c r="CZ335" s="6">
        <f>CY335/24</f>
        <v>143.68433333333329</v>
      </c>
      <c r="DB335" s="4">
        <v>45387</v>
      </c>
      <c r="DC335" s="5">
        <v>396968.71500000003</v>
      </c>
      <c r="DD335" s="5">
        <f t="shared" si="91"/>
        <v>313.96800000005169</v>
      </c>
      <c r="DE335" s="6">
        <f>DD335/24</f>
        <v>13.082000000002154</v>
      </c>
      <c r="DG335" s="4">
        <v>45417</v>
      </c>
      <c r="DH335" s="5">
        <v>420482.74099999998</v>
      </c>
      <c r="DI335" s="5">
        <f t="shared" si="92"/>
        <v>640.25599999999395</v>
      </c>
      <c r="DJ335" s="6">
        <f>DI335/24</f>
        <v>26.677333333333081</v>
      </c>
      <c r="DL335" s="4">
        <v>45448</v>
      </c>
      <c r="DM335" s="5">
        <v>447862</v>
      </c>
      <c r="DN335" s="5">
        <f t="shared" si="93"/>
        <v>1599.2079999999842</v>
      </c>
      <c r="DO335" s="6">
        <f>DN335/24</f>
        <v>66.633666666666002</v>
      </c>
      <c r="DQ335" s="4">
        <v>45478</v>
      </c>
      <c r="DR335" s="5">
        <v>512657.85800000001</v>
      </c>
      <c r="DS335" s="5">
        <f t="shared" si="94"/>
        <v>3698.1319999999832</v>
      </c>
      <c r="DT335" s="6">
        <f>DS335/24</f>
        <v>154.08883333333264</v>
      </c>
      <c r="DV335" s="4">
        <v>45509</v>
      </c>
      <c r="DW335" s="5">
        <v>591745.64899999998</v>
      </c>
      <c r="DX335" s="5">
        <f t="shared" si="95"/>
        <v>3846.3279999999795</v>
      </c>
      <c r="DY335" s="6">
        <f>DX335/24</f>
        <v>160.26366666666581</v>
      </c>
      <c r="EA335" s="4">
        <v>45540</v>
      </c>
      <c r="EB335" s="5">
        <v>700394.99399999995</v>
      </c>
      <c r="EC335" s="5">
        <f t="shared" si="96"/>
        <v>2926.9879999998957</v>
      </c>
      <c r="ED335" s="6">
        <f>EC335/24</f>
        <v>121.95783333332899</v>
      </c>
      <c r="EF335" s="4">
        <v>45570</v>
      </c>
      <c r="EG335" s="5">
        <v>773806.02899999998</v>
      </c>
      <c r="EH335" s="5">
        <f t="shared" si="97"/>
        <v>3725.5760000000009</v>
      </c>
      <c r="EI335" s="6">
        <f t="shared" si="47"/>
        <v>155.23233333333337</v>
      </c>
      <c r="EK335" s="4">
        <v>45601</v>
      </c>
      <c r="EL335" s="5">
        <v>877672.54200000002</v>
      </c>
      <c r="EM335" s="5">
        <f t="shared" si="98"/>
        <v>2629.7800000000279</v>
      </c>
      <c r="EN335" s="6">
        <f t="shared" si="48"/>
        <v>109.57416666666784</v>
      </c>
      <c r="EP335" s="4">
        <v>45631</v>
      </c>
      <c r="EQ335" s="5">
        <v>933016.57900000003</v>
      </c>
      <c r="ER335" s="5">
        <f t="shared" si="99"/>
        <v>237.0920000000624</v>
      </c>
      <c r="ES335" s="6">
        <f t="shared" si="49"/>
        <v>9.8788333333359333</v>
      </c>
    </row>
    <row r="336" spans="1:149" ht="15.75" x14ac:dyDescent="0.25">
      <c r="A336" s="4">
        <v>44748</v>
      </c>
      <c r="B336" s="5">
        <v>222918.24</v>
      </c>
      <c r="C336" s="5">
        <f>B336-B335</f>
        <v>1409.3519999999844</v>
      </c>
      <c r="D336" s="6">
        <f t="shared" si="40"/>
        <v>58.722999999999352</v>
      </c>
      <c r="F336" s="4">
        <v>44781</v>
      </c>
      <c r="G336" s="5">
        <v>297973.897</v>
      </c>
      <c r="H336" s="5">
        <f t="shared" si="100"/>
        <v>2588.0559999999823</v>
      </c>
      <c r="I336" s="6">
        <f t="shared" ref="I336:I362" si="101">H334/24</f>
        <v>132.87149999999869</v>
      </c>
      <c r="K336" s="4">
        <v>44810</v>
      </c>
      <c r="L336" s="5">
        <v>388793.68</v>
      </c>
      <c r="M336" s="5">
        <f>L336-L335</f>
        <v>0</v>
      </c>
      <c r="N336" s="6">
        <f t="shared" ref="N336:N362" si="102">M336/24</f>
        <v>0</v>
      </c>
      <c r="P336" s="4">
        <v>44840</v>
      </c>
      <c r="Q336" s="5">
        <v>451203.89199999999</v>
      </c>
      <c r="R336" s="5">
        <f>Q336-Q335</f>
        <v>2387.0719999999856</v>
      </c>
      <c r="S336" s="6">
        <f t="shared" ref="S336:S361" si="103">R336/24</f>
        <v>99.461333333332732</v>
      </c>
      <c r="U336" s="4">
        <v>44871</v>
      </c>
      <c r="V336" s="5">
        <v>525628.75199999998</v>
      </c>
      <c r="W336" s="5">
        <f>V336-V335</f>
        <v>2416.1549999999697</v>
      </c>
      <c r="X336" s="6">
        <f t="shared" ref="X336:X362" si="104">W336/24</f>
        <v>100.67312499999873</v>
      </c>
      <c r="Z336" s="4">
        <v>44901</v>
      </c>
      <c r="AA336" s="5">
        <v>593795.29500000004</v>
      </c>
      <c r="AB336" s="5">
        <f>AA336-AA335</f>
        <v>32.032000000006519</v>
      </c>
      <c r="AC336" s="6">
        <f t="shared" ref="AC336:AC362" si="105">AB336/24</f>
        <v>1.3346666666669382</v>
      </c>
      <c r="AE336" s="4">
        <v>44932</v>
      </c>
      <c r="AF336" s="5">
        <v>638654.57799999998</v>
      </c>
      <c r="AG336" s="5">
        <f>AF336-AF335</f>
        <v>691.55999999993946</v>
      </c>
      <c r="AH336" s="6">
        <f t="shared" ref="AH336:AH362" si="106">AG336/24</f>
        <v>28.814999999997479</v>
      </c>
      <c r="AJ336" s="4">
        <v>44963</v>
      </c>
      <c r="AK336" s="5">
        <v>669662.99199999997</v>
      </c>
      <c r="AL336" s="5">
        <f>AK336-AK335</f>
        <v>206.31999999994878</v>
      </c>
      <c r="AM336" s="6">
        <f t="shared" ref="AM336:AM362" si="107">AL336/24</f>
        <v>8.5966666666645324</v>
      </c>
      <c r="AO336" s="4">
        <v>44991</v>
      </c>
      <c r="AP336" s="5">
        <v>678628.22900000005</v>
      </c>
      <c r="AQ336" s="5">
        <f>AP336-AP335</f>
        <v>803.08400000003166</v>
      </c>
      <c r="AR336" s="6">
        <f t="shared" ref="AR336:AR361" si="108">AQ336/24</f>
        <v>33.461833333334653</v>
      </c>
      <c r="AT336" s="4">
        <v>45022</v>
      </c>
      <c r="AU336" s="5">
        <v>731124.43299999996</v>
      </c>
      <c r="AV336" s="5">
        <f>AU336-AU335</f>
        <v>3333.1239999999525</v>
      </c>
      <c r="AW336" s="6">
        <f t="shared" ref="AW336:AW362" si="109">AV336/24</f>
        <v>138.88016666666468</v>
      </c>
      <c r="AY336" s="4">
        <v>45052</v>
      </c>
      <c r="AZ336" s="5">
        <v>778169.24100000004</v>
      </c>
      <c r="BA336" s="5">
        <f>AZ336-AZ335</f>
        <v>262.88400000007823</v>
      </c>
      <c r="BB336" s="6">
        <f t="shared" ref="BB336:BB361" si="110">BA336/24</f>
        <v>10.95350000000326</v>
      </c>
      <c r="BD336" s="4">
        <v>45083</v>
      </c>
      <c r="BE336" s="5">
        <v>845163.91700000002</v>
      </c>
      <c r="BF336" s="5">
        <f>BE336-BE335</f>
        <v>3455.655999999959</v>
      </c>
      <c r="BG336" s="6">
        <f t="shared" ref="BG336:BG362" si="111">BF336/24</f>
        <v>143.98566666666497</v>
      </c>
      <c r="BI336" s="4">
        <v>45113</v>
      </c>
      <c r="BJ336" s="5">
        <v>928376.72699999996</v>
      </c>
      <c r="BK336" s="5">
        <f>BJ336-BJ335</f>
        <v>3183.6799999999348</v>
      </c>
      <c r="BL336" s="6">
        <f t="shared" ref="BL336:BL362" si="112">BK336/24</f>
        <v>132.65333333333061</v>
      </c>
      <c r="BN336" s="4">
        <v>45144</v>
      </c>
      <c r="BO336" s="5">
        <v>37681.078999999998</v>
      </c>
      <c r="BP336" s="5">
        <f>BO336-BO335</f>
        <v>1192.8799999999974</v>
      </c>
      <c r="BQ336" s="6">
        <f t="shared" ref="BQ336:BQ362" si="113">BP336/24</f>
        <v>49.703333333333227</v>
      </c>
      <c r="BS336" s="4">
        <v>45175</v>
      </c>
      <c r="BT336" s="5">
        <v>145593.01199999999</v>
      </c>
      <c r="BU336" s="5">
        <f>BT336-BT335</f>
        <v>2825.1489999999758</v>
      </c>
      <c r="BV336" s="6">
        <f t="shared" ref="BV336:BV362" si="114">BU336/24</f>
        <v>117.71454166666565</v>
      </c>
      <c r="BX336" s="4">
        <v>45205</v>
      </c>
      <c r="BY336" s="5">
        <v>214384.18599999999</v>
      </c>
      <c r="BZ336" s="5">
        <f t="shared" si="46"/>
        <v>3549.8969999999972</v>
      </c>
      <c r="CA336" s="6">
        <f t="shared" ref="CA336:CA363" si="115">BZ336/24</f>
        <v>147.91237499999988</v>
      </c>
      <c r="CC336" s="4">
        <v>45236</v>
      </c>
      <c r="CD336" s="5">
        <f t="shared" si="86"/>
        <v>313200</v>
      </c>
      <c r="CE336" s="5">
        <v>3500</v>
      </c>
      <c r="CF336" s="6">
        <f t="shared" ref="CF336:CF362" si="116">CE336/24</f>
        <v>145.83333333333334</v>
      </c>
      <c r="CH336" s="4">
        <v>45266</v>
      </c>
      <c r="CI336" s="5">
        <f t="shared" si="87"/>
        <v>408875</v>
      </c>
      <c r="CJ336" s="5">
        <v>150</v>
      </c>
      <c r="CK336" s="6">
        <f t="shared" ref="CK336:CK362" si="117">CJ336/24</f>
        <v>6.25</v>
      </c>
      <c r="CM336" s="4">
        <v>45297</v>
      </c>
      <c r="CN336" s="5">
        <v>274378.05099999998</v>
      </c>
      <c r="CO336" s="5">
        <f t="shared" si="88"/>
        <v>111.09200000000419</v>
      </c>
      <c r="CP336" s="6">
        <f t="shared" ref="CP336:CP362" si="118">CO336/24</f>
        <v>4.6288333333335077</v>
      </c>
      <c r="CR336" s="4">
        <v>45328</v>
      </c>
      <c r="CS336" s="5">
        <v>285154.53999999998</v>
      </c>
      <c r="CT336" s="5">
        <f t="shared" si="89"/>
        <v>0</v>
      </c>
      <c r="CU336" s="6">
        <f t="shared" ref="CU336:CU362" si="119">CT336/24</f>
        <v>0</v>
      </c>
      <c r="CW336" s="4">
        <v>45357</v>
      </c>
      <c r="CX336" s="5">
        <v>355960.40700000001</v>
      </c>
      <c r="CY336" s="5">
        <f t="shared" si="90"/>
        <v>3401.1730000000098</v>
      </c>
      <c r="CZ336" s="6">
        <f t="shared" ref="CZ336:CZ362" si="120">CY336/24</f>
        <v>141.71554166666706</v>
      </c>
      <c r="DB336" s="4">
        <v>45388</v>
      </c>
      <c r="DC336" s="5">
        <v>397255.40299999999</v>
      </c>
      <c r="DD336" s="5">
        <f t="shared" si="91"/>
        <v>286.68799999996554</v>
      </c>
      <c r="DE336" s="6">
        <f t="shared" ref="DE336:DE362" si="121">DD336/24</f>
        <v>11.945333333331897</v>
      </c>
      <c r="DG336" s="4">
        <v>45418</v>
      </c>
      <c r="DH336" s="5">
        <v>423908.87699999998</v>
      </c>
      <c r="DI336" s="5">
        <f t="shared" si="92"/>
        <v>3426.1359999999986</v>
      </c>
      <c r="DJ336" s="6">
        <f t="shared" ref="DJ336:DJ362" si="122">DI336/24</f>
        <v>142.7556666666666</v>
      </c>
      <c r="DL336" s="4">
        <v>45449</v>
      </c>
      <c r="DM336" s="5">
        <v>449427.21600000001</v>
      </c>
      <c r="DN336" s="5">
        <f t="shared" si="93"/>
        <v>1565.2160000000149</v>
      </c>
      <c r="DO336" s="6">
        <f t="shared" ref="DO336:DO362" si="123">DN336/24</f>
        <v>65.217333333333954</v>
      </c>
      <c r="DQ336" s="4">
        <v>45479</v>
      </c>
      <c r="DR336" s="5">
        <v>516337.13</v>
      </c>
      <c r="DS336" s="5">
        <f t="shared" si="94"/>
        <v>3679.2719999999972</v>
      </c>
      <c r="DT336" s="6">
        <f t="shared" ref="DT336:DT362" si="124">DS336/24</f>
        <v>153.30299999999988</v>
      </c>
      <c r="DV336" s="4">
        <v>45510</v>
      </c>
      <c r="DW336" s="5">
        <v>594190.625</v>
      </c>
      <c r="DX336" s="5">
        <f t="shared" si="95"/>
        <v>2444.9760000000242</v>
      </c>
      <c r="DY336" s="6">
        <f t="shared" ref="DY336:DY362" si="125">DX336/24</f>
        <v>101.874000000001</v>
      </c>
      <c r="EA336" s="4">
        <v>45541</v>
      </c>
      <c r="EB336" s="5">
        <v>703931.08600000001</v>
      </c>
      <c r="EC336" s="5">
        <f t="shared" si="96"/>
        <v>3536.0920000000624</v>
      </c>
      <c r="ED336" s="6">
        <f t="shared" ref="ED336:ED362" si="126">EC336/24</f>
        <v>147.33716666666928</v>
      </c>
      <c r="EF336" s="4">
        <v>45571</v>
      </c>
      <c r="EG336" s="5">
        <v>777442.86499999999</v>
      </c>
      <c r="EH336" s="5">
        <f t="shared" si="97"/>
        <v>3636.8360000000102</v>
      </c>
      <c r="EI336" s="6">
        <f t="shared" si="47"/>
        <v>151.53483333333375</v>
      </c>
      <c r="EK336" s="4">
        <v>45602</v>
      </c>
      <c r="EL336" s="5">
        <v>880073.52300000004</v>
      </c>
      <c r="EM336" s="5">
        <f t="shared" si="98"/>
        <v>2400.9810000000289</v>
      </c>
      <c r="EN336" s="6">
        <f t="shared" si="48"/>
        <v>100.04087500000121</v>
      </c>
      <c r="EP336" s="4">
        <v>45632</v>
      </c>
      <c r="EQ336" s="5">
        <v>933283.43099999998</v>
      </c>
      <c r="ER336" s="5">
        <f t="shared" si="99"/>
        <v>266.8519999999553</v>
      </c>
      <c r="ES336" s="6">
        <f t="shared" si="49"/>
        <v>11.118833333331471</v>
      </c>
    </row>
    <row r="337" spans="1:149" ht="15.75" x14ac:dyDescent="0.25">
      <c r="A337" s="4">
        <v>44749</v>
      </c>
      <c r="B337" s="5">
        <v>224230.84400000001</v>
      </c>
      <c r="C337" s="5">
        <f t="shared" si="50"/>
        <v>1312.6040000000212</v>
      </c>
      <c r="D337" s="6">
        <f t="shared" si="40"/>
        <v>54.691833333334216</v>
      </c>
      <c r="F337" s="4">
        <v>44782</v>
      </c>
      <c r="G337" s="5">
        <v>300148.74099999998</v>
      </c>
      <c r="H337" s="5">
        <f t="shared" si="100"/>
        <v>2174.8439999999828</v>
      </c>
      <c r="I337" s="6">
        <f t="shared" si="101"/>
        <v>122.65816666666797</v>
      </c>
      <c r="K337" s="4">
        <v>44811</v>
      </c>
      <c r="L337" s="5">
        <v>388793.68</v>
      </c>
      <c r="M337" s="5">
        <f t="shared" ref="M337:M358" si="127">L337-L336</f>
        <v>0</v>
      </c>
      <c r="N337" s="6">
        <f t="shared" si="102"/>
        <v>0</v>
      </c>
      <c r="P337" s="4">
        <v>44841</v>
      </c>
      <c r="Q337" s="5">
        <v>453488.70500000002</v>
      </c>
      <c r="R337" s="5">
        <f t="shared" ref="R337:R358" si="128">Q337-Q336</f>
        <v>2284.8130000000237</v>
      </c>
      <c r="S337" s="6">
        <f t="shared" si="103"/>
        <v>95.200541666667661</v>
      </c>
      <c r="U337" s="4">
        <v>44872</v>
      </c>
      <c r="V337" s="5">
        <v>528027.80200000003</v>
      </c>
      <c r="W337" s="5">
        <f t="shared" ref="W337:W358" si="129">V337-V336</f>
        <v>2399.0500000000466</v>
      </c>
      <c r="X337" s="6">
        <f t="shared" si="104"/>
        <v>99.960416666668607</v>
      </c>
      <c r="Z337" s="4">
        <v>44902</v>
      </c>
      <c r="AA337" s="5">
        <v>593992.48300000001</v>
      </c>
      <c r="AB337" s="5">
        <f t="shared" ref="AB337:AB358" si="130">AA337-AA336</f>
        <v>197.18799999996554</v>
      </c>
      <c r="AC337" s="6">
        <f t="shared" si="105"/>
        <v>8.2161666666652309</v>
      </c>
      <c r="AE337" s="4">
        <v>44933</v>
      </c>
      <c r="AF337" s="5">
        <v>638654.57799999998</v>
      </c>
      <c r="AG337" s="5">
        <f t="shared" ref="AG337:AG358" si="131">AF337-AF336</f>
        <v>0</v>
      </c>
      <c r="AH337" s="6">
        <f t="shared" si="106"/>
        <v>0</v>
      </c>
      <c r="AJ337" s="4">
        <v>44964</v>
      </c>
      <c r="AK337" s="5">
        <v>669662.99199999997</v>
      </c>
      <c r="AL337" s="5">
        <f t="shared" ref="AL337:AL358" si="132">AK337-AK336</f>
        <v>0</v>
      </c>
      <c r="AM337" s="6">
        <f t="shared" si="107"/>
        <v>0</v>
      </c>
      <c r="AO337" s="4">
        <v>44992</v>
      </c>
      <c r="AP337" s="5">
        <v>679747.55700000003</v>
      </c>
      <c r="AQ337" s="5">
        <f t="shared" ref="AQ337:AQ361" si="133">AP337-AP336</f>
        <v>1119.3279999999795</v>
      </c>
      <c r="AR337" s="6">
        <f t="shared" si="108"/>
        <v>46.638666666665813</v>
      </c>
      <c r="AT337" s="4">
        <v>45023</v>
      </c>
      <c r="AU337" s="5">
        <v>733974.01699999999</v>
      </c>
      <c r="AV337" s="5">
        <f t="shared" ref="AV337:AV355" si="134">AU337-AU336</f>
        <v>2849.5840000000317</v>
      </c>
      <c r="AW337" s="6">
        <f t="shared" si="109"/>
        <v>118.73266666666798</v>
      </c>
      <c r="AY337" s="4">
        <v>45053</v>
      </c>
      <c r="AZ337" s="5">
        <v>778294.11300000001</v>
      </c>
      <c r="BA337" s="5">
        <f t="shared" ref="BA337:BA349" si="135">AZ337-AZ336</f>
        <v>124.87199999997392</v>
      </c>
      <c r="BB337" s="6">
        <f t="shared" si="110"/>
        <v>5.2029999999989132</v>
      </c>
      <c r="BD337" s="4">
        <v>45084</v>
      </c>
      <c r="BE337" s="5">
        <v>848549.44200000004</v>
      </c>
      <c r="BF337" s="5">
        <f t="shared" ref="BF337:BF349" si="136">BE337-BE336</f>
        <v>3385.5250000000233</v>
      </c>
      <c r="BG337" s="6">
        <f t="shared" si="111"/>
        <v>141.06354166666765</v>
      </c>
      <c r="BI337" s="4">
        <v>45114</v>
      </c>
      <c r="BJ337" s="5">
        <v>932028.66700000002</v>
      </c>
      <c r="BK337" s="5">
        <f t="shared" ref="BK337:BK349" si="137">BJ337-BJ336</f>
        <v>3651.9400000000605</v>
      </c>
      <c r="BL337" s="6">
        <f t="shared" si="112"/>
        <v>152.16416666666919</v>
      </c>
      <c r="BN337" s="4">
        <v>45145</v>
      </c>
      <c r="BO337" s="5">
        <v>39306.207000000002</v>
      </c>
      <c r="BP337" s="5">
        <f t="shared" ref="BP337:BP347" si="138">BO337-BO336</f>
        <v>1625.1280000000042</v>
      </c>
      <c r="BQ337" s="6">
        <f t="shared" si="113"/>
        <v>67.713666666666839</v>
      </c>
      <c r="BS337" s="4">
        <v>45176</v>
      </c>
      <c r="BT337" s="5">
        <v>148599.38399999999</v>
      </c>
      <c r="BU337" s="5">
        <f t="shared" ref="BU337:BU347" si="139">BT337-BT336</f>
        <v>3006.372000000003</v>
      </c>
      <c r="BV337" s="6">
        <f t="shared" si="114"/>
        <v>125.26550000000013</v>
      </c>
      <c r="BX337" s="4">
        <v>45206</v>
      </c>
      <c r="BY337" s="5">
        <v>217712.742</v>
      </c>
      <c r="BZ337" s="5">
        <f t="shared" si="46"/>
        <v>3328.5560000000114</v>
      </c>
      <c r="CA337" s="6">
        <f t="shared" si="115"/>
        <v>138.68983333333381</v>
      </c>
      <c r="CC337" s="4">
        <v>45237</v>
      </c>
      <c r="CD337" s="5">
        <f t="shared" si="86"/>
        <v>316700</v>
      </c>
      <c r="CE337" s="5">
        <v>3500</v>
      </c>
      <c r="CF337" s="6">
        <f t="shared" si="116"/>
        <v>145.83333333333334</v>
      </c>
      <c r="CH337" s="4">
        <v>45267</v>
      </c>
      <c r="CI337" s="5">
        <f t="shared" si="87"/>
        <v>409475</v>
      </c>
      <c r="CJ337" s="5">
        <v>600</v>
      </c>
      <c r="CK337" s="6">
        <f t="shared" si="117"/>
        <v>25</v>
      </c>
      <c r="CM337" s="4">
        <v>45298</v>
      </c>
      <c r="CN337" s="5">
        <v>274587.78700000001</v>
      </c>
      <c r="CO337" s="5">
        <f t="shared" si="88"/>
        <v>209.73600000003353</v>
      </c>
      <c r="CP337" s="6">
        <f t="shared" si="118"/>
        <v>8.739000000001397</v>
      </c>
      <c r="CR337" s="4">
        <v>45329</v>
      </c>
      <c r="CS337" s="5">
        <v>286586.74800000002</v>
      </c>
      <c r="CT337" s="5">
        <f t="shared" si="89"/>
        <v>1432.2080000000424</v>
      </c>
      <c r="CU337" s="6">
        <f t="shared" si="119"/>
        <v>59.675333333335097</v>
      </c>
      <c r="CW337" s="4">
        <v>45358</v>
      </c>
      <c r="CX337" s="5">
        <v>359238.783</v>
      </c>
      <c r="CY337" s="5">
        <f t="shared" si="90"/>
        <v>3278.3759999999893</v>
      </c>
      <c r="CZ337" s="6">
        <f t="shared" si="120"/>
        <v>136.59899999999956</v>
      </c>
      <c r="DB337" s="4">
        <v>45389</v>
      </c>
      <c r="DC337" s="5">
        <v>397368.05499999999</v>
      </c>
      <c r="DD337" s="5">
        <f t="shared" si="91"/>
        <v>112.65200000000186</v>
      </c>
      <c r="DE337" s="6">
        <f t="shared" si="121"/>
        <v>4.6938333333334112</v>
      </c>
      <c r="DG337" s="4">
        <v>45419</v>
      </c>
      <c r="DH337" s="5">
        <v>425685.277</v>
      </c>
      <c r="DI337" s="5">
        <f t="shared" si="92"/>
        <v>1776.4000000000233</v>
      </c>
      <c r="DJ337" s="6">
        <f t="shared" si="122"/>
        <v>74.016666666667632</v>
      </c>
      <c r="DL337" s="4">
        <v>45450</v>
      </c>
      <c r="DM337" s="5">
        <v>450690.96</v>
      </c>
      <c r="DN337" s="5">
        <f t="shared" si="93"/>
        <v>1263.7440000000061</v>
      </c>
      <c r="DO337" s="6">
        <f t="shared" si="123"/>
        <v>52.656000000000255</v>
      </c>
      <c r="DQ337" s="4">
        <v>45480</v>
      </c>
      <c r="DR337" s="5">
        <v>519771.02299999999</v>
      </c>
      <c r="DS337" s="5">
        <f t="shared" si="94"/>
        <v>3433.8929999999818</v>
      </c>
      <c r="DT337" s="6">
        <f t="shared" si="124"/>
        <v>143.07887499999924</v>
      </c>
      <c r="DV337" s="4">
        <v>45511</v>
      </c>
      <c r="DW337" s="5">
        <v>597733.85</v>
      </c>
      <c r="DX337" s="5">
        <f t="shared" si="95"/>
        <v>3543.2249999999767</v>
      </c>
      <c r="DY337" s="6">
        <f t="shared" si="125"/>
        <v>147.63437499999904</v>
      </c>
      <c r="EA337" s="4">
        <v>45542</v>
      </c>
      <c r="EB337" s="5">
        <v>707487.15099999995</v>
      </c>
      <c r="EC337" s="5">
        <f t="shared" si="96"/>
        <v>3556.0649999999441</v>
      </c>
      <c r="ED337" s="6">
        <f t="shared" si="126"/>
        <v>148.16937499999767</v>
      </c>
      <c r="EF337" s="4">
        <v>45572</v>
      </c>
      <c r="EG337" s="5">
        <v>781222.11</v>
      </c>
      <c r="EH337" s="5">
        <f t="shared" si="97"/>
        <v>3779.2449999999953</v>
      </c>
      <c r="EI337" s="6">
        <f t="shared" si="47"/>
        <v>157.46854166666648</v>
      </c>
      <c r="EK337" s="4">
        <v>45603</v>
      </c>
      <c r="EL337" s="5">
        <v>881326.50300000003</v>
      </c>
      <c r="EM337" s="5">
        <f t="shared" si="98"/>
        <v>1252.9799999999814</v>
      </c>
      <c r="EN337" s="6">
        <f t="shared" si="48"/>
        <v>52.207499999999222</v>
      </c>
      <c r="EP337" s="4">
        <v>45633</v>
      </c>
      <c r="EQ337" s="5">
        <v>933495.40300000005</v>
      </c>
      <c r="ER337" s="5">
        <f t="shared" si="99"/>
        <v>211.97200000006706</v>
      </c>
      <c r="ES337" s="6">
        <f t="shared" si="49"/>
        <v>8.83216666666946</v>
      </c>
    </row>
    <row r="338" spans="1:149" ht="15.75" x14ac:dyDescent="0.25">
      <c r="A338" s="4">
        <v>44750</v>
      </c>
      <c r="B338" s="5">
        <v>226160.72399999999</v>
      </c>
      <c r="C338" s="5">
        <f t="shared" si="50"/>
        <v>1929.8799999999756</v>
      </c>
      <c r="D338" s="6">
        <f t="shared" si="40"/>
        <v>80.411666666665653</v>
      </c>
      <c r="F338" s="4">
        <v>44783</v>
      </c>
      <c r="G338" s="5">
        <v>303320.88199999998</v>
      </c>
      <c r="H338" s="5">
        <f t="shared" si="100"/>
        <v>3172.1410000000033</v>
      </c>
      <c r="I338" s="6">
        <f t="shared" si="101"/>
        <v>107.83566666666593</v>
      </c>
      <c r="K338" s="4">
        <v>44812</v>
      </c>
      <c r="L338" s="5">
        <v>388793.68</v>
      </c>
      <c r="M338" s="5">
        <f t="shared" si="127"/>
        <v>0</v>
      </c>
      <c r="N338" s="6">
        <f t="shared" si="102"/>
        <v>0</v>
      </c>
      <c r="P338" s="4">
        <v>44842</v>
      </c>
      <c r="Q338" s="5">
        <v>456159.32500000001</v>
      </c>
      <c r="R338" s="5">
        <f t="shared" si="128"/>
        <v>2670.6199999999953</v>
      </c>
      <c r="S338" s="6">
        <f t="shared" si="103"/>
        <v>111.27583333333314</v>
      </c>
      <c r="U338" s="4">
        <v>44873</v>
      </c>
      <c r="V338" s="5">
        <v>530804.46200000006</v>
      </c>
      <c r="W338" s="5">
        <f t="shared" si="129"/>
        <v>2776.6600000000326</v>
      </c>
      <c r="X338" s="6">
        <f t="shared" si="104"/>
        <v>115.69416666666802</v>
      </c>
      <c r="Z338" s="4">
        <v>44903</v>
      </c>
      <c r="AA338" s="5">
        <v>593992.48300000001</v>
      </c>
      <c r="AB338" s="5">
        <f t="shared" si="130"/>
        <v>0</v>
      </c>
      <c r="AC338" s="6">
        <f t="shared" si="105"/>
        <v>0</v>
      </c>
      <c r="AE338" s="4">
        <v>44934</v>
      </c>
      <c r="AF338" s="5">
        <v>638654.57799999998</v>
      </c>
      <c r="AG338" s="5">
        <f t="shared" si="131"/>
        <v>0</v>
      </c>
      <c r="AH338" s="6">
        <f t="shared" si="106"/>
        <v>0</v>
      </c>
      <c r="AJ338" s="4">
        <v>44965</v>
      </c>
      <c r="AK338" s="5">
        <v>669804.75199999998</v>
      </c>
      <c r="AL338" s="5">
        <f t="shared" si="132"/>
        <v>141.76000000000931</v>
      </c>
      <c r="AM338" s="6">
        <f t="shared" si="107"/>
        <v>5.9066666666670544</v>
      </c>
      <c r="AO338" s="4">
        <v>44993</v>
      </c>
      <c r="AP338" s="5">
        <v>679747.55700000003</v>
      </c>
      <c r="AQ338" s="5">
        <f t="shared" si="133"/>
        <v>0</v>
      </c>
      <c r="AR338" s="6">
        <f t="shared" si="108"/>
        <v>0</v>
      </c>
      <c r="AT338" s="4">
        <v>45024</v>
      </c>
      <c r="AU338" s="5">
        <v>737183.38199999998</v>
      </c>
      <c r="AV338" s="5">
        <f t="shared" si="134"/>
        <v>3209.3649999999907</v>
      </c>
      <c r="AW338" s="6">
        <f t="shared" si="109"/>
        <v>133.72354166666628</v>
      </c>
      <c r="AY338" s="4">
        <v>45054</v>
      </c>
      <c r="AZ338" s="5">
        <v>779020.37699999998</v>
      </c>
      <c r="BA338" s="5">
        <f t="shared" si="135"/>
        <v>726.26399999996647</v>
      </c>
      <c r="BB338" s="6">
        <f t="shared" si="110"/>
        <v>30.260999999998603</v>
      </c>
      <c r="BD338" s="4">
        <v>45085</v>
      </c>
      <c r="BE338" s="5">
        <v>851797.13399999996</v>
      </c>
      <c r="BF338" s="5">
        <f t="shared" si="136"/>
        <v>3247.6919999999227</v>
      </c>
      <c r="BG338" s="6">
        <f t="shared" si="111"/>
        <v>135.32049999999677</v>
      </c>
      <c r="BI338" s="4">
        <v>45115</v>
      </c>
      <c r="BJ338" s="5">
        <v>935074.10800000001</v>
      </c>
      <c r="BK338" s="5">
        <f t="shared" si="137"/>
        <v>3045.4409999999916</v>
      </c>
      <c r="BL338" s="6">
        <f t="shared" si="112"/>
        <v>126.89337499999965</v>
      </c>
      <c r="BN338" s="4">
        <v>45146</v>
      </c>
      <c r="BO338" s="5">
        <v>42433.74</v>
      </c>
      <c r="BP338" s="5">
        <f t="shared" si="138"/>
        <v>3127.5329999999958</v>
      </c>
      <c r="BQ338" s="6">
        <f t="shared" si="113"/>
        <v>130.31387499999983</v>
      </c>
      <c r="BS338" s="4">
        <v>45177</v>
      </c>
      <c r="BT338" s="5">
        <v>151334.236</v>
      </c>
      <c r="BU338" s="5">
        <f t="shared" si="139"/>
        <v>2734.8520000000135</v>
      </c>
      <c r="BV338" s="6">
        <f t="shared" si="114"/>
        <v>113.95216666666722</v>
      </c>
      <c r="BX338" s="4">
        <v>45207</v>
      </c>
      <c r="BY338" s="5">
        <v>221228.44200000001</v>
      </c>
      <c r="BZ338" s="5">
        <f t="shared" si="46"/>
        <v>3515.7000000000116</v>
      </c>
      <c r="CA338" s="6">
        <f t="shared" si="115"/>
        <v>146.48750000000049</v>
      </c>
      <c r="CC338" s="4">
        <v>45238</v>
      </c>
      <c r="CD338" s="5">
        <f t="shared" si="86"/>
        <v>320200</v>
      </c>
      <c r="CE338" s="5">
        <v>3500</v>
      </c>
      <c r="CF338" s="6">
        <f t="shared" si="116"/>
        <v>145.83333333333334</v>
      </c>
      <c r="CH338" s="4">
        <v>45268</v>
      </c>
      <c r="CI338" s="5">
        <f t="shared" si="87"/>
        <v>409625</v>
      </c>
      <c r="CJ338" s="5">
        <v>150</v>
      </c>
      <c r="CK338" s="6">
        <f t="shared" si="117"/>
        <v>6.25</v>
      </c>
      <c r="CM338" s="4">
        <v>45299</v>
      </c>
      <c r="CN338" s="5">
        <v>274681.00900000002</v>
      </c>
      <c r="CO338" s="5">
        <f t="shared" si="88"/>
        <v>93.222000000008848</v>
      </c>
      <c r="CP338" s="6">
        <f t="shared" si="118"/>
        <v>3.8842500000003688</v>
      </c>
      <c r="CR338" s="4">
        <v>45330</v>
      </c>
      <c r="CS338" s="5">
        <v>287340.984</v>
      </c>
      <c r="CT338" s="5">
        <f t="shared" si="89"/>
        <v>754.23599999997532</v>
      </c>
      <c r="CU338" s="6">
        <f t="shared" si="119"/>
        <v>31.42649999999897</v>
      </c>
      <c r="CW338" s="4">
        <v>45359</v>
      </c>
      <c r="CX338" s="5">
        <v>361339.34299999999</v>
      </c>
      <c r="CY338" s="5">
        <f t="shared" si="90"/>
        <v>2100.5599999999977</v>
      </c>
      <c r="CZ338" s="6">
        <f t="shared" si="120"/>
        <v>87.523333333333241</v>
      </c>
      <c r="DB338" s="4">
        <v>45390</v>
      </c>
      <c r="DC338" s="5">
        <v>397485.94300000003</v>
      </c>
      <c r="DD338" s="5">
        <f t="shared" si="91"/>
        <v>117.88800000003539</v>
      </c>
      <c r="DE338" s="6">
        <f t="shared" si="121"/>
        <v>4.9120000000014743</v>
      </c>
      <c r="DG338" s="4">
        <v>45420</v>
      </c>
      <c r="DH338" s="5">
        <v>426084.565</v>
      </c>
      <c r="DI338" s="5">
        <f t="shared" si="92"/>
        <v>399.28800000000047</v>
      </c>
      <c r="DJ338" s="6">
        <f t="shared" si="122"/>
        <v>16.637000000000018</v>
      </c>
      <c r="DL338" s="4">
        <v>45451</v>
      </c>
      <c r="DM338" s="5">
        <v>452049.46</v>
      </c>
      <c r="DN338" s="5">
        <f t="shared" si="93"/>
        <v>1358.5</v>
      </c>
      <c r="DO338" s="6">
        <f t="shared" si="123"/>
        <v>56.604166666666664</v>
      </c>
      <c r="DQ338" s="4">
        <v>45481</v>
      </c>
      <c r="DR338" s="5">
        <v>523282.70699999999</v>
      </c>
      <c r="DS338" s="5">
        <f t="shared" si="94"/>
        <v>3511.6840000000084</v>
      </c>
      <c r="DT338" s="6">
        <f t="shared" si="124"/>
        <v>146.32016666666701</v>
      </c>
      <c r="DV338" s="4">
        <v>45512</v>
      </c>
      <c r="DW338" s="5">
        <v>601594.53</v>
      </c>
      <c r="DX338" s="5">
        <f t="shared" si="95"/>
        <v>3860.6800000000512</v>
      </c>
      <c r="DY338" s="6">
        <f t="shared" si="125"/>
        <v>160.86166666666881</v>
      </c>
      <c r="EA338" s="4">
        <v>45543</v>
      </c>
      <c r="EB338" s="5">
        <v>711370.91099999996</v>
      </c>
      <c r="EC338" s="5">
        <f t="shared" si="96"/>
        <v>3883.7600000000093</v>
      </c>
      <c r="ED338" s="6">
        <f t="shared" si="126"/>
        <v>161.82333333333372</v>
      </c>
      <c r="EF338" s="4">
        <v>45573</v>
      </c>
      <c r="EG338" s="5">
        <v>784833.48199999996</v>
      </c>
      <c r="EH338" s="5">
        <f t="shared" si="97"/>
        <v>3611.3719999999739</v>
      </c>
      <c r="EI338" s="6">
        <f t="shared" si="47"/>
        <v>150.47383333333224</v>
      </c>
      <c r="EK338" s="4">
        <v>45604</v>
      </c>
      <c r="EL338" s="5">
        <v>885009.97900000005</v>
      </c>
      <c r="EM338" s="5">
        <f t="shared" si="98"/>
        <v>3683.4760000000242</v>
      </c>
      <c r="EN338" s="6">
        <f t="shared" si="48"/>
        <v>153.47816666666768</v>
      </c>
      <c r="EP338" s="4">
        <v>45634</v>
      </c>
      <c r="EQ338" s="5">
        <v>933765.81900000002</v>
      </c>
      <c r="ER338" s="5">
        <f t="shared" si="99"/>
        <v>270.41599999996834</v>
      </c>
      <c r="ES338" s="6">
        <f t="shared" si="49"/>
        <v>11.267333333332013</v>
      </c>
    </row>
    <row r="339" spans="1:149" ht="15.75" x14ac:dyDescent="0.25">
      <c r="A339" s="4">
        <v>44751</v>
      </c>
      <c r="B339" s="5">
        <v>226575.74400000001</v>
      </c>
      <c r="C339" s="5">
        <f t="shared" si="50"/>
        <v>415.02000000001863</v>
      </c>
      <c r="D339" s="6">
        <f t="shared" si="40"/>
        <v>17.292500000000775</v>
      </c>
      <c r="F339" s="4">
        <v>44784</v>
      </c>
      <c r="G339" s="5">
        <v>306629.71399999998</v>
      </c>
      <c r="H339" s="5">
        <f t="shared" si="100"/>
        <v>3308.8319999999949</v>
      </c>
      <c r="I339" s="6">
        <f t="shared" si="101"/>
        <v>90.618499999999287</v>
      </c>
      <c r="K339" s="4">
        <v>44813</v>
      </c>
      <c r="L339" s="5">
        <v>388793.68</v>
      </c>
      <c r="M339" s="5">
        <f t="shared" si="127"/>
        <v>0</v>
      </c>
      <c r="N339" s="6">
        <f t="shared" si="102"/>
        <v>0</v>
      </c>
      <c r="P339" s="4">
        <v>44843</v>
      </c>
      <c r="Q339" s="5">
        <v>459026.94900000002</v>
      </c>
      <c r="R339" s="5">
        <f t="shared" si="128"/>
        <v>2867.6240000000107</v>
      </c>
      <c r="S339" s="6">
        <f t="shared" si="103"/>
        <v>119.48433333333378</v>
      </c>
      <c r="U339" s="4">
        <v>44874</v>
      </c>
      <c r="V339" s="5">
        <v>533599.23</v>
      </c>
      <c r="W339" s="5">
        <f t="shared" si="129"/>
        <v>2794.7679999999236</v>
      </c>
      <c r="X339" s="6">
        <f t="shared" si="104"/>
        <v>116.44866666666348</v>
      </c>
      <c r="Z339" s="4">
        <v>44904</v>
      </c>
      <c r="AA339" s="5">
        <v>595279.13500000001</v>
      </c>
      <c r="AB339" s="5">
        <f t="shared" si="130"/>
        <v>1286.6520000000019</v>
      </c>
      <c r="AC339" s="6">
        <f t="shared" si="105"/>
        <v>53.61050000000008</v>
      </c>
      <c r="AE339" s="4">
        <v>44935</v>
      </c>
      <c r="AF339" s="5">
        <v>640746.25399999996</v>
      </c>
      <c r="AG339" s="5">
        <f t="shared" si="131"/>
        <v>2091.6759999999776</v>
      </c>
      <c r="AH339" s="6">
        <f t="shared" si="106"/>
        <v>87.15316666666574</v>
      </c>
      <c r="AJ339" s="4">
        <v>44966</v>
      </c>
      <c r="AK339" s="5">
        <v>670076.35600000003</v>
      </c>
      <c r="AL339" s="5">
        <f t="shared" si="132"/>
        <v>271.60400000005029</v>
      </c>
      <c r="AM339" s="6">
        <f t="shared" si="107"/>
        <v>11.316833333335429</v>
      </c>
      <c r="AO339" s="4">
        <v>44994</v>
      </c>
      <c r="AP339" s="5">
        <v>679920.61300000001</v>
      </c>
      <c r="AQ339" s="5">
        <f t="shared" si="133"/>
        <v>173.0559999999823</v>
      </c>
      <c r="AR339" s="6">
        <f t="shared" si="108"/>
        <v>7.2106666666659294</v>
      </c>
      <c r="AT339" s="4">
        <v>45025</v>
      </c>
      <c r="AU339" s="5">
        <v>740622.09400000004</v>
      </c>
      <c r="AV339" s="5">
        <f t="shared" si="134"/>
        <v>3438.7120000000577</v>
      </c>
      <c r="AW339" s="6">
        <f t="shared" si="109"/>
        <v>143.27966666666907</v>
      </c>
      <c r="AY339" s="4">
        <v>45055</v>
      </c>
      <c r="AZ339" s="5">
        <v>779222.28500000003</v>
      </c>
      <c r="BA339" s="5">
        <f t="shared" si="135"/>
        <v>201.90800000005402</v>
      </c>
      <c r="BB339" s="6">
        <f t="shared" si="110"/>
        <v>8.412833333335584</v>
      </c>
      <c r="BD339" s="4">
        <v>45086</v>
      </c>
      <c r="BE339" s="5">
        <v>854694.326</v>
      </c>
      <c r="BF339" s="5">
        <f t="shared" si="136"/>
        <v>2897.1920000000391</v>
      </c>
      <c r="BG339" s="6">
        <f t="shared" si="111"/>
        <v>120.71633333333496</v>
      </c>
      <c r="BI339" s="4">
        <v>45116</v>
      </c>
      <c r="BJ339" s="5">
        <v>938158.60400000005</v>
      </c>
      <c r="BK339" s="5">
        <f t="shared" si="137"/>
        <v>3084.4960000000428</v>
      </c>
      <c r="BL339" s="6">
        <f t="shared" si="112"/>
        <v>128.52066666666846</v>
      </c>
      <c r="BN339" s="4">
        <v>45147</v>
      </c>
      <c r="BO339" s="5">
        <v>46246.16</v>
      </c>
      <c r="BP339" s="5">
        <f t="shared" si="138"/>
        <v>3812.4200000000055</v>
      </c>
      <c r="BQ339" s="6">
        <f t="shared" si="113"/>
        <v>158.85083333333355</v>
      </c>
      <c r="BS339" s="4">
        <v>45178</v>
      </c>
      <c r="BT339" s="5">
        <v>154877.46799999999</v>
      </c>
      <c r="BU339" s="5">
        <f t="shared" si="139"/>
        <v>3543.2319999999891</v>
      </c>
      <c r="BV339" s="6">
        <f t="shared" si="114"/>
        <v>147.63466666666622</v>
      </c>
      <c r="BX339" s="4">
        <v>45208</v>
      </c>
      <c r="BY339" s="5">
        <v>224519.20600000001</v>
      </c>
      <c r="BZ339" s="5">
        <f t="shared" si="46"/>
        <v>3290.7639999999956</v>
      </c>
      <c r="CA339" s="6">
        <f t="shared" si="115"/>
        <v>137.11516666666648</v>
      </c>
      <c r="CC339" s="4">
        <v>45239</v>
      </c>
      <c r="CD339" s="5">
        <f t="shared" si="86"/>
        <v>323700</v>
      </c>
      <c r="CE339" s="5">
        <v>3500</v>
      </c>
      <c r="CF339" s="6">
        <f t="shared" si="116"/>
        <v>145.83333333333334</v>
      </c>
      <c r="CH339" s="4">
        <v>45269</v>
      </c>
      <c r="CI339" s="5">
        <f t="shared" si="87"/>
        <v>409850</v>
      </c>
      <c r="CJ339" s="5">
        <v>225</v>
      </c>
      <c r="CK339" s="6">
        <f t="shared" si="117"/>
        <v>9.375</v>
      </c>
      <c r="CM339" s="4">
        <v>45300</v>
      </c>
      <c r="CN339" s="5">
        <v>274767.79499999998</v>
      </c>
      <c r="CO339" s="5">
        <f t="shared" si="88"/>
        <v>86.785999999963678</v>
      </c>
      <c r="CP339" s="6">
        <f t="shared" si="118"/>
        <v>3.6160833333318201</v>
      </c>
      <c r="CR339" s="4">
        <v>45331</v>
      </c>
      <c r="CS339" s="5">
        <v>288926.45199999999</v>
      </c>
      <c r="CT339" s="5">
        <f t="shared" si="89"/>
        <v>1585.4679999999935</v>
      </c>
      <c r="CU339" s="6">
        <f t="shared" si="119"/>
        <v>66.061166666666395</v>
      </c>
      <c r="CW339" s="4">
        <v>45360</v>
      </c>
      <c r="CX339" s="5">
        <v>362309.61499999999</v>
      </c>
      <c r="CY339" s="5">
        <f t="shared" si="90"/>
        <v>970.27199999999721</v>
      </c>
      <c r="CZ339" s="6">
        <f t="shared" si="120"/>
        <v>40.427999999999884</v>
      </c>
      <c r="DB339" s="4">
        <v>45391</v>
      </c>
      <c r="DC339" s="5">
        <v>398009.78700000001</v>
      </c>
      <c r="DD339" s="5">
        <f t="shared" si="91"/>
        <v>523.84399999998277</v>
      </c>
      <c r="DE339" s="6">
        <f t="shared" si="121"/>
        <v>21.826833333332615</v>
      </c>
      <c r="DG339" s="4">
        <v>45421</v>
      </c>
      <c r="DH339" s="5">
        <v>426460.99400000001</v>
      </c>
      <c r="DI339" s="5">
        <f t="shared" si="92"/>
        <v>376.42900000000373</v>
      </c>
      <c r="DJ339" s="6">
        <f t="shared" si="122"/>
        <v>15.684541666666822</v>
      </c>
      <c r="DL339" s="4">
        <v>45452</v>
      </c>
      <c r="DM339" s="5">
        <v>454616.01199999999</v>
      </c>
      <c r="DN339" s="5">
        <f t="shared" si="93"/>
        <v>2566.5519999999669</v>
      </c>
      <c r="DO339" s="6">
        <f t="shared" si="123"/>
        <v>106.93966666666529</v>
      </c>
      <c r="DQ339" s="4">
        <v>45482</v>
      </c>
      <c r="DR339" s="5">
        <v>523282.70699999999</v>
      </c>
      <c r="DS339" s="5">
        <f t="shared" si="94"/>
        <v>0</v>
      </c>
      <c r="DT339" s="6">
        <f t="shared" si="124"/>
        <v>0</v>
      </c>
      <c r="DV339" s="4">
        <v>45513</v>
      </c>
      <c r="DW339" s="5">
        <v>603831.40599999996</v>
      </c>
      <c r="DX339" s="5">
        <f t="shared" si="95"/>
        <v>2236.8759999999311</v>
      </c>
      <c r="DY339" s="6">
        <f t="shared" si="125"/>
        <v>93.20316666666379</v>
      </c>
      <c r="EA339" s="4">
        <v>45544</v>
      </c>
      <c r="EB339" s="5">
        <v>715037.55099999998</v>
      </c>
      <c r="EC339" s="5">
        <f t="shared" si="96"/>
        <v>3666.640000000014</v>
      </c>
      <c r="ED339" s="6">
        <f t="shared" si="126"/>
        <v>152.77666666666724</v>
      </c>
      <c r="EF339" s="4">
        <v>45574</v>
      </c>
      <c r="EG339" s="5">
        <v>788517.53399999999</v>
      </c>
      <c r="EH339" s="5">
        <f t="shared" si="97"/>
        <v>3684.0520000000251</v>
      </c>
      <c r="EI339" s="6">
        <f t="shared" si="47"/>
        <v>153.5021666666677</v>
      </c>
      <c r="EK339" s="4">
        <v>45605</v>
      </c>
      <c r="EL339" s="5">
        <v>888683.75899999996</v>
      </c>
      <c r="EM339" s="5">
        <f t="shared" si="98"/>
        <v>3673.7799999999115</v>
      </c>
      <c r="EN339" s="6">
        <f t="shared" si="48"/>
        <v>153.07416666666299</v>
      </c>
      <c r="EP339" s="4">
        <v>45635</v>
      </c>
      <c r="EQ339" s="5">
        <v>934033.03500000003</v>
      </c>
      <c r="ER339" s="5">
        <f t="shared" si="99"/>
        <v>267.2160000000149</v>
      </c>
      <c r="ES339" s="6">
        <f t="shared" si="49"/>
        <v>11.13400000000062</v>
      </c>
    </row>
    <row r="340" spans="1:149" ht="15.75" x14ac:dyDescent="0.25">
      <c r="A340" s="4">
        <v>44752</v>
      </c>
      <c r="B340" s="5">
        <v>226575.74400000001</v>
      </c>
      <c r="C340" s="5">
        <f t="shared" si="50"/>
        <v>0</v>
      </c>
      <c r="D340" s="6">
        <f t="shared" si="40"/>
        <v>0</v>
      </c>
      <c r="F340" s="4">
        <v>44785</v>
      </c>
      <c r="G340" s="5">
        <v>310065.20600000001</v>
      </c>
      <c r="H340" s="5">
        <f t="shared" si="100"/>
        <v>3435.4920000000275</v>
      </c>
      <c r="I340" s="6">
        <f t="shared" si="101"/>
        <v>132.1725416666668</v>
      </c>
      <c r="K340" s="4">
        <v>44814</v>
      </c>
      <c r="L340" s="5">
        <v>389286.99200000003</v>
      </c>
      <c r="M340" s="5">
        <f t="shared" si="127"/>
        <v>493.31200000003446</v>
      </c>
      <c r="N340" s="6">
        <f t="shared" si="102"/>
        <v>20.554666666668101</v>
      </c>
      <c r="P340" s="4">
        <v>44844</v>
      </c>
      <c r="Q340" s="5">
        <v>462191.565</v>
      </c>
      <c r="R340" s="5">
        <f t="shared" si="128"/>
        <v>3164.61599999998</v>
      </c>
      <c r="S340" s="6">
        <f t="shared" si="103"/>
        <v>131.85899999999916</v>
      </c>
      <c r="U340" s="4">
        <v>44875</v>
      </c>
      <c r="V340" s="5">
        <v>536441.86199999996</v>
      </c>
      <c r="W340" s="5">
        <f t="shared" si="129"/>
        <v>2842.6319999999832</v>
      </c>
      <c r="X340" s="6">
        <f t="shared" si="104"/>
        <v>118.4429999999993</v>
      </c>
      <c r="Z340" s="4">
        <v>44905</v>
      </c>
      <c r="AA340" s="5">
        <v>597026.71100000001</v>
      </c>
      <c r="AB340" s="5">
        <f t="shared" si="130"/>
        <v>1747.5760000000009</v>
      </c>
      <c r="AC340" s="6">
        <f t="shared" si="105"/>
        <v>72.815666666666701</v>
      </c>
      <c r="AE340" s="4">
        <v>44936</v>
      </c>
      <c r="AF340" s="5">
        <v>643472.31099999999</v>
      </c>
      <c r="AG340" s="5">
        <f t="shared" si="131"/>
        <v>2726.0570000000298</v>
      </c>
      <c r="AH340" s="6">
        <f t="shared" si="106"/>
        <v>113.58570833333458</v>
      </c>
      <c r="AJ340" s="4">
        <v>44967</v>
      </c>
      <c r="AK340" s="5">
        <v>670279.71699999995</v>
      </c>
      <c r="AL340" s="5">
        <f t="shared" si="132"/>
        <v>203.36099999991711</v>
      </c>
      <c r="AM340" s="6">
        <f t="shared" si="107"/>
        <v>8.4733749999965458</v>
      </c>
      <c r="AO340" s="4">
        <v>44995</v>
      </c>
      <c r="AP340" s="5">
        <v>680093.65300000005</v>
      </c>
      <c r="AQ340" s="5">
        <f t="shared" si="133"/>
        <v>173.04000000003725</v>
      </c>
      <c r="AR340" s="6">
        <f t="shared" si="108"/>
        <v>7.2100000000015525</v>
      </c>
      <c r="AT340" s="4">
        <v>45026</v>
      </c>
      <c r="AU340" s="5">
        <v>743610.56599999999</v>
      </c>
      <c r="AV340" s="5">
        <f t="shared" si="134"/>
        <v>2988.4719999999506</v>
      </c>
      <c r="AW340" s="6">
        <f t="shared" si="109"/>
        <v>124.51966666666461</v>
      </c>
      <c r="AY340" s="4">
        <v>45056</v>
      </c>
      <c r="AZ340" s="5">
        <v>779689.46100000001</v>
      </c>
      <c r="BA340" s="5">
        <f t="shared" si="135"/>
        <v>467.17599999997765</v>
      </c>
      <c r="BB340" s="6">
        <f t="shared" si="110"/>
        <v>19.465666666665737</v>
      </c>
      <c r="BD340" s="4">
        <v>45087</v>
      </c>
      <c r="BE340" s="5">
        <v>857486.78200000001</v>
      </c>
      <c r="BF340" s="5">
        <f t="shared" si="136"/>
        <v>2792.4560000000056</v>
      </c>
      <c r="BG340" s="6">
        <f t="shared" si="111"/>
        <v>116.35233333333356</v>
      </c>
      <c r="BI340" s="4">
        <v>45117</v>
      </c>
      <c r="BJ340" s="5">
        <v>941485.97199999995</v>
      </c>
      <c r="BK340" s="5">
        <f t="shared" si="137"/>
        <v>3327.3679999999003</v>
      </c>
      <c r="BL340" s="6">
        <f t="shared" si="112"/>
        <v>138.64033333332918</v>
      </c>
      <c r="BN340" s="4">
        <v>45148</v>
      </c>
      <c r="BO340" s="5">
        <v>49961.307999999997</v>
      </c>
      <c r="BP340" s="5">
        <f t="shared" si="138"/>
        <v>3715.1479999999938</v>
      </c>
      <c r="BQ340" s="6">
        <f t="shared" si="113"/>
        <v>154.79783333333307</v>
      </c>
      <c r="BS340" s="4">
        <v>45179</v>
      </c>
      <c r="BT340" s="5">
        <v>158655.557</v>
      </c>
      <c r="BU340" s="5">
        <f t="shared" si="139"/>
        <v>3778.0890000000072</v>
      </c>
      <c r="BV340" s="6">
        <f t="shared" si="114"/>
        <v>157.42037500000029</v>
      </c>
      <c r="BX340" s="4">
        <v>45209</v>
      </c>
      <c r="BY340" s="5">
        <v>228336.50700000001</v>
      </c>
      <c r="BZ340" s="5">
        <f t="shared" si="46"/>
        <v>3817.3010000000068</v>
      </c>
      <c r="CA340" s="6">
        <f t="shared" si="115"/>
        <v>159.05420833333361</v>
      </c>
      <c r="CC340" s="4">
        <v>45240</v>
      </c>
      <c r="CD340" s="5">
        <f t="shared" si="86"/>
        <v>327200</v>
      </c>
      <c r="CE340" s="5">
        <v>3500</v>
      </c>
      <c r="CF340" s="6">
        <f t="shared" si="116"/>
        <v>145.83333333333334</v>
      </c>
      <c r="CH340" s="4">
        <v>45270</v>
      </c>
      <c r="CI340" s="5">
        <f t="shared" si="87"/>
        <v>410075</v>
      </c>
      <c r="CJ340" s="5">
        <v>225</v>
      </c>
      <c r="CK340" s="6">
        <f t="shared" si="117"/>
        <v>9.375</v>
      </c>
      <c r="CM340" s="4">
        <v>45301</v>
      </c>
      <c r="CN340" s="5">
        <v>274866.33899999998</v>
      </c>
      <c r="CO340" s="5">
        <f t="shared" si="88"/>
        <v>98.543999999994412</v>
      </c>
      <c r="CP340" s="6">
        <f t="shared" si="118"/>
        <v>4.1059999999997672</v>
      </c>
      <c r="CR340" s="4">
        <v>45332</v>
      </c>
      <c r="CS340" s="5">
        <v>289028.24400000001</v>
      </c>
      <c r="CT340" s="5">
        <f t="shared" si="89"/>
        <v>101.79200000001583</v>
      </c>
      <c r="CU340" s="6">
        <f t="shared" si="119"/>
        <v>4.2413333333339933</v>
      </c>
      <c r="CW340" s="4">
        <v>45361</v>
      </c>
      <c r="CX340" s="5">
        <v>363715.52299999999</v>
      </c>
      <c r="CY340" s="5">
        <f t="shared" si="90"/>
        <v>1405.9079999999958</v>
      </c>
      <c r="CZ340" s="6">
        <f t="shared" si="120"/>
        <v>58.579499999999825</v>
      </c>
      <c r="DB340" s="4">
        <v>45392</v>
      </c>
      <c r="DC340" s="5">
        <v>398009.78700000001</v>
      </c>
      <c r="DD340" s="5">
        <f t="shared" si="91"/>
        <v>0</v>
      </c>
      <c r="DE340" s="6">
        <f t="shared" si="121"/>
        <v>0</v>
      </c>
      <c r="DG340" s="4">
        <v>45422</v>
      </c>
      <c r="DH340" s="5">
        <v>426565.64199999999</v>
      </c>
      <c r="DI340" s="5">
        <f t="shared" si="92"/>
        <v>104.6479999999865</v>
      </c>
      <c r="DJ340" s="6">
        <f t="shared" si="122"/>
        <v>4.360333333332771</v>
      </c>
      <c r="DL340" s="4">
        <v>45453</v>
      </c>
      <c r="DM340" s="5">
        <v>456207.59299999999</v>
      </c>
      <c r="DN340" s="5">
        <f t="shared" si="93"/>
        <v>1591.5810000000056</v>
      </c>
      <c r="DO340" s="6">
        <f t="shared" si="123"/>
        <v>66.315875000000233</v>
      </c>
      <c r="DQ340" s="4">
        <v>45483</v>
      </c>
      <c r="DR340" s="5">
        <v>523282.70699999999</v>
      </c>
      <c r="DS340" s="5">
        <f t="shared" si="94"/>
        <v>0</v>
      </c>
      <c r="DT340" s="6">
        <f t="shared" si="124"/>
        <v>0</v>
      </c>
      <c r="DV340" s="4">
        <v>45514</v>
      </c>
      <c r="DW340" s="5">
        <v>607192.16200000001</v>
      </c>
      <c r="DX340" s="5">
        <f t="shared" si="95"/>
        <v>3360.7560000000522</v>
      </c>
      <c r="DY340" s="6">
        <f t="shared" si="125"/>
        <v>140.03150000000218</v>
      </c>
      <c r="EA340" s="4">
        <v>45545</v>
      </c>
      <c r="EB340" s="5">
        <v>717923.24800000002</v>
      </c>
      <c r="EC340" s="5">
        <f t="shared" si="96"/>
        <v>2885.6970000000438</v>
      </c>
      <c r="ED340" s="6">
        <f t="shared" si="126"/>
        <v>120.23737500000182</v>
      </c>
      <c r="EF340" s="4">
        <v>45575</v>
      </c>
      <c r="EG340" s="5">
        <v>792210.63100000005</v>
      </c>
      <c r="EH340" s="5">
        <f t="shared" si="97"/>
        <v>3693.0970000000671</v>
      </c>
      <c r="EI340" s="6">
        <f t="shared" si="47"/>
        <v>153.87904166666945</v>
      </c>
      <c r="EK340" s="4">
        <v>45606</v>
      </c>
      <c r="EL340" s="5">
        <v>891638.92799999996</v>
      </c>
      <c r="EM340" s="5">
        <f t="shared" si="98"/>
        <v>2955.1689999999944</v>
      </c>
      <c r="EN340" s="6">
        <f t="shared" si="48"/>
        <v>123.13204166666644</v>
      </c>
      <c r="EP340" s="4">
        <v>45636</v>
      </c>
      <c r="EQ340" s="5">
        <v>934282.49100000004</v>
      </c>
      <c r="ER340" s="5">
        <f t="shared" si="99"/>
        <v>249.45600000000559</v>
      </c>
      <c r="ES340" s="6">
        <f t="shared" si="49"/>
        <v>10.394000000000233</v>
      </c>
    </row>
    <row r="341" spans="1:149" ht="15.75" x14ac:dyDescent="0.25">
      <c r="A341" s="4">
        <v>44753</v>
      </c>
      <c r="B341" s="5">
        <v>226575.74400000001</v>
      </c>
      <c r="C341" s="5">
        <f t="shared" si="50"/>
        <v>0</v>
      </c>
      <c r="D341" s="6">
        <f t="shared" si="40"/>
        <v>0</v>
      </c>
      <c r="F341" s="4">
        <v>44786</v>
      </c>
      <c r="G341" s="5">
        <v>313407.12599999999</v>
      </c>
      <c r="H341" s="5">
        <f t="shared" si="100"/>
        <v>3341.9199999999837</v>
      </c>
      <c r="I341" s="6">
        <f t="shared" si="101"/>
        <v>137.8679999999998</v>
      </c>
      <c r="K341" s="4">
        <v>44815</v>
      </c>
      <c r="L341" s="5">
        <v>389286.99200000003</v>
      </c>
      <c r="M341" s="5">
        <f t="shared" si="127"/>
        <v>0</v>
      </c>
      <c r="N341" s="6">
        <f t="shared" si="102"/>
        <v>0</v>
      </c>
      <c r="P341" s="4">
        <v>44845</v>
      </c>
      <c r="Q341" s="5">
        <v>465821.777</v>
      </c>
      <c r="R341" s="5">
        <f t="shared" si="128"/>
        <v>3630.2119999999995</v>
      </c>
      <c r="S341" s="6">
        <f t="shared" si="103"/>
        <v>151.25883333333331</v>
      </c>
      <c r="U341" s="4">
        <v>44876</v>
      </c>
      <c r="V341" s="5">
        <v>539281.19099999999</v>
      </c>
      <c r="W341" s="5">
        <f t="shared" si="129"/>
        <v>2839.329000000027</v>
      </c>
      <c r="X341" s="6">
        <f t="shared" si="104"/>
        <v>118.30537500000112</v>
      </c>
      <c r="Z341" s="4">
        <v>44906</v>
      </c>
      <c r="AA341" s="5">
        <v>599272.61100000003</v>
      </c>
      <c r="AB341" s="5">
        <f t="shared" si="130"/>
        <v>2245.9000000000233</v>
      </c>
      <c r="AC341" s="6">
        <f t="shared" si="105"/>
        <v>93.579166666667632</v>
      </c>
      <c r="AE341" s="4">
        <v>44937</v>
      </c>
      <c r="AF341" s="5">
        <v>646664.97100000002</v>
      </c>
      <c r="AG341" s="5">
        <f t="shared" si="131"/>
        <v>3192.6600000000326</v>
      </c>
      <c r="AH341" s="6">
        <f t="shared" si="106"/>
        <v>133.02750000000137</v>
      </c>
      <c r="AJ341" s="4">
        <v>44968</v>
      </c>
      <c r="AK341" s="5">
        <v>670450.07299999997</v>
      </c>
      <c r="AL341" s="5">
        <f t="shared" si="132"/>
        <v>170.35600000002887</v>
      </c>
      <c r="AM341" s="6">
        <f t="shared" si="107"/>
        <v>7.0981666666678693</v>
      </c>
      <c r="AO341" s="4">
        <v>44996</v>
      </c>
      <c r="AP341" s="5">
        <v>680282.84499999997</v>
      </c>
      <c r="AQ341" s="5">
        <f t="shared" si="133"/>
        <v>189.1919999999227</v>
      </c>
      <c r="AR341" s="6">
        <f t="shared" si="108"/>
        <v>7.8829999999967795</v>
      </c>
      <c r="AT341" s="4">
        <v>45027</v>
      </c>
      <c r="AU341" s="5">
        <v>746923.20200000005</v>
      </c>
      <c r="AV341" s="5">
        <f t="shared" si="134"/>
        <v>3312.6360000000568</v>
      </c>
      <c r="AW341" s="6">
        <f t="shared" si="109"/>
        <v>138.02650000000236</v>
      </c>
      <c r="AY341" s="4">
        <v>45057</v>
      </c>
      <c r="AZ341" s="5">
        <v>779841.38899999997</v>
      </c>
      <c r="BA341" s="5">
        <f t="shared" si="135"/>
        <v>151.92799999995623</v>
      </c>
      <c r="BB341" s="6">
        <f t="shared" si="110"/>
        <v>6.3303333333315095</v>
      </c>
      <c r="BD341" s="4">
        <v>45088</v>
      </c>
      <c r="BE341" s="5">
        <v>860416.29</v>
      </c>
      <c r="BF341" s="5">
        <f t="shared" si="136"/>
        <v>2929.5080000000307</v>
      </c>
      <c r="BG341" s="6">
        <f t="shared" si="111"/>
        <v>122.06283333333461</v>
      </c>
      <c r="BI341" s="4">
        <v>45118</v>
      </c>
      <c r="BJ341" s="5">
        <v>945321.93599999999</v>
      </c>
      <c r="BK341" s="5">
        <f t="shared" si="137"/>
        <v>3835.9640000000363</v>
      </c>
      <c r="BL341" s="6">
        <f t="shared" si="112"/>
        <v>159.83183333333486</v>
      </c>
      <c r="BN341" s="4">
        <v>45149</v>
      </c>
      <c r="BO341" s="5">
        <v>53537.983999999997</v>
      </c>
      <c r="BP341" s="5">
        <f t="shared" si="138"/>
        <v>3576.6759999999995</v>
      </c>
      <c r="BQ341" s="6">
        <f t="shared" si="113"/>
        <v>149.02816666666664</v>
      </c>
      <c r="BS341" s="4">
        <v>45180</v>
      </c>
      <c r="BT341" s="5">
        <v>158775.345</v>
      </c>
      <c r="BU341" s="5">
        <f t="shared" si="139"/>
        <v>119.78800000000047</v>
      </c>
      <c r="BV341" s="6">
        <f t="shared" si="114"/>
        <v>4.9911666666666861</v>
      </c>
      <c r="BX341" s="4">
        <v>45210</v>
      </c>
      <c r="BY341" s="5">
        <v>232008.93299999999</v>
      </c>
      <c r="BZ341" s="5">
        <f t="shared" si="46"/>
        <v>3672.4259999999776</v>
      </c>
      <c r="CA341" s="6">
        <f t="shared" si="115"/>
        <v>153.01774999999907</v>
      </c>
      <c r="CC341" s="4">
        <v>45241</v>
      </c>
      <c r="CD341" s="5">
        <f t="shared" si="86"/>
        <v>330700</v>
      </c>
      <c r="CE341" s="5">
        <v>3500</v>
      </c>
      <c r="CF341" s="6">
        <f t="shared" si="116"/>
        <v>145.83333333333334</v>
      </c>
      <c r="CH341" s="4">
        <v>45271</v>
      </c>
      <c r="CI341" s="5">
        <f t="shared" si="87"/>
        <v>410375</v>
      </c>
      <c r="CJ341" s="5">
        <v>300</v>
      </c>
      <c r="CK341" s="6">
        <f t="shared" si="117"/>
        <v>12.5</v>
      </c>
      <c r="CM341" s="4">
        <v>45302</v>
      </c>
      <c r="CN341" s="5">
        <v>275050.25900000002</v>
      </c>
      <c r="CO341" s="5">
        <f t="shared" si="88"/>
        <v>183.92000000004191</v>
      </c>
      <c r="CP341" s="6">
        <f t="shared" si="118"/>
        <v>7.6633333333350793</v>
      </c>
      <c r="CR341" s="4">
        <v>45333</v>
      </c>
      <c r="CS341" s="5">
        <v>289170.94400000002</v>
      </c>
      <c r="CT341" s="5">
        <f t="shared" si="89"/>
        <v>142.70000000001164</v>
      </c>
      <c r="CU341" s="6">
        <f t="shared" si="119"/>
        <v>5.9458333333338187</v>
      </c>
      <c r="CW341" s="4">
        <v>45362</v>
      </c>
      <c r="CX341" s="5">
        <v>365207.46500000003</v>
      </c>
      <c r="CY341" s="5">
        <f t="shared" si="90"/>
        <v>1491.9420000000391</v>
      </c>
      <c r="CZ341" s="6">
        <f t="shared" si="120"/>
        <v>62.16425000000163</v>
      </c>
      <c r="DB341" s="4">
        <v>45393</v>
      </c>
      <c r="DC341" s="5">
        <v>398127.45899999997</v>
      </c>
      <c r="DD341" s="5">
        <f t="shared" si="91"/>
        <v>117.67199999996228</v>
      </c>
      <c r="DE341" s="6">
        <f t="shared" si="121"/>
        <v>4.9029999999984284</v>
      </c>
      <c r="DG341" s="4">
        <v>45423</v>
      </c>
      <c r="DH341" s="5">
        <v>427794.27</v>
      </c>
      <c r="DI341" s="5">
        <f t="shared" si="92"/>
        <v>1228.6280000000261</v>
      </c>
      <c r="DJ341" s="6">
        <f t="shared" si="122"/>
        <v>51.19283333333442</v>
      </c>
      <c r="DL341" s="4">
        <v>45454</v>
      </c>
      <c r="DM341" s="5">
        <v>458152.44500000001</v>
      </c>
      <c r="DN341" s="5">
        <f t="shared" si="93"/>
        <v>1944.8520000000135</v>
      </c>
      <c r="DO341" s="6">
        <f t="shared" si="123"/>
        <v>81.035500000000567</v>
      </c>
      <c r="DQ341" s="4">
        <v>45484</v>
      </c>
      <c r="DR341" s="5">
        <v>523282.70699999999</v>
      </c>
      <c r="DS341" s="5">
        <f t="shared" si="94"/>
        <v>0</v>
      </c>
      <c r="DT341" s="6">
        <f t="shared" si="124"/>
        <v>0</v>
      </c>
      <c r="DV341" s="4">
        <v>45515</v>
      </c>
      <c r="DW341" s="5">
        <v>610927.95499999996</v>
      </c>
      <c r="DX341" s="5">
        <f t="shared" si="95"/>
        <v>3735.7929999999469</v>
      </c>
      <c r="DY341" s="6">
        <f t="shared" si="125"/>
        <v>155.65804166666445</v>
      </c>
      <c r="EA341" s="4">
        <v>45546</v>
      </c>
      <c r="EB341" s="5">
        <v>721613.68400000001</v>
      </c>
      <c r="EC341" s="5">
        <f t="shared" si="96"/>
        <v>3690.435999999987</v>
      </c>
      <c r="ED341" s="6">
        <f t="shared" si="126"/>
        <v>153.76816666666613</v>
      </c>
      <c r="EF341" s="4">
        <v>45576</v>
      </c>
      <c r="EG341" s="5">
        <v>795517.53399999999</v>
      </c>
      <c r="EH341" s="5">
        <f t="shared" si="97"/>
        <v>3306.9029999999329</v>
      </c>
      <c r="EI341" s="6">
        <f t="shared" si="47"/>
        <v>137.78762499999721</v>
      </c>
      <c r="EK341" s="4">
        <v>45607</v>
      </c>
      <c r="EL341" s="5">
        <v>895379.77599999995</v>
      </c>
      <c r="EM341" s="5">
        <f t="shared" si="98"/>
        <v>3740.8479999999981</v>
      </c>
      <c r="EN341" s="6">
        <f t="shared" si="48"/>
        <v>155.8686666666666</v>
      </c>
      <c r="EP341" s="4">
        <v>45637</v>
      </c>
      <c r="EQ341" s="5">
        <v>934536.55099999998</v>
      </c>
      <c r="ER341" s="5">
        <f t="shared" si="99"/>
        <v>254.05999999993946</v>
      </c>
      <c r="ES341" s="6">
        <f t="shared" si="49"/>
        <v>10.585833333330811</v>
      </c>
    </row>
    <row r="342" spans="1:149" ht="15.75" x14ac:dyDescent="0.25">
      <c r="A342" s="4">
        <v>44754</v>
      </c>
      <c r="B342" s="5">
        <v>226575.74400000001</v>
      </c>
      <c r="C342" s="5">
        <f t="shared" si="50"/>
        <v>0</v>
      </c>
      <c r="D342" s="6">
        <f t="shared" si="40"/>
        <v>0</v>
      </c>
      <c r="F342" s="4">
        <v>44787</v>
      </c>
      <c r="G342" s="5">
        <v>316832.98300000001</v>
      </c>
      <c r="H342" s="5">
        <f t="shared" si="100"/>
        <v>3425.8570000000182</v>
      </c>
      <c r="I342" s="6">
        <f t="shared" si="101"/>
        <v>143.14550000000114</v>
      </c>
      <c r="K342" s="4">
        <v>44816</v>
      </c>
      <c r="L342" s="5">
        <v>390626.212</v>
      </c>
      <c r="M342" s="5">
        <f t="shared" si="127"/>
        <v>1339.2199999999721</v>
      </c>
      <c r="N342" s="6">
        <f t="shared" si="102"/>
        <v>55.800833333332172</v>
      </c>
      <c r="P342" s="4">
        <v>44846</v>
      </c>
      <c r="Q342" s="5">
        <v>468410.47399999999</v>
      </c>
      <c r="R342" s="5">
        <f t="shared" si="128"/>
        <v>2588.6969999999856</v>
      </c>
      <c r="S342" s="6">
        <f t="shared" si="103"/>
        <v>107.8623749999994</v>
      </c>
      <c r="U342" s="4">
        <v>44877</v>
      </c>
      <c r="V342" s="5">
        <v>541661.64300000004</v>
      </c>
      <c r="W342" s="5">
        <f t="shared" si="129"/>
        <v>2380.4520000000484</v>
      </c>
      <c r="X342" s="6">
        <f t="shared" si="104"/>
        <v>99.185500000002023</v>
      </c>
      <c r="Z342" s="4">
        <v>44907</v>
      </c>
      <c r="AA342" s="5">
        <v>601653.42799999996</v>
      </c>
      <c r="AB342" s="5">
        <f t="shared" si="130"/>
        <v>2380.8169999999227</v>
      </c>
      <c r="AC342" s="6">
        <f t="shared" si="105"/>
        <v>99.200708333330113</v>
      </c>
      <c r="AE342" s="4">
        <v>44938</v>
      </c>
      <c r="AF342" s="5">
        <v>649661.30299999996</v>
      </c>
      <c r="AG342" s="5">
        <f t="shared" si="131"/>
        <v>2996.3319999999367</v>
      </c>
      <c r="AH342" s="6">
        <f t="shared" si="106"/>
        <v>124.84716666666402</v>
      </c>
      <c r="AJ342" s="4">
        <v>44969</v>
      </c>
      <c r="AK342" s="5">
        <v>670588.25699999998</v>
      </c>
      <c r="AL342" s="5">
        <f t="shared" si="132"/>
        <v>138.18400000000838</v>
      </c>
      <c r="AM342" s="6">
        <f t="shared" si="107"/>
        <v>5.7576666666670162</v>
      </c>
      <c r="AO342" s="4">
        <v>44997</v>
      </c>
      <c r="AP342" s="5">
        <v>680410.929</v>
      </c>
      <c r="AQ342" s="5">
        <f t="shared" si="133"/>
        <v>128.08400000003166</v>
      </c>
      <c r="AR342" s="6">
        <f t="shared" si="108"/>
        <v>5.3368333333346527</v>
      </c>
      <c r="AT342" s="4">
        <v>45028</v>
      </c>
      <c r="AU342" s="5">
        <v>749497.35400000005</v>
      </c>
      <c r="AV342" s="5">
        <f t="shared" si="134"/>
        <v>2574.1520000000019</v>
      </c>
      <c r="AW342" s="6">
        <f t="shared" si="109"/>
        <v>107.25633333333342</v>
      </c>
      <c r="AY342" s="4">
        <v>45058</v>
      </c>
      <c r="AZ342" s="5">
        <v>779841.38899999997</v>
      </c>
      <c r="BA342" s="5">
        <f t="shared" si="135"/>
        <v>0</v>
      </c>
      <c r="BB342" s="6">
        <f t="shared" si="110"/>
        <v>0</v>
      </c>
      <c r="BD342" s="4">
        <v>45089</v>
      </c>
      <c r="BE342" s="5">
        <v>860730.95900000003</v>
      </c>
      <c r="BF342" s="5">
        <f t="shared" si="136"/>
        <v>314.66899999999441</v>
      </c>
      <c r="BG342" s="6">
        <f t="shared" si="111"/>
        <v>13.111208333333101</v>
      </c>
      <c r="BI342" s="4">
        <v>45119</v>
      </c>
      <c r="BJ342" s="5">
        <v>948942.67700000003</v>
      </c>
      <c r="BK342" s="5">
        <f t="shared" si="137"/>
        <v>3620.7410000000382</v>
      </c>
      <c r="BL342" s="6">
        <f t="shared" si="112"/>
        <v>150.86420833333491</v>
      </c>
      <c r="BN342" s="4">
        <v>45150</v>
      </c>
      <c r="BO342" s="5">
        <v>57288.497000000003</v>
      </c>
      <c r="BP342" s="5">
        <f t="shared" si="138"/>
        <v>3750.5130000000063</v>
      </c>
      <c r="BQ342" s="6">
        <f t="shared" si="113"/>
        <v>156.27137500000026</v>
      </c>
      <c r="BS342" s="4">
        <v>45181</v>
      </c>
      <c r="BT342" s="5">
        <v>158775.345</v>
      </c>
      <c r="BU342" s="5">
        <f t="shared" si="139"/>
        <v>0</v>
      </c>
      <c r="BV342" s="6">
        <f t="shared" si="114"/>
        <v>0</v>
      </c>
      <c r="BX342" s="4">
        <v>45211</v>
      </c>
      <c r="BY342" s="5">
        <v>235696.783</v>
      </c>
      <c r="BZ342" s="5">
        <f t="shared" si="46"/>
        <v>3687.8500000000058</v>
      </c>
      <c r="CA342" s="6">
        <f t="shared" si="115"/>
        <v>153.66041666666692</v>
      </c>
      <c r="CC342" s="4">
        <v>45242</v>
      </c>
      <c r="CD342" s="5">
        <f t="shared" si="86"/>
        <v>334200</v>
      </c>
      <c r="CE342" s="5">
        <v>3500</v>
      </c>
      <c r="CF342" s="6">
        <f t="shared" si="116"/>
        <v>145.83333333333334</v>
      </c>
      <c r="CH342" s="4">
        <v>45272</v>
      </c>
      <c r="CI342" s="5">
        <f t="shared" si="87"/>
        <v>410450</v>
      </c>
      <c r="CJ342" s="5">
        <v>75</v>
      </c>
      <c r="CK342" s="6">
        <f t="shared" si="117"/>
        <v>3.125</v>
      </c>
      <c r="CM342" s="4">
        <v>45303</v>
      </c>
      <c r="CN342" s="5">
        <v>275395.50300000003</v>
      </c>
      <c r="CO342" s="5">
        <f t="shared" si="88"/>
        <v>345.24400000000605</v>
      </c>
      <c r="CP342" s="6">
        <f t="shared" si="118"/>
        <v>14.385166666666919</v>
      </c>
      <c r="CR342" s="4">
        <v>45334</v>
      </c>
      <c r="CS342" s="5">
        <v>289838.77600000001</v>
      </c>
      <c r="CT342" s="5">
        <f t="shared" si="89"/>
        <v>667.83199999999488</v>
      </c>
      <c r="CU342" s="6">
        <f t="shared" si="119"/>
        <v>27.826333333333121</v>
      </c>
      <c r="CW342" s="4">
        <v>45363</v>
      </c>
      <c r="CX342" s="5">
        <v>366141.24</v>
      </c>
      <c r="CY342" s="5">
        <f t="shared" si="90"/>
        <v>933.77499999996508</v>
      </c>
      <c r="CZ342" s="6">
        <f t="shared" si="120"/>
        <v>38.907291666665209</v>
      </c>
      <c r="DB342" s="4">
        <v>45394</v>
      </c>
      <c r="DC342" s="5">
        <v>398486.48700000002</v>
      </c>
      <c r="DD342" s="5">
        <f t="shared" si="91"/>
        <v>359.02800000004936</v>
      </c>
      <c r="DE342" s="6">
        <f t="shared" si="121"/>
        <v>14.959500000002057</v>
      </c>
      <c r="DG342" s="4">
        <v>45424</v>
      </c>
      <c r="DH342" s="5">
        <v>428500</v>
      </c>
      <c r="DI342" s="5">
        <f t="shared" si="92"/>
        <v>705.72999999998137</v>
      </c>
      <c r="DJ342" s="6">
        <f t="shared" si="122"/>
        <v>29.405416666665889</v>
      </c>
      <c r="DL342" s="4">
        <v>45455</v>
      </c>
      <c r="DM342" s="5">
        <v>459785.00099999999</v>
      </c>
      <c r="DN342" s="5">
        <f t="shared" si="93"/>
        <v>1632.5559999999823</v>
      </c>
      <c r="DO342" s="6">
        <f t="shared" si="123"/>
        <v>68.023166666665929</v>
      </c>
      <c r="DQ342" s="4">
        <v>45485</v>
      </c>
      <c r="DR342" s="5">
        <v>523282.70699999999</v>
      </c>
      <c r="DS342" s="5">
        <f t="shared" si="94"/>
        <v>0</v>
      </c>
      <c r="DT342" s="6">
        <f t="shared" si="124"/>
        <v>0</v>
      </c>
      <c r="DV342" s="4">
        <v>45516</v>
      </c>
      <c r="DW342" s="5">
        <v>614212.64300000004</v>
      </c>
      <c r="DX342" s="5">
        <f t="shared" si="95"/>
        <v>3284.688000000082</v>
      </c>
      <c r="DY342" s="6">
        <f t="shared" si="125"/>
        <v>136.86200000000341</v>
      </c>
      <c r="EA342" s="4">
        <v>45547</v>
      </c>
      <c r="EB342" s="5">
        <v>721613.68400000001</v>
      </c>
      <c r="EC342" s="5">
        <f t="shared" si="96"/>
        <v>0</v>
      </c>
      <c r="ED342" s="6">
        <f t="shared" si="126"/>
        <v>0</v>
      </c>
      <c r="EF342" s="4">
        <v>45577</v>
      </c>
      <c r="EG342" s="5">
        <v>799413.23499999999</v>
      </c>
      <c r="EH342" s="5">
        <f t="shared" si="97"/>
        <v>3895.7010000000009</v>
      </c>
      <c r="EI342" s="6">
        <f t="shared" si="47"/>
        <v>162.32087500000003</v>
      </c>
      <c r="EK342" s="4">
        <v>45608</v>
      </c>
      <c r="EL342" s="5">
        <v>899086.81599999999</v>
      </c>
      <c r="EM342" s="5">
        <f t="shared" si="98"/>
        <v>3707.0400000000373</v>
      </c>
      <c r="EN342" s="6">
        <f t="shared" si="48"/>
        <v>154.46000000000154</v>
      </c>
      <c r="EP342" s="4">
        <v>45638</v>
      </c>
      <c r="EQ342" s="5">
        <v>935296.39099999995</v>
      </c>
      <c r="ER342" s="5">
        <f t="shared" si="99"/>
        <v>759.8399999999674</v>
      </c>
      <c r="ES342" s="6">
        <f t="shared" si="49"/>
        <v>31.659999999998643</v>
      </c>
    </row>
    <row r="343" spans="1:149" ht="15.75" x14ac:dyDescent="0.25">
      <c r="A343" s="4">
        <v>44755</v>
      </c>
      <c r="B343" s="5">
        <v>227746.28</v>
      </c>
      <c r="C343" s="5">
        <f t="shared" si="50"/>
        <v>1170.5359999999928</v>
      </c>
      <c r="D343" s="6">
        <f t="shared" si="40"/>
        <v>48.77233333333303</v>
      </c>
      <c r="F343" s="4">
        <v>44788</v>
      </c>
      <c r="G343" s="5">
        <v>320364.299</v>
      </c>
      <c r="H343" s="5">
        <f t="shared" si="100"/>
        <v>3531.3159999999916</v>
      </c>
      <c r="I343" s="6">
        <f t="shared" si="101"/>
        <v>139.24666666666599</v>
      </c>
      <c r="K343" s="4">
        <v>44817</v>
      </c>
      <c r="L343" s="5">
        <v>393397.37599999999</v>
      </c>
      <c r="M343" s="5">
        <f t="shared" si="127"/>
        <v>2771.1639999999898</v>
      </c>
      <c r="N343" s="6">
        <f t="shared" si="102"/>
        <v>115.46516666666624</v>
      </c>
      <c r="P343" s="4">
        <v>44847</v>
      </c>
      <c r="Q343" s="5">
        <v>470790.19799999997</v>
      </c>
      <c r="R343" s="5">
        <f t="shared" si="128"/>
        <v>2379.7239999999874</v>
      </c>
      <c r="S343" s="6">
        <f t="shared" si="103"/>
        <v>99.155166666666148</v>
      </c>
      <c r="U343" s="4">
        <v>44878</v>
      </c>
      <c r="V343" s="5">
        <v>544729.71100000001</v>
      </c>
      <c r="W343" s="5">
        <f t="shared" si="129"/>
        <v>3068.0679999999702</v>
      </c>
      <c r="X343" s="6">
        <f t="shared" si="104"/>
        <v>127.83616666666542</v>
      </c>
      <c r="Z343" s="4">
        <v>44908</v>
      </c>
      <c r="AA343" s="5">
        <v>603802.64800000004</v>
      </c>
      <c r="AB343" s="5">
        <f t="shared" si="130"/>
        <v>2149.2200000000885</v>
      </c>
      <c r="AC343" s="6">
        <f t="shared" si="105"/>
        <v>89.550833333337025</v>
      </c>
      <c r="AE343" s="4">
        <v>44939</v>
      </c>
      <c r="AF343" s="5">
        <v>652797.13500000001</v>
      </c>
      <c r="AG343" s="5">
        <f t="shared" si="131"/>
        <v>3135.8320000000531</v>
      </c>
      <c r="AH343" s="6">
        <f t="shared" si="106"/>
        <v>130.65966666666887</v>
      </c>
      <c r="AJ343" s="4">
        <v>44970</v>
      </c>
      <c r="AK343" s="5">
        <v>670724.42500000005</v>
      </c>
      <c r="AL343" s="5">
        <f t="shared" si="132"/>
        <v>136.16800000006333</v>
      </c>
      <c r="AM343" s="6">
        <f t="shared" si="107"/>
        <v>5.6736666666693054</v>
      </c>
      <c r="AO343" s="4">
        <v>44998</v>
      </c>
      <c r="AP343" s="5">
        <v>680595.09299999999</v>
      </c>
      <c r="AQ343" s="5">
        <f t="shared" si="133"/>
        <v>184.16399999998976</v>
      </c>
      <c r="AR343" s="6">
        <f t="shared" si="108"/>
        <v>7.6734999999995734</v>
      </c>
      <c r="AT343" s="4">
        <v>45029</v>
      </c>
      <c r="AU343" s="5">
        <v>753049.48699999996</v>
      </c>
      <c r="AV343" s="5">
        <f t="shared" si="134"/>
        <v>3552.1329999999143</v>
      </c>
      <c r="AW343" s="6">
        <f t="shared" si="109"/>
        <v>148.00554166666311</v>
      </c>
      <c r="AY343" s="4">
        <v>45059</v>
      </c>
      <c r="AZ343" s="5">
        <v>783133.92099999997</v>
      </c>
      <c r="BA343" s="5">
        <f t="shared" si="135"/>
        <v>3292.5320000000065</v>
      </c>
      <c r="BB343" s="6">
        <f t="shared" si="110"/>
        <v>137.1888333333336</v>
      </c>
      <c r="BD343" s="4">
        <v>45090</v>
      </c>
      <c r="BE343" s="5">
        <v>860730.95900000003</v>
      </c>
      <c r="BF343" s="5">
        <f t="shared" si="136"/>
        <v>0</v>
      </c>
      <c r="BG343" s="6">
        <f t="shared" si="111"/>
        <v>0</v>
      </c>
      <c r="BI343" s="4">
        <v>45120</v>
      </c>
      <c r="BJ343" s="5">
        <v>952525.21299999999</v>
      </c>
      <c r="BK343" s="5">
        <f t="shared" si="137"/>
        <v>3582.5359999999637</v>
      </c>
      <c r="BL343" s="6">
        <f t="shared" si="112"/>
        <v>149.27233333333183</v>
      </c>
      <c r="BN343" s="4">
        <v>45151</v>
      </c>
      <c r="BO343" s="5">
        <v>61088.364999999998</v>
      </c>
      <c r="BP343" s="5">
        <f t="shared" si="138"/>
        <v>3799.8679999999949</v>
      </c>
      <c r="BQ343" s="6">
        <f t="shared" si="113"/>
        <v>158.32783333333313</v>
      </c>
      <c r="BS343" s="4">
        <v>45182</v>
      </c>
      <c r="BT343" s="5">
        <v>158775.345</v>
      </c>
      <c r="BU343" s="5">
        <f t="shared" si="139"/>
        <v>0</v>
      </c>
      <c r="BV343" s="6">
        <f t="shared" si="114"/>
        <v>0</v>
      </c>
      <c r="BX343" s="4">
        <v>45212</v>
      </c>
      <c r="BY343" s="5">
        <v>238933.80799999999</v>
      </c>
      <c r="BZ343" s="5">
        <f t="shared" si="46"/>
        <v>3237.0249999999942</v>
      </c>
      <c r="CA343" s="6">
        <f t="shared" si="115"/>
        <v>134.87604166666642</v>
      </c>
      <c r="CC343" s="4">
        <v>45243</v>
      </c>
      <c r="CD343" s="5">
        <f t="shared" si="86"/>
        <v>337700</v>
      </c>
      <c r="CE343" s="5">
        <v>3500</v>
      </c>
      <c r="CF343" s="6">
        <f t="shared" si="116"/>
        <v>145.83333333333334</v>
      </c>
      <c r="CH343" s="4">
        <v>45273</v>
      </c>
      <c r="CI343" s="5">
        <f t="shared" si="87"/>
        <v>410600</v>
      </c>
      <c r="CJ343" s="5">
        <v>150</v>
      </c>
      <c r="CK343" s="6">
        <f t="shared" si="117"/>
        <v>6.25</v>
      </c>
      <c r="CM343" s="4">
        <v>45304</v>
      </c>
      <c r="CN343" s="5">
        <v>275395.50300000003</v>
      </c>
      <c r="CO343" s="5">
        <f t="shared" si="88"/>
        <v>0</v>
      </c>
      <c r="CP343" s="6">
        <f t="shared" si="118"/>
        <v>0</v>
      </c>
      <c r="CR343" s="4">
        <v>45335</v>
      </c>
      <c r="CS343" s="5">
        <v>290271.696</v>
      </c>
      <c r="CT343" s="5">
        <f t="shared" si="89"/>
        <v>432.9199999999837</v>
      </c>
      <c r="CU343" s="6">
        <f t="shared" si="119"/>
        <v>18.038333333332655</v>
      </c>
      <c r="CW343" s="4">
        <v>45364</v>
      </c>
      <c r="CX343" s="5">
        <v>367323.19199999998</v>
      </c>
      <c r="CY343" s="5">
        <f t="shared" si="90"/>
        <v>1181.9519999999902</v>
      </c>
      <c r="CZ343" s="6">
        <f t="shared" si="120"/>
        <v>49.247999999999593</v>
      </c>
      <c r="DB343" s="4">
        <v>45395</v>
      </c>
      <c r="DC343" s="5">
        <v>398486.48700000002</v>
      </c>
      <c r="DD343" s="5">
        <f t="shared" si="91"/>
        <v>0</v>
      </c>
      <c r="DE343" s="6">
        <f t="shared" si="121"/>
        <v>0</v>
      </c>
      <c r="DG343" s="4">
        <v>45425</v>
      </c>
      <c r="DH343" s="5">
        <v>429485.59399999998</v>
      </c>
      <c r="DI343" s="5">
        <f t="shared" si="92"/>
        <v>985.59399999998277</v>
      </c>
      <c r="DJ343" s="6">
        <f t="shared" si="122"/>
        <v>41.066416666665951</v>
      </c>
      <c r="DL343" s="4">
        <v>45456</v>
      </c>
      <c r="DM343" s="5">
        <v>461648.58500000002</v>
      </c>
      <c r="DN343" s="5">
        <f t="shared" si="93"/>
        <v>1863.5840000000317</v>
      </c>
      <c r="DO343" s="6">
        <f t="shared" si="123"/>
        <v>77.649333333334653</v>
      </c>
      <c r="DQ343" s="4">
        <v>45486</v>
      </c>
      <c r="DR343" s="5">
        <v>523282.70699999999</v>
      </c>
      <c r="DS343" s="5">
        <f t="shared" si="94"/>
        <v>0</v>
      </c>
      <c r="DT343" s="6">
        <f t="shared" si="124"/>
        <v>0</v>
      </c>
      <c r="DV343" s="4">
        <v>45517</v>
      </c>
      <c r="DW343" s="5">
        <v>617300.23100000003</v>
      </c>
      <c r="DX343" s="5">
        <f t="shared" si="95"/>
        <v>3087.5879999999888</v>
      </c>
      <c r="DY343" s="6">
        <f t="shared" si="125"/>
        <v>128.64949999999953</v>
      </c>
      <c r="EA343" s="4">
        <v>45548</v>
      </c>
      <c r="EB343" s="5">
        <v>721613.68400000001</v>
      </c>
      <c r="EC343" s="5">
        <f t="shared" si="96"/>
        <v>0</v>
      </c>
      <c r="ED343" s="6">
        <f t="shared" si="126"/>
        <v>0</v>
      </c>
      <c r="EF343" s="4">
        <v>45578</v>
      </c>
      <c r="EG343" s="5">
        <v>801514.64800000004</v>
      </c>
      <c r="EH343" s="5">
        <f t="shared" si="97"/>
        <v>2101.4130000000587</v>
      </c>
      <c r="EI343" s="6">
        <f t="shared" si="47"/>
        <v>87.558875000002445</v>
      </c>
      <c r="EK343" s="4">
        <v>45609</v>
      </c>
      <c r="EL343" s="5">
        <v>902803.36800000002</v>
      </c>
      <c r="EM343" s="5">
        <f t="shared" si="98"/>
        <v>3716.5520000000251</v>
      </c>
      <c r="EN343" s="6">
        <f t="shared" si="48"/>
        <v>154.85633333333439</v>
      </c>
      <c r="EP343" s="4">
        <v>45639</v>
      </c>
      <c r="EQ343" s="5">
        <v>935817.54299999995</v>
      </c>
      <c r="ER343" s="5">
        <f t="shared" si="99"/>
        <v>521.15200000000186</v>
      </c>
      <c r="ES343" s="6">
        <f t="shared" si="49"/>
        <v>21.714666666666744</v>
      </c>
    </row>
    <row r="344" spans="1:149" ht="15.75" x14ac:dyDescent="0.25">
      <c r="A344" s="4">
        <v>44756</v>
      </c>
      <c r="B344" s="5">
        <v>229931.296</v>
      </c>
      <c r="C344" s="5">
        <f t="shared" si="50"/>
        <v>2185.0160000000033</v>
      </c>
      <c r="D344" s="6">
        <f t="shared" si="40"/>
        <v>91.042333333333474</v>
      </c>
      <c r="F344" s="4">
        <v>44789</v>
      </c>
      <c r="G344" s="5">
        <v>323753.88699999999</v>
      </c>
      <c r="H344" s="5">
        <f t="shared" si="100"/>
        <v>3389.5879999999888</v>
      </c>
      <c r="I344" s="6">
        <f t="shared" si="101"/>
        <v>142.74404166666741</v>
      </c>
      <c r="K344" s="4">
        <v>44818</v>
      </c>
      <c r="L344" s="5">
        <v>396304.772</v>
      </c>
      <c r="M344" s="5">
        <f t="shared" si="127"/>
        <v>2907.3960000000079</v>
      </c>
      <c r="N344" s="6">
        <f t="shared" si="102"/>
        <v>121.14150000000033</v>
      </c>
      <c r="P344" s="4">
        <v>44848</v>
      </c>
      <c r="Q344" s="5">
        <v>472539.63799999998</v>
      </c>
      <c r="R344" s="5">
        <f t="shared" si="128"/>
        <v>1749.4400000000023</v>
      </c>
      <c r="S344" s="6">
        <f t="shared" si="103"/>
        <v>72.89333333333343</v>
      </c>
      <c r="U344" s="4">
        <v>44879</v>
      </c>
      <c r="V344" s="5">
        <v>547687.93099999998</v>
      </c>
      <c r="W344" s="5">
        <f t="shared" si="129"/>
        <v>2958.2199999999721</v>
      </c>
      <c r="X344" s="6">
        <f t="shared" si="104"/>
        <v>123.25916666666551</v>
      </c>
      <c r="Z344" s="4">
        <v>44909</v>
      </c>
      <c r="AA344" s="5">
        <v>603802.64800000004</v>
      </c>
      <c r="AB344" s="5">
        <f t="shared" si="130"/>
        <v>0</v>
      </c>
      <c r="AC344" s="6">
        <f t="shared" si="105"/>
        <v>0</v>
      </c>
      <c r="AE344" s="4">
        <v>44940</v>
      </c>
      <c r="AF344" s="5">
        <v>655867.27099999995</v>
      </c>
      <c r="AG344" s="5">
        <f t="shared" si="131"/>
        <v>3070.1359999999404</v>
      </c>
      <c r="AH344" s="6">
        <f t="shared" si="106"/>
        <v>127.92233333333085</v>
      </c>
      <c r="AJ344" s="4">
        <v>44971</v>
      </c>
      <c r="AK344" s="5">
        <v>670863.10100000002</v>
      </c>
      <c r="AL344" s="5">
        <f t="shared" si="132"/>
        <v>138.67599999997765</v>
      </c>
      <c r="AM344" s="6">
        <f t="shared" si="107"/>
        <v>5.7781666666657356</v>
      </c>
      <c r="AO344" s="4">
        <v>44999</v>
      </c>
      <c r="AP344" s="5">
        <v>681506.53799999994</v>
      </c>
      <c r="AQ344" s="5">
        <f t="shared" si="133"/>
        <v>911.44499999994878</v>
      </c>
      <c r="AR344" s="6">
        <f t="shared" si="108"/>
        <v>37.976874999997868</v>
      </c>
      <c r="AT344" s="4">
        <v>45030</v>
      </c>
      <c r="AU344" s="5">
        <v>756639.19900000002</v>
      </c>
      <c r="AV344" s="5">
        <f t="shared" si="134"/>
        <v>3589.7120000000577</v>
      </c>
      <c r="AW344" s="6">
        <f t="shared" si="109"/>
        <v>149.57133333333573</v>
      </c>
      <c r="AY344" s="4">
        <v>45060</v>
      </c>
      <c r="AZ344" s="5">
        <v>783280.41700000002</v>
      </c>
      <c r="BA344" s="5">
        <f t="shared" si="135"/>
        <v>146.49600000004284</v>
      </c>
      <c r="BB344" s="6">
        <f t="shared" si="110"/>
        <v>6.1040000000017853</v>
      </c>
      <c r="BD344" s="4">
        <v>45091</v>
      </c>
      <c r="BE344" s="5">
        <v>861019.90300000005</v>
      </c>
      <c r="BF344" s="5">
        <f t="shared" si="136"/>
        <v>288.9440000000177</v>
      </c>
      <c r="BG344" s="6">
        <f t="shared" si="111"/>
        <v>12.039333333334071</v>
      </c>
      <c r="BI344" s="4">
        <v>45121</v>
      </c>
      <c r="BJ344" s="5">
        <v>956127.76300000004</v>
      </c>
      <c r="BK344" s="5">
        <f t="shared" si="137"/>
        <v>3602.5500000000466</v>
      </c>
      <c r="BL344" s="6">
        <f t="shared" si="112"/>
        <v>150.10625000000195</v>
      </c>
      <c r="BN344" s="4">
        <v>45152</v>
      </c>
      <c r="BO344" s="5">
        <v>64747.357000000004</v>
      </c>
      <c r="BP344" s="5">
        <f t="shared" si="138"/>
        <v>3658.9920000000056</v>
      </c>
      <c r="BQ344" s="6">
        <f t="shared" si="113"/>
        <v>152.45800000000023</v>
      </c>
      <c r="BS344" s="4">
        <v>45183</v>
      </c>
      <c r="BT344" s="5">
        <v>158775.345</v>
      </c>
      <c r="BU344" s="5">
        <f t="shared" si="139"/>
        <v>0</v>
      </c>
      <c r="BV344" s="6">
        <f t="shared" si="114"/>
        <v>0</v>
      </c>
      <c r="BX344" s="4">
        <v>45213</v>
      </c>
      <c r="BY344" s="5">
        <v>242728.2</v>
      </c>
      <c r="BZ344" s="5">
        <f t="shared" si="46"/>
        <v>3794.3920000000217</v>
      </c>
      <c r="CA344" s="6">
        <f t="shared" si="115"/>
        <v>158.09966666666756</v>
      </c>
      <c r="CC344" s="4">
        <v>45244</v>
      </c>
      <c r="CD344" s="5">
        <f t="shared" si="86"/>
        <v>341200</v>
      </c>
      <c r="CE344" s="5">
        <v>3500</v>
      </c>
      <c r="CF344" s="6">
        <f t="shared" si="116"/>
        <v>145.83333333333334</v>
      </c>
      <c r="CH344" s="4">
        <v>45274</v>
      </c>
      <c r="CI344" s="5">
        <f t="shared" si="87"/>
        <v>410675</v>
      </c>
      <c r="CJ344" s="5">
        <v>75</v>
      </c>
      <c r="CK344" s="6">
        <f t="shared" si="117"/>
        <v>3.125</v>
      </c>
      <c r="CM344" s="4">
        <v>45305</v>
      </c>
      <c r="CN344" s="5">
        <v>275657.91899999999</v>
      </c>
      <c r="CO344" s="5">
        <f t="shared" si="88"/>
        <v>262.41599999996834</v>
      </c>
      <c r="CP344" s="6">
        <f t="shared" si="118"/>
        <v>10.933999999998681</v>
      </c>
      <c r="CR344" s="4">
        <v>45336</v>
      </c>
      <c r="CS344" s="5">
        <v>291152.94900000002</v>
      </c>
      <c r="CT344" s="5">
        <f t="shared" si="89"/>
        <v>881.25300000002608</v>
      </c>
      <c r="CU344" s="6">
        <f t="shared" si="119"/>
        <v>36.718875000001084</v>
      </c>
      <c r="CW344" s="4">
        <v>45365</v>
      </c>
      <c r="CX344" s="5">
        <v>368358.04800000001</v>
      </c>
      <c r="CY344" s="5">
        <f t="shared" si="90"/>
        <v>1034.8560000000289</v>
      </c>
      <c r="CZ344" s="6">
        <f t="shared" si="120"/>
        <v>43.119000000001201</v>
      </c>
      <c r="DB344" s="4">
        <v>45396</v>
      </c>
      <c r="DC344" s="5">
        <v>398878.45899999997</v>
      </c>
      <c r="DD344" s="5">
        <f t="shared" si="91"/>
        <v>391.97199999995064</v>
      </c>
      <c r="DE344" s="6">
        <f t="shared" si="121"/>
        <v>16.332166666664609</v>
      </c>
      <c r="DG344" s="4">
        <v>45426</v>
      </c>
      <c r="DH344" s="5">
        <v>430620.75</v>
      </c>
      <c r="DI344" s="5">
        <f t="shared" si="92"/>
        <v>1135.1560000000172</v>
      </c>
      <c r="DJ344" s="6">
        <f t="shared" si="122"/>
        <v>47.298166666667385</v>
      </c>
      <c r="DL344" s="4">
        <v>45457</v>
      </c>
      <c r="DM344" s="5">
        <v>463480.05699999997</v>
      </c>
      <c r="DN344" s="5">
        <f t="shared" si="93"/>
        <v>1831.4719999999506</v>
      </c>
      <c r="DO344" s="6">
        <f t="shared" si="123"/>
        <v>76.311333333331277</v>
      </c>
      <c r="DQ344" s="4">
        <v>45487</v>
      </c>
      <c r="DR344" s="5">
        <v>523282.70699999999</v>
      </c>
      <c r="DS344" s="5">
        <f t="shared" si="94"/>
        <v>0</v>
      </c>
      <c r="DT344" s="6">
        <f t="shared" si="124"/>
        <v>0</v>
      </c>
      <c r="DV344" s="4">
        <v>45518</v>
      </c>
      <c r="DW344" s="5">
        <v>620729.89500000002</v>
      </c>
      <c r="DX344" s="5">
        <f t="shared" si="95"/>
        <v>3429.6639999999898</v>
      </c>
      <c r="DY344" s="6">
        <f t="shared" si="125"/>
        <v>142.90266666666625</v>
      </c>
      <c r="EA344" s="4">
        <v>45549</v>
      </c>
      <c r="EB344" s="5">
        <v>721613.68400000001</v>
      </c>
      <c r="EC344" s="5">
        <f t="shared" si="96"/>
        <v>0</v>
      </c>
      <c r="ED344" s="6">
        <f t="shared" si="126"/>
        <v>0</v>
      </c>
      <c r="EF344" s="4">
        <v>45579</v>
      </c>
      <c r="EG344" s="5">
        <v>803854.46799999999</v>
      </c>
      <c r="EH344" s="5">
        <f t="shared" si="97"/>
        <v>2339.8199999999488</v>
      </c>
      <c r="EI344" s="6">
        <f t="shared" si="47"/>
        <v>97.492499999997861</v>
      </c>
      <c r="EK344" s="4">
        <v>45610</v>
      </c>
      <c r="EL344" s="5">
        <v>906544.20499999996</v>
      </c>
      <c r="EM344" s="5">
        <f t="shared" si="98"/>
        <v>3740.8369999999413</v>
      </c>
      <c r="EN344" s="6">
        <f t="shared" si="48"/>
        <v>155.8682083333309</v>
      </c>
      <c r="EP344" s="4">
        <v>45640</v>
      </c>
      <c r="EQ344" s="5">
        <v>936723.65099999995</v>
      </c>
      <c r="ER344" s="5">
        <f t="shared" si="99"/>
        <v>906.10800000000745</v>
      </c>
      <c r="ES344" s="6">
        <f t="shared" si="49"/>
        <v>37.754500000000313</v>
      </c>
    </row>
    <row r="345" spans="1:149" ht="15.75" x14ac:dyDescent="0.25">
      <c r="A345" s="4">
        <v>44757</v>
      </c>
      <c r="B345" s="5">
        <v>232708.61199999999</v>
      </c>
      <c r="C345" s="5">
        <f t="shared" si="50"/>
        <v>2777.3159999999916</v>
      </c>
      <c r="D345" s="6">
        <f t="shared" si="40"/>
        <v>115.72149999999965</v>
      </c>
      <c r="F345" s="4">
        <v>44790</v>
      </c>
      <c r="G345" s="5">
        <v>326343.62300000002</v>
      </c>
      <c r="H345" s="5">
        <f t="shared" si="100"/>
        <v>2589.7360000000335</v>
      </c>
      <c r="I345" s="6">
        <f t="shared" si="101"/>
        <v>147.13816666666631</v>
      </c>
      <c r="K345" s="4">
        <v>44819</v>
      </c>
      <c r="L345" s="5">
        <v>399368.245</v>
      </c>
      <c r="M345" s="5">
        <f t="shared" si="127"/>
        <v>3063.4729999999981</v>
      </c>
      <c r="N345" s="6">
        <f t="shared" si="102"/>
        <v>127.64470833333326</v>
      </c>
      <c r="P345" s="4">
        <v>44849</v>
      </c>
      <c r="Q345" s="5">
        <v>474512.51</v>
      </c>
      <c r="R345" s="5">
        <f t="shared" si="128"/>
        <v>1972.8720000000321</v>
      </c>
      <c r="S345" s="6">
        <f t="shared" si="103"/>
        <v>82.203000000001339</v>
      </c>
      <c r="U345" s="4">
        <v>44880</v>
      </c>
      <c r="V345" s="5">
        <v>550282.495</v>
      </c>
      <c r="W345" s="5">
        <f t="shared" si="129"/>
        <v>2594.564000000013</v>
      </c>
      <c r="X345" s="6">
        <f t="shared" si="104"/>
        <v>108.10683333333388</v>
      </c>
      <c r="Z345" s="4">
        <v>44910</v>
      </c>
      <c r="AA345" s="5">
        <v>603929.1</v>
      </c>
      <c r="AB345" s="5">
        <f t="shared" si="130"/>
        <v>126.45199999993201</v>
      </c>
      <c r="AC345" s="6">
        <f t="shared" si="105"/>
        <v>5.2688333333305009</v>
      </c>
      <c r="AE345" s="4">
        <v>44941</v>
      </c>
      <c r="AF345" s="5">
        <v>659009.64800000004</v>
      </c>
      <c r="AG345" s="5">
        <f t="shared" si="131"/>
        <v>3142.377000000095</v>
      </c>
      <c r="AH345" s="6">
        <f t="shared" si="106"/>
        <v>130.93237500000396</v>
      </c>
      <c r="AJ345" s="4">
        <v>44972</v>
      </c>
      <c r="AK345" s="5">
        <v>670985.40099999995</v>
      </c>
      <c r="AL345" s="5">
        <f t="shared" si="132"/>
        <v>122.29999999993015</v>
      </c>
      <c r="AM345" s="6">
        <f t="shared" si="107"/>
        <v>5.0958333333304227</v>
      </c>
      <c r="AO345" s="4">
        <v>45000</v>
      </c>
      <c r="AP345" s="5">
        <v>684446.3</v>
      </c>
      <c r="AQ345" s="5">
        <f t="shared" si="133"/>
        <v>2939.7620000001043</v>
      </c>
      <c r="AR345" s="6">
        <f t="shared" si="108"/>
        <v>122.49008333333768</v>
      </c>
      <c r="AT345" s="4">
        <v>45031</v>
      </c>
      <c r="AU345" s="5">
        <v>759870.06299999997</v>
      </c>
      <c r="AV345" s="5">
        <f t="shared" si="134"/>
        <v>3230.8639999999432</v>
      </c>
      <c r="AW345" s="6">
        <f t="shared" si="109"/>
        <v>134.61933333333096</v>
      </c>
      <c r="AY345" s="4">
        <v>45061</v>
      </c>
      <c r="AZ345" s="5">
        <v>783959.13300000003</v>
      </c>
      <c r="BA345" s="5">
        <f>AZ345-AZ344</f>
        <v>678.7160000000149</v>
      </c>
      <c r="BB345" s="6">
        <f t="shared" si="110"/>
        <v>28.279833333333954</v>
      </c>
      <c r="BD345" s="4">
        <v>45092</v>
      </c>
      <c r="BE345" s="5">
        <v>861019.90300000005</v>
      </c>
      <c r="BF345" s="5">
        <f t="shared" si="136"/>
        <v>0</v>
      </c>
      <c r="BG345" s="6">
        <f t="shared" si="111"/>
        <v>0</v>
      </c>
      <c r="BI345" s="4">
        <v>45122</v>
      </c>
      <c r="BJ345" s="5">
        <v>959745.69700000004</v>
      </c>
      <c r="BK345" s="5">
        <f t="shared" si="137"/>
        <v>3617.9340000000084</v>
      </c>
      <c r="BL345" s="6">
        <f t="shared" si="112"/>
        <v>150.74725000000035</v>
      </c>
      <c r="BN345" s="4">
        <v>45153</v>
      </c>
      <c r="BO345" s="5">
        <v>71594.457999999999</v>
      </c>
      <c r="BP345" s="5">
        <f t="shared" si="138"/>
        <v>6847.1009999999951</v>
      </c>
      <c r="BQ345" s="6">
        <f t="shared" si="113"/>
        <v>285.2958749999998</v>
      </c>
      <c r="BS345" s="4">
        <v>45184</v>
      </c>
      <c r="BT345" s="5">
        <v>158775.345</v>
      </c>
      <c r="BU345" s="5">
        <f t="shared" si="139"/>
        <v>0</v>
      </c>
      <c r="BV345" s="6">
        <f t="shared" si="114"/>
        <v>0</v>
      </c>
      <c r="BX345" s="4">
        <v>45214</v>
      </c>
      <c r="BY345" s="5">
        <v>246313.68400000001</v>
      </c>
      <c r="BZ345" s="5">
        <f t="shared" si="46"/>
        <v>3585.4839999999967</v>
      </c>
      <c r="CA345" s="6">
        <f t="shared" si="115"/>
        <v>149.39516666666654</v>
      </c>
      <c r="CC345" s="4">
        <v>45245</v>
      </c>
      <c r="CD345" s="5">
        <f t="shared" si="86"/>
        <v>344700</v>
      </c>
      <c r="CE345" s="5">
        <v>3500</v>
      </c>
      <c r="CF345" s="6">
        <f t="shared" si="116"/>
        <v>145.83333333333334</v>
      </c>
      <c r="CH345" s="4">
        <v>45275</v>
      </c>
      <c r="CI345" s="5">
        <f t="shared" si="87"/>
        <v>410750</v>
      </c>
      <c r="CJ345" s="5">
        <v>75</v>
      </c>
      <c r="CK345" s="6">
        <f t="shared" si="117"/>
        <v>3.125</v>
      </c>
      <c r="CM345" s="4">
        <v>45306</v>
      </c>
      <c r="CN345" s="5">
        <v>275716.53100000002</v>
      </c>
      <c r="CO345" s="5">
        <f t="shared" si="88"/>
        <v>58.612000000022817</v>
      </c>
      <c r="CP345" s="6">
        <f t="shared" si="118"/>
        <v>2.4421666666676174</v>
      </c>
      <c r="CR345" s="4">
        <v>45337</v>
      </c>
      <c r="CS345" s="5">
        <v>292400.66100000002</v>
      </c>
      <c r="CT345" s="5">
        <f t="shared" ref="CT345:CT356" si="140">CS345-CS344</f>
        <v>1247.7119999999995</v>
      </c>
      <c r="CU345" s="6">
        <f t="shared" si="119"/>
        <v>51.987999999999978</v>
      </c>
      <c r="CW345" s="4">
        <v>45366</v>
      </c>
      <c r="CX345" s="5">
        <v>369325.64799999999</v>
      </c>
      <c r="CY345" s="5">
        <f t="shared" ref="CY345:CY356" si="141">CX345-CX344</f>
        <v>967.59999999997672</v>
      </c>
      <c r="CZ345" s="6">
        <f t="shared" si="120"/>
        <v>40.316666666665697</v>
      </c>
      <c r="DB345" s="4">
        <v>45397</v>
      </c>
      <c r="DC345" s="5">
        <v>398878.45899999997</v>
      </c>
      <c r="DD345" s="5">
        <f t="shared" ref="DD345:DD356" si="142">DC345-DC344</f>
        <v>0</v>
      </c>
      <c r="DE345" s="6">
        <f t="shared" si="121"/>
        <v>0</v>
      </c>
      <c r="DG345" s="4">
        <v>45427</v>
      </c>
      <c r="DH345" s="5">
        <v>430620.75</v>
      </c>
      <c r="DI345" s="5">
        <f t="shared" si="92"/>
        <v>0</v>
      </c>
      <c r="DJ345" s="6">
        <f t="shared" si="122"/>
        <v>0</v>
      </c>
      <c r="DL345" s="4">
        <v>45458</v>
      </c>
      <c r="DM345" s="5">
        <v>465027.29700000002</v>
      </c>
      <c r="DN345" s="5">
        <f t="shared" si="93"/>
        <v>1547.2400000000489</v>
      </c>
      <c r="DO345" s="6">
        <f t="shared" si="123"/>
        <v>64.468333333335366</v>
      </c>
      <c r="DQ345" s="4">
        <v>45488</v>
      </c>
      <c r="DR345" s="5">
        <v>523282.70699999999</v>
      </c>
      <c r="DS345" s="5">
        <f t="shared" si="94"/>
        <v>0</v>
      </c>
      <c r="DT345" s="6">
        <f t="shared" si="124"/>
        <v>0</v>
      </c>
      <c r="DV345" s="4">
        <v>45519</v>
      </c>
      <c r="DW345" s="5">
        <v>624407.83200000005</v>
      </c>
      <c r="DX345" s="5">
        <f t="shared" si="95"/>
        <v>3677.9370000000345</v>
      </c>
      <c r="DY345" s="6">
        <f t="shared" si="125"/>
        <v>153.24737500000143</v>
      </c>
      <c r="EA345" s="4">
        <v>45550</v>
      </c>
      <c r="EB345" s="5">
        <v>721613.68400000001</v>
      </c>
      <c r="EC345" s="5">
        <f t="shared" si="96"/>
        <v>0</v>
      </c>
      <c r="ED345" s="6">
        <f t="shared" si="126"/>
        <v>0</v>
      </c>
      <c r="EF345" s="4">
        <v>45580</v>
      </c>
      <c r="EG345" s="5">
        <v>806294.46799999999</v>
      </c>
      <c r="EH345" s="5">
        <f t="shared" si="97"/>
        <v>2440</v>
      </c>
      <c r="EI345" s="6">
        <f t="shared" si="47"/>
        <v>101.66666666666667</v>
      </c>
      <c r="EK345" s="4">
        <v>45611</v>
      </c>
      <c r="EL345" s="5">
        <v>910296.67700000003</v>
      </c>
      <c r="EM345" s="5">
        <f>EL345-EL344</f>
        <v>3752.4720000000671</v>
      </c>
      <c r="EN345" s="6">
        <f t="shared" si="48"/>
        <v>156.35300000000279</v>
      </c>
      <c r="EP345" s="4">
        <v>45641</v>
      </c>
      <c r="EQ345" s="5">
        <v>937876.21499999997</v>
      </c>
      <c r="ER345" s="5">
        <f>EQ345-EQ344</f>
        <v>1152.564000000013</v>
      </c>
      <c r="ES345" s="6">
        <f t="shared" si="49"/>
        <v>48.023500000000546</v>
      </c>
    </row>
    <row r="346" spans="1:149" ht="15.75" x14ac:dyDescent="0.25">
      <c r="A346" s="4">
        <v>44758</v>
      </c>
      <c r="B346" s="5">
        <v>234835.00700000001</v>
      </c>
      <c r="C346" s="5">
        <f t="shared" si="50"/>
        <v>2126.3950000000186</v>
      </c>
      <c r="D346" s="6">
        <f t="shared" si="40"/>
        <v>88.599791666667443</v>
      </c>
      <c r="F346" s="4">
        <v>44791</v>
      </c>
      <c r="G346" s="5">
        <v>330019.88400000002</v>
      </c>
      <c r="H346" s="5">
        <f t="shared" si="100"/>
        <v>3676.2609999999986</v>
      </c>
      <c r="I346" s="6">
        <f t="shared" si="101"/>
        <v>141.23283333333288</v>
      </c>
      <c r="K346" s="4">
        <v>44820</v>
      </c>
      <c r="L346" s="5">
        <v>402223.20899999997</v>
      </c>
      <c r="M346" s="5">
        <f t="shared" si="127"/>
        <v>2854.9639999999781</v>
      </c>
      <c r="N346" s="6">
        <f t="shared" si="102"/>
        <v>118.95683333333243</v>
      </c>
      <c r="P346" s="4">
        <v>44850</v>
      </c>
      <c r="Q346" s="5">
        <v>476991.33399999997</v>
      </c>
      <c r="R346" s="5">
        <f t="shared" si="128"/>
        <v>2478.8239999999641</v>
      </c>
      <c r="S346" s="6">
        <f t="shared" si="103"/>
        <v>103.28433333333184</v>
      </c>
      <c r="U346" s="4">
        <v>44881</v>
      </c>
      <c r="V346" s="5">
        <v>553594.49199999997</v>
      </c>
      <c r="W346" s="5">
        <f t="shared" si="129"/>
        <v>3311.9969999999739</v>
      </c>
      <c r="X346" s="6">
        <f t="shared" si="104"/>
        <v>137.99987499999892</v>
      </c>
      <c r="Z346" s="4">
        <v>44911</v>
      </c>
      <c r="AA346" s="5">
        <v>604062.98</v>
      </c>
      <c r="AB346" s="5">
        <f t="shared" si="130"/>
        <v>133.88000000000466</v>
      </c>
      <c r="AC346" s="6">
        <f t="shared" si="105"/>
        <v>5.5783333333335277</v>
      </c>
      <c r="AE346" s="4">
        <v>44942</v>
      </c>
      <c r="AF346" s="5">
        <v>662115.50800000003</v>
      </c>
      <c r="AG346" s="5">
        <f t="shared" si="131"/>
        <v>3105.859999999986</v>
      </c>
      <c r="AH346" s="6">
        <f t="shared" si="106"/>
        <v>129.41083333333276</v>
      </c>
      <c r="AJ346" s="4">
        <v>44973</v>
      </c>
      <c r="AK346" s="5">
        <v>671124.929</v>
      </c>
      <c r="AL346" s="5">
        <f t="shared" si="132"/>
        <v>139.52800000004936</v>
      </c>
      <c r="AM346" s="6">
        <f t="shared" si="107"/>
        <v>5.8136666666687233</v>
      </c>
      <c r="AO346" s="4">
        <v>45001</v>
      </c>
      <c r="AP346" s="5">
        <v>688844.446</v>
      </c>
      <c r="AQ346" s="5">
        <f t="shared" si="133"/>
        <v>4398.1459999999497</v>
      </c>
      <c r="AR346" s="6">
        <f t="shared" si="108"/>
        <v>183.25608333333125</v>
      </c>
      <c r="AT346" s="4">
        <v>45032</v>
      </c>
      <c r="AU346" s="5">
        <v>762388.25100000005</v>
      </c>
      <c r="AV346" s="5">
        <f t="shared" si="134"/>
        <v>2518.188000000082</v>
      </c>
      <c r="AW346" s="6">
        <f t="shared" si="109"/>
        <v>104.92450000000342</v>
      </c>
      <c r="AY346" s="4">
        <v>45062</v>
      </c>
      <c r="AZ346" s="5">
        <v>786065.90899999999</v>
      </c>
      <c r="BA346" s="5">
        <f t="shared" si="135"/>
        <v>2106.7759999999544</v>
      </c>
      <c r="BB346" s="6">
        <f t="shared" si="110"/>
        <v>87.782333333331437</v>
      </c>
      <c r="BD346" s="4">
        <v>45093</v>
      </c>
      <c r="BE346" s="5">
        <v>862617.07499999995</v>
      </c>
      <c r="BF346" s="5">
        <f t="shared" si="136"/>
        <v>1597.1719999999041</v>
      </c>
      <c r="BG346" s="6">
        <f t="shared" si="111"/>
        <v>66.548833333329341</v>
      </c>
      <c r="BI346" s="4">
        <v>45123</v>
      </c>
      <c r="BJ346" s="5">
        <v>963516.45400000003</v>
      </c>
      <c r="BK346" s="5">
        <f t="shared" si="137"/>
        <v>3770.7569999999832</v>
      </c>
      <c r="BL346" s="6">
        <f t="shared" si="112"/>
        <v>157.1148749999993</v>
      </c>
      <c r="BN346" s="4">
        <v>45154</v>
      </c>
      <c r="BO346" s="5">
        <v>75552.186000000002</v>
      </c>
      <c r="BP346" s="5">
        <f t="shared" si="138"/>
        <v>3957.7280000000028</v>
      </c>
      <c r="BQ346" s="6">
        <f t="shared" si="113"/>
        <v>164.90533333333346</v>
      </c>
      <c r="BS346" s="4">
        <v>45185</v>
      </c>
      <c r="BT346" s="5">
        <v>158775.345</v>
      </c>
      <c r="BU346" s="5">
        <f t="shared" si="139"/>
        <v>0</v>
      </c>
      <c r="BV346" s="6">
        <f t="shared" si="114"/>
        <v>0</v>
      </c>
      <c r="BX346" s="4">
        <v>45215</v>
      </c>
      <c r="BY346" s="5">
        <v>249103.54</v>
      </c>
      <c r="BZ346" s="5">
        <f t="shared" si="46"/>
        <v>2789.8559999999998</v>
      </c>
      <c r="CA346" s="6">
        <f t="shared" si="115"/>
        <v>116.24399999999999</v>
      </c>
      <c r="CC346" s="4">
        <v>45246</v>
      </c>
      <c r="CD346" s="5">
        <f t="shared" si="86"/>
        <v>348200</v>
      </c>
      <c r="CE346" s="5">
        <v>3500</v>
      </c>
      <c r="CF346" s="6">
        <f t="shared" si="116"/>
        <v>145.83333333333334</v>
      </c>
      <c r="CH346" s="4">
        <v>45276</v>
      </c>
      <c r="CI346" s="5">
        <f t="shared" si="87"/>
        <v>411050</v>
      </c>
      <c r="CJ346" s="5">
        <v>300</v>
      </c>
      <c r="CK346" s="6">
        <f t="shared" si="117"/>
        <v>12.5</v>
      </c>
      <c r="CM346" s="4">
        <v>45307</v>
      </c>
      <c r="CN346" s="5">
        <v>275844.27100000001</v>
      </c>
      <c r="CO346" s="5">
        <f t="shared" si="88"/>
        <v>127.73999999999069</v>
      </c>
      <c r="CP346" s="6">
        <f t="shared" si="118"/>
        <v>5.3224999999996117</v>
      </c>
      <c r="CR346" s="4">
        <v>45338</v>
      </c>
      <c r="CS346" s="5">
        <v>293949.78100000002</v>
      </c>
      <c r="CT346" s="5">
        <f t="shared" si="140"/>
        <v>1549.1199999999953</v>
      </c>
      <c r="CU346" s="6">
        <f t="shared" si="119"/>
        <v>64.546666666666468</v>
      </c>
      <c r="CW346" s="4">
        <v>45367</v>
      </c>
      <c r="CX346" s="5">
        <v>370110.88400000002</v>
      </c>
      <c r="CY346" s="5">
        <f t="shared" si="141"/>
        <v>785.23600000003353</v>
      </c>
      <c r="CZ346" s="6">
        <f t="shared" si="120"/>
        <v>32.718166666668061</v>
      </c>
      <c r="DB346" s="4">
        <v>45398</v>
      </c>
      <c r="DC346" s="5">
        <v>399258.86700000003</v>
      </c>
      <c r="DD346" s="5">
        <f t="shared" si="142"/>
        <v>380.40800000005402</v>
      </c>
      <c r="DE346" s="6">
        <f t="shared" si="121"/>
        <v>15.850333333335584</v>
      </c>
      <c r="DG346" s="4">
        <v>45428</v>
      </c>
      <c r="DH346" s="5">
        <v>430695.35</v>
      </c>
      <c r="DI346" s="5">
        <f t="shared" si="92"/>
        <v>74.599999999976717</v>
      </c>
      <c r="DJ346" s="6">
        <f t="shared" si="122"/>
        <v>3.1083333333323631</v>
      </c>
      <c r="DL346" s="4">
        <v>45459</v>
      </c>
      <c r="DM346" s="5">
        <v>466496.01</v>
      </c>
      <c r="DN346" s="5">
        <f t="shared" si="93"/>
        <v>1468.7129999999888</v>
      </c>
      <c r="DO346" s="6">
        <f t="shared" si="123"/>
        <v>61.196374999999534</v>
      </c>
      <c r="DQ346" s="4">
        <v>45489</v>
      </c>
      <c r="DR346" s="5">
        <v>523282.70699999999</v>
      </c>
      <c r="DS346" s="5">
        <f t="shared" si="94"/>
        <v>0</v>
      </c>
      <c r="DT346" s="6">
        <f t="shared" si="124"/>
        <v>0</v>
      </c>
      <c r="DV346" s="4">
        <v>45520</v>
      </c>
      <c r="DW346" s="5">
        <v>628095.55200000003</v>
      </c>
      <c r="DX346" s="5">
        <f t="shared" si="95"/>
        <v>3687.7199999999721</v>
      </c>
      <c r="DY346" s="6">
        <f t="shared" si="125"/>
        <v>153.65499999999884</v>
      </c>
      <c r="EA346" s="4">
        <v>45551</v>
      </c>
      <c r="EB346" s="5">
        <v>721613.68400000001</v>
      </c>
      <c r="EC346" s="5">
        <f t="shared" si="96"/>
        <v>0</v>
      </c>
      <c r="ED346" s="6">
        <f t="shared" si="126"/>
        <v>0</v>
      </c>
      <c r="EF346" s="4">
        <v>45581</v>
      </c>
      <c r="EG346" s="5">
        <v>806807.54799999995</v>
      </c>
      <c r="EH346" s="5">
        <f t="shared" si="97"/>
        <v>513.07999999995809</v>
      </c>
      <c r="EI346" s="6">
        <f t="shared" si="47"/>
        <v>21.378333333331586</v>
      </c>
      <c r="EK346" s="4">
        <v>45612</v>
      </c>
      <c r="EL346" s="5">
        <v>913841.03300000005</v>
      </c>
      <c r="EM346" s="5">
        <f t="shared" si="98"/>
        <v>3544.3560000000289</v>
      </c>
      <c r="EN346" s="6">
        <f t="shared" si="48"/>
        <v>147.68150000000119</v>
      </c>
      <c r="EP346" s="4">
        <v>45642</v>
      </c>
      <c r="EQ346" s="5">
        <v>938251.09100000001</v>
      </c>
      <c r="ER346" s="5">
        <f t="shared" ref="ER346:ER361" si="143">EQ346-EQ345</f>
        <v>374.8760000000475</v>
      </c>
      <c r="ES346" s="6">
        <f t="shared" si="49"/>
        <v>15.619833333335313</v>
      </c>
    </row>
    <row r="347" spans="1:149" ht="15.75" x14ac:dyDescent="0.25">
      <c r="A347" s="4">
        <v>44759</v>
      </c>
      <c r="B347" s="5">
        <v>237378.78099999999</v>
      </c>
      <c r="C347" s="5">
        <f t="shared" si="50"/>
        <v>2543.7739999999758</v>
      </c>
      <c r="D347" s="6">
        <f t="shared" si="40"/>
        <v>105.99058333333232</v>
      </c>
      <c r="F347" s="4">
        <v>44792</v>
      </c>
      <c r="G347" s="5">
        <v>333651.804</v>
      </c>
      <c r="H347" s="5">
        <f t="shared" si="100"/>
        <v>3631.9199999999837</v>
      </c>
      <c r="I347" s="6">
        <f t="shared" si="101"/>
        <v>107.90566666666807</v>
      </c>
      <c r="K347" s="4">
        <v>44821</v>
      </c>
      <c r="L347" s="5">
        <v>404571.30499999999</v>
      </c>
      <c r="M347" s="5">
        <f t="shared" si="127"/>
        <v>2348.0960000000196</v>
      </c>
      <c r="N347" s="6">
        <f t="shared" si="102"/>
        <v>97.837333333334144</v>
      </c>
      <c r="P347" s="4">
        <v>44851</v>
      </c>
      <c r="Q347" s="5">
        <v>479798.08199999999</v>
      </c>
      <c r="R347" s="5">
        <f t="shared" si="128"/>
        <v>2806.7480000000214</v>
      </c>
      <c r="S347" s="6">
        <f t="shared" si="103"/>
        <v>116.94783333333423</v>
      </c>
      <c r="U347" s="4">
        <v>44882</v>
      </c>
      <c r="V347" s="5">
        <v>556737.31999999995</v>
      </c>
      <c r="W347" s="5">
        <f t="shared" si="129"/>
        <v>3142.8279999999795</v>
      </c>
      <c r="X347" s="6">
        <f t="shared" si="104"/>
        <v>130.95116666666581</v>
      </c>
      <c r="Z347" s="4">
        <v>44912</v>
      </c>
      <c r="AA347" s="5">
        <v>604204.13199999998</v>
      </c>
      <c r="AB347" s="5">
        <f t="shared" si="130"/>
        <v>141.15200000000186</v>
      </c>
      <c r="AC347" s="6">
        <f t="shared" si="105"/>
        <v>5.8813333333334112</v>
      </c>
      <c r="AE347" s="4">
        <v>44943</v>
      </c>
      <c r="AF347" s="5">
        <v>663058.01199999999</v>
      </c>
      <c r="AG347" s="5">
        <f t="shared" si="131"/>
        <v>942.50399999995716</v>
      </c>
      <c r="AH347" s="6">
        <f t="shared" si="106"/>
        <v>39.270999999998217</v>
      </c>
      <c r="AJ347" s="4">
        <v>44974</v>
      </c>
      <c r="AK347" s="5">
        <v>671597.86100000003</v>
      </c>
      <c r="AL347" s="5">
        <f t="shared" si="132"/>
        <v>472.9320000000298</v>
      </c>
      <c r="AM347" s="6">
        <f t="shared" si="107"/>
        <v>19.705500000001241</v>
      </c>
      <c r="AO347" s="4">
        <v>45002</v>
      </c>
      <c r="AP347" s="5">
        <v>692004.97</v>
      </c>
      <c r="AQ347" s="5">
        <f t="shared" si="133"/>
        <v>3160.5239999999758</v>
      </c>
      <c r="AR347" s="6">
        <f t="shared" si="108"/>
        <v>131.68849999999898</v>
      </c>
      <c r="AT347" s="4">
        <v>45033</v>
      </c>
      <c r="AU347" s="5">
        <v>764618.92799999996</v>
      </c>
      <c r="AV347" s="5">
        <f t="shared" si="134"/>
        <v>2230.6769999999087</v>
      </c>
      <c r="AW347" s="6">
        <f t="shared" si="109"/>
        <v>92.944874999996202</v>
      </c>
      <c r="AY347" s="4">
        <v>45063</v>
      </c>
      <c r="AZ347" s="5">
        <v>789791.67700000003</v>
      </c>
      <c r="BA347" s="5">
        <f t="shared" si="135"/>
        <v>3725.76800000004</v>
      </c>
      <c r="BB347" s="6">
        <f t="shared" si="110"/>
        <v>155.240333333335</v>
      </c>
      <c r="BD347" s="4">
        <v>45094</v>
      </c>
      <c r="BE347" s="5">
        <v>865338.29099999997</v>
      </c>
      <c r="BF347" s="5">
        <f t="shared" si="136"/>
        <v>2721.2160000000149</v>
      </c>
      <c r="BG347" s="6">
        <f t="shared" si="111"/>
        <v>113.38400000000063</v>
      </c>
      <c r="BI347" s="4">
        <v>45124</v>
      </c>
      <c r="BJ347" s="5">
        <v>967323.06599999999</v>
      </c>
      <c r="BK347" s="5">
        <f t="shared" si="137"/>
        <v>3806.6119999999646</v>
      </c>
      <c r="BL347" s="6">
        <f t="shared" si="112"/>
        <v>158.60883333333186</v>
      </c>
      <c r="BN347" s="4">
        <v>45155</v>
      </c>
      <c r="BO347" s="5">
        <v>79000.566000000006</v>
      </c>
      <c r="BP347" s="5">
        <f t="shared" si="138"/>
        <v>3448.3800000000047</v>
      </c>
      <c r="BQ347" s="6">
        <f t="shared" si="113"/>
        <v>143.6825000000002</v>
      </c>
      <c r="BS347" s="4">
        <v>45186</v>
      </c>
      <c r="BT347" s="5">
        <v>158775.345</v>
      </c>
      <c r="BU347" s="5">
        <f t="shared" si="139"/>
        <v>0</v>
      </c>
      <c r="BV347" s="6">
        <f t="shared" si="114"/>
        <v>0</v>
      </c>
      <c r="BX347" s="4">
        <v>45216</v>
      </c>
      <c r="BY347" s="5">
        <v>253635.285</v>
      </c>
      <c r="BZ347" s="5">
        <f t="shared" si="46"/>
        <v>4531.7449999999953</v>
      </c>
      <c r="CA347" s="6">
        <f t="shared" si="115"/>
        <v>188.82270833333314</v>
      </c>
      <c r="CC347" s="4">
        <v>45247</v>
      </c>
      <c r="CD347" s="5">
        <f t="shared" si="86"/>
        <v>351700</v>
      </c>
      <c r="CE347" s="5">
        <v>3500</v>
      </c>
      <c r="CF347" s="6">
        <f t="shared" si="116"/>
        <v>145.83333333333334</v>
      </c>
      <c r="CH347" s="4">
        <v>45277</v>
      </c>
      <c r="CI347" s="5">
        <f t="shared" si="87"/>
        <v>411125</v>
      </c>
      <c r="CJ347" s="5">
        <v>75</v>
      </c>
      <c r="CK347" s="6">
        <f t="shared" si="117"/>
        <v>3.125</v>
      </c>
      <c r="CM347" s="4">
        <v>45308</v>
      </c>
      <c r="CN347" s="5">
        <v>276197.61900000001</v>
      </c>
      <c r="CO347" s="5">
        <f t="shared" si="88"/>
        <v>353.34799999999814</v>
      </c>
      <c r="CP347" s="6">
        <f t="shared" si="118"/>
        <v>14.722833333333256</v>
      </c>
      <c r="CR347" s="4">
        <v>45339</v>
      </c>
      <c r="CS347" s="5">
        <v>297369.24099999998</v>
      </c>
      <c r="CT347" s="5">
        <f t="shared" si="140"/>
        <v>3419.4599999999627</v>
      </c>
      <c r="CU347" s="6">
        <f t="shared" si="119"/>
        <v>142.47749999999846</v>
      </c>
      <c r="CW347" s="4">
        <v>45368</v>
      </c>
      <c r="CX347" s="5">
        <v>370929.98</v>
      </c>
      <c r="CY347" s="5">
        <f t="shared" si="141"/>
        <v>819.09599999996135</v>
      </c>
      <c r="CZ347" s="6">
        <f t="shared" si="120"/>
        <v>34.128999999998392</v>
      </c>
      <c r="DB347" s="4">
        <v>45399</v>
      </c>
      <c r="DC347" s="5">
        <v>399500.79499999998</v>
      </c>
      <c r="DD347" s="5">
        <f t="shared" si="142"/>
        <v>241.92799999995623</v>
      </c>
      <c r="DE347" s="6">
        <f t="shared" si="121"/>
        <v>10.080333333331509</v>
      </c>
      <c r="DG347" s="4">
        <v>45429</v>
      </c>
      <c r="DH347" s="5">
        <v>431249.91800000001</v>
      </c>
      <c r="DI347" s="5">
        <f t="shared" si="92"/>
        <v>554.56800000002841</v>
      </c>
      <c r="DJ347" s="6">
        <f t="shared" si="122"/>
        <v>23.107000000001182</v>
      </c>
      <c r="DL347" s="4">
        <v>45460</v>
      </c>
      <c r="DM347" s="5">
        <v>467727.25799999997</v>
      </c>
      <c r="DN347" s="5">
        <f t="shared" si="93"/>
        <v>1231.2479999999632</v>
      </c>
      <c r="DO347" s="6">
        <f t="shared" si="123"/>
        <v>51.301999999998465</v>
      </c>
      <c r="DQ347" s="4">
        <v>45490</v>
      </c>
      <c r="DR347" s="5">
        <v>523282.70699999999</v>
      </c>
      <c r="DS347" s="5">
        <f t="shared" si="94"/>
        <v>0</v>
      </c>
      <c r="DT347" s="6">
        <f t="shared" si="124"/>
        <v>0</v>
      </c>
      <c r="DV347" s="4">
        <v>45521</v>
      </c>
      <c r="DW347" s="5">
        <v>631858.21200000006</v>
      </c>
      <c r="DX347" s="5">
        <f t="shared" si="95"/>
        <v>3762.6600000000326</v>
      </c>
      <c r="DY347" s="6">
        <f t="shared" si="125"/>
        <v>156.77750000000137</v>
      </c>
      <c r="EA347" s="4">
        <v>45552</v>
      </c>
      <c r="EB347" s="5">
        <v>721613.68400000001</v>
      </c>
      <c r="EC347" s="5">
        <f t="shared" si="96"/>
        <v>0</v>
      </c>
      <c r="ED347" s="6">
        <f t="shared" si="126"/>
        <v>0</v>
      </c>
      <c r="EF347" s="4">
        <v>45582</v>
      </c>
      <c r="EG347" s="5">
        <v>813457.14099999995</v>
      </c>
      <c r="EH347" s="5">
        <f t="shared" si="97"/>
        <v>6649.5929999999935</v>
      </c>
      <c r="EI347" s="6">
        <f t="shared" si="47"/>
        <v>277.06637499999971</v>
      </c>
      <c r="EK347" s="4">
        <v>45613</v>
      </c>
      <c r="EL347" s="5">
        <v>917270.30200000003</v>
      </c>
      <c r="EM347" s="5">
        <f t="shared" si="98"/>
        <v>3429.2689999999711</v>
      </c>
      <c r="EN347" s="6">
        <f t="shared" si="48"/>
        <v>142.88620833333212</v>
      </c>
      <c r="EP347" s="4">
        <v>45643</v>
      </c>
      <c r="EQ347" s="5">
        <v>939554.10400000005</v>
      </c>
      <c r="ER347" s="5">
        <f t="shared" si="143"/>
        <v>1303.0130000000354</v>
      </c>
      <c r="ES347" s="6">
        <f t="shared" si="49"/>
        <v>54.292208333334806</v>
      </c>
    </row>
    <row r="348" spans="1:149" ht="15.75" x14ac:dyDescent="0.25">
      <c r="A348" s="4">
        <v>44760</v>
      </c>
      <c r="B348" s="5">
        <v>240530.777</v>
      </c>
      <c r="C348" s="5">
        <f t="shared" si="50"/>
        <v>3151.9960000000137</v>
      </c>
      <c r="D348" s="6">
        <f t="shared" si="40"/>
        <v>131.33316666666724</v>
      </c>
      <c r="F348" s="4">
        <v>44793</v>
      </c>
      <c r="G348" s="5">
        <v>336954.09600000002</v>
      </c>
      <c r="H348" s="5">
        <f t="shared" si="100"/>
        <v>3302.2920000000158</v>
      </c>
      <c r="I348" s="6">
        <f t="shared" si="101"/>
        <v>153.1775416666666</v>
      </c>
      <c r="K348" s="4">
        <v>44822</v>
      </c>
      <c r="L348" s="5">
        <v>406212.68900000001</v>
      </c>
      <c r="M348" s="5">
        <f t="shared" si="127"/>
        <v>1641.38400000002</v>
      </c>
      <c r="N348" s="6">
        <f t="shared" si="102"/>
        <v>68.39100000000083</v>
      </c>
      <c r="P348" s="4">
        <v>44852</v>
      </c>
      <c r="Q348" s="5">
        <v>482516.83100000001</v>
      </c>
      <c r="R348" s="5">
        <f t="shared" si="128"/>
        <v>2718.7490000000107</v>
      </c>
      <c r="S348" s="6">
        <f t="shared" si="103"/>
        <v>113.28120833333378</v>
      </c>
      <c r="U348" s="4">
        <v>44883</v>
      </c>
      <c r="V348" s="5">
        <v>559566.61199999996</v>
      </c>
      <c r="W348" s="5">
        <f t="shared" si="129"/>
        <v>2829.2920000000158</v>
      </c>
      <c r="X348" s="6">
        <f t="shared" si="104"/>
        <v>117.88716666666733</v>
      </c>
      <c r="Z348" s="4">
        <v>44913</v>
      </c>
      <c r="AA348" s="5">
        <v>605845.53200000001</v>
      </c>
      <c r="AB348" s="5">
        <f t="shared" si="130"/>
        <v>1641.4000000000233</v>
      </c>
      <c r="AC348" s="6">
        <f t="shared" si="105"/>
        <v>68.391666666667632</v>
      </c>
      <c r="AE348" s="4">
        <v>44944</v>
      </c>
      <c r="AF348" s="5">
        <v>663197.348</v>
      </c>
      <c r="AG348" s="5">
        <f t="shared" si="131"/>
        <v>139.33600000001024</v>
      </c>
      <c r="AH348" s="6">
        <f t="shared" si="106"/>
        <v>5.8056666666670935</v>
      </c>
      <c r="AJ348" s="4">
        <v>44975</v>
      </c>
      <c r="AK348" s="5">
        <v>672145.505</v>
      </c>
      <c r="AL348" s="5">
        <f t="shared" si="132"/>
        <v>547.64399999997113</v>
      </c>
      <c r="AM348" s="6">
        <f t="shared" si="107"/>
        <v>22.818499999998796</v>
      </c>
      <c r="AO348" s="4">
        <v>45003</v>
      </c>
      <c r="AP348" s="5">
        <v>692622.68200000003</v>
      </c>
      <c r="AQ348" s="5">
        <f t="shared" si="133"/>
        <v>617.71200000005774</v>
      </c>
      <c r="AR348" s="6">
        <f t="shared" si="108"/>
        <v>25.738000000002405</v>
      </c>
      <c r="AT348" s="4">
        <v>45034</v>
      </c>
      <c r="AU348" s="5">
        <v>767759.56</v>
      </c>
      <c r="AV348" s="5">
        <f t="shared" si="134"/>
        <v>3140.6320000000997</v>
      </c>
      <c r="AW348" s="6">
        <f t="shared" si="109"/>
        <v>130.85966666667082</v>
      </c>
      <c r="AY348" s="4">
        <v>45064</v>
      </c>
      <c r="AZ348" s="5">
        <v>793357.08200000005</v>
      </c>
      <c r="BA348" s="5">
        <f t="shared" si="135"/>
        <v>3565.4050000000279</v>
      </c>
      <c r="BB348" s="6">
        <f t="shared" si="110"/>
        <v>148.55854166666782</v>
      </c>
      <c r="BD348" s="4">
        <v>45095</v>
      </c>
      <c r="BE348" s="5">
        <v>868507.527</v>
      </c>
      <c r="BF348" s="5">
        <f t="shared" si="136"/>
        <v>3169.2360000000335</v>
      </c>
      <c r="BG348" s="6">
        <f t="shared" si="111"/>
        <v>132.0515000000014</v>
      </c>
      <c r="BI348" s="4">
        <v>45125</v>
      </c>
      <c r="BJ348" s="5">
        <v>970813.53399999999</v>
      </c>
      <c r="BK348" s="5">
        <f>BJ348-BJ347</f>
        <v>3490.4679999999935</v>
      </c>
      <c r="BL348" s="6">
        <f t="shared" si="112"/>
        <v>145.4361666666664</v>
      </c>
      <c r="BN348" s="4">
        <v>45156</v>
      </c>
      <c r="BO348" s="5">
        <v>82838.226999999999</v>
      </c>
      <c r="BP348" s="5">
        <f>BO348-BO347</f>
        <v>3837.6609999999928</v>
      </c>
      <c r="BQ348" s="6">
        <f t="shared" si="113"/>
        <v>159.90254166666637</v>
      </c>
      <c r="BS348" s="4">
        <v>45187</v>
      </c>
      <c r="BT348" s="5">
        <v>158775.345</v>
      </c>
      <c r="BU348" s="5">
        <f>BT348-BT347</f>
        <v>0</v>
      </c>
      <c r="BV348" s="6">
        <f t="shared" si="114"/>
        <v>0</v>
      </c>
      <c r="BX348" s="4">
        <v>45217</v>
      </c>
      <c r="BY348" s="5">
        <v>257306.72099999999</v>
      </c>
      <c r="BZ348" s="5">
        <f t="shared" si="46"/>
        <v>3671.435999999987</v>
      </c>
      <c r="CA348" s="6">
        <f t="shared" si="115"/>
        <v>152.97649999999945</v>
      </c>
      <c r="CC348" s="4">
        <v>45248</v>
      </c>
      <c r="CD348" s="5">
        <f t="shared" si="86"/>
        <v>355200</v>
      </c>
      <c r="CE348" s="5">
        <v>3500</v>
      </c>
      <c r="CF348" s="6">
        <f t="shared" si="116"/>
        <v>145.83333333333334</v>
      </c>
      <c r="CH348" s="4">
        <v>45278</v>
      </c>
      <c r="CI348" s="5">
        <f t="shared" si="87"/>
        <v>411125</v>
      </c>
      <c r="CJ348" s="5">
        <v>0</v>
      </c>
      <c r="CK348" s="6">
        <f t="shared" si="117"/>
        <v>0</v>
      </c>
      <c r="CM348" s="4">
        <v>45309</v>
      </c>
      <c r="CN348" s="5">
        <v>276347.89899999998</v>
      </c>
      <c r="CO348" s="5">
        <f t="shared" si="88"/>
        <v>150.27999999996973</v>
      </c>
      <c r="CP348" s="6">
        <f t="shared" si="118"/>
        <v>6.2616666666654055</v>
      </c>
      <c r="CR348" s="4">
        <v>45340</v>
      </c>
      <c r="CS348" s="5">
        <v>301958.08600000001</v>
      </c>
      <c r="CT348" s="5">
        <f t="shared" si="140"/>
        <v>4588.8450000000303</v>
      </c>
      <c r="CU348" s="6">
        <f t="shared" si="119"/>
        <v>191.20187500000125</v>
      </c>
      <c r="CW348" s="4">
        <v>45369</v>
      </c>
      <c r="CX348" s="5">
        <v>371684.32400000002</v>
      </c>
      <c r="CY348" s="5">
        <f t="shared" si="141"/>
        <v>754.34400000004098</v>
      </c>
      <c r="CZ348" s="6">
        <f t="shared" si="120"/>
        <v>31.431000000001706</v>
      </c>
      <c r="DB348" s="4">
        <v>45400</v>
      </c>
      <c r="DC348" s="5">
        <v>399729.57500000001</v>
      </c>
      <c r="DD348" s="5">
        <f t="shared" si="142"/>
        <v>228.78000000002794</v>
      </c>
      <c r="DE348" s="6">
        <f t="shared" si="121"/>
        <v>9.5325000000011642</v>
      </c>
      <c r="DG348" s="4">
        <v>45430</v>
      </c>
      <c r="DH348" s="5">
        <v>432136.99400000001</v>
      </c>
      <c r="DI348" s="5">
        <f t="shared" si="92"/>
        <v>887.07600000000093</v>
      </c>
      <c r="DJ348" s="6">
        <f t="shared" si="122"/>
        <v>36.961500000000036</v>
      </c>
      <c r="DL348" s="4">
        <v>45461</v>
      </c>
      <c r="DM348" s="5">
        <v>469371.33799999999</v>
      </c>
      <c r="DN348" s="5">
        <f t="shared" si="93"/>
        <v>1644.0800000000163</v>
      </c>
      <c r="DO348" s="6">
        <f t="shared" si="123"/>
        <v>68.503333333334012</v>
      </c>
      <c r="DQ348" s="4">
        <v>45491</v>
      </c>
      <c r="DR348" s="5">
        <v>525715.47499999998</v>
      </c>
      <c r="DS348" s="5">
        <f t="shared" si="94"/>
        <v>2432.7679999999818</v>
      </c>
      <c r="DT348" s="6">
        <f t="shared" si="124"/>
        <v>101.36533333333257</v>
      </c>
      <c r="DV348" s="4">
        <v>45522</v>
      </c>
      <c r="DW348" s="5">
        <v>635740.98800000001</v>
      </c>
      <c r="DX348" s="5">
        <f t="shared" si="95"/>
        <v>3882.7759999999544</v>
      </c>
      <c r="DY348" s="6">
        <f t="shared" si="125"/>
        <v>161.78233333333142</v>
      </c>
      <c r="EA348" s="4">
        <v>45553</v>
      </c>
      <c r="EB348" s="5">
        <v>721613.68400000001</v>
      </c>
      <c r="EC348" s="5">
        <f t="shared" si="96"/>
        <v>0</v>
      </c>
      <c r="ED348" s="6">
        <f t="shared" si="126"/>
        <v>0</v>
      </c>
      <c r="EF348" s="4">
        <v>45583</v>
      </c>
      <c r="EG348" s="5">
        <v>817070.33299999998</v>
      </c>
      <c r="EH348" s="5">
        <f t="shared" si="97"/>
        <v>3613.1920000000391</v>
      </c>
      <c r="EI348" s="6">
        <f t="shared" si="47"/>
        <v>150.54966666666829</v>
      </c>
      <c r="EK348" s="4">
        <v>45614</v>
      </c>
      <c r="EL348" s="5">
        <v>920907.91399999999</v>
      </c>
      <c r="EM348" s="5">
        <f t="shared" si="98"/>
        <v>3637.6119999999646</v>
      </c>
      <c r="EN348" s="6">
        <f t="shared" si="48"/>
        <v>151.5671666666652</v>
      </c>
      <c r="EP348" s="4">
        <v>45644</v>
      </c>
      <c r="EQ348" s="5">
        <v>941159.81200000003</v>
      </c>
      <c r="ER348" s="5">
        <f t="shared" si="143"/>
        <v>1605.7079999999842</v>
      </c>
      <c r="ES348" s="6">
        <f t="shared" si="49"/>
        <v>66.904499999999345</v>
      </c>
    </row>
    <row r="349" spans="1:149" ht="15.75" x14ac:dyDescent="0.25">
      <c r="A349" s="4">
        <v>44761</v>
      </c>
      <c r="B349" s="5">
        <v>243402.67300000001</v>
      </c>
      <c r="C349" s="5">
        <f t="shared" si="50"/>
        <v>2871.8960000000079</v>
      </c>
      <c r="D349" s="6">
        <f t="shared" si="40"/>
        <v>119.66233333333366</v>
      </c>
      <c r="F349" s="4">
        <v>44794</v>
      </c>
      <c r="G349" s="7">
        <v>340573.33600000001</v>
      </c>
      <c r="H349" s="5">
        <f t="shared" si="100"/>
        <v>3619.2399999999907</v>
      </c>
      <c r="I349" s="6">
        <f t="shared" si="101"/>
        <v>151.32999999999933</v>
      </c>
      <c r="K349" s="4">
        <v>44823</v>
      </c>
      <c r="L349" s="5">
        <v>407861.48499999999</v>
      </c>
      <c r="M349" s="5">
        <f t="shared" si="127"/>
        <v>1648.795999999973</v>
      </c>
      <c r="N349" s="6">
        <f t="shared" si="102"/>
        <v>68.699833333332208</v>
      </c>
      <c r="P349" s="4">
        <v>44853</v>
      </c>
      <c r="Q349" s="5">
        <v>485174.19099999999</v>
      </c>
      <c r="R349" s="5">
        <f t="shared" si="128"/>
        <v>2657.359999999986</v>
      </c>
      <c r="S349" s="6">
        <f t="shared" si="103"/>
        <v>110.72333333333275</v>
      </c>
      <c r="U349" s="4">
        <v>44884</v>
      </c>
      <c r="V349" s="5">
        <v>562426.87699999998</v>
      </c>
      <c r="W349" s="5">
        <f t="shared" si="129"/>
        <v>2860.265000000014</v>
      </c>
      <c r="X349" s="6">
        <f t="shared" si="104"/>
        <v>119.17770833333391</v>
      </c>
      <c r="Z349" s="4">
        <v>44914</v>
      </c>
      <c r="AA349" s="5">
        <v>608607.56400000001</v>
      </c>
      <c r="AB349" s="5">
        <f t="shared" si="130"/>
        <v>2762.0320000000065</v>
      </c>
      <c r="AC349" s="6">
        <f t="shared" si="105"/>
        <v>115.08466666666693</v>
      </c>
      <c r="AE349" s="4">
        <v>44945</v>
      </c>
      <c r="AF349" s="5">
        <v>663472.26399999997</v>
      </c>
      <c r="AG349" s="5">
        <f t="shared" si="131"/>
        <v>274.91599999996834</v>
      </c>
      <c r="AH349" s="6">
        <f t="shared" si="106"/>
        <v>11.454833333332013</v>
      </c>
      <c r="AJ349" s="4">
        <v>44976</v>
      </c>
      <c r="AK349" s="5">
        <v>673133.549</v>
      </c>
      <c r="AL349" s="5">
        <f t="shared" si="132"/>
        <v>988.04399999999441</v>
      </c>
      <c r="AM349" s="6">
        <f t="shared" si="107"/>
        <v>41.168499999999767</v>
      </c>
      <c r="AO349" s="4">
        <v>45004</v>
      </c>
      <c r="AP349" s="5">
        <v>694151.73800000001</v>
      </c>
      <c r="AQ349" s="5">
        <f t="shared" si="133"/>
        <v>1529.0559999999823</v>
      </c>
      <c r="AR349" s="6">
        <f t="shared" si="108"/>
        <v>63.710666666665929</v>
      </c>
      <c r="AT349" s="4">
        <v>45035</v>
      </c>
      <c r="AU349" s="5">
        <v>769715.74</v>
      </c>
      <c r="AV349" s="5">
        <f t="shared" si="134"/>
        <v>1956.1799999999348</v>
      </c>
      <c r="AW349" s="6">
        <f t="shared" si="109"/>
        <v>81.507499999997279</v>
      </c>
      <c r="AY349" s="4">
        <v>45065</v>
      </c>
      <c r="AZ349" s="5">
        <v>793742.63800000004</v>
      </c>
      <c r="BA349" s="5">
        <f t="shared" si="135"/>
        <v>385.5559999999823</v>
      </c>
      <c r="BB349" s="6">
        <f t="shared" si="110"/>
        <v>16.064833333332597</v>
      </c>
      <c r="BD349" s="4">
        <v>45096</v>
      </c>
      <c r="BE349" s="5">
        <v>871246.61100000003</v>
      </c>
      <c r="BF349" s="5">
        <f t="shared" si="136"/>
        <v>2739.0840000000317</v>
      </c>
      <c r="BG349" s="6">
        <f t="shared" si="111"/>
        <v>114.12850000000132</v>
      </c>
      <c r="BI349" s="4">
        <v>45126</v>
      </c>
      <c r="BJ349" s="5">
        <v>974653.49899999995</v>
      </c>
      <c r="BK349" s="5">
        <f t="shared" si="137"/>
        <v>3839.9649999999674</v>
      </c>
      <c r="BL349" s="6">
        <f t="shared" si="112"/>
        <v>159.99854166666532</v>
      </c>
      <c r="BN349" s="4">
        <v>45157</v>
      </c>
      <c r="BO349" s="5">
        <v>85439.938999999998</v>
      </c>
      <c r="BP349" s="5">
        <f t="shared" ref="BP349" si="144">BO349-BO348</f>
        <v>2601.7119999999995</v>
      </c>
      <c r="BQ349" s="6">
        <f t="shared" si="113"/>
        <v>108.40466666666664</v>
      </c>
      <c r="BS349" s="4">
        <v>45188</v>
      </c>
      <c r="BT349" s="5">
        <v>158775.345</v>
      </c>
      <c r="BU349" s="5">
        <f t="shared" ref="BU349" si="145">BT349-BT348</f>
        <v>0</v>
      </c>
      <c r="BV349" s="6">
        <f t="shared" si="114"/>
        <v>0</v>
      </c>
      <c r="BX349" s="4">
        <v>45218</v>
      </c>
      <c r="BY349" s="5">
        <v>260960.39799999999</v>
      </c>
      <c r="BZ349" s="5">
        <f t="shared" si="46"/>
        <v>3653.676999999996</v>
      </c>
      <c r="CA349" s="6">
        <f t="shared" si="115"/>
        <v>152.23654166666651</v>
      </c>
      <c r="CC349" s="4">
        <v>45249</v>
      </c>
      <c r="CD349" s="5">
        <f t="shared" si="86"/>
        <v>356950</v>
      </c>
      <c r="CE349" s="5">
        <v>1750</v>
      </c>
      <c r="CF349" s="6">
        <f t="shared" si="116"/>
        <v>72.916666666666671</v>
      </c>
      <c r="CH349" s="4">
        <v>45279</v>
      </c>
      <c r="CI349" s="5">
        <f t="shared" si="87"/>
        <v>411200</v>
      </c>
      <c r="CJ349" s="5">
        <v>75</v>
      </c>
      <c r="CK349" s="6">
        <f t="shared" si="117"/>
        <v>3.125</v>
      </c>
      <c r="CM349" s="4">
        <v>45310</v>
      </c>
      <c r="CN349" s="5">
        <v>276525.76699999999</v>
      </c>
      <c r="CO349" s="5">
        <f t="shared" si="88"/>
        <v>177.86800000001676</v>
      </c>
      <c r="CP349" s="6">
        <f t="shared" si="118"/>
        <v>7.4111666666673655</v>
      </c>
      <c r="CR349" s="4">
        <v>45341</v>
      </c>
      <c r="CS349" s="5">
        <v>305083.77799999999</v>
      </c>
      <c r="CT349" s="5">
        <f t="shared" si="140"/>
        <v>3125.6919999999809</v>
      </c>
      <c r="CU349" s="6">
        <f t="shared" si="119"/>
        <v>130.23716666666587</v>
      </c>
      <c r="CW349" s="4">
        <v>45370</v>
      </c>
      <c r="CX349" s="5">
        <v>373207.49599999998</v>
      </c>
      <c r="CY349" s="5">
        <f t="shared" si="141"/>
        <v>1523.1719999999623</v>
      </c>
      <c r="CZ349" s="6">
        <f t="shared" si="120"/>
        <v>63.465499999998428</v>
      </c>
      <c r="DB349" s="4">
        <v>45401</v>
      </c>
      <c r="DC349" s="5">
        <v>399869.75099999999</v>
      </c>
      <c r="DD349" s="5">
        <f t="shared" si="142"/>
        <v>140.17599999997765</v>
      </c>
      <c r="DE349" s="6">
        <f t="shared" si="121"/>
        <v>5.8406666666657356</v>
      </c>
      <c r="DG349" s="4">
        <v>45431</v>
      </c>
      <c r="DH349" s="5">
        <v>433116.114</v>
      </c>
      <c r="DI349" s="5">
        <f t="shared" si="92"/>
        <v>979.11999999999534</v>
      </c>
      <c r="DJ349" s="6">
        <f t="shared" si="122"/>
        <v>40.796666666666475</v>
      </c>
      <c r="DL349" s="4">
        <v>45462</v>
      </c>
      <c r="DM349" s="5">
        <v>471345.61800000002</v>
      </c>
      <c r="DN349" s="5">
        <f t="shared" si="93"/>
        <v>1974.2800000000279</v>
      </c>
      <c r="DO349" s="6">
        <f t="shared" si="123"/>
        <v>82.261666666667836</v>
      </c>
      <c r="DQ349" s="4">
        <v>45492</v>
      </c>
      <c r="DR349" s="5">
        <v>529361.92299999995</v>
      </c>
      <c r="DS349" s="5">
        <f t="shared" si="94"/>
        <v>3646.4479999999749</v>
      </c>
      <c r="DT349" s="6">
        <f t="shared" si="124"/>
        <v>151.9353333333323</v>
      </c>
      <c r="DV349" s="4">
        <v>45523</v>
      </c>
      <c r="DW349" s="5">
        <v>639437.93299999996</v>
      </c>
      <c r="DX349" s="5">
        <f t="shared" si="95"/>
        <v>3696.9449999999488</v>
      </c>
      <c r="DY349" s="6">
        <f t="shared" si="125"/>
        <v>154.03937499999788</v>
      </c>
      <c r="EA349" s="4">
        <v>45554</v>
      </c>
      <c r="EB349" s="5">
        <v>721613.68400000001</v>
      </c>
      <c r="EC349" s="5">
        <f t="shared" si="96"/>
        <v>0</v>
      </c>
      <c r="ED349" s="6">
        <f t="shared" si="126"/>
        <v>0</v>
      </c>
      <c r="EF349" s="4">
        <v>45584</v>
      </c>
      <c r="EG349" s="5">
        <v>820682.81799999997</v>
      </c>
      <c r="EH349" s="5">
        <f t="shared" si="97"/>
        <v>3612.484999999986</v>
      </c>
      <c r="EI349" s="6">
        <f t="shared" si="47"/>
        <v>150.52020833333276</v>
      </c>
      <c r="EK349" s="4">
        <v>45615</v>
      </c>
      <c r="EL349" s="5">
        <v>924643.39399999997</v>
      </c>
      <c r="EM349" s="5">
        <f t="shared" si="98"/>
        <v>3735.4799999999814</v>
      </c>
      <c r="EN349" s="6">
        <f t="shared" si="48"/>
        <v>155.64499999999921</v>
      </c>
      <c r="EP349" s="4">
        <v>45645</v>
      </c>
      <c r="EQ349" s="5">
        <v>942947.304</v>
      </c>
      <c r="ER349" s="5">
        <f t="shared" si="143"/>
        <v>1787.4919999999693</v>
      </c>
      <c r="ES349" s="6">
        <f t="shared" si="49"/>
        <v>74.478833333332048</v>
      </c>
    </row>
    <row r="350" spans="1:149" ht="15.75" x14ac:dyDescent="0.25">
      <c r="A350" s="4">
        <v>44762</v>
      </c>
      <c r="B350" s="5">
        <v>246870.58499999999</v>
      </c>
      <c r="C350" s="5">
        <f t="shared" si="50"/>
        <v>3467.9119999999821</v>
      </c>
      <c r="D350" s="6">
        <f t="shared" si="40"/>
        <v>144.49633333333259</v>
      </c>
      <c r="F350" s="4">
        <v>44795</v>
      </c>
      <c r="G350" s="7">
        <v>344270.02100000001</v>
      </c>
      <c r="H350" s="5">
        <f t="shared" si="100"/>
        <v>3696.6849999999977</v>
      </c>
      <c r="I350" s="6">
        <f t="shared" si="101"/>
        <v>137.59550000000067</v>
      </c>
      <c r="K350" s="4">
        <v>44824</v>
      </c>
      <c r="L350" s="5">
        <v>409896.43300000002</v>
      </c>
      <c r="M350" s="5">
        <f t="shared" si="127"/>
        <v>2034.9480000000331</v>
      </c>
      <c r="N350" s="6">
        <f t="shared" si="102"/>
        <v>84.789500000001382</v>
      </c>
      <c r="P350" s="4">
        <v>44854</v>
      </c>
      <c r="Q350" s="5">
        <v>487850.84299999999</v>
      </c>
      <c r="R350" s="5">
        <f t="shared" si="128"/>
        <v>2676.6520000000019</v>
      </c>
      <c r="S350" s="6">
        <f t="shared" si="103"/>
        <v>111.52716666666674</v>
      </c>
      <c r="U350" s="4">
        <v>44885</v>
      </c>
      <c r="V350" s="5">
        <v>565396.38899999997</v>
      </c>
      <c r="W350" s="5">
        <f t="shared" si="129"/>
        <v>2969.5119999999879</v>
      </c>
      <c r="X350" s="6">
        <f t="shared" si="104"/>
        <v>123.72966666666616</v>
      </c>
      <c r="Z350" s="4">
        <v>44915</v>
      </c>
      <c r="AA350" s="5">
        <v>611103.18400000001</v>
      </c>
      <c r="AB350" s="5">
        <f t="shared" si="130"/>
        <v>2495.6199999999953</v>
      </c>
      <c r="AC350" s="6">
        <f t="shared" si="105"/>
        <v>103.98416666666647</v>
      </c>
      <c r="AE350" s="4">
        <v>44946</v>
      </c>
      <c r="AF350" s="5">
        <v>663941.86</v>
      </c>
      <c r="AG350" s="5">
        <f t="shared" si="131"/>
        <v>469.59600000001956</v>
      </c>
      <c r="AH350" s="6">
        <f t="shared" si="106"/>
        <v>19.566500000000815</v>
      </c>
      <c r="AJ350" s="4">
        <v>44977</v>
      </c>
      <c r="AK350" s="5">
        <v>673389.40500000003</v>
      </c>
      <c r="AL350" s="5">
        <f t="shared" si="132"/>
        <v>255.85600000002887</v>
      </c>
      <c r="AM350" s="6">
        <f t="shared" si="107"/>
        <v>10.66066666666787</v>
      </c>
      <c r="AO350" s="4">
        <v>45005</v>
      </c>
      <c r="AP350" s="5">
        <v>697600.21900000004</v>
      </c>
      <c r="AQ350" s="5">
        <f t="shared" si="133"/>
        <v>3448.4810000000289</v>
      </c>
      <c r="AR350" s="6">
        <f t="shared" si="108"/>
        <v>143.68670833333454</v>
      </c>
      <c r="AT350" s="4">
        <v>45036</v>
      </c>
      <c r="AU350" s="5">
        <v>770110.304</v>
      </c>
      <c r="AV350" s="5">
        <f t="shared" si="134"/>
        <v>394.56400000001304</v>
      </c>
      <c r="AW350" s="6">
        <f t="shared" si="109"/>
        <v>16.44016666666721</v>
      </c>
      <c r="AY350" s="4">
        <v>45066</v>
      </c>
      <c r="AZ350" s="5">
        <v>796143.66599999997</v>
      </c>
      <c r="BA350" s="5">
        <f>AZ350-AZ349</f>
        <v>2401.0279999999329</v>
      </c>
      <c r="BB350" s="6">
        <f t="shared" si="110"/>
        <v>100.04283333333053</v>
      </c>
      <c r="BD350" s="4">
        <v>45097</v>
      </c>
      <c r="BE350" s="5">
        <v>874711.39599999995</v>
      </c>
      <c r="BF350" s="5">
        <f>BE350-BE349</f>
        <v>3464.7849999999162</v>
      </c>
      <c r="BG350" s="6">
        <f t="shared" si="111"/>
        <v>144.36604166666316</v>
      </c>
      <c r="BI350" s="4">
        <v>45127</v>
      </c>
      <c r="BJ350" s="5">
        <v>978365.15099999995</v>
      </c>
      <c r="BK350" s="5">
        <f>BJ350-BJ349</f>
        <v>3711.6520000000019</v>
      </c>
      <c r="BL350" s="6">
        <f t="shared" si="112"/>
        <v>154.65216666666674</v>
      </c>
      <c r="BN350" s="4">
        <v>45158</v>
      </c>
      <c r="BO350" s="5">
        <v>85439.938999999998</v>
      </c>
      <c r="BP350" s="5">
        <f>BO350-BO349</f>
        <v>0</v>
      </c>
      <c r="BQ350" s="6">
        <f t="shared" si="113"/>
        <v>0</v>
      </c>
      <c r="BS350" s="4">
        <v>45189</v>
      </c>
      <c r="BT350" s="5">
        <v>160283.30900000001</v>
      </c>
      <c r="BU350" s="5">
        <f>BT350-BT349</f>
        <v>1507.9640000000072</v>
      </c>
      <c r="BV350" s="6">
        <f t="shared" si="114"/>
        <v>62.831833333333634</v>
      </c>
      <c r="BX350" s="4">
        <v>45219</v>
      </c>
      <c r="BY350" s="5">
        <v>264899.31</v>
      </c>
      <c r="BZ350" s="5">
        <f t="shared" si="46"/>
        <v>3938.9120000000112</v>
      </c>
      <c r="CA350" s="6">
        <f t="shared" si="115"/>
        <v>164.12133333333381</v>
      </c>
      <c r="CC350" s="4">
        <v>45250</v>
      </c>
      <c r="CD350" s="5">
        <f t="shared" si="86"/>
        <v>360450</v>
      </c>
      <c r="CE350" s="5">
        <v>3500</v>
      </c>
      <c r="CF350" s="6">
        <f t="shared" si="116"/>
        <v>145.83333333333334</v>
      </c>
      <c r="CH350" s="4">
        <v>45280</v>
      </c>
      <c r="CI350" s="5">
        <f t="shared" si="87"/>
        <v>411425</v>
      </c>
      <c r="CJ350" s="5">
        <v>225</v>
      </c>
      <c r="CK350" s="6">
        <f t="shared" si="117"/>
        <v>9.375</v>
      </c>
      <c r="CM350" s="4">
        <v>45311</v>
      </c>
      <c r="CN350" s="5">
        <v>276525.76699999999</v>
      </c>
      <c r="CO350" s="5">
        <f t="shared" si="88"/>
        <v>0</v>
      </c>
      <c r="CP350" s="6">
        <f t="shared" si="118"/>
        <v>0</v>
      </c>
      <c r="CR350" s="4">
        <v>45342</v>
      </c>
      <c r="CS350" s="5">
        <v>307970.11800000002</v>
      </c>
      <c r="CT350" s="5">
        <f t="shared" si="140"/>
        <v>2886.3400000000256</v>
      </c>
      <c r="CU350" s="6">
        <f t="shared" si="119"/>
        <v>120.26416666666773</v>
      </c>
      <c r="CW350" s="4">
        <v>45371</v>
      </c>
      <c r="CX350" s="5">
        <v>375318.85600000003</v>
      </c>
      <c r="CY350" s="5">
        <f t="shared" si="141"/>
        <v>2111.3600000000442</v>
      </c>
      <c r="CZ350" s="6">
        <f t="shared" si="120"/>
        <v>87.973333333335177</v>
      </c>
      <c r="DB350" s="4">
        <v>45402</v>
      </c>
      <c r="DC350" s="5">
        <v>401269.451</v>
      </c>
      <c r="DD350" s="5">
        <f t="shared" si="142"/>
        <v>1399.7000000000116</v>
      </c>
      <c r="DE350" s="6">
        <f t="shared" si="121"/>
        <v>58.320833333333816</v>
      </c>
      <c r="DG350" s="4">
        <v>45432</v>
      </c>
      <c r="DH350" s="5">
        <v>435311.74200000003</v>
      </c>
      <c r="DI350" s="5">
        <f t="shared" si="92"/>
        <v>2195.6280000000261</v>
      </c>
      <c r="DJ350" s="6">
        <f t="shared" si="122"/>
        <v>91.484500000001091</v>
      </c>
      <c r="DL350" s="4">
        <v>45463</v>
      </c>
      <c r="DM350" s="5">
        <v>473841.386</v>
      </c>
      <c r="DN350" s="5">
        <f t="shared" si="93"/>
        <v>2495.7679999999818</v>
      </c>
      <c r="DO350" s="6">
        <f t="shared" si="123"/>
        <v>103.99033333333257</v>
      </c>
      <c r="DQ350" s="4">
        <v>45493</v>
      </c>
      <c r="DR350" s="5">
        <v>533177.32799999998</v>
      </c>
      <c r="DS350" s="5">
        <f t="shared" si="94"/>
        <v>3815.4050000000279</v>
      </c>
      <c r="DT350" s="6">
        <f t="shared" si="124"/>
        <v>158.97520833333451</v>
      </c>
      <c r="DV350" s="4">
        <v>45524</v>
      </c>
      <c r="DW350" s="5">
        <v>643278.66500000004</v>
      </c>
      <c r="DX350" s="5">
        <f t="shared" si="95"/>
        <v>3840.7320000000764</v>
      </c>
      <c r="DY350" s="6">
        <f t="shared" si="125"/>
        <v>160.03050000000317</v>
      </c>
      <c r="EA350" s="4">
        <v>45555</v>
      </c>
      <c r="EB350" s="5">
        <v>721613.68400000001</v>
      </c>
      <c r="EC350" s="5">
        <f t="shared" si="96"/>
        <v>0</v>
      </c>
      <c r="ED350" s="6">
        <f t="shared" si="126"/>
        <v>0</v>
      </c>
      <c r="EF350" s="4">
        <v>45585</v>
      </c>
      <c r="EG350" s="5">
        <v>824569.35800000001</v>
      </c>
      <c r="EH350" s="5">
        <f t="shared" si="97"/>
        <v>3886.5400000000373</v>
      </c>
      <c r="EI350" s="6">
        <f t="shared" si="47"/>
        <v>161.93916666666823</v>
      </c>
      <c r="EK350" s="4">
        <v>45616</v>
      </c>
      <c r="EL350" s="5">
        <v>927044.45799999998</v>
      </c>
      <c r="EM350" s="5">
        <f t="shared" si="98"/>
        <v>2401.064000000013</v>
      </c>
      <c r="EN350" s="6">
        <f t="shared" si="48"/>
        <v>100.04433333333388</v>
      </c>
      <c r="EP350" s="4">
        <v>45646</v>
      </c>
      <c r="EQ350" s="5">
        <v>944950.09600000002</v>
      </c>
      <c r="ER350" s="5">
        <f t="shared" si="143"/>
        <v>2002.7920000000158</v>
      </c>
      <c r="ES350" s="6">
        <f t="shared" si="49"/>
        <v>83.449666666667326</v>
      </c>
    </row>
    <row r="351" spans="1:149" ht="15.75" x14ac:dyDescent="0.25">
      <c r="A351" s="4">
        <v>44763</v>
      </c>
      <c r="B351" s="7">
        <v>250072.03</v>
      </c>
      <c r="C351" s="5">
        <f t="shared" si="50"/>
        <v>3201.445000000007</v>
      </c>
      <c r="D351" s="6">
        <f t="shared" si="40"/>
        <v>133.39354166666695</v>
      </c>
      <c r="F351" s="4">
        <v>44796</v>
      </c>
      <c r="G351" s="7">
        <v>347830.80099999998</v>
      </c>
      <c r="H351" s="5">
        <f t="shared" si="100"/>
        <v>3560.7799999999697</v>
      </c>
      <c r="I351" s="6">
        <f t="shared" si="101"/>
        <v>150.80166666666628</v>
      </c>
      <c r="K351" s="4">
        <v>44825</v>
      </c>
      <c r="L351" s="7">
        <v>411633.06599999999</v>
      </c>
      <c r="M351" s="5">
        <f t="shared" si="127"/>
        <v>1736.6329999999725</v>
      </c>
      <c r="N351" s="6">
        <f t="shared" si="102"/>
        <v>72.359708333332193</v>
      </c>
      <c r="P351" s="4">
        <v>44855</v>
      </c>
      <c r="Q351" s="7">
        <v>490513.44300000003</v>
      </c>
      <c r="R351" s="5">
        <f t="shared" si="128"/>
        <v>2662.6000000000349</v>
      </c>
      <c r="S351" s="6">
        <f t="shared" si="103"/>
        <v>110.94166666666813</v>
      </c>
      <c r="U351" s="4">
        <v>44886</v>
      </c>
      <c r="V351" s="7">
        <v>567848.65300000005</v>
      </c>
      <c r="W351" s="5">
        <f t="shared" si="129"/>
        <v>2452.2640000000829</v>
      </c>
      <c r="X351" s="6">
        <f t="shared" si="104"/>
        <v>102.17766666667012</v>
      </c>
      <c r="Z351" s="4">
        <v>44916</v>
      </c>
      <c r="AA351" s="7">
        <v>613734.83600000001</v>
      </c>
      <c r="AB351" s="5">
        <f t="shared" si="130"/>
        <v>2631.6520000000019</v>
      </c>
      <c r="AC351" s="6">
        <f t="shared" si="105"/>
        <v>109.65216666666674</v>
      </c>
      <c r="AE351" s="4">
        <v>44947</v>
      </c>
      <c r="AF351" s="7">
        <v>664330.01599999995</v>
      </c>
      <c r="AG351" s="5">
        <f t="shared" si="131"/>
        <v>388.15599999995902</v>
      </c>
      <c r="AH351" s="6">
        <f t="shared" si="106"/>
        <v>16.173166666664958</v>
      </c>
      <c r="AJ351" s="4">
        <v>44978</v>
      </c>
      <c r="AK351" s="7">
        <v>673531.35699999996</v>
      </c>
      <c r="AL351" s="5">
        <f t="shared" si="132"/>
        <v>141.95199999993201</v>
      </c>
      <c r="AM351" s="6">
        <f t="shared" si="107"/>
        <v>5.9146666666638339</v>
      </c>
      <c r="AO351" s="4">
        <v>45006</v>
      </c>
      <c r="AP351" s="7">
        <v>701134.03500000003</v>
      </c>
      <c r="AQ351" s="5">
        <f t="shared" si="133"/>
        <v>3533.8159999999916</v>
      </c>
      <c r="AR351" s="6">
        <f t="shared" si="108"/>
        <v>147.24233333333299</v>
      </c>
      <c r="AT351" s="4">
        <v>45037</v>
      </c>
      <c r="AU351" s="7">
        <v>770633.60800000001</v>
      </c>
      <c r="AV351" s="5">
        <f>AU351-AU350</f>
        <v>523.30400000000373</v>
      </c>
      <c r="AW351" s="6">
        <f t="shared" si="109"/>
        <v>21.804333333333489</v>
      </c>
      <c r="AY351" s="4">
        <v>45067</v>
      </c>
      <c r="AZ351" s="7">
        <v>799486.72600000002</v>
      </c>
      <c r="BA351" s="5">
        <f>AZ351-AZ350</f>
        <v>3343.0600000000559</v>
      </c>
      <c r="BB351" s="6">
        <f t="shared" si="110"/>
        <v>139.29416666666899</v>
      </c>
      <c r="BD351" s="4">
        <v>45098</v>
      </c>
      <c r="BE351" s="7">
        <v>878420.14399999997</v>
      </c>
      <c r="BF351" s="5">
        <f>BE351-BE350</f>
        <v>3708.7480000000214</v>
      </c>
      <c r="BG351" s="6">
        <f t="shared" si="111"/>
        <v>154.53116666666756</v>
      </c>
      <c r="BI351" s="4">
        <v>45128</v>
      </c>
      <c r="BJ351" s="5">
        <v>982098.53099999996</v>
      </c>
      <c r="BK351" s="5">
        <f>BJ351-BJ350</f>
        <v>3733.3800000000047</v>
      </c>
      <c r="BL351" s="6">
        <f t="shared" si="112"/>
        <v>155.5575000000002</v>
      </c>
      <c r="BN351" s="4">
        <v>45159</v>
      </c>
      <c r="BO351" s="5">
        <v>88507.626999999993</v>
      </c>
      <c r="BP351" s="5">
        <f>BO351-BO350</f>
        <v>3067.6879999999946</v>
      </c>
      <c r="BQ351" s="6">
        <f t="shared" si="113"/>
        <v>127.82033333333311</v>
      </c>
      <c r="BS351" s="4">
        <v>45190</v>
      </c>
      <c r="BT351" s="5">
        <v>163950.58900000001</v>
      </c>
      <c r="BU351" s="5">
        <f>BT351-BT350</f>
        <v>3667.2799999999988</v>
      </c>
      <c r="BV351" s="6">
        <f t="shared" si="114"/>
        <v>152.80333333333328</v>
      </c>
      <c r="BX351" s="4">
        <v>45220</v>
      </c>
      <c r="BY351" s="5">
        <v>268660.56599999999</v>
      </c>
      <c r="BZ351" s="5">
        <f t="shared" si="46"/>
        <v>3761.2559999999939</v>
      </c>
      <c r="CA351" s="6">
        <f t="shared" si="115"/>
        <v>156.71899999999974</v>
      </c>
      <c r="CC351" s="4">
        <v>45251</v>
      </c>
      <c r="CD351" s="5">
        <f t="shared" si="86"/>
        <v>363950</v>
      </c>
      <c r="CE351" s="5">
        <v>3500</v>
      </c>
      <c r="CF351" s="6">
        <f t="shared" si="116"/>
        <v>145.83333333333334</v>
      </c>
      <c r="CH351" s="4">
        <v>45281</v>
      </c>
      <c r="CI351" s="5">
        <f t="shared" si="87"/>
        <v>411575</v>
      </c>
      <c r="CJ351" s="5">
        <v>150</v>
      </c>
      <c r="CK351" s="6">
        <f t="shared" si="117"/>
        <v>6.25</v>
      </c>
      <c r="CM351" s="4">
        <v>45312</v>
      </c>
      <c r="CN351" s="5">
        <v>276786.57900000003</v>
      </c>
      <c r="CO351" s="5">
        <f t="shared" si="88"/>
        <v>260.81200000003446</v>
      </c>
      <c r="CP351" s="6">
        <f t="shared" si="118"/>
        <v>10.867166666668103</v>
      </c>
      <c r="CR351" s="4">
        <v>45343</v>
      </c>
      <c r="CS351" s="5">
        <v>311940.54300000001</v>
      </c>
      <c r="CT351" s="5">
        <f t="shared" si="140"/>
        <v>3970.4249999999884</v>
      </c>
      <c r="CU351" s="6">
        <f t="shared" si="119"/>
        <v>165.43437499999951</v>
      </c>
      <c r="CW351" s="4">
        <v>45372</v>
      </c>
      <c r="CX351" s="5">
        <v>377075.98100000003</v>
      </c>
      <c r="CY351" s="5">
        <f t="shared" si="141"/>
        <v>1757.125</v>
      </c>
      <c r="CZ351" s="6">
        <f t="shared" si="120"/>
        <v>73.213541666666671</v>
      </c>
      <c r="DB351" s="4">
        <v>45403</v>
      </c>
      <c r="DC351" s="5">
        <v>403535.73100000003</v>
      </c>
      <c r="DD351" s="5">
        <f t="shared" si="142"/>
        <v>2266.2800000000279</v>
      </c>
      <c r="DE351" s="6">
        <f t="shared" si="121"/>
        <v>94.428333333334493</v>
      </c>
      <c r="DG351" s="4">
        <v>45433</v>
      </c>
      <c r="DH351" s="5">
        <v>435692.43800000002</v>
      </c>
      <c r="DI351" s="5">
        <f t="shared" si="92"/>
        <v>380.69599999999627</v>
      </c>
      <c r="DJ351" s="6">
        <f t="shared" si="122"/>
        <v>15.862333333333178</v>
      </c>
      <c r="DL351" s="4">
        <v>45464</v>
      </c>
      <c r="DM351" s="5">
        <v>475544.022</v>
      </c>
      <c r="DN351" s="5">
        <f t="shared" si="93"/>
        <v>1702.6359999999986</v>
      </c>
      <c r="DO351" s="6">
        <f t="shared" si="123"/>
        <v>70.943166666666613</v>
      </c>
      <c r="DQ351" s="4">
        <v>45494</v>
      </c>
      <c r="DR351" s="5">
        <v>536963.68000000005</v>
      </c>
      <c r="DS351" s="5">
        <f t="shared" si="94"/>
        <v>3786.3520000000717</v>
      </c>
      <c r="DT351" s="6">
        <f t="shared" si="124"/>
        <v>157.76466666666965</v>
      </c>
      <c r="DV351" s="4">
        <v>45525</v>
      </c>
      <c r="DW351" s="5">
        <v>647051.22900000005</v>
      </c>
      <c r="DX351" s="5">
        <f t="shared" si="95"/>
        <v>3772.564000000013</v>
      </c>
      <c r="DY351" s="6">
        <f t="shared" si="125"/>
        <v>157.19016666666721</v>
      </c>
      <c r="EA351" s="4">
        <v>45556</v>
      </c>
      <c r="EB351" s="5">
        <v>723917.53599999996</v>
      </c>
      <c r="EC351" s="5">
        <f t="shared" si="96"/>
        <v>2303.8519999999553</v>
      </c>
      <c r="ED351" s="6">
        <f t="shared" si="126"/>
        <v>95.993833333331466</v>
      </c>
      <c r="EF351" s="4">
        <v>45586</v>
      </c>
      <c r="EG351" s="5">
        <v>827712.93</v>
      </c>
      <c r="EH351" s="5">
        <f t="shared" si="97"/>
        <v>3143.5720000000438</v>
      </c>
      <c r="EI351" s="6">
        <f t="shared" si="47"/>
        <v>130.98216666666849</v>
      </c>
      <c r="EK351" s="4">
        <v>45617</v>
      </c>
      <c r="EL351" s="5">
        <v>927993.00699999998</v>
      </c>
      <c r="EM351" s="5">
        <f t="shared" si="98"/>
        <v>948.54899999999907</v>
      </c>
      <c r="EN351" s="6">
        <f t="shared" si="48"/>
        <v>39.522874999999964</v>
      </c>
      <c r="EP351" s="4">
        <v>45647</v>
      </c>
      <c r="EQ351" s="5">
        <v>946733.91200000001</v>
      </c>
      <c r="ER351" s="5">
        <f t="shared" si="143"/>
        <v>1783.8159999999916</v>
      </c>
      <c r="ES351" s="6">
        <f t="shared" si="49"/>
        <v>74.325666666666322</v>
      </c>
    </row>
    <row r="352" spans="1:149" ht="15.75" x14ac:dyDescent="0.25">
      <c r="A352" s="4">
        <v>44764</v>
      </c>
      <c r="B352" s="7">
        <v>252150.86600000001</v>
      </c>
      <c r="C352" s="5">
        <f t="shared" si="50"/>
        <v>2078.8360000000102</v>
      </c>
      <c r="D352" s="6">
        <f t="shared" si="40"/>
        <v>86.618166666667094</v>
      </c>
      <c r="F352" s="4">
        <v>44797</v>
      </c>
      <c r="G352" s="7">
        <v>351353.55200000003</v>
      </c>
      <c r="H352" s="5">
        <f t="shared" si="100"/>
        <v>3522.7510000000475</v>
      </c>
      <c r="I352" s="6">
        <f t="shared" si="101"/>
        <v>154.02854166666657</v>
      </c>
      <c r="K352" s="4">
        <v>44826</v>
      </c>
      <c r="L352" s="7">
        <v>413561.21</v>
      </c>
      <c r="M352" s="5">
        <f t="shared" si="127"/>
        <v>1928.1440000000293</v>
      </c>
      <c r="N352" s="6">
        <f t="shared" si="102"/>
        <v>80.339333333334551</v>
      </c>
      <c r="P352" s="4">
        <v>44856</v>
      </c>
      <c r="Q352" s="7">
        <v>493265.44699999999</v>
      </c>
      <c r="R352" s="5">
        <f t="shared" si="128"/>
        <v>2752.0039999999572</v>
      </c>
      <c r="S352" s="6">
        <f t="shared" si="103"/>
        <v>114.66683333333155</v>
      </c>
      <c r="U352" s="4">
        <v>44887</v>
      </c>
      <c r="V352" s="7">
        <v>570369.04099999997</v>
      </c>
      <c r="W352" s="5">
        <f t="shared" si="129"/>
        <v>2520.387999999919</v>
      </c>
      <c r="X352" s="6">
        <f t="shared" si="104"/>
        <v>105.0161666666633</v>
      </c>
      <c r="Z352" s="4">
        <v>44917</v>
      </c>
      <c r="AA352" s="7">
        <v>616342.64500000002</v>
      </c>
      <c r="AB352" s="5">
        <f t="shared" si="130"/>
        <v>2607.8090000000084</v>
      </c>
      <c r="AC352" s="6">
        <f t="shared" si="105"/>
        <v>108.65870833333368</v>
      </c>
      <c r="AE352" s="4">
        <v>44948</v>
      </c>
      <c r="AF352" s="7">
        <v>664831.32400000002</v>
      </c>
      <c r="AG352" s="5">
        <f t="shared" si="131"/>
        <v>501.3080000000773</v>
      </c>
      <c r="AH352" s="6">
        <f t="shared" si="106"/>
        <v>20.887833333336555</v>
      </c>
      <c r="AJ352" s="4">
        <v>44979</v>
      </c>
      <c r="AK352" s="7">
        <v>673852.92099999997</v>
      </c>
      <c r="AL352" s="5">
        <f t="shared" si="132"/>
        <v>321.56400000001304</v>
      </c>
      <c r="AM352" s="6">
        <f t="shared" si="107"/>
        <v>13.398500000000544</v>
      </c>
      <c r="AO352" s="4">
        <v>45007</v>
      </c>
      <c r="AP352" s="7">
        <v>704338.451</v>
      </c>
      <c r="AQ352" s="5">
        <f t="shared" si="133"/>
        <v>3204.4159999999683</v>
      </c>
      <c r="AR352" s="6">
        <f t="shared" si="108"/>
        <v>133.517333333332</v>
      </c>
      <c r="AT352" s="4">
        <v>45038</v>
      </c>
      <c r="AU352" s="7">
        <v>770940.56400000001</v>
      </c>
      <c r="AV352" s="5">
        <f>AU352-AU351</f>
        <v>306.95600000000559</v>
      </c>
      <c r="AW352" s="6">
        <f t="shared" si="109"/>
        <v>12.789833333333567</v>
      </c>
      <c r="AY352" s="4">
        <v>45068</v>
      </c>
      <c r="AZ352" s="7">
        <v>802775.75399999996</v>
      </c>
      <c r="BA352" s="5">
        <f>AZ352-AZ351</f>
        <v>3289.0279999999329</v>
      </c>
      <c r="BB352" s="6">
        <f t="shared" si="110"/>
        <v>137.04283333333055</v>
      </c>
      <c r="BD352" s="4">
        <v>45099</v>
      </c>
      <c r="BE352" s="7">
        <v>881532.42</v>
      </c>
      <c r="BF352" s="5">
        <f>BE352-BE351</f>
        <v>3112.2760000000708</v>
      </c>
      <c r="BG352" s="6">
        <f t="shared" si="111"/>
        <v>129.67816666666963</v>
      </c>
      <c r="BI352" s="4">
        <v>45129</v>
      </c>
      <c r="BJ352" s="7">
        <v>985832.31099999999</v>
      </c>
      <c r="BK352" s="5">
        <f>BJ352-BJ351</f>
        <v>3733.7800000000279</v>
      </c>
      <c r="BL352" s="6">
        <f t="shared" si="112"/>
        <v>155.57416666666782</v>
      </c>
      <c r="BN352" s="4">
        <v>45160</v>
      </c>
      <c r="BO352" s="7">
        <v>91906.514999999999</v>
      </c>
      <c r="BP352" s="5">
        <f>BO352-BO351</f>
        <v>3398.8880000000063</v>
      </c>
      <c r="BQ352" s="6">
        <f t="shared" si="113"/>
        <v>141.6203333333336</v>
      </c>
      <c r="BS352" s="4">
        <v>45191</v>
      </c>
      <c r="BT352" s="7">
        <v>167555</v>
      </c>
      <c r="BU352" s="5">
        <f>BT352-BT351</f>
        <v>3604.4109999999928</v>
      </c>
      <c r="BV352" s="6">
        <f t="shared" si="114"/>
        <v>150.18379166666637</v>
      </c>
      <c r="BX352" s="4">
        <v>45221</v>
      </c>
      <c r="BY352" s="7">
        <v>271200</v>
      </c>
      <c r="BZ352" s="5">
        <f t="shared" si="46"/>
        <v>2539.4340000000084</v>
      </c>
      <c r="CA352" s="6">
        <f t="shared" si="115"/>
        <v>105.80975000000035</v>
      </c>
      <c r="CC352" s="4">
        <v>45252</v>
      </c>
      <c r="CD352" s="5">
        <f t="shared" si="86"/>
        <v>367450</v>
      </c>
      <c r="CE352" s="5">
        <v>3500</v>
      </c>
      <c r="CF352" s="6">
        <f t="shared" si="116"/>
        <v>145.83333333333334</v>
      </c>
      <c r="CH352" s="4">
        <v>45282</v>
      </c>
      <c r="CI352" s="5">
        <f t="shared" si="87"/>
        <v>411725</v>
      </c>
      <c r="CJ352" s="5">
        <v>150</v>
      </c>
      <c r="CK352" s="6">
        <f t="shared" si="117"/>
        <v>6.25</v>
      </c>
      <c r="CM352" s="4">
        <v>45313</v>
      </c>
      <c r="CN352" s="5">
        <v>276943.72700000001</v>
      </c>
      <c r="CO352" s="5">
        <f t="shared" si="88"/>
        <v>157.1479999999865</v>
      </c>
      <c r="CP352" s="6">
        <f t="shared" si="118"/>
        <v>6.547833333332771</v>
      </c>
      <c r="CR352" s="4">
        <v>45344</v>
      </c>
      <c r="CS352" s="5">
        <v>315089.04700000002</v>
      </c>
      <c r="CT352" s="5">
        <f t="shared" si="140"/>
        <v>3148.5040000000154</v>
      </c>
      <c r="CU352" s="6">
        <f t="shared" si="119"/>
        <v>131.1876666666673</v>
      </c>
      <c r="CW352" s="4">
        <v>45373</v>
      </c>
      <c r="CX352" s="5">
        <v>379324.35700000002</v>
      </c>
      <c r="CY352" s="5">
        <f t="shared" si="141"/>
        <v>2248.3759999999893</v>
      </c>
      <c r="CZ352" s="6">
        <f t="shared" si="120"/>
        <v>93.682333333332892</v>
      </c>
      <c r="DB352" s="4">
        <v>45404</v>
      </c>
      <c r="DC352" s="5">
        <v>405783.951</v>
      </c>
      <c r="DD352" s="5">
        <f t="shared" si="142"/>
        <v>2248.2199999999721</v>
      </c>
      <c r="DE352" s="6">
        <f t="shared" si="121"/>
        <v>93.675833333332164</v>
      </c>
      <c r="DG352" s="4">
        <v>45434</v>
      </c>
      <c r="DH352" s="5">
        <v>436521.77399999998</v>
      </c>
      <c r="DI352" s="5">
        <f t="shared" si="92"/>
        <v>829.33599999995204</v>
      </c>
      <c r="DJ352" s="6">
        <f t="shared" si="122"/>
        <v>34.555666666664671</v>
      </c>
      <c r="DL352" s="4">
        <v>45465</v>
      </c>
      <c r="DM352" s="5">
        <v>477837.89500000002</v>
      </c>
      <c r="DN352" s="5">
        <f t="shared" si="93"/>
        <v>2293.8730000000214</v>
      </c>
      <c r="DO352" s="6">
        <f t="shared" si="123"/>
        <v>95.578041666667559</v>
      </c>
      <c r="DQ352" s="4">
        <v>45495</v>
      </c>
      <c r="DR352" s="5">
        <v>540680.51300000004</v>
      </c>
      <c r="DS352" s="5">
        <f t="shared" si="94"/>
        <v>3716.8329999999842</v>
      </c>
      <c r="DT352" s="6">
        <f t="shared" si="124"/>
        <v>154.86804166666602</v>
      </c>
      <c r="DV352" s="4">
        <v>45526</v>
      </c>
      <c r="DW352" s="5">
        <v>650792.86199999996</v>
      </c>
      <c r="DX352" s="5">
        <f t="shared" si="95"/>
        <v>3741.6329999999143</v>
      </c>
      <c r="DY352" s="6">
        <f t="shared" si="125"/>
        <v>155.90137499999642</v>
      </c>
      <c r="EA352" s="4">
        <v>45557</v>
      </c>
      <c r="EB352" s="5">
        <v>727198.40399999998</v>
      </c>
      <c r="EC352" s="5">
        <f t="shared" si="96"/>
        <v>3280.8680000000168</v>
      </c>
      <c r="ED352" s="6">
        <f t="shared" si="126"/>
        <v>136.70283333333404</v>
      </c>
      <c r="EF352" s="4">
        <v>45587</v>
      </c>
      <c r="EG352" s="5">
        <v>829747.98199999996</v>
      </c>
      <c r="EH352" s="5">
        <f t="shared" si="97"/>
        <v>2035.0519999999087</v>
      </c>
      <c r="EI352" s="6">
        <f t="shared" si="47"/>
        <v>84.79383333332953</v>
      </c>
      <c r="EK352" s="4">
        <v>45618</v>
      </c>
      <c r="EL352" s="5">
        <v>928455.647</v>
      </c>
      <c r="EM352" s="5">
        <f t="shared" si="98"/>
        <v>462.64000000001397</v>
      </c>
      <c r="EN352" s="6">
        <f t="shared" si="48"/>
        <v>19.27666666666725</v>
      </c>
      <c r="EP352" s="4">
        <v>45648</v>
      </c>
      <c r="EQ352" s="5">
        <v>948458.38399999996</v>
      </c>
      <c r="ER352" s="5">
        <f t="shared" si="143"/>
        <v>1724.4719999999506</v>
      </c>
      <c r="ES352" s="6">
        <f t="shared" si="49"/>
        <v>71.852999999997948</v>
      </c>
    </row>
    <row r="353" spans="1:149" ht="15.75" x14ac:dyDescent="0.25">
      <c r="A353" s="4">
        <v>44765</v>
      </c>
      <c r="B353" s="7">
        <v>255050.742</v>
      </c>
      <c r="C353" s="5">
        <f t="shared" si="50"/>
        <v>2899.8759999999893</v>
      </c>
      <c r="D353" s="6">
        <f t="shared" si="40"/>
        <v>120.82816666666622</v>
      </c>
      <c r="F353" s="4">
        <v>44798</v>
      </c>
      <c r="G353" s="7">
        <v>354944.55</v>
      </c>
      <c r="H353" s="5">
        <f t="shared" si="100"/>
        <v>3590.9979999999632</v>
      </c>
      <c r="I353" s="6">
        <f t="shared" si="101"/>
        <v>148.36583333333206</v>
      </c>
      <c r="K353" s="4">
        <v>44827</v>
      </c>
      <c r="L353" s="7">
        <v>415750.478</v>
      </c>
      <c r="M353" s="5">
        <f t="shared" si="127"/>
        <v>2189.2679999999818</v>
      </c>
      <c r="N353" s="6">
        <f t="shared" si="102"/>
        <v>91.219499999999243</v>
      </c>
      <c r="P353" s="4">
        <v>44857</v>
      </c>
      <c r="Q353" s="7">
        <v>495925.076</v>
      </c>
      <c r="R353" s="5">
        <f t="shared" si="128"/>
        <v>2659.6290000000154</v>
      </c>
      <c r="S353" s="6">
        <f t="shared" si="103"/>
        <v>110.81787500000064</v>
      </c>
      <c r="U353" s="4">
        <v>44888</v>
      </c>
      <c r="V353" s="7">
        <v>573082.30500000005</v>
      </c>
      <c r="W353" s="5">
        <f t="shared" si="129"/>
        <v>2713.2640000000829</v>
      </c>
      <c r="X353" s="6">
        <f t="shared" si="104"/>
        <v>113.05266666667012</v>
      </c>
      <c r="Z353" s="4">
        <v>44918</v>
      </c>
      <c r="AA353" s="7">
        <v>618956.67299999995</v>
      </c>
      <c r="AB353" s="5">
        <f t="shared" si="130"/>
        <v>2614.0279999999329</v>
      </c>
      <c r="AC353" s="6">
        <f t="shared" si="105"/>
        <v>108.91783333333053</v>
      </c>
      <c r="AE353" s="4">
        <v>44949</v>
      </c>
      <c r="AF353" s="7">
        <v>665233.848</v>
      </c>
      <c r="AG353" s="5">
        <f t="shared" si="131"/>
        <v>402.52399999997579</v>
      </c>
      <c r="AH353" s="6">
        <f t="shared" si="106"/>
        <v>16.771833333332324</v>
      </c>
      <c r="AJ353" s="4">
        <v>44980</v>
      </c>
      <c r="AK353" s="7">
        <v>674402.10900000005</v>
      </c>
      <c r="AL353" s="5">
        <f t="shared" si="132"/>
        <v>549.18800000008196</v>
      </c>
      <c r="AM353" s="6">
        <f t="shared" si="107"/>
        <v>22.882833333336748</v>
      </c>
      <c r="AO353" s="4">
        <v>45008</v>
      </c>
      <c r="AP353" s="7">
        <v>704789.89099999995</v>
      </c>
      <c r="AQ353" s="5">
        <f t="shared" si="133"/>
        <v>451.43999999994412</v>
      </c>
      <c r="AR353" s="6">
        <f t="shared" si="108"/>
        <v>18.809999999997672</v>
      </c>
      <c r="AT353" s="4">
        <v>45039</v>
      </c>
      <c r="AU353" s="7">
        <v>771342.91200000001</v>
      </c>
      <c r="AV353" s="5">
        <f>AU353-AU352</f>
        <v>402.34799999999814</v>
      </c>
      <c r="AW353" s="6">
        <f t="shared" si="109"/>
        <v>16.764499999999924</v>
      </c>
      <c r="AY353" s="4">
        <v>45069</v>
      </c>
      <c r="AZ353" s="7">
        <v>806029.80700000003</v>
      </c>
      <c r="BA353" s="5">
        <f>AZ353-AZ352</f>
        <v>3254.0530000000726</v>
      </c>
      <c r="BB353" s="6">
        <f t="shared" si="110"/>
        <v>135.58554166666968</v>
      </c>
      <c r="BD353" s="4">
        <v>45100</v>
      </c>
      <c r="BE353" s="7">
        <v>884797.43999999994</v>
      </c>
      <c r="BF353" s="5">
        <f>BE353-BE352</f>
        <v>3265.0199999999022</v>
      </c>
      <c r="BG353" s="6">
        <f t="shared" si="111"/>
        <v>136.04249999999593</v>
      </c>
      <c r="BI353" s="4">
        <v>45130</v>
      </c>
      <c r="BJ353" s="7">
        <v>989549.696</v>
      </c>
      <c r="BK353" s="5">
        <f>BJ353-BJ352</f>
        <v>3717.3850000000093</v>
      </c>
      <c r="BL353" s="6">
        <f t="shared" si="112"/>
        <v>154.89104166666706</v>
      </c>
      <c r="BN353" s="4">
        <v>45161</v>
      </c>
      <c r="BO353" s="7">
        <v>95878.88</v>
      </c>
      <c r="BP353" s="5">
        <f>BO353-BO352</f>
        <v>3972.3650000000052</v>
      </c>
      <c r="BQ353" s="6">
        <f t="shared" si="113"/>
        <v>165.51520833333356</v>
      </c>
      <c r="BS353" s="4">
        <v>45192</v>
      </c>
      <c r="BT353" s="7">
        <v>171454.00599999999</v>
      </c>
      <c r="BU353" s="5">
        <f>BT353-BT352</f>
        <v>3899.0059999999939</v>
      </c>
      <c r="BV353" s="6">
        <f t="shared" si="114"/>
        <v>162.45858333333308</v>
      </c>
      <c r="BX353" s="4">
        <v>45222</v>
      </c>
      <c r="BY353" s="7">
        <v>271200</v>
      </c>
      <c r="BZ353" s="5">
        <f t="shared" si="46"/>
        <v>0</v>
      </c>
      <c r="CA353" s="6">
        <f t="shared" si="115"/>
        <v>0</v>
      </c>
      <c r="CC353" s="4">
        <v>45253</v>
      </c>
      <c r="CD353" s="5">
        <f t="shared" si="86"/>
        <v>370950</v>
      </c>
      <c r="CE353" s="5">
        <v>3500</v>
      </c>
      <c r="CF353" s="6">
        <f t="shared" si="116"/>
        <v>145.83333333333334</v>
      </c>
      <c r="CH353" s="4">
        <v>45283</v>
      </c>
      <c r="CI353" s="5">
        <f t="shared" si="87"/>
        <v>411725</v>
      </c>
      <c r="CJ353" s="5">
        <v>0</v>
      </c>
      <c r="CK353" s="6">
        <f t="shared" si="117"/>
        <v>0</v>
      </c>
      <c r="CM353" s="4">
        <v>45314</v>
      </c>
      <c r="CN353" s="5">
        <v>277298.90299999999</v>
      </c>
      <c r="CO353" s="5">
        <f t="shared" si="88"/>
        <v>355.17599999997765</v>
      </c>
      <c r="CP353" s="6">
        <f t="shared" si="118"/>
        <v>14.798999999999069</v>
      </c>
      <c r="CR353" s="4">
        <v>45345</v>
      </c>
      <c r="CS353" s="5">
        <v>317255.15500000003</v>
      </c>
      <c r="CT353" s="5">
        <f t="shared" si="140"/>
        <v>2166.1080000000075</v>
      </c>
      <c r="CU353" s="6">
        <f t="shared" si="119"/>
        <v>90.254500000000306</v>
      </c>
      <c r="CW353" s="4">
        <v>45374</v>
      </c>
      <c r="CX353" s="5">
        <v>380396.06900000002</v>
      </c>
      <c r="CY353" s="5">
        <f t="shared" si="141"/>
        <v>1071.7119999999995</v>
      </c>
      <c r="CZ353" s="6">
        <f t="shared" si="120"/>
        <v>44.65466666666665</v>
      </c>
      <c r="DB353" s="4">
        <v>45405</v>
      </c>
      <c r="DC353" s="5">
        <v>405783.951</v>
      </c>
      <c r="DD353" s="5">
        <f t="shared" si="142"/>
        <v>0</v>
      </c>
      <c r="DE353" s="6">
        <f t="shared" si="121"/>
        <v>0</v>
      </c>
      <c r="DG353" s="4">
        <v>45435</v>
      </c>
      <c r="DH353" s="5">
        <v>437685.27899999998</v>
      </c>
      <c r="DI353" s="5">
        <f t="shared" si="92"/>
        <v>1163.5050000000047</v>
      </c>
      <c r="DJ353" s="6">
        <f t="shared" si="122"/>
        <v>48.479375000000196</v>
      </c>
      <c r="DL353" s="4">
        <v>45466</v>
      </c>
      <c r="DM353" s="5">
        <v>479971.20299999998</v>
      </c>
      <c r="DN353" s="5">
        <f t="shared" si="93"/>
        <v>2133.3079999999609</v>
      </c>
      <c r="DO353" s="6">
        <f t="shared" si="123"/>
        <v>88.887833333331699</v>
      </c>
      <c r="DQ353" s="4">
        <v>45496</v>
      </c>
      <c r="DR353" s="5">
        <v>544430.58499999996</v>
      </c>
      <c r="DS353" s="5">
        <f t="shared" si="94"/>
        <v>3750.0719999999274</v>
      </c>
      <c r="DT353" s="6">
        <f t="shared" si="124"/>
        <v>156.25299999999697</v>
      </c>
      <c r="DV353" s="4">
        <v>45527</v>
      </c>
      <c r="DW353" s="5">
        <v>654709.55799999996</v>
      </c>
      <c r="DX353" s="5">
        <f t="shared" si="95"/>
        <v>3916.6959999999963</v>
      </c>
      <c r="DY353" s="6">
        <f t="shared" si="125"/>
        <v>163.19566666666651</v>
      </c>
      <c r="EA353" s="4">
        <v>45558</v>
      </c>
      <c r="EB353" s="5">
        <v>730583.81700000004</v>
      </c>
      <c r="EC353" s="5">
        <f t="shared" si="96"/>
        <v>3385.4130000000587</v>
      </c>
      <c r="ED353" s="6">
        <f t="shared" si="126"/>
        <v>141.05887500000244</v>
      </c>
      <c r="EF353" s="4">
        <v>45588</v>
      </c>
      <c r="EG353" s="5">
        <v>832811.84299999999</v>
      </c>
      <c r="EH353" s="5">
        <f t="shared" si="97"/>
        <v>3063.8610000000335</v>
      </c>
      <c r="EI353" s="6">
        <f t="shared" si="47"/>
        <v>127.6608750000014</v>
      </c>
      <c r="EK353" s="4">
        <v>45619</v>
      </c>
      <c r="EL353" s="5">
        <v>928713.42700000003</v>
      </c>
      <c r="EM353" s="5">
        <f t="shared" si="98"/>
        <v>257.78000000002794</v>
      </c>
      <c r="EN353" s="6">
        <f t="shared" si="48"/>
        <v>10.740833333334498</v>
      </c>
      <c r="EP353" s="4">
        <v>45649</v>
      </c>
      <c r="EQ353" s="5">
        <v>950506.46</v>
      </c>
      <c r="ER353" s="5">
        <f t="shared" si="143"/>
        <v>2048.0760000000009</v>
      </c>
      <c r="ES353" s="6">
        <f t="shared" si="49"/>
        <v>85.336500000000044</v>
      </c>
    </row>
    <row r="354" spans="1:149" ht="15.75" x14ac:dyDescent="0.25">
      <c r="A354" s="4">
        <v>44766</v>
      </c>
      <c r="B354" s="7">
        <v>258064.11</v>
      </c>
      <c r="C354" s="5">
        <f t="shared" si="50"/>
        <v>3013.3679999999877</v>
      </c>
      <c r="D354" s="6">
        <f t="shared" si="40"/>
        <v>125.55699999999949</v>
      </c>
      <c r="F354" s="4">
        <v>44799</v>
      </c>
      <c r="G354" s="7">
        <v>358576.989</v>
      </c>
      <c r="H354" s="5">
        <f t="shared" si="100"/>
        <v>3632.439000000013</v>
      </c>
      <c r="I354" s="6">
        <f t="shared" si="101"/>
        <v>146.78129166666864</v>
      </c>
      <c r="K354" s="4">
        <v>44828</v>
      </c>
      <c r="L354" s="7">
        <v>418815.85800000001</v>
      </c>
      <c r="M354" s="5">
        <f t="shared" si="127"/>
        <v>3065.3800000000047</v>
      </c>
      <c r="N354" s="6">
        <f t="shared" si="102"/>
        <v>127.72416666666686</v>
      </c>
      <c r="P354" s="4">
        <v>44858</v>
      </c>
      <c r="Q354" s="7">
        <v>498299.652</v>
      </c>
      <c r="R354" s="5">
        <f t="shared" si="128"/>
        <v>2374.5760000000009</v>
      </c>
      <c r="S354" s="6">
        <f t="shared" si="103"/>
        <v>98.940666666666701</v>
      </c>
      <c r="U354" s="4">
        <v>44889</v>
      </c>
      <c r="V354" s="7">
        <v>575800.79</v>
      </c>
      <c r="W354" s="5">
        <f t="shared" si="129"/>
        <v>2718.484999999986</v>
      </c>
      <c r="X354" s="6">
        <f t="shared" si="104"/>
        <v>113.27020833333275</v>
      </c>
      <c r="Z354" s="4">
        <v>44919</v>
      </c>
      <c r="AA354" s="7">
        <v>621486.03700000001</v>
      </c>
      <c r="AB354" s="5">
        <f t="shared" si="130"/>
        <v>2529.3640000000596</v>
      </c>
      <c r="AC354" s="6">
        <f t="shared" si="105"/>
        <v>105.39016666666915</v>
      </c>
      <c r="AE354" s="4">
        <v>44950</v>
      </c>
      <c r="AF354" s="7">
        <v>666059.76399999997</v>
      </c>
      <c r="AG354" s="5">
        <f t="shared" si="131"/>
        <v>825.91599999996834</v>
      </c>
      <c r="AH354" s="6">
        <f t="shared" si="106"/>
        <v>34.413166666665347</v>
      </c>
      <c r="AJ354" s="4">
        <v>44981</v>
      </c>
      <c r="AK354" s="7">
        <v>674825.473</v>
      </c>
      <c r="AL354" s="5">
        <f t="shared" si="132"/>
        <v>423.36399999994319</v>
      </c>
      <c r="AM354" s="6">
        <f t="shared" si="107"/>
        <v>17.6401666666643</v>
      </c>
      <c r="AO354" s="4">
        <v>45009</v>
      </c>
      <c r="AP354" s="7">
        <v>705003.28700000001</v>
      </c>
      <c r="AQ354" s="5">
        <f t="shared" si="133"/>
        <v>213.39600000006612</v>
      </c>
      <c r="AR354" s="6">
        <f t="shared" si="108"/>
        <v>8.8915000000027558</v>
      </c>
      <c r="AT354" s="4">
        <v>45040</v>
      </c>
      <c r="AU354" s="7">
        <v>771774.772</v>
      </c>
      <c r="AV354" s="5">
        <f t="shared" si="134"/>
        <v>431.85999999998603</v>
      </c>
      <c r="AW354" s="6">
        <f t="shared" si="109"/>
        <v>17.994166666666086</v>
      </c>
      <c r="AY354" s="4">
        <v>45070</v>
      </c>
      <c r="AZ354" s="7">
        <v>806419.12699999998</v>
      </c>
      <c r="BA354" s="5">
        <f t="shared" ref="BA354:BA355" si="146">AZ354-AZ353</f>
        <v>389.31999999994878</v>
      </c>
      <c r="BB354" s="6">
        <f t="shared" si="110"/>
        <v>16.221666666664532</v>
      </c>
      <c r="BD354" s="4">
        <v>45101</v>
      </c>
      <c r="BE354" s="7">
        <v>888405.62</v>
      </c>
      <c r="BF354" s="5">
        <f t="shared" ref="BF354:BF355" si="147">BE354-BE353</f>
        <v>3608.1800000000512</v>
      </c>
      <c r="BG354" s="6">
        <f t="shared" si="111"/>
        <v>150.34083333333547</v>
      </c>
      <c r="BI354" s="4">
        <v>45131</v>
      </c>
      <c r="BJ354" s="7">
        <v>993283.56</v>
      </c>
      <c r="BK354" s="5">
        <f t="shared" ref="BK354:BK355" si="148">BJ354-BJ353</f>
        <v>3733.8640000000596</v>
      </c>
      <c r="BL354" s="6">
        <f t="shared" si="112"/>
        <v>155.57766666666916</v>
      </c>
      <c r="BN354" s="4">
        <v>45162</v>
      </c>
      <c r="BO354" s="7">
        <v>99470.78</v>
      </c>
      <c r="BP354" s="5">
        <f t="shared" ref="BP354:BP356" si="149">BO354-BO353</f>
        <v>3591.8999999999942</v>
      </c>
      <c r="BQ354" s="6">
        <f t="shared" si="113"/>
        <v>149.66249999999977</v>
      </c>
      <c r="BS354" s="4">
        <v>45193</v>
      </c>
      <c r="BT354" s="7">
        <v>174558.622</v>
      </c>
      <c r="BU354" s="5">
        <f t="shared" ref="BU354:BU356" si="150">BT354-BT353</f>
        <v>3104.6160000000091</v>
      </c>
      <c r="BV354" s="6">
        <f t="shared" si="114"/>
        <v>129.35900000000038</v>
      </c>
      <c r="BX354" s="4">
        <v>45223</v>
      </c>
      <c r="BY354" s="7">
        <v>271200</v>
      </c>
      <c r="BZ354" s="5">
        <f t="shared" si="46"/>
        <v>0</v>
      </c>
      <c r="CA354" s="6">
        <f t="shared" si="115"/>
        <v>0</v>
      </c>
      <c r="CC354" s="4">
        <v>45254</v>
      </c>
      <c r="CD354" s="5">
        <f t="shared" si="86"/>
        <v>374450</v>
      </c>
      <c r="CE354" s="5">
        <v>3500</v>
      </c>
      <c r="CF354" s="6">
        <f t="shared" si="116"/>
        <v>145.83333333333334</v>
      </c>
      <c r="CH354" s="4">
        <v>45284</v>
      </c>
      <c r="CI354" s="5">
        <f t="shared" si="87"/>
        <v>411725</v>
      </c>
      <c r="CJ354" s="5">
        <v>0</v>
      </c>
      <c r="CK354" s="6">
        <f t="shared" si="117"/>
        <v>0</v>
      </c>
      <c r="CM354" s="4">
        <v>45315</v>
      </c>
      <c r="CN354" s="5">
        <v>277298.90299999999</v>
      </c>
      <c r="CO354" s="5">
        <f t="shared" si="88"/>
        <v>0</v>
      </c>
      <c r="CP354" s="6">
        <f t="shared" si="118"/>
        <v>0</v>
      </c>
      <c r="CR354" s="4">
        <v>45346</v>
      </c>
      <c r="CS354" s="5">
        <v>320257.97899999999</v>
      </c>
      <c r="CT354" s="5">
        <f t="shared" si="140"/>
        <v>3002.8239999999641</v>
      </c>
      <c r="CU354" s="6">
        <f t="shared" si="119"/>
        <v>125.11766666666517</v>
      </c>
      <c r="CW354" s="4">
        <v>45375</v>
      </c>
      <c r="CX354" s="5">
        <v>381487.72899999999</v>
      </c>
      <c r="CY354" s="5">
        <f t="shared" si="141"/>
        <v>1091.6599999999744</v>
      </c>
      <c r="CZ354" s="6">
        <f t="shared" si="120"/>
        <v>45.485833333332266</v>
      </c>
      <c r="DB354" s="4">
        <v>45406</v>
      </c>
      <c r="DC354" s="5">
        <v>406315.46799999999</v>
      </c>
      <c r="DD354" s="5">
        <f t="shared" si="142"/>
        <v>531.51699999999255</v>
      </c>
      <c r="DE354" s="6">
        <f t="shared" si="121"/>
        <v>22.146541666666355</v>
      </c>
      <c r="DG354" s="4">
        <v>45436</v>
      </c>
      <c r="DH354" s="5">
        <v>438515.61099999998</v>
      </c>
      <c r="DI354" s="5">
        <f t="shared" si="92"/>
        <v>830.33199999999488</v>
      </c>
      <c r="DJ354" s="6">
        <f t="shared" si="122"/>
        <v>34.597166666666453</v>
      </c>
      <c r="DL354" s="4">
        <v>45467</v>
      </c>
      <c r="DM354" s="5">
        <v>482705.44300000003</v>
      </c>
      <c r="DN354" s="5">
        <f t="shared" si="93"/>
        <v>2734.2400000000489</v>
      </c>
      <c r="DO354" s="6">
        <f t="shared" si="123"/>
        <v>113.92666666666871</v>
      </c>
      <c r="DQ354" s="4">
        <v>45497</v>
      </c>
      <c r="DR354" s="5">
        <v>547443.28099999996</v>
      </c>
      <c r="DS354" s="5">
        <f t="shared" si="94"/>
        <v>3012.6959999999963</v>
      </c>
      <c r="DT354" s="6">
        <f t="shared" si="124"/>
        <v>125.52899999999984</v>
      </c>
      <c r="DV354" s="4">
        <v>45528</v>
      </c>
      <c r="DW354" s="5">
        <v>658617.69499999995</v>
      </c>
      <c r="DX354" s="5">
        <f t="shared" si="95"/>
        <v>3908.1369999999879</v>
      </c>
      <c r="DY354" s="6">
        <f t="shared" si="125"/>
        <v>162.83904166666616</v>
      </c>
      <c r="EA354" s="4">
        <v>45559</v>
      </c>
      <c r="EB354" s="5">
        <v>734218.99300000002</v>
      </c>
      <c r="EC354" s="5">
        <f t="shared" si="96"/>
        <v>3635.1759999999776</v>
      </c>
      <c r="ED354" s="6">
        <f t="shared" si="126"/>
        <v>151.46566666666573</v>
      </c>
      <c r="EF354" s="4">
        <v>45589</v>
      </c>
      <c r="EG354" s="5">
        <v>836486.00699999998</v>
      </c>
      <c r="EH354" s="5">
        <f t="shared" si="97"/>
        <v>3674.1639999999898</v>
      </c>
      <c r="EI354" s="6">
        <f t="shared" si="47"/>
        <v>153.09016666666625</v>
      </c>
      <c r="EK354" s="4">
        <v>45620</v>
      </c>
      <c r="EL354" s="5">
        <v>929998.19499999995</v>
      </c>
      <c r="EM354" s="5">
        <f t="shared" si="98"/>
        <v>1284.7679999999236</v>
      </c>
      <c r="EN354" s="6">
        <f t="shared" si="48"/>
        <v>53.53199999999682</v>
      </c>
      <c r="EP354" s="4">
        <v>45650</v>
      </c>
      <c r="EQ354" s="5">
        <v>952641.09699999995</v>
      </c>
      <c r="ER354" s="5">
        <f t="shared" si="143"/>
        <v>2134.6369999999879</v>
      </c>
      <c r="ES354" s="6">
        <f t="shared" si="49"/>
        <v>88.943208333332834</v>
      </c>
    </row>
    <row r="355" spans="1:149" ht="15.75" x14ac:dyDescent="0.25">
      <c r="A355" s="4">
        <v>44767</v>
      </c>
      <c r="B355" s="8">
        <v>260822.01500000001</v>
      </c>
      <c r="C355" s="5">
        <f t="shared" si="50"/>
        <v>2757.9050000000279</v>
      </c>
      <c r="D355" s="6">
        <f t="shared" si="40"/>
        <v>114.91270833333449</v>
      </c>
      <c r="F355" s="4">
        <v>44800</v>
      </c>
      <c r="G355" s="7">
        <v>362178.67</v>
      </c>
      <c r="H355" s="5">
        <f t="shared" si="100"/>
        <v>3601.6809999999823</v>
      </c>
      <c r="I355" s="6">
        <f t="shared" si="101"/>
        <v>149.62491666666514</v>
      </c>
      <c r="K355" s="4">
        <v>44829</v>
      </c>
      <c r="L355" s="7">
        <v>421731.93400000001</v>
      </c>
      <c r="M355" s="5">
        <f t="shared" si="127"/>
        <v>2916.0760000000009</v>
      </c>
      <c r="N355" s="6">
        <f t="shared" si="102"/>
        <v>121.5031666666667</v>
      </c>
      <c r="P355" s="4">
        <v>44859</v>
      </c>
      <c r="Q355" s="7">
        <v>501128.98800000001</v>
      </c>
      <c r="R355" s="5">
        <f t="shared" si="128"/>
        <v>2829.3360000000102</v>
      </c>
      <c r="S355" s="6">
        <f t="shared" si="103"/>
        <v>117.88900000000042</v>
      </c>
      <c r="U355" s="4">
        <v>44890</v>
      </c>
      <c r="V355" s="7">
        <v>578511.63399999996</v>
      </c>
      <c r="W355" s="5">
        <f t="shared" si="129"/>
        <v>2710.8439999999246</v>
      </c>
      <c r="X355" s="6">
        <f t="shared" si="104"/>
        <v>112.95183333333019</v>
      </c>
      <c r="Z355" s="4">
        <v>44920</v>
      </c>
      <c r="AA355" s="7">
        <v>624087.72900000005</v>
      </c>
      <c r="AB355" s="5">
        <f t="shared" si="130"/>
        <v>2601.6920000000391</v>
      </c>
      <c r="AC355" s="6">
        <f t="shared" si="105"/>
        <v>108.40383333333496</v>
      </c>
      <c r="AE355" s="4">
        <v>44951</v>
      </c>
      <c r="AF355" s="7">
        <v>666514.26</v>
      </c>
      <c r="AG355" s="5">
        <f t="shared" si="131"/>
        <v>454.49600000004284</v>
      </c>
      <c r="AH355" s="6">
        <f t="shared" si="106"/>
        <v>18.937333333335118</v>
      </c>
      <c r="AJ355" s="4">
        <v>44982</v>
      </c>
      <c r="AK355" s="7">
        <v>675257.57700000005</v>
      </c>
      <c r="AL355" s="5">
        <f t="shared" si="132"/>
        <v>432.10400000005029</v>
      </c>
      <c r="AM355" s="6">
        <f t="shared" si="107"/>
        <v>18.004333333335428</v>
      </c>
      <c r="AO355" s="4">
        <v>45010</v>
      </c>
      <c r="AP355" s="7">
        <v>705304.93900000001</v>
      </c>
      <c r="AQ355" s="5">
        <f t="shared" si="133"/>
        <v>301.65200000000186</v>
      </c>
      <c r="AR355" s="6">
        <f t="shared" si="108"/>
        <v>12.56883333333341</v>
      </c>
      <c r="AT355" s="4">
        <v>45041</v>
      </c>
      <c r="AU355" s="7">
        <v>771774.772</v>
      </c>
      <c r="AV355" s="5">
        <f t="shared" si="134"/>
        <v>0</v>
      </c>
      <c r="AW355" s="6">
        <f t="shared" si="109"/>
        <v>0</v>
      </c>
      <c r="AY355" s="4">
        <v>45071</v>
      </c>
      <c r="AZ355" s="7">
        <v>812063.19499999995</v>
      </c>
      <c r="BA355" s="5">
        <f t="shared" si="146"/>
        <v>5644.0679999999702</v>
      </c>
      <c r="BB355" s="6">
        <f t="shared" si="110"/>
        <v>235.16949999999875</v>
      </c>
      <c r="BD355" s="4">
        <v>45102</v>
      </c>
      <c r="BE355" s="7">
        <v>892115.745</v>
      </c>
      <c r="BF355" s="5">
        <f t="shared" si="147"/>
        <v>3710.125</v>
      </c>
      <c r="BG355" s="6">
        <f t="shared" si="111"/>
        <v>154.58854166666666</v>
      </c>
      <c r="BI355" s="4">
        <v>45132</v>
      </c>
      <c r="BJ355" s="7">
        <v>996945.04</v>
      </c>
      <c r="BK355" s="5">
        <f t="shared" si="148"/>
        <v>3661.4799999999814</v>
      </c>
      <c r="BL355" s="6">
        <f t="shared" si="112"/>
        <v>152.5616666666659</v>
      </c>
      <c r="BN355" s="4">
        <v>45163</v>
      </c>
      <c r="BO355" s="7">
        <v>103177.4</v>
      </c>
      <c r="BP355" s="5">
        <f t="shared" si="149"/>
        <v>3706.6199999999953</v>
      </c>
      <c r="BQ355" s="6">
        <f t="shared" si="113"/>
        <v>154.4424999999998</v>
      </c>
      <c r="BS355" s="4">
        <v>45194</v>
      </c>
      <c r="BT355" s="7">
        <v>178270.14600000001</v>
      </c>
      <c r="BU355" s="5">
        <f t="shared" si="150"/>
        <v>3711.5240000000049</v>
      </c>
      <c r="BV355" s="6">
        <f t="shared" si="114"/>
        <v>154.64683333333355</v>
      </c>
      <c r="BX355" s="4">
        <v>45224</v>
      </c>
      <c r="BY355" s="7">
        <v>271200</v>
      </c>
      <c r="BZ355" s="5">
        <f t="shared" si="46"/>
        <v>0</v>
      </c>
      <c r="CA355" s="6">
        <f t="shared" si="115"/>
        <v>0</v>
      </c>
      <c r="CC355" s="4">
        <v>45255</v>
      </c>
      <c r="CD355" s="5">
        <f t="shared" si="86"/>
        <v>377950</v>
      </c>
      <c r="CE355" s="5">
        <v>3500</v>
      </c>
      <c r="CF355" s="6">
        <f t="shared" si="116"/>
        <v>145.83333333333334</v>
      </c>
      <c r="CH355" s="4">
        <v>45285</v>
      </c>
      <c r="CI355" s="5">
        <f t="shared" si="87"/>
        <v>411875</v>
      </c>
      <c r="CJ355" s="5">
        <v>150</v>
      </c>
      <c r="CK355" s="6">
        <f t="shared" si="117"/>
        <v>6.25</v>
      </c>
      <c r="CM355" s="4">
        <v>45316</v>
      </c>
      <c r="CN355" s="5">
        <v>277500.18699999998</v>
      </c>
      <c r="CO355" s="5">
        <f t="shared" si="88"/>
        <v>201.2839999999851</v>
      </c>
      <c r="CP355" s="6">
        <f t="shared" si="118"/>
        <v>8.3868333333327119</v>
      </c>
      <c r="CR355" s="4">
        <v>45347</v>
      </c>
      <c r="CS355" s="5">
        <v>323035.56800000003</v>
      </c>
      <c r="CT355" s="5">
        <f t="shared" si="140"/>
        <v>2777.5890000000363</v>
      </c>
      <c r="CU355" s="6">
        <f t="shared" si="119"/>
        <v>115.73287500000151</v>
      </c>
      <c r="CW355" s="4">
        <v>45376</v>
      </c>
      <c r="CX355" s="5">
        <v>383063.05300000001</v>
      </c>
      <c r="CY355" s="5">
        <f t="shared" si="141"/>
        <v>1575.3240000000224</v>
      </c>
      <c r="CZ355" s="6">
        <f t="shared" si="120"/>
        <v>65.638500000000931</v>
      </c>
      <c r="DB355" s="4">
        <v>45407</v>
      </c>
      <c r="DC355" s="5">
        <v>408109.95199999999</v>
      </c>
      <c r="DD355" s="5">
        <f t="shared" si="142"/>
        <v>1794.4839999999967</v>
      </c>
      <c r="DE355" s="6">
        <f t="shared" si="121"/>
        <v>74.770166666666526</v>
      </c>
      <c r="DG355" s="4">
        <v>45437</v>
      </c>
      <c r="DH355" s="5">
        <v>439253.995</v>
      </c>
      <c r="DI355" s="5">
        <f t="shared" si="92"/>
        <v>738.38400000002002</v>
      </c>
      <c r="DJ355" s="6">
        <f t="shared" si="122"/>
        <v>30.766000000000833</v>
      </c>
      <c r="DL355" s="4">
        <v>45468</v>
      </c>
      <c r="DM355" s="5">
        <v>484911.50300000003</v>
      </c>
      <c r="DN355" s="5">
        <f t="shared" si="93"/>
        <v>2206.0599999999977</v>
      </c>
      <c r="DO355" s="6">
        <f t="shared" si="123"/>
        <v>91.91916666666657</v>
      </c>
      <c r="DQ355" s="4">
        <v>45498</v>
      </c>
      <c r="DR355" s="5">
        <v>550917.022</v>
      </c>
      <c r="DS355" s="5">
        <f t="shared" si="94"/>
        <v>3473.7410000000382</v>
      </c>
      <c r="DT355" s="6">
        <f t="shared" si="124"/>
        <v>144.73920833333491</v>
      </c>
      <c r="DV355" s="4">
        <v>45529</v>
      </c>
      <c r="DW355" s="5">
        <v>662431.61499999999</v>
      </c>
      <c r="DX355" s="5">
        <f t="shared" si="95"/>
        <v>3813.9200000000419</v>
      </c>
      <c r="DY355" s="6">
        <f t="shared" si="125"/>
        <v>158.91333333333509</v>
      </c>
      <c r="EA355" s="4">
        <v>45560</v>
      </c>
      <c r="EB355" s="5">
        <v>737810.43299999996</v>
      </c>
      <c r="EC355" s="5">
        <f t="shared" si="96"/>
        <v>3591.4399999999441</v>
      </c>
      <c r="ED355" s="6">
        <f t="shared" si="126"/>
        <v>149.64333333333101</v>
      </c>
      <c r="EF355" s="4">
        <v>45590</v>
      </c>
      <c r="EG355" s="5">
        <v>840062.223</v>
      </c>
      <c r="EH355" s="5">
        <f t="shared" si="97"/>
        <v>3576.2160000000149</v>
      </c>
      <c r="EI355" s="6">
        <f t="shared" si="47"/>
        <v>149.00900000000061</v>
      </c>
      <c r="EK355" s="4">
        <v>45621</v>
      </c>
      <c r="EL355" s="5">
        <v>930240.85100000002</v>
      </c>
      <c r="EM355" s="5">
        <f t="shared" si="98"/>
        <v>242.65600000007544</v>
      </c>
      <c r="EN355" s="6">
        <f t="shared" si="48"/>
        <v>10.110666666669809</v>
      </c>
      <c r="EP355" s="4">
        <v>45651</v>
      </c>
      <c r="EQ355" s="5">
        <v>953420.75300000003</v>
      </c>
      <c r="ER355" s="5">
        <f t="shared" si="143"/>
        <v>779.65600000007544</v>
      </c>
      <c r="ES355" s="6">
        <f t="shared" si="49"/>
        <v>32.485666666669808</v>
      </c>
    </row>
    <row r="356" spans="1:149" ht="15.75" x14ac:dyDescent="0.25">
      <c r="A356" s="4">
        <v>44768</v>
      </c>
      <c r="B356" s="7">
        <v>263719.38299999997</v>
      </c>
      <c r="C356" s="5">
        <f t="shared" si="50"/>
        <v>2897.3679999999586</v>
      </c>
      <c r="D356" s="6">
        <f t="shared" si="40"/>
        <v>120.72366666666494</v>
      </c>
      <c r="F356" s="4">
        <v>44801</v>
      </c>
      <c r="G356" s="7">
        <v>365791.85399999999</v>
      </c>
      <c r="H356" s="5">
        <f t="shared" si="100"/>
        <v>3613.1840000000084</v>
      </c>
      <c r="I356" s="6">
        <f t="shared" si="101"/>
        <v>151.35162500000055</v>
      </c>
      <c r="K356" s="4">
        <v>44830</v>
      </c>
      <c r="L356" s="7">
        <v>424007.098</v>
      </c>
      <c r="M356" s="5">
        <f t="shared" si="127"/>
        <v>2275.1639999999898</v>
      </c>
      <c r="N356" s="6">
        <f t="shared" si="102"/>
        <v>94.798499999999578</v>
      </c>
      <c r="P356" s="4">
        <v>44860</v>
      </c>
      <c r="Q356" s="7">
        <v>503909.33600000001</v>
      </c>
      <c r="R356" s="5">
        <f t="shared" si="128"/>
        <v>2780.3479999999981</v>
      </c>
      <c r="S356" s="6">
        <f t="shared" si="103"/>
        <v>115.84783333333326</v>
      </c>
      <c r="U356" s="4">
        <v>44891</v>
      </c>
      <c r="V356" s="7">
        <v>581135.15</v>
      </c>
      <c r="W356" s="5">
        <f t="shared" si="129"/>
        <v>2623.5160000000615</v>
      </c>
      <c r="X356" s="6">
        <f t="shared" si="104"/>
        <v>109.31316666666923</v>
      </c>
      <c r="Z356" s="4">
        <v>44921</v>
      </c>
      <c r="AA356" s="7">
        <v>626880.74100000004</v>
      </c>
      <c r="AB356" s="5">
        <f t="shared" si="130"/>
        <v>2793.0119999999879</v>
      </c>
      <c r="AC356" s="6">
        <f t="shared" si="105"/>
        <v>116.37549999999949</v>
      </c>
      <c r="AE356" s="4">
        <v>44952</v>
      </c>
      <c r="AF356" s="7">
        <v>667039.54399999999</v>
      </c>
      <c r="AG356" s="5">
        <f t="shared" si="131"/>
        <v>525.2839999999851</v>
      </c>
      <c r="AH356" s="6">
        <f t="shared" si="106"/>
        <v>21.886833333332714</v>
      </c>
      <c r="AJ356" s="4">
        <v>44983</v>
      </c>
      <c r="AK356" s="7">
        <v>675650.94900000002</v>
      </c>
      <c r="AL356" s="5">
        <f t="shared" si="132"/>
        <v>393.37199999997392</v>
      </c>
      <c r="AM356" s="6">
        <f t="shared" si="107"/>
        <v>16.390499999998912</v>
      </c>
      <c r="AO356" s="4">
        <v>45011</v>
      </c>
      <c r="AP356" s="7">
        <v>705567.33100000001</v>
      </c>
      <c r="AQ356" s="5">
        <f>AP356-AP355</f>
        <v>262.39199999999255</v>
      </c>
      <c r="AR356" s="6">
        <f t="shared" si="108"/>
        <v>10.932999999999689</v>
      </c>
      <c r="AT356" s="4">
        <v>45042</v>
      </c>
      <c r="AU356" s="7">
        <v>771774.772</v>
      </c>
      <c r="AV356" s="5">
        <f>AU356-AU355</f>
        <v>0</v>
      </c>
      <c r="AW356" s="6">
        <f t="shared" si="109"/>
        <v>0</v>
      </c>
      <c r="AY356" s="4">
        <v>45072</v>
      </c>
      <c r="AZ356" s="7">
        <v>815458.63100000005</v>
      </c>
      <c r="BA356" s="5">
        <f>AZ356-AZ355</f>
        <v>3395.4360000001034</v>
      </c>
      <c r="BB356" s="6">
        <f t="shared" si="110"/>
        <v>141.47650000000431</v>
      </c>
      <c r="BD356" s="4">
        <v>45103</v>
      </c>
      <c r="BE356" s="7">
        <v>895543.05700000003</v>
      </c>
      <c r="BF356" s="5">
        <f>BE356-BE355</f>
        <v>3427.3120000000345</v>
      </c>
      <c r="BG356" s="6">
        <f t="shared" si="111"/>
        <v>142.80466666666811</v>
      </c>
      <c r="BI356" s="4">
        <v>45133</v>
      </c>
      <c r="BJ356" s="7">
        <v>587.01199999999994</v>
      </c>
      <c r="BK356" s="5">
        <v>3641.9720000000002</v>
      </c>
      <c r="BL356" s="6">
        <f t="shared" si="112"/>
        <v>151.74883333333335</v>
      </c>
      <c r="BN356" s="4">
        <v>45164</v>
      </c>
      <c r="BO356" s="7">
        <v>106952.961</v>
      </c>
      <c r="BP356" s="5">
        <f t="shared" si="149"/>
        <v>3775.5610000000015</v>
      </c>
      <c r="BQ356" s="6">
        <f t="shared" si="113"/>
        <v>157.31504166666673</v>
      </c>
      <c r="BS356" s="4">
        <v>45195</v>
      </c>
      <c r="BT356" s="7">
        <v>181900.34299999999</v>
      </c>
      <c r="BU356" s="5">
        <f t="shared" si="150"/>
        <v>3630.1969999999856</v>
      </c>
      <c r="BV356" s="6">
        <f t="shared" si="114"/>
        <v>151.25820833333273</v>
      </c>
      <c r="BX356" s="4">
        <v>45225</v>
      </c>
      <c r="BY356" s="7">
        <f>271200+3500</f>
        <v>274700</v>
      </c>
      <c r="BZ356" s="5">
        <f t="shared" si="46"/>
        <v>3500</v>
      </c>
      <c r="CA356" s="6">
        <f t="shared" si="115"/>
        <v>145.83333333333334</v>
      </c>
      <c r="CC356" s="4">
        <v>45256</v>
      </c>
      <c r="CD356" s="5">
        <f t="shared" si="86"/>
        <v>381450</v>
      </c>
      <c r="CE356" s="5">
        <v>3500</v>
      </c>
      <c r="CF356" s="6">
        <f t="shared" si="116"/>
        <v>145.83333333333334</v>
      </c>
      <c r="CH356" s="4">
        <v>45286</v>
      </c>
      <c r="CI356" s="5">
        <f t="shared" si="87"/>
        <v>412025</v>
      </c>
      <c r="CJ356" s="5">
        <v>150</v>
      </c>
      <c r="CK356" s="6">
        <f t="shared" si="117"/>
        <v>6.25</v>
      </c>
      <c r="CM356" s="4">
        <v>45317</v>
      </c>
      <c r="CN356" s="5">
        <v>277621.51500000001</v>
      </c>
      <c r="CO356" s="5">
        <f t="shared" si="88"/>
        <v>121.32800000003772</v>
      </c>
      <c r="CP356" s="6">
        <f t="shared" si="118"/>
        <v>5.0553333333349046</v>
      </c>
      <c r="CR356" s="4">
        <v>45348</v>
      </c>
      <c r="CS356" s="5">
        <v>326000</v>
      </c>
      <c r="CT356" s="5">
        <f t="shared" si="140"/>
        <v>2964.4319999999716</v>
      </c>
      <c r="CU356" s="6">
        <f t="shared" si="119"/>
        <v>123.51799999999882</v>
      </c>
      <c r="CW356" s="4">
        <v>45377</v>
      </c>
      <c r="CX356" s="5">
        <v>384506.98499999999</v>
      </c>
      <c r="CY356" s="5">
        <f t="shared" si="141"/>
        <v>1443.9319999999716</v>
      </c>
      <c r="CZ356" s="6">
        <f t="shared" si="120"/>
        <v>60.16383333333215</v>
      </c>
      <c r="DB356" s="4">
        <v>45408</v>
      </c>
      <c r="DC356" s="5">
        <v>408646.83199999999</v>
      </c>
      <c r="DD356" s="5">
        <f t="shared" si="142"/>
        <v>536.88000000000466</v>
      </c>
      <c r="DE356" s="6">
        <f t="shared" si="121"/>
        <v>22.370000000000193</v>
      </c>
      <c r="DG356" s="4">
        <v>45438</v>
      </c>
      <c r="DH356" s="5">
        <v>439352.283</v>
      </c>
      <c r="DI356" s="5">
        <f t="shared" si="92"/>
        <v>98.288000000000466</v>
      </c>
      <c r="DJ356" s="6">
        <f t="shared" si="122"/>
        <v>4.095333333333353</v>
      </c>
      <c r="DL356" s="4">
        <v>45469</v>
      </c>
      <c r="DM356" s="5">
        <v>487209.924</v>
      </c>
      <c r="DN356" s="5">
        <f t="shared" si="93"/>
        <v>2298.420999999973</v>
      </c>
      <c r="DO356" s="6">
        <f t="shared" si="123"/>
        <v>95.767541666665537</v>
      </c>
      <c r="DQ356" s="4">
        <v>45499</v>
      </c>
      <c r="DR356" s="5">
        <v>554761.67799999996</v>
      </c>
      <c r="DS356" s="5">
        <f t="shared" si="94"/>
        <v>3844.655999999959</v>
      </c>
      <c r="DT356" s="6">
        <f t="shared" si="124"/>
        <v>160.19399999999828</v>
      </c>
      <c r="DV356" s="4">
        <v>45530</v>
      </c>
      <c r="DW356" s="5">
        <v>666276.755</v>
      </c>
      <c r="DX356" s="5">
        <f t="shared" si="95"/>
        <v>3845.140000000014</v>
      </c>
      <c r="DY356" s="6">
        <f t="shared" si="125"/>
        <v>160.21416666666724</v>
      </c>
      <c r="EA356" s="4">
        <v>45561</v>
      </c>
      <c r="EB356" s="5">
        <v>741352.16599999997</v>
      </c>
      <c r="EC356" s="5">
        <f t="shared" si="96"/>
        <v>3541.7330000000075</v>
      </c>
      <c r="ED356" s="6">
        <f t="shared" si="126"/>
        <v>147.57220833333363</v>
      </c>
      <c r="EF356" s="4">
        <v>45591</v>
      </c>
      <c r="EG356" s="5">
        <v>843923.804</v>
      </c>
      <c r="EH356" s="5">
        <f t="shared" si="97"/>
        <v>3861.5810000000056</v>
      </c>
      <c r="EI356" s="6">
        <f t="shared" si="47"/>
        <v>160.89920833333358</v>
      </c>
      <c r="EK356" s="4">
        <v>45622</v>
      </c>
      <c r="EL356" s="5">
        <v>930507.495</v>
      </c>
      <c r="EM356" s="5">
        <f t="shared" si="98"/>
        <v>266.64399999997113</v>
      </c>
      <c r="EN356" s="6">
        <f t="shared" si="48"/>
        <v>11.110166666665464</v>
      </c>
      <c r="EP356" s="4">
        <v>45652</v>
      </c>
      <c r="EQ356" s="5">
        <v>953621.49699999997</v>
      </c>
      <c r="ER356" s="5">
        <f t="shared" si="143"/>
        <v>200.74399999994785</v>
      </c>
      <c r="ES356" s="6">
        <f t="shared" si="49"/>
        <v>8.3643333333311602</v>
      </c>
    </row>
    <row r="357" spans="1:149" ht="15.75" x14ac:dyDescent="0.25">
      <c r="A357" s="4">
        <v>44769</v>
      </c>
      <c r="B357" s="7">
        <v>266740.91899999999</v>
      </c>
      <c r="C357" s="5">
        <f t="shared" si="50"/>
        <v>3021.5360000000219</v>
      </c>
      <c r="D357" s="6">
        <f t="shared" si="40"/>
        <v>125.89733333333425</v>
      </c>
      <c r="F357" s="4">
        <v>44802</v>
      </c>
      <c r="G357" s="7">
        <v>369468.114</v>
      </c>
      <c r="H357" s="5">
        <f>G357-G356</f>
        <v>3676.2600000000093</v>
      </c>
      <c r="I357" s="6">
        <f t="shared" si="101"/>
        <v>150.07004166666593</v>
      </c>
      <c r="K357" s="4">
        <v>44831</v>
      </c>
      <c r="L357" s="7">
        <v>426177.06300000002</v>
      </c>
      <c r="M357" s="5">
        <f t="shared" si="127"/>
        <v>2169.9650000000256</v>
      </c>
      <c r="N357" s="6">
        <f t="shared" si="102"/>
        <v>90.415208333334405</v>
      </c>
      <c r="P357" s="4">
        <v>44861</v>
      </c>
      <c r="Q357" s="7">
        <v>506095.94799999997</v>
      </c>
      <c r="R357" s="5">
        <f t="shared" si="128"/>
        <v>2186.6119999999646</v>
      </c>
      <c r="S357" s="6">
        <f t="shared" si="103"/>
        <v>91.108833333331859</v>
      </c>
      <c r="U357" s="4">
        <v>44892</v>
      </c>
      <c r="V357" s="7">
        <v>583700.56200000003</v>
      </c>
      <c r="W357" s="5">
        <f t="shared" si="129"/>
        <v>2565.4120000000112</v>
      </c>
      <c r="X357" s="6">
        <f t="shared" si="104"/>
        <v>106.89216666666714</v>
      </c>
      <c r="Z357" s="4">
        <v>44922</v>
      </c>
      <c r="AA357" s="7">
        <v>629931.48199999996</v>
      </c>
      <c r="AB357" s="5">
        <f t="shared" si="130"/>
        <v>3050.7409999999218</v>
      </c>
      <c r="AC357" s="6">
        <f t="shared" si="105"/>
        <v>127.11420833333007</v>
      </c>
      <c r="AE357" s="4">
        <v>44953</v>
      </c>
      <c r="AF357" s="7">
        <v>667453.38</v>
      </c>
      <c r="AG357" s="5">
        <f t="shared" si="131"/>
        <v>413.83600000001024</v>
      </c>
      <c r="AH357" s="6">
        <f t="shared" si="106"/>
        <v>17.243166666667094</v>
      </c>
      <c r="AJ357" s="4">
        <v>44984</v>
      </c>
      <c r="AK357" s="7">
        <v>675880.70900000003</v>
      </c>
      <c r="AL357" s="5">
        <f t="shared" si="132"/>
        <v>229.76000000000931</v>
      </c>
      <c r="AM357" s="6">
        <f t="shared" si="107"/>
        <v>9.5733333333337214</v>
      </c>
      <c r="AO357" s="4">
        <v>45012</v>
      </c>
      <c r="AP357" s="7">
        <v>708846.576</v>
      </c>
      <c r="AQ357" s="5">
        <f t="shared" si="133"/>
        <v>3279.2449999999953</v>
      </c>
      <c r="AR357" s="6">
        <f t="shared" si="108"/>
        <v>136.63520833333314</v>
      </c>
      <c r="AT357" s="4">
        <v>45043</v>
      </c>
      <c r="AU357" s="7">
        <v>771774.772</v>
      </c>
      <c r="AV357" s="5">
        <f t="shared" ref="AV357" si="151">AU357-AU356</f>
        <v>0</v>
      </c>
      <c r="AW357" s="6">
        <f t="shared" si="109"/>
        <v>0</v>
      </c>
      <c r="AY357" s="4">
        <v>45073</v>
      </c>
      <c r="AZ357" s="7">
        <v>818760.73100000003</v>
      </c>
      <c r="BA357" s="5">
        <f t="shared" ref="BA357" si="152">AZ357-AZ356</f>
        <v>3302.0999999999767</v>
      </c>
      <c r="BB357" s="6">
        <f t="shared" si="110"/>
        <v>137.58749999999904</v>
      </c>
      <c r="BD357" s="4">
        <v>45104</v>
      </c>
      <c r="BE357" s="7">
        <v>899248.88899999997</v>
      </c>
      <c r="BF357" s="5">
        <f t="shared" ref="BF357" si="153">BE357-BE356</f>
        <v>3705.8319999999367</v>
      </c>
      <c r="BG357" s="6">
        <f t="shared" si="111"/>
        <v>154.40966666666404</v>
      </c>
      <c r="BI357" s="4">
        <v>45134</v>
      </c>
      <c r="BJ357" s="7">
        <v>4253.4409999999998</v>
      </c>
      <c r="BK357" s="5">
        <f>BJ357-BJ356</f>
        <v>3666.4290000000001</v>
      </c>
      <c r="BL357" s="6">
        <f t="shared" si="112"/>
        <v>152.767875</v>
      </c>
      <c r="BN357" s="4">
        <v>45165</v>
      </c>
      <c r="BO357" s="7">
        <v>110710.145</v>
      </c>
      <c r="BP357" s="5">
        <f>BO357-BO356</f>
        <v>3757.1840000000084</v>
      </c>
      <c r="BQ357" s="6">
        <f t="shared" si="113"/>
        <v>156.54933333333369</v>
      </c>
      <c r="BS357" s="4">
        <v>45196</v>
      </c>
      <c r="BT357" s="7">
        <v>185328.75099999999</v>
      </c>
      <c r="BU357" s="5">
        <f>BT357-BT356</f>
        <v>3428.4079999999958</v>
      </c>
      <c r="BV357" s="6">
        <f t="shared" si="114"/>
        <v>142.85033333333317</v>
      </c>
      <c r="BX357" s="4">
        <v>45226</v>
      </c>
      <c r="BY357" s="7">
        <f>271200+7000</f>
        <v>278200</v>
      </c>
      <c r="BZ357" s="5">
        <f t="shared" si="46"/>
        <v>3500</v>
      </c>
      <c r="CA357" s="6">
        <f t="shared" si="115"/>
        <v>145.83333333333334</v>
      </c>
      <c r="CC357" s="4">
        <v>45257</v>
      </c>
      <c r="CD357" s="5">
        <f t="shared" si="86"/>
        <v>384950</v>
      </c>
      <c r="CE357" s="5">
        <v>3500</v>
      </c>
      <c r="CF357" s="6">
        <f t="shared" si="116"/>
        <v>145.83333333333334</v>
      </c>
      <c r="CH357" s="4">
        <v>45287</v>
      </c>
      <c r="CI357" s="5">
        <f t="shared" si="87"/>
        <v>412175</v>
      </c>
      <c r="CJ357" s="5">
        <v>150</v>
      </c>
      <c r="CK357" s="6">
        <f t="shared" si="117"/>
        <v>6.25</v>
      </c>
      <c r="CM357" s="4">
        <v>45318</v>
      </c>
      <c r="CN357" s="5">
        <v>278018.85100000002</v>
      </c>
      <c r="CO357" s="5">
        <f>CN357-CN356</f>
        <v>397.33600000001024</v>
      </c>
      <c r="CP357" s="6">
        <f t="shared" si="118"/>
        <v>16.555666666667094</v>
      </c>
      <c r="CR357" s="4">
        <v>45349</v>
      </c>
      <c r="CS357" s="5">
        <v>329670.55599999998</v>
      </c>
      <c r="CT357" s="5">
        <f>CS357-CS356</f>
        <v>3670.5559999999823</v>
      </c>
      <c r="CU357" s="6">
        <f t="shared" si="119"/>
        <v>152.93983333333259</v>
      </c>
      <c r="CW357" s="4">
        <v>45378</v>
      </c>
      <c r="CX357" s="5">
        <v>385786.08600000001</v>
      </c>
      <c r="CY357" s="5">
        <f>CX357-CX356</f>
        <v>1279.1010000000242</v>
      </c>
      <c r="CZ357" s="6">
        <f t="shared" si="120"/>
        <v>53.295875000001011</v>
      </c>
      <c r="DB357" s="4">
        <v>45409</v>
      </c>
      <c r="DC357" s="5">
        <v>409416.76</v>
      </c>
      <c r="DD357" s="5">
        <f>DC357-DC356</f>
        <v>769.92800000001444</v>
      </c>
      <c r="DE357" s="6">
        <f t="shared" si="121"/>
        <v>32.080333333333932</v>
      </c>
      <c r="DG357" s="4">
        <v>45439</v>
      </c>
      <c r="DH357" s="5">
        <v>439498.18699999998</v>
      </c>
      <c r="DI357" s="5">
        <f>DH357-DH356</f>
        <v>145.90399999998044</v>
      </c>
      <c r="DJ357" s="6">
        <f t="shared" si="122"/>
        <v>6.0793333333325181</v>
      </c>
      <c r="DL357" s="4">
        <v>45470</v>
      </c>
      <c r="DM357" s="5">
        <v>489193.31599999999</v>
      </c>
      <c r="DN357" s="5">
        <f>DM357-DM356</f>
        <v>1983.3919999999925</v>
      </c>
      <c r="DO357" s="6">
        <f t="shared" si="123"/>
        <v>82.641333333333023</v>
      </c>
      <c r="DQ357" s="4">
        <v>45500</v>
      </c>
      <c r="DR357" s="5">
        <v>558539.35800000001</v>
      </c>
      <c r="DS357" s="5">
        <f>DR357-DR356</f>
        <v>3777.6800000000512</v>
      </c>
      <c r="DT357" s="6">
        <f t="shared" si="124"/>
        <v>157.40333333333547</v>
      </c>
      <c r="DV357" s="4">
        <v>45531</v>
      </c>
      <c r="DW357" s="5">
        <v>669796.81200000003</v>
      </c>
      <c r="DX357" s="5">
        <f>DW357-DW356</f>
        <v>3520.0570000000298</v>
      </c>
      <c r="DY357" s="6">
        <f t="shared" si="125"/>
        <v>146.66904166666791</v>
      </c>
      <c r="EA357" s="4">
        <v>45562</v>
      </c>
      <c r="EB357" s="5">
        <v>745050.87399999995</v>
      </c>
      <c r="EC357" s="5">
        <f>EB357-EB356</f>
        <v>3698.7079999999842</v>
      </c>
      <c r="ED357" s="6">
        <f t="shared" si="126"/>
        <v>154.11283333333267</v>
      </c>
      <c r="EF357" s="4">
        <v>45592</v>
      </c>
      <c r="EG357" s="5">
        <v>847676.87199999997</v>
      </c>
      <c r="EH357" s="5">
        <f t="shared" si="97"/>
        <v>3753.0679999999702</v>
      </c>
      <c r="EI357" s="6">
        <f t="shared" si="47"/>
        <v>156.37783333333209</v>
      </c>
      <c r="EK357" s="4">
        <v>45623</v>
      </c>
      <c r="EL357" s="5">
        <v>930600.08700000006</v>
      </c>
      <c r="EM357" s="5">
        <f t="shared" si="98"/>
        <v>92.592000000062399</v>
      </c>
      <c r="EN357" s="6">
        <f t="shared" si="48"/>
        <v>3.8580000000025998</v>
      </c>
      <c r="EP357" s="4">
        <v>45653</v>
      </c>
      <c r="EQ357" s="5">
        <v>953990.44099999999</v>
      </c>
      <c r="ER357" s="5">
        <f t="shared" si="143"/>
        <v>368.9440000000177</v>
      </c>
      <c r="ES357" s="6">
        <f t="shared" si="49"/>
        <v>15.372666666667405</v>
      </c>
    </row>
    <row r="358" spans="1:149" ht="15.75" x14ac:dyDescent="0.25">
      <c r="A358" s="4">
        <v>44770</v>
      </c>
      <c r="B358" s="7">
        <v>269459.06300000002</v>
      </c>
      <c r="C358" s="5">
        <f t="shared" si="50"/>
        <v>2718.1440000000293</v>
      </c>
      <c r="D358" s="6">
        <f t="shared" si="40"/>
        <v>113.25600000000122</v>
      </c>
      <c r="F358" s="4">
        <v>44803</v>
      </c>
      <c r="G358" s="8">
        <v>372982.647</v>
      </c>
      <c r="H358" s="5">
        <f t="shared" si="100"/>
        <v>3514.5329999999958</v>
      </c>
      <c r="I358" s="6">
        <f t="shared" si="101"/>
        <v>150.54933333333369</v>
      </c>
      <c r="K358" s="4">
        <v>44832</v>
      </c>
      <c r="L358" s="7">
        <v>429683.53499999997</v>
      </c>
      <c r="M358" s="5">
        <f t="shared" si="127"/>
        <v>3506.4719999999506</v>
      </c>
      <c r="N358" s="6">
        <f t="shared" si="102"/>
        <v>146.10299999999793</v>
      </c>
      <c r="P358" s="4">
        <v>44862</v>
      </c>
      <c r="Q358" s="7">
        <v>508472.7</v>
      </c>
      <c r="R358" s="5">
        <f t="shared" si="128"/>
        <v>2376.7520000000368</v>
      </c>
      <c r="S358" s="6">
        <f t="shared" si="103"/>
        <v>99.031333333334871</v>
      </c>
      <c r="U358" s="4">
        <v>44893</v>
      </c>
      <c r="V358" s="7">
        <v>586192.674</v>
      </c>
      <c r="W358" s="5">
        <f t="shared" si="129"/>
        <v>2492.1119999999646</v>
      </c>
      <c r="X358" s="6">
        <f t="shared" si="104"/>
        <v>103.83799999999853</v>
      </c>
      <c r="Z358" s="4">
        <v>44923</v>
      </c>
      <c r="AA358" s="7">
        <v>632487.87800000003</v>
      </c>
      <c r="AB358" s="5">
        <f t="shared" si="130"/>
        <v>2556.3960000000661</v>
      </c>
      <c r="AC358" s="6">
        <f t="shared" si="105"/>
        <v>106.51650000000275</v>
      </c>
      <c r="AE358" s="4">
        <v>44954</v>
      </c>
      <c r="AF358" s="7">
        <v>667902.20400000003</v>
      </c>
      <c r="AG358" s="5">
        <f t="shared" si="131"/>
        <v>448.82400000002235</v>
      </c>
      <c r="AH358" s="6">
        <f t="shared" si="106"/>
        <v>18.701000000000931</v>
      </c>
      <c r="AJ358" s="4">
        <v>44985</v>
      </c>
      <c r="AK358" s="7">
        <v>676159.31299999997</v>
      </c>
      <c r="AL358" s="5">
        <f t="shared" si="132"/>
        <v>278.60399999993388</v>
      </c>
      <c r="AM358" s="6">
        <f t="shared" si="107"/>
        <v>11.608499999997244</v>
      </c>
      <c r="AO358" s="4">
        <v>45013</v>
      </c>
      <c r="AP358" s="7">
        <v>709699.52</v>
      </c>
      <c r="AQ358" s="5">
        <f>AP358-AP357</f>
        <v>852.9440000000177</v>
      </c>
      <c r="AR358" s="6">
        <f t="shared" si="108"/>
        <v>35.539333333334071</v>
      </c>
      <c r="AT358" s="4">
        <v>45044</v>
      </c>
      <c r="AU358" s="7">
        <v>771978.75600000005</v>
      </c>
      <c r="AV358" s="5">
        <f>AU358-AU357</f>
        <v>203.98400000005495</v>
      </c>
      <c r="AW358" s="6">
        <f t="shared" si="109"/>
        <v>8.4993333333356222</v>
      </c>
      <c r="AY358" s="4">
        <v>45074</v>
      </c>
      <c r="AZ358" s="7">
        <v>822130.89199999999</v>
      </c>
      <c r="BA358" s="5">
        <f>AZ358-AZ357</f>
        <v>3370.1609999999637</v>
      </c>
      <c r="BB358" s="6">
        <f t="shared" si="110"/>
        <v>140.42337499999849</v>
      </c>
      <c r="BD358" s="4">
        <v>45105</v>
      </c>
      <c r="BE358" s="7">
        <v>902682.08100000001</v>
      </c>
      <c r="BF358" s="5">
        <f>BE358-BE357</f>
        <v>3433.1920000000391</v>
      </c>
      <c r="BG358" s="6">
        <f t="shared" si="111"/>
        <v>143.04966666666829</v>
      </c>
      <c r="BI358" s="4">
        <v>45135</v>
      </c>
      <c r="BJ358" s="7">
        <v>7749.4409999999998</v>
      </c>
      <c r="BK358" s="5">
        <f>BJ358-BJ357</f>
        <v>3496</v>
      </c>
      <c r="BL358" s="6">
        <f t="shared" si="112"/>
        <v>145.66666666666666</v>
      </c>
      <c r="BN358" s="4">
        <v>45166</v>
      </c>
      <c r="BO358" s="7">
        <v>114448.321</v>
      </c>
      <c r="BP358" s="5">
        <f>BO358-BO357</f>
        <v>3738.1759999999922</v>
      </c>
      <c r="BQ358" s="6">
        <f t="shared" si="113"/>
        <v>155.75733333333301</v>
      </c>
      <c r="BS358" s="4">
        <v>45197</v>
      </c>
      <c r="BT358" s="7">
        <v>188448.359</v>
      </c>
      <c r="BU358" s="5">
        <f>BT358-BT357</f>
        <v>3119.6080000000075</v>
      </c>
      <c r="BV358" s="6">
        <f t="shared" si="114"/>
        <v>129.98366666666698</v>
      </c>
      <c r="BX358" s="4">
        <v>45227</v>
      </c>
      <c r="BY358" s="7">
        <f>281700</f>
        <v>281700</v>
      </c>
      <c r="BZ358" s="5">
        <f t="shared" si="46"/>
        <v>3500</v>
      </c>
      <c r="CA358" s="6">
        <f t="shared" si="115"/>
        <v>145.83333333333334</v>
      </c>
      <c r="CC358" s="4">
        <v>45258</v>
      </c>
      <c r="CD358" s="5">
        <f t="shared" si="86"/>
        <v>388450</v>
      </c>
      <c r="CE358" s="5">
        <v>3500</v>
      </c>
      <c r="CF358" s="6">
        <f t="shared" si="116"/>
        <v>145.83333333333334</v>
      </c>
      <c r="CH358" s="4">
        <v>45288</v>
      </c>
      <c r="CI358" s="5">
        <f t="shared" si="87"/>
        <v>412325</v>
      </c>
      <c r="CJ358" s="5">
        <v>150</v>
      </c>
      <c r="CK358" s="6">
        <f t="shared" si="117"/>
        <v>6.25</v>
      </c>
      <c r="CM358" s="4">
        <v>45319</v>
      </c>
      <c r="CN358" s="5">
        <v>278299.18699999998</v>
      </c>
      <c r="CO358" s="5">
        <f>CN358-CN357</f>
        <v>280.33599999995204</v>
      </c>
      <c r="CP358" s="6">
        <f t="shared" si="118"/>
        <v>11.680666666664669</v>
      </c>
      <c r="CR358" s="4">
        <v>45350</v>
      </c>
      <c r="CS358" s="5">
        <v>332781.88</v>
      </c>
      <c r="CT358" s="5">
        <f>CS358-CS357</f>
        <v>3111.3240000000224</v>
      </c>
      <c r="CU358" s="6">
        <f t="shared" si="119"/>
        <v>129.63850000000093</v>
      </c>
      <c r="CW358" s="4">
        <v>45379</v>
      </c>
      <c r="CX358" s="5">
        <v>387060.64600000001</v>
      </c>
      <c r="CY358" s="5">
        <f>CX358-CX357</f>
        <v>1274.5599999999977</v>
      </c>
      <c r="CZ358" s="6">
        <f t="shared" si="120"/>
        <v>53.10666666666657</v>
      </c>
      <c r="DB358" s="4">
        <v>45410</v>
      </c>
      <c r="DC358" s="5">
        <v>410776.272</v>
      </c>
      <c r="DD358" s="5">
        <f>DC358-DC357</f>
        <v>1359.5119999999879</v>
      </c>
      <c r="DE358" s="6">
        <f t="shared" si="121"/>
        <v>56.646333333332826</v>
      </c>
      <c r="DG358" s="4">
        <v>45440</v>
      </c>
      <c r="DH358" s="5">
        <v>439587.71899999998</v>
      </c>
      <c r="DI358" s="5">
        <f>DH358-DH357</f>
        <v>89.532000000006519</v>
      </c>
      <c r="DJ358" s="6">
        <f t="shared" si="122"/>
        <v>3.7305000000002715</v>
      </c>
      <c r="DL358" s="4">
        <v>45471</v>
      </c>
      <c r="DM358" s="5">
        <v>491225.12</v>
      </c>
      <c r="DN358" s="5">
        <f>DM358-DM357</f>
        <v>2031.8040000000037</v>
      </c>
      <c r="DO358" s="6">
        <f t="shared" si="123"/>
        <v>84.65850000000016</v>
      </c>
      <c r="DQ358" s="4">
        <v>45501</v>
      </c>
      <c r="DR358" s="5">
        <v>562226.89899999998</v>
      </c>
      <c r="DS358" s="5">
        <f>DR358-DR357</f>
        <v>3687.5409999999683</v>
      </c>
      <c r="DT358" s="6">
        <f t="shared" si="124"/>
        <v>153.64754166666535</v>
      </c>
      <c r="DV358" s="4">
        <v>45532</v>
      </c>
      <c r="DW358" s="5">
        <v>673349.18799999997</v>
      </c>
      <c r="DX358" s="5">
        <f>DW358-DW357</f>
        <v>3552.3759999999311</v>
      </c>
      <c r="DY358" s="6">
        <f t="shared" si="125"/>
        <v>148.0156666666638</v>
      </c>
      <c r="EA358" s="4">
        <v>45563</v>
      </c>
      <c r="EB358" s="5">
        <v>748459.67</v>
      </c>
      <c r="EC358" s="5">
        <f>EB358-EB357</f>
        <v>3408.7960000000894</v>
      </c>
      <c r="ED358" s="6">
        <f t="shared" si="126"/>
        <v>142.03316666667038</v>
      </c>
      <c r="EF358" s="4">
        <v>45593</v>
      </c>
      <c r="EG358" s="5">
        <v>851624.13600000006</v>
      </c>
      <c r="EH358" s="5">
        <f t="shared" si="97"/>
        <v>3947.2640000000829</v>
      </c>
      <c r="EI358" s="6">
        <f t="shared" si="47"/>
        <v>164.46933333333678</v>
      </c>
      <c r="EK358" s="4">
        <v>45624</v>
      </c>
      <c r="EL358" s="5">
        <v>930844.85900000005</v>
      </c>
      <c r="EM358" s="5">
        <f t="shared" si="98"/>
        <v>244.77199999999721</v>
      </c>
      <c r="EN358" s="6">
        <f t="shared" si="48"/>
        <v>10.198833333333218</v>
      </c>
      <c r="EP358" s="4">
        <v>45654</v>
      </c>
      <c r="EQ358" s="5">
        <v>954180.76500000001</v>
      </c>
      <c r="ER358" s="5">
        <f t="shared" si="143"/>
        <v>190.32400000002235</v>
      </c>
      <c r="ES358" s="6">
        <f t="shared" si="49"/>
        <v>7.9301666666675983</v>
      </c>
    </row>
    <row r="359" spans="1:149" ht="15.75" x14ac:dyDescent="0.25">
      <c r="A359" s="4">
        <v>44771</v>
      </c>
      <c r="B359" s="7">
        <v>271945.071</v>
      </c>
      <c r="C359" s="5">
        <f t="shared" si="50"/>
        <v>2486.0079999999725</v>
      </c>
      <c r="D359" s="6">
        <f t="shared" si="40"/>
        <v>103.58366666666552</v>
      </c>
      <c r="F359" s="4">
        <v>44804</v>
      </c>
      <c r="G359" s="7">
        <v>376704.22700000001</v>
      </c>
      <c r="H359" s="5">
        <f t="shared" si="100"/>
        <v>3721.5800000000163</v>
      </c>
      <c r="I359" s="6">
        <f t="shared" si="101"/>
        <v>153.17750000000038</v>
      </c>
      <c r="K359" s="4">
        <v>44833</v>
      </c>
      <c r="L359" s="7">
        <v>432657.52299999999</v>
      </c>
      <c r="M359" s="5">
        <f>L359-L358</f>
        <v>2973.9880000000121</v>
      </c>
      <c r="N359" s="6">
        <f t="shared" si="102"/>
        <v>123.91616666666717</v>
      </c>
      <c r="P359" s="4">
        <v>44863</v>
      </c>
      <c r="Q359" s="7">
        <v>510069.44900000002</v>
      </c>
      <c r="R359" s="5">
        <f>Q359-Q358</f>
        <v>1596.7490000000107</v>
      </c>
      <c r="S359" s="6">
        <f t="shared" si="103"/>
        <v>66.53120833333378</v>
      </c>
      <c r="U359" s="4">
        <v>44894</v>
      </c>
      <c r="V359" s="7">
        <v>587201.13899999997</v>
      </c>
      <c r="W359" s="5">
        <f>V359-V358</f>
        <v>1008.4649999999674</v>
      </c>
      <c r="X359" s="6">
        <f t="shared" si="104"/>
        <v>42.019374999998639</v>
      </c>
      <c r="Z359" s="4">
        <v>44924</v>
      </c>
      <c r="AA359" s="7">
        <v>635110.29399999999</v>
      </c>
      <c r="AB359" s="5">
        <f>AA359-AA358</f>
        <v>2622.4159999999683</v>
      </c>
      <c r="AC359" s="6">
        <f t="shared" si="105"/>
        <v>109.26733333333202</v>
      </c>
      <c r="AE359" s="4">
        <v>44955</v>
      </c>
      <c r="AF359" s="7">
        <v>668357.74800000002</v>
      </c>
      <c r="AG359" s="5">
        <f>AF359-AF358</f>
        <v>455.54399999999441</v>
      </c>
      <c r="AH359" s="6">
        <f t="shared" si="106"/>
        <v>18.980999999999767</v>
      </c>
      <c r="AJ359" s="4"/>
      <c r="AK359" s="7"/>
      <c r="AL359" s="5"/>
      <c r="AM359" s="6"/>
      <c r="AO359" s="4">
        <v>45014</v>
      </c>
      <c r="AP359" s="7">
        <v>711231.06799999997</v>
      </c>
      <c r="AQ359" s="5">
        <f t="shared" si="133"/>
        <v>1531.5479999999516</v>
      </c>
      <c r="AR359" s="6">
        <f t="shared" si="108"/>
        <v>63.814499999997985</v>
      </c>
      <c r="AT359" s="4">
        <v>45045</v>
      </c>
      <c r="AU359" s="7">
        <v>772050.66399999999</v>
      </c>
      <c r="AV359" s="5">
        <f t="shared" ref="AV359:AV360" si="154">AU359-AU358</f>
        <v>71.907999999937601</v>
      </c>
      <c r="AW359" s="6">
        <f t="shared" si="109"/>
        <v>2.9961666666640667</v>
      </c>
      <c r="AY359" s="4">
        <v>45075</v>
      </c>
      <c r="AZ359" s="7">
        <v>825417.13199999998</v>
      </c>
      <c r="BA359" s="5">
        <f t="shared" ref="BA359:BA361" si="155">AZ359-AZ358</f>
        <v>3286.2399999999907</v>
      </c>
      <c r="BB359" s="6">
        <f t="shared" si="110"/>
        <v>136.92666666666628</v>
      </c>
      <c r="BD359" s="4">
        <v>45106</v>
      </c>
      <c r="BE359" s="7">
        <v>906312.924</v>
      </c>
      <c r="BF359" s="5">
        <f t="shared" ref="BF359:BF360" si="156">BE359-BE358</f>
        <v>3630.8429999999935</v>
      </c>
      <c r="BG359" s="6">
        <f t="shared" si="111"/>
        <v>151.28512499999974</v>
      </c>
      <c r="BI359" s="4">
        <v>45136</v>
      </c>
      <c r="BJ359" s="7">
        <v>11343.665000000001</v>
      </c>
      <c r="BK359" s="5">
        <f t="shared" ref="BK359:BK361" si="157">BJ359-BJ358</f>
        <v>3594.2240000000011</v>
      </c>
      <c r="BL359" s="6">
        <f t="shared" si="112"/>
        <v>149.75933333333339</v>
      </c>
      <c r="BN359" s="4">
        <v>45167</v>
      </c>
      <c r="BO359" s="7">
        <v>118074.533</v>
      </c>
      <c r="BP359" s="5">
        <f t="shared" ref="BP359:BP361" si="158">BO359-BO358</f>
        <v>3626.2119999999995</v>
      </c>
      <c r="BQ359" s="6">
        <f t="shared" si="113"/>
        <v>151.09216666666666</v>
      </c>
      <c r="BS359" s="4">
        <v>45198</v>
      </c>
      <c r="BT359" s="7">
        <v>191499.859</v>
      </c>
      <c r="BU359" s="5">
        <f t="shared" ref="BU359:BU360" si="159">BT359-BT358</f>
        <v>3051.5</v>
      </c>
      <c r="BV359" s="6">
        <f t="shared" si="114"/>
        <v>127.14583333333333</v>
      </c>
      <c r="BX359" s="4">
        <v>45228</v>
      </c>
      <c r="BY359" s="7">
        <v>285200</v>
      </c>
      <c r="BZ359" s="5">
        <f t="shared" si="46"/>
        <v>3500</v>
      </c>
      <c r="CA359" s="6">
        <f t="shared" si="115"/>
        <v>145.83333333333334</v>
      </c>
      <c r="CC359" s="4">
        <v>45259</v>
      </c>
      <c r="CD359" s="5">
        <f>CD358+CE359</f>
        <v>391950</v>
      </c>
      <c r="CE359" s="5">
        <v>3500</v>
      </c>
      <c r="CF359" s="6">
        <f t="shared" si="116"/>
        <v>145.83333333333334</v>
      </c>
      <c r="CH359" s="4">
        <v>45289</v>
      </c>
      <c r="CI359" s="5">
        <f t="shared" si="87"/>
        <v>412475</v>
      </c>
      <c r="CJ359" s="5">
        <v>150</v>
      </c>
      <c r="CK359" s="6">
        <f t="shared" si="117"/>
        <v>6.25</v>
      </c>
      <c r="CM359" s="4">
        <v>45320</v>
      </c>
      <c r="CN359" s="5">
        <v>278836.23100000003</v>
      </c>
      <c r="CO359" s="5">
        <f t="shared" si="88"/>
        <v>537.04400000005262</v>
      </c>
      <c r="CP359" s="6">
        <f t="shared" si="118"/>
        <v>22.376833333335526</v>
      </c>
      <c r="CR359" s="4">
        <v>45351</v>
      </c>
      <c r="CS359" s="5">
        <v>336032.08889999997</v>
      </c>
      <c r="CT359" s="5">
        <f t="shared" ref="CT359:CT361" si="160">CS359-CS358</f>
        <v>3250.2088999999687</v>
      </c>
      <c r="CU359" s="6">
        <f t="shared" si="119"/>
        <v>135.42537083333204</v>
      </c>
      <c r="CW359" s="4">
        <v>45380</v>
      </c>
      <c r="CX359" s="5">
        <v>390233.68199999997</v>
      </c>
      <c r="CY359" s="5">
        <f t="shared" ref="CY359:CY360" si="161">CX359-CX358</f>
        <v>3173.0359999999637</v>
      </c>
      <c r="CZ359" s="6">
        <f t="shared" si="120"/>
        <v>132.20983333333183</v>
      </c>
      <c r="DB359" s="4">
        <v>45411</v>
      </c>
      <c r="DC359" s="5">
        <v>413301.10800000001</v>
      </c>
      <c r="DD359" s="5">
        <f t="shared" ref="DD359:DD360" si="162">DC359-DC358</f>
        <v>2524.8360000000102</v>
      </c>
      <c r="DE359" s="6">
        <f t="shared" si="121"/>
        <v>105.20150000000042</v>
      </c>
      <c r="DG359" s="4">
        <v>45441</v>
      </c>
      <c r="DH359" s="5">
        <v>439758.41499999998</v>
      </c>
      <c r="DI359" s="5">
        <f t="shared" ref="DI359:DI361" si="163">DH359-DH358</f>
        <v>170.69599999999627</v>
      </c>
      <c r="DJ359" s="6">
        <f t="shared" si="122"/>
        <v>7.1123333333331784</v>
      </c>
      <c r="DL359" s="4">
        <v>45472</v>
      </c>
      <c r="DM359" s="5">
        <v>493161.89600000001</v>
      </c>
      <c r="DN359" s="5">
        <f t="shared" ref="DN359:DN360" si="164">DM359-DM358</f>
        <v>1936.7760000000126</v>
      </c>
      <c r="DO359" s="6">
        <f t="shared" si="123"/>
        <v>80.699000000000524</v>
      </c>
      <c r="DQ359" s="4">
        <v>45502</v>
      </c>
      <c r="DR359" s="5">
        <v>565757.65899999999</v>
      </c>
      <c r="DS359" s="5">
        <f t="shared" ref="DS359:DS361" si="165">DR359-DR358</f>
        <v>3530.7600000000093</v>
      </c>
      <c r="DT359" s="6">
        <f t="shared" si="124"/>
        <v>147.11500000000038</v>
      </c>
      <c r="DV359" s="4">
        <v>45533</v>
      </c>
      <c r="DW359" s="5">
        <v>676820.42799999996</v>
      </c>
      <c r="DX359" s="5">
        <f t="shared" ref="DX359:DX361" si="166">DW359-DW358</f>
        <v>3471.2399999999907</v>
      </c>
      <c r="DY359" s="6">
        <f t="shared" si="125"/>
        <v>144.63499999999962</v>
      </c>
      <c r="EA359" s="4">
        <v>45564</v>
      </c>
      <c r="EB359" s="5">
        <v>751935.17099999997</v>
      </c>
      <c r="EC359" s="5">
        <f t="shared" ref="EC359:EC360" si="167">EB359-EB358</f>
        <v>3475.5009999999311</v>
      </c>
      <c r="ED359" s="6">
        <f t="shared" si="126"/>
        <v>144.8125416666638</v>
      </c>
      <c r="EF359" s="4">
        <v>45594</v>
      </c>
      <c r="EG359" s="5">
        <v>855191.03300000005</v>
      </c>
      <c r="EH359" s="5">
        <f t="shared" si="97"/>
        <v>3566.8969999999972</v>
      </c>
      <c r="EI359" s="6">
        <f t="shared" si="47"/>
        <v>148.62070833333323</v>
      </c>
      <c r="EK359" s="4">
        <v>45625</v>
      </c>
      <c r="EL359" s="5">
        <v>931210.78300000005</v>
      </c>
      <c r="EM359" s="5">
        <f t="shared" si="98"/>
        <v>365.92399999999907</v>
      </c>
      <c r="EN359" s="6">
        <f t="shared" si="48"/>
        <v>15.246833333333294</v>
      </c>
      <c r="EP359" s="4">
        <v>45655</v>
      </c>
      <c r="EQ359" s="5">
        <v>954472.41700000002</v>
      </c>
      <c r="ER359" s="5">
        <f t="shared" si="143"/>
        <v>291.65200000000186</v>
      </c>
      <c r="ES359" s="6">
        <f t="shared" si="49"/>
        <v>12.152166666666744</v>
      </c>
    </row>
    <row r="360" spans="1:149" ht="16.149999999999999" customHeight="1" x14ac:dyDescent="0.25">
      <c r="A360" s="4">
        <v>44772</v>
      </c>
      <c r="B360" s="8">
        <v>275335.53200000001</v>
      </c>
      <c r="C360" s="5">
        <f t="shared" si="50"/>
        <v>3390.4610000000102</v>
      </c>
      <c r="D360" s="6">
        <f t="shared" si="40"/>
        <v>141.26920833333375</v>
      </c>
      <c r="H360" s="5">
        <f>SUM(H329:H359)</f>
        <v>98116.522999999986</v>
      </c>
      <c r="I360" s="6">
        <f t="shared" si="101"/>
        <v>146.43887499999983</v>
      </c>
      <c r="K360" s="4">
        <v>44834</v>
      </c>
      <c r="L360" s="8">
        <v>435550.42300000001</v>
      </c>
      <c r="M360" s="5">
        <f t="shared" ref="M360" si="168">L360-L359</f>
        <v>2892.9000000000233</v>
      </c>
      <c r="N360" s="6">
        <f t="shared" si="102"/>
        <v>120.53750000000097</v>
      </c>
      <c r="P360" s="4">
        <v>44864</v>
      </c>
      <c r="Q360" s="8">
        <v>513732.60100000002</v>
      </c>
      <c r="R360" s="5">
        <f t="shared" ref="R360:R361" si="169">Q360-Q359</f>
        <v>3663.1520000000019</v>
      </c>
      <c r="S360" s="6">
        <f t="shared" si="103"/>
        <v>152.6313333333334</v>
      </c>
      <c r="U360" s="4">
        <v>44895</v>
      </c>
      <c r="V360" s="8">
        <v>587201.13899999997</v>
      </c>
      <c r="W360" s="5">
        <f>V360-V359</f>
        <v>0</v>
      </c>
      <c r="X360" s="6">
        <f t="shared" si="104"/>
        <v>0</v>
      </c>
      <c r="Z360" s="4">
        <v>44925</v>
      </c>
      <c r="AA360" s="8">
        <v>636662.11399999994</v>
      </c>
      <c r="AB360" s="5">
        <f t="shared" ref="AB360:AB361" si="170">AA360-AA359</f>
        <v>1551.8199999999488</v>
      </c>
      <c r="AC360" s="6">
        <f t="shared" si="105"/>
        <v>64.659166666664532</v>
      </c>
      <c r="AE360" s="4">
        <v>44956</v>
      </c>
      <c r="AF360" s="7">
        <v>668629.78</v>
      </c>
      <c r="AG360" s="5">
        <f t="shared" ref="AG360:AG361" si="171">AF360-AF359</f>
        <v>272.03200000000652</v>
      </c>
      <c r="AH360" s="6">
        <f t="shared" si="106"/>
        <v>11.334666666666939</v>
      </c>
      <c r="AJ360" s="4"/>
      <c r="AK360" s="8"/>
      <c r="AL360" s="5"/>
      <c r="AM360" s="6"/>
      <c r="AO360" s="4">
        <v>45015</v>
      </c>
      <c r="AP360" s="8">
        <v>712237.50399999996</v>
      </c>
      <c r="AQ360" s="5">
        <f t="shared" si="133"/>
        <v>1006.435999999987</v>
      </c>
      <c r="AR360" s="6">
        <f t="shared" si="108"/>
        <v>41.93483333333279</v>
      </c>
      <c r="AT360" s="4">
        <v>45046</v>
      </c>
      <c r="AU360" s="8">
        <v>772986.44799999997</v>
      </c>
      <c r="AV360" s="5">
        <f t="shared" si="154"/>
        <v>935.7839999999851</v>
      </c>
      <c r="AW360" s="6">
        <f t="shared" si="109"/>
        <v>38.990999999999381</v>
      </c>
      <c r="AY360" s="4">
        <v>45076</v>
      </c>
      <c r="AZ360" s="7">
        <v>828851.38</v>
      </c>
      <c r="BA360" s="5">
        <f t="shared" si="155"/>
        <v>3434.2480000000214</v>
      </c>
      <c r="BB360" s="6">
        <f t="shared" si="110"/>
        <v>143.09366666666756</v>
      </c>
      <c r="BD360" s="4">
        <v>45107</v>
      </c>
      <c r="BE360" s="7">
        <v>909849.46600000001</v>
      </c>
      <c r="BF360" s="5">
        <f t="shared" si="156"/>
        <v>3536.5420000000158</v>
      </c>
      <c r="BG360" s="6">
        <f t="shared" si="111"/>
        <v>147.35591666666733</v>
      </c>
      <c r="BI360" s="4">
        <v>45137</v>
      </c>
      <c r="BJ360" s="7">
        <v>14977.401</v>
      </c>
      <c r="BK360" s="5">
        <f t="shared" si="157"/>
        <v>3633.735999999999</v>
      </c>
      <c r="BL360" s="6">
        <f t="shared" si="112"/>
        <v>151.40566666666663</v>
      </c>
      <c r="BN360" s="4">
        <v>45168</v>
      </c>
      <c r="BO360" s="7">
        <v>121792.586</v>
      </c>
      <c r="BP360" s="5">
        <f t="shared" si="158"/>
        <v>3718.0529999999999</v>
      </c>
      <c r="BQ360" s="6">
        <f t="shared" si="113"/>
        <v>154.91887499999999</v>
      </c>
      <c r="BS360" s="4">
        <v>45199</v>
      </c>
      <c r="BT360" s="7">
        <v>194461.068</v>
      </c>
      <c r="BU360" s="5">
        <f t="shared" si="159"/>
        <v>2961.2090000000026</v>
      </c>
      <c r="BV360" s="6">
        <f t="shared" si="114"/>
        <v>123.38370833333344</v>
      </c>
      <c r="BX360" s="4">
        <v>45229</v>
      </c>
      <c r="BY360" s="7">
        <v>288700</v>
      </c>
      <c r="BZ360" s="5">
        <f t="shared" si="46"/>
        <v>3500</v>
      </c>
      <c r="CA360" s="6">
        <f t="shared" si="115"/>
        <v>145.83333333333334</v>
      </c>
      <c r="CC360" s="4">
        <v>45260</v>
      </c>
      <c r="CD360" s="5">
        <f t="shared" si="86"/>
        <v>395450</v>
      </c>
      <c r="CE360" s="5">
        <v>3500</v>
      </c>
      <c r="CF360" s="6">
        <f t="shared" si="116"/>
        <v>145.83333333333334</v>
      </c>
      <c r="CH360" s="4">
        <v>45290</v>
      </c>
      <c r="CI360" s="5">
        <f t="shared" si="87"/>
        <v>412625</v>
      </c>
      <c r="CJ360" s="5">
        <v>150</v>
      </c>
      <c r="CK360" s="6">
        <f t="shared" si="117"/>
        <v>6.25</v>
      </c>
      <c r="CM360" s="4">
        <v>45321</v>
      </c>
      <c r="CN360" s="5">
        <v>280249.97899999999</v>
      </c>
      <c r="CO360" s="5">
        <f t="shared" si="88"/>
        <v>1413.7479999999632</v>
      </c>
      <c r="CP360" s="6">
        <f t="shared" si="118"/>
        <v>58.906166666665136</v>
      </c>
      <c r="CR360" s="4"/>
      <c r="CS360" s="5"/>
      <c r="CT360" s="5"/>
      <c r="CU360" s="6">
        <f t="shared" si="119"/>
        <v>0</v>
      </c>
      <c r="CW360" s="4">
        <v>45381</v>
      </c>
      <c r="CX360" s="5">
        <v>391257.93</v>
      </c>
      <c r="CY360" s="5">
        <f t="shared" si="161"/>
        <v>1024.2480000000214</v>
      </c>
      <c r="CZ360" s="6">
        <f t="shared" si="120"/>
        <v>42.677000000000895</v>
      </c>
      <c r="DB360" s="4">
        <v>45412</v>
      </c>
      <c r="DC360" s="5">
        <v>414387.228</v>
      </c>
      <c r="DD360" s="5">
        <f t="shared" si="162"/>
        <v>1086.1199999999953</v>
      </c>
      <c r="DE360" s="6">
        <f t="shared" si="121"/>
        <v>45.254999999999804</v>
      </c>
      <c r="DG360" s="4">
        <v>45442</v>
      </c>
      <c r="DH360" s="5">
        <v>441028.56699999998</v>
      </c>
      <c r="DI360" s="5">
        <f t="shared" si="163"/>
        <v>1270.1520000000019</v>
      </c>
      <c r="DJ360" s="6">
        <f t="shared" si="122"/>
        <v>52.92300000000008</v>
      </c>
      <c r="DL360" s="4">
        <v>45473</v>
      </c>
      <c r="DM360" s="5">
        <v>494798.288</v>
      </c>
      <c r="DN360" s="5">
        <f t="shared" si="164"/>
        <v>1636.3919999999925</v>
      </c>
      <c r="DO360" s="6">
        <f t="shared" si="123"/>
        <v>68.182999999999694</v>
      </c>
      <c r="DQ360" s="4">
        <v>45503</v>
      </c>
      <c r="DR360" s="5">
        <v>569477.68700000003</v>
      </c>
      <c r="DS360" s="5">
        <f t="shared" si="165"/>
        <v>3720.0280000000494</v>
      </c>
      <c r="DT360" s="6">
        <f t="shared" si="124"/>
        <v>155.00116666666872</v>
      </c>
      <c r="DV360" s="4">
        <v>45534</v>
      </c>
      <c r="DW360" s="5">
        <v>680177.19200000004</v>
      </c>
      <c r="DX360" s="5">
        <f t="shared" si="166"/>
        <v>3356.7640000000829</v>
      </c>
      <c r="DY360" s="6">
        <f t="shared" si="125"/>
        <v>139.86516666667012</v>
      </c>
      <c r="EA360" s="4">
        <v>45565</v>
      </c>
      <c r="EB360" s="5">
        <v>755372.81900000002</v>
      </c>
      <c r="EC360" s="5">
        <f t="shared" si="167"/>
        <v>3437.6480000000447</v>
      </c>
      <c r="ED360" s="6">
        <f t="shared" si="126"/>
        <v>143.23533333333521</v>
      </c>
      <c r="EF360" s="4">
        <v>45595</v>
      </c>
      <c r="EG360" s="5">
        <v>858935.23699999996</v>
      </c>
      <c r="EH360" s="5">
        <f t="shared" si="97"/>
        <v>3744.2039999999106</v>
      </c>
      <c r="EI360" s="6">
        <f t="shared" si="47"/>
        <v>156.00849999999627</v>
      </c>
      <c r="EK360" s="4">
        <v>45626</v>
      </c>
      <c r="EL360" s="5">
        <v>931338.54700000002</v>
      </c>
      <c r="EM360" s="5">
        <f t="shared" si="98"/>
        <v>127.76399999996647</v>
      </c>
      <c r="EN360" s="6">
        <f t="shared" si="48"/>
        <v>5.323499999998603</v>
      </c>
      <c r="EP360" s="4">
        <v>45656</v>
      </c>
      <c r="EQ360" s="5">
        <v>954602.40500000003</v>
      </c>
      <c r="ER360" s="5">
        <f t="shared" si="143"/>
        <v>129.98800000001211</v>
      </c>
      <c r="ES360" s="6">
        <f t="shared" si="49"/>
        <v>5.4161666666671708</v>
      </c>
    </row>
    <row r="361" spans="1:149" ht="18.600000000000001" customHeight="1" x14ac:dyDescent="0.25">
      <c r="A361" s="4">
        <v>44773</v>
      </c>
      <c r="B361" s="7">
        <v>278587.70400000003</v>
      </c>
      <c r="C361" s="5">
        <f t="shared" si="50"/>
        <v>3252.1720000000205</v>
      </c>
      <c r="D361" s="6">
        <f t="shared" si="40"/>
        <v>135.50716666666753</v>
      </c>
      <c r="I361" s="6">
        <f t="shared" si="101"/>
        <v>155.06583333333401</v>
      </c>
      <c r="K361" s="4"/>
      <c r="L361" s="7"/>
      <c r="M361" s="5"/>
      <c r="N361" s="6"/>
      <c r="P361" s="4">
        <v>44865</v>
      </c>
      <c r="Q361" s="7">
        <v>514501.07699999999</v>
      </c>
      <c r="R361" s="5">
        <f t="shared" si="169"/>
        <v>768.47599999996601</v>
      </c>
      <c r="S361" s="6">
        <f t="shared" si="103"/>
        <v>32.019833333331917</v>
      </c>
      <c r="U361" s="4"/>
      <c r="V361" s="7"/>
      <c r="W361" s="5"/>
      <c r="X361" s="6"/>
      <c r="Z361" s="4">
        <v>44926</v>
      </c>
      <c r="AA361" s="7">
        <v>637081.89800000004</v>
      </c>
      <c r="AB361" s="5">
        <f t="shared" si="170"/>
        <v>419.78400000010151</v>
      </c>
      <c r="AC361" s="6">
        <f t="shared" si="105"/>
        <v>17.491000000004231</v>
      </c>
      <c r="AE361" s="4">
        <v>44957</v>
      </c>
      <c r="AF361" s="7">
        <v>668885.76000000001</v>
      </c>
      <c r="AG361" s="5">
        <f t="shared" si="171"/>
        <v>255.97999999998137</v>
      </c>
      <c r="AH361" s="6">
        <f t="shared" si="106"/>
        <v>10.665833333332557</v>
      </c>
      <c r="AJ361" s="4"/>
      <c r="AK361" s="7"/>
      <c r="AL361" s="5"/>
      <c r="AM361" s="6"/>
      <c r="AO361" s="4">
        <v>45016</v>
      </c>
      <c r="AP361" s="7">
        <v>715084.32</v>
      </c>
      <c r="AQ361" s="5">
        <f t="shared" si="133"/>
        <v>2846.8159999999916</v>
      </c>
      <c r="AR361" s="6">
        <f t="shared" si="108"/>
        <v>118.61733333333298</v>
      </c>
      <c r="AT361" s="4"/>
      <c r="AU361" s="7"/>
      <c r="AV361" s="5"/>
      <c r="AW361" s="6"/>
      <c r="AY361" s="4">
        <v>45077</v>
      </c>
      <c r="AZ361" s="7">
        <v>831959.46400000004</v>
      </c>
      <c r="BA361" s="5">
        <f t="shared" si="155"/>
        <v>3108.0840000000317</v>
      </c>
      <c r="BB361" s="6">
        <f t="shared" si="110"/>
        <v>129.50350000000131</v>
      </c>
      <c r="BD361" s="4"/>
      <c r="BE361" s="7"/>
      <c r="BF361" s="5"/>
      <c r="BG361" s="6">
        <f t="shared" si="111"/>
        <v>0</v>
      </c>
      <c r="BI361" s="4">
        <v>45138</v>
      </c>
      <c r="BJ361" s="7">
        <v>18541.058000000001</v>
      </c>
      <c r="BK361" s="5">
        <f t="shared" si="157"/>
        <v>3563.6570000000011</v>
      </c>
      <c r="BL361" s="6">
        <f t="shared" si="112"/>
        <v>148.48570833333338</v>
      </c>
      <c r="BN361" s="4">
        <v>45169</v>
      </c>
      <c r="BO361" s="7">
        <v>125533.658</v>
      </c>
      <c r="BP361" s="5">
        <f t="shared" si="158"/>
        <v>3741.0720000000001</v>
      </c>
      <c r="BQ361" s="6">
        <f t="shared" si="113"/>
        <v>155.87800000000001</v>
      </c>
      <c r="BS361" s="4"/>
      <c r="BT361" s="7"/>
      <c r="BU361" s="5">
        <f>0</f>
        <v>0</v>
      </c>
      <c r="BV361" s="6">
        <f t="shared" si="114"/>
        <v>0</v>
      </c>
      <c r="BX361" s="4">
        <v>45230</v>
      </c>
      <c r="BY361" s="7">
        <v>292200</v>
      </c>
      <c r="BZ361" s="5">
        <f>BY361-BY360</f>
        <v>3500</v>
      </c>
      <c r="CA361" s="6">
        <f t="shared" si="115"/>
        <v>145.83333333333334</v>
      </c>
      <c r="CC361" s="4"/>
      <c r="CD361" s="7"/>
      <c r="CE361" s="5">
        <f>0</f>
        <v>0</v>
      </c>
      <c r="CF361" s="6">
        <f t="shared" si="116"/>
        <v>0</v>
      </c>
      <c r="CH361" s="4">
        <v>45291</v>
      </c>
      <c r="CI361" s="5">
        <f t="shared" si="87"/>
        <v>412775</v>
      </c>
      <c r="CJ361" s="5">
        <v>150</v>
      </c>
      <c r="CK361" s="6">
        <f t="shared" si="117"/>
        <v>6.25</v>
      </c>
      <c r="CM361" s="4">
        <v>45322</v>
      </c>
      <c r="CN361" s="5">
        <v>281941.772</v>
      </c>
      <c r="CO361" s="5">
        <f t="shared" si="88"/>
        <v>1691.7930000000051</v>
      </c>
      <c r="CP361" s="6">
        <f t="shared" si="118"/>
        <v>70.491375000000218</v>
      </c>
      <c r="CR361" s="4"/>
      <c r="CS361" s="5"/>
      <c r="CT361" s="5">
        <f t="shared" si="160"/>
        <v>0</v>
      </c>
      <c r="CU361" s="6">
        <f t="shared" si="119"/>
        <v>0</v>
      </c>
      <c r="CW361" s="4">
        <v>45382</v>
      </c>
      <c r="CX361" s="5">
        <v>392261.99800000002</v>
      </c>
      <c r="CY361" s="5">
        <f t="shared" ref="CY361" si="172">CX361-CX360</f>
        <v>1004.0680000000284</v>
      </c>
      <c r="CZ361" s="6">
        <f t="shared" si="120"/>
        <v>41.83616666666785</v>
      </c>
      <c r="DB361" s="4"/>
      <c r="DC361" s="5"/>
      <c r="DD361" s="5"/>
      <c r="DE361" s="6">
        <f t="shared" si="121"/>
        <v>0</v>
      </c>
      <c r="DG361" s="4">
        <v>45443</v>
      </c>
      <c r="DH361" s="5">
        <v>442342.57900000003</v>
      </c>
      <c r="DI361" s="5">
        <f t="shared" si="163"/>
        <v>1314.0120000000461</v>
      </c>
      <c r="DJ361" s="6">
        <f t="shared" si="122"/>
        <v>54.750500000001921</v>
      </c>
      <c r="DL361" s="4"/>
      <c r="DM361" s="5"/>
      <c r="DN361" s="5">
        <v>0</v>
      </c>
      <c r="DO361" s="6">
        <f t="shared" si="123"/>
        <v>0</v>
      </c>
      <c r="DQ361" s="4">
        <v>45504</v>
      </c>
      <c r="DR361" s="5">
        <v>573649.11199999996</v>
      </c>
      <c r="DS361" s="5">
        <f t="shared" si="165"/>
        <v>4171.4249999999302</v>
      </c>
      <c r="DT361" s="6">
        <f t="shared" si="124"/>
        <v>173.80937499999709</v>
      </c>
      <c r="DV361" s="4">
        <v>45535</v>
      </c>
      <c r="DW361" s="5">
        <v>683963.00100000005</v>
      </c>
      <c r="DX361" s="5">
        <f t="shared" si="166"/>
        <v>3785.8090000000084</v>
      </c>
      <c r="DY361" s="6">
        <f t="shared" si="125"/>
        <v>157.74204166666701</v>
      </c>
      <c r="EA361" s="4"/>
      <c r="EB361" s="5"/>
      <c r="EC361" s="5"/>
      <c r="ED361" s="6">
        <f t="shared" si="126"/>
        <v>0</v>
      </c>
      <c r="EF361" s="4">
        <v>45596</v>
      </c>
      <c r="EG361" s="5">
        <v>862769.19700000004</v>
      </c>
      <c r="EH361" s="5">
        <f t="shared" si="97"/>
        <v>3833.9600000000792</v>
      </c>
      <c r="EI361" s="6">
        <f t="shared" si="47"/>
        <v>159.74833333333663</v>
      </c>
      <c r="EK361" s="4"/>
      <c r="EL361" s="5"/>
      <c r="EM361" s="5"/>
      <c r="EN361" s="6"/>
      <c r="EP361" s="4">
        <v>45657</v>
      </c>
      <c r="EQ361" s="5">
        <v>955085.03300000005</v>
      </c>
      <c r="ER361" s="5">
        <f t="shared" si="143"/>
        <v>482.62800000002608</v>
      </c>
      <c r="ES361" s="6">
        <f t="shared" si="49"/>
        <v>20.109500000001088</v>
      </c>
    </row>
    <row r="362" spans="1:149" ht="15.75" x14ac:dyDescent="0.25">
      <c r="C362" s="5">
        <f>SUM(C331:C361)</f>
        <v>66715.541000000027</v>
      </c>
      <c r="D362" s="6">
        <f t="shared" si="40"/>
        <v>2779.8142083333346</v>
      </c>
      <c r="I362" s="6">
        <f t="shared" si="101"/>
        <v>4088.1884583333326</v>
      </c>
      <c r="M362" s="5">
        <f>SUM(M331:M360)</f>
        <v>58846.195999999996</v>
      </c>
      <c r="N362" s="6">
        <f t="shared" si="102"/>
        <v>2451.924833333333</v>
      </c>
      <c r="R362" s="5">
        <f>SUM(R331:R360)</f>
        <v>78182.178000000014</v>
      </c>
      <c r="S362" s="6">
        <f t="shared" ref="S362" si="173">R362/24</f>
        <v>3257.5907500000008</v>
      </c>
      <c r="W362" s="5">
        <f>SUM(W331:W360)</f>
        <v>72700.061999999976</v>
      </c>
      <c r="X362" s="6">
        <f t="shared" si="104"/>
        <v>3029.169249999999</v>
      </c>
      <c r="AB362" s="5">
        <f>SUM(AB331:AB360)</f>
        <v>49460.974999999977</v>
      </c>
      <c r="AC362" s="6">
        <f t="shared" si="105"/>
        <v>2060.8739583333322</v>
      </c>
      <c r="AG362" s="5">
        <f>SUM(AG331:AG360)</f>
        <v>31547.881999999983</v>
      </c>
      <c r="AH362" s="6">
        <f t="shared" si="106"/>
        <v>1314.4950833333326</v>
      </c>
      <c r="AL362" s="5">
        <f>SUM(AL331:AL360)</f>
        <v>7273.5529999999562</v>
      </c>
      <c r="AM362" s="6">
        <f t="shared" si="107"/>
        <v>303.06470833333151</v>
      </c>
      <c r="AQ362" s="5">
        <f>SUM(AQ331:AQ361)</f>
        <v>38925.006999999983</v>
      </c>
      <c r="AR362" s="6">
        <f t="shared" ref="AR362" si="174">AQ362/24</f>
        <v>1621.875291666666</v>
      </c>
      <c r="AV362" s="5">
        <f>SUM(AV331:AV361)</f>
        <v>57902.128000000026</v>
      </c>
      <c r="AW362" s="6">
        <f t="shared" si="109"/>
        <v>2412.5886666666679</v>
      </c>
      <c r="BA362" s="5">
        <f>SUM(BA331:BA361)</f>
        <v>58973.016000000061</v>
      </c>
      <c r="BB362" s="6">
        <f t="shared" ref="BB362" si="175">BA362/24</f>
        <v>2457.2090000000026</v>
      </c>
      <c r="BF362" s="5">
        <f>SUM(BF331:BF361)</f>
        <v>77890.001999999979</v>
      </c>
      <c r="BG362" s="6">
        <f t="shared" si="111"/>
        <v>3245.416749999999</v>
      </c>
      <c r="BK362" s="5">
        <f>SUM(BK331:BK361)</f>
        <v>108691.59200000003</v>
      </c>
      <c r="BL362" s="6">
        <f t="shared" si="112"/>
        <v>4528.816333333335</v>
      </c>
      <c r="BP362" s="5">
        <f>SUM(BP331:BP361)</f>
        <v>106992.59999999999</v>
      </c>
      <c r="BQ362" s="6">
        <f t="shared" si="113"/>
        <v>4458.0249999999996</v>
      </c>
      <c r="BU362" s="5">
        <f>SUM(BU331:BU361)</f>
        <v>68927.41</v>
      </c>
      <c r="BV362" s="6">
        <f t="shared" si="114"/>
        <v>2871.9754166666667</v>
      </c>
      <c r="BZ362" s="5">
        <f>SUM(BZ331:BZ361)</f>
        <v>97738.932000000001</v>
      </c>
      <c r="CA362" s="6">
        <f t="shared" si="115"/>
        <v>4072.4555</v>
      </c>
      <c r="CE362" s="5">
        <f>SUM(CE331:CE361)</f>
        <v>103250</v>
      </c>
      <c r="CF362" s="6">
        <f t="shared" si="116"/>
        <v>4302.083333333333</v>
      </c>
      <c r="CJ362" s="5">
        <f>SUM(CJ331:CJ361)</f>
        <v>17325</v>
      </c>
      <c r="CK362" s="6">
        <f t="shared" si="117"/>
        <v>721.875</v>
      </c>
      <c r="CO362" s="5">
        <f>SUM(CO331:CO361)</f>
        <v>10741.771999999997</v>
      </c>
      <c r="CP362" s="6">
        <f t="shared" si="118"/>
        <v>447.5738333333332</v>
      </c>
      <c r="CT362" s="5">
        <f>SUM(CT331:CT361)</f>
        <v>54090.316899999976</v>
      </c>
      <c r="CU362" s="6">
        <f t="shared" si="119"/>
        <v>2253.7632041666657</v>
      </c>
      <c r="CY362" s="5">
        <f>SUM(CY331:CY361)</f>
        <v>56229.909100000048</v>
      </c>
      <c r="CZ362" s="6">
        <f t="shared" si="120"/>
        <v>2342.9128791666685</v>
      </c>
      <c r="DD362" s="5">
        <f>SUM(DD331:DD361)</f>
        <v>22125.229999999981</v>
      </c>
      <c r="DE362" s="6">
        <f t="shared" si="121"/>
        <v>921.88458333333256</v>
      </c>
      <c r="DI362" s="5">
        <f>SUM(DI331:DI361)</f>
        <v>27955.351000000024</v>
      </c>
      <c r="DJ362" s="6">
        <f t="shared" si="122"/>
        <v>1164.8062916666677</v>
      </c>
      <c r="DN362" s="5">
        <f>SUM(DN331:DN361)</f>
        <v>52455.708999999973</v>
      </c>
      <c r="DO362" s="6">
        <f t="shared" si="123"/>
        <v>2185.6545416666654</v>
      </c>
      <c r="DS362" s="5">
        <f>SUM(DS331:DS361)</f>
        <v>78850.823999999964</v>
      </c>
      <c r="DT362" s="6">
        <f t="shared" si="124"/>
        <v>3285.4509999999987</v>
      </c>
      <c r="DX362" s="5">
        <f>SUM(DX331:DX361)</f>
        <v>110313.88900000008</v>
      </c>
      <c r="DY362" s="6">
        <f t="shared" si="125"/>
        <v>4596.4120416666701</v>
      </c>
      <c r="EC362" s="5">
        <f>SUM(EC331:EC361)</f>
        <v>71409.81799999997</v>
      </c>
      <c r="ED362" s="6">
        <f t="shared" si="126"/>
        <v>2975.4090833333321</v>
      </c>
      <c r="EH362" s="5">
        <f>SUM(EH331:EH361)</f>
        <v>107396.37800000003</v>
      </c>
      <c r="EI362" s="6">
        <f t="shared" ref="EI362" si="176">EH362/24</f>
        <v>4474.8490833333344</v>
      </c>
      <c r="EM362" s="5">
        <f>SUM(EM331:EM361)</f>
        <v>72403.310000000056</v>
      </c>
      <c r="EN362" s="6">
        <f t="shared" si="48"/>
        <v>3016.8045833333358</v>
      </c>
      <c r="ER362" s="5">
        <f>SUM(ER331:ER361)</f>
        <v>23746.486000000034</v>
      </c>
      <c r="ES362" s="6">
        <f t="shared" ref="ES362" si="177">ER362/24</f>
        <v>989.43691666666803</v>
      </c>
    </row>
    <row r="363" spans="1:149" x14ac:dyDescent="0.25">
      <c r="BZ363" s="11" t="e">
        <f>зна</f>
        <v>#NAME?</v>
      </c>
      <c r="CA363" s="11" t="e">
        <f t="shared" si="115"/>
        <v>#NAME?</v>
      </c>
    </row>
    <row r="366" spans="1:149" x14ac:dyDescent="0.25">
      <c r="DN366" s="11">
        <v>78850.823999999993</v>
      </c>
    </row>
  </sheetData>
  <mergeCells count="37">
    <mergeCell ref="BD329:BG329"/>
    <mergeCell ref="AE329:AH329"/>
    <mergeCell ref="Z329:AC329"/>
    <mergeCell ref="L307:M307"/>
    <mergeCell ref="AY329:BB329"/>
    <mergeCell ref="AT329:AW329"/>
    <mergeCell ref="AO329:AR329"/>
    <mergeCell ref="K329:N329"/>
    <mergeCell ref="U329:X329"/>
    <mergeCell ref="AJ329:AM329"/>
    <mergeCell ref="P329:S329"/>
    <mergeCell ref="A329:D329"/>
    <mergeCell ref="A216:D216"/>
    <mergeCell ref="A180:D180"/>
    <mergeCell ref="A2:D2"/>
    <mergeCell ref="A40:D40"/>
    <mergeCell ref="A75:D75"/>
    <mergeCell ref="A110:D110"/>
    <mergeCell ref="A146:D146"/>
    <mergeCell ref="A254:D254"/>
    <mergeCell ref="A292:D292"/>
    <mergeCell ref="EF329:EI329"/>
    <mergeCell ref="CC329:CF329"/>
    <mergeCell ref="BX329:CA329"/>
    <mergeCell ref="BS329:BV329"/>
    <mergeCell ref="BI329:BL329"/>
    <mergeCell ref="DV329:DY329"/>
    <mergeCell ref="DL329:DO329"/>
    <mergeCell ref="DG329:DJ329"/>
    <mergeCell ref="DB329:DE329"/>
    <mergeCell ref="CW329:CZ329"/>
    <mergeCell ref="DQ329:DT329"/>
    <mergeCell ref="CR329:CU329"/>
    <mergeCell ref="CM329:CP329"/>
    <mergeCell ref="EA329:ED329"/>
    <mergeCell ref="CH329:CK329"/>
    <mergeCell ref="BN329:BQ329"/>
  </mergeCells>
  <pageMargins left="0.7" right="0.7" top="0.75" bottom="0.75" header="0.3" footer="0.3"/>
  <pageSetup paperSize="9" orientation="portrait" horizontalDpi="180" verticalDpi="180" r:id="rId1"/>
  <ignoredErrors>
    <ignoredError sqref="C157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2025г август вода</vt:lpstr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2026-01-21T03:37:16Z</dcterms:modified>
</cp:coreProperties>
</file>