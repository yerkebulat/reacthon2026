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0755" windowHeight="7980" tabRatio="686" firstSheet="53" activeTab="61"/>
  </bookViews>
  <sheets>
    <sheet name="июль 2021 (2)" sheetId="9" state="hidden" r:id="rId1"/>
    <sheet name="январь2021" sheetId="1" state="hidden" r:id="rId2"/>
    <sheet name="февраль 2021" sheetId="2" state="hidden" r:id="rId3"/>
    <sheet name="март 2021" sheetId="4" state="hidden" r:id="rId4"/>
    <sheet name="апрель 2021" sheetId="5" state="hidden" r:id="rId5"/>
    <sheet name="май 2021" sheetId="6" state="hidden" r:id="rId6"/>
    <sheet name="июнь 2021" sheetId="7" state="hidden" r:id="rId7"/>
    <sheet name="июль 2021" sheetId="8" state="hidden" r:id="rId8"/>
    <sheet name="август 2021" sheetId="10" state="hidden" r:id="rId9"/>
    <sheet name="сентябрь 2021" sheetId="3" state="hidden" r:id="rId10"/>
    <sheet name="октябрь 2021" sheetId="12" state="hidden" r:id="rId11"/>
    <sheet name="ноябрь 2021" sheetId="13" state="hidden" r:id="rId12"/>
    <sheet name="Декабрь 2021" sheetId="14" r:id="rId13"/>
    <sheet name="Январь 2022" sheetId="15" r:id="rId14"/>
    <sheet name="февраль 2022" sheetId="16" r:id="rId15"/>
    <sheet name="март 2022 г" sheetId="17" r:id="rId16"/>
    <sheet name="апрель 2022 г" sheetId="19" r:id="rId17"/>
    <sheet name="май 2022г" sheetId="20" r:id="rId18"/>
    <sheet name="июнь 2022г" sheetId="21" r:id="rId19"/>
    <sheet name="июль 2022г" sheetId="22" r:id="rId20"/>
    <sheet name="август 2022г" sheetId="23" r:id="rId21"/>
    <sheet name="сентябрь 2022г" sheetId="24" r:id="rId22"/>
    <sheet name="октябрь 2022г" sheetId="25" r:id="rId23"/>
    <sheet name="ноябрь 2022г" sheetId="26" r:id="rId24"/>
    <sheet name="декабрь 2022г " sheetId="27" r:id="rId25"/>
    <sheet name="январь 2023г" sheetId="28" r:id="rId26"/>
    <sheet name="февраль 2023г " sheetId="29" r:id="rId27"/>
    <sheet name="март 2023г " sheetId="30" r:id="rId28"/>
    <sheet name="апрель 2023г" sheetId="31" r:id="rId29"/>
    <sheet name="май 2023г " sheetId="32" r:id="rId30"/>
    <sheet name="июнь 2023г" sheetId="33" r:id="rId31"/>
    <sheet name="июль 2023г" sheetId="34" r:id="rId32"/>
    <sheet name="август 2023г" sheetId="35" r:id="rId33"/>
    <sheet name="сентябрь 2023г" sheetId="36" r:id="rId34"/>
    <sheet name="октябрь 2023г" sheetId="37" r:id="rId35"/>
    <sheet name="ноябрь 2023г" sheetId="39" r:id="rId36"/>
    <sheet name="декабрь 2023г" sheetId="40" r:id="rId37"/>
    <sheet name="январь 2024г" sheetId="41" r:id="rId38"/>
    <sheet name="февраль 2024г" sheetId="42" r:id="rId39"/>
    <sheet name="март 2024г" sheetId="43" r:id="rId40"/>
    <sheet name="апрель 2024г" sheetId="44" r:id="rId41"/>
    <sheet name="май 2024г" sheetId="45" r:id="rId42"/>
    <sheet name="июнь 2024г" sheetId="46" r:id="rId43"/>
    <sheet name="июль 2024г" sheetId="47" r:id="rId44"/>
    <sheet name="август 2024г" sheetId="48" r:id="rId45"/>
    <sheet name="сентябрь 2024г" sheetId="49" r:id="rId46"/>
    <sheet name="октябрь 2024г" sheetId="50" r:id="rId47"/>
    <sheet name="ноябрь 2024г" sheetId="51" r:id="rId48"/>
    <sheet name="декабрь 2024г" sheetId="52" r:id="rId49"/>
    <sheet name="январь 2025г" sheetId="53" r:id="rId50"/>
    <sheet name="февраль 2025г " sheetId="54" r:id="rId51"/>
    <sheet name="Март 2025г" sheetId="55" r:id="rId52"/>
    <sheet name="Апрель 2025г" sheetId="56" r:id="rId53"/>
    <sheet name="май 2025г" sheetId="57" r:id="rId54"/>
    <sheet name="июнь 2025г" sheetId="58" r:id="rId55"/>
    <sheet name="сентябрь 2025г   " sheetId="61" r:id="rId56"/>
    <sheet name="октябрь 2025г" sheetId="62" r:id="rId57"/>
    <sheet name="июль 2025г " sheetId="59" r:id="rId58"/>
    <sheet name="август 2025г  " sheetId="60" r:id="rId59"/>
    <sheet name="ноябрь 2025г    " sheetId="63" r:id="rId60"/>
    <sheet name="декабрь 2025г     " sheetId="64" r:id="rId61"/>
    <sheet name="Январ 2026 год" sheetId="65" r:id="rId62"/>
  </sheets>
  <definedNames>
    <definedName name="_xlnm._FilterDatabase" localSheetId="1" hidden="1">январь2021!$N$2:$Q$2</definedName>
  </definedNames>
  <calcPr calcId="152511"/>
</workbook>
</file>

<file path=xl/calcChain.xml><?xml version="1.0" encoding="utf-8"?>
<calcChain xmlns="http://schemas.openxmlformats.org/spreadsheetml/2006/main">
  <c r="AP65" i="65" l="1"/>
  <c r="I80" i="65" s="1"/>
  <c r="J80" i="65" s="1"/>
  <c r="AO65" i="65"/>
  <c r="G80" i="65" s="1"/>
  <c r="H80" i="65" s="1"/>
  <c r="AN65" i="65"/>
  <c r="E80" i="65" s="1"/>
  <c r="F80" i="65" s="1"/>
  <c r="AM65" i="65"/>
  <c r="C80" i="65" s="1"/>
  <c r="D80" i="65" s="1"/>
  <c r="AG65" i="65"/>
  <c r="I79" i="65" s="1"/>
  <c r="J79" i="65" s="1"/>
  <c r="AF65" i="65"/>
  <c r="G79" i="65" s="1"/>
  <c r="H79" i="65" s="1"/>
  <c r="AE65" i="65"/>
  <c r="E79" i="65" s="1"/>
  <c r="F79" i="65" s="1"/>
  <c r="AD65" i="65"/>
  <c r="C79" i="65" s="1"/>
  <c r="D79" i="65" s="1"/>
  <c r="X65" i="65"/>
  <c r="I78" i="65" s="1"/>
  <c r="J78" i="65" s="1"/>
  <c r="W65" i="65"/>
  <c r="G78" i="65" s="1"/>
  <c r="H78" i="65" s="1"/>
  <c r="V65" i="65"/>
  <c r="E78" i="65" s="1"/>
  <c r="F78" i="65" s="1"/>
  <c r="U65" i="65"/>
  <c r="C78" i="65" s="1"/>
  <c r="D78" i="65" s="1"/>
  <c r="O65" i="65"/>
  <c r="I77" i="65" s="1"/>
  <c r="J77" i="65" s="1"/>
  <c r="N65" i="65"/>
  <c r="G77" i="65" s="1"/>
  <c r="H77" i="65" s="1"/>
  <c r="M65" i="65"/>
  <c r="E77" i="65" s="1"/>
  <c r="F77" i="65" s="1"/>
  <c r="L65" i="65"/>
  <c r="C77" i="65" s="1"/>
  <c r="D77" i="65" s="1"/>
  <c r="F65" i="65"/>
  <c r="I76" i="65" s="1"/>
  <c r="J76" i="65" s="1"/>
  <c r="E65" i="65"/>
  <c r="G76" i="65" s="1"/>
  <c r="H76" i="65" s="1"/>
  <c r="D65" i="65"/>
  <c r="E76" i="65" s="1"/>
  <c r="F76" i="65" s="1"/>
  <c r="C65" i="65"/>
  <c r="C76" i="65" s="1"/>
  <c r="D76" i="65" s="1"/>
  <c r="J82" i="65" l="1"/>
  <c r="H82" i="65"/>
  <c r="D82" i="65"/>
  <c r="F82" i="65"/>
  <c r="AP65" i="64"/>
  <c r="I80" i="64" s="1"/>
  <c r="J80" i="64" s="1"/>
  <c r="AO65" i="64"/>
  <c r="G80" i="64" s="1"/>
  <c r="H80" i="64" s="1"/>
  <c r="AN65" i="64"/>
  <c r="E80" i="64" s="1"/>
  <c r="F80" i="64" s="1"/>
  <c r="AM65" i="64"/>
  <c r="C80" i="64" s="1"/>
  <c r="D80" i="64" s="1"/>
  <c r="AG65" i="64"/>
  <c r="I79" i="64" s="1"/>
  <c r="J79" i="64" s="1"/>
  <c r="AF65" i="64"/>
  <c r="G79" i="64" s="1"/>
  <c r="H79" i="64" s="1"/>
  <c r="AE65" i="64"/>
  <c r="E79" i="64" s="1"/>
  <c r="F79" i="64" s="1"/>
  <c r="AD65" i="64"/>
  <c r="C79" i="64" s="1"/>
  <c r="D79" i="64" s="1"/>
  <c r="X65" i="64"/>
  <c r="I78" i="64" s="1"/>
  <c r="J78" i="64" s="1"/>
  <c r="W65" i="64"/>
  <c r="G78" i="64" s="1"/>
  <c r="H78" i="64" s="1"/>
  <c r="V65" i="64"/>
  <c r="E78" i="64" s="1"/>
  <c r="F78" i="64" s="1"/>
  <c r="U65" i="64"/>
  <c r="C78" i="64" s="1"/>
  <c r="D78" i="64" s="1"/>
  <c r="O65" i="64"/>
  <c r="I77" i="64" s="1"/>
  <c r="J77" i="64" s="1"/>
  <c r="N65" i="64"/>
  <c r="G77" i="64" s="1"/>
  <c r="H77" i="64" s="1"/>
  <c r="M65" i="64"/>
  <c r="E77" i="64" s="1"/>
  <c r="F77" i="64" s="1"/>
  <c r="L65" i="64"/>
  <c r="C77" i="64" s="1"/>
  <c r="D77" i="64" s="1"/>
  <c r="F65" i="64"/>
  <c r="I76" i="64" s="1"/>
  <c r="J76" i="64" s="1"/>
  <c r="E65" i="64"/>
  <c r="G76" i="64" s="1"/>
  <c r="H76" i="64" s="1"/>
  <c r="D65" i="64"/>
  <c r="E76" i="64" s="1"/>
  <c r="F76" i="64" s="1"/>
  <c r="C65" i="64"/>
  <c r="C76" i="64" s="1"/>
  <c r="D76" i="64" s="1"/>
  <c r="D82" i="64" l="1"/>
  <c r="F82" i="64"/>
  <c r="J82" i="64"/>
  <c r="H82" i="64"/>
  <c r="AP63" i="63"/>
  <c r="I78" i="63" s="1"/>
  <c r="J78" i="63" s="1"/>
  <c r="AO63" i="63"/>
  <c r="G78" i="63" s="1"/>
  <c r="H78" i="63" s="1"/>
  <c r="AN63" i="63"/>
  <c r="E78" i="63" s="1"/>
  <c r="F78" i="63" s="1"/>
  <c r="AM63" i="63"/>
  <c r="C78" i="63" s="1"/>
  <c r="D78" i="63" s="1"/>
  <c r="AG63" i="63"/>
  <c r="I77" i="63" s="1"/>
  <c r="J77" i="63" s="1"/>
  <c r="AF63" i="63"/>
  <c r="G77" i="63" s="1"/>
  <c r="H77" i="63" s="1"/>
  <c r="AE63" i="63"/>
  <c r="E77" i="63" s="1"/>
  <c r="F77" i="63" s="1"/>
  <c r="AD63" i="63"/>
  <c r="C77" i="63" s="1"/>
  <c r="D77" i="63" s="1"/>
  <c r="X63" i="63"/>
  <c r="I76" i="63" s="1"/>
  <c r="J76" i="63" s="1"/>
  <c r="W63" i="63"/>
  <c r="G76" i="63" s="1"/>
  <c r="H76" i="63" s="1"/>
  <c r="V63" i="63"/>
  <c r="E76" i="63" s="1"/>
  <c r="F76" i="63" s="1"/>
  <c r="U63" i="63"/>
  <c r="C76" i="63" s="1"/>
  <c r="D76" i="63" s="1"/>
  <c r="O63" i="63"/>
  <c r="I75" i="63" s="1"/>
  <c r="J75" i="63" s="1"/>
  <c r="N63" i="63"/>
  <c r="G75" i="63" s="1"/>
  <c r="H75" i="63" s="1"/>
  <c r="M63" i="63"/>
  <c r="E75" i="63" s="1"/>
  <c r="F75" i="63" s="1"/>
  <c r="L63" i="63"/>
  <c r="C75" i="63" s="1"/>
  <c r="D75" i="63" s="1"/>
  <c r="F63" i="63"/>
  <c r="I74" i="63" s="1"/>
  <c r="J74" i="63" s="1"/>
  <c r="E63" i="63"/>
  <c r="G74" i="63" s="1"/>
  <c r="H74" i="63" s="1"/>
  <c r="D63" i="63"/>
  <c r="E74" i="63" s="1"/>
  <c r="F74" i="63" s="1"/>
  <c r="J80" i="63" l="1"/>
  <c r="F80" i="63"/>
  <c r="H80" i="63"/>
  <c r="AP65" i="62"/>
  <c r="I80" i="62" s="1"/>
  <c r="J80" i="62" s="1"/>
  <c r="AO65" i="62"/>
  <c r="G80" i="62" s="1"/>
  <c r="H80" i="62" s="1"/>
  <c r="AN65" i="62"/>
  <c r="E80" i="62" s="1"/>
  <c r="F80" i="62" s="1"/>
  <c r="AM65" i="62"/>
  <c r="C80" i="62" s="1"/>
  <c r="D80" i="62" s="1"/>
  <c r="AG65" i="62"/>
  <c r="I79" i="62" s="1"/>
  <c r="J79" i="62" s="1"/>
  <c r="AF65" i="62"/>
  <c r="G79" i="62" s="1"/>
  <c r="H79" i="62" s="1"/>
  <c r="AE65" i="62"/>
  <c r="E79" i="62" s="1"/>
  <c r="F79" i="62" s="1"/>
  <c r="AD65" i="62"/>
  <c r="C79" i="62" s="1"/>
  <c r="D79" i="62" s="1"/>
  <c r="X65" i="62"/>
  <c r="I78" i="62" s="1"/>
  <c r="J78" i="62" s="1"/>
  <c r="W65" i="62"/>
  <c r="G78" i="62" s="1"/>
  <c r="H78" i="62" s="1"/>
  <c r="V65" i="62"/>
  <c r="E78" i="62" s="1"/>
  <c r="F78" i="62" s="1"/>
  <c r="U65" i="62"/>
  <c r="C78" i="62" s="1"/>
  <c r="D78" i="62" s="1"/>
  <c r="O65" i="62"/>
  <c r="I77" i="62" s="1"/>
  <c r="J77" i="62" s="1"/>
  <c r="N65" i="62"/>
  <c r="G77" i="62" s="1"/>
  <c r="H77" i="62" s="1"/>
  <c r="M65" i="62"/>
  <c r="E77" i="62" s="1"/>
  <c r="F77" i="62" s="1"/>
  <c r="L65" i="62"/>
  <c r="C77" i="62" s="1"/>
  <c r="D77" i="62" s="1"/>
  <c r="F65" i="62"/>
  <c r="I76" i="62" s="1"/>
  <c r="J76" i="62" s="1"/>
  <c r="E65" i="62"/>
  <c r="G76" i="62" s="1"/>
  <c r="H76" i="62" s="1"/>
  <c r="D65" i="62"/>
  <c r="E76" i="62" s="1"/>
  <c r="F76" i="62" s="1"/>
  <c r="C65" i="62"/>
  <c r="C76" i="62" s="1"/>
  <c r="D76" i="62" s="1"/>
  <c r="J82" i="62" l="1"/>
  <c r="D82" i="62"/>
  <c r="F82" i="62"/>
  <c r="H82" i="62"/>
  <c r="AP63" i="61"/>
  <c r="I78" i="61" s="1"/>
  <c r="J78" i="61" s="1"/>
  <c r="AO63" i="61"/>
  <c r="G78" i="61" s="1"/>
  <c r="H78" i="61" s="1"/>
  <c r="AN63" i="61"/>
  <c r="E78" i="61" s="1"/>
  <c r="F78" i="61" s="1"/>
  <c r="AM63" i="61"/>
  <c r="C78" i="61" s="1"/>
  <c r="D78" i="61" s="1"/>
  <c r="AG63" i="61"/>
  <c r="I77" i="61" s="1"/>
  <c r="J77" i="61" s="1"/>
  <c r="AF63" i="61"/>
  <c r="G77" i="61" s="1"/>
  <c r="H77" i="61" s="1"/>
  <c r="AE63" i="61"/>
  <c r="E77" i="61" s="1"/>
  <c r="F77" i="61" s="1"/>
  <c r="AD63" i="61"/>
  <c r="C77" i="61" s="1"/>
  <c r="D77" i="61" s="1"/>
  <c r="X63" i="61"/>
  <c r="I76" i="61" s="1"/>
  <c r="J76" i="61" s="1"/>
  <c r="W63" i="61"/>
  <c r="G76" i="61" s="1"/>
  <c r="H76" i="61" s="1"/>
  <c r="V63" i="61"/>
  <c r="E76" i="61" s="1"/>
  <c r="F76" i="61" s="1"/>
  <c r="U63" i="61"/>
  <c r="C76" i="61" s="1"/>
  <c r="D76" i="61" s="1"/>
  <c r="O63" i="61"/>
  <c r="I75" i="61" s="1"/>
  <c r="J75" i="61" s="1"/>
  <c r="N63" i="61"/>
  <c r="G75" i="61" s="1"/>
  <c r="H75" i="61" s="1"/>
  <c r="M63" i="61"/>
  <c r="E75" i="61" s="1"/>
  <c r="F75" i="61" s="1"/>
  <c r="L63" i="61"/>
  <c r="C75" i="61" s="1"/>
  <c r="D75" i="61" s="1"/>
  <c r="F63" i="61"/>
  <c r="I74" i="61" s="1"/>
  <c r="J74" i="61" s="1"/>
  <c r="E63" i="61"/>
  <c r="G74" i="61" s="1"/>
  <c r="H74" i="61" s="1"/>
  <c r="D63" i="61"/>
  <c r="E74" i="61" s="1"/>
  <c r="F74" i="61" s="1"/>
  <c r="C63" i="61"/>
  <c r="C74" i="61" s="1"/>
  <c r="D74" i="61" s="1"/>
  <c r="D80" i="61" l="1"/>
  <c r="H80" i="61"/>
  <c r="F80" i="61"/>
  <c r="J80" i="61"/>
  <c r="AP65" i="60"/>
  <c r="I80" i="60" s="1"/>
  <c r="J80" i="60" s="1"/>
  <c r="AO65" i="60"/>
  <c r="G80" i="60" s="1"/>
  <c r="H80" i="60" s="1"/>
  <c r="AN65" i="60"/>
  <c r="E80" i="60" s="1"/>
  <c r="F80" i="60" s="1"/>
  <c r="AM65" i="60"/>
  <c r="C80" i="60" s="1"/>
  <c r="D80" i="60" s="1"/>
  <c r="AG65" i="60"/>
  <c r="I79" i="60" s="1"/>
  <c r="J79" i="60" s="1"/>
  <c r="AF65" i="60"/>
  <c r="G79" i="60" s="1"/>
  <c r="H79" i="60" s="1"/>
  <c r="AE65" i="60"/>
  <c r="E79" i="60" s="1"/>
  <c r="F79" i="60" s="1"/>
  <c r="AD65" i="60"/>
  <c r="C79" i="60" s="1"/>
  <c r="D79" i="60" s="1"/>
  <c r="X65" i="60"/>
  <c r="I78" i="60" s="1"/>
  <c r="J78" i="60" s="1"/>
  <c r="W65" i="60"/>
  <c r="G78" i="60" s="1"/>
  <c r="H78" i="60" s="1"/>
  <c r="V65" i="60"/>
  <c r="E78" i="60" s="1"/>
  <c r="F78" i="60" s="1"/>
  <c r="U65" i="60"/>
  <c r="C78" i="60" s="1"/>
  <c r="D78" i="60" s="1"/>
  <c r="O65" i="60"/>
  <c r="I77" i="60" s="1"/>
  <c r="J77" i="60" s="1"/>
  <c r="N65" i="60"/>
  <c r="G77" i="60" s="1"/>
  <c r="H77" i="60" s="1"/>
  <c r="M65" i="60"/>
  <c r="E77" i="60" s="1"/>
  <c r="F77" i="60" s="1"/>
  <c r="L65" i="60"/>
  <c r="C77" i="60" s="1"/>
  <c r="D77" i="60" s="1"/>
  <c r="F65" i="60"/>
  <c r="I76" i="60" s="1"/>
  <c r="J76" i="60" s="1"/>
  <c r="E65" i="60"/>
  <c r="G76" i="60" s="1"/>
  <c r="H76" i="60" s="1"/>
  <c r="D65" i="60"/>
  <c r="E76" i="60" s="1"/>
  <c r="F76" i="60" s="1"/>
  <c r="C65" i="60"/>
  <c r="C76" i="60" s="1"/>
  <c r="D76" i="60" s="1"/>
  <c r="D82" i="60" l="1"/>
  <c r="H82" i="60"/>
  <c r="F82" i="60"/>
  <c r="J82" i="60"/>
  <c r="J77" i="59"/>
  <c r="J78" i="59"/>
  <c r="J79" i="59"/>
  <c r="F82" i="59" l="1"/>
  <c r="AP65" i="59" l="1"/>
  <c r="I80" i="59" s="1"/>
  <c r="J80" i="59" s="1"/>
  <c r="AO65" i="59"/>
  <c r="G80" i="59" s="1"/>
  <c r="H80" i="59" s="1"/>
  <c r="AN65" i="59"/>
  <c r="E80" i="59" s="1"/>
  <c r="F80" i="59" s="1"/>
  <c r="AM65" i="59"/>
  <c r="C80" i="59" s="1"/>
  <c r="D80" i="59" s="1"/>
  <c r="AG65" i="59"/>
  <c r="I79" i="59" s="1"/>
  <c r="AF65" i="59"/>
  <c r="G79" i="59" s="1"/>
  <c r="H79" i="59" s="1"/>
  <c r="AE65" i="59"/>
  <c r="E79" i="59" s="1"/>
  <c r="F79" i="59" s="1"/>
  <c r="AD65" i="59"/>
  <c r="C79" i="59" s="1"/>
  <c r="D79" i="59" s="1"/>
  <c r="X65" i="59"/>
  <c r="I78" i="59" s="1"/>
  <c r="W65" i="59"/>
  <c r="G78" i="59" s="1"/>
  <c r="H78" i="59" s="1"/>
  <c r="V65" i="59"/>
  <c r="E78" i="59" s="1"/>
  <c r="F78" i="59" s="1"/>
  <c r="U65" i="59"/>
  <c r="C78" i="59" s="1"/>
  <c r="D78" i="59" s="1"/>
  <c r="O65" i="59"/>
  <c r="I77" i="59" s="1"/>
  <c r="N65" i="59"/>
  <c r="G77" i="59" s="1"/>
  <c r="H77" i="59" s="1"/>
  <c r="M65" i="59"/>
  <c r="E77" i="59" s="1"/>
  <c r="F77" i="59" s="1"/>
  <c r="L65" i="59"/>
  <c r="C77" i="59" s="1"/>
  <c r="D77" i="59" s="1"/>
  <c r="F65" i="59"/>
  <c r="I76" i="59" s="1"/>
  <c r="J76" i="59" s="1"/>
  <c r="E65" i="59"/>
  <c r="G76" i="59" s="1"/>
  <c r="H76" i="59" s="1"/>
  <c r="D65" i="59"/>
  <c r="E76" i="59" s="1"/>
  <c r="F76" i="59" s="1"/>
  <c r="H82" i="59" l="1"/>
  <c r="J82" i="59"/>
  <c r="C62" i="58"/>
  <c r="C73" i="58" s="1"/>
  <c r="D73" i="58" s="1"/>
  <c r="D62" i="58"/>
  <c r="E73" i="58" s="1"/>
  <c r="F73" i="58" s="1"/>
  <c r="E62" i="58"/>
  <c r="G73" i="58" s="1"/>
  <c r="H73" i="58" s="1"/>
  <c r="F62" i="58"/>
  <c r="I73" i="58" s="1"/>
  <c r="J73" i="58" s="1"/>
  <c r="L62" i="58"/>
  <c r="C74" i="58" s="1"/>
  <c r="D74" i="58" s="1"/>
  <c r="M62" i="58"/>
  <c r="E74" i="58" s="1"/>
  <c r="F74" i="58" s="1"/>
  <c r="N62" i="58"/>
  <c r="G74" i="58" s="1"/>
  <c r="H74" i="58" s="1"/>
  <c r="O62" i="58"/>
  <c r="I74" i="58" s="1"/>
  <c r="J74" i="58" s="1"/>
  <c r="U62" i="58"/>
  <c r="C75" i="58" s="1"/>
  <c r="D75" i="58" s="1"/>
  <c r="V62" i="58"/>
  <c r="E75" i="58" s="1"/>
  <c r="F75" i="58" s="1"/>
  <c r="W62" i="58"/>
  <c r="G75" i="58" s="1"/>
  <c r="H75" i="58" s="1"/>
  <c r="X62" i="58"/>
  <c r="I75" i="58" s="1"/>
  <c r="J75" i="58" s="1"/>
  <c r="AD62" i="58"/>
  <c r="C76" i="58" s="1"/>
  <c r="D76" i="58" s="1"/>
  <c r="AE62" i="58"/>
  <c r="E76" i="58" s="1"/>
  <c r="F76" i="58" s="1"/>
  <c r="AF62" i="58"/>
  <c r="G76" i="58" s="1"/>
  <c r="H76" i="58" s="1"/>
  <c r="AG62" i="58"/>
  <c r="I76" i="58" s="1"/>
  <c r="J76" i="58" s="1"/>
  <c r="AM62" i="58"/>
  <c r="C77" i="58" s="1"/>
  <c r="D77" i="58" s="1"/>
  <c r="AN62" i="58"/>
  <c r="E77" i="58" s="1"/>
  <c r="F77" i="58" s="1"/>
  <c r="AO62" i="58"/>
  <c r="G77" i="58" s="1"/>
  <c r="H77" i="58" s="1"/>
  <c r="AP62" i="58"/>
  <c r="I77" i="58" s="1"/>
  <c r="J77" i="58" s="1"/>
  <c r="J79" i="58" l="1"/>
  <c r="F79" i="58"/>
  <c r="H79" i="58"/>
  <c r="D79" i="58"/>
  <c r="C65" i="57"/>
  <c r="AP65" i="57" l="1"/>
  <c r="I80" i="57" s="1"/>
  <c r="J80" i="57" s="1"/>
  <c r="AO65" i="57"/>
  <c r="G80" i="57" s="1"/>
  <c r="H80" i="57" s="1"/>
  <c r="AN65" i="57"/>
  <c r="E80" i="57" s="1"/>
  <c r="F80" i="57" s="1"/>
  <c r="AM65" i="57"/>
  <c r="C80" i="57" s="1"/>
  <c r="D80" i="57" s="1"/>
  <c r="AG65" i="57"/>
  <c r="I79" i="57" s="1"/>
  <c r="J79" i="57" s="1"/>
  <c r="AF65" i="57"/>
  <c r="G79" i="57" s="1"/>
  <c r="H79" i="57" s="1"/>
  <c r="AE65" i="57"/>
  <c r="E79" i="57" s="1"/>
  <c r="F79" i="57" s="1"/>
  <c r="AD65" i="57"/>
  <c r="C79" i="57" s="1"/>
  <c r="D79" i="57" s="1"/>
  <c r="X65" i="57"/>
  <c r="I78" i="57" s="1"/>
  <c r="J78" i="57" s="1"/>
  <c r="W65" i="57"/>
  <c r="G78" i="57" s="1"/>
  <c r="H78" i="57" s="1"/>
  <c r="V65" i="57"/>
  <c r="E78" i="57" s="1"/>
  <c r="F78" i="57" s="1"/>
  <c r="U65" i="57"/>
  <c r="C78" i="57" s="1"/>
  <c r="D78" i="57" s="1"/>
  <c r="O65" i="57"/>
  <c r="I77" i="57" s="1"/>
  <c r="J77" i="57" s="1"/>
  <c r="N65" i="57"/>
  <c r="G77" i="57" s="1"/>
  <c r="H77" i="57" s="1"/>
  <c r="M65" i="57"/>
  <c r="E77" i="57" s="1"/>
  <c r="F77" i="57" s="1"/>
  <c r="L65" i="57"/>
  <c r="C77" i="57" s="1"/>
  <c r="D77" i="57" s="1"/>
  <c r="F65" i="57"/>
  <c r="I76" i="57" s="1"/>
  <c r="J76" i="57" s="1"/>
  <c r="E65" i="57"/>
  <c r="G76" i="57" s="1"/>
  <c r="H76" i="57" s="1"/>
  <c r="D65" i="57"/>
  <c r="E76" i="57" s="1"/>
  <c r="F76" i="57" s="1"/>
  <c r="C76" i="57"/>
  <c r="D76" i="57" s="1"/>
  <c r="H82" i="57" l="1"/>
  <c r="D82" i="57"/>
  <c r="F82" i="57"/>
  <c r="AP63" i="56"/>
  <c r="I78" i="56" s="1"/>
  <c r="J78" i="56" s="1"/>
  <c r="AO63" i="56"/>
  <c r="G78" i="56" s="1"/>
  <c r="H78" i="56" s="1"/>
  <c r="AN63" i="56"/>
  <c r="E78" i="56" s="1"/>
  <c r="F78" i="56" s="1"/>
  <c r="AM63" i="56"/>
  <c r="C78" i="56" s="1"/>
  <c r="D78" i="56" s="1"/>
  <c r="AG63" i="56"/>
  <c r="I77" i="56" s="1"/>
  <c r="J77" i="56" s="1"/>
  <c r="AF63" i="56"/>
  <c r="G77" i="56" s="1"/>
  <c r="H77" i="56" s="1"/>
  <c r="AE63" i="56"/>
  <c r="E77" i="56" s="1"/>
  <c r="F77" i="56" s="1"/>
  <c r="AD63" i="56"/>
  <c r="C77" i="56" s="1"/>
  <c r="D77" i="56" s="1"/>
  <c r="X63" i="56"/>
  <c r="I76" i="56" s="1"/>
  <c r="J76" i="56" s="1"/>
  <c r="W63" i="56"/>
  <c r="G76" i="56" s="1"/>
  <c r="H76" i="56" s="1"/>
  <c r="V63" i="56"/>
  <c r="E76" i="56" s="1"/>
  <c r="F76" i="56" s="1"/>
  <c r="U63" i="56"/>
  <c r="C76" i="56" s="1"/>
  <c r="D76" i="56" s="1"/>
  <c r="O63" i="56"/>
  <c r="I75" i="56" s="1"/>
  <c r="J75" i="56" s="1"/>
  <c r="N63" i="56"/>
  <c r="G75" i="56" s="1"/>
  <c r="H75" i="56" s="1"/>
  <c r="M63" i="56"/>
  <c r="E75" i="56" s="1"/>
  <c r="F75" i="56" s="1"/>
  <c r="L63" i="56"/>
  <c r="C75" i="56" s="1"/>
  <c r="D75" i="56" s="1"/>
  <c r="F63" i="56"/>
  <c r="I74" i="56" s="1"/>
  <c r="J74" i="56" s="1"/>
  <c r="E63" i="56"/>
  <c r="G74" i="56" s="1"/>
  <c r="H74" i="56" s="1"/>
  <c r="D63" i="56"/>
  <c r="E74" i="56" s="1"/>
  <c r="F74" i="56" s="1"/>
  <c r="C63" i="56"/>
  <c r="C74" i="56" s="1"/>
  <c r="D74" i="56" s="1"/>
  <c r="J80" i="56" l="1"/>
  <c r="D80" i="56"/>
  <c r="F80" i="56"/>
  <c r="H80" i="56"/>
  <c r="AP66" i="55"/>
  <c r="I81" i="55" s="1"/>
  <c r="J81" i="55" s="1"/>
  <c r="AO66" i="55"/>
  <c r="G81" i="55" s="1"/>
  <c r="H81" i="55" s="1"/>
  <c r="AN66" i="55"/>
  <c r="E81" i="55" s="1"/>
  <c r="F81" i="55" s="1"/>
  <c r="AM66" i="55"/>
  <c r="C81" i="55" s="1"/>
  <c r="D81" i="55" s="1"/>
  <c r="AG66" i="55"/>
  <c r="I80" i="55" s="1"/>
  <c r="J80" i="55" s="1"/>
  <c r="AF66" i="55"/>
  <c r="G80" i="55" s="1"/>
  <c r="H80" i="55" s="1"/>
  <c r="AE66" i="55"/>
  <c r="E80" i="55" s="1"/>
  <c r="F80" i="55" s="1"/>
  <c r="AD66" i="55"/>
  <c r="C80" i="55" s="1"/>
  <c r="D80" i="55" s="1"/>
  <c r="X66" i="55"/>
  <c r="I79" i="55" s="1"/>
  <c r="J79" i="55" s="1"/>
  <c r="W66" i="55"/>
  <c r="G79" i="55" s="1"/>
  <c r="H79" i="55" s="1"/>
  <c r="V66" i="55"/>
  <c r="E79" i="55" s="1"/>
  <c r="F79" i="55" s="1"/>
  <c r="U66" i="55"/>
  <c r="C79" i="55" s="1"/>
  <c r="D79" i="55" s="1"/>
  <c r="O66" i="55"/>
  <c r="I78" i="55" s="1"/>
  <c r="J78" i="55" s="1"/>
  <c r="N66" i="55"/>
  <c r="G78" i="55" s="1"/>
  <c r="H78" i="55" s="1"/>
  <c r="M66" i="55"/>
  <c r="E78" i="55" s="1"/>
  <c r="F78" i="55" s="1"/>
  <c r="L66" i="55"/>
  <c r="C78" i="55" s="1"/>
  <c r="D78" i="55" s="1"/>
  <c r="F66" i="55"/>
  <c r="I77" i="55" s="1"/>
  <c r="J77" i="55" s="1"/>
  <c r="E66" i="55"/>
  <c r="G77" i="55" s="1"/>
  <c r="H77" i="55" s="1"/>
  <c r="D66" i="55"/>
  <c r="E77" i="55" s="1"/>
  <c r="F77" i="55" s="1"/>
  <c r="C66" i="55"/>
  <c r="C77" i="55" s="1"/>
  <c r="D77" i="55" s="1"/>
  <c r="J83" i="55" l="1"/>
  <c r="F83" i="55"/>
  <c r="D83" i="55"/>
  <c r="H83" i="55"/>
  <c r="AP59" i="54"/>
  <c r="I74" i="54" s="1"/>
  <c r="J74" i="54" s="1"/>
  <c r="AO59" i="54"/>
  <c r="G74" i="54" s="1"/>
  <c r="H74" i="54" s="1"/>
  <c r="AN59" i="54"/>
  <c r="E74" i="54" s="1"/>
  <c r="F74" i="54" s="1"/>
  <c r="AM59" i="54"/>
  <c r="C74" i="54" s="1"/>
  <c r="D74" i="54" s="1"/>
  <c r="AG59" i="54"/>
  <c r="I73" i="54" s="1"/>
  <c r="J73" i="54" s="1"/>
  <c r="AF59" i="54"/>
  <c r="G73" i="54" s="1"/>
  <c r="H73" i="54" s="1"/>
  <c r="AE59" i="54"/>
  <c r="E73" i="54" s="1"/>
  <c r="F73" i="54" s="1"/>
  <c r="AD59" i="54"/>
  <c r="C73" i="54" s="1"/>
  <c r="D73" i="54" s="1"/>
  <c r="X59" i="54"/>
  <c r="I72" i="54" s="1"/>
  <c r="J72" i="54" s="1"/>
  <c r="W59" i="54"/>
  <c r="G72" i="54" s="1"/>
  <c r="H72" i="54" s="1"/>
  <c r="V59" i="54"/>
  <c r="E72" i="54" s="1"/>
  <c r="F72" i="54" s="1"/>
  <c r="U59" i="54"/>
  <c r="C72" i="54" s="1"/>
  <c r="D72" i="54" s="1"/>
  <c r="O59" i="54"/>
  <c r="I71" i="54" s="1"/>
  <c r="J71" i="54" s="1"/>
  <c r="N59" i="54"/>
  <c r="G71" i="54" s="1"/>
  <c r="H71" i="54" s="1"/>
  <c r="M59" i="54"/>
  <c r="E71" i="54" s="1"/>
  <c r="F71" i="54" s="1"/>
  <c r="L59" i="54"/>
  <c r="C71" i="54" s="1"/>
  <c r="D71" i="54" s="1"/>
  <c r="F59" i="54"/>
  <c r="I70" i="54" s="1"/>
  <c r="J70" i="54" s="1"/>
  <c r="E59" i="54"/>
  <c r="G70" i="54" s="1"/>
  <c r="H70" i="54" s="1"/>
  <c r="D59" i="54"/>
  <c r="E70" i="54" s="1"/>
  <c r="F70" i="54" s="1"/>
  <c r="C59" i="54"/>
  <c r="C70" i="54" s="1"/>
  <c r="D70" i="54" s="1"/>
  <c r="D76" i="54" l="1"/>
  <c r="H76" i="54"/>
  <c r="F76" i="54"/>
  <c r="J76" i="54"/>
  <c r="AP66" i="53"/>
  <c r="I81" i="53" s="1"/>
  <c r="J81" i="53" s="1"/>
  <c r="AO66" i="53"/>
  <c r="G81" i="53" s="1"/>
  <c r="H81" i="53" s="1"/>
  <c r="AN66" i="53"/>
  <c r="E81" i="53" s="1"/>
  <c r="F81" i="53" s="1"/>
  <c r="AM66" i="53"/>
  <c r="C81" i="53" s="1"/>
  <c r="D81" i="53" s="1"/>
  <c r="AG66" i="53"/>
  <c r="I80" i="53" s="1"/>
  <c r="J80" i="53" s="1"/>
  <c r="AF66" i="53"/>
  <c r="G80" i="53" s="1"/>
  <c r="H80" i="53" s="1"/>
  <c r="AE66" i="53"/>
  <c r="E80" i="53" s="1"/>
  <c r="F80" i="53" s="1"/>
  <c r="AD66" i="53"/>
  <c r="C80" i="53" s="1"/>
  <c r="D80" i="53" s="1"/>
  <c r="X66" i="53"/>
  <c r="I79" i="53" s="1"/>
  <c r="J79" i="53" s="1"/>
  <c r="W66" i="53"/>
  <c r="G79" i="53" s="1"/>
  <c r="H79" i="53" s="1"/>
  <c r="V66" i="53"/>
  <c r="E79" i="53" s="1"/>
  <c r="F79" i="53" s="1"/>
  <c r="U66" i="53"/>
  <c r="C79" i="53" s="1"/>
  <c r="D79" i="53" s="1"/>
  <c r="O66" i="53"/>
  <c r="I78" i="53" s="1"/>
  <c r="J78" i="53" s="1"/>
  <c r="N66" i="53"/>
  <c r="G78" i="53" s="1"/>
  <c r="H78" i="53" s="1"/>
  <c r="M66" i="53"/>
  <c r="E78" i="53" s="1"/>
  <c r="F78" i="53" s="1"/>
  <c r="L66" i="53"/>
  <c r="C78" i="53" s="1"/>
  <c r="D78" i="53" s="1"/>
  <c r="F66" i="53"/>
  <c r="I77" i="53" s="1"/>
  <c r="J77" i="53" s="1"/>
  <c r="E66" i="53"/>
  <c r="G77" i="53" s="1"/>
  <c r="H77" i="53" s="1"/>
  <c r="D66" i="53"/>
  <c r="E77" i="53" s="1"/>
  <c r="F77" i="53" s="1"/>
  <c r="C66" i="53"/>
  <c r="C77" i="53" s="1"/>
  <c r="D77" i="53" s="1"/>
  <c r="J83" i="53" l="1"/>
  <c r="D83" i="53"/>
  <c r="F83" i="53"/>
  <c r="H83" i="53"/>
  <c r="AP66" i="52"/>
  <c r="I81" i="52" s="1"/>
  <c r="J81" i="52" s="1"/>
  <c r="AO66" i="52"/>
  <c r="G81" i="52" s="1"/>
  <c r="H81" i="52" s="1"/>
  <c r="AN66" i="52"/>
  <c r="E81" i="52" s="1"/>
  <c r="F81" i="52" s="1"/>
  <c r="AM66" i="52"/>
  <c r="C81" i="52" s="1"/>
  <c r="D81" i="52" s="1"/>
  <c r="AG66" i="52"/>
  <c r="I80" i="52" s="1"/>
  <c r="J80" i="52" s="1"/>
  <c r="AF66" i="52"/>
  <c r="G80" i="52" s="1"/>
  <c r="H80" i="52" s="1"/>
  <c r="AE66" i="52"/>
  <c r="E80" i="52" s="1"/>
  <c r="F80" i="52" s="1"/>
  <c r="AD66" i="52"/>
  <c r="C80" i="52" s="1"/>
  <c r="D80" i="52" s="1"/>
  <c r="X66" i="52"/>
  <c r="I79" i="52" s="1"/>
  <c r="J79" i="52" s="1"/>
  <c r="W66" i="52"/>
  <c r="G79" i="52" s="1"/>
  <c r="H79" i="52" s="1"/>
  <c r="V66" i="52"/>
  <c r="E79" i="52" s="1"/>
  <c r="F79" i="52" s="1"/>
  <c r="U66" i="52"/>
  <c r="C79" i="52" s="1"/>
  <c r="D79" i="52" s="1"/>
  <c r="O66" i="52"/>
  <c r="I78" i="52" s="1"/>
  <c r="J78" i="52" s="1"/>
  <c r="N66" i="52"/>
  <c r="G78" i="52" s="1"/>
  <c r="H78" i="52" s="1"/>
  <c r="M66" i="52"/>
  <c r="E78" i="52" s="1"/>
  <c r="F78" i="52" s="1"/>
  <c r="L66" i="52"/>
  <c r="C78" i="52" s="1"/>
  <c r="D78" i="52" s="1"/>
  <c r="F66" i="52"/>
  <c r="I77" i="52" s="1"/>
  <c r="J77" i="52" s="1"/>
  <c r="E66" i="52"/>
  <c r="G77" i="52" s="1"/>
  <c r="H77" i="52" s="1"/>
  <c r="D66" i="52"/>
  <c r="E77" i="52" s="1"/>
  <c r="F77" i="52" s="1"/>
  <c r="C66" i="52"/>
  <c r="C77" i="52" s="1"/>
  <c r="D77" i="52" s="1"/>
  <c r="AP65" i="51"/>
  <c r="I80" i="51" s="1"/>
  <c r="J80" i="51" s="1"/>
  <c r="AO65" i="51"/>
  <c r="G80" i="51" s="1"/>
  <c r="H80" i="51" s="1"/>
  <c r="AN65" i="51"/>
  <c r="E80" i="51" s="1"/>
  <c r="F80" i="51" s="1"/>
  <c r="AM65" i="51"/>
  <c r="C80" i="51" s="1"/>
  <c r="D80" i="51" s="1"/>
  <c r="AG65" i="51"/>
  <c r="I79" i="51" s="1"/>
  <c r="J79" i="51" s="1"/>
  <c r="AF65" i="51"/>
  <c r="G79" i="51" s="1"/>
  <c r="H79" i="51" s="1"/>
  <c r="AE65" i="51"/>
  <c r="E79" i="51" s="1"/>
  <c r="F79" i="51" s="1"/>
  <c r="AD65" i="51"/>
  <c r="C79" i="51" s="1"/>
  <c r="D79" i="51" s="1"/>
  <c r="X65" i="51"/>
  <c r="I78" i="51" s="1"/>
  <c r="J78" i="51" s="1"/>
  <c r="W65" i="51"/>
  <c r="G78" i="51" s="1"/>
  <c r="H78" i="51" s="1"/>
  <c r="V65" i="51"/>
  <c r="E78" i="51" s="1"/>
  <c r="F78" i="51" s="1"/>
  <c r="U65" i="51"/>
  <c r="C78" i="51" s="1"/>
  <c r="D78" i="51" s="1"/>
  <c r="O65" i="51"/>
  <c r="I77" i="51" s="1"/>
  <c r="J77" i="51" s="1"/>
  <c r="N65" i="51"/>
  <c r="G77" i="51" s="1"/>
  <c r="H77" i="51" s="1"/>
  <c r="M65" i="51"/>
  <c r="E77" i="51" s="1"/>
  <c r="F77" i="51" s="1"/>
  <c r="L65" i="51"/>
  <c r="C77" i="51" s="1"/>
  <c r="D77" i="51" s="1"/>
  <c r="F65" i="51"/>
  <c r="I76" i="51" s="1"/>
  <c r="J76" i="51" s="1"/>
  <c r="E65" i="51"/>
  <c r="G76" i="51" s="1"/>
  <c r="H76" i="51" s="1"/>
  <c r="D65" i="51"/>
  <c r="E76" i="51" s="1"/>
  <c r="F76" i="51" s="1"/>
  <c r="C65" i="51"/>
  <c r="C76" i="51" s="1"/>
  <c r="D76" i="51" s="1"/>
  <c r="F83" i="52" l="1"/>
  <c r="H83" i="52"/>
  <c r="D83" i="52"/>
  <c r="J83" i="52"/>
  <c r="D82" i="51"/>
  <c r="H82" i="51"/>
  <c r="J82" i="51"/>
  <c r="F82" i="51"/>
  <c r="AP65" i="50" l="1"/>
  <c r="I80" i="50" s="1"/>
  <c r="J80" i="50" s="1"/>
  <c r="AO65" i="50"/>
  <c r="G80" i="50" s="1"/>
  <c r="H80" i="50" s="1"/>
  <c r="AN65" i="50"/>
  <c r="E80" i="50" s="1"/>
  <c r="F80" i="50" s="1"/>
  <c r="AM65" i="50"/>
  <c r="C80" i="50" s="1"/>
  <c r="D80" i="50" s="1"/>
  <c r="AG65" i="50"/>
  <c r="I79" i="50" s="1"/>
  <c r="J79" i="50" s="1"/>
  <c r="AF65" i="50"/>
  <c r="G79" i="50" s="1"/>
  <c r="H79" i="50" s="1"/>
  <c r="AE65" i="50"/>
  <c r="E79" i="50" s="1"/>
  <c r="F79" i="50" s="1"/>
  <c r="AD65" i="50"/>
  <c r="C79" i="50" s="1"/>
  <c r="D79" i="50" s="1"/>
  <c r="X65" i="50"/>
  <c r="I78" i="50" s="1"/>
  <c r="J78" i="50" s="1"/>
  <c r="W65" i="50"/>
  <c r="G78" i="50" s="1"/>
  <c r="H78" i="50" s="1"/>
  <c r="V65" i="50"/>
  <c r="E78" i="50" s="1"/>
  <c r="F78" i="50" s="1"/>
  <c r="U65" i="50"/>
  <c r="C78" i="50" s="1"/>
  <c r="D78" i="50" s="1"/>
  <c r="O65" i="50"/>
  <c r="I77" i="50" s="1"/>
  <c r="J77" i="50" s="1"/>
  <c r="N65" i="50"/>
  <c r="G77" i="50" s="1"/>
  <c r="H77" i="50" s="1"/>
  <c r="M65" i="50"/>
  <c r="E77" i="50" s="1"/>
  <c r="F77" i="50" s="1"/>
  <c r="L65" i="50"/>
  <c r="C77" i="50" s="1"/>
  <c r="D77" i="50" s="1"/>
  <c r="F65" i="50"/>
  <c r="I76" i="50" s="1"/>
  <c r="J76" i="50" s="1"/>
  <c r="E65" i="50"/>
  <c r="G76" i="50" s="1"/>
  <c r="H76" i="50" s="1"/>
  <c r="D65" i="50"/>
  <c r="E76" i="50" s="1"/>
  <c r="F76" i="50" s="1"/>
  <c r="C65" i="50"/>
  <c r="C76" i="50" s="1"/>
  <c r="D76" i="50" s="1"/>
  <c r="AP65" i="49"/>
  <c r="I80" i="49" s="1"/>
  <c r="J80" i="49" s="1"/>
  <c r="AO65" i="49"/>
  <c r="G80" i="49" s="1"/>
  <c r="H80" i="49" s="1"/>
  <c r="AN65" i="49"/>
  <c r="E80" i="49" s="1"/>
  <c r="F80" i="49" s="1"/>
  <c r="AM65" i="49"/>
  <c r="C80" i="49" s="1"/>
  <c r="D80" i="49" s="1"/>
  <c r="AG65" i="49"/>
  <c r="I79" i="49" s="1"/>
  <c r="J79" i="49" s="1"/>
  <c r="AF65" i="49"/>
  <c r="G79" i="49" s="1"/>
  <c r="H79" i="49" s="1"/>
  <c r="AE65" i="49"/>
  <c r="E79" i="49" s="1"/>
  <c r="F79" i="49" s="1"/>
  <c r="AD65" i="49"/>
  <c r="C79" i="49" s="1"/>
  <c r="D79" i="49" s="1"/>
  <c r="X65" i="49"/>
  <c r="I78" i="49" s="1"/>
  <c r="J78" i="49" s="1"/>
  <c r="W65" i="49"/>
  <c r="G78" i="49" s="1"/>
  <c r="H78" i="49" s="1"/>
  <c r="V65" i="49"/>
  <c r="E78" i="49" s="1"/>
  <c r="F78" i="49" s="1"/>
  <c r="U65" i="49"/>
  <c r="C78" i="49" s="1"/>
  <c r="D78" i="49" s="1"/>
  <c r="O65" i="49"/>
  <c r="I77" i="49" s="1"/>
  <c r="J77" i="49" s="1"/>
  <c r="N65" i="49"/>
  <c r="G77" i="49" s="1"/>
  <c r="H77" i="49" s="1"/>
  <c r="M65" i="49"/>
  <c r="E77" i="49" s="1"/>
  <c r="F77" i="49" s="1"/>
  <c r="L65" i="49"/>
  <c r="C77" i="49" s="1"/>
  <c r="D77" i="49" s="1"/>
  <c r="F65" i="49"/>
  <c r="I76" i="49" s="1"/>
  <c r="J76" i="49" s="1"/>
  <c r="E65" i="49"/>
  <c r="G76" i="49" s="1"/>
  <c r="H76" i="49" s="1"/>
  <c r="D65" i="49"/>
  <c r="E76" i="49" s="1"/>
  <c r="F76" i="49" s="1"/>
  <c r="C65" i="49"/>
  <c r="C76" i="49" s="1"/>
  <c r="D76" i="49" s="1"/>
  <c r="AP65" i="48"/>
  <c r="I80" i="48" s="1"/>
  <c r="J80" i="48" s="1"/>
  <c r="AO65" i="48"/>
  <c r="G80" i="48" s="1"/>
  <c r="H80" i="48" s="1"/>
  <c r="AN65" i="48"/>
  <c r="E80" i="48" s="1"/>
  <c r="F80" i="48" s="1"/>
  <c r="AM65" i="48"/>
  <c r="C80" i="48" s="1"/>
  <c r="D80" i="48" s="1"/>
  <c r="AG65" i="48"/>
  <c r="I79" i="48" s="1"/>
  <c r="J79" i="48" s="1"/>
  <c r="AF65" i="48"/>
  <c r="G79" i="48" s="1"/>
  <c r="H79" i="48" s="1"/>
  <c r="AE65" i="48"/>
  <c r="E79" i="48" s="1"/>
  <c r="F79" i="48" s="1"/>
  <c r="AD65" i="48"/>
  <c r="C79" i="48" s="1"/>
  <c r="D79" i="48" s="1"/>
  <c r="X65" i="48"/>
  <c r="I78" i="48" s="1"/>
  <c r="J78" i="48" s="1"/>
  <c r="W65" i="48"/>
  <c r="G78" i="48" s="1"/>
  <c r="H78" i="48" s="1"/>
  <c r="V65" i="48"/>
  <c r="E78" i="48" s="1"/>
  <c r="F78" i="48" s="1"/>
  <c r="U65" i="48"/>
  <c r="C78" i="48" s="1"/>
  <c r="D78" i="48" s="1"/>
  <c r="O65" i="48"/>
  <c r="I77" i="48" s="1"/>
  <c r="J77" i="48" s="1"/>
  <c r="N65" i="48"/>
  <c r="G77" i="48" s="1"/>
  <c r="H77" i="48" s="1"/>
  <c r="M65" i="48"/>
  <c r="E77" i="48" s="1"/>
  <c r="F77" i="48" s="1"/>
  <c r="L65" i="48"/>
  <c r="C77" i="48" s="1"/>
  <c r="D77" i="48" s="1"/>
  <c r="F65" i="48"/>
  <c r="I76" i="48" s="1"/>
  <c r="J76" i="48" s="1"/>
  <c r="E65" i="48"/>
  <c r="G76" i="48" s="1"/>
  <c r="H76" i="48" s="1"/>
  <c r="D65" i="48"/>
  <c r="E76" i="48" s="1"/>
  <c r="F76" i="48" s="1"/>
  <c r="C65" i="48"/>
  <c r="C76" i="48" s="1"/>
  <c r="D76" i="48" s="1"/>
  <c r="J82" i="50" l="1"/>
  <c r="D82" i="50"/>
  <c r="F82" i="50"/>
  <c r="H82" i="50"/>
  <c r="F82" i="49"/>
  <c r="J82" i="49"/>
  <c r="D82" i="49"/>
  <c r="H82" i="49"/>
  <c r="F82" i="48"/>
  <c r="J82" i="48"/>
  <c r="D82" i="48"/>
  <c r="H82" i="48"/>
  <c r="AP65" i="47"/>
  <c r="I80" i="47" s="1"/>
  <c r="J80" i="47" s="1"/>
  <c r="AO65" i="47"/>
  <c r="G80" i="47" s="1"/>
  <c r="H80" i="47" s="1"/>
  <c r="AN65" i="47"/>
  <c r="E80" i="47" s="1"/>
  <c r="F80" i="47" s="1"/>
  <c r="AM65" i="47"/>
  <c r="C80" i="47" s="1"/>
  <c r="D80" i="47" s="1"/>
  <c r="AG65" i="47"/>
  <c r="I79" i="47" s="1"/>
  <c r="J79" i="47" s="1"/>
  <c r="AF65" i="47"/>
  <c r="G79" i="47" s="1"/>
  <c r="H79" i="47" s="1"/>
  <c r="AE65" i="47"/>
  <c r="E79" i="47" s="1"/>
  <c r="F79" i="47" s="1"/>
  <c r="AD65" i="47"/>
  <c r="C79" i="47" s="1"/>
  <c r="D79" i="47" s="1"/>
  <c r="X65" i="47"/>
  <c r="I78" i="47" s="1"/>
  <c r="J78" i="47" s="1"/>
  <c r="W65" i="47"/>
  <c r="G78" i="47" s="1"/>
  <c r="H78" i="47" s="1"/>
  <c r="V65" i="47"/>
  <c r="E78" i="47" s="1"/>
  <c r="F78" i="47" s="1"/>
  <c r="U65" i="47"/>
  <c r="C78" i="47" s="1"/>
  <c r="D78" i="47" s="1"/>
  <c r="O65" i="47"/>
  <c r="I77" i="47" s="1"/>
  <c r="J77" i="47" s="1"/>
  <c r="N65" i="47"/>
  <c r="G77" i="47" s="1"/>
  <c r="H77" i="47" s="1"/>
  <c r="M65" i="47"/>
  <c r="E77" i="47" s="1"/>
  <c r="F77" i="47" s="1"/>
  <c r="L65" i="47"/>
  <c r="C77" i="47" s="1"/>
  <c r="D77" i="47" s="1"/>
  <c r="F65" i="47"/>
  <c r="I76" i="47" s="1"/>
  <c r="J76" i="47" s="1"/>
  <c r="E65" i="47"/>
  <c r="G76" i="47" s="1"/>
  <c r="H76" i="47" s="1"/>
  <c r="D65" i="47"/>
  <c r="E76" i="47" s="1"/>
  <c r="F76" i="47" s="1"/>
  <c r="C65" i="47"/>
  <c r="C76" i="47" s="1"/>
  <c r="D76" i="47" s="1"/>
  <c r="F82" i="47" l="1"/>
  <c r="D82" i="47"/>
  <c r="J82" i="47"/>
  <c r="H82" i="47"/>
  <c r="AQ65" i="46" l="1"/>
  <c r="I80" i="46" s="1"/>
  <c r="J80" i="46" s="1"/>
  <c r="AO65" i="46"/>
  <c r="G80" i="46" s="1"/>
  <c r="H80" i="46" s="1"/>
  <c r="AN65" i="46"/>
  <c r="E80" i="46" s="1"/>
  <c r="F80" i="46" s="1"/>
  <c r="AM65" i="46"/>
  <c r="C80" i="46" s="1"/>
  <c r="D80" i="46" s="1"/>
  <c r="AG65" i="46"/>
  <c r="I79" i="46" s="1"/>
  <c r="J79" i="46" s="1"/>
  <c r="AF65" i="46"/>
  <c r="G79" i="46" s="1"/>
  <c r="H79" i="46" s="1"/>
  <c r="AE65" i="46"/>
  <c r="E79" i="46" s="1"/>
  <c r="F79" i="46" s="1"/>
  <c r="AD65" i="46"/>
  <c r="C79" i="46" s="1"/>
  <c r="D79" i="46" s="1"/>
  <c r="X65" i="46"/>
  <c r="I78" i="46" s="1"/>
  <c r="J78" i="46" s="1"/>
  <c r="W65" i="46"/>
  <c r="G78" i="46" s="1"/>
  <c r="H78" i="46" s="1"/>
  <c r="V65" i="46"/>
  <c r="E78" i="46" s="1"/>
  <c r="F78" i="46" s="1"/>
  <c r="U65" i="46"/>
  <c r="C78" i="46" s="1"/>
  <c r="D78" i="46" s="1"/>
  <c r="O65" i="46"/>
  <c r="I77" i="46" s="1"/>
  <c r="J77" i="46" s="1"/>
  <c r="N65" i="46"/>
  <c r="G77" i="46" s="1"/>
  <c r="H77" i="46" s="1"/>
  <c r="M65" i="46"/>
  <c r="E77" i="46" s="1"/>
  <c r="F77" i="46" s="1"/>
  <c r="L65" i="46"/>
  <c r="C77" i="46" s="1"/>
  <c r="D77" i="46" s="1"/>
  <c r="F65" i="46"/>
  <c r="I76" i="46" s="1"/>
  <c r="J76" i="46" s="1"/>
  <c r="J82" i="46" s="1"/>
  <c r="E65" i="46"/>
  <c r="G76" i="46" s="1"/>
  <c r="H76" i="46" s="1"/>
  <c r="D65" i="46"/>
  <c r="E76" i="46" s="1"/>
  <c r="F76" i="46" s="1"/>
  <c r="C65" i="46"/>
  <c r="C76" i="46" s="1"/>
  <c r="D76" i="46" s="1"/>
  <c r="AQ65" i="45"/>
  <c r="I80" i="45" s="1"/>
  <c r="J80" i="45" s="1"/>
  <c r="AO65" i="45"/>
  <c r="G80" i="45" s="1"/>
  <c r="H80" i="45" s="1"/>
  <c r="AN65" i="45"/>
  <c r="E80" i="45" s="1"/>
  <c r="F80" i="45" s="1"/>
  <c r="AM65" i="45"/>
  <c r="C80" i="45" s="1"/>
  <c r="D80" i="45" s="1"/>
  <c r="AG65" i="45"/>
  <c r="I79" i="45" s="1"/>
  <c r="J79" i="45" s="1"/>
  <c r="AF65" i="45"/>
  <c r="G79" i="45" s="1"/>
  <c r="H79" i="45" s="1"/>
  <c r="AD65" i="45"/>
  <c r="C79" i="45" s="1"/>
  <c r="D79" i="45" s="1"/>
  <c r="X65" i="45"/>
  <c r="I78" i="45" s="1"/>
  <c r="J78" i="45" s="1"/>
  <c r="W65" i="45"/>
  <c r="G78" i="45" s="1"/>
  <c r="H78" i="45" s="1"/>
  <c r="V65" i="45"/>
  <c r="E78" i="45" s="1"/>
  <c r="F78" i="45" s="1"/>
  <c r="U65" i="45"/>
  <c r="C78" i="45" s="1"/>
  <c r="D78" i="45" s="1"/>
  <c r="O65" i="45"/>
  <c r="I77" i="45" s="1"/>
  <c r="J77" i="45" s="1"/>
  <c r="N65" i="45"/>
  <c r="G77" i="45" s="1"/>
  <c r="H77" i="45" s="1"/>
  <c r="M65" i="45"/>
  <c r="E77" i="45" s="1"/>
  <c r="F77" i="45" s="1"/>
  <c r="L65" i="45"/>
  <c r="C77" i="45" s="1"/>
  <c r="D77" i="45" s="1"/>
  <c r="F65" i="45"/>
  <c r="I76" i="45" s="1"/>
  <c r="J76" i="45" s="1"/>
  <c r="E65" i="45"/>
  <c r="G76" i="45" s="1"/>
  <c r="H76" i="45" s="1"/>
  <c r="D65" i="45"/>
  <c r="E76" i="45" s="1"/>
  <c r="F76" i="45" s="1"/>
  <c r="C65" i="45"/>
  <c r="C76" i="45" s="1"/>
  <c r="D76" i="45" s="1"/>
  <c r="AE65" i="45"/>
  <c r="E79" i="45" s="1"/>
  <c r="F79" i="45" s="1"/>
  <c r="AE36" i="44"/>
  <c r="D82" i="46" l="1"/>
  <c r="H82" i="46"/>
  <c r="F82" i="46"/>
  <c r="D82" i="45"/>
  <c r="J82" i="45"/>
  <c r="F82" i="45"/>
  <c r="H82" i="45"/>
  <c r="AQ65" i="44"/>
  <c r="I80" i="44" s="1"/>
  <c r="J80" i="44" s="1"/>
  <c r="AO65" i="44"/>
  <c r="G80" i="44" s="1"/>
  <c r="H80" i="44" s="1"/>
  <c r="AN65" i="44"/>
  <c r="E80" i="44" s="1"/>
  <c r="F80" i="44" s="1"/>
  <c r="AM65" i="44"/>
  <c r="C80" i="44" s="1"/>
  <c r="D80" i="44" s="1"/>
  <c r="AG65" i="44"/>
  <c r="I79" i="44" s="1"/>
  <c r="J79" i="44" s="1"/>
  <c r="AF65" i="44"/>
  <c r="G79" i="44" s="1"/>
  <c r="H79" i="44" s="1"/>
  <c r="AE65" i="44"/>
  <c r="E79" i="44" s="1"/>
  <c r="F79" i="44" s="1"/>
  <c r="AD65" i="44"/>
  <c r="C79" i="44" s="1"/>
  <c r="D79" i="44" s="1"/>
  <c r="X65" i="44"/>
  <c r="I78" i="44" s="1"/>
  <c r="J78" i="44" s="1"/>
  <c r="W65" i="44"/>
  <c r="G78" i="44" s="1"/>
  <c r="H78" i="44" s="1"/>
  <c r="V65" i="44"/>
  <c r="E78" i="44" s="1"/>
  <c r="F78" i="44" s="1"/>
  <c r="U65" i="44"/>
  <c r="C78" i="44" s="1"/>
  <c r="D78" i="44" s="1"/>
  <c r="O65" i="44"/>
  <c r="I77" i="44" s="1"/>
  <c r="J77" i="44" s="1"/>
  <c r="N65" i="44"/>
  <c r="G77" i="44" s="1"/>
  <c r="H77" i="44" s="1"/>
  <c r="M65" i="44"/>
  <c r="E77" i="44" s="1"/>
  <c r="F77" i="44" s="1"/>
  <c r="L65" i="44"/>
  <c r="C77" i="44" s="1"/>
  <c r="D77" i="44" s="1"/>
  <c r="F65" i="44"/>
  <c r="I76" i="44" s="1"/>
  <c r="J76" i="44" s="1"/>
  <c r="E65" i="44"/>
  <c r="G76" i="44" s="1"/>
  <c r="H76" i="44" s="1"/>
  <c r="D65" i="44"/>
  <c r="E76" i="44" s="1"/>
  <c r="F76" i="44" s="1"/>
  <c r="C65" i="44"/>
  <c r="C76" i="44" s="1"/>
  <c r="D76" i="44" s="1"/>
  <c r="E80" i="43"/>
  <c r="F80" i="43" s="1"/>
  <c r="AQ65" i="43"/>
  <c r="I80" i="43" s="1"/>
  <c r="J80" i="43" s="1"/>
  <c r="AO65" i="43"/>
  <c r="G80" i="43" s="1"/>
  <c r="H80" i="43" s="1"/>
  <c r="AN65" i="43"/>
  <c r="AM65" i="43"/>
  <c r="C80" i="43" s="1"/>
  <c r="D80" i="43" s="1"/>
  <c r="AG65" i="43"/>
  <c r="I79" i="43" s="1"/>
  <c r="J79" i="43" s="1"/>
  <c r="AF65" i="43"/>
  <c r="G79" i="43" s="1"/>
  <c r="H79" i="43" s="1"/>
  <c r="AE65" i="43"/>
  <c r="E79" i="43" s="1"/>
  <c r="F79" i="43" s="1"/>
  <c r="AD65" i="43"/>
  <c r="C79" i="43" s="1"/>
  <c r="D79" i="43" s="1"/>
  <c r="X65" i="43"/>
  <c r="I78" i="43" s="1"/>
  <c r="J78" i="43" s="1"/>
  <c r="W65" i="43"/>
  <c r="G78" i="43" s="1"/>
  <c r="H78" i="43" s="1"/>
  <c r="V65" i="43"/>
  <c r="E78" i="43" s="1"/>
  <c r="F78" i="43" s="1"/>
  <c r="U65" i="43"/>
  <c r="C78" i="43" s="1"/>
  <c r="D78" i="43" s="1"/>
  <c r="O65" i="43"/>
  <c r="I77" i="43" s="1"/>
  <c r="J77" i="43" s="1"/>
  <c r="N65" i="43"/>
  <c r="G77" i="43" s="1"/>
  <c r="H77" i="43" s="1"/>
  <c r="M65" i="43"/>
  <c r="E77" i="43" s="1"/>
  <c r="F77" i="43" s="1"/>
  <c r="L65" i="43"/>
  <c r="C77" i="43" s="1"/>
  <c r="D77" i="43" s="1"/>
  <c r="F65" i="43"/>
  <c r="I76" i="43" s="1"/>
  <c r="J76" i="43" s="1"/>
  <c r="J82" i="43" s="1"/>
  <c r="E65" i="43"/>
  <c r="G76" i="43" s="1"/>
  <c r="H76" i="43" s="1"/>
  <c r="D65" i="43"/>
  <c r="E76" i="43" s="1"/>
  <c r="F76" i="43" s="1"/>
  <c r="C65" i="43"/>
  <c r="C76" i="43" s="1"/>
  <c r="D76" i="43" s="1"/>
  <c r="AQ65" i="42"/>
  <c r="I80" i="42" s="1"/>
  <c r="J80" i="42" s="1"/>
  <c r="AO65" i="42"/>
  <c r="G80" i="42" s="1"/>
  <c r="H80" i="42" s="1"/>
  <c r="AN65" i="42"/>
  <c r="E80" i="42" s="1"/>
  <c r="F80" i="42" s="1"/>
  <c r="AM65" i="42"/>
  <c r="C80" i="42" s="1"/>
  <c r="D80" i="42" s="1"/>
  <c r="AG65" i="42"/>
  <c r="I79" i="42" s="1"/>
  <c r="J79" i="42" s="1"/>
  <c r="AF65" i="42"/>
  <c r="G79" i="42" s="1"/>
  <c r="H79" i="42" s="1"/>
  <c r="AE65" i="42"/>
  <c r="E79" i="42" s="1"/>
  <c r="F79" i="42" s="1"/>
  <c r="AD65" i="42"/>
  <c r="C79" i="42" s="1"/>
  <c r="D79" i="42" s="1"/>
  <c r="X65" i="42"/>
  <c r="I78" i="42" s="1"/>
  <c r="J78" i="42" s="1"/>
  <c r="W65" i="42"/>
  <c r="G78" i="42" s="1"/>
  <c r="H78" i="42" s="1"/>
  <c r="V65" i="42"/>
  <c r="E78" i="42" s="1"/>
  <c r="F78" i="42" s="1"/>
  <c r="U65" i="42"/>
  <c r="C78" i="42" s="1"/>
  <c r="D78" i="42" s="1"/>
  <c r="O65" i="42"/>
  <c r="I77" i="42" s="1"/>
  <c r="J77" i="42" s="1"/>
  <c r="N65" i="42"/>
  <c r="G77" i="42" s="1"/>
  <c r="H77" i="42" s="1"/>
  <c r="M65" i="42"/>
  <c r="E77" i="42" s="1"/>
  <c r="F77" i="42" s="1"/>
  <c r="L65" i="42"/>
  <c r="C77" i="42" s="1"/>
  <c r="D77" i="42" s="1"/>
  <c r="F65" i="42"/>
  <c r="I76" i="42" s="1"/>
  <c r="J76" i="42" s="1"/>
  <c r="J82" i="42" s="1"/>
  <c r="E65" i="42"/>
  <c r="G76" i="42" s="1"/>
  <c r="H76" i="42" s="1"/>
  <c r="D65" i="42"/>
  <c r="E76" i="42" s="1"/>
  <c r="F76" i="42" s="1"/>
  <c r="C65" i="42"/>
  <c r="C76" i="42" s="1"/>
  <c r="D76" i="42" s="1"/>
  <c r="AQ65" i="41"/>
  <c r="I80" i="41" s="1"/>
  <c r="J80" i="41" s="1"/>
  <c r="AO65" i="41"/>
  <c r="G80" i="41" s="1"/>
  <c r="H80" i="41" s="1"/>
  <c r="AN65" i="41"/>
  <c r="E80" i="41" s="1"/>
  <c r="F80" i="41" s="1"/>
  <c r="AM65" i="41"/>
  <c r="C80" i="41" s="1"/>
  <c r="D80" i="41" s="1"/>
  <c r="AG65" i="41"/>
  <c r="I79" i="41" s="1"/>
  <c r="J79" i="41" s="1"/>
  <c r="AF65" i="41"/>
  <c r="G79" i="41" s="1"/>
  <c r="H79" i="41" s="1"/>
  <c r="AE65" i="41"/>
  <c r="E79" i="41" s="1"/>
  <c r="F79" i="41" s="1"/>
  <c r="AD65" i="41"/>
  <c r="C79" i="41" s="1"/>
  <c r="D79" i="41" s="1"/>
  <c r="X65" i="41"/>
  <c r="I78" i="41" s="1"/>
  <c r="J78" i="41" s="1"/>
  <c r="W65" i="41"/>
  <c r="G78" i="41" s="1"/>
  <c r="H78" i="41" s="1"/>
  <c r="V65" i="41"/>
  <c r="E78" i="41" s="1"/>
  <c r="F78" i="41" s="1"/>
  <c r="U65" i="41"/>
  <c r="C78" i="41" s="1"/>
  <c r="D78" i="41" s="1"/>
  <c r="O65" i="41"/>
  <c r="I77" i="41" s="1"/>
  <c r="J77" i="41" s="1"/>
  <c r="N65" i="41"/>
  <c r="G77" i="41" s="1"/>
  <c r="H77" i="41" s="1"/>
  <c r="M65" i="41"/>
  <c r="E77" i="41" s="1"/>
  <c r="F77" i="41" s="1"/>
  <c r="L65" i="41"/>
  <c r="C77" i="41" s="1"/>
  <c r="D77" i="41" s="1"/>
  <c r="F65" i="41"/>
  <c r="I76" i="41" s="1"/>
  <c r="J76" i="41" s="1"/>
  <c r="E65" i="41"/>
  <c r="G76" i="41" s="1"/>
  <c r="H76" i="41" s="1"/>
  <c r="D65" i="41"/>
  <c r="E76" i="41" s="1"/>
  <c r="F76" i="41" s="1"/>
  <c r="C65" i="41"/>
  <c r="C76" i="41" s="1"/>
  <c r="D76" i="41" s="1"/>
  <c r="D82" i="44" l="1"/>
  <c r="H82" i="44"/>
  <c r="J82" i="44"/>
  <c r="F82" i="44"/>
  <c r="H82" i="43"/>
  <c r="D82" i="43"/>
  <c r="F82" i="43"/>
  <c r="F82" i="42"/>
  <c r="D82" i="42"/>
  <c r="H82" i="42"/>
  <c r="J82" i="41"/>
  <c r="D82" i="41"/>
  <c r="F82" i="41"/>
  <c r="H82" i="41"/>
  <c r="AQ65" i="40" l="1"/>
  <c r="I80" i="40" s="1"/>
  <c r="J80" i="40" s="1"/>
  <c r="AO65" i="40"/>
  <c r="G80" i="40" s="1"/>
  <c r="H80" i="40" s="1"/>
  <c r="AN65" i="40"/>
  <c r="E80" i="40" s="1"/>
  <c r="F80" i="40" s="1"/>
  <c r="AM65" i="40"/>
  <c r="C80" i="40" s="1"/>
  <c r="D80" i="40" s="1"/>
  <c r="AG65" i="40"/>
  <c r="I79" i="40" s="1"/>
  <c r="J79" i="40" s="1"/>
  <c r="AF65" i="40"/>
  <c r="G79" i="40" s="1"/>
  <c r="H79" i="40" s="1"/>
  <c r="AE65" i="40"/>
  <c r="E79" i="40" s="1"/>
  <c r="F79" i="40" s="1"/>
  <c r="AD65" i="40"/>
  <c r="C79" i="40" s="1"/>
  <c r="D79" i="40" s="1"/>
  <c r="X65" i="40"/>
  <c r="I78" i="40" s="1"/>
  <c r="J78" i="40" s="1"/>
  <c r="V65" i="40"/>
  <c r="E78" i="40" s="1"/>
  <c r="F78" i="40" s="1"/>
  <c r="U65" i="40"/>
  <c r="C78" i="40" s="1"/>
  <c r="D78" i="40" s="1"/>
  <c r="O65" i="40"/>
  <c r="I77" i="40" s="1"/>
  <c r="J77" i="40" s="1"/>
  <c r="N65" i="40"/>
  <c r="G77" i="40" s="1"/>
  <c r="H77" i="40" s="1"/>
  <c r="M65" i="40"/>
  <c r="E77" i="40" s="1"/>
  <c r="F77" i="40" s="1"/>
  <c r="L65" i="40"/>
  <c r="C77" i="40" s="1"/>
  <c r="D77" i="40" s="1"/>
  <c r="F65" i="40"/>
  <c r="I76" i="40" s="1"/>
  <c r="J76" i="40" s="1"/>
  <c r="E65" i="40"/>
  <c r="G76" i="40" s="1"/>
  <c r="H76" i="40" s="1"/>
  <c r="D65" i="40"/>
  <c r="E76" i="40" s="1"/>
  <c r="F76" i="40" s="1"/>
  <c r="C65" i="40"/>
  <c r="C76" i="40" s="1"/>
  <c r="D76" i="40" s="1"/>
  <c r="W65" i="40"/>
  <c r="G78" i="40" s="1"/>
  <c r="H78" i="40" s="1"/>
  <c r="AF32" i="39"/>
  <c r="W17" i="39"/>
  <c r="E17" i="39"/>
  <c r="E13" i="39"/>
  <c r="E3" i="39"/>
  <c r="H82" i="40" l="1"/>
  <c r="D82" i="40"/>
  <c r="J82" i="40"/>
  <c r="F82" i="40"/>
  <c r="AQ65" i="39"/>
  <c r="I80" i="39" s="1"/>
  <c r="J80" i="39" s="1"/>
  <c r="AO65" i="39"/>
  <c r="G80" i="39" s="1"/>
  <c r="H80" i="39" s="1"/>
  <c r="AN65" i="39"/>
  <c r="E80" i="39" s="1"/>
  <c r="F80" i="39" s="1"/>
  <c r="AM65" i="39"/>
  <c r="C80" i="39" s="1"/>
  <c r="D80" i="39" s="1"/>
  <c r="AG65" i="39"/>
  <c r="I79" i="39" s="1"/>
  <c r="J79" i="39" s="1"/>
  <c r="AE65" i="39"/>
  <c r="E79" i="39" s="1"/>
  <c r="F79" i="39" s="1"/>
  <c r="AD65" i="39"/>
  <c r="C79" i="39" s="1"/>
  <c r="D79" i="39" s="1"/>
  <c r="X65" i="39"/>
  <c r="I78" i="39" s="1"/>
  <c r="J78" i="39" s="1"/>
  <c r="V65" i="39"/>
  <c r="E78" i="39" s="1"/>
  <c r="F78" i="39" s="1"/>
  <c r="U65" i="39"/>
  <c r="C78" i="39" s="1"/>
  <c r="D78" i="39" s="1"/>
  <c r="O65" i="39"/>
  <c r="I77" i="39" s="1"/>
  <c r="J77" i="39" s="1"/>
  <c r="N65" i="39"/>
  <c r="G77" i="39" s="1"/>
  <c r="H77" i="39" s="1"/>
  <c r="M65" i="39"/>
  <c r="E77" i="39" s="1"/>
  <c r="F77" i="39" s="1"/>
  <c r="L65" i="39"/>
  <c r="C77" i="39" s="1"/>
  <c r="D77" i="39" s="1"/>
  <c r="F65" i="39"/>
  <c r="I76" i="39" s="1"/>
  <c r="J76" i="39" s="1"/>
  <c r="D65" i="39"/>
  <c r="E76" i="39" s="1"/>
  <c r="F76" i="39" s="1"/>
  <c r="C65" i="39"/>
  <c r="C76" i="39" s="1"/>
  <c r="D76" i="39" s="1"/>
  <c r="W65" i="39"/>
  <c r="G78" i="39" s="1"/>
  <c r="H78" i="39" s="1"/>
  <c r="AF65" i="39"/>
  <c r="G79" i="39" s="1"/>
  <c r="H79" i="39" s="1"/>
  <c r="E65" i="39"/>
  <c r="G76" i="39" s="1"/>
  <c r="H76" i="39" s="1"/>
  <c r="AF60" i="37"/>
  <c r="W60" i="37"/>
  <c r="E60" i="37"/>
  <c r="E59" i="37"/>
  <c r="AF58" i="37"/>
  <c r="W58" i="37"/>
  <c r="E57" i="37"/>
  <c r="W57" i="37"/>
  <c r="E56" i="37"/>
  <c r="D82" i="39" l="1"/>
  <c r="H82" i="39"/>
  <c r="J82" i="39"/>
  <c r="F82" i="39"/>
  <c r="W46" i="37"/>
  <c r="W45" i="37"/>
  <c r="W40" i="37"/>
  <c r="E40" i="37"/>
  <c r="AF38" i="37"/>
  <c r="W38" i="37"/>
  <c r="E38" i="37"/>
  <c r="AO34" i="37"/>
  <c r="W30" i="37"/>
  <c r="W27" i="37"/>
  <c r="AF21" i="37"/>
  <c r="E4" i="37" l="1"/>
  <c r="E11" i="37"/>
  <c r="E9" i="37"/>
  <c r="W5" i="37"/>
  <c r="E5" i="37"/>
  <c r="W4" i="37"/>
  <c r="C80" i="36" l="1"/>
  <c r="AP65" i="36" l="1"/>
  <c r="I80" i="36" s="1"/>
  <c r="AQ65" i="37" l="1"/>
  <c r="AO65" i="37"/>
  <c r="G80" i="37" s="1"/>
  <c r="H80" i="37" s="1"/>
  <c r="AN65" i="37"/>
  <c r="E80" i="37" s="1"/>
  <c r="F80" i="37" s="1"/>
  <c r="AM65" i="37"/>
  <c r="C80" i="37" s="1"/>
  <c r="D80" i="37" s="1"/>
  <c r="AG65" i="37"/>
  <c r="I79" i="37" s="1"/>
  <c r="J79" i="37" s="1"/>
  <c r="AF65" i="37"/>
  <c r="G79" i="37" s="1"/>
  <c r="H79" i="37" s="1"/>
  <c r="AE65" i="37"/>
  <c r="E79" i="37" s="1"/>
  <c r="F79" i="37" s="1"/>
  <c r="AD65" i="37"/>
  <c r="C79" i="37" s="1"/>
  <c r="D79" i="37" s="1"/>
  <c r="X65" i="37"/>
  <c r="I78" i="37" s="1"/>
  <c r="J78" i="37" s="1"/>
  <c r="W65" i="37"/>
  <c r="G78" i="37" s="1"/>
  <c r="H78" i="37" s="1"/>
  <c r="V65" i="37"/>
  <c r="E78" i="37" s="1"/>
  <c r="F78" i="37" s="1"/>
  <c r="U65" i="37"/>
  <c r="C78" i="37" s="1"/>
  <c r="D78" i="37" s="1"/>
  <c r="O65" i="37"/>
  <c r="I77" i="37" s="1"/>
  <c r="J77" i="37" s="1"/>
  <c r="N65" i="37"/>
  <c r="G77" i="37" s="1"/>
  <c r="H77" i="37" s="1"/>
  <c r="M65" i="37"/>
  <c r="E77" i="37" s="1"/>
  <c r="F77" i="37" s="1"/>
  <c r="L65" i="37"/>
  <c r="C77" i="37" s="1"/>
  <c r="D77" i="37" s="1"/>
  <c r="F65" i="37"/>
  <c r="I76" i="37" s="1"/>
  <c r="J76" i="37" s="1"/>
  <c r="E65" i="37"/>
  <c r="G76" i="37" s="1"/>
  <c r="H76" i="37" s="1"/>
  <c r="D65" i="37"/>
  <c r="E76" i="37" s="1"/>
  <c r="F76" i="37" s="1"/>
  <c r="C65" i="37"/>
  <c r="C76" i="37" s="1"/>
  <c r="D76" i="37" s="1"/>
  <c r="AQ65" i="36"/>
  <c r="J80" i="36" s="1"/>
  <c r="AO65" i="36"/>
  <c r="G80" i="36" s="1"/>
  <c r="H80" i="36" s="1"/>
  <c r="AN65" i="36"/>
  <c r="E80" i="36" s="1"/>
  <c r="F80" i="36" s="1"/>
  <c r="AM65" i="36"/>
  <c r="D80" i="36" s="1"/>
  <c r="AG65" i="36"/>
  <c r="I79" i="36" s="1"/>
  <c r="J79" i="36" s="1"/>
  <c r="AF65" i="36"/>
  <c r="G79" i="36" s="1"/>
  <c r="H79" i="36" s="1"/>
  <c r="AE65" i="36"/>
  <c r="E79" i="36" s="1"/>
  <c r="F79" i="36" s="1"/>
  <c r="AD65" i="36"/>
  <c r="C79" i="36" s="1"/>
  <c r="D79" i="36" s="1"/>
  <c r="X65" i="36"/>
  <c r="I78" i="36" s="1"/>
  <c r="J78" i="36" s="1"/>
  <c r="W65" i="36"/>
  <c r="G78" i="36" s="1"/>
  <c r="H78" i="36" s="1"/>
  <c r="V65" i="36"/>
  <c r="E78" i="36" s="1"/>
  <c r="F78" i="36" s="1"/>
  <c r="U65" i="36"/>
  <c r="C78" i="36" s="1"/>
  <c r="D78" i="36" s="1"/>
  <c r="O65" i="36"/>
  <c r="I77" i="36" s="1"/>
  <c r="J77" i="36" s="1"/>
  <c r="N65" i="36"/>
  <c r="G77" i="36" s="1"/>
  <c r="H77" i="36" s="1"/>
  <c r="M65" i="36"/>
  <c r="E77" i="36" s="1"/>
  <c r="F77" i="36" s="1"/>
  <c r="L65" i="36"/>
  <c r="C77" i="36" s="1"/>
  <c r="D77" i="36" s="1"/>
  <c r="F65" i="36"/>
  <c r="I76" i="36" s="1"/>
  <c r="J76" i="36" s="1"/>
  <c r="D65" i="36"/>
  <c r="E76" i="36" s="1"/>
  <c r="F76" i="36" s="1"/>
  <c r="C65" i="36"/>
  <c r="C76" i="36" s="1"/>
  <c r="D76" i="36" s="1"/>
  <c r="E65" i="36"/>
  <c r="G76" i="36" s="1"/>
  <c r="H76" i="36" s="1"/>
  <c r="E25" i="35"/>
  <c r="J82" i="36" l="1"/>
  <c r="I80" i="37"/>
  <c r="J80" i="37" s="1"/>
  <c r="J82" i="37" s="1"/>
  <c r="H82" i="37"/>
  <c r="D82" i="37"/>
  <c r="F82" i="37"/>
  <c r="H82" i="36"/>
  <c r="D82" i="36"/>
  <c r="F82" i="36"/>
  <c r="AQ65" i="35"/>
  <c r="I80" i="35" s="1"/>
  <c r="J80" i="35" s="1"/>
  <c r="AO65" i="35"/>
  <c r="G80" i="35" s="1"/>
  <c r="H80" i="35" s="1"/>
  <c r="AN65" i="35"/>
  <c r="E80" i="35" s="1"/>
  <c r="F80" i="35" s="1"/>
  <c r="AM65" i="35"/>
  <c r="C80" i="35" s="1"/>
  <c r="D80" i="35" s="1"/>
  <c r="AG65" i="35"/>
  <c r="I79" i="35" s="1"/>
  <c r="J79" i="35" s="1"/>
  <c r="AF65" i="35"/>
  <c r="G79" i="35" s="1"/>
  <c r="H79" i="35" s="1"/>
  <c r="AE65" i="35"/>
  <c r="E79" i="35" s="1"/>
  <c r="F79" i="35" s="1"/>
  <c r="AD65" i="35"/>
  <c r="C79" i="35" s="1"/>
  <c r="D79" i="35" s="1"/>
  <c r="X65" i="35"/>
  <c r="I78" i="35" s="1"/>
  <c r="J78" i="35" s="1"/>
  <c r="V65" i="35"/>
  <c r="E78" i="35" s="1"/>
  <c r="F78" i="35" s="1"/>
  <c r="U65" i="35"/>
  <c r="C78" i="35" s="1"/>
  <c r="D78" i="35" s="1"/>
  <c r="O65" i="35"/>
  <c r="I77" i="35" s="1"/>
  <c r="J77" i="35" s="1"/>
  <c r="N65" i="35"/>
  <c r="G77" i="35" s="1"/>
  <c r="H77" i="35" s="1"/>
  <c r="M65" i="35"/>
  <c r="E77" i="35" s="1"/>
  <c r="F77" i="35" s="1"/>
  <c r="L65" i="35"/>
  <c r="C77" i="35" s="1"/>
  <c r="D77" i="35" s="1"/>
  <c r="F65" i="35"/>
  <c r="I76" i="35" s="1"/>
  <c r="J76" i="35" s="1"/>
  <c r="D65" i="35"/>
  <c r="E76" i="35" s="1"/>
  <c r="F76" i="35" s="1"/>
  <c r="W65" i="35"/>
  <c r="G78" i="35" s="1"/>
  <c r="H78" i="35" s="1"/>
  <c r="E65" i="35"/>
  <c r="G76" i="35" s="1"/>
  <c r="H76" i="35" s="1"/>
  <c r="C65" i="35"/>
  <c r="C76" i="35" s="1"/>
  <c r="D76" i="35" s="1"/>
  <c r="D82" i="35" l="1"/>
  <c r="F82" i="35"/>
  <c r="J82" i="35"/>
  <c r="H82" i="35"/>
  <c r="W55" i="34"/>
  <c r="W51" i="34"/>
  <c r="W50" i="34"/>
  <c r="W48" i="34"/>
  <c r="W38" i="34"/>
  <c r="D28" i="34"/>
  <c r="D26" i="34"/>
  <c r="E24" i="34" l="1"/>
  <c r="E23" i="34"/>
  <c r="E22" i="34"/>
  <c r="AF15" i="34" l="1"/>
  <c r="W15" i="34"/>
  <c r="E12" i="34"/>
  <c r="W12" i="34"/>
  <c r="W11" i="34"/>
  <c r="E11" i="34"/>
  <c r="C8" i="34"/>
  <c r="W8" i="34"/>
  <c r="AF6" i="34"/>
  <c r="AQ65" i="34" l="1"/>
  <c r="I80" i="34" s="1"/>
  <c r="J80" i="34" s="1"/>
  <c r="AO65" i="34"/>
  <c r="G80" i="34" s="1"/>
  <c r="H80" i="34" s="1"/>
  <c r="AN65" i="34"/>
  <c r="E80" i="34" s="1"/>
  <c r="F80" i="34" s="1"/>
  <c r="AM65" i="34"/>
  <c r="C80" i="34" s="1"/>
  <c r="D80" i="34" s="1"/>
  <c r="AG65" i="34"/>
  <c r="I79" i="34" s="1"/>
  <c r="J79" i="34" s="1"/>
  <c r="AF65" i="34"/>
  <c r="G79" i="34" s="1"/>
  <c r="H79" i="34" s="1"/>
  <c r="AE65" i="34"/>
  <c r="E79" i="34" s="1"/>
  <c r="F79" i="34" s="1"/>
  <c r="AD65" i="34"/>
  <c r="C79" i="34" s="1"/>
  <c r="D79" i="34" s="1"/>
  <c r="X65" i="34"/>
  <c r="I78" i="34" s="1"/>
  <c r="J78" i="34" s="1"/>
  <c r="W65" i="34"/>
  <c r="G78" i="34" s="1"/>
  <c r="H78" i="34" s="1"/>
  <c r="V65" i="34"/>
  <c r="E78" i="34" s="1"/>
  <c r="F78" i="34" s="1"/>
  <c r="U65" i="34"/>
  <c r="C78" i="34" s="1"/>
  <c r="D78" i="34" s="1"/>
  <c r="O65" i="34"/>
  <c r="I77" i="34" s="1"/>
  <c r="J77" i="34" s="1"/>
  <c r="N65" i="34"/>
  <c r="G77" i="34" s="1"/>
  <c r="H77" i="34" s="1"/>
  <c r="M65" i="34"/>
  <c r="E77" i="34" s="1"/>
  <c r="F77" i="34" s="1"/>
  <c r="L65" i="34"/>
  <c r="C77" i="34" s="1"/>
  <c r="D77" i="34" s="1"/>
  <c r="F65" i="34"/>
  <c r="I76" i="34" s="1"/>
  <c r="J76" i="34" s="1"/>
  <c r="J82" i="34" s="1"/>
  <c r="E65" i="34"/>
  <c r="G76" i="34" s="1"/>
  <c r="H76" i="34" s="1"/>
  <c r="D65" i="34"/>
  <c r="E76" i="34" s="1"/>
  <c r="F76" i="34" s="1"/>
  <c r="C65" i="34"/>
  <c r="C76" i="34" s="1"/>
  <c r="D76" i="34" s="1"/>
  <c r="D82" i="34" l="1"/>
  <c r="F82" i="34"/>
  <c r="H82" i="34"/>
  <c r="AQ65" i="33"/>
  <c r="I80" i="33" s="1"/>
  <c r="J80" i="33" s="1"/>
  <c r="AO65" i="33"/>
  <c r="G80" i="33" s="1"/>
  <c r="H80" i="33" s="1"/>
  <c r="AN65" i="33"/>
  <c r="E80" i="33" s="1"/>
  <c r="F80" i="33" s="1"/>
  <c r="AM65" i="33"/>
  <c r="C80" i="33" s="1"/>
  <c r="D80" i="33" s="1"/>
  <c r="AG65" i="33"/>
  <c r="I79" i="33" s="1"/>
  <c r="J79" i="33" s="1"/>
  <c r="AF65" i="33"/>
  <c r="G79" i="33" s="1"/>
  <c r="H79" i="33" s="1"/>
  <c r="AE65" i="33"/>
  <c r="E79" i="33" s="1"/>
  <c r="F79" i="33" s="1"/>
  <c r="AD65" i="33"/>
  <c r="C79" i="33" s="1"/>
  <c r="D79" i="33" s="1"/>
  <c r="X65" i="33"/>
  <c r="I78" i="33" s="1"/>
  <c r="J78" i="33" s="1"/>
  <c r="W65" i="33"/>
  <c r="G78" i="33" s="1"/>
  <c r="H78" i="33" s="1"/>
  <c r="V65" i="33"/>
  <c r="E78" i="33" s="1"/>
  <c r="F78" i="33" s="1"/>
  <c r="U65" i="33"/>
  <c r="C78" i="33" s="1"/>
  <c r="D78" i="33" s="1"/>
  <c r="O65" i="33"/>
  <c r="I77" i="33" s="1"/>
  <c r="J77" i="33" s="1"/>
  <c r="N65" i="33"/>
  <c r="G77" i="33" s="1"/>
  <c r="H77" i="33" s="1"/>
  <c r="M65" i="33"/>
  <c r="E77" i="33" s="1"/>
  <c r="F77" i="33" s="1"/>
  <c r="L65" i="33"/>
  <c r="C77" i="33" s="1"/>
  <c r="D77" i="33" s="1"/>
  <c r="F65" i="33"/>
  <c r="I76" i="33" s="1"/>
  <c r="J76" i="33" s="1"/>
  <c r="E65" i="33"/>
  <c r="G76" i="33" s="1"/>
  <c r="H76" i="33" s="1"/>
  <c r="D65" i="33"/>
  <c r="E76" i="33" s="1"/>
  <c r="F76" i="33" s="1"/>
  <c r="C65" i="33"/>
  <c r="C76" i="33" s="1"/>
  <c r="D76" i="33" s="1"/>
  <c r="AP65" i="32"/>
  <c r="I80" i="32" s="1"/>
  <c r="J80" i="32" s="1"/>
  <c r="AO65" i="32"/>
  <c r="G80" i="32" s="1"/>
  <c r="H80" i="32" s="1"/>
  <c r="AN65" i="32"/>
  <c r="E80" i="32" s="1"/>
  <c r="F80" i="32" s="1"/>
  <c r="AM65" i="32"/>
  <c r="C80" i="32" s="1"/>
  <c r="D80" i="32" s="1"/>
  <c r="AG65" i="32"/>
  <c r="I79" i="32" s="1"/>
  <c r="J79" i="32" s="1"/>
  <c r="AF65" i="32"/>
  <c r="G79" i="32" s="1"/>
  <c r="H79" i="32" s="1"/>
  <c r="AE65" i="32"/>
  <c r="E79" i="32" s="1"/>
  <c r="F79" i="32" s="1"/>
  <c r="AD65" i="32"/>
  <c r="C79" i="32" s="1"/>
  <c r="D79" i="32" s="1"/>
  <c r="X65" i="32"/>
  <c r="I78" i="32" s="1"/>
  <c r="J78" i="32" s="1"/>
  <c r="W65" i="32"/>
  <c r="G78" i="32" s="1"/>
  <c r="H78" i="32" s="1"/>
  <c r="V65" i="32"/>
  <c r="E78" i="32" s="1"/>
  <c r="F78" i="32" s="1"/>
  <c r="U65" i="32"/>
  <c r="C78" i="32" s="1"/>
  <c r="D78" i="32" s="1"/>
  <c r="O65" i="32"/>
  <c r="I77" i="32" s="1"/>
  <c r="J77" i="32" s="1"/>
  <c r="N65" i="32"/>
  <c r="G77" i="32" s="1"/>
  <c r="H77" i="32" s="1"/>
  <c r="M65" i="32"/>
  <c r="E77" i="32" s="1"/>
  <c r="F77" i="32" s="1"/>
  <c r="L65" i="32"/>
  <c r="C77" i="32" s="1"/>
  <c r="D77" i="32" s="1"/>
  <c r="F65" i="32"/>
  <c r="I76" i="32" s="1"/>
  <c r="J76" i="32" s="1"/>
  <c r="E65" i="32"/>
  <c r="G76" i="32" s="1"/>
  <c r="H76" i="32" s="1"/>
  <c r="D65" i="32"/>
  <c r="E76" i="32" s="1"/>
  <c r="F76" i="32" s="1"/>
  <c r="C65" i="32"/>
  <c r="C76" i="32" s="1"/>
  <c r="D76" i="32" s="1"/>
  <c r="D82" i="33" l="1"/>
  <c r="H82" i="33"/>
  <c r="J82" i="33"/>
  <c r="F82" i="33"/>
  <c r="J82" i="32"/>
  <c r="D82" i="32"/>
  <c r="H82" i="32"/>
  <c r="F82" i="32"/>
  <c r="AP65" i="31" l="1"/>
  <c r="I80" i="31" s="1"/>
  <c r="J80" i="31" s="1"/>
  <c r="AO65" i="31"/>
  <c r="G80" i="31" s="1"/>
  <c r="H80" i="31" s="1"/>
  <c r="AN65" i="31"/>
  <c r="E80" i="31" s="1"/>
  <c r="F80" i="31" s="1"/>
  <c r="AM65" i="31"/>
  <c r="C80" i="31" s="1"/>
  <c r="D80" i="31" s="1"/>
  <c r="AG65" i="31"/>
  <c r="I79" i="31" s="1"/>
  <c r="J79" i="31" s="1"/>
  <c r="AF65" i="31"/>
  <c r="G79" i="31" s="1"/>
  <c r="H79" i="31" s="1"/>
  <c r="AE65" i="31"/>
  <c r="E79" i="31" s="1"/>
  <c r="F79" i="31" s="1"/>
  <c r="AD65" i="31"/>
  <c r="C79" i="31" s="1"/>
  <c r="D79" i="31" s="1"/>
  <c r="X65" i="31"/>
  <c r="I78" i="31" s="1"/>
  <c r="J78" i="31" s="1"/>
  <c r="W65" i="31"/>
  <c r="G78" i="31" s="1"/>
  <c r="H78" i="31" s="1"/>
  <c r="V65" i="31"/>
  <c r="E78" i="31" s="1"/>
  <c r="F78" i="31" s="1"/>
  <c r="U65" i="31"/>
  <c r="C78" i="31" s="1"/>
  <c r="D78" i="31" s="1"/>
  <c r="O65" i="31"/>
  <c r="I77" i="31" s="1"/>
  <c r="J77" i="31" s="1"/>
  <c r="N65" i="31"/>
  <c r="G77" i="31" s="1"/>
  <c r="H77" i="31" s="1"/>
  <c r="M65" i="31"/>
  <c r="E77" i="31" s="1"/>
  <c r="F77" i="31" s="1"/>
  <c r="L65" i="31"/>
  <c r="C77" i="31" s="1"/>
  <c r="D77" i="31" s="1"/>
  <c r="F65" i="31"/>
  <c r="I76" i="31" s="1"/>
  <c r="J76" i="31" s="1"/>
  <c r="E65" i="31"/>
  <c r="G76" i="31" s="1"/>
  <c r="H76" i="31" s="1"/>
  <c r="D65" i="31"/>
  <c r="E76" i="31" s="1"/>
  <c r="F76" i="31" s="1"/>
  <c r="C65" i="31"/>
  <c r="C76" i="31" s="1"/>
  <c r="D76" i="31" s="1"/>
  <c r="J82" i="31" l="1"/>
  <c r="D82" i="31"/>
  <c r="F82" i="31"/>
  <c r="H82" i="31"/>
  <c r="AP65" i="30" l="1"/>
  <c r="I80" i="30" s="1"/>
  <c r="J80" i="30" s="1"/>
  <c r="AO65" i="30"/>
  <c r="G80" i="30" s="1"/>
  <c r="H80" i="30" s="1"/>
  <c r="AN65" i="30"/>
  <c r="E80" i="30" s="1"/>
  <c r="F80" i="30" s="1"/>
  <c r="AM65" i="30"/>
  <c r="C80" i="30" s="1"/>
  <c r="D80" i="30" s="1"/>
  <c r="AG65" i="30"/>
  <c r="I79" i="30" s="1"/>
  <c r="J79" i="30" s="1"/>
  <c r="AF65" i="30"/>
  <c r="G79" i="30" s="1"/>
  <c r="H79" i="30" s="1"/>
  <c r="AE65" i="30"/>
  <c r="E79" i="30" s="1"/>
  <c r="F79" i="30" s="1"/>
  <c r="AD65" i="30"/>
  <c r="C79" i="30" s="1"/>
  <c r="D79" i="30" s="1"/>
  <c r="X65" i="30"/>
  <c r="I78" i="30" s="1"/>
  <c r="J78" i="30" s="1"/>
  <c r="W65" i="30"/>
  <c r="G78" i="30" s="1"/>
  <c r="H78" i="30" s="1"/>
  <c r="V65" i="30"/>
  <c r="E78" i="30" s="1"/>
  <c r="F78" i="30" s="1"/>
  <c r="U65" i="30"/>
  <c r="C78" i="30" s="1"/>
  <c r="D78" i="30" s="1"/>
  <c r="O65" i="30"/>
  <c r="I77" i="30" s="1"/>
  <c r="J77" i="30" s="1"/>
  <c r="N65" i="30"/>
  <c r="G77" i="30" s="1"/>
  <c r="H77" i="30" s="1"/>
  <c r="M65" i="30"/>
  <c r="E77" i="30" s="1"/>
  <c r="F77" i="30" s="1"/>
  <c r="L65" i="30"/>
  <c r="C77" i="30" s="1"/>
  <c r="D77" i="30" s="1"/>
  <c r="F65" i="30"/>
  <c r="I76" i="30" s="1"/>
  <c r="J76" i="30" s="1"/>
  <c r="E65" i="30"/>
  <c r="G76" i="30" s="1"/>
  <c r="H76" i="30" s="1"/>
  <c r="D65" i="30"/>
  <c r="E76" i="30" s="1"/>
  <c r="F76" i="30" s="1"/>
  <c r="C65" i="30"/>
  <c r="C76" i="30" s="1"/>
  <c r="D76" i="30" s="1"/>
  <c r="D82" i="30" l="1"/>
  <c r="H82" i="30"/>
  <c r="J82" i="30"/>
  <c r="F82" i="30"/>
  <c r="AP65" i="29" l="1"/>
  <c r="I80" i="29" s="1"/>
  <c r="J80" i="29" s="1"/>
  <c r="AO65" i="29"/>
  <c r="G80" i="29" s="1"/>
  <c r="H80" i="29" s="1"/>
  <c r="AN65" i="29"/>
  <c r="E80" i="29" s="1"/>
  <c r="F80" i="29" s="1"/>
  <c r="AM65" i="29"/>
  <c r="C80" i="29" s="1"/>
  <c r="D80" i="29" s="1"/>
  <c r="AG65" i="29"/>
  <c r="I79" i="29" s="1"/>
  <c r="J79" i="29" s="1"/>
  <c r="AF65" i="29"/>
  <c r="G79" i="29" s="1"/>
  <c r="H79" i="29" s="1"/>
  <c r="AE65" i="29"/>
  <c r="E79" i="29" s="1"/>
  <c r="F79" i="29" s="1"/>
  <c r="AD65" i="29"/>
  <c r="C79" i="29" s="1"/>
  <c r="D79" i="29" s="1"/>
  <c r="X65" i="29"/>
  <c r="I78" i="29" s="1"/>
  <c r="J78" i="29" s="1"/>
  <c r="W65" i="29"/>
  <c r="G78" i="29" s="1"/>
  <c r="H78" i="29" s="1"/>
  <c r="V65" i="29"/>
  <c r="E78" i="29" s="1"/>
  <c r="F78" i="29" s="1"/>
  <c r="U65" i="29"/>
  <c r="C78" i="29" s="1"/>
  <c r="D78" i="29" s="1"/>
  <c r="O65" i="29"/>
  <c r="I77" i="29" s="1"/>
  <c r="J77" i="29" s="1"/>
  <c r="N65" i="29"/>
  <c r="G77" i="29" s="1"/>
  <c r="H77" i="29" s="1"/>
  <c r="M65" i="29"/>
  <c r="E77" i="29" s="1"/>
  <c r="F77" i="29" s="1"/>
  <c r="L65" i="29"/>
  <c r="C77" i="29" s="1"/>
  <c r="D77" i="29" s="1"/>
  <c r="F65" i="29"/>
  <c r="I76" i="29" s="1"/>
  <c r="J76" i="29" s="1"/>
  <c r="E65" i="29"/>
  <c r="G76" i="29" s="1"/>
  <c r="H76" i="29" s="1"/>
  <c r="D65" i="29"/>
  <c r="E76" i="29" s="1"/>
  <c r="F76" i="29" s="1"/>
  <c r="C65" i="29"/>
  <c r="C76" i="29" s="1"/>
  <c r="D76" i="29" s="1"/>
  <c r="AP65" i="28"/>
  <c r="I80" i="28" s="1"/>
  <c r="J80" i="28" s="1"/>
  <c r="AO65" i="28"/>
  <c r="G80" i="28" s="1"/>
  <c r="H80" i="28" s="1"/>
  <c r="AN65" i="28"/>
  <c r="E80" i="28" s="1"/>
  <c r="F80" i="28" s="1"/>
  <c r="AM65" i="28"/>
  <c r="C80" i="28" s="1"/>
  <c r="D80" i="28" s="1"/>
  <c r="AG65" i="28"/>
  <c r="I79" i="28" s="1"/>
  <c r="J79" i="28" s="1"/>
  <c r="AF65" i="28"/>
  <c r="G79" i="28" s="1"/>
  <c r="H79" i="28" s="1"/>
  <c r="AE65" i="28"/>
  <c r="E79" i="28" s="1"/>
  <c r="F79" i="28" s="1"/>
  <c r="AD65" i="28"/>
  <c r="C79" i="28" s="1"/>
  <c r="D79" i="28" s="1"/>
  <c r="X65" i="28"/>
  <c r="I78" i="28" s="1"/>
  <c r="J78" i="28" s="1"/>
  <c r="W65" i="28"/>
  <c r="G78" i="28" s="1"/>
  <c r="H78" i="28" s="1"/>
  <c r="V65" i="28"/>
  <c r="E78" i="28" s="1"/>
  <c r="F78" i="28" s="1"/>
  <c r="U65" i="28"/>
  <c r="C78" i="28" s="1"/>
  <c r="D78" i="28" s="1"/>
  <c r="O65" i="28"/>
  <c r="I77" i="28" s="1"/>
  <c r="J77" i="28" s="1"/>
  <c r="N65" i="28"/>
  <c r="G77" i="28" s="1"/>
  <c r="H77" i="28" s="1"/>
  <c r="M65" i="28"/>
  <c r="E77" i="28" s="1"/>
  <c r="F77" i="28" s="1"/>
  <c r="L65" i="28"/>
  <c r="C77" i="28" s="1"/>
  <c r="D77" i="28" s="1"/>
  <c r="F65" i="28"/>
  <c r="E65" i="28"/>
  <c r="G76" i="28" s="1"/>
  <c r="H76" i="28" s="1"/>
  <c r="D65" i="28"/>
  <c r="E76" i="28" s="1"/>
  <c r="F76" i="28" s="1"/>
  <c r="C65" i="28"/>
  <c r="C76" i="28" s="1"/>
  <c r="D76" i="28" s="1"/>
  <c r="AP65" i="27"/>
  <c r="I80" i="27" s="1"/>
  <c r="J80" i="27" s="1"/>
  <c r="AO65" i="27"/>
  <c r="G80" i="27" s="1"/>
  <c r="H80" i="27" s="1"/>
  <c r="AN65" i="27"/>
  <c r="E80" i="27" s="1"/>
  <c r="F80" i="27" s="1"/>
  <c r="AM65" i="27"/>
  <c r="C80" i="27" s="1"/>
  <c r="D80" i="27" s="1"/>
  <c r="AG65" i="27"/>
  <c r="I79" i="27" s="1"/>
  <c r="J79" i="27" s="1"/>
  <c r="AF65" i="27"/>
  <c r="G79" i="27" s="1"/>
  <c r="H79" i="27" s="1"/>
  <c r="AE65" i="27"/>
  <c r="E79" i="27" s="1"/>
  <c r="F79" i="27" s="1"/>
  <c r="AD65" i="27"/>
  <c r="C79" i="27" s="1"/>
  <c r="D79" i="27" s="1"/>
  <c r="X65" i="27"/>
  <c r="I78" i="27" s="1"/>
  <c r="J78" i="27" s="1"/>
  <c r="W65" i="27"/>
  <c r="G78" i="27" s="1"/>
  <c r="H78" i="27" s="1"/>
  <c r="V65" i="27"/>
  <c r="E78" i="27" s="1"/>
  <c r="F78" i="27" s="1"/>
  <c r="U65" i="27"/>
  <c r="C78" i="27" s="1"/>
  <c r="D78" i="27" s="1"/>
  <c r="O65" i="27"/>
  <c r="I77" i="27" s="1"/>
  <c r="J77" i="27" s="1"/>
  <c r="N65" i="27"/>
  <c r="G77" i="27" s="1"/>
  <c r="H77" i="27" s="1"/>
  <c r="M65" i="27"/>
  <c r="E77" i="27" s="1"/>
  <c r="F77" i="27" s="1"/>
  <c r="L65" i="27"/>
  <c r="C77" i="27" s="1"/>
  <c r="D77" i="27" s="1"/>
  <c r="F65" i="27"/>
  <c r="I76" i="27" s="1"/>
  <c r="J76" i="27" s="1"/>
  <c r="E65" i="27"/>
  <c r="G76" i="27" s="1"/>
  <c r="H76" i="27" s="1"/>
  <c r="D65" i="27"/>
  <c r="E76" i="27" s="1"/>
  <c r="F76" i="27" s="1"/>
  <c r="C65" i="27"/>
  <c r="C76" i="27" s="1"/>
  <c r="D76" i="27" s="1"/>
  <c r="AP65" i="26"/>
  <c r="I80" i="26" s="1"/>
  <c r="J80" i="26" s="1"/>
  <c r="AO65" i="26"/>
  <c r="G80" i="26" s="1"/>
  <c r="H80" i="26" s="1"/>
  <c r="AN65" i="26"/>
  <c r="E80" i="26" s="1"/>
  <c r="F80" i="26" s="1"/>
  <c r="AM65" i="26"/>
  <c r="C80" i="26" s="1"/>
  <c r="D80" i="26" s="1"/>
  <c r="AG65" i="26"/>
  <c r="I79" i="26" s="1"/>
  <c r="J79" i="26" s="1"/>
  <c r="AF65" i="26"/>
  <c r="G79" i="26" s="1"/>
  <c r="H79" i="26" s="1"/>
  <c r="AE65" i="26"/>
  <c r="E79" i="26" s="1"/>
  <c r="F79" i="26" s="1"/>
  <c r="AD65" i="26"/>
  <c r="C79" i="26" s="1"/>
  <c r="D79" i="26" s="1"/>
  <c r="X65" i="26"/>
  <c r="I78" i="26" s="1"/>
  <c r="J78" i="26" s="1"/>
  <c r="W65" i="26"/>
  <c r="G78" i="26" s="1"/>
  <c r="H78" i="26" s="1"/>
  <c r="V65" i="26"/>
  <c r="E78" i="26" s="1"/>
  <c r="F78" i="26" s="1"/>
  <c r="U65" i="26"/>
  <c r="C78" i="26" s="1"/>
  <c r="D78" i="26" s="1"/>
  <c r="O65" i="26"/>
  <c r="I77" i="26" s="1"/>
  <c r="J77" i="26" s="1"/>
  <c r="N65" i="26"/>
  <c r="G77" i="26" s="1"/>
  <c r="H77" i="26" s="1"/>
  <c r="M65" i="26"/>
  <c r="E77" i="26" s="1"/>
  <c r="F77" i="26" s="1"/>
  <c r="L65" i="26"/>
  <c r="C77" i="26" s="1"/>
  <c r="D77" i="26" s="1"/>
  <c r="F65" i="26"/>
  <c r="I76" i="26" s="1"/>
  <c r="J76" i="26" s="1"/>
  <c r="E65" i="26"/>
  <c r="G76" i="26" s="1"/>
  <c r="H76" i="26" s="1"/>
  <c r="D65" i="26"/>
  <c r="E76" i="26" s="1"/>
  <c r="F76" i="26" s="1"/>
  <c r="C65" i="26"/>
  <c r="C76" i="26" s="1"/>
  <c r="D76" i="26" s="1"/>
  <c r="AP65" i="25"/>
  <c r="I80" i="25" s="1"/>
  <c r="J80" i="25" s="1"/>
  <c r="AO65" i="25"/>
  <c r="G80" i="25" s="1"/>
  <c r="H80" i="25" s="1"/>
  <c r="AN65" i="25"/>
  <c r="E80" i="25" s="1"/>
  <c r="F80" i="25" s="1"/>
  <c r="AM65" i="25"/>
  <c r="C80" i="25" s="1"/>
  <c r="D80" i="25" s="1"/>
  <c r="I76" i="28" l="1"/>
  <c r="J76" i="28" s="1"/>
  <c r="J82" i="28" s="1"/>
  <c r="D82" i="29"/>
  <c r="H82" i="29"/>
  <c r="F82" i="29"/>
  <c r="J82" i="29"/>
  <c r="F82" i="28"/>
  <c r="D82" i="28"/>
  <c r="H82" i="28"/>
  <c r="F82" i="27"/>
  <c r="D82" i="27"/>
  <c r="J82" i="27"/>
  <c r="H82" i="27"/>
  <c r="D82" i="26"/>
  <c r="J82" i="26"/>
  <c r="H82" i="26"/>
  <c r="F82" i="26"/>
  <c r="AG65" i="25"/>
  <c r="I79" i="25" s="1"/>
  <c r="J79" i="25" s="1"/>
  <c r="AF65" i="25"/>
  <c r="G79" i="25" s="1"/>
  <c r="H79" i="25" s="1"/>
  <c r="AE65" i="25"/>
  <c r="E79" i="25" s="1"/>
  <c r="F79" i="25" s="1"/>
  <c r="AD65" i="25"/>
  <c r="X65" i="25"/>
  <c r="I78" i="25" s="1"/>
  <c r="J78" i="25" s="1"/>
  <c r="W65" i="25"/>
  <c r="G78" i="25" s="1"/>
  <c r="H78" i="25" s="1"/>
  <c r="V65" i="25"/>
  <c r="E78" i="25" s="1"/>
  <c r="F78" i="25" s="1"/>
  <c r="U65" i="25"/>
  <c r="C78" i="25" s="1"/>
  <c r="D78" i="25" s="1"/>
  <c r="O65" i="25"/>
  <c r="I77" i="25" s="1"/>
  <c r="J77" i="25" s="1"/>
  <c r="N65" i="25"/>
  <c r="G77" i="25" s="1"/>
  <c r="H77" i="25" s="1"/>
  <c r="M65" i="25"/>
  <c r="E77" i="25" s="1"/>
  <c r="F77" i="25" s="1"/>
  <c r="L65" i="25"/>
  <c r="C77" i="25" s="1"/>
  <c r="D77" i="25" s="1"/>
  <c r="F65" i="25"/>
  <c r="I76" i="25" s="1"/>
  <c r="J76" i="25" s="1"/>
  <c r="J82" i="25" s="1"/>
  <c r="E65" i="25"/>
  <c r="G76" i="25" s="1"/>
  <c r="H76" i="25" s="1"/>
  <c r="D65" i="25"/>
  <c r="E76" i="25" s="1"/>
  <c r="F76" i="25" s="1"/>
  <c r="C65" i="25"/>
  <c r="C76" i="25" s="1"/>
  <c r="D76" i="25" s="1"/>
  <c r="C65" i="23"/>
  <c r="AF65" i="24"/>
  <c r="G79" i="24" s="1"/>
  <c r="H79" i="24" s="1"/>
  <c r="AE65" i="24"/>
  <c r="E79" i="24" s="1"/>
  <c r="F79" i="24" s="1"/>
  <c r="AD65" i="24"/>
  <c r="C79" i="24" s="1"/>
  <c r="D79" i="24" s="1"/>
  <c r="W65" i="24"/>
  <c r="G78" i="24" s="1"/>
  <c r="H78" i="24" s="1"/>
  <c r="V65" i="24"/>
  <c r="E78" i="24" s="1"/>
  <c r="F78" i="24" s="1"/>
  <c r="U65" i="24"/>
  <c r="C78" i="24" s="1"/>
  <c r="D78" i="24" s="1"/>
  <c r="N65" i="24"/>
  <c r="G77" i="24" s="1"/>
  <c r="H77" i="24" s="1"/>
  <c r="M65" i="24"/>
  <c r="E77" i="24" s="1"/>
  <c r="F77" i="24" s="1"/>
  <c r="L65" i="24"/>
  <c r="C77" i="24" s="1"/>
  <c r="D77" i="24" s="1"/>
  <c r="E65" i="24"/>
  <c r="G76" i="24" s="1"/>
  <c r="H76" i="24" s="1"/>
  <c r="D65" i="24"/>
  <c r="E76" i="24" s="1"/>
  <c r="F76" i="24" s="1"/>
  <c r="C65" i="24"/>
  <c r="C76" i="24" s="1"/>
  <c r="D76" i="24" s="1"/>
  <c r="AG65" i="24"/>
  <c r="I79" i="24" s="1"/>
  <c r="J79" i="24" s="1"/>
  <c r="X65" i="24"/>
  <c r="I78" i="24" s="1"/>
  <c r="J78" i="24" s="1"/>
  <c r="O65" i="24"/>
  <c r="I77" i="24" s="1"/>
  <c r="J77" i="24" s="1"/>
  <c r="F65" i="24"/>
  <c r="I76" i="24" s="1"/>
  <c r="J76" i="24" s="1"/>
  <c r="F82" i="25" l="1"/>
  <c r="H82" i="25"/>
  <c r="C79" i="25"/>
  <c r="D79" i="25" s="1"/>
  <c r="D82" i="25" s="1"/>
  <c r="J81" i="24"/>
  <c r="H81" i="24"/>
  <c r="D81" i="24"/>
  <c r="F81" i="24"/>
  <c r="AG21" i="23"/>
  <c r="X21" i="23"/>
  <c r="O21" i="23"/>
  <c r="F21" i="23"/>
  <c r="AG65" i="23" l="1"/>
  <c r="I79" i="23" s="1"/>
  <c r="J79" i="23" s="1"/>
  <c r="AF65" i="23"/>
  <c r="G79" i="23" s="1"/>
  <c r="H79" i="23" s="1"/>
  <c r="AE65" i="23"/>
  <c r="E79" i="23" s="1"/>
  <c r="F79" i="23" s="1"/>
  <c r="AD65" i="23"/>
  <c r="C79" i="23" s="1"/>
  <c r="D79" i="23" s="1"/>
  <c r="X65" i="23"/>
  <c r="I78" i="23" s="1"/>
  <c r="J78" i="23" s="1"/>
  <c r="W65" i="23"/>
  <c r="G78" i="23" s="1"/>
  <c r="H78" i="23" s="1"/>
  <c r="V65" i="23"/>
  <c r="E78" i="23" s="1"/>
  <c r="F78" i="23" s="1"/>
  <c r="U65" i="23"/>
  <c r="C78" i="23" s="1"/>
  <c r="D78" i="23" s="1"/>
  <c r="O65" i="23"/>
  <c r="I77" i="23" s="1"/>
  <c r="J77" i="23" s="1"/>
  <c r="N65" i="23"/>
  <c r="G77" i="23" s="1"/>
  <c r="H77" i="23" s="1"/>
  <c r="M65" i="23"/>
  <c r="E77" i="23" s="1"/>
  <c r="F77" i="23" s="1"/>
  <c r="L65" i="23"/>
  <c r="C77" i="23" s="1"/>
  <c r="D77" i="23" s="1"/>
  <c r="F65" i="23"/>
  <c r="I76" i="23" s="1"/>
  <c r="J76" i="23" s="1"/>
  <c r="E65" i="23"/>
  <c r="G76" i="23" s="1"/>
  <c r="H76" i="23" s="1"/>
  <c r="D65" i="23"/>
  <c r="E76" i="23" s="1"/>
  <c r="F76" i="23" s="1"/>
  <c r="C76" i="23"/>
  <c r="D76" i="23" s="1"/>
  <c r="C65" i="22"/>
  <c r="AG65" i="22"/>
  <c r="I79" i="22" s="1"/>
  <c r="J79" i="22" s="1"/>
  <c r="AF65" i="22"/>
  <c r="G79" i="22" s="1"/>
  <c r="H79" i="22" s="1"/>
  <c r="AE65" i="22"/>
  <c r="E79" i="22" s="1"/>
  <c r="F79" i="22" s="1"/>
  <c r="AD65" i="22"/>
  <c r="C79" i="22" s="1"/>
  <c r="D79" i="22" s="1"/>
  <c r="X65" i="22"/>
  <c r="I78" i="22" s="1"/>
  <c r="J78" i="22" s="1"/>
  <c r="W65" i="22"/>
  <c r="G78" i="22" s="1"/>
  <c r="H78" i="22" s="1"/>
  <c r="V65" i="22"/>
  <c r="E78" i="22" s="1"/>
  <c r="F78" i="22" s="1"/>
  <c r="U65" i="22"/>
  <c r="C78" i="22" s="1"/>
  <c r="D78" i="22" s="1"/>
  <c r="O65" i="22"/>
  <c r="I77" i="22" s="1"/>
  <c r="J77" i="22" s="1"/>
  <c r="N65" i="22"/>
  <c r="G77" i="22" s="1"/>
  <c r="H77" i="22" s="1"/>
  <c r="M65" i="22"/>
  <c r="E77" i="22" s="1"/>
  <c r="F77" i="22" s="1"/>
  <c r="L65" i="22"/>
  <c r="C77" i="22" s="1"/>
  <c r="D77" i="22" s="1"/>
  <c r="F65" i="22"/>
  <c r="I76" i="22" s="1"/>
  <c r="J76" i="22" s="1"/>
  <c r="E65" i="22"/>
  <c r="G76" i="22" s="1"/>
  <c r="H76" i="22" s="1"/>
  <c r="D65" i="22"/>
  <c r="E76" i="22" s="1"/>
  <c r="F76" i="22" s="1"/>
  <c r="C76" i="22"/>
  <c r="D76" i="22" s="1"/>
  <c r="E65" i="21"/>
  <c r="G76" i="21" s="1"/>
  <c r="H76" i="21" s="1"/>
  <c r="AG65" i="21"/>
  <c r="I79" i="21" s="1"/>
  <c r="J79" i="21" s="1"/>
  <c r="AF65" i="21"/>
  <c r="G79" i="21" s="1"/>
  <c r="H79" i="21" s="1"/>
  <c r="AE65" i="21"/>
  <c r="E79" i="21" s="1"/>
  <c r="F79" i="21" s="1"/>
  <c r="AD65" i="21"/>
  <c r="C79" i="21" s="1"/>
  <c r="D79" i="21" s="1"/>
  <c r="X65" i="21"/>
  <c r="I78" i="21" s="1"/>
  <c r="J78" i="21" s="1"/>
  <c r="W65" i="21"/>
  <c r="G78" i="21" s="1"/>
  <c r="H78" i="21" s="1"/>
  <c r="V65" i="21"/>
  <c r="E78" i="21" s="1"/>
  <c r="F78" i="21" s="1"/>
  <c r="U65" i="21"/>
  <c r="C78" i="21" s="1"/>
  <c r="D78" i="21" s="1"/>
  <c r="O65" i="21"/>
  <c r="I77" i="21" s="1"/>
  <c r="J77" i="21" s="1"/>
  <c r="N65" i="21"/>
  <c r="G77" i="21" s="1"/>
  <c r="H77" i="21" s="1"/>
  <c r="M65" i="21"/>
  <c r="E77" i="21" s="1"/>
  <c r="F77" i="21" s="1"/>
  <c r="L65" i="21"/>
  <c r="C77" i="21" s="1"/>
  <c r="D77" i="21" s="1"/>
  <c r="F65" i="21"/>
  <c r="I76" i="21" s="1"/>
  <c r="J76" i="21" s="1"/>
  <c r="D65" i="21"/>
  <c r="E76" i="21" s="1"/>
  <c r="F76" i="21" s="1"/>
  <c r="C65" i="21"/>
  <c r="C76" i="21" s="1"/>
  <c r="D76" i="21" s="1"/>
  <c r="F81" i="23" l="1"/>
  <c r="J81" i="23"/>
  <c r="H81" i="23"/>
  <c r="D81" i="23"/>
  <c r="J81" i="22"/>
  <c r="D81" i="22"/>
  <c r="H81" i="22"/>
  <c r="F81" i="22"/>
  <c r="H81" i="21"/>
  <c r="D81" i="21"/>
  <c r="J81" i="21"/>
  <c r="F81" i="21"/>
  <c r="AG65" i="20"/>
  <c r="I79" i="20" s="1"/>
  <c r="J79" i="20" s="1"/>
  <c r="AF65" i="20"/>
  <c r="G79" i="20" s="1"/>
  <c r="H79" i="20" s="1"/>
  <c r="AE65" i="20"/>
  <c r="E79" i="20" s="1"/>
  <c r="F79" i="20" s="1"/>
  <c r="AD65" i="20"/>
  <c r="C79" i="20" s="1"/>
  <c r="D79" i="20" s="1"/>
  <c r="X65" i="20"/>
  <c r="I78" i="20" s="1"/>
  <c r="J78" i="20" s="1"/>
  <c r="W65" i="20"/>
  <c r="G78" i="20" s="1"/>
  <c r="H78" i="20" s="1"/>
  <c r="V65" i="20"/>
  <c r="E78" i="20" s="1"/>
  <c r="F78" i="20" s="1"/>
  <c r="U65" i="20"/>
  <c r="C78" i="20" s="1"/>
  <c r="D78" i="20" s="1"/>
  <c r="O65" i="20"/>
  <c r="I77" i="20" s="1"/>
  <c r="J77" i="20" s="1"/>
  <c r="N65" i="20"/>
  <c r="G77" i="20" s="1"/>
  <c r="H77" i="20" s="1"/>
  <c r="M65" i="20"/>
  <c r="E77" i="20" s="1"/>
  <c r="F77" i="20" s="1"/>
  <c r="L65" i="20"/>
  <c r="C77" i="20" s="1"/>
  <c r="D77" i="20" s="1"/>
  <c r="F65" i="20"/>
  <c r="I76" i="20" s="1"/>
  <c r="J76" i="20" s="1"/>
  <c r="E65" i="20"/>
  <c r="D65" i="20"/>
  <c r="E76" i="20" s="1"/>
  <c r="F76" i="20" s="1"/>
  <c r="C65" i="20"/>
  <c r="C76" i="20" s="1"/>
  <c r="D76" i="20" s="1"/>
  <c r="AG63" i="19"/>
  <c r="I77" i="19" s="1"/>
  <c r="J77" i="19" s="1"/>
  <c r="AF63" i="19"/>
  <c r="G77" i="19" s="1"/>
  <c r="H77" i="19" s="1"/>
  <c r="AE63" i="19"/>
  <c r="E77" i="19" s="1"/>
  <c r="F77" i="19" s="1"/>
  <c r="AD63" i="19"/>
  <c r="C77" i="19" s="1"/>
  <c r="D77" i="19" s="1"/>
  <c r="X63" i="19"/>
  <c r="I76" i="19" s="1"/>
  <c r="J76" i="19" s="1"/>
  <c r="W63" i="19"/>
  <c r="G76" i="19" s="1"/>
  <c r="H76" i="19" s="1"/>
  <c r="V63" i="19"/>
  <c r="E76" i="19" s="1"/>
  <c r="F76" i="19" s="1"/>
  <c r="U63" i="19"/>
  <c r="C76" i="19" s="1"/>
  <c r="D76" i="19" s="1"/>
  <c r="O63" i="19"/>
  <c r="I75" i="19" s="1"/>
  <c r="J75" i="19" s="1"/>
  <c r="N63" i="19"/>
  <c r="G75" i="19" s="1"/>
  <c r="H75" i="19" s="1"/>
  <c r="M63" i="19"/>
  <c r="E75" i="19" s="1"/>
  <c r="F75" i="19" s="1"/>
  <c r="L63" i="19"/>
  <c r="C75" i="19" s="1"/>
  <c r="D75" i="19" s="1"/>
  <c r="F63" i="19"/>
  <c r="I74" i="19" s="1"/>
  <c r="J74" i="19" s="1"/>
  <c r="E63" i="19"/>
  <c r="G74" i="19" s="1"/>
  <c r="H74" i="19" s="1"/>
  <c r="D63" i="19"/>
  <c r="E74" i="19" s="1"/>
  <c r="F74" i="19" s="1"/>
  <c r="C63" i="19"/>
  <c r="C74" i="19" s="1"/>
  <c r="D74" i="19" s="1"/>
  <c r="AG65" i="17"/>
  <c r="I79" i="17" s="1"/>
  <c r="J79" i="17" s="1"/>
  <c r="AF65" i="17"/>
  <c r="G79" i="17" s="1"/>
  <c r="H79" i="17" s="1"/>
  <c r="AE65" i="17"/>
  <c r="E79" i="17" s="1"/>
  <c r="F79" i="17" s="1"/>
  <c r="AD65" i="17"/>
  <c r="C79" i="17" s="1"/>
  <c r="D79" i="17" s="1"/>
  <c r="X65" i="17"/>
  <c r="I78" i="17" s="1"/>
  <c r="J78" i="17" s="1"/>
  <c r="W65" i="17"/>
  <c r="G78" i="17" s="1"/>
  <c r="H78" i="17" s="1"/>
  <c r="V65" i="17"/>
  <c r="E78" i="17" s="1"/>
  <c r="F78" i="17" s="1"/>
  <c r="U65" i="17"/>
  <c r="C78" i="17" s="1"/>
  <c r="D78" i="17" s="1"/>
  <c r="O65" i="17"/>
  <c r="I77" i="17" s="1"/>
  <c r="J77" i="17" s="1"/>
  <c r="N65" i="17"/>
  <c r="G77" i="17" s="1"/>
  <c r="H77" i="17" s="1"/>
  <c r="M65" i="17"/>
  <c r="E77" i="17" s="1"/>
  <c r="F77" i="17" s="1"/>
  <c r="L65" i="17"/>
  <c r="C77" i="17" s="1"/>
  <c r="D77" i="17" s="1"/>
  <c r="F65" i="17"/>
  <c r="I76" i="17" s="1"/>
  <c r="J76" i="17" s="1"/>
  <c r="E65" i="17"/>
  <c r="G76" i="17" s="1"/>
  <c r="H76" i="17" s="1"/>
  <c r="D65" i="17"/>
  <c r="E76" i="17" s="1"/>
  <c r="F76" i="17" s="1"/>
  <c r="C65" i="17"/>
  <c r="C76" i="17" s="1"/>
  <c r="D76" i="17" s="1"/>
  <c r="AG65" i="16"/>
  <c r="I79" i="16" s="1"/>
  <c r="J79" i="16" s="1"/>
  <c r="AF65" i="16"/>
  <c r="G79" i="16" s="1"/>
  <c r="H79" i="16" s="1"/>
  <c r="AE65" i="16"/>
  <c r="E79" i="16" s="1"/>
  <c r="F79" i="16" s="1"/>
  <c r="AD65" i="16"/>
  <c r="C79" i="16" s="1"/>
  <c r="D79" i="16" s="1"/>
  <c r="X65" i="16"/>
  <c r="I78" i="16" s="1"/>
  <c r="J78" i="16" s="1"/>
  <c r="W65" i="16"/>
  <c r="G78" i="16" s="1"/>
  <c r="H78" i="16" s="1"/>
  <c r="U65" i="16"/>
  <c r="C78" i="16" s="1"/>
  <c r="D78" i="16" s="1"/>
  <c r="O65" i="16"/>
  <c r="I77" i="16" s="1"/>
  <c r="J77" i="16" s="1"/>
  <c r="N65" i="16"/>
  <c r="G77" i="16" s="1"/>
  <c r="H77" i="16" s="1"/>
  <c r="L65" i="16"/>
  <c r="C77" i="16" s="1"/>
  <c r="D77" i="16" s="1"/>
  <c r="F65" i="16"/>
  <c r="I76" i="16" s="1"/>
  <c r="J76" i="16" s="1"/>
  <c r="E65" i="16"/>
  <c r="G76" i="16" s="1"/>
  <c r="H76" i="16" s="1"/>
  <c r="D65" i="16"/>
  <c r="E76" i="16" s="1"/>
  <c r="F76" i="16" s="1"/>
  <c r="C65" i="16"/>
  <c r="C76" i="16" s="1"/>
  <c r="D76" i="16" s="1"/>
  <c r="M65" i="16"/>
  <c r="E77" i="16" s="1"/>
  <c r="F77" i="16" s="1"/>
  <c r="V65" i="16"/>
  <c r="E78" i="16" s="1"/>
  <c r="F78" i="16" s="1"/>
  <c r="G76" i="20" l="1"/>
  <c r="H76" i="20" s="1"/>
  <c r="H81" i="20" s="1"/>
  <c r="F81" i="20"/>
  <c r="D81" i="20"/>
  <c r="J81" i="20"/>
  <c r="D79" i="19"/>
  <c r="H79" i="19"/>
  <c r="F79" i="19"/>
  <c r="J79" i="19"/>
  <c r="D81" i="17"/>
  <c r="F81" i="17"/>
  <c r="J81" i="17"/>
  <c r="H81" i="17"/>
  <c r="D81" i="16"/>
  <c r="J81" i="16"/>
  <c r="H81" i="16"/>
  <c r="F81" i="16"/>
  <c r="M36" i="15"/>
  <c r="V20" i="15" l="1"/>
  <c r="AG65" i="15" l="1"/>
  <c r="I79" i="15" s="1"/>
  <c r="J79" i="15" s="1"/>
  <c r="AF65" i="15"/>
  <c r="G79" i="15" s="1"/>
  <c r="H79" i="15" s="1"/>
  <c r="AE65" i="15"/>
  <c r="E79" i="15" s="1"/>
  <c r="F79" i="15" s="1"/>
  <c r="AD65" i="15"/>
  <c r="C79" i="15" s="1"/>
  <c r="D79" i="15" s="1"/>
  <c r="X65" i="15"/>
  <c r="I78" i="15" s="1"/>
  <c r="J78" i="15" s="1"/>
  <c r="W65" i="15"/>
  <c r="G78" i="15" s="1"/>
  <c r="H78" i="15" s="1"/>
  <c r="V65" i="15"/>
  <c r="E78" i="15" s="1"/>
  <c r="F78" i="15" s="1"/>
  <c r="U65" i="15"/>
  <c r="C78" i="15" s="1"/>
  <c r="D78" i="15" s="1"/>
  <c r="O65" i="15"/>
  <c r="I77" i="15" s="1"/>
  <c r="J77" i="15" s="1"/>
  <c r="N65" i="15"/>
  <c r="G77" i="15" s="1"/>
  <c r="H77" i="15" s="1"/>
  <c r="M65" i="15"/>
  <c r="E77" i="15" s="1"/>
  <c r="F77" i="15" s="1"/>
  <c r="L65" i="15"/>
  <c r="C77" i="15" s="1"/>
  <c r="D77" i="15" s="1"/>
  <c r="F65" i="15"/>
  <c r="I76" i="15" s="1"/>
  <c r="J76" i="15" s="1"/>
  <c r="E65" i="15"/>
  <c r="G76" i="15" s="1"/>
  <c r="H76" i="15" s="1"/>
  <c r="D65" i="15"/>
  <c r="E76" i="15" s="1"/>
  <c r="F76" i="15" s="1"/>
  <c r="C65" i="15"/>
  <c r="C76" i="15" s="1"/>
  <c r="D76" i="15" s="1"/>
  <c r="D81" i="15" l="1"/>
  <c r="H81" i="15"/>
  <c r="F81" i="15"/>
  <c r="J81" i="15"/>
  <c r="AG65" i="14"/>
  <c r="I79" i="14" s="1"/>
  <c r="J79" i="14" s="1"/>
  <c r="AF65" i="14"/>
  <c r="G79" i="14" s="1"/>
  <c r="H79" i="14" s="1"/>
  <c r="AE65" i="14"/>
  <c r="E79" i="14" s="1"/>
  <c r="F79" i="14" s="1"/>
  <c r="AD65" i="14"/>
  <c r="C79" i="14" s="1"/>
  <c r="D79" i="14" s="1"/>
  <c r="X65" i="14"/>
  <c r="I78" i="14" s="1"/>
  <c r="J78" i="14" s="1"/>
  <c r="W65" i="14"/>
  <c r="G78" i="14" s="1"/>
  <c r="H78" i="14" s="1"/>
  <c r="V65" i="14"/>
  <c r="E78" i="14" s="1"/>
  <c r="F78" i="14" s="1"/>
  <c r="U65" i="14"/>
  <c r="C78" i="14" s="1"/>
  <c r="D78" i="14" s="1"/>
  <c r="O65" i="14"/>
  <c r="I77" i="14" s="1"/>
  <c r="J77" i="14" s="1"/>
  <c r="N65" i="14"/>
  <c r="G77" i="14" s="1"/>
  <c r="H77" i="14" s="1"/>
  <c r="M65" i="14"/>
  <c r="E77" i="14" s="1"/>
  <c r="F77" i="14" s="1"/>
  <c r="L65" i="14"/>
  <c r="C77" i="14" s="1"/>
  <c r="D77" i="14" s="1"/>
  <c r="F65" i="14"/>
  <c r="I76" i="14" s="1"/>
  <c r="J76" i="14" s="1"/>
  <c r="E65" i="14"/>
  <c r="G76" i="14" s="1"/>
  <c r="H76" i="14" s="1"/>
  <c r="D65" i="14"/>
  <c r="E76" i="14" s="1"/>
  <c r="F76" i="14" s="1"/>
  <c r="C65" i="14"/>
  <c r="C76" i="14" s="1"/>
  <c r="D76" i="14" s="1"/>
  <c r="H81" i="14" l="1"/>
  <c r="F81" i="14"/>
  <c r="D81" i="14"/>
  <c r="J81" i="14"/>
  <c r="AG65" i="13"/>
  <c r="I79" i="13" s="1"/>
  <c r="J79" i="13" s="1"/>
  <c r="AF65" i="13"/>
  <c r="G79" i="13" s="1"/>
  <c r="H79" i="13" s="1"/>
  <c r="AE65" i="13"/>
  <c r="E79" i="13" s="1"/>
  <c r="F79" i="13" s="1"/>
  <c r="AD65" i="13"/>
  <c r="C79" i="13" s="1"/>
  <c r="D79" i="13" s="1"/>
  <c r="X65" i="13"/>
  <c r="I78" i="13" s="1"/>
  <c r="J78" i="13" s="1"/>
  <c r="W65" i="13"/>
  <c r="G78" i="13" s="1"/>
  <c r="H78" i="13" s="1"/>
  <c r="V65" i="13"/>
  <c r="E78" i="13" s="1"/>
  <c r="F78" i="13" s="1"/>
  <c r="U65" i="13"/>
  <c r="C78" i="13" s="1"/>
  <c r="D78" i="13" s="1"/>
  <c r="O65" i="13"/>
  <c r="I77" i="13" s="1"/>
  <c r="J77" i="13" s="1"/>
  <c r="N65" i="13"/>
  <c r="G77" i="13" s="1"/>
  <c r="H77" i="13" s="1"/>
  <c r="M65" i="13"/>
  <c r="E77" i="13" s="1"/>
  <c r="F77" i="13" s="1"/>
  <c r="L65" i="13"/>
  <c r="C77" i="13" s="1"/>
  <c r="D77" i="13" s="1"/>
  <c r="F65" i="13"/>
  <c r="I76" i="13" s="1"/>
  <c r="J76" i="13" s="1"/>
  <c r="E65" i="13"/>
  <c r="G76" i="13" s="1"/>
  <c r="H76" i="13" s="1"/>
  <c r="D65" i="13"/>
  <c r="E76" i="13" s="1"/>
  <c r="F76" i="13" s="1"/>
  <c r="C65" i="13"/>
  <c r="C76" i="13" s="1"/>
  <c r="D76" i="13" s="1"/>
  <c r="AG65" i="12"/>
  <c r="I79" i="12" s="1"/>
  <c r="J79" i="12" s="1"/>
  <c r="AF65" i="12"/>
  <c r="G79" i="12" s="1"/>
  <c r="H79" i="12" s="1"/>
  <c r="AE65" i="12"/>
  <c r="E79" i="12" s="1"/>
  <c r="F79" i="12" s="1"/>
  <c r="AD65" i="12"/>
  <c r="C79" i="12" s="1"/>
  <c r="D79" i="12" s="1"/>
  <c r="X65" i="12"/>
  <c r="I78" i="12" s="1"/>
  <c r="J78" i="12" s="1"/>
  <c r="W65" i="12"/>
  <c r="G78" i="12" s="1"/>
  <c r="H78" i="12" s="1"/>
  <c r="V65" i="12"/>
  <c r="E78" i="12" s="1"/>
  <c r="F78" i="12" s="1"/>
  <c r="U65" i="12"/>
  <c r="C78" i="12" s="1"/>
  <c r="D78" i="12" s="1"/>
  <c r="O65" i="12"/>
  <c r="I77" i="12" s="1"/>
  <c r="J77" i="12" s="1"/>
  <c r="N65" i="12"/>
  <c r="G77" i="12" s="1"/>
  <c r="H77" i="12" s="1"/>
  <c r="M65" i="12"/>
  <c r="E77" i="12" s="1"/>
  <c r="F77" i="12" s="1"/>
  <c r="L65" i="12"/>
  <c r="C77" i="12" s="1"/>
  <c r="D77" i="12" s="1"/>
  <c r="F65" i="12"/>
  <c r="I76" i="12" s="1"/>
  <c r="J76" i="12" s="1"/>
  <c r="E65" i="12"/>
  <c r="G76" i="12" s="1"/>
  <c r="H76" i="12" s="1"/>
  <c r="D65" i="12"/>
  <c r="E76" i="12" s="1"/>
  <c r="F76" i="12" s="1"/>
  <c r="C65" i="12"/>
  <c r="C76" i="12" s="1"/>
  <c r="D76" i="12" s="1"/>
  <c r="E64" i="3"/>
  <c r="G75" i="3" s="1"/>
  <c r="H75" i="3" s="1"/>
  <c r="F64" i="3"/>
  <c r="D64" i="3"/>
  <c r="E75" i="3" s="1"/>
  <c r="F75" i="3" s="1"/>
  <c r="C64" i="3"/>
  <c r="C75" i="3" s="1"/>
  <c r="D75" i="3" s="1"/>
  <c r="D80" i="3" s="1"/>
  <c r="I75" i="3"/>
  <c r="J75" i="3" s="1"/>
  <c r="AG64" i="3"/>
  <c r="I78" i="3" s="1"/>
  <c r="J78" i="3" s="1"/>
  <c r="AF64" i="3"/>
  <c r="G78" i="3" s="1"/>
  <c r="H78" i="3" s="1"/>
  <c r="AE64" i="3"/>
  <c r="E78" i="3" s="1"/>
  <c r="F78" i="3" s="1"/>
  <c r="AD64" i="3"/>
  <c r="C78" i="3" s="1"/>
  <c r="D78" i="3" s="1"/>
  <c r="X64" i="3"/>
  <c r="I77" i="3" s="1"/>
  <c r="J77" i="3" s="1"/>
  <c r="W64" i="3"/>
  <c r="G77" i="3" s="1"/>
  <c r="H77" i="3" s="1"/>
  <c r="V64" i="3"/>
  <c r="E77" i="3" s="1"/>
  <c r="F77" i="3" s="1"/>
  <c r="U64" i="3"/>
  <c r="C77" i="3" s="1"/>
  <c r="D77" i="3" s="1"/>
  <c r="O64" i="3"/>
  <c r="I76" i="3" s="1"/>
  <c r="J76" i="3" s="1"/>
  <c r="N64" i="3"/>
  <c r="G76" i="3" s="1"/>
  <c r="H76" i="3" s="1"/>
  <c r="M64" i="3"/>
  <c r="E76" i="3" s="1"/>
  <c r="F76" i="3" s="1"/>
  <c r="L64" i="3"/>
  <c r="C76" i="3" s="1"/>
  <c r="D76" i="3" s="1"/>
  <c r="J46" i="10"/>
  <c r="G64" i="10"/>
  <c r="F64" i="10"/>
  <c r="E64" i="10"/>
  <c r="D64" i="10"/>
  <c r="K48" i="10"/>
  <c r="J48" i="10"/>
  <c r="I48" i="10"/>
  <c r="H48" i="10"/>
  <c r="K47" i="10"/>
  <c r="K46" i="10"/>
  <c r="K45" i="10"/>
  <c r="J47" i="10"/>
  <c r="J45" i="10"/>
  <c r="I46" i="10"/>
  <c r="I45" i="10"/>
  <c r="H47" i="10"/>
  <c r="H46" i="10"/>
  <c r="H45" i="10"/>
  <c r="H81" i="13" l="1"/>
  <c r="F81" i="13"/>
  <c r="D81" i="13"/>
  <c r="J81" i="13"/>
  <c r="D81" i="12"/>
  <c r="H81" i="12"/>
  <c r="J81" i="12"/>
  <c r="F81" i="12"/>
  <c r="F80" i="3"/>
  <c r="J80" i="3"/>
  <c r="H80" i="3"/>
  <c r="K42" i="8"/>
  <c r="K41" i="8"/>
  <c r="K40" i="8"/>
  <c r="J42" i="8"/>
  <c r="J41" i="8"/>
  <c r="J40" i="8"/>
  <c r="I41" i="8"/>
  <c r="I40" i="8"/>
  <c r="H41" i="8"/>
  <c r="H42" i="8"/>
  <c r="H40" i="8"/>
  <c r="J38" i="8" l="1"/>
  <c r="J39" i="8" s="1"/>
  <c r="I38" i="8"/>
  <c r="I39" i="8" s="1"/>
  <c r="E51" i="8"/>
  <c r="G58" i="10"/>
  <c r="F59" i="10"/>
  <c r="E59" i="10"/>
  <c r="G59" i="10"/>
  <c r="D59" i="10"/>
  <c r="D63" i="10" s="1"/>
  <c r="M47" i="10"/>
  <c r="L47" i="10"/>
  <c r="F58" i="10"/>
  <c r="E58" i="10"/>
  <c r="D58" i="10"/>
  <c r="M46" i="10"/>
  <c r="L46" i="10"/>
  <c r="F57" i="10"/>
  <c r="E57" i="10"/>
  <c r="G57" i="10"/>
  <c r="D57" i="10"/>
  <c r="M45" i="10"/>
  <c r="L45" i="10"/>
  <c r="F56" i="10"/>
  <c r="E56" i="10"/>
  <c r="G56" i="10"/>
  <c r="D56" i="10"/>
  <c r="M43" i="10"/>
  <c r="M44" i="10" s="1"/>
  <c r="L43" i="10"/>
  <c r="L44" i="10" s="1"/>
  <c r="K43" i="10"/>
  <c r="K44" i="10" s="1"/>
  <c r="J43" i="10"/>
  <c r="J44" i="10" s="1"/>
  <c r="I43" i="10"/>
  <c r="I44" i="10" s="1"/>
  <c r="H43" i="10"/>
  <c r="H44" i="10" s="1"/>
  <c r="F43" i="10"/>
  <c r="F44" i="10" s="1"/>
  <c r="G49" i="9"/>
  <c r="K39" i="9"/>
  <c r="F50" i="9" s="1"/>
  <c r="J39" i="9"/>
  <c r="E50" i="9" s="1"/>
  <c r="I39" i="9"/>
  <c r="G50" i="9" s="1"/>
  <c r="H39" i="9"/>
  <c r="D50" i="9" s="1"/>
  <c r="D54" i="9" s="1"/>
  <c r="M38" i="9"/>
  <c r="L38" i="9"/>
  <c r="K38" i="9"/>
  <c r="F49" i="9" s="1"/>
  <c r="J38" i="9"/>
  <c r="E49" i="9" s="1"/>
  <c r="H38" i="9"/>
  <c r="D49" i="9" s="1"/>
  <c r="M37" i="9"/>
  <c r="L37" i="9"/>
  <c r="K37" i="9"/>
  <c r="F48" i="9" s="1"/>
  <c r="J37" i="9"/>
  <c r="E48" i="9" s="1"/>
  <c r="I37" i="9"/>
  <c r="G48" i="9" s="1"/>
  <c r="H37" i="9"/>
  <c r="D48" i="9" s="1"/>
  <c r="M36" i="9"/>
  <c r="L36" i="9"/>
  <c r="K36" i="9"/>
  <c r="F47" i="9" s="1"/>
  <c r="J36" i="9"/>
  <c r="E47" i="9" s="1"/>
  <c r="I36" i="9"/>
  <c r="G47" i="9" s="1"/>
  <c r="H36" i="9"/>
  <c r="D47" i="9" s="1"/>
  <c r="M34" i="9"/>
  <c r="M35" i="9" s="1"/>
  <c r="L34" i="9"/>
  <c r="L35" i="9" s="1"/>
  <c r="K34" i="9"/>
  <c r="K35" i="9" s="1"/>
  <c r="J34" i="9"/>
  <c r="J35" i="9" s="1"/>
  <c r="I34" i="9"/>
  <c r="I35" i="9" s="1"/>
  <c r="H34" i="9"/>
  <c r="H35" i="9" s="1"/>
  <c r="F34" i="9"/>
  <c r="F35" i="9" s="1"/>
  <c r="G53" i="8"/>
  <c r="F54" i="8"/>
  <c r="E54" i="8"/>
  <c r="G54" i="8"/>
  <c r="D54" i="8"/>
  <c r="M42" i="8"/>
  <c r="L42" i="8"/>
  <c r="F53" i="8"/>
  <c r="E53" i="8"/>
  <c r="D53" i="8"/>
  <c r="M41" i="8"/>
  <c r="L41" i="8"/>
  <c r="F52" i="8"/>
  <c r="E52" i="8"/>
  <c r="G52" i="8"/>
  <c r="D52" i="8"/>
  <c r="M40" i="8"/>
  <c r="L40" i="8"/>
  <c r="F51" i="8"/>
  <c r="G51" i="8"/>
  <c r="D51" i="8"/>
  <c r="M38" i="8"/>
  <c r="M39" i="8" s="1"/>
  <c r="L38" i="8"/>
  <c r="L39" i="8" s="1"/>
  <c r="K38" i="8"/>
  <c r="K39" i="8" s="1"/>
  <c r="H38" i="8"/>
  <c r="H39" i="8" s="1"/>
  <c r="F38" i="8"/>
  <c r="F39" i="8" s="1"/>
  <c r="J50" i="7"/>
  <c r="E61" i="7" s="1"/>
  <c r="J51" i="7"/>
  <c r="E62" i="7" s="1"/>
  <c r="J49" i="7"/>
  <c r="E60" i="7" s="1"/>
  <c r="K51" i="7"/>
  <c r="F62" i="7" s="1"/>
  <c r="K50" i="7"/>
  <c r="F61" i="7" s="1"/>
  <c r="K49" i="7"/>
  <c r="F60" i="7" s="1"/>
  <c r="I50" i="7"/>
  <c r="G61" i="7" s="1"/>
  <c r="H51" i="7"/>
  <c r="H50" i="7"/>
  <c r="D61" i="7" s="1"/>
  <c r="H49" i="7"/>
  <c r="D60" i="7" s="1"/>
  <c r="K49" i="6"/>
  <c r="J49" i="6"/>
  <c r="G62" i="7"/>
  <c r="K52" i="7"/>
  <c r="F63" i="7" s="1"/>
  <c r="J52" i="7"/>
  <c r="E63" i="7" s="1"/>
  <c r="I52" i="7"/>
  <c r="G63" i="7" s="1"/>
  <c r="H52" i="7"/>
  <c r="D63" i="7" s="1"/>
  <c r="M51" i="7"/>
  <c r="L51" i="7"/>
  <c r="D62" i="7"/>
  <c r="M50" i="7"/>
  <c r="L50" i="7"/>
  <c r="M49" i="7"/>
  <c r="L49" i="7"/>
  <c r="I49" i="7"/>
  <c r="G60" i="7" s="1"/>
  <c r="M47" i="7"/>
  <c r="M48" i="7" s="1"/>
  <c r="L47" i="7"/>
  <c r="L48" i="7" s="1"/>
  <c r="K47" i="7"/>
  <c r="K48" i="7" s="1"/>
  <c r="J47" i="7"/>
  <c r="J48" i="7" s="1"/>
  <c r="I47" i="7"/>
  <c r="I48" i="7" s="1"/>
  <c r="H47" i="7"/>
  <c r="H48" i="7" s="1"/>
  <c r="F47" i="7"/>
  <c r="F48" i="7" s="1"/>
  <c r="I49" i="6"/>
  <c r="H49" i="6"/>
  <c r="K50" i="6"/>
  <c r="F61" i="6" s="1"/>
  <c r="J50" i="6"/>
  <c r="E61" i="6" s="1"/>
  <c r="D51" i="9" l="1"/>
  <c r="D66" i="7"/>
  <c r="D57" i="8"/>
  <c r="G51" i="9"/>
  <c r="D62" i="10"/>
  <c r="E60" i="10"/>
  <c r="D60" i="10"/>
  <c r="G60" i="10"/>
  <c r="F60" i="10"/>
  <c r="F51" i="9"/>
  <c r="E51" i="9"/>
  <c r="D53" i="9"/>
  <c r="E55" i="8"/>
  <c r="D55" i="8"/>
  <c r="G55" i="8"/>
  <c r="D58" i="8"/>
  <c r="F55" i="8"/>
  <c r="G64" i="7"/>
  <c r="D67" i="7"/>
  <c r="E64" i="7"/>
  <c r="F64" i="7"/>
  <c r="D64" i="7"/>
  <c r="G60" i="6" l="1"/>
  <c r="D60" i="6"/>
  <c r="K48" i="6"/>
  <c r="K51" i="6"/>
  <c r="F62" i="6" s="1"/>
  <c r="J51" i="6"/>
  <c r="E62" i="6" s="1"/>
  <c r="J48" i="6"/>
  <c r="E59" i="6" s="1"/>
  <c r="I51" i="6"/>
  <c r="G62" i="6" s="1"/>
  <c r="I48" i="6"/>
  <c r="G59" i="6" s="1"/>
  <c r="H50" i="6"/>
  <c r="D61" i="6" s="1"/>
  <c r="H51" i="6"/>
  <c r="D62" i="6" s="1"/>
  <c r="H48" i="6"/>
  <c r="D59" i="6" s="1"/>
  <c r="D66" i="6" l="1"/>
  <c r="D63" i="6"/>
  <c r="L48" i="6"/>
  <c r="M48" i="6"/>
  <c r="M49" i="6"/>
  <c r="M50" i="6"/>
  <c r="L50" i="6"/>
  <c r="I46" i="6"/>
  <c r="I47" i="6" s="1"/>
  <c r="G61" i="6"/>
  <c r="G63" i="6" s="1"/>
  <c r="L49" i="6"/>
  <c r="F60" i="6"/>
  <c r="E60" i="6"/>
  <c r="F59" i="6"/>
  <c r="M46" i="6"/>
  <c r="M47" i="6" s="1"/>
  <c r="L46" i="6"/>
  <c r="L47" i="6" s="1"/>
  <c r="K46" i="6"/>
  <c r="K47" i="6" s="1"/>
  <c r="J46" i="6"/>
  <c r="J47" i="6" s="1"/>
  <c r="H46" i="6"/>
  <c r="H47" i="6" s="1"/>
  <c r="F46" i="6"/>
  <c r="F47" i="6" s="1"/>
  <c r="J47" i="5"/>
  <c r="E58" i="5" s="1"/>
  <c r="J46" i="5"/>
  <c r="E57" i="5" s="1"/>
  <c r="K48" i="5"/>
  <c r="F59" i="5" s="1"/>
  <c r="K47" i="5"/>
  <c r="F58" i="5" s="1"/>
  <c r="J48" i="5"/>
  <c r="E59" i="5" s="1"/>
  <c r="H46" i="5"/>
  <c r="D57" i="5" s="1"/>
  <c r="I47" i="5"/>
  <c r="G58" i="5" s="1"/>
  <c r="H48" i="5"/>
  <c r="D59" i="5" s="1"/>
  <c r="H47" i="5"/>
  <c r="D58" i="5" s="1"/>
  <c r="D61" i="4"/>
  <c r="I48" i="5"/>
  <c r="G59" i="5" s="1"/>
  <c r="L47" i="5"/>
  <c r="M46" i="5"/>
  <c r="K46" i="5"/>
  <c r="F57" i="5" s="1"/>
  <c r="I46" i="5"/>
  <c r="G57" i="5" s="1"/>
  <c r="M44" i="5"/>
  <c r="M45" i="5" s="1"/>
  <c r="L44" i="5"/>
  <c r="L45" i="5" s="1"/>
  <c r="K44" i="5"/>
  <c r="K45" i="5" s="1"/>
  <c r="J44" i="5"/>
  <c r="J45" i="5" s="1"/>
  <c r="I44" i="5"/>
  <c r="I45" i="5" s="1"/>
  <c r="H44" i="5"/>
  <c r="H45" i="5" s="1"/>
  <c r="F44" i="5"/>
  <c r="F45" i="5" s="1"/>
  <c r="K42" i="4"/>
  <c r="K44" i="4"/>
  <c r="D65" i="6" l="1"/>
  <c r="D63" i="5"/>
  <c r="E63" i="6"/>
  <c r="F63" i="6"/>
  <c r="F61" i="5"/>
  <c r="E61" i="5"/>
  <c r="G61" i="5"/>
  <c r="D61" i="5"/>
  <c r="E59" i="4"/>
  <c r="K45" i="4"/>
  <c r="H45" i="4"/>
  <c r="G59" i="4"/>
  <c r="F59" i="4"/>
  <c r="D59" i="4"/>
  <c r="K46" i="4"/>
  <c r="J46" i="4"/>
  <c r="J44" i="4"/>
  <c r="I45" i="4"/>
  <c r="I44" i="4"/>
  <c r="L42" i="4"/>
  <c r="J45" i="4" l="1"/>
  <c r="H44" i="4"/>
  <c r="H46" i="4" l="1"/>
  <c r="H42" i="4"/>
  <c r="H43" i="4" s="1"/>
  <c r="F42" i="4" l="1"/>
  <c r="F43" i="4" s="1"/>
  <c r="I46" i="4"/>
  <c r="L45" i="4"/>
  <c r="M44" i="4"/>
  <c r="M42" i="4"/>
  <c r="M43" i="4" s="1"/>
  <c r="L43" i="4"/>
  <c r="K43" i="4"/>
  <c r="J42" i="4"/>
  <c r="J43" i="4" s="1"/>
  <c r="I42" i="4"/>
  <c r="I43" i="4" s="1"/>
  <c r="H39" i="2"/>
  <c r="L37" i="2" l="1"/>
  <c r="L38" i="2" s="1"/>
  <c r="M37" i="2"/>
  <c r="M38" i="2" s="1"/>
  <c r="K37" i="2"/>
  <c r="K38" i="2" s="1"/>
  <c r="J37" i="2"/>
  <c r="J38" i="2" s="1"/>
  <c r="I37" i="2"/>
  <c r="I38" i="2" s="1"/>
  <c r="H37" i="2"/>
  <c r="H38" i="2" s="1"/>
  <c r="J41" i="2"/>
  <c r="I41" i="2"/>
  <c r="H41" i="2"/>
  <c r="L40" i="2"/>
  <c r="K40" i="2"/>
  <c r="J40" i="2"/>
  <c r="I40" i="2"/>
  <c r="H40" i="2"/>
  <c r="M39" i="2"/>
  <c r="K39" i="2"/>
  <c r="J39" i="2"/>
  <c r="I39" i="2"/>
  <c r="M37" i="1"/>
  <c r="L38" i="1"/>
  <c r="L35" i="1"/>
  <c r="L36" i="1" s="1"/>
  <c r="J39" i="1"/>
  <c r="I39" i="1"/>
  <c r="H39" i="1"/>
  <c r="K38" i="1"/>
  <c r="J38" i="1"/>
  <c r="I38" i="1"/>
  <c r="H38" i="1"/>
  <c r="K37" i="1"/>
  <c r="J37" i="1"/>
  <c r="I37" i="1"/>
  <c r="H37" i="1"/>
  <c r="H35" i="1"/>
  <c r="H36" i="1" s="1"/>
  <c r="M35" i="1"/>
  <c r="M36" i="1" s="1"/>
  <c r="K35" i="1"/>
  <c r="K36" i="1" s="1"/>
  <c r="J35" i="1"/>
  <c r="J36" i="1" s="1"/>
  <c r="I35" i="1"/>
  <c r="I36" i="1" s="1"/>
  <c r="C65" i="59"/>
  <c r="C76" i="59" s="1"/>
  <c r="D76" i="59" s="1"/>
  <c r="D82" i="59" s="1"/>
  <c r="C63" i="63"/>
  <c r="C74" i="63" s="1"/>
  <c r="D74" i="63" s="1"/>
  <c r="D80" i="63" s="1"/>
</calcChain>
</file>

<file path=xl/sharedStrings.xml><?xml version="1.0" encoding="utf-8"?>
<sst xmlns="http://schemas.openxmlformats.org/spreadsheetml/2006/main" count="10176" uniqueCount="1186">
  <si>
    <t>Дата</t>
  </si>
  <si>
    <t>МШР №1</t>
  </si>
  <si>
    <t>МШР №3</t>
  </si>
  <si>
    <t>Причины простоя</t>
  </si>
  <si>
    <t>МШЦ №2</t>
  </si>
  <si>
    <t>МШЦ №4</t>
  </si>
  <si>
    <t>Время простоя, мин</t>
  </si>
  <si>
    <t>Э</t>
  </si>
  <si>
    <t>М</t>
  </si>
  <si>
    <t>Т</t>
  </si>
  <si>
    <t>механическая</t>
  </si>
  <si>
    <t>электричесая</t>
  </si>
  <si>
    <t>технологическая</t>
  </si>
  <si>
    <t>Классификация простоя, М/Э/Т.</t>
  </si>
  <si>
    <t>Центровка венца</t>
  </si>
  <si>
    <t>Не запускается</t>
  </si>
  <si>
    <t>Подтяжка анкерного болта</t>
  </si>
  <si>
    <t>Замена пускателя на конв-ре</t>
  </si>
  <si>
    <t>Латка и подтяжка болтов</t>
  </si>
  <si>
    <t>ДСК</t>
  </si>
  <si>
    <t>Итого мин:</t>
  </si>
  <si>
    <t>Итого час:</t>
  </si>
  <si>
    <t>Замена вала на питателе</t>
  </si>
  <si>
    <t>Замена футеровки торцевой</t>
  </si>
  <si>
    <t xml:space="preserve">Подтяжка болтов </t>
  </si>
  <si>
    <t>Запесочалась хвосты МЖЦ</t>
  </si>
  <si>
    <t>ОФ</t>
  </si>
  <si>
    <t>Перегруз</t>
  </si>
  <si>
    <t>Замена камеры</t>
  </si>
  <si>
    <t xml:space="preserve">   Демонтаж двигателя медленного хода</t>
  </si>
  <si>
    <t>Частичная замена футеровочных болтов,замена решетки, сварочные работы на загрузочной течке</t>
  </si>
  <si>
    <t>Подтяжка футеровочных болтов</t>
  </si>
  <si>
    <t>Замена электродвигателя,пускателя,реле</t>
  </si>
  <si>
    <t>Сработало автомат КТП 1,МТЗ на подстанции,замена камеры</t>
  </si>
  <si>
    <t>Устранение вибрации коренного подшипника на разгрузке</t>
  </si>
  <si>
    <t>Заменили подшипник на грохоте инерционный легкого типа</t>
  </si>
  <si>
    <t>остановка по электрочасти</t>
  </si>
  <si>
    <t>НС13, ПС 220_35_6,  отсутствия электроэнергии и за погодных условий</t>
  </si>
  <si>
    <t>Установка уплотнения на загрузке,нож на питающем конвейере</t>
  </si>
  <si>
    <t>Замена футеровок, замена решеток, монтаж трассы воды на разгрузочный короб, переход на питающий конвейер</t>
  </si>
  <si>
    <t>Заменили подшипник  на приводном вале  питателя пластинчатый КК-15</t>
  </si>
  <si>
    <t xml:space="preserve">по мех части </t>
  </si>
  <si>
    <t xml:space="preserve">по электрочасти </t>
  </si>
  <si>
    <t>по техчасти</t>
  </si>
  <si>
    <t>Датчик маслостанции</t>
  </si>
  <si>
    <t>ППР</t>
  </si>
  <si>
    <t>Обтяжка болтов</t>
  </si>
  <si>
    <t>По электро части</t>
  </si>
  <si>
    <t>Обтяжка болтов анкерных</t>
  </si>
  <si>
    <t>По электро. Части (маслостанция)</t>
  </si>
  <si>
    <t>0:40-14:50</t>
  </si>
  <si>
    <t>погодные условия</t>
  </si>
  <si>
    <t>Погодные условия(буран) отключения линии 35 ВЛ</t>
  </si>
  <si>
    <t>9:48-17:46</t>
  </si>
  <si>
    <t>остановка 6:20:00</t>
  </si>
  <si>
    <t>запуск 1:51:00</t>
  </si>
  <si>
    <t>10.02.2021 см 2</t>
  </si>
  <si>
    <t>10.02.2021 см 1</t>
  </si>
  <si>
    <t>Прохудилась труба</t>
  </si>
  <si>
    <t>Обтяжка болтов, латка</t>
  </si>
  <si>
    <t>Врезка ГЦ (360) и увеличение щелей на решетке разгрузки</t>
  </si>
  <si>
    <t>Замена пускателя</t>
  </si>
  <si>
    <t>03:45-10:00</t>
  </si>
  <si>
    <t>Замена и подтяжка болтов на замке венцевой шестерни</t>
  </si>
  <si>
    <t>Замена сливной трубы</t>
  </si>
  <si>
    <t>Замена пускателя, замена блока управления</t>
  </si>
  <si>
    <t>Сработало МТЗ на подстанции</t>
  </si>
  <si>
    <t>Замена13 футеровочных болтов,</t>
  </si>
  <si>
    <t>01.03.2021 см 2</t>
  </si>
  <si>
    <t>Стык ленты (оборвалась)</t>
  </si>
  <si>
    <t>Забилась разгрузочная решетка, щебнем</t>
  </si>
  <si>
    <t>П</t>
  </si>
  <si>
    <t>Авария КИГОК</t>
  </si>
  <si>
    <t>ППР (замена футеровок)</t>
  </si>
  <si>
    <t>ППР(замена футеровок)</t>
  </si>
  <si>
    <t xml:space="preserve">05.03.2021 см 1 </t>
  </si>
  <si>
    <t>05.03.2021 см 2</t>
  </si>
  <si>
    <t>Протяжка болтов</t>
  </si>
  <si>
    <t xml:space="preserve">Рев-я анкерного </t>
  </si>
  <si>
    <t>Перегруз мельницы</t>
  </si>
  <si>
    <t>Центровка синхронника</t>
  </si>
  <si>
    <t>Анкерные болты</t>
  </si>
  <si>
    <t>Подтяжка болтов</t>
  </si>
  <si>
    <t>Замена пускателя на ЛК №15</t>
  </si>
  <si>
    <t xml:space="preserve">Замена загрузочной трубы </t>
  </si>
  <si>
    <t>Замена обратного клапана</t>
  </si>
  <si>
    <t>Сварка зумфа нс, замена сегмента</t>
  </si>
  <si>
    <t>Сварочные работы на барабане</t>
  </si>
  <si>
    <t>Сварочные работы на торцевой крышке</t>
  </si>
  <si>
    <t>Плавление баббитного вкладыша скользящего подшипника синхронного двигателя</t>
  </si>
  <si>
    <t>Демонтаж подшипника синхронного двигателя, замена на МШР №3</t>
  </si>
  <si>
    <t xml:space="preserve">Отключение электроэнергии, ревизия Вл 35кВ </t>
  </si>
  <si>
    <t>замена автомата на щите управления флотации, заменили три автомата</t>
  </si>
  <si>
    <t>отключение  электроэнергии, сработало защита МТЗ на подстанции</t>
  </si>
  <si>
    <t>частичная замена футеровки</t>
  </si>
  <si>
    <t>замена анкерного болта вал шестерни</t>
  </si>
  <si>
    <t>замена камеры</t>
  </si>
  <si>
    <t>подтяжка болтов</t>
  </si>
  <si>
    <t>м</t>
  </si>
  <si>
    <t>по погодным условиям</t>
  </si>
  <si>
    <t>Итого:</t>
  </si>
  <si>
    <t>МШР№ 3</t>
  </si>
  <si>
    <t>МШЦ № 4</t>
  </si>
  <si>
    <t>МШЦ№ 2</t>
  </si>
  <si>
    <t>п</t>
  </si>
  <si>
    <t>Простои по ОФ за МАРТ 2021 года</t>
  </si>
  <si>
    <t>Простои по мельницам</t>
  </si>
  <si>
    <t>Простои ОФ</t>
  </si>
  <si>
    <t>по мех части, час</t>
  </si>
  <si>
    <t>по электрочасти, час</t>
  </si>
  <si>
    <t>по тех.части, час</t>
  </si>
  <si>
    <t>по погодным условиям ОФ, час</t>
  </si>
  <si>
    <t>по электро части</t>
  </si>
  <si>
    <t>сварочные работы</t>
  </si>
  <si>
    <t>Перегруз (крупная руда)</t>
  </si>
  <si>
    <t>Перефутеровка</t>
  </si>
  <si>
    <t>Перефутеровка/подтяжка болтов</t>
  </si>
  <si>
    <t>Перегруз подтяжка болтов</t>
  </si>
  <si>
    <t>сварочные работы зумф насоса</t>
  </si>
  <si>
    <t>сварочные работы болт</t>
  </si>
  <si>
    <t xml:space="preserve">по электро части обратный клапан, муфта </t>
  </si>
  <si>
    <t>Перегруз (крупная руда) /сварочные работы</t>
  </si>
  <si>
    <t>по мех(сварочные торцевой)</t>
  </si>
  <si>
    <t>подтяжка болтов, сварочные работы</t>
  </si>
  <si>
    <t>сварочные КСН течка</t>
  </si>
  <si>
    <t xml:space="preserve">аварийное отключение электроэнергии </t>
  </si>
  <si>
    <t>центровка син/дв</t>
  </si>
  <si>
    <t>Сработало МТЗ</t>
  </si>
  <si>
    <t>Протяжка болтов, сварочные работы на желобе КСН1</t>
  </si>
  <si>
    <t xml:space="preserve">замена анкерного болта вал шестерни </t>
  </si>
  <si>
    <t>Подключение кабеля КСД КТПН №1</t>
  </si>
  <si>
    <t>замена двигателя на маслостанции</t>
  </si>
  <si>
    <t>сварочные работы и подтяжка замка венцевой шестерни</t>
  </si>
  <si>
    <t>Простои по ОФ за МАЙ 2021 года</t>
  </si>
  <si>
    <t>Простои по ОФ за Апрель 2021 года</t>
  </si>
  <si>
    <t>выломало часть решетки на разгрузке</t>
  </si>
  <si>
    <t>отключение электроэнергии. Испытание трансформаторов 2 и 3</t>
  </si>
  <si>
    <t xml:space="preserve">Перегруз </t>
  </si>
  <si>
    <t xml:space="preserve">По электрочасти </t>
  </si>
  <si>
    <t xml:space="preserve">Ревизия подшипников </t>
  </si>
  <si>
    <t xml:space="preserve">подтяжка болтов </t>
  </si>
  <si>
    <t xml:space="preserve">  по погодным условиям</t>
  </si>
  <si>
    <t>по мехчасти</t>
  </si>
  <si>
    <t>Простои по ОФ за Июнь 2021 года</t>
  </si>
  <si>
    <t>Отключение КЕГОК</t>
  </si>
  <si>
    <t>переключение на КЕГОК</t>
  </si>
  <si>
    <t>ППР (мех и энергетики)</t>
  </si>
  <si>
    <t>Забилась загрузочная течка</t>
  </si>
  <si>
    <t>По мех.части (замена насоса и сварочные работы)</t>
  </si>
  <si>
    <t xml:space="preserve">По мех.части </t>
  </si>
  <si>
    <t>сварочные работы на конвейерной ленте</t>
  </si>
  <si>
    <t>сварочные работы КСН №1</t>
  </si>
  <si>
    <t>перегруз</t>
  </si>
  <si>
    <t>нехватка руды по эл/части</t>
  </si>
  <si>
    <t xml:space="preserve">замены камеры </t>
  </si>
  <si>
    <t>замена редуктора КСН №3</t>
  </si>
  <si>
    <t>замена мягкого соед редуктора</t>
  </si>
  <si>
    <t>КСН №3</t>
  </si>
  <si>
    <t>переггруз</t>
  </si>
  <si>
    <t xml:space="preserve">замена камеры </t>
  </si>
  <si>
    <t xml:space="preserve">перегруз </t>
  </si>
  <si>
    <t>замена стыка конвейерной ленты</t>
  </si>
  <si>
    <t>сварочные работы на песковом желобе КСН №3, ревизия черпака</t>
  </si>
  <si>
    <t>по э/ч</t>
  </si>
  <si>
    <t>по м/ч</t>
  </si>
  <si>
    <t>заклепка ленты</t>
  </si>
  <si>
    <t xml:space="preserve">сварочные работы </t>
  </si>
  <si>
    <t>завал питателя</t>
  </si>
  <si>
    <t>Простои по ОФ за Июль 2021 года</t>
  </si>
  <si>
    <t>забился желоб</t>
  </si>
  <si>
    <t>перегруз КСН</t>
  </si>
  <si>
    <t xml:space="preserve">ревизия решетки </t>
  </si>
  <si>
    <t>Отключение электоэнергии ВЛ-35кВ  КИГОК</t>
  </si>
  <si>
    <t>Замена трансформатора</t>
  </si>
  <si>
    <t>по м/ч сварочные работы на желобе КСН</t>
  </si>
  <si>
    <t>сварочные работы на замке венцевой шестерни</t>
  </si>
  <si>
    <t>по отключению электоэнергии ВЛ-35кВ  КИГОК составляет простои 12,83 часов</t>
  </si>
  <si>
    <t>Простои по ОФ за август 2021 года</t>
  </si>
  <si>
    <t>по эл/ч</t>
  </si>
  <si>
    <t>замена камеры по э/ч</t>
  </si>
  <si>
    <t>загрузка шаров ч/з люк</t>
  </si>
  <si>
    <t xml:space="preserve">клепка ленты </t>
  </si>
  <si>
    <t xml:space="preserve">отключение электроэнергии </t>
  </si>
  <si>
    <t>по мех/части, сварочные работы</t>
  </si>
  <si>
    <t xml:space="preserve">по тех/ службе </t>
  </si>
  <si>
    <t>мех работы питатель</t>
  </si>
  <si>
    <t>по мех/части</t>
  </si>
  <si>
    <t xml:space="preserve">Сработало МТЗ </t>
  </si>
  <si>
    <t>Замена болта на замке венцевой шестерни</t>
  </si>
  <si>
    <t>отключение электроэнергии на ВЛ 35 кВт</t>
  </si>
  <si>
    <t>подтяжка и замена болта на замке венцевой шестерни</t>
  </si>
  <si>
    <t>отсутствие руды</t>
  </si>
  <si>
    <t>выбило автомат на ШР 5</t>
  </si>
  <si>
    <t>подтяжка болтов на замке венцевой шестерни</t>
  </si>
  <si>
    <t>Примечание: из-за отключения электроэнергии на ВЛ 35 кВт, количество часов составляет:</t>
  </si>
  <si>
    <t>Простои ОФ по погодным условиям</t>
  </si>
  <si>
    <t>,</t>
  </si>
  <si>
    <t>Сработала защита на ШР №3</t>
  </si>
  <si>
    <t>Смена</t>
  </si>
  <si>
    <t>Мех</t>
  </si>
  <si>
    <t>Элек</t>
  </si>
  <si>
    <t>Тех</t>
  </si>
  <si>
    <t>МШР №2</t>
  </si>
  <si>
    <t>МШР №4</t>
  </si>
  <si>
    <t>Другие</t>
  </si>
  <si>
    <t>Посадка</t>
  </si>
  <si>
    <t>Пояснение</t>
  </si>
  <si>
    <t>заклепали ленту</t>
  </si>
  <si>
    <t>посадка</t>
  </si>
  <si>
    <t>маслостанция</t>
  </si>
  <si>
    <t>по линии 35 квт</t>
  </si>
  <si>
    <t>остановка питателя</t>
  </si>
  <si>
    <t>некачал насос№1</t>
  </si>
  <si>
    <t>мтз</t>
  </si>
  <si>
    <t>обратный клапан</t>
  </si>
  <si>
    <t>латка на загрузочном тарцев.крышке</t>
  </si>
  <si>
    <t>свар.раб на течке</t>
  </si>
  <si>
    <t>ИТОГО:</t>
  </si>
  <si>
    <t>МШР№1</t>
  </si>
  <si>
    <t>МШЦ№2</t>
  </si>
  <si>
    <t>МШР№3</t>
  </si>
  <si>
    <t>МШЦ№4</t>
  </si>
  <si>
    <t>мин</t>
  </si>
  <si>
    <t>час</t>
  </si>
  <si>
    <t>тумблер в пыли на питателе</t>
  </si>
  <si>
    <t>Итого сумма:</t>
  </si>
  <si>
    <t xml:space="preserve">свар.работы на течке </t>
  </si>
  <si>
    <t>свар.работы на КСН1</t>
  </si>
  <si>
    <t>переподключение 220 Вт Кегог</t>
  </si>
  <si>
    <t>Свар.раб КСН3, зумпф, течка</t>
  </si>
  <si>
    <t>подтяжка болтов на барабане, вскрытие люка</t>
  </si>
  <si>
    <t>подтяжка болтов на барабане, вскрытие люка, прогрузка шаров</t>
  </si>
  <si>
    <t>перегруз, подтяжка болтов</t>
  </si>
  <si>
    <t>забилась бункерная течка</t>
  </si>
  <si>
    <t>КСН(11ч)</t>
  </si>
  <si>
    <t>размывка деревянного подшипника</t>
  </si>
  <si>
    <t>КСН(5ч)</t>
  </si>
  <si>
    <t>замена подшипника</t>
  </si>
  <si>
    <t>замена футеровок</t>
  </si>
  <si>
    <t>загрузка шаров</t>
  </si>
  <si>
    <t>свар.работы венец</t>
  </si>
  <si>
    <t>сварочные работы (загрузочная труба)</t>
  </si>
  <si>
    <t>ост.питателя пл эл.части</t>
  </si>
  <si>
    <t>свар.работы КСН1 и пртяжка болтов</t>
  </si>
  <si>
    <t>замена прокладки на загрузочной трубе</t>
  </si>
  <si>
    <t>насосы не в резерве</t>
  </si>
  <si>
    <t>Сработала защита маслостанции</t>
  </si>
  <si>
    <t>сварочные работы на течке загрузки, песковой зумпф, ванна ксн</t>
  </si>
  <si>
    <t>сварочные работы на песковом желобе КСН</t>
  </si>
  <si>
    <t>Подтяжка болтов на барабане, торцевой крышке</t>
  </si>
  <si>
    <t xml:space="preserve">Сварочные работы на рудной течке </t>
  </si>
  <si>
    <t>ППР-замена футеровки барабана</t>
  </si>
  <si>
    <t>ППР-замена футеровок барабана</t>
  </si>
  <si>
    <t>Сортировка и загрузка шаров</t>
  </si>
  <si>
    <t xml:space="preserve"> Загрузка шаров, закрытие люка</t>
  </si>
  <si>
    <t>Замена датчика (поплавок) маслостанции</t>
  </si>
  <si>
    <t>Сварочные работы зумпфа 5-6 насосов</t>
  </si>
  <si>
    <t>Обтяжка болтов на торцевом крышке</t>
  </si>
  <si>
    <t>Обтяжка болтов на барабане</t>
  </si>
  <si>
    <t>Замена подшипника №5 насоса</t>
  </si>
  <si>
    <t>Замена футеровок</t>
  </si>
  <si>
    <t>Загрузка шаров</t>
  </si>
  <si>
    <t>Недостаток воды</t>
  </si>
  <si>
    <t>Сварочные работы на течке</t>
  </si>
  <si>
    <t>Перегруз и очистка желоба</t>
  </si>
  <si>
    <t>Очистка желоба</t>
  </si>
  <si>
    <t>Замена ротационной полумуфты</t>
  </si>
  <si>
    <t>Замена патрубки</t>
  </si>
  <si>
    <t>Забивка щебнем  флотации</t>
  </si>
  <si>
    <t xml:space="preserve"> </t>
  </si>
  <si>
    <t>Сварочные работы</t>
  </si>
  <si>
    <t>Перегруз и протяжка болтов</t>
  </si>
  <si>
    <t>оторван стык ленты №3 ДСК</t>
  </si>
  <si>
    <t>замена шпильки на люке</t>
  </si>
  <si>
    <t>замена прокладки на люке</t>
  </si>
  <si>
    <t xml:space="preserve">отсутствие руды </t>
  </si>
  <si>
    <t>замена пускателя</t>
  </si>
  <si>
    <t>замена болта, вскрытие люка</t>
  </si>
  <si>
    <t>свар.раб на торцевой крышке</t>
  </si>
  <si>
    <t>Отключение  ВЛ 220 кВ КИГОГ</t>
  </si>
  <si>
    <t>ревизия обратного клапана,компрессора</t>
  </si>
  <si>
    <t>Отключение водовода по эл части</t>
  </si>
  <si>
    <t>Замена футеровки</t>
  </si>
  <si>
    <t>Замены камеры и центровка</t>
  </si>
  <si>
    <t>Изменения схемы флотации</t>
  </si>
  <si>
    <t>Заклепка ленты</t>
  </si>
  <si>
    <t>Ревизия и уборка флотомашин</t>
  </si>
  <si>
    <t>Токовая отсчека линии Евразия Куперс, сбои электричества в 35 кВ</t>
  </si>
  <si>
    <t>сварочные работы на течке</t>
  </si>
  <si>
    <t>МТЗ</t>
  </si>
  <si>
    <t>МТЗ, регулировка и настройка МТЗ</t>
  </si>
  <si>
    <t>Замена пускателя и проверка системы охлажения ЩУ</t>
  </si>
  <si>
    <t>Замена пускателя и проверка диодного моста, замена прокладки на загрузочной течке</t>
  </si>
  <si>
    <t>Продувка, очистка и проверка воздушной системы</t>
  </si>
  <si>
    <t>Перегруз, отст руды, забивка бункера</t>
  </si>
  <si>
    <t>Проверка воздушной системы</t>
  </si>
  <si>
    <t>забиваются бункра</t>
  </si>
  <si>
    <t>сгорел эл/дв на питательном конвейере 17</t>
  </si>
  <si>
    <t>демонтаж и монтаж эл/дв на питательном конвейере 17</t>
  </si>
  <si>
    <t>Сработала защита на преобразователе частотника</t>
  </si>
  <si>
    <t>подтяжка анкерных болтов коренных подшипников</t>
  </si>
  <si>
    <t xml:space="preserve"> отключение на линии 35 кВ KEGOC</t>
  </si>
  <si>
    <t>сварочные работы на коробе улиткового питателя</t>
  </si>
  <si>
    <t>ревизия камеры и компрессора</t>
  </si>
  <si>
    <t>забился бункер</t>
  </si>
  <si>
    <t>сварочные работы на улитковом коробе</t>
  </si>
  <si>
    <t>Регулировка контрапривода.</t>
  </si>
  <si>
    <t>поменяли  воздушную патрубок</t>
  </si>
  <si>
    <t>замена футеровки</t>
  </si>
  <si>
    <t>забился бункер, перегруз</t>
  </si>
  <si>
    <t>выбил автомат</t>
  </si>
  <si>
    <t xml:space="preserve">сгорела электродвигатель питателя </t>
  </si>
  <si>
    <t>замена теплового реле</t>
  </si>
  <si>
    <t>выдавила решетку в мельнице на выходе</t>
  </si>
  <si>
    <t>замена контактора (пускатель), центровка электродвигателя</t>
  </si>
  <si>
    <t>подтяжка анкерных болтов</t>
  </si>
  <si>
    <t xml:space="preserve"> отключение на линии 35 кВ, погодные условия</t>
  </si>
  <si>
    <t>самопроизвольная остановка</t>
  </si>
  <si>
    <t>замена камеры, самопроизвольная остановка</t>
  </si>
  <si>
    <t>перегруз, забился бункер</t>
  </si>
  <si>
    <t>замена реле</t>
  </si>
  <si>
    <t>прохудилась труба и залило маслостанцию пульпой, сработала датчик масло</t>
  </si>
  <si>
    <t>ревизия барабана</t>
  </si>
  <si>
    <t>замена пускателей возбуждения</t>
  </si>
  <si>
    <t>подтяжка болтов, сварочные работы, шуровка бункера</t>
  </si>
  <si>
    <t>шуровка бункера</t>
  </si>
  <si>
    <t>шуровка бункера, переход с насосов с 7 на 8</t>
  </si>
  <si>
    <t>Ревизя щит управления, продувка</t>
  </si>
  <si>
    <t>перегруз, шуровка бункера</t>
  </si>
  <si>
    <t>ППР-замена футеровок</t>
  </si>
  <si>
    <t>Шуровка бункера</t>
  </si>
  <si>
    <t>протяжка болтов</t>
  </si>
  <si>
    <t>Забился желоб</t>
  </si>
  <si>
    <t>перегруз, шуровка</t>
  </si>
  <si>
    <t>по эл/части</t>
  </si>
  <si>
    <t>перегруз,протяжка болтов</t>
  </si>
  <si>
    <t>забилась течка</t>
  </si>
  <si>
    <t>протяжка болтов, забился бункер</t>
  </si>
  <si>
    <t>сварочные работы на торцевой крышке барабана</t>
  </si>
  <si>
    <t>замена болтов на торцевой крышке, вскрытие люка, установка датчика реле давления, блок управления датчика на маслостанции</t>
  </si>
  <si>
    <t>протяжка болтов на барабане</t>
  </si>
  <si>
    <t>замена сегментов на  КСН №3</t>
  </si>
  <si>
    <t>МТЗ  маслостанция</t>
  </si>
  <si>
    <t>МТЗ подстанция</t>
  </si>
  <si>
    <t>перегруз,выработка мельницы,вскрытие люка, выгрузка шаров, подготовка к ППР</t>
  </si>
  <si>
    <t>Замена торцевой футеровки на загрузочной крышке барабана</t>
  </si>
  <si>
    <t>Авария на 17 насосной линии Кегок</t>
  </si>
  <si>
    <t>замена камеры, самопроизвольное отключение</t>
  </si>
  <si>
    <t>замена блока управления возбуждения</t>
  </si>
  <si>
    <t>перегрев компрессора</t>
  </si>
  <si>
    <t>перегруз (крупная руда)</t>
  </si>
  <si>
    <t>замена футеровок, подтяжка</t>
  </si>
  <si>
    <t>замена пускателя блока возбуждения ШУ</t>
  </si>
  <si>
    <t>доливка масла в трансформатор 220 В, насосной №13</t>
  </si>
  <si>
    <t>подтяжка болтов, перегруз</t>
  </si>
  <si>
    <t>выбило ячейку 1</t>
  </si>
  <si>
    <t>подтжка болтов</t>
  </si>
  <si>
    <t>замена пускателя на питателе ЛК №12</t>
  </si>
  <si>
    <t>замена пускателя возбуждения ШУ</t>
  </si>
  <si>
    <t>сработала защита на маслостанции</t>
  </si>
  <si>
    <t>посадка напряжения ВЛ-6 кв Евразия Купер</t>
  </si>
  <si>
    <t>частичная замена футеровок в кол-ве 9 штук,подтяжка болтов</t>
  </si>
  <si>
    <t>Заменили манометры ресивера воздушной системы</t>
  </si>
  <si>
    <t xml:space="preserve"> замена песковой трубы на водяной системе разгрузки мельниц</t>
  </si>
  <si>
    <t>срыв мягкого соединения на питатале эл/дв</t>
  </si>
  <si>
    <t>отключение электроэнергии на линии 35 кВ из-за погодных условии</t>
  </si>
  <si>
    <t>замена камеры сцепления</t>
  </si>
  <si>
    <t>Подготовка к ППР</t>
  </si>
  <si>
    <t>сварочная работа торцевой болт</t>
  </si>
  <si>
    <t>забился желоб,перегруз</t>
  </si>
  <si>
    <t>чистили желоб</t>
  </si>
  <si>
    <t>корректировка конв весов</t>
  </si>
  <si>
    <t>стакан заклинило КМД1, остановка ДО, нет руды в бункере, запас руды закончился</t>
  </si>
  <si>
    <t>перегруз (руда крупная )</t>
  </si>
  <si>
    <t>замена пускателя,ревизия маслостанции</t>
  </si>
  <si>
    <t>перегруз, протяжка болтов</t>
  </si>
  <si>
    <t>перегруз, протяжка болтов на крышке барабана</t>
  </si>
  <si>
    <t>замена болтов на торцевой крышке барабана</t>
  </si>
  <si>
    <t>оторвало стык на конвейерной ленте №17 (питатель)</t>
  </si>
  <si>
    <t>подтяжка болтов на барабане мельницы</t>
  </si>
  <si>
    <t>оторвало стык на конвейерной ленте</t>
  </si>
  <si>
    <t>замеры венцевой шестерни, протяжка болтов на барабане мельницы, протяжка сегментов на КСН-3</t>
  </si>
  <si>
    <t xml:space="preserve">сработало МТЗ </t>
  </si>
  <si>
    <t>шуровка бункера, перегруз</t>
  </si>
  <si>
    <t>оторвало болт на торцевой крышке барабана,подтяжка болтов на барабане, ревизия маслостанции</t>
  </si>
  <si>
    <t xml:space="preserve">шуровка бункера </t>
  </si>
  <si>
    <t>перегеруз</t>
  </si>
  <si>
    <t>свар.работы</t>
  </si>
  <si>
    <t>шуровка</t>
  </si>
  <si>
    <t>замена компрессора</t>
  </si>
  <si>
    <t>Отключение по линии 220 кВ</t>
  </si>
  <si>
    <t>маслодачик</t>
  </si>
  <si>
    <t>заклинило насос</t>
  </si>
  <si>
    <t xml:space="preserve">Замена камеры </t>
  </si>
  <si>
    <t>замена ротационной муфты</t>
  </si>
  <si>
    <t>аварийное отключение ВЛ-35 кВ из-за погодных условии</t>
  </si>
  <si>
    <t>аварийное отключение ВЛ-35 кВ</t>
  </si>
  <si>
    <t>ревизия улиткового питателя,черпака, футеровок барабана, замена деревянного подшипника на КСН, ревизия сегментов на КСН</t>
  </si>
  <si>
    <t>ревизия электронных весов, продувка щита управления</t>
  </si>
  <si>
    <t>вскрытие люка и замеры шаров, протяжка болтов на барабане</t>
  </si>
  <si>
    <t>сварочные работы на течке загрузки</t>
  </si>
  <si>
    <t>нехватка руды</t>
  </si>
  <si>
    <t>аварийное отключение ячейки,самопроизвольная остановка</t>
  </si>
  <si>
    <t>замена 9 болтов на барабане, замена 1-ой футеровки</t>
  </si>
  <si>
    <t>вскрыли люк, догрузили 2 тонны шаров, протяжка болтов</t>
  </si>
  <si>
    <t>замена пускателей на насосе №3, №4</t>
  </si>
  <si>
    <t>ревизия маслостанции</t>
  </si>
  <si>
    <t>замена пускателя на конв ленте №15</t>
  </si>
  <si>
    <t>замена автомата конв лента №15</t>
  </si>
  <si>
    <t>очистка желоба, подтяжка болтов</t>
  </si>
  <si>
    <t>по электрочасти</t>
  </si>
  <si>
    <t>замена торцевой футеровки 16 шт, футеровка вычерпывателя 16 шт, решетки 16 шт, футеровка барабана 15 шт</t>
  </si>
  <si>
    <t>вскрытие люка и выгрузка шаров и загрузка шаров, протяжка болтов</t>
  </si>
  <si>
    <t>вскрытие люка и замеры шаров, догрузили 2 тонны d-30мм</t>
  </si>
  <si>
    <t xml:space="preserve">  ПЕРЕГРУЗ </t>
  </si>
  <si>
    <t>подтяжка болтов венцевой шестерни, перегруз</t>
  </si>
  <si>
    <t>отключение эл энергии на линии 35 кВт</t>
  </si>
  <si>
    <t>замена ратационной муфты</t>
  </si>
  <si>
    <t>Ревизия насоса №3 № 4, замена трассы.</t>
  </si>
  <si>
    <t>замена прокладки 4 насоса,замена мягкого соединения 3 насоса</t>
  </si>
  <si>
    <t>переключение по линии Вл 220 кв</t>
  </si>
  <si>
    <t>подготовка к ППР</t>
  </si>
  <si>
    <t>закрытие люка, загрузка шаров</t>
  </si>
  <si>
    <t>открутился болт барабана.</t>
  </si>
  <si>
    <t>перегруз,забился зумф насоса № 5-6</t>
  </si>
  <si>
    <t>подтяжка болтов после перефутировки</t>
  </si>
  <si>
    <t xml:space="preserve"> отключение эл энергии связи погодными условиями</t>
  </si>
  <si>
    <t>Отключение эл энергии на линии 35 кВт.</t>
  </si>
  <si>
    <t>Запуск</t>
  </si>
  <si>
    <t xml:space="preserve"> Причина открутилась гайка на венцевой шестерне,шуровка бункера</t>
  </si>
  <si>
    <t>отстуствие руды в бункере</t>
  </si>
  <si>
    <t>грелся кабель</t>
  </si>
  <si>
    <t xml:space="preserve">подтяжка болтов, прочистка течки </t>
  </si>
  <si>
    <t>отстуствие руды в бункере, шуровка бункера</t>
  </si>
  <si>
    <t>забился Г/ц 7</t>
  </si>
  <si>
    <t>отключение по линии ВЛ 220 кВ</t>
  </si>
  <si>
    <t>замена вал привода</t>
  </si>
  <si>
    <t>из-за пускателя маслонасоса</t>
  </si>
  <si>
    <t>замена пускателя на маслонасосе</t>
  </si>
  <si>
    <t>из-за маслостанции</t>
  </si>
  <si>
    <t>вскрытие люка, выгрузка шаров</t>
  </si>
  <si>
    <t>демонтаж фетеровки</t>
  </si>
  <si>
    <t>монтаж футеровки</t>
  </si>
  <si>
    <t xml:space="preserve">загрузка шаров </t>
  </si>
  <si>
    <t>демонтаж футеровки</t>
  </si>
  <si>
    <t>корректировка весов</t>
  </si>
  <si>
    <t>упал уровень на маслостанции</t>
  </si>
  <si>
    <t>отключение электоэнергии НС-13-аварийное переключение Кегок</t>
  </si>
  <si>
    <t>отключение ВЛ-35 кВ из-за погодных условии</t>
  </si>
  <si>
    <t>аварийное переключение Кегок,отключение ВЛ-35 кВ из-за погодных условии,</t>
  </si>
  <si>
    <t>МТЗ на подстанции</t>
  </si>
  <si>
    <t>Вывели из схемы КМД 3 и ГИС-52, ремонт КМД-3, руда крупная</t>
  </si>
  <si>
    <t>посадка напряжения на ПС 35/6 кВ</t>
  </si>
  <si>
    <t>замена поддерживающего ролика на питающей ленте №15</t>
  </si>
  <si>
    <t>отсутствие руды в бункерах, сварочные работы на комбайне тележки</t>
  </si>
  <si>
    <t>выработка мельниц</t>
  </si>
  <si>
    <t>регулировка ЗН (заземляющего ножа) ШР 35 кВ на ОРУ НС-13</t>
  </si>
  <si>
    <t>регулировка ЗН (заземляющего ножа) ШР 35 кВ на ОРУ НС-13, сработало МТЗ на подстанции</t>
  </si>
  <si>
    <t>замена футеровочной решетки на торцевой стороне барабана</t>
  </si>
  <si>
    <t>упало давление масла на насосе маслостанции</t>
  </si>
  <si>
    <t>упало давление масла на насосе маслостанции, ревизия маслостанции</t>
  </si>
  <si>
    <t>ремонт 3 насоса</t>
  </si>
  <si>
    <t>сварочные работы на колене насоса №7</t>
  </si>
  <si>
    <t>очистка желоба</t>
  </si>
  <si>
    <t>очистили желоб, перегруз</t>
  </si>
  <si>
    <t>возбуждение</t>
  </si>
  <si>
    <t>Отключение электро- энергии Кегок</t>
  </si>
  <si>
    <t>центровка привода и коренных подшипников</t>
  </si>
  <si>
    <t>отключение ячейки</t>
  </si>
  <si>
    <t>перегруз, очистка желоба</t>
  </si>
  <si>
    <t>ревизия анкерных болтов</t>
  </si>
  <si>
    <t>выбило автомат</t>
  </si>
  <si>
    <t>протяжка болтов на барабане, перегруз</t>
  </si>
  <si>
    <t>замена загрузочной трубы</t>
  </si>
  <si>
    <t>аварийное отключение насосной НС-13, устранение утечки масла силового трансформатора</t>
  </si>
  <si>
    <t>замена камеры сцепления барабана</t>
  </si>
  <si>
    <t>подтяжка гайки вала шестерни</t>
  </si>
  <si>
    <t>аварийное отключение насосной НС-13, устранение утечки масла с фазы В силового трансформатора</t>
  </si>
  <si>
    <t>переключение по линии 220 кВ Кегок</t>
  </si>
  <si>
    <t>выработка мельницы, перегруз</t>
  </si>
  <si>
    <t>забились насосы, перегруз</t>
  </si>
  <si>
    <t xml:space="preserve">перегруз, шуровка, свар.работы </t>
  </si>
  <si>
    <t>МШР №5</t>
  </si>
  <si>
    <t>перебои в маслостанции</t>
  </si>
  <si>
    <t>ППР, замена решетки</t>
  </si>
  <si>
    <t>переруз</t>
  </si>
  <si>
    <t>сработала бликер МТЗ</t>
  </si>
  <si>
    <t>залито пульпой клеммный шкаф, отключился насос, сработал датчик давления</t>
  </si>
  <si>
    <t>МШР№5</t>
  </si>
  <si>
    <t>ревизия торцевой решетки, прокладки</t>
  </si>
  <si>
    <t>сварочные работы трещины на крышке барабана</t>
  </si>
  <si>
    <t>замена улиткового питателя</t>
  </si>
  <si>
    <t>откл.маслотсанция</t>
  </si>
  <si>
    <t xml:space="preserve">откл.маслостанция </t>
  </si>
  <si>
    <t>сварочные работы болта торцевой крышки</t>
  </si>
  <si>
    <t>сломался колосник подрешетный</t>
  </si>
  <si>
    <t>оторвано воздушный патрубок</t>
  </si>
  <si>
    <t>замена патрубка барабана</t>
  </si>
  <si>
    <t>замена загрузочной трубы, прокладки, сварочные работы на разгрузочном патрубке, замена шпильки люка</t>
  </si>
  <si>
    <t>самопроизвольное отключение, упало давление на маслостанции</t>
  </si>
  <si>
    <t>замена прокладки на маслостанции</t>
  </si>
  <si>
    <t>сработало МТЗ на подстанции</t>
  </si>
  <si>
    <t>замена мягкого соединения на лк№12</t>
  </si>
  <si>
    <t>сбой частотника на ЛК №18</t>
  </si>
  <si>
    <t>нехватка напряжения</t>
  </si>
  <si>
    <t>почистили желоб</t>
  </si>
  <si>
    <t>перегруз, забилась течка</t>
  </si>
  <si>
    <t>сорваны болты улиткового питателя</t>
  </si>
  <si>
    <t>забился течка</t>
  </si>
  <si>
    <t>поставили на выработку</t>
  </si>
  <si>
    <t>замена улиткового питателя и ревизия</t>
  </si>
  <si>
    <t>выбила ячейка</t>
  </si>
  <si>
    <t>сварочные работы на загрузочной течке, ревизия</t>
  </si>
  <si>
    <t>ревизия</t>
  </si>
  <si>
    <t>перегруз, калибровка весов</t>
  </si>
  <si>
    <t>подстанция</t>
  </si>
  <si>
    <t>протяжка болтов, ревизия</t>
  </si>
  <si>
    <t>протяжка болтов, перегруз</t>
  </si>
  <si>
    <t>переключение технических систем</t>
  </si>
  <si>
    <t>самопроизвольная остановка маслостанции</t>
  </si>
  <si>
    <t>калибровка весов</t>
  </si>
  <si>
    <t>подтяжка болтов на барабане</t>
  </si>
  <si>
    <t>переход насоса</t>
  </si>
  <si>
    <t>перегруз, отсутствие руды</t>
  </si>
  <si>
    <t>замена переключателя на ШУ зумпфовых насосов</t>
  </si>
  <si>
    <t>сработала МТЗ</t>
  </si>
  <si>
    <t>демонтаж фильтра маслостанции</t>
  </si>
  <si>
    <t>перегруз, забился желоб</t>
  </si>
  <si>
    <t>замена анкерного болта</t>
  </si>
  <si>
    <t>выработка и запуск мельниц</t>
  </si>
  <si>
    <t>замена барабана муфты сцепления</t>
  </si>
  <si>
    <t>подтяжка болтов, отсутствие руды и шуровка перегруз</t>
  </si>
  <si>
    <t xml:space="preserve">шуровка бункера, отсутствие руды, </t>
  </si>
  <si>
    <t>шуровка бункера, отсутствие руды, протяжка болтов</t>
  </si>
  <si>
    <t>ревизия улиткового питателя, подтяжка болтов на барабане</t>
  </si>
  <si>
    <t>нехватка руды в бункерах</t>
  </si>
  <si>
    <t>крупная руда (перегруз)</t>
  </si>
  <si>
    <t>устранение перегруза по причине крупной фракции руды</t>
  </si>
  <si>
    <t>крупная руда (перегруз), выработка мельниц, выгрузка шаров</t>
  </si>
  <si>
    <t>отключение эл.энергии</t>
  </si>
  <si>
    <t>замена переключателя насоса</t>
  </si>
  <si>
    <t>переключатель насоса</t>
  </si>
  <si>
    <t>переход схемы</t>
  </si>
  <si>
    <t>КЕГОК</t>
  </si>
  <si>
    <t>разгрузка шаров и перегруз</t>
  </si>
  <si>
    <t>заварили латку, аменили уплотнения</t>
  </si>
  <si>
    <t>перегруз и подтяжка болтов</t>
  </si>
  <si>
    <t>сработал датчик давления</t>
  </si>
  <si>
    <t>перергруз</t>
  </si>
  <si>
    <t>переход схемы и перегруз</t>
  </si>
  <si>
    <t>отключение маслостанции</t>
  </si>
  <si>
    <t>сварочные работы и подтяжка болтов</t>
  </si>
  <si>
    <t>залило пульпой маслостанцию</t>
  </si>
  <si>
    <t>низкое давление масла</t>
  </si>
  <si>
    <t xml:space="preserve">перегруз рудой </t>
  </si>
  <si>
    <t>перегруз, вывод из схемы КСН</t>
  </si>
  <si>
    <t>сварочные работы на распред коробе насоса №7,№8</t>
  </si>
  <si>
    <t>забилась течка питания мельницы</t>
  </si>
  <si>
    <t>перегруз, чистка желоба</t>
  </si>
  <si>
    <t>чистка течки</t>
  </si>
  <si>
    <t>чистка желоба и переход насоса</t>
  </si>
  <si>
    <t>забился Гц и течка</t>
  </si>
  <si>
    <t>выработка мельницы</t>
  </si>
  <si>
    <t>ревизия КСН</t>
  </si>
  <si>
    <t>замена ремня на ремневой передачи на электродвигателе ЛК№18</t>
  </si>
  <si>
    <t>сварочные работы на барабане, перегруз мельницы</t>
  </si>
  <si>
    <t>замена барабана сцепления муфты</t>
  </si>
  <si>
    <t>подтяжка болтов на торцевой крышке барабана</t>
  </si>
  <si>
    <t>частичная замена футеревки 4 шт. на барабане, подтяжка болтов, частичная замена сегментов на спирали 3 шт и 1 шт на спирали КСН</t>
  </si>
  <si>
    <t>замена барабана муфты сцепления воздушной системы</t>
  </si>
  <si>
    <t>забилась загрузочная течка</t>
  </si>
  <si>
    <t>сломался воздушный патрубок</t>
  </si>
  <si>
    <t>нехватка руды в бункере, сварочнные работы по ДО</t>
  </si>
  <si>
    <t>из-за погодных условии</t>
  </si>
  <si>
    <t>самопроизвольная остановка мельницы</t>
  </si>
  <si>
    <t>перегруз, переход на другой бункер</t>
  </si>
  <si>
    <t>чистка желоба</t>
  </si>
  <si>
    <t>переход на другой бункер</t>
  </si>
  <si>
    <t>переход бункера</t>
  </si>
  <si>
    <t>отключение ВЛ 220 кВ Кегок</t>
  </si>
  <si>
    <t>промышленные испытания</t>
  </si>
  <si>
    <t>перенруз мельницы рудой</t>
  </si>
  <si>
    <t>перегруз, выработка мельницы</t>
  </si>
  <si>
    <t>ТО</t>
  </si>
  <si>
    <t>замена тормозной колодки на барабане</t>
  </si>
  <si>
    <t>переход насоса, замена тумблера</t>
  </si>
  <si>
    <t>ревизия э/дв на КСН-3, выводили из схемы</t>
  </si>
  <si>
    <t>из-за воздушной системы</t>
  </si>
  <si>
    <t>ревизия редуктора на КСН-3, выводили из схемы</t>
  </si>
  <si>
    <t>забилась течка шарами</t>
  </si>
  <si>
    <t>по э/части</t>
  </si>
  <si>
    <t>мех/части</t>
  </si>
  <si>
    <t>выработка мельницы, шуровка бункера</t>
  </si>
  <si>
    <t>забилась течка шарами, шуровка бункера</t>
  </si>
  <si>
    <t>выработка мельницы, шуровка течки</t>
  </si>
  <si>
    <t>вырвботка мельницы</t>
  </si>
  <si>
    <t xml:space="preserve">ревизия </t>
  </si>
  <si>
    <t>выработка мельницы, протяжка болтов</t>
  </si>
  <si>
    <t>посадка напряжения 35 кВ от НС-13</t>
  </si>
  <si>
    <t>замена масла на маслостанции</t>
  </si>
  <si>
    <t>прогрузка шаров 3 тонны</t>
  </si>
  <si>
    <t>сработало МТЗ</t>
  </si>
  <si>
    <t>сварочные работы на сливе ГЦ-2</t>
  </si>
  <si>
    <t>прохудилось колено насоса №7</t>
  </si>
  <si>
    <t>аварийная остановка, посадка напряжения 35 кВ от НС-13</t>
  </si>
  <si>
    <t>сварочные работы на ГЦ-3, замена вала на насосе №4</t>
  </si>
  <si>
    <t>аварийная остановка, посадка напряжения 35 кВ от НС-13, по погодным условиям</t>
  </si>
  <si>
    <t>замена реле на конвейере №15</t>
  </si>
  <si>
    <t>оторвался барабан на питателе ЛК 18</t>
  </si>
  <si>
    <t xml:space="preserve">перегруз, замена роликов, замена юбки на питателе </t>
  </si>
  <si>
    <t>замена улиткового питаттеля</t>
  </si>
  <si>
    <t xml:space="preserve">замена песочной трубы </t>
  </si>
  <si>
    <t>ревизия цепей управления, замена контакторов песковых насадок 3,4</t>
  </si>
  <si>
    <t>отключение электроэнергии</t>
  </si>
  <si>
    <t>ревизия вакуумного выключателя, замена отключающей катушки, замена платы управления</t>
  </si>
  <si>
    <t xml:space="preserve">замена решетки </t>
  </si>
  <si>
    <t>Посадка напряжения из-за насоса №3 НС 13</t>
  </si>
  <si>
    <t>наладка релейной защиты ввода 35кВ, ввода 6кВ и мельниц 1,2,3,4.</t>
  </si>
  <si>
    <t>перегруз и переход насоса</t>
  </si>
  <si>
    <t>переход насоса,почистили течку</t>
  </si>
  <si>
    <t>замена контакторов песковых насадок 1,2</t>
  </si>
  <si>
    <t>ревизия решетки</t>
  </si>
  <si>
    <t>Демонтаж компрессора МШР-1, подключение к компрессору МШЦ-2</t>
  </si>
  <si>
    <t xml:space="preserve">замена ролика на конвейере </t>
  </si>
  <si>
    <t xml:space="preserve">перегруз, КСН-5 забился </t>
  </si>
  <si>
    <t>забился КСН-5</t>
  </si>
  <si>
    <t>демонтаж решетки</t>
  </si>
  <si>
    <t>монтаж решетки</t>
  </si>
  <si>
    <t>переход на вторую секцию флотации</t>
  </si>
  <si>
    <t>сварочные работы течки</t>
  </si>
  <si>
    <t>нехватка руды из-за нестабильной подачи руды ДО по погодынм условиям</t>
  </si>
  <si>
    <t>выработка мельницы, подготовка к замене решетки</t>
  </si>
  <si>
    <t>замена решетки-ППР</t>
  </si>
  <si>
    <t>подготовка к запуску, подтяжка болтов</t>
  </si>
  <si>
    <t>замена анкерных болтов</t>
  </si>
  <si>
    <t>хамена подшипника электродвигателя</t>
  </si>
  <si>
    <t>замена масляной трубы под крышкой коренного подшипника</t>
  </si>
  <si>
    <t>выработка и подтяжка болтов на барабане</t>
  </si>
  <si>
    <t>отключение ВЛ-35</t>
  </si>
  <si>
    <t>замена всасывающих флтоблоков на основной флотации флотоблок №1 и к контрольный флотоблок №1 на 1-ой секции флотации</t>
  </si>
  <si>
    <t>самопроизвльная остановка, низкий уровень масла на маслостанции</t>
  </si>
  <si>
    <t>самопроизвльная остановка, низкий уровень масла на маслостанции, замена фильра</t>
  </si>
  <si>
    <t>отключение Вл 220 кВ. Замена опорного изолятор разъединителя ЛР-220 кВ в насосной НС-13</t>
  </si>
  <si>
    <t>замена пускателя, низкое давление масла</t>
  </si>
  <si>
    <t>перегруз, забивалась течка</t>
  </si>
  <si>
    <t>Выработка мельниц, выгрузка мельниц</t>
  </si>
  <si>
    <t>ревизия КТП №2</t>
  </si>
  <si>
    <t>вскрытие люка и замер уровней шаров</t>
  </si>
  <si>
    <t>выработка мельниц, перегруз</t>
  </si>
  <si>
    <t>прогрузка шаров</t>
  </si>
  <si>
    <t>ревизия улиткового питателя</t>
  </si>
  <si>
    <t>Ревизия 1 КСН, ревизия улиткового питателя</t>
  </si>
  <si>
    <t>ревизия воздушной сисемы</t>
  </si>
  <si>
    <t>сварочные работы на барабане</t>
  </si>
  <si>
    <t>чистка течки, переход насоса</t>
  </si>
  <si>
    <t>выработка мельниц, подтяжка болтов</t>
  </si>
  <si>
    <t>выработка мельниц, протяжка болтов</t>
  </si>
  <si>
    <t>забилась течка, перегруз</t>
  </si>
  <si>
    <t>ревизия замка венцевой шестерни</t>
  </si>
  <si>
    <t>ревизия э/д и замена э/д конвейера №23</t>
  </si>
  <si>
    <t>выработка мельницы,подтяжка болтов на торцевой крышке</t>
  </si>
  <si>
    <t>выработка мельницы, сварочные работы на замке венцевой шестерни</t>
  </si>
  <si>
    <t>ревизия замка на венцевой шестерни</t>
  </si>
  <si>
    <t>замена болта на замке венцевой шестерни</t>
  </si>
  <si>
    <t>замена барабана</t>
  </si>
  <si>
    <t>ревизия по э/ч</t>
  </si>
  <si>
    <t xml:space="preserve">выработка мельницы, протяжка болтов </t>
  </si>
  <si>
    <t>замена болта на барабане</t>
  </si>
  <si>
    <t>аварийное отключение 220 кВт Кегок</t>
  </si>
  <si>
    <t>из-за дробильного отделения, вышел из строя редуктор, заклинил вал щековой дробилки</t>
  </si>
  <si>
    <t>выработка мельницы, подтяжка болтов на барабане</t>
  </si>
  <si>
    <t>из-за дробильного отделения, вышел из строя редуктор на конвейере, заклинил вал щековой дробилки</t>
  </si>
  <si>
    <t>низкое давление на маслостанции</t>
  </si>
  <si>
    <t>ревизия мельницы</t>
  </si>
  <si>
    <t>перегрев электродвигателя</t>
  </si>
  <si>
    <t>замена болтов на замке венцевой шестерни</t>
  </si>
  <si>
    <t>выработка мельницы, подготовка к замене крышке венцевой шестерни</t>
  </si>
  <si>
    <t>монтаж подрешетной и решетной футеровки</t>
  </si>
  <si>
    <t>монтаж подрешетной и решетной футеровки, монтаж торцевой крышки</t>
  </si>
  <si>
    <t>ОРУ-35кВ насосной станции №13</t>
  </si>
  <si>
    <t>ОРУ-35кВ насосной станции №14</t>
  </si>
  <si>
    <t>ОРУ-35кВ насосной станции №15</t>
  </si>
  <si>
    <t>ОРУ-35кВ насосной станции №16</t>
  </si>
  <si>
    <t>ОРУ-35кВ насосной станции №17</t>
  </si>
  <si>
    <t>ОРУ-35кВ насосной станции №18</t>
  </si>
  <si>
    <t>ОРУ-35кВ насосной станции №19</t>
  </si>
  <si>
    <t>ОРУ-35кВ насосной станции №20</t>
  </si>
  <si>
    <t>ОРУ-35кВ насосной станции №21</t>
  </si>
  <si>
    <t xml:space="preserve">Прогрузка шаров </t>
  </si>
  <si>
    <t>центровка электродвигателя</t>
  </si>
  <si>
    <t>поверка и отключение по погодным условиям</t>
  </si>
  <si>
    <t xml:space="preserve">самопроизвольная остановка </t>
  </si>
  <si>
    <t>монтаж датчика температуры</t>
  </si>
  <si>
    <t>подтяжка болтов на торцевой крышке</t>
  </si>
  <si>
    <t>нагрелся охлаждающий вентилятор</t>
  </si>
  <si>
    <t>лопнула магистраль, перегруз</t>
  </si>
  <si>
    <t>выработка мельницы, забился желоб</t>
  </si>
  <si>
    <t>нагрелся вкладыш СД</t>
  </si>
  <si>
    <t>ТО, вскрытие люка</t>
  </si>
  <si>
    <t>выработка мельницы,подтяжка болтов,перегруз</t>
  </si>
  <si>
    <t>перегруз,шуровка бункера, отсутствие руды</t>
  </si>
  <si>
    <t>промышленные испытания,2 стадия измельчения</t>
  </si>
  <si>
    <t>перешли на рудную стадию измельчения</t>
  </si>
  <si>
    <t>свар на зумпфе</t>
  </si>
  <si>
    <t>свар работы</t>
  </si>
  <si>
    <t xml:space="preserve">выработка мельницы, подтяжка болтов </t>
  </si>
  <si>
    <t>низкое давление масла нагрелся СД</t>
  </si>
  <si>
    <t>нагрев СД</t>
  </si>
  <si>
    <t>срыв крепления натяжного барабана</t>
  </si>
  <si>
    <t>сбой компрессора</t>
  </si>
  <si>
    <t xml:space="preserve">выработка мельницы и подтяжка болтов </t>
  </si>
  <si>
    <t>шуровка бункера, забилась течка</t>
  </si>
  <si>
    <t>шуровка бункера, забилась течка, перегруз</t>
  </si>
  <si>
    <t>выработка мельницы и шуровка бункера</t>
  </si>
  <si>
    <t xml:space="preserve">выработка мельниц, подтяжка болтов </t>
  </si>
  <si>
    <t xml:space="preserve">по мех/части </t>
  </si>
  <si>
    <t xml:space="preserve">срыв заднего барабана </t>
  </si>
  <si>
    <t>аварийная остановка из-ха хвостовых насосов</t>
  </si>
  <si>
    <t>свар работы на течке питания</t>
  </si>
  <si>
    <t xml:space="preserve">самопроизльная остановка </t>
  </si>
  <si>
    <t>нехватка руды из-за погодных условии</t>
  </si>
  <si>
    <t>вырвало футеровочный болт на барабане, протяжка болтов на торцевой крышке барабана</t>
  </si>
  <si>
    <t>выработка мельницы, протяжка болтов на барабане, шуровка бункера</t>
  </si>
  <si>
    <t>выработка мельницы, вскрытие люка</t>
  </si>
  <si>
    <t>выработка мельницы, подтяжка болтов</t>
  </si>
  <si>
    <t>Отключение ОФ 220 Квт Кегог</t>
  </si>
  <si>
    <t>сгорел э/дв питателя мельницы</t>
  </si>
  <si>
    <t>замена роликов, перегруз</t>
  </si>
  <si>
    <t>переключение электроэнергии КЕГОГ</t>
  </si>
  <si>
    <t>выработка мельниц, сварочные работы</t>
  </si>
  <si>
    <t>выработка мельниц, подтяжка болтов, чистка желоба</t>
  </si>
  <si>
    <t>оторвалась шпилька на люке барабана</t>
  </si>
  <si>
    <t>отключение электроэнергии ВЛ-35 кВ КЕГОГ из-за погодных условии</t>
  </si>
  <si>
    <t>Установка нового шкафа управления на насос №4</t>
  </si>
  <si>
    <t>утечка воздушной системы</t>
  </si>
  <si>
    <t>сварочные работы на люке барабана</t>
  </si>
  <si>
    <t>скачок напряжения</t>
  </si>
  <si>
    <t>перегруз, выработка мельниц,подтяжка болтов</t>
  </si>
  <si>
    <t>перегруз, забилась течка, забился гидроциклон, переход насоса</t>
  </si>
  <si>
    <t>Остановка ОФ  отключение на линии ВЛ - 35 Кв KEGOG</t>
  </si>
  <si>
    <t>Подтяжка анкерных болтов, ревизия улиткового питателя</t>
  </si>
  <si>
    <t>сгорел предохранитель на КТП №2</t>
  </si>
  <si>
    <t>забился ГЦ-9</t>
  </si>
  <si>
    <t>замена роликов</t>
  </si>
  <si>
    <t>перегруз, замена роликов</t>
  </si>
  <si>
    <t>переход насоса 7 на 8, перегруз</t>
  </si>
  <si>
    <t>сварочные работы по мехчасти</t>
  </si>
  <si>
    <t>ревизия и замер уровней шаров</t>
  </si>
  <si>
    <t>перегруз, шуровка бункера, чистка течки</t>
  </si>
  <si>
    <t>Заменили две решетки нижние,заменили 5 сломанных футеровок, сварочные работы трещины на барабане</t>
  </si>
  <si>
    <t xml:space="preserve">прогрузка шаров </t>
  </si>
  <si>
    <t>прогрузка шаров, перегруз, шуровка бункера</t>
  </si>
  <si>
    <t>вырботка мельницы</t>
  </si>
  <si>
    <t>замена барабана на э/двигателе</t>
  </si>
  <si>
    <t>шуровка бункера, выработка мельницы</t>
  </si>
  <si>
    <t>пропускает воздух на барабане</t>
  </si>
  <si>
    <t>утечка масла на маслостанции</t>
  </si>
  <si>
    <t>из-за нехватки электроэнергии, запуск 2 секции флотации</t>
  </si>
  <si>
    <t>пропускает воздух, самоостановка</t>
  </si>
  <si>
    <t>протечка воздуха в барабане</t>
  </si>
  <si>
    <t>из-за нехватки электроэнергии</t>
  </si>
  <si>
    <t>шуровка бункера, перегруз, выработка мельницы, выгрузка шаров</t>
  </si>
  <si>
    <t>Ремонт насосной станции №13</t>
  </si>
  <si>
    <t>Ремонт насосной станции №14</t>
  </si>
  <si>
    <t>подтяжка болтов на барабане, шуровка бункера, перегруз</t>
  </si>
  <si>
    <t>сварочные работы на разгрузочной решетки</t>
  </si>
  <si>
    <t>замена решетки</t>
  </si>
  <si>
    <t>подтяжка болтов на барабане, перегруз</t>
  </si>
  <si>
    <t>выработка мельницы, выгрузка шаров</t>
  </si>
  <si>
    <t>подтяжка болтов на барабане, шуровка бункера</t>
  </si>
  <si>
    <t>перегруз,  шуровка бункера</t>
  </si>
  <si>
    <t>прогрузка шаров, протяжка болтов на барабане</t>
  </si>
  <si>
    <t>выработка мельницы, сварочные работы на течке</t>
  </si>
  <si>
    <t>перегруз, забился гидроциклон</t>
  </si>
  <si>
    <t>перегруз, шуровка бункера, переход насоса</t>
  </si>
  <si>
    <t>перегруз, шуровка руды</t>
  </si>
  <si>
    <t>выработка мельниц, сварочные работы на загрузочной течки, протяжка болтов</t>
  </si>
  <si>
    <t>загрузка шаров, подтяжка болтов на барабане, перегруз</t>
  </si>
  <si>
    <t>заимена роликов на конвейере</t>
  </si>
  <si>
    <t>отключение электроэнергии по погодным условиям, 35 кВ НС-13</t>
  </si>
  <si>
    <t>отключение электроэнергии по погодным условиям, 35 кВ НС-14</t>
  </si>
  <si>
    <t>перегруз, забился ГЦ, забивка течки</t>
  </si>
  <si>
    <t>замена э/двигателя на маслостанции</t>
  </si>
  <si>
    <t>подтяжка болтов на люке барабана</t>
  </si>
  <si>
    <t>замена пускателя на питателе</t>
  </si>
  <si>
    <t>калибровка эл.счетчика</t>
  </si>
  <si>
    <t>Перегруз,шуровка</t>
  </si>
  <si>
    <t>замена контакторов ЩУ конвейера №15</t>
  </si>
  <si>
    <t>Переггруз, чистка течки</t>
  </si>
  <si>
    <t>по мех.части</t>
  </si>
  <si>
    <t>Чистка течки</t>
  </si>
  <si>
    <t>Забился гидрациклон, чистка течки</t>
  </si>
  <si>
    <t>Сбой по эл.части</t>
  </si>
  <si>
    <t>перегруз,чистка течки и нехватка руды</t>
  </si>
  <si>
    <t>нехватка руды в бункере</t>
  </si>
  <si>
    <t>большая нагрузка по эл.сети</t>
  </si>
  <si>
    <t>перегруз,чистка течки</t>
  </si>
  <si>
    <t>В связи погодными условиями</t>
  </si>
  <si>
    <t>Выбило ленту, корректировка эл.весов</t>
  </si>
  <si>
    <t>забилась течка, установка фартука</t>
  </si>
  <si>
    <t>Забивание течки, перегруз</t>
  </si>
  <si>
    <t>Забивание течки, бункера, перегруз</t>
  </si>
  <si>
    <t>Забивание течки, нехватка руды</t>
  </si>
  <si>
    <t>Забивание течки, отсутствие руды</t>
  </si>
  <si>
    <t>аварийное отлючение</t>
  </si>
  <si>
    <t>аварийное отключение</t>
  </si>
  <si>
    <t>Замена автомата</t>
  </si>
  <si>
    <t>нехватка руды, перегруз</t>
  </si>
  <si>
    <t>шуровка течки</t>
  </si>
  <si>
    <t xml:space="preserve">ревизия улиткового питателя </t>
  </si>
  <si>
    <t>сбой эл.счетчика</t>
  </si>
  <si>
    <t>по эл.части</t>
  </si>
  <si>
    <t>по мех части. Ревизия</t>
  </si>
  <si>
    <t>Ревизия</t>
  </si>
  <si>
    <t>по эл части маслостанции</t>
  </si>
  <si>
    <t>Замена ролика</t>
  </si>
  <si>
    <t>Забилась течка</t>
  </si>
  <si>
    <t>перегруз, переход насоса</t>
  </si>
  <si>
    <t>Калибровка весов</t>
  </si>
  <si>
    <t xml:space="preserve">Остановка ОФ  отключение на линии ВЛ - 35 Кв </t>
  </si>
  <si>
    <t>замена электродвигателя</t>
  </si>
  <si>
    <t>Забился ГЦ, Отсутствие руды</t>
  </si>
  <si>
    <t>упала торцевая футеровка. Замена</t>
  </si>
  <si>
    <t>перегруз, забивание течки</t>
  </si>
  <si>
    <t>остановка маслостанции</t>
  </si>
  <si>
    <t>перегруз,забилась течка</t>
  </si>
  <si>
    <t>Замена пускателя, калибровка весов</t>
  </si>
  <si>
    <t>переход насоса, забилась течка</t>
  </si>
  <si>
    <t>Замена приводного вала</t>
  </si>
  <si>
    <t>Замена контактора на ленте</t>
  </si>
  <si>
    <t>Перегруз, шуровка бункера</t>
  </si>
  <si>
    <t>перегруз, нехватка руды</t>
  </si>
  <si>
    <t>Замена контактора</t>
  </si>
  <si>
    <t>замена контактора</t>
  </si>
  <si>
    <t>шуровка бункера, клепка ленты</t>
  </si>
  <si>
    <t>ревизия ленты по эл.части</t>
  </si>
  <si>
    <t>Самопроизвольная остановка</t>
  </si>
  <si>
    <t>нехватка эл.энергии</t>
  </si>
  <si>
    <t>Вышел из строя трансформатор №2</t>
  </si>
  <si>
    <t>подключение трансформатора №2</t>
  </si>
  <si>
    <t>низкое давление маслостанции</t>
  </si>
  <si>
    <t>Замена контатора и калибровка весов</t>
  </si>
  <si>
    <t>замена ролика</t>
  </si>
  <si>
    <t>Забивание течки</t>
  </si>
  <si>
    <t>Забился гидрациклон</t>
  </si>
  <si>
    <t>Забиласт течка, переход бункера</t>
  </si>
  <si>
    <t>Выбило пускатель</t>
  </si>
  <si>
    <t>демонтаж бутары</t>
  </si>
  <si>
    <t>клепка ленты</t>
  </si>
  <si>
    <t>сортировка шаров</t>
  </si>
  <si>
    <t>обтяжка анкерных болтов</t>
  </si>
  <si>
    <t>обтяжка синхронного двигателя</t>
  </si>
  <si>
    <t>повреждение высоковольтног кабеля АСВ</t>
  </si>
  <si>
    <t>сортировка,загрузка шаров</t>
  </si>
  <si>
    <t>Замена приставки, чистка контакта</t>
  </si>
  <si>
    <t>Замена реле</t>
  </si>
  <si>
    <t>Самопроизвольная остановка, замена реле</t>
  </si>
  <si>
    <t>Забился бункер</t>
  </si>
  <si>
    <t>нехватка руды, выработка мельницы, подтяжка болтов</t>
  </si>
  <si>
    <t>нехватка руды, забился бункер</t>
  </si>
  <si>
    <t>нехватка руды,забился бункер</t>
  </si>
  <si>
    <t>сварочные работы на решетке</t>
  </si>
  <si>
    <t>замена пускателя на конвейере</t>
  </si>
  <si>
    <t>забилась течка,промывка течки, замена роликов</t>
  </si>
  <si>
    <t>греется подшипник эл/двигателя</t>
  </si>
  <si>
    <t>Сломан зуб шестерни на приводе мельницы</t>
  </si>
  <si>
    <t>калибровка счетчика</t>
  </si>
  <si>
    <t>Сломан зуб шестерни на приводе мельницы и самопроизвольная остановка</t>
  </si>
  <si>
    <t>Самопроизвольная остановка (баббитовый подшипник)</t>
  </si>
  <si>
    <t>подтяжка сегмента КСН, забивание бункера</t>
  </si>
  <si>
    <t>замена ремня на барабане</t>
  </si>
  <si>
    <t>забилась бункер</t>
  </si>
  <si>
    <t>Самопроизвольная остановка ( греется баббитовый подшипник)</t>
  </si>
  <si>
    <t>Замена вкладыша (баббитовый подшипник)</t>
  </si>
  <si>
    <t>Остановка мельницы по мех части</t>
  </si>
  <si>
    <t>ревизия по эл.части</t>
  </si>
  <si>
    <t>ревизия по мех.части</t>
  </si>
  <si>
    <t>нехватка руды, перегруз, переход бункера</t>
  </si>
  <si>
    <t>перегруз, нехватка руды, замена  фартука</t>
  </si>
  <si>
    <t>замена ролика и ножа</t>
  </si>
  <si>
    <t>шуровка бункера, замена ножа</t>
  </si>
  <si>
    <t>замена контактора и приставки</t>
  </si>
  <si>
    <t>самопроизвольная остановка, Низкое давление масла</t>
  </si>
  <si>
    <t>подтяжка анкерных болтов синхроника</t>
  </si>
  <si>
    <t xml:space="preserve">шуровка бункера, замена ролика </t>
  </si>
  <si>
    <t>шуровка бункера, замена роликов</t>
  </si>
  <si>
    <t>свар работы на загрузочной течки</t>
  </si>
  <si>
    <t>разрыв гидроциклона</t>
  </si>
  <si>
    <t>пропускает камера</t>
  </si>
  <si>
    <t>сварочные работы улиткового питателя</t>
  </si>
  <si>
    <t>Подтяжка анкерных болтов привода</t>
  </si>
  <si>
    <t>смещение полумуфты медленного хода</t>
  </si>
  <si>
    <t>замена футеровочного болта барабана</t>
  </si>
  <si>
    <t>замена барабана сцепления</t>
  </si>
  <si>
    <t>греется барабан сцепления</t>
  </si>
  <si>
    <t>отключение электроэнергии ВЛ-35кВт</t>
  </si>
  <si>
    <t>отсутствие руды (порвался лента №11)</t>
  </si>
  <si>
    <t>обтяжка шпильки привода</t>
  </si>
  <si>
    <t>встал насос №3и №4</t>
  </si>
  <si>
    <t>ревизия компрессора</t>
  </si>
  <si>
    <t>вышли из строя два насоса ПБ 315/40</t>
  </si>
  <si>
    <t>ревизия барабана, самопроизвольная остановка</t>
  </si>
  <si>
    <t>сварочные работы на зумпфе насосов 5-6</t>
  </si>
  <si>
    <t>ППР,замена конвейерной ленты№18, вскрытите люка и замер уровней шаров, замена шкафа управления конвейеров</t>
  </si>
  <si>
    <t>самопроизвольная остановка, низкий уровнеь маслостанции</t>
  </si>
  <si>
    <t>Переход на короткую схему,оторваны сегменты на КСН№1</t>
  </si>
  <si>
    <t>Замена конвейерной ленты</t>
  </si>
  <si>
    <t>замена возудной камеры</t>
  </si>
  <si>
    <t xml:space="preserve">подтяжка болтов на торцевой крышке барабана </t>
  </si>
  <si>
    <t>замена пускателя питательной ленты №17</t>
  </si>
  <si>
    <t>загрузка шаров, закрытие люка</t>
  </si>
  <si>
    <t>сварочные работы на зумпфе</t>
  </si>
  <si>
    <t>переподключение силового кабеля</t>
  </si>
  <si>
    <t>Ремонт течки</t>
  </si>
  <si>
    <t>замена барабана на питателе</t>
  </si>
  <si>
    <t>замена электрдвигателя тр.ленты</t>
  </si>
  <si>
    <t>подтяжка болта венца</t>
  </si>
  <si>
    <t>сломался корпус подшипника барабана конвейера</t>
  </si>
  <si>
    <t>ремонт корпуса подшипника барабана конвейера</t>
  </si>
  <si>
    <t>подтяжка анкерных болтов привода мельницы</t>
  </si>
  <si>
    <t>замена вентилятора</t>
  </si>
  <si>
    <t>Замена решетки</t>
  </si>
  <si>
    <t>самопризвольная остановка</t>
  </si>
  <si>
    <t>забился гидрациклон</t>
  </si>
  <si>
    <t>выработка мельница, выгрузка шаров</t>
  </si>
  <si>
    <t>Перефутеровка Решетки и торца</t>
  </si>
  <si>
    <t xml:space="preserve"> вскрытие люка, замер уровней шаров</t>
  </si>
  <si>
    <t>подготовка к запуску мельницы</t>
  </si>
  <si>
    <t>сварочные работы на зумпфе, улитковый питатель</t>
  </si>
  <si>
    <t xml:space="preserve">сварочные работы на загрузочной трубе </t>
  </si>
  <si>
    <t>сварочные работы на улитковом питателе</t>
  </si>
  <si>
    <t xml:space="preserve">низкое давление масла </t>
  </si>
  <si>
    <t>ревизия решетки барабана</t>
  </si>
  <si>
    <t>сварочные работы на цапфе мельницы</t>
  </si>
  <si>
    <t>самопроизвольная остановка по эл.части</t>
  </si>
  <si>
    <t>самопризвольная остановка по эл.части</t>
  </si>
  <si>
    <t>самопрроизвольня остановка</t>
  </si>
  <si>
    <t>самопроизвольня остановка</t>
  </si>
  <si>
    <t>чистка под венцом</t>
  </si>
  <si>
    <t>самопроизвольня остановка змена датчика давления</t>
  </si>
  <si>
    <t>забилась загрузочный жеолоб</t>
  </si>
  <si>
    <t>самопроизвольня остановка по эл.части</t>
  </si>
  <si>
    <t>замена ратоционной муфты</t>
  </si>
  <si>
    <t>сварочные работы на зумпфе насоса 3,4</t>
  </si>
  <si>
    <t>сварочные работы на песковом желобе КСН №3</t>
  </si>
  <si>
    <t>Аварийное отключение ВЛ-35 кВ по погодным условиям</t>
  </si>
  <si>
    <t>Отключение ВЛ-35 кВ</t>
  </si>
  <si>
    <t>замена автоматического выключателя</t>
  </si>
  <si>
    <t>забита песковый короб</t>
  </si>
  <si>
    <t>подтяжка эл.двигателя</t>
  </si>
  <si>
    <t>не включался компрессор</t>
  </si>
  <si>
    <t>из-за нехватки руды ( ремонт грохота ГИТ-52 №1)</t>
  </si>
  <si>
    <t>448</t>
  </si>
  <si>
    <t>720</t>
  </si>
  <si>
    <t>посадка напряжения</t>
  </si>
  <si>
    <t>154</t>
  </si>
  <si>
    <t>Заменна ратационной муфты</t>
  </si>
  <si>
    <t>замена болтов футеровки и замер футеровки</t>
  </si>
  <si>
    <t>сварочные работы на загрузочной течке</t>
  </si>
  <si>
    <t>сварочные работы на жеолобе</t>
  </si>
  <si>
    <t>отключение эл энергии на линии ВЛ 35 кВ.</t>
  </si>
  <si>
    <t>замена бутары</t>
  </si>
  <si>
    <t>нехватка руды на бункерах</t>
  </si>
  <si>
    <t xml:space="preserve">отключение эл энергии на линии ВЛ 35 кВ. </t>
  </si>
  <si>
    <t>Ручной замер сбой эл уч</t>
  </si>
  <si>
    <t>Калибровка эл счетчика</t>
  </si>
  <si>
    <t>обтяжка балтов</t>
  </si>
  <si>
    <t>Остановка по эл части</t>
  </si>
  <si>
    <t>Замена бабитного подшипника</t>
  </si>
  <si>
    <t>Центровка синхронного двигателя и замена камеры</t>
  </si>
  <si>
    <t>подтяжка торцевых болтов</t>
  </si>
  <si>
    <t>Замена ротационной муфты</t>
  </si>
  <si>
    <t>ост по мех части</t>
  </si>
  <si>
    <t>перегруз шуровка</t>
  </si>
  <si>
    <t>сварочные работа</t>
  </si>
  <si>
    <t>Отключение ВЛ-35 КВТ</t>
  </si>
  <si>
    <t>265</t>
  </si>
  <si>
    <t>536</t>
  </si>
  <si>
    <t>258</t>
  </si>
  <si>
    <t>перегруз. шуровка бункера</t>
  </si>
  <si>
    <t>шуровка. обтяжка болтов</t>
  </si>
  <si>
    <t>Ревизия. Замер урвень шаров</t>
  </si>
  <si>
    <t>75</t>
  </si>
  <si>
    <t>проверка ддатчика мельницы</t>
  </si>
  <si>
    <t>замена маслы</t>
  </si>
  <si>
    <t>Обтяжка  болтов</t>
  </si>
  <si>
    <t xml:space="preserve">перегруз. </t>
  </si>
  <si>
    <t>перегруз.</t>
  </si>
  <si>
    <t>перегрев подчепника</t>
  </si>
  <si>
    <t>замена подчепника</t>
  </si>
  <si>
    <t>забилось желоба КСН</t>
  </si>
  <si>
    <t xml:space="preserve">сентровка двигателя </t>
  </si>
  <si>
    <t>Выбило элетродвигатель маслонасоса</t>
  </si>
  <si>
    <t>Забился течка бункера</t>
  </si>
  <si>
    <t>подтяжка болтов привода</t>
  </si>
  <si>
    <t>забилась песковая насадка</t>
  </si>
  <si>
    <t>перегруз,шуровка бункера</t>
  </si>
  <si>
    <t>утечка масла</t>
  </si>
  <si>
    <t xml:space="preserve"> по эл.части - проверка вводного кабеля от ПС - 35/6 до КТП - 1</t>
  </si>
  <si>
    <t xml:space="preserve">                                                                                            шуровка бункера</t>
  </si>
  <si>
    <t>снинжение давления масла</t>
  </si>
  <si>
    <t>выход из строя насоса</t>
  </si>
  <si>
    <t>25</t>
  </si>
  <si>
    <t>ревизия шить управления</t>
  </si>
  <si>
    <t>ост насос по эл часть</t>
  </si>
  <si>
    <t>забилься трасса №1,2 насос</t>
  </si>
  <si>
    <t>ост по электро части</t>
  </si>
  <si>
    <t>остановка по эл части</t>
  </si>
  <si>
    <t>нехватка эл энергии</t>
  </si>
  <si>
    <t>то</t>
  </si>
  <si>
    <t>Посадка поэл частии</t>
  </si>
  <si>
    <t>замена камеры сцепление</t>
  </si>
  <si>
    <t>сварочный работа</t>
  </si>
  <si>
    <t>Ост по эл частей</t>
  </si>
  <si>
    <t>Посадка по эл частии</t>
  </si>
  <si>
    <t>смазка подшипниква</t>
  </si>
  <si>
    <t>замена колодки камеры сцепления</t>
  </si>
  <si>
    <t>центровка эл.двигателя</t>
  </si>
  <si>
    <t>сортировка и загрузка шаров</t>
  </si>
  <si>
    <t>центровка венца, подтяжка болтов нв люке барабана</t>
  </si>
  <si>
    <t>замена сливной трубы</t>
  </si>
  <si>
    <t>самопроизвольная остановка, низкое давление масла на маслостанций</t>
  </si>
  <si>
    <t>Ремонт ленты</t>
  </si>
  <si>
    <t>22</t>
  </si>
  <si>
    <t>Замена ленты №15</t>
  </si>
  <si>
    <t>сварочное работы</t>
  </si>
  <si>
    <t>утечка воздуха</t>
  </si>
  <si>
    <t>протяжка болтов синхронного двиг</t>
  </si>
  <si>
    <t>Замена сцепление барабана</t>
  </si>
  <si>
    <t>ревизия по мех час</t>
  </si>
  <si>
    <t>ревизя</t>
  </si>
  <si>
    <t>обтяжка</t>
  </si>
  <si>
    <t>замена колены загруз трубы</t>
  </si>
  <si>
    <t>по мех части</t>
  </si>
  <si>
    <t>пртяжка болтов</t>
  </si>
  <si>
    <t>обтяжка болтов</t>
  </si>
  <si>
    <t>12ч</t>
  </si>
  <si>
    <t>перефутеровка торцевых крышек</t>
  </si>
  <si>
    <t xml:space="preserve">          по эл части </t>
  </si>
  <si>
    <t xml:space="preserve">     Замена двигателя</t>
  </si>
  <si>
    <t>Набивка сальника и ревизия</t>
  </si>
  <si>
    <t>ревизия масло насосы</t>
  </si>
  <si>
    <t>ревизия ГЦ</t>
  </si>
  <si>
    <t>690</t>
  </si>
  <si>
    <t>замена кантактра</t>
  </si>
  <si>
    <t>30</t>
  </si>
  <si>
    <t>подклучение кабеля</t>
  </si>
  <si>
    <t xml:space="preserve">обтяжка болтов </t>
  </si>
  <si>
    <t>ревизия подчебника привода</t>
  </si>
  <si>
    <t>протяжка тартцовых болтов</t>
  </si>
  <si>
    <t>протяжка анкерной болты</t>
  </si>
  <si>
    <t>замена вал шестерни</t>
  </si>
  <si>
    <t>протяжка болтов цинхроника</t>
  </si>
  <si>
    <t>забилос течка</t>
  </si>
  <si>
    <t>протяжка болтов вал шестерны</t>
  </si>
  <si>
    <t>сварочной работы</t>
  </si>
  <si>
    <t>Сварка решотки</t>
  </si>
  <si>
    <t>сентровка промвал</t>
  </si>
  <si>
    <t>переделка гипки схемы</t>
  </si>
  <si>
    <t>Забился ГЦ№2</t>
  </si>
  <si>
    <t xml:space="preserve"> шуровка бункера</t>
  </si>
  <si>
    <t>Нехватка руды и перегруз</t>
  </si>
  <si>
    <t>по эл частей</t>
  </si>
  <si>
    <t>нехватка воды</t>
  </si>
  <si>
    <t>замена пускателья</t>
  </si>
  <si>
    <t>Замена роликов</t>
  </si>
  <si>
    <t>сварочное работа</t>
  </si>
  <si>
    <t>18</t>
  </si>
  <si>
    <t>расшерение решотки на разгрузке</t>
  </si>
  <si>
    <t>,ТОО</t>
  </si>
  <si>
    <t>, шуровка бункера</t>
  </si>
  <si>
    <t>отключение энергии ВЛ35кВт</t>
  </si>
  <si>
    <t>замена вводной шины</t>
  </si>
  <si>
    <t>замена вамного выключателя,замена вводной шины</t>
  </si>
  <si>
    <t>забился гц</t>
  </si>
  <si>
    <t>замена шины</t>
  </si>
  <si>
    <t>замена пневматической шланги</t>
  </si>
  <si>
    <t>ппр</t>
  </si>
  <si>
    <t>шуровка бункера,перегруз</t>
  </si>
  <si>
    <t>посадка электроэнергии</t>
  </si>
  <si>
    <t>аврийная остановка ксн</t>
  </si>
  <si>
    <t xml:space="preserve">шуровка </t>
  </si>
  <si>
    <t>подтяжка анкерных</t>
  </si>
  <si>
    <t>Шуровка и перегруз</t>
  </si>
  <si>
    <t>Замена ремни редуктора</t>
  </si>
  <si>
    <t>Шуровка</t>
  </si>
  <si>
    <t>ремонт редукторе</t>
  </si>
  <si>
    <t>Замена масло сьемника</t>
  </si>
  <si>
    <t>центровка двигателя</t>
  </si>
  <si>
    <t>проверка насоса</t>
  </si>
  <si>
    <t>колибровка</t>
  </si>
  <si>
    <t>переход бункер</t>
  </si>
  <si>
    <t>переход бункер, перегруз</t>
  </si>
  <si>
    <t>протяжка анкерных болтов</t>
  </si>
  <si>
    <t>замена реле компресора</t>
  </si>
  <si>
    <t>забилась насадка</t>
  </si>
  <si>
    <t>ЗАМЕНА ПРИВОДА</t>
  </si>
  <si>
    <t>ПЕРЕГРУЗ</t>
  </si>
  <si>
    <t xml:space="preserve">САМОПРОИЗВОЛЬНАЯ </t>
  </si>
  <si>
    <t>Замена реле,икамеры на барабане</t>
  </si>
  <si>
    <t>подтяжка болтов люка</t>
  </si>
  <si>
    <t xml:space="preserve">замена ролика </t>
  </si>
  <si>
    <t>29</t>
  </si>
  <si>
    <t>шуровка течки и перегруз</t>
  </si>
  <si>
    <t>Перегрев двигателья</t>
  </si>
  <si>
    <t>сварочное работ</t>
  </si>
  <si>
    <t xml:space="preserve">шуровка течки </t>
  </si>
  <si>
    <t xml:space="preserve">обтяжка привода </t>
  </si>
  <si>
    <t>ремонт кабеля синхроного двигателя</t>
  </si>
  <si>
    <t>переключение  KEGOG</t>
  </si>
  <si>
    <t>переключение  KEGOG самопризвольная остановка</t>
  </si>
  <si>
    <t>переключение  KEGOG калибровка счетчика</t>
  </si>
  <si>
    <t>разрыв мягкого соединения</t>
  </si>
  <si>
    <t>перегруз,забился гидроциклон</t>
  </si>
  <si>
    <t>10</t>
  </si>
  <si>
    <t>Подтяжка анкерных болтов</t>
  </si>
  <si>
    <t>нехватка воздуха</t>
  </si>
  <si>
    <t>12</t>
  </si>
  <si>
    <t>нехватка эл энерии</t>
  </si>
  <si>
    <t>замена датчик маслы</t>
  </si>
  <si>
    <t>забилась песковой короба ГЦ</t>
  </si>
  <si>
    <t>шуровка и перегруз</t>
  </si>
  <si>
    <t>Сварочной работа</t>
  </si>
  <si>
    <t xml:space="preserve">самопроизвольная </t>
  </si>
  <si>
    <t>отключение 35кВ</t>
  </si>
  <si>
    <t>замена переключателя</t>
  </si>
  <si>
    <t>ВЛ-220кв</t>
  </si>
  <si>
    <t>шуровка перегруз</t>
  </si>
  <si>
    <t>35Вл</t>
  </si>
  <si>
    <t>забилась трасса</t>
  </si>
  <si>
    <t>регулировка плотности</t>
  </si>
  <si>
    <t>замена трубы на заг</t>
  </si>
  <si>
    <t>перегруз и шуровка</t>
  </si>
  <si>
    <t>РЕВИЗИЯ</t>
  </si>
  <si>
    <t>отключение энергии ВЛ220кВт КEGOC</t>
  </si>
  <si>
    <t>плановый ремонт на линии ВЛ220кВт КEGOC</t>
  </si>
  <si>
    <t>система возбуждения</t>
  </si>
  <si>
    <t>замена блокауправления возбуждения</t>
  </si>
  <si>
    <t>отключение энергии</t>
  </si>
  <si>
    <t>Столбец2</t>
  </si>
  <si>
    <t>Столбец3</t>
  </si>
  <si>
    <t>обтяжка торцевой крышки</t>
  </si>
  <si>
    <t>замена ножа</t>
  </si>
  <si>
    <t>переход новая схема</t>
  </si>
  <si>
    <t>новая схема</t>
  </si>
  <si>
    <t>ревизия песковой трубы</t>
  </si>
  <si>
    <t>САМОПРОИЗВОЛЬНАЯ ОСТАНОВКА</t>
  </si>
  <si>
    <t>ПОДТЯЖКА БОЛТОВ</t>
  </si>
  <si>
    <t>двигатель синхронник</t>
  </si>
  <si>
    <t>Замена маслы</t>
  </si>
  <si>
    <t>замена воздушный камер</t>
  </si>
  <si>
    <t>сварочной работ</t>
  </si>
  <si>
    <t>датчик температура</t>
  </si>
  <si>
    <t>замена ролик</t>
  </si>
  <si>
    <t>замена шкаф управления</t>
  </si>
  <si>
    <t>самопроизволбнаяостановка</t>
  </si>
  <si>
    <t>подтяжка привода</t>
  </si>
  <si>
    <t>замена датчика давления</t>
  </si>
  <si>
    <t>замена черпаков</t>
  </si>
  <si>
    <t>шурока,перегруз</t>
  </si>
  <si>
    <t>замена реле давления масла</t>
  </si>
  <si>
    <t xml:space="preserve">самопроизвольная  </t>
  </si>
  <si>
    <t>подтяжка болтов барабана</t>
  </si>
  <si>
    <t xml:space="preserve">посадка напряжения </t>
  </si>
  <si>
    <t>по эл части</t>
  </si>
  <si>
    <t>Ревизя</t>
  </si>
  <si>
    <t>13</t>
  </si>
  <si>
    <t>протяжка анкерных болт</t>
  </si>
  <si>
    <t>переход на лению</t>
  </si>
  <si>
    <t>протяжка барабана</t>
  </si>
  <si>
    <t>Замена решотки</t>
  </si>
  <si>
    <t>неисправность компрессора</t>
  </si>
  <si>
    <t>самопроизвольное остановка</t>
  </si>
  <si>
    <t>датчик давления воздуха</t>
  </si>
  <si>
    <t>шуровка,перегруз</t>
  </si>
  <si>
    <t>самопроизвольная остновка</t>
  </si>
  <si>
    <t>забилсяпесковая насадка</t>
  </si>
  <si>
    <t>подтяжка  болтов</t>
  </si>
  <si>
    <t>центровка привода</t>
  </si>
  <si>
    <t>обрыв конвейера</t>
  </si>
  <si>
    <t>замена болта улиткового питателя</t>
  </si>
  <si>
    <t xml:space="preserve">     замена обратного клапана</t>
  </si>
  <si>
    <t>центровка эл. двигатель</t>
  </si>
  <si>
    <t>замена ленты</t>
  </si>
  <si>
    <t>ревизия весов</t>
  </si>
  <si>
    <t>датчик давления маслы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</si>
</sst>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"/>
    <numFmt numFmtId="166" formatCode="[$-F400]h:mm:ss\ AM/PM"/>
  </numFmts>
  <fonts count="25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4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2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n">
        <color indexed="64"/>
      </top>
      <bottom style="dotted">
        <color indexed="64"/>
      </bottom>
      <diagonal/>
    </border>
    <border>
      <left style="thick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thick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thick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ck">
        <color indexed="64"/>
      </right>
      <top style="dotted">
        <color indexed="64"/>
      </top>
      <bottom/>
      <diagonal/>
    </border>
    <border>
      <left style="dotted">
        <color indexed="64"/>
      </left>
      <right style="thick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indexed="64"/>
      </left>
      <right style="dotted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dashed">
        <color indexed="64"/>
      </bottom>
      <diagonal/>
    </border>
    <border>
      <left/>
      <right style="thick">
        <color indexed="64"/>
      </right>
      <top style="dashed">
        <color indexed="64"/>
      </top>
      <bottom style="dashed">
        <color indexed="64"/>
      </bottom>
      <diagonal/>
    </border>
    <border>
      <left/>
      <right style="thick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thick">
        <color indexed="64"/>
      </right>
      <top/>
      <bottom style="dash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dotted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ashed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otted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ash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ck">
        <color indexed="64"/>
      </left>
      <right style="dotted">
        <color indexed="64"/>
      </right>
      <top style="dotted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ashed">
        <color indexed="64"/>
      </bottom>
      <diagonal/>
    </border>
    <border>
      <left style="dotted">
        <color indexed="64"/>
      </left>
      <right/>
      <top style="dotted">
        <color indexed="64"/>
      </top>
      <bottom style="dashed">
        <color indexed="64"/>
      </bottom>
      <diagonal/>
    </border>
    <border>
      <left style="dott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otted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ashed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thick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295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20" fontId="0" fillId="0" borderId="0" xfId="0" applyNumberFormat="1"/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/>
    <xf numFmtId="0" fontId="1" fillId="0" borderId="13" xfId="0" applyFont="1" applyBorder="1"/>
    <xf numFmtId="0" fontId="2" fillId="0" borderId="20" xfId="0" applyFont="1" applyBorder="1"/>
    <xf numFmtId="14" fontId="1" fillId="0" borderId="20" xfId="0" applyNumberFormat="1" applyFon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14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5" xfId="0" applyBorder="1" applyAlignment="1">
      <alignment horizontal="center" vertical="top" wrapText="1"/>
    </xf>
    <xf numFmtId="0" fontId="2" fillId="0" borderId="39" xfId="0" applyFont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3" borderId="44" xfId="0" applyFill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1" fillId="0" borderId="48" xfId="0" applyFont="1" applyBorder="1"/>
    <xf numFmtId="0" fontId="2" fillId="0" borderId="56" xfId="0" applyFont="1" applyBorder="1" applyAlignment="1">
      <alignment horizontal="center"/>
    </xf>
    <xf numFmtId="14" fontId="1" fillId="0" borderId="57" xfId="0" applyNumberFormat="1" applyFont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2" fillId="0" borderId="58" xfId="0" applyFont="1" applyBorder="1"/>
    <xf numFmtId="0" fontId="1" fillId="0" borderId="5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1" fillId="0" borderId="64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6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67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1" fillId="0" borderId="68" xfId="0" applyFont="1" applyFill="1" applyBorder="1" applyAlignment="1">
      <alignment horizontal="center" vertical="center"/>
    </xf>
    <xf numFmtId="0" fontId="1" fillId="0" borderId="67" xfId="0" applyFont="1" applyFill="1" applyBorder="1" applyAlignment="1">
      <alignment horizontal="center" vertical="center"/>
    </xf>
    <xf numFmtId="0" fontId="0" fillId="0" borderId="67" xfId="0" applyFill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0" borderId="69" xfId="0" applyFont="1" applyFill="1" applyBorder="1" applyAlignment="1">
      <alignment horizontal="center" vertical="center"/>
    </xf>
    <xf numFmtId="0" fontId="0" fillId="0" borderId="70" xfId="0" applyFill="1" applyBorder="1" applyAlignment="1">
      <alignment horizontal="center" vertical="center"/>
    </xf>
    <xf numFmtId="0" fontId="1" fillId="0" borderId="70" xfId="0" applyFont="1" applyFill="1" applyBorder="1" applyAlignment="1">
      <alignment horizontal="center" vertical="center"/>
    </xf>
    <xf numFmtId="0" fontId="0" fillId="0" borderId="71" xfId="0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44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37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166" fontId="0" fillId="0" borderId="0" xfId="0" applyNumberFormat="1"/>
    <xf numFmtId="0" fontId="0" fillId="6" borderId="0" xfId="0" applyFill="1"/>
    <xf numFmtId="0" fontId="0" fillId="0" borderId="0" xfId="0" applyAlignment="1">
      <alignment horizontal="left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70" xfId="0" applyFont="1" applyFill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76" xfId="0" applyFill="1" applyBorder="1" applyAlignment="1">
      <alignment horizontal="center" vertical="center"/>
    </xf>
    <xf numFmtId="0" fontId="0" fillId="0" borderId="77" xfId="0" applyFill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Fill="1" applyBorder="1" applyAlignment="1">
      <alignment horizontal="center" vertical="center"/>
    </xf>
    <xf numFmtId="0" fontId="0" fillId="0" borderId="81" xfId="0" applyFill="1" applyBorder="1" applyAlignment="1">
      <alignment horizontal="center" vertical="center"/>
    </xf>
    <xf numFmtId="0" fontId="0" fillId="0" borderId="75" xfId="0" applyFill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Fill="1" applyBorder="1" applyAlignment="1">
      <alignment horizontal="center" vertical="center"/>
    </xf>
    <xf numFmtId="0" fontId="4" fillId="0" borderId="7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4" fillId="0" borderId="73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6" borderId="0" xfId="0" applyFill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2" fontId="0" fillId="0" borderId="0" xfId="0" applyNumberForma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0" xfId="0" applyFill="1" applyBorder="1" applyAlignment="1">
      <alignment horizontal="center" vertical="center"/>
    </xf>
    <xf numFmtId="0" fontId="4" fillId="0" borderId="30" xfId="0" applyFont="1" applyBorder="1" applyAlignment="1">
      <alignment vertical="top" wrapText="1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87" xfId="0" applyBorder="1" applyAlignment="1">
      <alignment horizontal="center"/>
    </xf>
    <xf numFmtId="4" fontId="0" fillId="0" borderId="88" xfId="0" applyNumberFormat="1" applyBorder="1" applyAlignment="1">
      <alignment horizontal="center"/>
    </xf>
    <xf numFmtId="4" fontId="0" fillId="0" borderId="89" xfId="0" applyNumberFormat="1" applyBorder="1" applyAlignment="1">
      <alignment horizontal="center"/>
    </xf>
    <xf numFmtId="4" fontId="0" fillId="0" borderId="90" xfId="0" applyNumberFormat="1" applyBorder="1" applyAlignment="1">
      <alignment horizontal="center" vertical="center"/>
    </xf>
    <xf numFmtId="4" fontId="0" fillId="0" borderId="91" xfId="0" applyNumberFormat="1" applyBorder="1" applyAlignment="1">
      <alignment horizontal="center"/>
    </xf>
    <xf numFmtId="20" fontId="0" fillId="0" borderId="87" xfId="0" applyNumberFormat="1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89" xfId="0" applyBorder="1" applyAlignment="1">
      <alignment horizontal="center"/>
    </xf>
    <xf numFmtId="0" fontId="0" fillId="0" borderId="88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90" xfId="0" applyFill="1" applyBorder="1" applyAlignment="1">
      <alignment horizontal="center" vertical="center"/>
    </xf>
    <xf numFmtId="0" fontId="0" fillId="0" borderId="91" xfId="0" applyFill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0" xfId="0" applyFont="1" applyBorder="1" applyAlignment="1">
      <alignment vertical="center"/>
    </xf>
    <xf numFmtId="0" fontId="0" fillId="0" borderId="84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85" xfId="0" applyFill="1" applyBorder="1" applyAlignment="1">
      <alignment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70" xfId="0" applyFill="1" applyBorder="1" applyAlignment="1">
      <alignment horizontal="center" vertical="center"/>
    </xf>
    <xf numFmtId="0" fontId="1" fillId="7" borderId="68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4" fillId="7" borderId="73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31" xfId="0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0" xfId="0" applyFont="1" applyFill="1" applyBorder="1" applyAlignment="1">
      <alignment horizontal="center" vertical="center"/>
    </xf>
    <xf numFmtId="0" fontId="0" fillId="7" borderId="67" xfId="0" applyFill="1" applyBorder="1" applyAlignment="1">
      <alignment horizontal="center" vertical="center"/>
    </xf>
    <xf numFmtId="14" fontId="1" fillId="7" borderId="57" xfId="0" applyNumberFormat="1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164" fontId="0" fillId="0" borderId="88" xfId="0" applyNumberFormat="1" applyBorder="1" applyAlignment="1">
      <alignment horizontal="center"/>
    </xf>
    <xf numFmtId="2" fontId="0" fillId="0" borderId="89" xfId="0" applyNumberFormat="1" applyBorder="1" applyAlignment="1">
      <alignment horizontal="center"/>
    </xf>
    <xf numFmtId="164" fontId="0" fillId="0" borderId="89" xfId="0" applyNumberForma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6" fillId="7" borderId="6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/>
    </xf>
    <xf numFmtId="0" fontId="1" fillId="5" borderId="69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0" fillId="5" borderId="70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1" fillId="5" borderId="70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84" xfId="0" applyFill="1" applyBorder="1" applyAlignment="1">
      <alignment vertical="center"/>
    </xf>
    <xf numFmtId="0" fontId="0" fillId="5" borderId="0" xfId="0" applyFill="1" applyBorder="1" applyAlignment="1">
      <alignment vertical="center"/>
    </xf>
    <xf numFmtId="0" fontId="0" fillId="5" borderId="85" xfId="0" applyFill="1" applyBorder="1" applyAlignment="1">
      <alignment vertical="center"/>
    </xf>
    <xf numFmtId="0" fontId="0" fillId="5" borderId="12" xfId="0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73" xfId="0" applyFont="1" applyBorder="1" applyAlignment="1">
      <alignment vertical="center"/>
    </xf>
    <xf numFmtId="0" fontId="9" fillId="7" borderId="5" xfId="0" applyFont="1" applyFill="1" applyBorder="1" applyAlignment="1">
      <alignment horizontal="center" vertical="center" wrapText="1"/>
    </xf>
    <xf numFmtId="0" fontId="0" fillId="5" borderId="84" xfId="0" applyFill="1" applyBorder="1" applyAlignment="1"/>
    <xf numFmtId="0" fontId="0" fillId="5" borderId="0" xfId="0" applyFill="1" applyAlignment="1"/>
    <xf numFmtId="0" fontId="0" fillId="5" borderId="85" xfId="0" applyFill="1" applyBorder="1" applyAlignment="1"/>
    <xf numFmtId="0" fontId="0" fillId="7" borderId="73" xfId="0" applyFill="1" applyBorder="1" applyAlignment="1">
      <alignment vertical="center"/>
    </xf>
    <xf numFmtId="0" fontId="0" fillId="7" borderId="30" xfId="0" applyFill="1" applyBorder="1" applyAlignment="1">
      <alignment vertical="center"/>
    </xf>
    <xf numFmtId="0" fontId="0" fillId="7" borderId="9" xfId="0" applyFill="1" applyBorder="1" applyAlignment="1">
      <alignment vertical="center"/>
    </xf>
    <xf numFmtId="0" fontId="6" fillId="7" borderId="73" xfId="0" applyFont="1" applyFill="1" applyBorder="1" applyAlignment="1">
      <alignment vertical="center"/>
    </xf>
    <xf numFmtId="0" fontId="6" fillId="7" borderId="30" xfId="0" applyFont="1" applyFill="1" applyBorder="1" applyAlignment="1">
      <alignment vertical="center"/>
    </xf>
    <xf numFmtId="0" fontId="6" fillId="7" borderId="9" xfId="0" applyFont="1" applyFill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2" fontId="0" fillId="0" borderId="88" xfId="0" applyNumberFormat="1" applyBorder="1" applyAlignment="1">
      <alignment horizontal="center"/>
    </xf>
    <xf numFmtId="0" fontId="1" fillId="0" borderId="3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3" xfId="0" applyFont="1" applyFill="1" applyBorder="1" applyAlignment="1">
      <alignment vertical="center"/>
    </xf>
    <xf numFmtId="0" fontId="7" fillId="0" borderId="30" xfId="0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8" xfId="0" applyFont="1" applyBorder="1"/>
    <xf numFmtId="0" fontId="11" fillId="0" borderId="39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7" fillId="0" borderId="0" xfId="0" applyFont="1" applyBorder="1"/>
    <xf numFmtId="0" fontId="7" fillId="0" borderId="0" xfId="0" applyFont="1"/>
    <xf numFmtId="0" fontId="11" fillId="0" borderId="58" xfId="0" applyFont="1" applyBorder="1"/>
    <xf numFmtId="0" fontId="7" fillId="0" borderId="59" xfId="0" applyFont="1" applyBorder="1" applyAlignment="1">
      <alignment horizontal="center"/>
    </xf>
    <xf numFmtId="0" fontId="7" fillId="0" borderId="60" xfId="0" applyFont="1" applyBorder="1" applyAlignment="1">
      <alignment horizontal="center"/>
    </xf>
    <xf numFmtId="0" fontId="7" fillId="0" borderId="61" xfId="0" applyFont="1" applyBorder="1" applyAlignment="1">
      <alignment horizontal="center"/>
    </xf>
    <xf numFmtId="0" fontId="7" fillId="0" borderId="62" xfId="0" applyFont="1" applyBorder="1" applyAlignment="1">
      <alignment horizontal="center"/>
    </xf>
    <xf numFmtId="0" fontId="7" fillId="0" borderId="59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/>
    </xf>
    <xf numFmtId="0" fontId="7" fillId="0" borderId="63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14" fontId="7" fillId="0" borderId="57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69" xfId="0" applyFont="1" applyFill="1" applyBorder="1" applyAlignment="1">
      <alignment horizontal="center" vertical="center"/>
    </xf>
    <xf numFmtId="0" fontId="7" fillId="0" borderId="68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77" xfId="0" applyFont="1" applyFill="1" applyBorder="1" applyAlignment="1">
      <alignment horizontal="center" vertical="center"/>
    </xf>
    <xf numFmtId="14" fontId="7" fillId="0" borderId="22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7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0" borderId="7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7" borderId="68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3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/>
    </xf>
    <xf numFmtId="20" fontId="7" fillId="0" borderId="5" xfId="0" applyNumberFormat="1" applyFont="1" applyBorder="1" applyAlignment="1">
      <alignment horizontal="center" vertical="center"/>
    </xf>
    <xf numFmtId="0" fontId="7" fillId="0" borderId="67" xfId="0" applyFont="1" applyFill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20" fontId="7" fillId="0" borderId="5" xfId="0" applyNumberFormat="1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73" xfId="0" applyFont="1" applyBorder="1" applyAlignment="1">
      <alignment vertical="center"/>
    </xf>
    <xf numFmtId="0" fontId="7" fillId="0" borderId="9" xfId="0" applyFont="1" applyBorder="1" applyAlignment="1">
      <alignment vertical="center" wrapText="1"/>
    </xf>
    <xf numFmtId="14" fontId="7" fillId="0" borderId="57" xfId="0" applyNumberFormat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67" xfId="0" applyFont="1" applyFill="1" applyBorder="1" applyAlignment="1">
      <alignment horizontal="center"/>
    </xf>
    <xf numFmtId="0" fontId="7" fillId="0" borderId="41" xfId="0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/>
    </xf>
    <xf numFmtId="0" fontId="7" fillId="0" borderId="37" xfId="0" applyFont="1" applyFill="1" applyBorder="1" applyAlignment="1">
      <alignment horizontal="center" vertical="center"/>
    </xf>
    <xf numFmtId="20" fontId="7" fillId="0" borderId="0" xfId="0" applyNumberFormat="1" applyFont="1"/>
    <xf numFmtId="0" fontId="7" fillId="0" borderId="10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/>
    </xf>
    <xf numFmtId="0" fontId="7" fillId="0" borderId="4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4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/>
    </xf>
    <xf numFmtId="0" fontId="7" fillId="0" borderId="43" xfId="0" applyFont="1" applyFill="1" applyBorder="1" applyAlignment="1">
      <alignment horizontal="center" vertical="center"/>
    </xf>
    <xf numFmtId="0" fontId="7" fillId="0" borderId="47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4" fontId="7" fillId="0" borderId="0" xfId="0" applyNumberFormat="1" applyFont="1" applyBorder="1" applyAlignment="1">
      <alignment horizontal="center" vertical="center"/>
    </xf>
    <xf numFmtId="2" fontId="7" fillId="0" borderId="0" xfId="0" applyNumberFormat="1" applyFont="1" applyBorder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/>
    <xf numFmtId="0" fontId="7" fillId="0" borderId="1" xfId="0" applyFont="1" applyBorder="1" applyAlignment="1">
      <alignment horizontal="center" vertical="center"/>
    </xf>
    <xf numFmtId="0" fontId="7" fillId="0" borderId="87" xfId="0" applyFont="1" applyBorder="1" applyAlignment="1">
      <alignment horizontal="center"/>
    </xf>
    <xf numFmtId="20" fontId="7" fillId="0" borderId="87" xfId="0" applyNumberFormat="1" applyFont="1" applyBorder="1" applyAlignment="1">
      <alignment horizontal="center"/>
    </xf>
    <xf numFmtId="0" fontId="7" fillId="0" borderId="88" xfId="0" applyFont="1" applyBorder="1" applyAlignment="1">
      <alignment horizontal="center" vertical="center"/>
    </xf>
    <xf numFmtId="4" fontId="7" fillId="0" borderId="88" xfId="0" applyNumberFormat="1" applyFont="1" applyBorder="1" applyAlignment="1">
      <alignment horizontal="center"/>
    </xf>
    <xf numFmtId="2" fontId="7" fillId="0" borderId="88" xfId="0" applyNumberFormat="1" applyFont="1" applyBorder="1" applyAlignment="1">
      <alignment horizontal="center"/>
    </xf>
    <xf numFmtId="0" fontId="7" fillId="0" borderId="89" xfId="0" applyFont="1" applyBorder="1" applyAlignment="1">
      <alignment horizontal="center" vertical="center"/>
    </xf>
    <xf numFmtId="4" fontId="7" fillId="0" borderId="89" xfId="0" applyNumberFormat="1" applyFont="1" applyBorder="1" applyAlignment="1">
      <alignment horizontal="center"/>
    </xf>
    <xf numFmtId="2" fontId="7" fillId="0" borderId="89" xfId="0" applyNumberFormat="1" applyFont="1" applyBorder="1" applyAlignment="1">
      <alignment horizontal="center"/>
    </xf>
    <xf numFmtId="0" fontId="7" fillId="0" borderId="90" xfId="0" applyFont="1" applyFill="1" applyBorder="1" applyAlignment="1">
      <alignment horizontal="center" vertical="center"/>
    </xf>
    <xf numFmtId="4" fontId="7" fillId="0" borderId="90" xfId="0" applyNumberFormat="1" applyFont="1" applyBorder="1" applyAlignment="1">
      <alignment horizontal="center" vertical="center"/>
    </xf>
    <xf numFmtId="0" fontId="7" fillId="0" borderId="91" xfId="0" applyFont="1" applyFill="1" applyBorder="1" applyAlignment="1">
      <alignment horizontal="center" vertical="center"/>
    </xf>
    <xf numFmtId="4" fontId="7" fillId="0" borderId="91" xfId="0" applyNumberFormat="1" applyFont="1" applyBorder="1" applyAlignment="1">
      <alignment horizontal="center"/>
    </xf>
    <xf numFmtId="4" fontId="7" fillId="0" borderId="0" xfId="0" applyNumberFormat="1" applyFont="1" applyAlignment="1">
      <alignment horizontal="center"/>
    </xf>
    <xf numFmtId="0" fontId="7" fillId="0" borderId="9" xfId="0" applyFont="1" applyFill="1" applyBorder="1" applyAlignment="1">
      <alignment horizontal="left" vertical="center" wrapText="1"/>
    </xf>
    <xf numFmtId="0" fontId="7" fillId="0" borderId="84" xfId="0" applyFont="1" applyFill="1" applyBorder="1" applyAlignment="1">
      <alignment horizontal="center" vertical="center"/>
    </xf>
    <xf numFmtId="0" fontId="7" fillId="0" borderId="85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4" fontId="7" fillId="0" borderId="9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84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85" xfId="0" applyFont="1" applyFill="1" applyBorder="1" applyAlignment="1">
      <alignment vertical="center"/>
    </xf>
    <xf numFmtId="0" fontId="7" fillId="4" borderId="4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5" borderId="42" xfId="0" applyFont="1" applyFill="1" applyBorder="1" applyAlignment="1">
      <alignment horizontal="center" vertical="center"/>
    </xf>
    <xf numFmtId="0" fontId="7" fillId="0" borderId="96" xfId="0" applyFont="1" applyFill="1" applyBorder="1" applyAlignment="1">
      <alignment vertical="center" wrapText="1"/>
    </xf>
    <xf numFmtId="0" fontId="7" fillId="0" borderId="10" xfId="0" applyFont="1" applyFill="1" applyBorder="1" applyAlignment="1">
      <alignment vertical="center" wrapText="1"/>
    </xf>
    <xf numFmtId="0" fontId="7" fillId="0" borderId="48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85" xfId="0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66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3" fillId="5" borderId="69" xfId="0" applyFont="1" applyFill="1" applyBorder="1" applyAlignment="1">
      <alignment horizontal="center" vertical="center"/>
    </xf>
    <xf numFmtId="0" fontId="13" fillId="0" borderId="97" xfId="0" applyFont="1" applyBorder="1" applyAlignment="1">
      <alignment horizontal="center" vertical="center"/>
    </xf>
    <xf numFmtId="0" fontId="13" fillId="5" borderId="0" xfId="0" applyFont="1" applyFill="1" applyAlignment="1">
      <alignment horizontal="center"/>
    </xf>
    <xf numFmtId="0" fontId="13" fillId="5" borderId="77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/>
    </xf>
    <xf numFmtId="0" fontId="13" fillId="0" borderId="41" xfId="0" applyFont="1" applyBorder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73" xfId="0" applyFont="1" applyFill="1" applyBorder="1" applyAlignment="1">
      <alignment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70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 wrapText="1"/>
    </xf>
    <xf numFmtId="0" fontId="13" fillId="0" borderId="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left" vertical="center" wrapText="1"/>
    </xf>
    <xf numFmtId="0" fontId="13" fillId="0" borderId="31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9" xfId="0" applyFont="1" applyBorder="1" applyAlignment="1">
      <alignment vertical="center"/>
    </xf>
    <xf numFmtId="20" fontId="13" fillId="0" borderId="5" xfId="0" applyNumberFormat="1" applyFont="1" applyBorder="1" applyAlignment="1">
      <alignment horizontal="center" vertical="center"/>
    </xf>
    <xf numFmtId="0" fontId="13" fillId="0" borderId="73" xfId="0" applyFont="1" applyBorder="1" applyAlignment="1">
      <alignment horizontal="center" vertical="center"/>
    </xf>
    <xf numFmtId="20" fontId="13" fillId="0" borderId="5" xfId="0" applyNumberFormat="1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center" vertical="center"/>
    </xf>
    <xf numFmtId="0" fontId="13" fillId="0" borderId="73" xfId="0" applyFont="1" applyBorder="1" applyAlignment="1">
      <alignment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9" xfId="0" applyFont="1" applyBorder="1" applyAlignment="1">
      <alignment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vertical="center"/>
    </xf>
    <xf numFmtId="0" fontId="13" fillId="0" borderId="9" xfId="0" applyFont="1" applyFill="1" applyBorder="1" applyAlignment="1">
      <alignment vertical="center"/>
    </xf>
    <xf numFmtId="0" fontId="13" fillId="0" borderId="85" xfId="0" applyFont="1" applyFill="1" applyBorder="1" applyAlignment="1">
      <alignment vertical="center"/>
    </xf>
    <xf numFmtId="0" fontId="13" fillId="0" borderId="85" xfId="0" applyFont="1" applyFill="1" applyBorder="1" applyAlignment="1">
      <alignment horizontal="center" vertical="center"/>
    </xf>
    <xf numFmtId="0" fontId="13" fillId="0" borderId="41" xfId="0" applyFont="1" applyFill="1" applyBorder="1" applyAlignment="1">
      <alignment horizontal="center" vertical="center"/>
    </xf>
    <xf numFmtId="0" fontId="13" fillId="0" borderId="44" xfId="0" applyFont="1" applyFill="1" applyBorder="1" applyAlignment="1">
      <alignment horizontal="center" vertical="center"/>
    </xf>
    <xf numFmtId="0" fontId="13" fillId="0" borderId="40" xfId="0" applyFont="1" applyFill="1" applyBorder="1" applyAlignment="1">
      <alignment horizontal="center" vertical="center"/>
    </xf>
    <xf numFmtId="0" fontId="13" fillId="0" borderId="37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/>
    </xf>
    <xf numFmtId="0" fontId="13" fillId="0" borderId="43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 wrapText="1"/>
    </xf>
    <xf numFmtId="0" fontId="13" fillId="0" borderId="96" xfId="0" applyFont="1" applyFill="1" applyBorder="1" applyAlignment="1">
      <alignment vertical="center"/>
    </xf>
    <xf numFmtId="0" fontId="13" fillId="0" borderId="10" xfId="0" applyFont="1" applyFill="1" applyBorder="1" applyAlignment="1">
      <alignment vertical="center"/>
    </xf>
    <xf numFmtId="0" fontId="13" fillId="0" borderId="44" xfId="0" applyFont="1" applyFill="1" applyBorder="1" applyAlignment="1">
      <alignment vertical="center"/>
    </xf>
    <xf numFmtId="0" fontId="13" fillId="0" borderId="11" xfId="0" applyFont="1" applyFill="1" applyBorder="1" applyAlignment="1">
      <alignment vertical="center"/>
    </xf>
    <xf numFmtId="0" fontId="13" fillId="0" borderId="97" xfId="0" applyFont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/>
    </xf>
    <xf numFmtId="0" fontId="14" fillId="0" borderId="73" xfId="0" applyFont="1" applyFill="1" applyBorder="1" applyAlignment="1">
      <alignment vertical="center"/>
    </xf>
    <xf numFmtId="0" fontId="14" fillId="0" borderId="30" xfId="0" applyFont="1" applyFill="1" applyBorder="1" applyAlignment="1">
      <alignment vertical="center"/>
    </xf>
    <xf numFmtId="0" fontId="14" fillId="0" borderId="9" xfId="0" applyFont="1" applyFill="1" applyBorder="1" applyAlignment="1">
      <alignment vertical="center"/>
    </xf>
    <xf numFmtId="0" fontId="7" fillId="0" borderId="7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85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30" xfId="0" applyFont="1" applyBorder="1" applyAlignment="1">
      <alignment vertical="center"/>
    </xf>
    <xf numFmtId="0" fontId="7" fillId="5" borderId="0" xfId="0" applyFont="1" applyFill="1" applyAlignment="1">
      <alignment horizontal="center"/>
    </xf>
    <xf numFmtId="0" fontId="7" fillId="0" borderId="73" xfId="0" applyFont="1" applyFill="1" applyBorder="1" applyAlignment="1">
      <alignment horizontal="center" vertical="center" wrapText="1"/>
    </xf>
    <xf numFmtId="2" fontId="7" fillId="0" borderId="0" xfId="0" applyNumberFormat="1" applyFont="1"/>
    <xf numFmtId="0" fontId="7" fillId="0" borderId="74" xfId="0" applyFont="1" applyBorder="1" applyAlignment="1">
      <alignment wrapText="1"/>
    </xf>
    <xf numFmtId="2" fontId="7" fillId="0" borderId="74" xfId="0" applyNumberFormat="1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4" xfId="0" applyFont="1" applyFill="1" applyBorder="1" applyAlignment="1">
      <alignment horizontal="center" vertical="center" wrapText="1"/>
    </xf>
    <xf numFmtId="4" fontId="7" fillId="0" borderId="74" xfId="0" applyNumberFormat="1" applyFont="1" applyBorder="1" applyAlignment="1">
      <alignment horizontal="center"/>
    </xf>
    <xf numFmtId="0" fontId="7" fillId="0" borderId="74" xfId="0" applyFont="1" applyBorder="1"/>
    <xf numFmtId="0" fontId="7" fillId="0" borderId="74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74" xfId="0" applyFont="1" applyBorder="1" applyAlignment="1">
      <alignment horizontal="center"/>
    </xf>
    <xf numFmtId="0" fontId="1" fillId="0" borderId="75" xfId="0" applyFont="1" applyBorder="1" applyAlignment="1">
      <alignment horizontal="center"/>
    </xf>
    <xf numFmtId="0" fontId="1" fillId="0" borderId="100" xfId="0" applyFont="1" applyBorder="1" applyAlignment="1">
      <alignment horizontal="center"/>
    </xf>
    <xf numFmtId="0" fontId="1" fillId="0" borderId="101" xfId="0" applyFont="1" applyBorder="1" applyAlignment="1">
      <alignment horizontal="center"/>
    </xf>
    <xf numFmtId="0" fontId="1" fillId="0" borderId="104" xfId="0" applyFont="1" applyBorder="1" applyAlignment="1">
      <alignment horizontal="center"/>
    </xf>
    <xf numFmtId="0" fontId="1" fillId="0" borderId="105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/>
    </xf>
    <xf numFmtId="0" fontId="1" fillId="0" borderId="106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107" xfId="0" applyFont="1" applyBorder="1"/>
    <xf numFmtId="0" fontId="1" fillId="0" borderId="108" xfId="0" applyFont="1" applyBorder="1"/>
    <xf numFmtId="0" fontId="1" fillId="0" borderId="109" xfId="0" applyFont="1" applyBorder="1"/>
    <xf numFmtId="0" fontId="1" fillId="0" borderId="110" xfId="0" applyFont="1" applyBorder="1"/>
    <xf numFmtId="0" fontId="1" fillId="0" borderId="111" xfId="0" applyFont="1" applyBorder="1" applyAlignment="1">
      <alignment horizontal="center"/>
    </xf>
    <xf numFmtId="0" fontId="1" fillId="0" borderId="112" xfId="0" applyFont="1" applyBorder="1"/>
    <xf numFmtId="0" fontId="1" fillId="0" borderId="113" xfId="0" applyFont="1" applyBorder="1"/>
    <xf numFmtId="0" fontId="1" fillId="0" borderId="111" xfId="0" applyFont="1" applyBorder="1"/>
    <xf numFmtId="0" fontId="1" fillId="0" borderId="3" xfId="0" applyFont="1" applyBorder="1"/>
    <xf numFmtId="0" fontId="1" fillId="0" borderId="114" xfId="0" applyFont="1" applyBorder="1" applyAlignment="1">
      <alignment horizontal="center"/>
    </xf>
    <xf numFmtId="0" fontId="1" fillId="0" borderId="31" xfId="0" applyFont="1" applyBorder="1"/>
    <xf numFmtId="0" fontId="1" fillId="0" borderId="115" xfId="0" applyFont="1" applyBorder="1"/>
    <xf numFmtId="0" fontId="1" fillId="0" borderId="112" xfId="0" applyFont="1" applyBorder="1" applyAlignment="1">
      <alignment horizontal="left"/>
    </xf>
    <xf numFmtId="0" fontId="2" fillId="2" borderId="119" xfId="0" applyFont="1" applyFill="1" applyBorder="1"/>
    <xf numFmtId="4" fontId="1" fillId="2" borderId="121" xfId="0" applyNumberFormat="1" applyFont="1" applyFill="1" applyBorder="1"/>
    <xf numFmtId="4" fontId="1" fillId="2" borderId="123" xfId="0" applyNumberFormat="1" applyFont="1" applyFill="1" applyBorder="1"/>
    <xf numFmtId="4" fontId="1" fillId="2" borderId="119" xfId="0" applyNumberFormat="1" applyFont="1" applyFill="1" applyBorder="1"/>
    <xf numFmtId="0" fontId="2" fillId="2" borderId="126" xfId="0" applyFont="1" applyFill="1" applyBorder="1"/>
    <xf numFmtId="4" fontId="1" fillId="2" borderId="99" xfId="0" applyNumberFormat="1" applyFont="1" applyFill="1" applyBorder="1"/>
    <xf numFmtId="4" fontId="1" fillId="2" borderId="1" xfId="0" applyNumberFormat="1" applyFont="1" applyFill="1" applyBorder="1"/>
    <xf numFmtId="4" fontId="1" fillId="2" borderId="127" xfId="0" applyNumberFormat="1" applyFont="1" applyFill="1" applyBorder="1"/>
    <xf numFmtId="0" fontId="2" fillId="3" borderId="118" xfId="0" applyFont="1" applyFill="1" applyBorder="1"/>
    <xf numFmtId="0" fontId="1" fillId="3" borderId="120" xfId="0" applyFont="1" applyFill="1" applyBorder="1"/>
    <xf numFmtId="0" fontId="1" fillId="3" borderId="122" xfId="0" applyFont="1" applyFill="1" applyBorder="1"/>
    <xf numFmtId="0" fontId="1" fillId="3" borderId="118" xfId="0" applyFont="1" applyFill="1" applyBorder="1"/>
    <xf numFmtId="0" fontId="2" fillId="3" borderId="125" xfId="0" applyFont="1" applyFill="1" applyBorder="1"/>
    <xf numFmtId="0" fontId="2" fillId="0" borderId="1" xfId="0" applyFont="1" applyBorder="1"/>
    <xf numFmtId="0" fontId="1" fillId="0" borderId="128" xfId="0" applyFont="1" applyBorder="1"/>
    <xf numFmtId="0" fontId="1" fillId="0" borderId="129" xfId="0" applyFont="1" applyBorder="1"/>
    <xf numFmtId="4" fontId="1" fillId="0" borderId="129" xfId="0" applyNumberFormat="1" applyFont="1" applyBorder="1"/>
    <xf numFmtId="4" fontId="1" fillId="0" borderId="130" xfId="0" applyNumberFormat="1" applyFont="1" applyBorder="1"/>
    <xf numFmtId="0" fontId="1" fillId="0" borderId="112" xfId="0" applyFont="1" applyBorder="1" applyAlignment="1">
      <alignment horizontal="center" vertical="center" wrapText="1"/>
    </xf>
    <xf numFmtId="0" fontId="1" fillId="0" borderId="107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112" xfId="0" applyFont="1" applyBorder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0" fontId="1" fillId="0" borderId="100" xfId="0" applyFont="1" applyBorder="1" applyAlignment="1">
      <alignment horizontal="center" vertical="center"/>
    </xf>
    <xf numFmtId="0" fontId="1" fillId="0" borderId="132" xfId="0" applyFont="1" applyBorder="1" applyAlignment="1">
      <alignment horizontal="center"/>
    </xf>
    <xf numFmtId="49" fontId="1" fillId="0" borderId="11" xfId="0" applyNumberFormat="1" applyFont="1" applyBorder="1" applyAlignment="1">
      <alignment horizontal="left" vertical="center" wrapText="1"/>
    </xf>
    <xf numFmtId="49" fontId="1" fillId="0" borderId="111" xfId="0" applyNumberFormat="1" applyFont="1" applyBorder="1" applyAlignment="1">
      <alignment horizontal="left" vertical="center"/>
    </xf>
    <xf numFmtId="49" fontId="1" fillId="0" borderId="136" xfId="0" applyNumberFormat="1" applyFont="1" applyBorder="1" applyAlignment="1">
      <alignment horizontal="left" vertical="center"/>
    </xf>
    <xf numFmtId="49" fontId="1" fillId="0" borderId="137" xfId="0" applyNumberFormat="1" applyFont="1" applyBorder="1" applyAlignment="1">
      <alignment horizontal="left" vertical="center"/>
    </xf>
    <xf numFmtId="49" fontId="1" fillId="0" borderId="112" xfId="0" applyNumberFormat="1" applyFont="1" applyBorder="1" applyAlignment="1">
      <alignment horizontal="left" vertical="center"/>
    </xf>
    <xf numFmtId="49" fontId="1" fillId="0" borderId="6" xfId="0" applyNumberFormat="1" applyFont="1" applyBorder="1" applyAlignment="1">
      <alignment horizontal="left" vertical="center"/>
    </xf>
    <xf numFmtId="49" fontId="1" fillId="0" borderId="107" xfId="0" applyNumberFormat="1" applyFont="1" applyBorder="1" applyAlignment="1">
      <alignment horizontal="left" vertical="center"/>
    </xf>
    <xf numFmtId="49" fontId="1" fillId="0" borderId="112" xfId="0" applyNumberFormat="1" applyFont="1" applyBorder="1" applyAlignment="1">
      <alignment horizontal="left" vertical="center" wrapText="1"/>
    </xf>
    <xf numFmtId="49" fontId="1" fillId="0" borderId="107" xfId="0" applyNumberFormat="1" applyFont="1" applyBorder="1" applyAlignment="1">
      <alignment horizontal="left" vertical="center" wrapText="1"/>
    </xf>
    <xf numFmtId="49" fontId="1" fillId="0" borderId="6" xfId="0" applyNumberFormat="1" applyFont="1" applyBorder="1" applyAlignment="1">
      <alignment horizontal="left" vertical="center" wrapText="1"/>
    </xf>
    <xf numFmtId="49" fontId="1" fillId="0" borderId="113" xfId="0" applyNumberFormat="1" applyFont="1" applyBorder="1" applyAlignment="1">
      <alignment horizontal="left" vertical="center"/>
    </xf>
    <xf numFmtId="49" fontId="1" fillId="0" borderId="109" xfId="0" applyNumberFormat="1" applyFont="1" applyBorder="1" applyAlignment="1">
      <alignment horizontal="left" vertical="center"/>
    </xf>
    <xf numFmtId="49" fontId="1" fillId="0" borderId="110" xfId="0" applyNumberFormat="1" applyFont="1" applyBorder="1" applyAlignment="1">
      <alignment horizontal="left" vertical="center"/>
    </xf>
    <xf numFmtId="49" fontId="1" fillId="0" borderId="138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07" xfId="0" applyFont="1" applyBorder="1" applyAlignment="1">
      <alignment horizontal="left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3" fontId="1" fillId="0" borderId="106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3" fontId="1" fillId="0" borderId="107" xfId="0" applyNumberFormat="1" applyFont="1" applyBorder="1" applyAlignment="1">
      <alignment horizontal="center" vertical="center"/>
    </xf>
    <xf numFmtId="3" fontId="1" fillId="0" borderId="108" xfId="0" applyNumberFormat="1" applyFont="1" applyBorder="1" applyAlignment="1">
      <alignment horizontal="center" vertical="center"/>
    </xf>
    <xf numFmtId="3" fontId="1" fillId="0" borderId="109" xfId="0" applyNumberFormat="1" applyFont="1" applyBorder="1" applyAlignment="1">
      <alignment horizontal="center" vertical="center"/>
    </xf>
    <xf numFmtId="3" fontId="1" fillId="0" borderId="110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112" xfId="0" applyFont="1" applyBorder="1" applyAlignment="1"/>
    <xf numFmtId="0" fontId="1" fillId="0" borderId="6" xfId="0" applyFont="1" applyBorder="1" applyAlignment="1">
      <alignment horizontal="center" vertical="center" wrapText="1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31" xfId="0" applyFont="1" applyBorder="1" applyAlignment="1">
      <alignment wrapText="1"/>
    </xf>
    <xf numFmtId="0" fontId="1" fillId="0" borderId="31" xfId="0" applyFont="1" applyBorder="1" applyAlignment="1">
      <alignment vertical="center" wrapText="1"/>
    </xf>
    <xf numFmtId="0" fontId="1" fillId="0" borderId="115" xfId="0" applyFont="1" applyBorder="1" applyAlignment="1">
      <alignment wrapText="1"/>
    </xf>
    <xf numFmtId="0" fontId="1" fillId="0" borderId="114" xfId="0" applyFont="1" applyBorder="1" applyAlignment="1">
      <alignment horizontal="center" wrapText="1"/>
    </xf>
    <xf numFmtId="0" fontId="1" fillId="0" borderId="111" xfId="0" applyFont="1" applyBorder="1" applyAlignment="1">
      <alignment horizontal="center" vertical="center"/>
    </xf>
    <xf numFmtId="0" fontId="1" fillId="0" borderId="10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wrapText="1"/>
    </xf>
    <xf numFmtId="0" fontId="1" fillId="0" borderId="44" xfId="0" applyFont="1" applyBorder="1"/>
    <xf numFmtId="0" fontId="1" fillId="0" borderId="139" xfId="0" applyFont="1" applyBorder="1"/>
    <xf numFmtId="49" fontId="1" fillId="0" borderId="31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 wrapText="1"/>
    </xf>
    <xf numFmtId="0" fontId="1" fillId="0" borderId="11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07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112" xfId="0" applyFont="1" applyBorder="1" applyAlignment="1">
      <alignment wrapText="1"/>
    </xf>
    <xf numFmtId="0" fontId="1" fillId="0" borderId="106" xfId="0" applyFont="1" applyBorder="1" applyAlignment="1">
      <alignment horizontal="center" vertical="center"/>
    </xf>
    <xf numFmtId="0" fontId="1" fillId="0" borderId="11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14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39" xfId="0" applyFont="1" applyBorder="1" applyAlignment="1">
      <alignment horizontal="center" vertical="center"/>
    </xf>
    <xf numFmtId="0" fontId="1" fillId="0" borderId="107" xfId="0" applyFont="1" applyBorder="1" applyAlignment="1">
      <alignment horizontal="center" vertical="center" wrapText="1"/>
    </xf>
    <xf numFmtId="49" fontId="1" fillId="0" borderId="107" xfId="0" applyNumberFormat="1" applyFont="1" applyBorder="1" applyAlignment="1">
      <alignment horizontal="center" vertical="center" wrapText="1"/>
    </xf>
    <xf numFmtId="0" fontId="1" fillId="0" borderId="110" xfId="0" applyFont="1" applyBorder="1" applyAlignment="1">
      <alignment horizontal="center" vertical="center"/>
    </xf>
    <xf numFmtId="0" fontId="1" fillId="0" borderId="115" xfId="0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/>
    </xf>
    <xf numFmtId="0" fontId="1" fillId="0" borderId="113" xfId="0" applyFont="1" applyBorder="1" applyAlignment="1">
      <alignment horizontal="center" vertical="center"/>
    </xf>
    <xf numFmtId="0" fontId="1" fillId="0" borderId="115" xfId="0" applyFont="1" applyBorder="1" applyAlignment="1">
      <alignment horizontal="center" vertical="center" wrapText="1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2" borderId="100" xfId="0" applyFont="1" applyFill="1" applyBorder="1" applyAlignment="1">
      <alignment horizontal="center" vertical="center"/>
    </xf>
    <xf numFmtId="0" fontId="1" fillId="5" borderId="100" xfId="0" applyFont="1" applyFill="1" applyBorder="1" applyAlignment="1">
      <alignment horizontal="center" vertical="center"/>
    </xf>
    <xf numFmtId="49" fontId="1" fillId="0" borderId="110" xfId="0" applyNumberFormat="1" applyFont="1" applyBorder="1" applyAlignment="1">
      <alignment horizontal="left" vertical="center" wrapText="1"/>
    </xf>
    <xf numFmtId="0" fontId="1" fillId="0" borderId="110" xfId="0" applyFont="1" applyBorder="1" applyAlignment="1">
      <alignment horizontal="center" vertical="center" wrapText="1"/>
    </xf>
    <xf numFmtId="49" fontId="1" fillId="0" borderId="113" xfId="0" applyNumberFormat="1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0" borderId="44" xfId="0" applyNumberFormat="1" applyFont="1" applyBorder="1" applyAlignment="1">
      <alignment vertical="center" wrapText="1"/>
    </xf>
    <xf numFmtId="0" fontId="1" fillId="0" borderId="134" xfId="0" applyFont="1" applyBorder="1" applyAlignment="1">
      <alignment horizontal="center"/>
    </xf>
    <xf numFmtId="0" fontId="11" fillId="0" borderId="1" xfId="0" applyFont="1" applyBorder="1"/>
    <xf numFmtId="0" fontId="7" fillId="3" borderId="120" xfId="0" applyFont="1" applyFill="1" applyBorder="1" applyAlignment="1">
      <alignment horizontal="center" vertical="center"/>
    </xf>
    <xf numFmtId="4" fontId="7" fillId="2" borderId="121" xfId="0" applyNumberFormat="1" applyFont="1" applyFill="1" applyBorder="1" applyAlignment="1">
      <alignment horizontal="center" vertical="center"/>
    </xf>
    <xf numFmtId="4" fontId="7" fillId="2" borderId="99" xfId="0" applyNumberFormat="1" applyFont="1" applyFill="1" applyBorder="1" applyAlignment="1">
      <alignment horizontal="center" vertical="center"/>
    </xf>
    <xf numFmtId="0" fontId="7" fillId="3" borderId="122" xfId="0" applyFont="1" applyFill="1" applyBorder="1" applyAlignment="1">
      <alignment horizontal="center" vertical="center"/>
    </xf>
    <xf numFmtId="4" fontId="7" fillId="2" borderId="123" xfId="0" applyNumberFormat="1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center" vertical="center"/>
    </xf>
    <xf numFmtId="0" fontId="7" fillId="3" borderId="118" xfId="0" applyFont="1" applyFill="1" applyBorder="1" applyAlignment="1">
      <alignment horizontal="center" vertical="center"/>
    </xf>
    <xf numFmtId="4" fontId="7" fillId="2" borderId="119" xfId="0" applyNumberFormat="1" applyFont="1" applyFill="1" applyBorder="1" applyAlignment="1">
      <alignment horizontal="center" vertical="center"/>
    </xf>
    <xf numFmtId="4" fontId="7" fillId="2" borderId="127" xfId="0" applyNumberFormat="1" applyFont="1" applyFill="1" applyBorder="1" applyAlignment="1">
      <alignment horizontal="center" vertical="center"/>
    </xf>
    <xf numFmtId="0" fontId="7" fillId="0" borderId="128" xfId="0" applyFont="1" applyBorder="1"/>
    <xf numFmtId="0" fontId="11" fillId="3" borderId="118" xfId="0" applyFont="1" applyFill="1" applyBorder="1" applyAlignment="1">
      <alignment horizontal="center" vertical="center"/>
    </xf>
    <xf numFmtId="0" fontId="11" fillId="2" borderId="119" xfId="0" applyFont="1" applyFill="1" applyBorder="1" applyAlignment="1">
      <alignment horizontal="center" vertical="center"/>
    </xf>
    <xf numFmtId="0" fontId="11" fillId="3" borderId="125" xfId="0" applyFont="1" applyFill="1" applyBorder="1" applyAlignment="1">
      <alignment horizontal="center" vertical="center"/>
    </xf>
    <xf numFmtId="0" fontId="11" fillId="2" borderId="126" xfId="0" applyFont="1" applyFill="1" applyBorder="1" applyAlignment="1">
      <alignment horizontal="center" vertical="center"/>
    </xf>
    <xf numFmtId="0" fontId="7" fillId="0" borderId="129" xfId="0" applyFont="1" applyBorder="1" applyAlignment="1">
      <alignment horizontal="center" vertical="center"/>
    </xf>
    <xf numFmtId="4" fontId="7" fillId="0" borderId="129" xfId="0" applyNumberFormat="1" applyFont="1" applyBorder="1" applyAlignment="1">
      <alignment horizontal="center" vertical="center"/>
    </xf>
    <xf numFmtId="4" fontId="7" fillId="0" borderId="130" xfId="0" applyNumberFormat="1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 wrapText="1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49" fontId="1" fillId="0" borderId="140" xfId="0" applyNumberFormat="1" applyFont="1" applyBorder="1" applyAlignment="1">
      <alignment vertical="center" wrapText="1"/>
    </xf>
    <xf numFmtId="49" fontId="1" fillId="0" borderId="141" xfId="0" applyNumberFormat="1" applyFont="1" applyBorder="1" applyAlignment="1">
      <alignment vertical="center" wrapText="1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49" fontId="1" fillId="0" borderId="112" xfId="0" applyNumberFormat="1" applyFont="1" applyBorder="1" applyAlignment="1">
      <alignment horizontal="center" vertical="center" wrapText="1"/>
    </xf>
    <xf numFmtId="49" fontId="1" fillId="0" borderId="112" xfId="0" applyNumberFormat="1" applyFont="1" applyBorder="1" applyAlignment="1">
      <alignment horizontal="center" vertical="center"/>
    </xf>
    <xf numFmtId="49" fontId="1" fillId="0" borderId="137" xfId="0" applyNumberFormat="1" applyFont="1" applyBorder="1" applyAlignment="1">
      <alignment horizontal="center" vertical="center"/>
    </xf>
    <xf numFmtId="49" fontId="1" fillId="0" borderId="107" xfId="0" applyNumberFormat="1" applyFont="1" applyBorder="1" applyAlignment="1">
      <alignment horizontal="center" vertical="center"/>
    </xf>
    <xf numFmtId="49" fontId="1" fillId="0" borderId="145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/>
    </xf>
    <xf numFmtId="49" fontId="1" fillId="0" borderId="147" xfId="0" applyNumberFormat="1" applyFont="1" applyBorder="1" applyAlignment="1">
      <alignment horizontal="center" vertical="center" wrapText="1"/>
    </xf>
    <xf numFmtId="49" fontId="1" fillId="0" borderId="72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146" xfId="0" applyNumberFormat="1" applyFont="1" applyBorder="1" applyAlignment="1">
      <alignment horizontal="center" vertical="center" wrapText="1"/>
    </xf>
    <xf numFmtId="49" fontId="1" fillId="0" borderId="143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0" fontId="1" fillId="0" borderId="148" xfId="0" applyFont="1" applyBorder="1" applyAlignment="1">
      <alignment horizontal="center" vertical="center" wrapText="1"/>
    </xf>
    <xf numFmtId="0" fontId="1" fillId="0" borderId="14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50" xfId="0" applyFont="1" applyBorder="1" applyAlignment="1">
      <alignment horizontal="center" vertical="center" wrapText="1"/>
    </xf>
    <xf numFmtId="0" fontId="1" fillId="0" borderId="150" xfId="0" applyFont="1" applyBorder="1" applyAlignment="1">
      <alignment horizontal="center" vertical="center"/>
    </xf>
    <xf numFmtId="0" fontId="1" fillId="0" borderId="141" xfId="0" applyFont="1" applyBorder="1" applyAlignment="1">
      <alignment horizontal="center" vertical="center" wrapText="1"/>
    </xf>
    <xf numFmtId="0" fontId="1" fillId="0" borderId="140" xfId="0" applyFont="1" applyBorder="1" applyAlignment="1">
      <alignment horizontal="center" vertical="center"/>
    </xf>
    <xf numFmtId="0" fontId="1" fillId="0" borderId="146" xfId="0" applyFont="1" applyBorder="1" applyAlignment="1">
      <alignment vertical="center" wrapText="1"/>
    </xf>
    <xf numFmtId="0" fontId="1" fillId="0" borderId="72" xfId="0" applyFont="1" applyBorder="1" applyAlignment="1">
      <alignment vertical="center" wrapText="1"/>
    </xf>
    <xf numFmtId="49" fontId="1" fillId="0" borderId="151" xfId="0" applyNumberFormat="1" applyFont="1" applyBorder="1" applyAlignment="1">
      <alignment vertical="center" wrapText="1"/>
    </xf>
    <xf numFmtId="3" fontId="1" fillId="0" borderId="152" xfId="0" applyNumberFormat="1" applyFont="1" applyBorder="1" applyAlignment="1">
      <alignment horizontal="center" vertical="center"/>
    </xf>
    <xf numFmtId="3" fontId="1" fillId="0" borderId="153" xfId="0" applyNumberFormat="1" applyFont="1" applyBorder="1" applyAlignment="1">
      <alignment horizontal="center" vertical="center"/>
    </xf>
    <xf numFmtId="3" fontId="1" fillId="0" borderId="151" xfId="0" applyNumberFormat="1" applyFont="1" applyBorder="1" applyAlignment="1">
      <alignment horizontal="center" vertical="center"/>
    </xf>
    <xf numFmtId="49" fontId="1" fillId="0" borderId="153" xfId="0" applyNumberFormat="1" applyFont="1" applyBorder="1" applyAlignment="1">
      <alignment horizontal="center" vertical="center"/>
    </xf>
    <xf numFmtId="49" fontId="1" fillId="0" borderId="15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55" xfId="0" applyNumberFormat="1" applyFont="1" applyBorder="1" applyAlignment="1">
      <alignment horizontal="center" vertical="center" wrapText="1"/>
    </xf>
    <xf numFmtId="49" fontId="1" fillId="0" borderId="156" xfId="0" applyNumberFormat="1" applyFont="1" applyBorder="1" applyAlignment="1">
      <alignment vertical="center" wrapText="1"/>
    </xf>
    <xf numFmtId="0" fontId="1" fillId="0" borderId="157" xfId="0" applyFont="1" applyBorder="1" applyAlignment="1">
      <alignment horizontal="center" vertical="center"/>
    </xf>
    <xf numFmtId="0" fontId="1" fillId="0" borderId="158" xfId="0" applyFont="1" applyBorder="1" applyAlignment="1">
      <alignment horizontal="center" vertical="center"/>
    </xf>
    <xf numFmtId="49" fontId="1" fillId="0" borderId="156" xfId="0" applyNumberFormat="1" applyFont="1" applyBorder="1" applyAlignment="1">
      <alignment horizontal="center" vertical="center" wrapText="1"/>
    </xf>
    <xf numFmtId="49" fontId="1" fillId="0" borderId="145" xfId="0" applyNumberFormat="1" applyFont="1" applyBorder="1" applyAlignment="1">
      <alignment horizontal="center" vertical="center"/>
    </xf>
    <xf numFmtId="49" fontId="1" fillId="0" borderId="151" xfId="0" applyNumberFormat="1" applyFont="1" applyBorder="1" applyAlignment="1">
      <alignment horizontal="center" vertical="center" wrapText="1"/>
    </xf>
    <xf numFmtId="0" fontId="1" fillId="0" borderId="159" xfId="0" applyFont="1" applyBorder="1" applyAlignment="1">
      <alignment horizontal="center" vertical="center"/>
    </xf>
    <xf numFmtId="0" fontId="1" fillId="0" borderId="160" xfId="0" applyFont="1" applyBorder="1" applyAlignment="1">
      <alignment horizontal="center" vertical="center"/>
    </xf>
    <xf numFmtId="0" fontId="1" fillId="0" borderId="161" xfId="0" applyFont="1" applyBorder="1" applyAlignment="1">
      <alignment horizontal="center" vertical="center"/>
    </xf>
    <xf numFmtId="0" fontId="1" fillId="0" borderId="162" xfId="0" applyFont="1" applyBorder="1" applyAlignment="1">
      <alignment horizontal="center" vertical="center"/>
    </xf>
    <xf numFmtId="0" fontId="1" fillId="0" borderId="163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153" xfId="0" applyFont="1" applyBorder="1" applyAlignment="1">
      <alignment horizontal="center" vertical="center" wrapText="1"/>
    </xf>
    <xf numFmtId="49" fontId="1" fillId="0" borderId="164" xfId="0" applyNumberFormat="1" applyFont="1" applyBorder="1" applyAlignment="1">
      <alignment horizontal="center" vertical="center" wrapText="1"/>
    </xf>
    <xf numFmtId="0" fontId="1" fillId="0" borderId="164" xfId="0" applyFont="1" applyBorder="1" applyAlignment="1">
      <alignment horizontal="center" vertical="center"/>
    </xf>
    <xf numFmtId="0" fontId="1" fillId="0" borderId="147" xfId="0" applyFont="1" applyBorder="1" applyAlignment="1">
      <alignment horizontal="center" vertical="center"/>
    </xf>
    <xf numFmtId="3" fontId="1" fillId="0" borderId="157" xfId="0" applyNumberFormat="1" applyFont="1" applyBorder="1" applyAlignment="1">
      <alignment horizontal="center" vertical="center"/>
    </xf>
    <xf numFmtId="3" fontId="1" fillId="0" borderId="158" xfId="0" applyNumberFormat="1" applyFont="1" applyBorder="1" applyAlignment="1">
      <alignment horizontal="center" vertical="center"/>
    </xf>
    <xf numFmtId="3" fontId="1" fillId="0" borderId="156" xfId="0" applyNumberFormat="1" applyFont="1" applyBorder="1" applyAlignment="1">
      <alignment horizontal="center" vertical="center"/>
    </xf>
    <xf numFmtId="49" fontId="1" fillId="0" borderId="157" xfId="0" applyNumberFormat="1" applyFont="1" applyBorder="1" applyAlignment="1">
      <alignment horizontal="center" vertical="center" wrapText="1"/>
    </xf>
    <xf numFmtId="49" fontId="1" fillId="0" borderId="158" xfId="0" applyNumberFormat="1" applyFont="1" applyBorder="1" applyAlignment="1">
      <alignment horizontal="center" vertical="center"/>
    </xf>
    <xf numFmtId="49" fontId="1" fillId="0" borderId="165" xfId="0" applyNumberFormat="1" applyFont="1" applyBorder="1" applyAlignment="1">
      <alignment horizontal="center" vertical="center"/>
    </xf>
    <xf numFmtId="49" fontId="1" fillId="0" borderId="166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31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3" fontId="1" fillId="0" borderId="96" xfId="0" applyNumberFormat="1" applyFont="1" applyBorder="1" applyAlignment="1">
      <alignment horizontal="center" vertical="center"/>
    </xf>
    <xf numFmtId="3" fontId="1" fillId="0" borderId="44" xfId="0" applyNumberFormat="1" applyFont="1" applyBorder="1" applyAlignment="1">
      <alignment horizontal="center" vertical="center"/>
    </xf>
    <xf numFmtId="3" fontId="1" fillId="0" borderId="142" xfId="0" applyNumberFormat="1" applyFont="1" applyBorder="1" applyAlignment="1">
      <alignment horizontal="center" vertical="center"/>
    </xf>
    <xf numFmtId="49" fontId="1" fillId="0" borderId="40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/>
    </xf>
    <xf numFmtId="0" fontId="1" fillId="0" borderId="167" xfId="0" applyFont="1" applyBorder="1" applyAlignment="1">
      <alignment horizontal="center" vertical="center"/>
    </xf>
    <xf numFmtId="0" fontId="1" fillId="0" borderId="142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49" fontId="1" fillId="0" borderId="74" xfId="0" applyNumberFormat="1" applyFont="1" applyBorder="1" applyAlignment="1">
      <alignment vertical="center" wrapText="1"/>
    </xf>
    <xf numFmtId="49" fontId="1" fillId="0" borderId="142" xfId="0" applyNumberFormat="1" applyFont="1" applyBorder="1" applyAlignment="1">
      <alignment vertical="center" wrapText="1"/>
    </xf>
    <xf numFmtId="49" fontId="1" fillId="0" borderId="168" xfId="0" applyNumberFormat="1" applyFont="1" applyBorder="1" applyAlignment="1">
      <alignment vertical="center" wrapText="1"/>
    </xf>
    <xf numFmtId="49" fontId="1" fillId="0" borderId="143" xfId="0" applyNumberFormat="1" applyFont="1" applyBorder="1" applyAlignment="1">
      <alignment vertical="center" wrapText="1"/>
    </xf>
    <xf numFmtId="3" fontId="1" fillId="0" borderId="10" xfId="0" applyNumberFormat="1" applyFont="1" applyBorder="1" applyAlignment="1">
      <alignment vertical="center"/>
    </xf>
    <xf numFmtId="3" fontId="1" fillId="0" borderId="0" xfId="0" applyNumberFormat="1" applyFont="1" applyAlignment="1">
      <alignment horizontal="center"/>
    </xf>
    <xf numFmtId="3" fontId="1" fillId="0" borderId="11" xfId="0" applyNumberFormat="1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49" fontId="1" fillId="0" borderId="44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2" fillId="0" borderId="107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1" fillId="0" borderId="14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3" fontId="1" fillId="0" borderId="8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171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0" fontId="1" fillId="0" borderId="140" xfId="0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3" fontId="15" fillId="0" borderId="3" xfId="0" applyNumberFormat="1" applyFont="1" applyBorder="1" applyAlignment="1">
      <alignment horizontal="center" vertical="center"/>
    </xf>
    <xf numFmtId="49" fontId="15" fillId="0" borderId="6" xfId="0" applyNumberFormat="1" applyFont="1" applyBorder="1" applyAlignment="1">
      <alignment horizontal="center" vertical="center" wrapText="1"/>
    </xf>
    <xf numFmtId="4" fontId="7" fillId="2" borderId="173" xfId="0" applyNumberFormat="1" applyFont="1" applyFill="1" applyBorder="1" applyAlignment="1">
      <alignment horizontal="center" vertical="center"/>
    </xf>
    <xf numFmtId="0" fontId="7" fillId="3" borderId="172" xfId="0" applyFont="1" applyFill="1" applyBorder="1" applyAlignment="1">
      <alignment horizontal="center" vertical="center"/>
    </xf>
    <xf numFmtId="4" fontId="7" fillId="2" borderId="174" xfId="0" applyNumberFormat="1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0" fontId="1" fillId="0" borderId="140" xfId="0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74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0" fontId="1" fillId="0" borderId="140" xfId="0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74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0" fontId="1" fillId="0" borderId="140" xfId="0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0" fontId="1" fillId="0" borderId="140" xfId="0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4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74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/>
    </xf>
    <xf numFmtId="0" fontId="1" fillId="0" borderId="17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49" fontId="1" fillId="0" borderId="40" xfId="0" applyNumberFormat="1" applyFont="1" applyBorder="1" applyAlignment="1">
      <alignment horizontal="center" vertical="center"/>
    </xf>
    <xf numFmtId="0" fontId="1" fillId="0" borderId="16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147" xfId="0" applyFont="1" applyBorder="1" applyAlignment="1">
      <alignment horizontal="center" vertical="center" wrapText="1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101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132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134" xfId="0" applyFont="1" applyBorder="1" applyAlignment="1">
      <alignment horizontal="center" vertical="center"/>
    </xf>
    <xf numFmtId="0" fontId="8" fillId="0" borderId="100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159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49" fontId="16" fillId="0" borderId="6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2" fontId="1" fillId="0" borderId="0" xfId="0" applyNumberFormat="1" applyFont="1"/>
    <xf numFmtId="0" fontId="1" fillId="0" borderId="31" xfId="0" applyFont="1" applyBorder="1" applyAlignment="1">
      <alignment horizontal="center" vertical="center" wrapText="1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0" xfId="0" applyFont="1" applyBorder="1" applyAlignment="1">
      <alignment vertical="center" wrapText="1"/>
    </xf>
    <xf numFmtId="49" fontId="1" fillId="0" borderId="144" xfId="0" applyNumberFormat="1" applyFont="1" applyBorder="1" applyAlignment="1">
      <alignment vertical="center" wrapText="1"/>
    </xf>
    <xf numFmtId="49" fontId="1" fillId="0" borderId="30" xfId="0" applyNumberFormat="1" applyFont="1" applyBorder="1" applyAlignment="1">
      <alignment vertical="center" wrapText="1"/>
    </xf>
    <xf numFmtId="49" fontId="1" fillId="0" borderId="31" xfId="0" applyNumberFormat="1" applyFont="1" applyBorder="1" applyAlignment="1">
      <alignment vertical="center" wrapText="1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49" fontId="1" fillId="0" borderId="144" xfId="0" applyNumberFormat="1" applyFont="1" applyBorder="1" applyAlignment="1">
      <alignment vertical="center"/>
    </xf>
    <xf numFmtId="49" fontId="1" fillId="0" borderId="30" xfId="0" applyNumberFormat="1" applyFont="1" applyBorder="1" applyAlignment="1">
      <alignment vertical="center"/>
    </xf>
    <xf numFmtId="49" fontId="1" fillId="0" borderId="31" xfId="0" applyNumberFormat="1" applyFont="1" applyBorder="1" applyAlignment="1">
      <alignment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49" fontId="1" fillId="0" borderId="144" xfId="0" applyNumberFormat="1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49" fontId="1" fillId="0" borderId="144" xfId="0" applyNumberFormat="1" applyFont="1" applyBorder="1" applyAlignment="1">
      <alignment horizontal="center" vertical="center"/>
    </xf>
    <xf numFmtId="3" fontId="1" fillId="0" borderId="107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49" fontId="1" fillId="0" borderId="44" xfId="0" applyNumberFormat="1" applyFont="1" applyBorder="1" applyAlignment="1">
      <alignment horizontal="center" vertical="center" wrapText="1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49" fontId="1" fillId="0" borderId="14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0" borderId="96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49" fontId="1" fillId="0" borderId="14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49" fontId="1" fillId="0" borderId="144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7" fillId="0" borderId="104" xfId="0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3" fontId="7" fillId="0" borderId="106" xfId="0" applyNumberFormat="1" applyFont="1" applyBorder="1" applyAlignment="1">
      <alignment horizontal="center" vertical="center"/>
    </xf>
    <xf numFmtId="49" fontId="7" fillId="0" borderId="112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137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1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06" xfId="0" applyFont="1" applyBorder="1" applyAlignment="1">
      <alignment horizontal="center" vertical="center"/>
    </xf>
    <xf numFmtId="0" fontId="7" fillId="0" borderId="114" xfId="0" applyFont="1" applyBorder="1" applyAlignment="1">
      <alignment horizontal="center" vertical="center"/>
    </xf>
    <xf numFmtId="0" fontId="7" fillId="0" borderId="150" xfId="0" applyFont="1" applyBorder="1" applyAlignment="1">
      <alignment horizontal="center" vertical="center" wrapText="1"/>
    </xf>
    <xf numFmtId="0" fontId="7" fillId="0" borderId="107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7" fillId="0" borderId="16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100" xfId="0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3" fontId="7" fillId="0" borderId="107" xfId="0" applyNumberFormat="1" applyFont="1" applyBorder="1" applyAlignment="1">
      <alignment horizontal="center" vertical="center"/>
    </xf>
    <xf numFmtId="49" fontId="7" fillId="0" borderId="112" xfId="0" applyNumberFormat="1" applyFont="1" applyBorder="1" applyAlignment="1">
      <alignment horizontal="center" vertical="center" wrapText="1"/>
    </xf>
    <xf numFmtId="49" fontId="17" fillId="0" borderId="6" xfId="0" applyNumberFormat="1" applyFont="1" applyBorder="1" applyAlignment="1">
      <alignment horizontal="center" vertical="center" wrapText="1"/>
    </xf>
    <xf numFmtId="49" fontId="7" fillId="0" borderId="107" xfId="0" applyNumberFormat="1" applyFont="1" applyBorder="1" applyAlignment="1">
      <alignment horizontal="center" vertical="center"/>
    </xf>
    <xf numFmtId="0" fontId="7" fillId="0" borderId="112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16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63" xfId="0" applyFont="1" applyBorder="1" applyAlignment="1">
      <alignment horizontal="center" vertical="center"/>
    </xf>
    <xf numFmtId="0" fontId="7" fillId="0" borderId="159" xfId="0" applyFont="1" applyBorder="1" applyAlignment="1">
      <alignment horizontal="center" vertical="center" wrapText="1"/>
    </xf>
    <xf numFmtId="0" fontId="7" fillId="0" borderId="107" xfId="0" applyFont="1" applyBorder="1" applyAlignment="1">
      <alignment horizontal="center" vertical="center" wrapText="1"/>
    </xf>
    <xf numFmtId="49" fontId="7" fillId="0" borderId="107" xfId="0" applyNumberFormat="1" applyFont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49" fontId="7" fillId="0" borderId="144" xfId="0" applyNumberFormat="1" applyFont="1" applyBorder="1" applyAlignment="1">
      <alignment horizontal="center" vertical="center" wrapText="1"/>
    </xf>
    <xf numFmtId="49" fontId="7" fillId="0" borderId="30" xfId="0" applyNumberFormat="1" applyFont="1" applyBorder="1" applyAlignment="1">
      <alignment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49" fontId="7" fillId="0" borderId="144" xfId="0" applyNumberFormat="1" applyFont="1" applyBorder="1" applyAlignment="1">
      <alignment vertical="center" wrapText="1"/>
    </xf>
    <xf numFmtId="49" fontId="7" fillId="0" borderId="144" xfId="0" applyNumberFormat="1" applyFont="1" applyBorder="1" applyAlignment="1">
      <alignment vertical="center"/>
    </xf>
    <xf numFmtId="49" fontId="7" fillId="0" borderId="31" xfId="0" applyNumberFormat="1" applyFont="1" applyBorder="1" applyAlignment="1">
      <alignment vertical="center"/>
    </xf>
    <xf numFmtId="49" fontId="7" fillId="0" borderId="31" xfId="0" applyNumberFormat="1" applyFont="1" applyBorder="1" applyAlignment="1">
      <alignment horizontal="center" vertical="center"/>
    </xf>
    <xf numFmtId="49" fontId="7" fillId="0" borderId="144" xfId="0" applyNumberFormat="1" applyFont="1" applyBorder="1" applyAlignment="1">
      <alignment horizontal="center" vertical="center"/>
    </xf>
    <xf numFmtId="0" fontId="7" fillId="5" borderId="100" xfId="0" applyFont="1" applyFill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0" fontId="7" fillId="0" borderId="112" xfId="0" applyFont="1" applyBorder="1" applyAlignment="1">
      <alignment horizontal="center" vertical="center" wrapText="1"/>
    </xf>
    <xf numFmtId="49" fontId="7" fillId="0" borderId="145" xfId="0" applyNumberFormat="1" applyFont="1" applyBorder="1" applyAlignment="1">
      <alignment horizontal="center" vertical="center" wrapText="1"/>
    </xf>
    <xf numFmtId="3" fontId="7" fillId="0" borderId="107" xfId="0" applyNumberFormat="1" applyFont="1" applyBorder="1" applyAlignment="1">
      <alignment horizontal="center" vertical="center" wrapText="1"/>
    </xf>
    <xf numFmtId="49" fontId="7" fillId="0" borderId="141" xfId="0" applyNumberFormat="1" applyFont="1" applyBorder="1" applyAlignment="1">
      <alignment horizontal="center" vertical="center" wrapText="1"/>
    </xf>
    <xf numFmtId="49" fontId="7" fillId="0" borderId="44" xfId="0" applyNumberFormat="1" applyFont="1" applyBorder="1" applyAlignment="1">
      <alignment horizontal="center" vertical="center" wrapText="1"/>
    </xf>
    <xf numFmtId="0" fontId="11" fillId="0" borderId="107" xfId="0" applyFont="1" applyBorder="1" applyAlignment="1">
      <alignment horizontal="center" vertical="center"/>
    </xf>
    <xf numFmtId="0" fontId="7" fillId="0" borderId="131" xfId="0" applyFont="1" applyBorder="1" applyAlignment="1">
      <alignment horizontal="center" vertical="center"/>
    </xf>
    <xf numFmtId="3" fontId="7" fillId="0" borderId="96" xfId="0" applyNumberFormat="1" applyFont="1" applyBorder="1" applyAlignment="1">
      <alignment horizontal="center" vertical="center"/>
    </xf>
    <xf numFmtId="3" fontId="7" fillId="0" borderId="44" xfId="0" applyNumberFormat="1" applyFont="1" applyBorder="1" applyAlignment="1">
      <alignment horizontal="center" vertical="center"/>
    </xf>
    <xf numFmtId="3" fontId="7" fillId="0" borderId="142" xfId="0" applyNumberFormat="1" applyFont="1" applyBorder="1" applyAlignment="1">
      <alignment horizontal="center" vertical="center"/>
    </xf>
    <xf numFmtId="0" fontId="7" fillId="0" borderId="167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142" xfId="0" applyFont="1" applyBorder="1" applyAlignment="1">
      <alignment horizontal="center" vertical="center"/>
    </xf>
    <xf numFmtId="49" fontId="7" fillId="0" borderId="140" xfId="0" applyNumberFormat="1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3" fontId="7" fillId="0" borderId="152" xfId="0" applyNumberFormat="1" applyFont="1" applyBorder="1" applyAlignment="1">
      <alignment horizontal="center" vertical="center"/>
    </xf>
    <xf numFmtId="3" fontId="7" fillId="0" borderId="153" xfId="0" applyNumberFormat="1" applyFont="1" applyBorder="1" applyAlignment="1">
      <alignment horizontal="center" vertical="center"/>
    </xf>
    <xf numFmtId="3" fontId="7" fillId="0" borderId="151" xfId="0" applyNumberFormat="1" applyFont="1" applyBorder="1" applyAlignment="1">
      <alignment horizontal="center" vertical="center"/>
    </xf>
    <xf numFmtId="49" fontId="7" fillId="0" borderId="145" xfId="0" applyNumberFormat="1" applyFont="1" applyBorder="1" applyAlignment="1">
      <alignment horizontal="center" vertical="center"/>
    </xf>
    <xf numFmtId="49" fontId="7" fillId="0" borderId="153" xfId="0" applyNumberFormat="1" applyFont="1" applyBorder="1" applyAlignment="1">
      <alignment horizontal="center" vertical="center"/>
    </xf>
    <xf numFmtId="49" fontId="7" fillId="0" borderId="151" xfId="0" applyNumberFormat="1" applyFont="1" applyBorder="1" applyAlignment="1">
      <alignment horizontal="center" vertical="center" wrapText="1"/>
    </xf>
    <xf numFmtId="49" fontId="7" fillId="0" borderId="142" xfId="0" applyNumberFormat="1" applyFont="1" applyBorder="1" applyAlignment="1">
      <alignment horizontal="center" vertical="center" wrapText="1"/>
    </xf>
    <xf numFmtId="49" fontId="7" fillId="0" borderId="151" xfId="0" applyNumberFormat="1" applyFont="1" applyBorder="1" applyAlignment="1">
      <alignment vertical="center" wrapText="1"/>
    </xf>
    <xf numFmtId="3" fontId="7" fillId="0" borderId="157" xfId="0" applyNumberFormat="1" applyFont="1" applyBorder="1" applyAlignment="1">
      <alignment horizontal="center" vertical="center"/>
    </xf>
    <xf numFmtId="3" fontId="7" fillId="0" borderId="158" xfId="0" applyNumberFormat="1" applyFont="1" applyBorder="1" applyAlignment="1">
      <alignment horizontal="center" vertical="center"/>
    </xf>
    <xf numFmtId="3" fontId="7" fillId="0" borderId="156" xfId="0" applyNumberFormat="1" applyFont="1" applyBorder="1" applyAlignment="1">
      <alignment horizontal="center" vertical="center"/>
    </xf>
    <xf numFmtId="49" fontId="7" fillId="0" borderId="157" xfId="0" applyNumberFormat="1" applyFont="1" applyBorder="1" applyAlignment="1">
      <alignment horizontal="center" vertical="center" wrapText="1"/>
    </xf>
    <xf numFmtId="49" fontId="7" fillId="0" borderId="158" xfId="0" applyNumberFormat="1" applyFont="1" applyBorder="1" applyAlignment="1">
      <alignment horizontal="center" vertical="center"/>
    </xf>
    <xf numFmtId="49" fontId="7" fillId="0" borderId="165" xfId="0" applyNumberFormat="1" applyFont="1" applyBorder="1" applyAlignment="1">
      <alignment horizontal="center" vertical="center"/>
    </xf>
    <xf numFmtId="49" fontId="7" fillId="0" borderId="166" xfId="0" applyNumberFormat="1" applyFont="1" applyBorder="1" applyAlignment="1">
      <alignment horizontal="center" vertical="center" wrapText="1"/>
    </xf>
    <xf numFmtId="0" fontId="7" fillId="0" borderId="113" xfId="0" applyFont="1" applyBorder="1" applyAlignment="1">
      <alignment horizontal="center" vertical="center"/>
    </xf>
    <xf numFmtId="0" fontId="7" fillId="0" borderId="109" xfId="0" applyFont="1" applyBorder="1" applyAlignment="1">
      <alignment horizontal="center" vertical="center"/>
    </xf>
    <xf numFmtId="0" fontId="7" fillId="0" borderId="110" xfId="0" applyFont="1" applyBorder="1" applyAlignment="1">
      <alignment horizontal="center" vertical="center"/>
    </xf>
    <xf numFmtId="0" fontId="7" fillId="0" borderId="157" xfId="0" applyFont="1" applyBorder="1" applyAlignment="1">
      <alignment horizontal="center" vertical="center"/>
    </xf>
    <xf numFmtId="0" fontId="7" fillId="0" borderId="158" xfId="0" applyFont="1" applyBorder="1" applyAlignment="1">
      <alignment horizontal="center" vertical="center"/>
    </xf>
    <xf numFmtId="49" fontId="7" fillId="0" borderId="156" xfId="0" applyNumberFormat="1" applyFont="1" applyBorder="1" applyAlignment="1">
      <alignment horizontal="center" vertical="center" wrapText="1"/>
    </xf>
    <xf numFmtId="0" fontId="7" fillId="0" borderId="115" xfId="0" applyFont="1" applyBorder="1" applyAlignment="1">
      <alignment horizontal="center" vertical="center"/>
    </xf>
    <xf numFmtId="49" fontId="7" fillId="0" borderId="155" xfId="0" applyNumberFormat="1" applyFont="1" applyBorder="1" applyAlignment="1">
      <alignment horizontal="center" vertical="center" wrapText="1"/>
    </xf>
    <xf numFmtId="49" fontId="7" fillId="0" borderId="156" xfId="0" applyNumberFormat="1" applyFont="1" applyBorder="1" applyAlignment="1">
      <alignment vertical="center" wrapText="1"/>
    </xf>
    <xf numFmtId="3" fontId="7" fillId="0" borderId="0" xfId="0" applyNumberFormat="1" applyFont="1" applyAlignment="1">
      <alignment horizontal="center"/>
    </xf>
    <xf numFmtId="0" fontId="7" fillId="0" borderId="144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49" fontId="7" fillId="0" borderId="144" xfId="0" applyNumberFormat="1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0" fontId="7" fillId="0" borderId="10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49" fontId="7" fillId="0" borderId="176" xfId="0" applyNumberFormat="1" applyFont="1" applyBorder="1" applyAlignment="1">
      <alignment vertical="center" wrapText="1"/>
    </xf>
    <xf numFmtId="3" fontId="7" fillId="0" borderId="177" xfId="0" applyNumberFormat="1" applyFont="1" applyBorder="1" applyAlignment="1">
      <alignment horizontal="center" vertical="center"/>
    </xf>
    <xf numFmtId="0" fontId="7" fillId="0" borderId="133" xfId="0" applyFont="1" applyBorder="1" applyAlignment="1">
      <alignment horizontal="center" vertical="center"/>
    </xf>
    <xf numFmtId="3" fontId="7" fillId="0" borderId="73" xfId="0" applyNumberFormat="1" applyFont="1" applyBorder="1" applyAlignment="1">
      <alignment horizontal="center" vertical="center"/>
    </xf>
    <xf numFmtId="49" fontId="17" fillId="0" borderId="44" xfId="0" applyNumberFormat="1" applyFont="1" applyBorder="1" applyAlignment="1">
      <alignment horizontal="center" vertical="center" wrapText="1"/>
    </xf>
    <xf numFmtId="0" fontId="7" fillId="0" borderId="140" xfId="0" applyFont="1" applyBorder="1" applyAlignment="1">
      <alignment horizontal="center" vertical="center"/>
    </xf>
    <xf numFmtId="49" fontId="7" fillId="0" borderId="140" xfId="0" applyNumberFormat="1" applyFont="1" applyBorder="1" applyAlignment="1">
      <alignment horizontal="center" vertical="center"/>
    </xf>
    <xf numFmtId="3" fontId="7" fillId="0" borderId="11" xfId="0" applyNumberFormat="1" applyFont="1" applyBorder="1" applyAlignment="1">
      <alignment horizontal="center" vertical="center"/>
    </xf>
    <xf numFmtId="3" fontId="7" fillId="0" borderId="143" xfId="0" applyNumberFormat="1" applyFont="1" applyBorder="1" applyAlignment="1">
      <alignment horizontal="center" vertical="center"/>
    </xf>
    <xf numFmtId="49" fontId="7" fillId="0" borderId="141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17" fillId="0" borderId="11" xfId="0" applyNumberFormat="1" applyFont="1" applyBorder="1" applyAlignment="1">
      <alignment horizontal="center" vertical="center" wrapText="1"/>
    </xf>
    <xf numFmtId="49" fontId="7" fillId="0" borderId="143" xfId="0" applyNumberFormat="1" applyFont="1" applyBorder="1" applyAlignment="1">
      <alignment horizontal="center" vertical="center" wrapText="1"/>
    </xf>
    <xf numFmtId="0" fontId="7" fillId="0" borderId="141" xfId="0" applyFont="1" applyBorder="1" applyAlignment="1">
      <alignment horizontal="center" vertical="center"/>
    </xf>
    <xf numFmtId="3" fontId="7" fillId="0" borderId="179" xfId="0" applyNumberFormat="1" applyFont="1" applyBorder="1" applyAlignment="1">
      <alignment horizontal="center" vertical="center"/>
    </xf>
    <xf numFmtId="49" fontId="7" fillId="0" borderId="180" xfId="0" applyNumberFormat="1" applyFont="1" applyBorder="1" applyAlignment="1">
      <alignment vertical="center"/>
    </xf>
    <xf numFmtId="49" fontId="7" fillId="0" borderId="181" xfId="0" applyNumberFormat="1" applyFont="1" applyBorder="1" applyAlignment="1">
      <alignment vertical="center" wrapText="1"/>
    </xf>
    <xf numFmtId="49" fontId="7" fillId="0" borderId="182" xfId="0" applyNumberFormat="1" applyFont="1" applyBorder="1" applyAlignment="1">
      <alignment vertical="center"/>
    </xf>
    <xf numFmtId="49" fontId="7" fillId="0" borderId="179" xfId="0" applyNumberFormat="1" applyFont="1" applyBorder="1" applyAlignment="1">
      <alignment horizontal="center" vertical="center" wrapText="1"/>
    </xf>
    <xf numFmtId="0" fontId="7" fillId="0" borderId="181" xfId="0" applyFont="1" applyBorder="1" applyAlignment="1">
      <alignment horizontal="center" vertical="center"/>
    </xf>
    <xf numFmtId="0" fontId="7" fillId="0" borderId="183" xfId="0" applyFont="1" applyBorder="1" applyAlignment="1">
      <alignment horizontal="center" vertical="center"/>
    </xf>
    <xf numFmtId="0" fontId="7" fillId="0" borderId="184" xfId="0" applyFont="1" applyBorder="1" applyAlignment="1">
      <alignment horizontal="center" vertical="center"/>
    </xf>
    <xf numFmtId="49" fontId="7" fillId="0" borderId="185" xfId="0" applyNumberFormat="1" applyFont="1" applyBorder="1" applyAlignment="1">
      <alignment vertical="center" wrapText="1"/>
    </xf>
    <xf numFmtId="3" fontId="7" fillId="0" borderId="182" xfId="0" applyNumberFormat="1" applyFont="1" applyBorder="1" applyAlignment="1">
      <alignment horizontal="center" vertical="center"/>
    </xf>
    <xf numFmtId="3" fontId="7" fillId="0" borderId="97" xfId="0" applyNumberFormat="1" applyFont="1" applyBorder="1" applyAlignment="1">
      <alignment horizontal="center" vertical="center"/>
    </xf>
    <xf numFmtId="3" fontId="7" fillId="0" borderId="178" xfId="0" applyNumberFormat="1" applyFont="1" applyBorder="1" applyAlignment="1">
      <alignment horizontal="center" vertical="center"/>
    </xf>
    <xf numFmtId="3" fontId="7" fillId="0" borderId="186" xfId="0" applyNumberFormat="1" applyFont="1" applyBorder="1" applyAlignment="1">
      <alignment horizontal="center" vertical="center"/>
    </xf>
    <xf numFmtId="3" fontId="7" fillId="0" borderId="31" xfId="0" applyNumberFormat="1" applyFont="1" applyBorder="1" applyAlignment="1">
      <alignment horizontal="center" vertical="center"/>
    </xf>
    <xf numFmtId="3" fontId="7" fillId="0" borderId="187" xfId="0" applyNumberFormat="1" applyFont="1" applyBorder="1" applyAlignment="1">
      <alignment horizontal="center" vertical="center"/>
    </xf>
    <xf numFmtId="3" fontId="7" fillId="0" borderId="188" xfId="0" applyNumberFormat="1" applyFont="1" applyBorder="1" applyAlignment="1">
      <alignment horizontal="center" vertical="center"/>
    </xf>
    <xf numFmtId="3" fontId="7" fillId="0" borderId="189" xfId="0" applyNumberFormat="1" applyFont="1" applyBorder="1" applyAlignment="1">
      <alignment horizontal="center" vertical="center"/>
    </xf>
    <xf numFmtId="49" fontId="7" fillId="0" borderId="176" xfId="0" applyNumberFormat="1" applyFont="1" applyBorder="1" applyAlignment="1">
      <alignment horizontal="center" vertical="center" wrapText="1"/>
    </xf>
    <xf numFmtId="3" fontId="7" fillId="0" borderId="190" xfId="0" applyNumberFormat="1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 wrapText="1"/>
    </xf>
    <xf numFmtId="49" fontId="7" fillId="0" borderId="177" xfId="0" applyNumberFormat="1" applyFont="1" applyBorder="1" applyAlignment="1">
      <alignment horizontal="center" vertical="center" wrapText="1"/>
    </xf>
    <xf numFmtId="0" fontId="7" fillId="0" borderId="176" xfId="0" applyFont="1" applyBorder="1" applyAlignment="1">
      <alignment horizontal="center" vertical="center"/>
    </xf>
    <xf numFmtId="0" fontId="7" fillId="0" borderId="191" xfId="0" applyFont="1" applyBorder="1" applyAlignment="1">
      <alignment horizontal="center" vertical="center"/>
    </xf>
    <xf numFmtId="49" fontId="7" fillId="0" borderId="164" xfId="0" applyNumberFormat="1" applyFont="1" applyBorder="1" applyAlignment="1">
      <alignment horizontal="center" vertical="center" wrapText="1"/>
    </xf>
    <xf numFmtId="49" fontId="7" fillId="0" borderId="44" xfId="0" applyNumberFormat="1" applyFont="1" applyBorder="1" applyAlignment="1">
      <alignment horizontal="center" vertical="center"/>
    </xf>
    <xf numFmtId="0" fontId="7" fillId="0" borderId="170" xfId="0" applyFont="1" applyBorder="1" applyAlignment="1">
      <alignment horizontal="center" vertical="center" wrapText="1"/>
    </xf>
    <xf numFmtId="0" fontId="7" fillId="0" borderId="192" xfId="0" applyFont="1" applyBorder="1" applyAlignment="1">
      <alignment horizontal="center" vertical="center"/>
    </xf>
    <xf numFmtId="0" fontId="7" fillId="0" borderId="193" xfId="0" applyFont="1" applyBorder="1" applyAlignment="1">
      <alignment horizontal="center" vertical="center" wrapText="1"/>
    </xf>
    <xf numFmtId="49" fontId="7" fillId="0" borderId="194" xfId="0" applyNumberFormat="1" applyFont="1" applyBorder="1" applyAlignment="1">
      <alignment horizontal="center" vertical="center" wrapText="1"/>
    </xf>
    <xf numFmtId="0" fontId="7" fillId="0" borderId="195" xfId="0" applyFont="1" applyBorder="1" applyAlignment="1">
      <alignment horizontal="center" vertical="center" wrapText="1"/>
    </xf>
    <xf numFmtId="49" fontId="7" fillId="0" borderId="188" xfId="0" applyNumberFormat="1" applyFont="1" applyBorder="1" applyAlignment="1">
      <alignment horizontal="center" vertical="center" wrapText="1"/>
    </xf>
    <xf numFmtId="0" fontId="7" fillId="0" borderId="177" xfId="0" applyFont="1" applyBorder="1" applyAlignment="1">
      <alignment horizontal="center" vertical="center" wrapText="1"/>
    </xf>
    <xf numFmtId="0" fontId="7" fillId="0" borderId="177" xfId="0" applyFont="1" applyBorder="1" applyAlignment="1">
      <alignment horizontal="center" vertical="center"/>
    </xf>
    <xf numFmtId="49" fontId="7" fillId="0" borderId="177" xfId="0" applyNumberFormat="1" applyFont="1" applyBorder="1" applyAlignment="1">
      <alignment horizontal="center" vertical="center"/>
    </xf>
    <xf numFmtId="0" fontId="7" fillId="0" borderId="164" xfId="0" applyFont="1" applyBorder="1" applyAlignment="1">
      <alignment horizontal="center" vertical="center"/>
    </xf>
    <xf numFmtId="49" fontId="11" fillId="0" borderId="31" xfId="0" applyNumberFormat="1" applyFont="1" applyBorder="1" applyAlignment="1">
      <alignment horizontal="center" vertical="center" wrapText="1"/>
    </xf>
    <xf numFmtId="0" fontId="7" fillId="0" borderId="187" xfId="0" applyFont="1" applyBorder="1" applyAlignment="1">
      <alignment horizontal="center" vertical="center"/>
    </xf>
    <xf numFmtId="0" fontId="7" fillId="0" borderId="191" xfId="0" applyFont="1" applyBorder="1" applyAlignment="1">
      <alignment horizontal="center" vertical="center" wrapText="1"/>
    </xf>
    <xf numFmtId="0" fontId="7" fillId="0" borderId="188" xfId="0" applyFont="1" applyBorder="1" applyAlignment="1">
      <alignment horizontal="center" vertical="center"/>
    </xf>
    <xf numFmtId="3" fontId="7" fillId="0" borderId="164" xfId="0" applyNumberFormat="1" applyFont="1" applyBorder="1" applyAlignment="1">
      <alignment horizontal="center" vertical="center"/>
    </xf>
    <xf numFmtId="0" fontId="7" fillId="0" borderId="186" xfId="0" applyFont="1" applyBorder="1" applyAlignment="1">
      <alignment horizontal="center" vertical="center"/>
    </xf>
    <xf numFmtId="49" fontId="7" fillId="0" borderId="196" xfId="0" applyNumberFormat="1" applyFont="1" applyBorder="1" applyAlignment="1">
      <alignment horizontal="center" vertical="center" wrapText="1"/>
    </xf>
    <xf numFmtId="49" fontId="7" fillId="0" borderId="197" xfId="0" applyNumberFormat="1" applyFont="1" applyBorder="1" applyAlignment="1">
      <alignment horizontal="center" vertical="center" wrapText="1"/>
    </xf>
    <xf numFmtId="0" fontId="7" fillId="0" borderId="196" xfId="0" applyFont="1" applyBorder="1" applyAlignment="1">
      <alignment horizontal="center" vertical="center"/>
    </xf>
    <xf numFmtId="0" fontId="7" fillId="0" borderId="194" xfId="0" applyFont="1" applyBorder="1" applyAlignment="1">
      <alignment horizontal="center" vertical="center"/>
    </xf>
    <xf numFmtId="49" fontId="7" fillId="0" borderId="30" xfId="0" applyNumberFormat="1" applyFont="1" applyBorder="1" applyAlignment="1">
      <alignment vertical="center"/>
    </xf>
    <xf numFmtId="49" fontId="7" fillId="0" borderId="164" xfId="0" applyNumberFormat="1" applyFont="1" applyBorder="1" applyAlignment="1">
      <alignment horizontal="center" vertical="center"/>
    </xf>
    <xf numFmtId="49" fontId="7" fillId="0" borderId="198" xfId="0" applyNumberFormat="1" applyFont="1" applyBorder="1" applyAlignment="1">
      <alignment horizontal="center" vertical="center" wrapText="1"/>
    </xf>
    <xf numFmtId="0" fontId="7" fillId="0" borderId="199" xfId="0" applyFont="1" applyBorder="1" applyAlignment="1">
      <alignment horizontal="center" vertical="center"/>
    </xf>
    <xf numFmtId="0" fontId="7" fillId="0" borderId="187" xfId="0" applyFont="1" applyBorder="1" applyAlignment="1">
      <alignment horizontal="center" vertical="center" wrapText="1"/>
    </xf>
    <xf numFmtId="49" fontId="7" fillId="0" borderId="188" xfId="0" applyNumberFormat="1" applyFont="1" applyBorder="1" applyAlignment="1">
      <alignment horizontal="center" vertical="center"/>
    </xf>
    <xf numFmtId="0" fontId="7" fillId="0" borderId="200" xfId="0" applyFont="1" applyBorder="1" applyAlignment="1">
      <alignment horizontal="center" vertical="center"/>
    </xf>
    <xf numFmtId="49" fontId="7" fillId="0" borderId="201" xfId="0" applyNumberFormat="1" applyFont="1" applyBorder="1" applyAlignment="1">
      <alignment horizontal="center" vertical="center" wrapText="1"/>
    </xf>
    <xf numFmtId="0" fontId="7" fillId="0" borderId="178" xfId="0" applyFont="1" applyBorder="1" applyAlignment="1">
      <alignment horizontal="center" vertical="center"/>
    </xf>
    <xf numFmtId="49" fontId="7" fillId="0" borderId="30" xfId="0" applyNumberFormat="1" applyFont="1" applyBorder="1" applyAlignment="1">
      <alignment horizontal="center" vertical="center" wrapText="1"/>
    </xf>
    <xf numFmtId="49" fontId="7" fillId="0" borderId="180" xfId="0" applyNumberFormat="1" applyFont="1" applyBorder="1" applyAlignment="1">
      <alignment horizontal="center" vertical="center"/>
    </xf>
    <xf numFmtId="49" fontId="7" fillId="0" borderId="31" xfId="0" applyNumberFormat="1" applyFont="1" applyBorder="1" applyAlignment="1">
      <alignment vertical="center" wrapText="1"/>
    </xf>
    <xf numFmtId="0" fontId="7" fillId="0" borderId="30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49" fontId="7" fillId="0" borderId="144" xfId="0" applyNumberFormat="1" applyFont="1" applyBorder="1" applyAlignment="1">
      <alignment horizontal="center" vertical="center" wrapText="1"/>
    </xf>
    <xf numFmtId="49" fontId="7" fillId="0" borderId="30" xfId="0" applyNumberFormat="1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0" fontId="7" fillId="0" borderId="20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49" fontId="7" fillId="0" borderId="41" xfId="0" applyNumberFormat="1" applyFont="1" applyBorder="1" applyAlignment="1">
      <alignment horizontal="center" vertical="center" wrapText="1"/>
    </xf>
    <xf numFmtId="0" fontId="7" fillId="0" borderId="203" xfId="0" applyFont="1" applyBorder="1" applyAlignment="1">
      <alignment horizontal="center" vertical="center" wrapText="1"/>
    </xf>
    <xf numFmtId="49" fontId="7" fillId="0" borderId="179" xfId="0" applyNumberFormat="1" applyFont="1" applyBorder="1" applyAlignment="1">
      <alignment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49" fontId="7" fillId="0" borderId="144" xfId="0" applyNumberFormat="1" applyFont="1" applyBorder="1" applyAlignment="1">
      <alignment horizontal="center" vertical="center" wrapText="1"/>
    </xf>
    <xf numFmtId="49" fontId="7" fillId="0" borderId="30" xfId="0" applyNumberFormat="1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49" fontId="7" fillId="0" borderId="144" xfId="0" applyNumberFormat="1" applyFont="1" applyBorder="1" applyAlignment="1">
      <alignment horizontal="center" vertical="center" wrapText="1"/>
    </xf>
    <xf numFmtId="49" fontId="7" fillId="0" borderId="30" xfId="0" applyNumberFormat="1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0" fontId="7" fillId="0" borderId="160" xfId="0" applyFont="1" applyBorder="1" applyAlignment="1">
      <alignment horizontal="center" vertical="center" wrapText="1"/>
    </xf>
    <xf numFmtId="0" fontId="7" fillId="0" borderId="74" xfId="0" applyFont="1" applyBorder="1" applyAlignment="1">
      <alignment horizontal="center" vertical="center" wrapText="1"/>
    </xf>
    <xf numFmtId="49" fontId="7" fillId="0" borderId="74" xfId="0" applyNumberFormat="1" applyFont="1" applyBorder="1" applyAlignment="1">
      <alignment horizontal="center" vertical="center" wrapText="1"/>
    </xf>
    <xf numFmtId="0" fontId="7" fillId="0" borderId="205" xfId="0" applyFont="1" applyBorder="1" applyAlignment="1">
      <alignment horizontal="center" vertical="center"/>
    </xf>
    <xf numFmtId="0" fontId="7" fillId="0" borderId="204" xfId="0" applyFont="1" applyBorder="1" applyAlignment="1">
      <alignment horizontal="center" vertical="center" wrapText="1"/>
    </xf>
    <xf numFmtId="3" fontId="11" fillId="0" borderId="6" xfId="0" applyNumberFormat="1" applyFont="1" applyBorder="1" applyAlignment="1">
      <alignment horizontal="center" vertical="center"/>
    </xf>
    <xf numFmtId="3" fontId="11" fillId="0" borderId="107" xfId="0" applyNumberFormat="1" applyFont="1" applyBorder="1" applyAlignment="1">
      <alignment horizontal="center" vertical="center"/>
    </xf>
    <xf numFmtId="49" fontId="11" fillId="0" borderId="176" xfId="0" applyNumberFormat="1" applyFont="1" applyBorder="1" applyAlignment="1">
      <alignment horizontal="center" vertical="center" wrapText="1"/>
    </xf>
    <xf numFmtId="49" fontId="19" fillId="0" borderId="6" xfId="0" applyNumberFormat="1" applyFont="1" applyBorder="1" applyAlignment="1">
      <alignment horizontal="center" vertical="center" wrapText="1"/>
    </xf>
    <xf numFmtId="49" fontId="11" fillId="0" borderId="107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1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163" xfId="0" applyFont="1" applyBorder="1" applyAlignment="1">
      <alignment horizontal="center" vertical="center"/>
    </xf>
    <xf numFmtId="0" fontId="11" fillId="0" borderId="159" xfId="0" applyFont="1" applyBorder="1" applyAlignment="1">
      <alignment horizontal="center" vertical="center" wrapText="1"/>
    </xf>
    <xf numFmtId="0" fontId="11" fillId="0" borderId="0" xfId="0" applyFont="1"/>
    <xf numFmtId="0" fontId="11" fillId="0" borderId="4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107" xfId="0" applyFont="1" applyBorder="1" applyAlignment="1">
      <alignment horizontal="center" vertical="center" wrapText="1"/>
    </xf>
    <xf numFmtId="49" fontId="11" fillId="0" borderId="112" xfId="0" applyNumberFormat="1" applyFont="1" applyBorder="1" applyAlignment="1">
      <alignment horizontal="center" vertical="center"/>
    </xf>
    <xf numFmtId="49" fontId="11" fillId="0" borderId="107" xfId="0" applyNumberFormat="1" applyFont="1" applyBorder="1" applyAlignment="1">
      <alignment horizontal="center" vertical="center" wrapText="1"/>
    </xf>
    <xf numFmtId="49" fontId="11" fillId="0" borderId="177" xfId="0" applyNumberFormat="1" applyFont="1" applyBorder="1" applyAlignment="1">
      <alignment horizontal="center" vertical="center" wrapText="1"/>
    </xf>
    <xf numFmtId="0" fontId="11" fillId="0" borderId="187" xfId="0" applyFont="1" applyBorder="1" applyAlignment="1">
      <alignment horizontal="center" vertical="center"/>
    </xf>
    <xf numFmtId="0" fontId="11" fillId="0" borderId="164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191" xfId="0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 wrapText="1"/>
    </xf>
    <xf numFmtId="49" fontId="11" fillId="0" borderId="112" xfId="0" applyNumberFormat="1" applyFont="1" applyBorder="1" applyAlignment="1">
      <alignment horizontal="center" vertical="center" wrapText="1"/>
    </xf>
    <xf numFmtId="0" fontId="11" fillId="0" borderId="176" xfId="0" applyFont="1" applyBorder="1" applyAlignment="1">
      <alignment horizontal="center" vertical="center"/>
    </xf>
    <xf numFmtId="49" fontId="11" fillId="0" borderId="164" xfId="0" applyNumberFormat="1" applyFont="1" applyBorder="1" applyAlignment="1">
      <alignment horizontal="center" vertical="center" wrapText="1"/>
    </xf>
    <xf numFmtId="0" fontId="11" fillId="0" borderId="191" xfId="0" applyFont="1" applyBorder="1" applyAlignment="1">
      <alignment horizontal="center" vertical="center" wrapText="1"/>
    </xf>
    <xf numFmtId="3" fontId="11" fillId="0" borderId="31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49" fontId="11" fillId="0" borderId="144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vertical="center" wrapText="1"/>
    </xf>
    <xf numFmtId="0" fontId="11" fillId="0" borderId="188" xfId="0" applyFont="1" applyBorder="1" applyAlignment="1">
      <alignment horizontal="center" vertical="center"/>
    </xf>
    <xf numFmtId="49" fontId="11" fillId="0" borderId="144" xfId="0" applyNumberFormat="1" applyFont="1" applyBorder="1" applyAlignment="1">
      <alignment vertical="center" wrapText="1"/>
    </xf>
    <xf numFmtId="0" fontId="11" fillId="0" borderId="11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177" xfId="0" applyFont="1" applyBorder="1" applyAlignment="1">
      <alignment horizontal="center" vertical="center"/>
    </xf>
    <xf numFmtId="3" fontId="11" fillId="0" borderId="164" xfId="0" applyNumberFormat="1" applyFont="1" applyBorder="1" applyAlignment="1">
      <alignment horizontal="center" vertical="center"/>
    </xf>
    <xf numFmtId="49" fontId="11" fillId="0" borderId="142" xfId="0" applyNumberFormat="1" applyFont="1" applyBorder="1" applyAlignment="1">
      <alignment horizontal="center" vertical="center" wrapText="1"/>
    </xf>
    <xf numFmtId="49" fontId="11" fillId="0" borderId="140" xfId="0" applyNumberFormat="1" applyFont="1" applyBorder="1" applyAlignment="1">
      <alignment horizontal="center" vertical="center" wrapText="1"/>
    </xf>
    <xf numFmtId="49" fontId="11" fillId="0" borderId="44" xfId="0" applyNumberFormat="1" applyFont="1" applyBorder="1" applyAlignment="1">
      <alignment horizontal="center" vertical="center" wrapText="1"/>
    </xf>
    <xf numFmtId="49" fontId="19" fillId="0" borderId="44" xfId="0" applyNumberFormat="1" applyFont="1" applyBorder="1" applyAlignment="1">
      <alignment horizontal="center" vertical="center" wrapText="1"/>
    </xf>
    <xf numFmtId="0" fontId="11" fillId="0" borderId="140" xfId="0" applyFont="1" applyBorder="1" applyAlignment="1">
      <alignment horizontal="center" vertical="center"/>
    </xf>
    <xf numFmtId="3" fontId="11" fillId="0" borderId="142" xfId="0" applyNumberFormat="1" applyFont="1" applyBorder="1" applyAlignment="1">
      <alignment horizontal="center" vertical="center"/>
    </xf>
    <xf numFmtId="49" fontId="11" fillId="0" borderId="140" xfId="0" applyNumberFormat="1" applyFont="1" applyBorder="1" applyAlignment="1">
      <alignment horizontal="center" vertical="center"/>
    </xf>
    <xf numFmtId="0" fontId="11" fillId="0" borderId="186" xfId="0" applyFont="1" applyBorder="1" applyAlignment="1">
      <alignment horizontal="center" vertical="center"/>
    </xf>
    <xf numFmtId="49" fontId="11" fillId="0" borderId="164" xfId="0" applyNumberFormat="1" applyFont="1" applyBorder="1" applyAlignment="1">
      <alignment horizontal="center" vertical="center"/>
    </xf>
    <xf numFmtId="3" fontId="11" fillId="0" borderId="182" xfId="0" applyNumberFormat="1" applyFont="1" applyBorder="1" applyAlignment="1">
      <alignment horizontal="center" vertical="center"/>
    </xf>
    <xf numFmtId="3" fontId="11" fillId="0" borderId="179" xfId="0" applyNumberFormat="1" applyFont="1" applyBorder="1" applyAlignment="1">
      <alignment horizontal="center" vertical="center"/>
    </xf>
    <xf numFmtId="49" fontId="11" fillId="0" borderId="180" xfId="0" applyNumberFormat="1" applyFont="1" applyBorder="1" applyAlignment="1">
      <alignment horizontal="center" vertical="center"/>
    </xf>
    <xf numFmtId="49" fontId="11" fillId="0" borderId="181" xfId="0" applyNumberFormat="1" applyFont="1" applyBorder="1" applyAlignment="1">
      <alignment vertical="center" wrapText="1"/>
    </xf>
    <xf numFmtId="49" fontId="11" fillId="0" borderId="182" xfId="0" applyNumberFormat="1" applyFont="1" applyBorder="1" applyAlignment="1">
      <alignment vertical="center"/>
    </xf>
    <xf numFmtId="49" fontId="11" fillId="0" borderId="179" xfId="0" applyNumberFormat="1" applyFont="1" applyBorder="1" applyAlignment="1">
      <alignment horizontal="center" vertical="center" wrapText="1"/>
    </xf>
    <xf numFmtId="0" fontId="11" fillId="0" borderId="181" xfId="0" applyFont="1" applyBorder="1" applyAlignment="1">
      <alignment horizontal="center" vertical="center"/>
    </xf>
    <xf numFmtId="0" fontId="11" fillId="0" borderId="183" xfId="0" applyFont="1" applyBorder="1" applyAlignment="1">
      <alignment horizontal="center" vertical="center"/>
    </xf>
    <xf numFmtId="0" fontId="11" fillId="0" borderId="184" xfId="0" applyFont="1" applyBorder="1" applyAlignment="1">
      <alignment horizontal="center" vertical="center"/>
    </xf>
    <xf numFmtId="49" fontId="11" fillId="0" borderId="180" xfId="0" applyNumberFormat="1" applyFont="1" applyBorder="1" applyAlignment="1">
      <alignment vertical="center"/>
    </xf>
    <xf numFmtId="49" fontId="11" fillId="0" borderId="185" xfId="0" applyNumberFormat="1" applyFont="1" applyBorder="1" applyAlignment="1">
      <alignment vertical="center" wrapText="1"/>
    </xf>
    <xf numFmtId="49" fontId="11" fillId="0" borderId="31" xfId="0" applyNumberFormat="1" applyFont="1" applyBorder="1" applyAlignment="1">
      <alignment vertical="center"/>
    </xf>
    <xf numFmtId="49" fontId="11" fillId="0" borderId="176" xfId="0" applyNumberFormat="1" applyFont="1" applyBorder="1" applyAlignment="1">
      <alignment vertical="center" wrapText="1"/>
    </xf>
    <xf numFmtId="49" fontId="11" fillId="0" borderId="31" xfId="0" applyNumberFormat="1" applyFont="1" applyBorder="1" applyAlignment="1">
      <alignment horizontal="center" vertical="center"/>
    </xf>
    <xf numFmtId="49" fontId="11" fillId="0" borderId="144" xfId="0" applyNumberFormat="1" applyFont="1" applyBorder="1" applyAlignment="1">
      <alignment horizontal="center" vertical="center"/>
    </xf>
    <xf numFmtId="49" fontId="11" fillId="0" borderId="30" xfId="0" applyNumberFormat="1" applyFont="1" applyBorder="1" applyAlignment="1">
      <alignment vertical="center"/>
    </xf>
    <xf numFmtId="3" fontId="11" fillId="0" borderId="97" xfId="0" applyNumberFormat="1" applyFont="1" applyBorder="1" applyAlignment="1">
      <alignment horizontal="center" vertical="center"/>
    </xf>
    <xf numFmtId="3" fontId="11" fillId="0" borderId="143" xfId="0" applyNumberFormat="1" applyFont="1" applyBorder="1" applyAlignment="1">
      <alignment horizontal="center" vertical="center"/>
    </xf>
    <xf numFmtId="49" fontId="11" fillId="0" borderId="141" xfId="0" applyNumberFormat="1" applyFont="1" applyBorder="1" applyAlignment="1">
      <alignment horizontal="center" vertical="center"/>
    </xf>
    <xf numFmtId="49" fontId="11" fillId="0" borderId="11" xfId="0" applyNumberFormat="1" applyFont="1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 wrapText="1"/>
    </xf>
    <xf numFmtId="49" fontId="11" fillId="0" borderId="143" xfId="0" applyNumberFormat="1" applyFont="1" applyBorder="1" applyAlignment="1">
      <alignment horizontal="center" vertical="center" wrapText="1"/>
    </xf>
    <xf numFmtId="0" fontId="11" fillId="0" borderId="141" xfId="0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31" xfId="0" applyNumberFormat="1" applyFont="1" applyBorder="1" applyAlignment="1">
      <alignment vertical="center" wrapText="1"/>
    </xf>
    <xf numFmtId="0" fontId="11" fillId="0" borderId="112" xfId="0" applyFont="1" applyBorder="1" applyAlignment="1">
      <alignment horizontal="center" vertical="center" wrapText="1"/>
    </xf>
    <xf numFmtId="49" fontId="11" fillId="0" borderId="145" xfId="0" applyNumberFormat="1" applyFont="1" applyBorder="1" applyAlignment="1">
      <alignment horizontal="center" vertical="center" wrapText="1"/>
    </xf>
    <xf numFmtId="3" fontId="11" fillId="0" borderId="107" xfId="0" applyNumberFormat="1" applyFont="1" applyBorder="1" applyAlignment="1">
      <alignment horizontal="center" vertical="center" wrapText="1"/>
    </xf>
    <xf numFmtId="49" fontId="11" fillId="0" borderId="141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133" xfId="0" applyFont="1" applyBorder="1" applyAlignment="1">
      <alignment horizontal="center" vertical="center"/>
    </xf>
    <xf numFmtId="3" fontId="11" fillId="0" borderId="177" xfId="0" applyNumberFormat="1" applyFont="1" applyBorder="1" applyAlignment="1">
      <alignment horizontal="center" vertical="center"/>
    </xf>
    <xf numFmtId="0" fontId="11" fillId="0" borderId="97" xfId="0" applyFont="1" applyBorder="1" applyAlignment="1">
      <alignment horizontal="center" vertical="center" wrapText="1"/>
    </xf>
    <xf numFmtId="49" fontId="11" fillId="0" borderId="188" xfId="0" applyNumberFormat="1" applyFont="1" applyBorder="1" applyAlignment="1">
      <alignment horizontal="center" vertical="center" wrapText="1"/>
    </xf>
    <xf numFmtId="0" fontId="11" fillId="0" borderId="195" xfId="0" applyFont="1" applyBorder="1" applyAlignment="1">
      <alignment horizontal="center" vertical="center" wrapText="1"/>
    </xf>
    <xf numFmtId="0" fontId="11" fillId="0" borderId="177" xfId="0" applyFont="1" applyBorder="1" applyAlignment="1">
      <alignment horizontal="center" vertical="center" wrapText="1"/>
    </xf>
    <xf numFmtId="0" fontId="11" fillId="0" borderId="142" xfId="0" applyFont="1" applyBorder="1" applyAlignment="1">
      <alignment horizontal="center" vertical="center"/>
    </xf>
    <xf numFmtId="49" fontId="11" fillId="0" borderId="196" xfId="0" applyNumberFormat="1" applyFont="1" applyBorder="1" applyAlignment="1">
      <alignment horizontal="center" vertical="center" wrapText="1"/>
    </xf>
    <xf numFmtId="49" fontId="11" fillId="0" borderId="197" xfId="0" applyNumberFormat="1" applyFont="1" applyBorder="1" applyAlignment="1">
      <alignment horizontal="center" vertical="center" wrapText="1"/>
    </xf>
    <xf numFmtId="49" fontId="11" fillId="0" borderId="194" xfId="0" applyNumberFormat="1" applyFont="1" applyBorder="1" applyAlignment="1">
      <alignment horizontal="center" vertical="center" wrapText="1"/>
    </xf>
    <xf numFmtId="0" fontId="11" fillId="0" borderId="196" xfId="0" applyFont="1" applyBorder="1" applyAlignment="1">
      <alignment horizontal="center" vertical="center"/>
    </xf>
    <xf numFmtId="0" fontId="11" fillId="0" borderId="194" xfId="0" applyFont="1" applyBorder="1" applyAlignment="1">
      <alignment horizontal="center" vertical="center"/>
    </xf>
    <xf numFmtId="0" fontId="11" fillId="0" borderId="167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 wrapText="1"/>
    </xf>
    <xf numFmtId="3" fontId="11" fillId="0" borderId="44" xfId="0" applyNumberFormat="1" applyFont="1" applyBorder="1" applyAlignment="1">
      <alignment horizontal="center" vertical="center"/>
    </xf>
    <xf numFmtId="0" fontId="11" fillId="0" borderId="104" xfId="0" applyFont="1" applyBorder="1" applyAlignment="1">
      <alignment horizontal="center" vertical="center"/>
    </xf>
    <xf numFmtId="0" fontId="11" fillId="0" borderId="100" xfId="0" applyFont="1" applyBorder="1" applyAlignment="1">
      <alignment horizontal="center" vertical="center"/>
    </xf>
    <xf numFmtId="0" fontId="11" fillId="5" borderId="100" xfId="0" applyFont="1" applyFill="1" applyBorder="1" applyAlignment="1">
      <alignment horizontal="center" vertical="center"/>
    </xf>
    <xf numFmtId="3" fontId="11" fillId="0" borderId="2" xfId="0" applyNumberFormat="1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 vertical="center"/>
    </xf>
    <xf numFmtId="3" fontId="11" fillId="0" borderId="106" xfId="0" applyNumberFormat="1" applyFont="1" applyBorder="1" applyAlignment="1">
      <alignment horizontal="center" vertical="center"/>
    </xf>
    <xf numFmtId="49" fontId="11" fillId="0" borderId="137" xfId="0" applyNumberFormat="1" applyFont="1" applyBorder="1" applyAlignment="1">
      <alignment horizontal="center" vertical="center"/>
    </xf>
    <xf numFmtId="0" fontId="11" fillId="0" borderId="11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06" xfId="0" applyFont="1" applyBorder="1" applyAlignment="1">
      <alignment horizontal="center" vertical="center"/>
    </xf>
    <xf numFmtId="0" fontId="11" fillId="0" borderId="114" xfId="0" applyFont="1" applyBorder="1" applyAlignment="1">
      <alignment horizontal="center" vertical="center"/>
    </xf>
    <xf numFmtId="0" fontId="11" fillId="0" borderId="150" xfId="0" applyFont="1" applyBorder="1" applyAlignment="1">
      <alignment horizontal="center" vertical="center" wrapText="1"/>
    </xf>
    <xf numFmtId="0" fontId="11" fillId="0" borderId="16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3" fontId="11" fillId="0" borderId="5" xfId="0" applyNumberFormat="1" applyFont="1" applyBorder="1" applyAlignment="1">
      <alignment horizontal="center" vertical="center"/>
    </xf>
    <xf numFmtId="0" fontId="11" fillId="0" borderId="162" xfId="0" applyFont="1" applyBorder="1" applyAlignment="1">
      <alignment horizontal="center" vertical="center"/>
    </xf>
    <xf numFmtId="3" fontId="11" fillId="0" borderId="73" xfId="0" applyNumberFormat="1" applyFont="1" applyBorder="1" applyAlignment="1">
      <alignment horizontal="center" vertical="center"/>
    </xf>
    <xf numFmtId="3" fontId="11" fillId="0" borderId="189" xfId="0" applyNumberFormat="1" applyFont="1" applyBorder="1" applyAlignment="1">
      <alignment horizontal="center" vertical="center"/>
    </xf>
    <xf numFmtId="3" fontId="11" fillId="0" borderId="187" xfId="0" applyNumberFormat="1" applyFont="1" applyBorder="1" applyAlignment="1">
      <alignment horizontal="center" vertical="center"/>
    </xf>
    <xf numFmtId="3" fontId="11" fillId="0" borderId="188" xfId="0" applyNumberFormat="1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 vertical="center"/>
    </xf>
    <xf numFmtId="3" fontId="11" fillId="0" borderId="178" xfId="0" applyNumberFormat="1" applyFont="1" applyBorder="1" applyAlignment="1">
      <alignment horizontal="center" vertical="center"/>
    </xf>
    <xf numFmtId="3" fontId="11" fillId="0" borderId="186" xfId="0" applyNumberFormat="1" applyFont="1" applyBorder="1" applyAlignment="1">
      <alignment horizontal="center" vertical="center"/>
    </xf>
    <xf numFmtId="3" fontId="11" fillId="0" borderId="190" xfId="0" applyNumberFormat="1" applyFont="1" applyBorder="1" applyAlignment="1">
      <alignment horizontal="center" vertical="center"/>
    </xf>
    <xf numFmtId="3" fontId="11" fillId="0" borderId="96" xfId="0" applyNumberFormat="1" applyFont="1" applyBorder="1" applyAlignment="1">
      <alignment horizontal="center" vertical="center"/>
    </xf>
    <xf numFmtId="3" fontId="11" fillId="2" borderId="5" xfId="0" applyNumberFormat="1" applyFont="1" applyFill="1" applyBorder="1" applyAlignment="1">
      <alignment horizontal="center" vertical="center"/>
    </xf>
    <xf numFmtId="3" fontId="11" fillId="2" borderId="6" xfId="0" applyNumberFormat="1" applyFont="1" applyFill="1" applyBorder="1" applyAlignment="1">
      <alignment horizontal="center" vertical="center"/>
    </xf>
    <xf numFmtId="3" fontId="11" fillId="2" borderId="107" xfId="0" applyNumberFormat="1" applyFont="1" applyFill="1" applyBorder="1" applyAlignment="1">
      <alignment horizontal="center" vertical="center"/>
    </xf>
    <xf numFmtId="49" fontId="11" fillId="2" borderId="112" xfId="0" applyNumberFormat="1" applyFont="1" applyFill="1" applyBorder="1" applyAlignment="1">
      <alignment horizontal="center" vertical="center"/>
    </xf>
    <xf numFmtId="49" fontId="11" fillId="2" borderId="6" xfId="0" applyNumberFormat="1" applyFont="1" applyFill="1" applyBorder="1" applyAlignment="1">
      <alignment horizontal="center" vertical="center"/>
    </xf>
    <xf numFmtId="49" fontId="19" fillId="2" borderId="6" xfId="0" applyNumberFormat="1" applyFont="1" applyFill="1" applyBorder="1" applyAlignment="1">
      <alignment horizontal="center" vertical="center" wrapText="1"/>
    </xf>
    <xf numFmtId="49" fontId="11" fillId="2" borderId="107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2" borderId="112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112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49" fontId="11" fillId="2" borderId="6" xfId="0" applyNumberFormat="1" applyFont="1" applyFill="1" applyBorder="1" applyAlignment="1">
      <alignment horizontal="center" vertical="center" wrapText="1"/>
    </xf>
    <xf numFmtId="0" fontId="11" fillId="2" borderId="0" xfId="0" applyFont="1" applyFill="1"/>
    <xf numFmtId="49" fontId="11" fillId="2" borderId="31" xfId="0" applyNumberFormat="1" applyFont="1" applyFill="1" applyBorder="1" applyAlignment="1">
      <alignment horizontal="center" vertical="center" wrapText="1"/>
    </xf>
    <xf numFmtId="49" fontId="11" fillId="2" borderId="31" xfId="0" applyNumberFormat="1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49" fontId="11" fillId="2" borderId="177" xfId="0" applyNumberFormat="1" applyFont="1" applyFill="1" applyBorder="1" applyAlignment="1">
      <alignment horizontal="center" vertical="center"/>
    </xf>
    <xf numFmtId="49" fontId="11" fillId="2" borderId="164" xfId="0" applyNumberFormat="1" applyFont="1" applyFill="1" applyBorder="1" applyAlignment="1">
      <alignment horizontal="center" vertical="center" wrapText="1"/>
    </xf>
    <xf numFmtId="49" fontId="11" fillId="2" borderId="8" xfId="0" applyNumberFormat="1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/>
    </xf>
    <xf numFmtId="49" fontId="11" fillId="2" borderId="44" xfId="0" applyNumberFormat="1" applyFont="1" applyFill="1" applyBorder="1" applyAlignment="1">
      <alignment horizontal="center" vertical="center"/>
    </xf>
    <xf numFmtId="0" fontId="11" fillId="2" borderId="193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107" xfId="0" applyFont="1" applyFill="1" applyBorder="1" applyAlignment="1">
      <alignment horizontal="center" vertical="center" wrapText="1"/>
    </xf>
    <xf numFmtId="49" fontId="11" fillId="2" borderId="177" xfId="0" applyNumberFormat="1" applyFont="1" applyFill="1" applyBorder="1" applyAlignment="1">
      <alignment horizontal="center" vertical="center" wrapText="1"/>
    </xf>
    <xf numFmtId="0" fontId="11" fillId="2" borderId="97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192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95" xfId="0" applyFont="1" applyFill="1" applyBorder="1" applyAlignment="1">
      <alignment horizontal="center" vertical="center" wrapText="1"/>
    </xf>
    <xf numFmtId="0" fontId="11" fillId="2" borderId="177" xfId="0" applyFont="1" applyFill="1" applyBorder="1" applyAlignment="1">
      <alignment horizontal="center" vertical="center" wrapText="1"/>
    </xf>
    <xf numFmtId="0" fontId="20" fillId="0" borderId="74" xfId="0" applyFont="1" applyBorder="1" applyAlignment="1">
      <alignment horizontal="center" vertical="center"/>
    </xf>
    <xf numFmtId="0" fontId="20" fillId="0" borderId="100" xfId="0" applyFont="1" applyBorder="1" applyAlignment="1">
      <alignment horizontal="center" vertical="center"/>
    </xf>
    <xf numFmtId="0" fontId="20" fillId="0" borderId="101" xfId="0" applyFont="1" applyBorder="1" applyAlignment="1">
      <alignment horizontal="center" vertical="center"/>
    </xf>
    <xf numFmtId="0" fontId="20" fillId="0" borderId="132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75" xfId="0" applyFont="1" applyBorder="1" applyAlignment="1">
      <alignment horizontal="center" vertical="center"/>
    </xf>
    <xf numFmtId="0" fontId="20" fillId="0" borderId="134" xfId="0" applyFont="1" applyBorder="1" applyAlignment="1">
      <alignment horizontal="center" vertical="center"/>
    </xf>
    <xf numFmtId="49" fontId="11" fillId="2" borderId="107" xfId="0" applyNumberFormat="1" applyFont="1" applyFill="1" applyBorder="1" applyAlignment="1">
      <alignment horizontal="center" vertical="center"/>
    </xf>
    <xf numFmtId="0" fontId="11" fillId="2" borderId="107" xfId="0" applyFont="1" applyFill="1" applyBorder="1" applyAlignment="1">
      <alignment horizontal="center" vertical="center"/>
    </xf>
    <xf numFmtId="0" fontId="11" fillId="2" borderId="142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center" vertical="center" wrapText="1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21" fillId="0" borderId="131" xfId="0" applyFont="1" applyBorder="1" applyAlignment="1">
      <alignment horizontal="center" vertical="center"/>
    </xf>
    <xf numFmtId="0" fontId="11" fillId="0" borderId="75" xfId="0" applyFont="1" applyBorder="1" applyAlignment="1">
      <alignment vertical="center" wrapText="1"/>
    </xf>
    <xf numFmtId="0" fontId="11" fillId="0" borderId="74" xfId="0" applyFont="1" applyBorder="1" applyAlignment="1">
      <alignment vertical="center" wrapText="1"/>
    </xf>
    <xf numFmtId="0" fontId="11" fillId="0" borderId="74" xfId="0" applyFont="1" applyBorder="1" applyAlignment="1">
      <alignment horizontal="center" vertical="center"/>
    </xf>
    <xf numFmtId="0" fontId="6" fillId="0" borderId="103" xfId="0" applyFont="1" applyBorder="1"/>
    <xf numFmtId="0" fontId="18" fillId="0" borderId="103" xfId="0" applyFont="1" applyBorder="1" applyAlignment="1">
      <alignment horizontal="center" vertical="center"/>
    </xf>
    <xf numFmtId="3" fontId="11" fillId="5" borderId="96" xfId="0" applyNumberFormat="1" applyFont="1" applyFill="1" applyBorder="1" applyAlignment="1">
      <alignment horizontal="center" vertical="center"/>
    </xf>
    <xf numFmtId="3" fontId="11" fillId="5" borderId="44" xfId="0" applyNumberFormat="1" applyFont="1" applyFill="1" applyBorder="1" applyAlignment="1">
      <alignment horizontal="center" vertical="center"/>
    </xf>
    <xf numFmtId="3" fontId="11" fillId="5" borderId="6" xfId="0" applyNumberFormat="1" applyFont="1" applyFill="1" applyBorder="1" applyAlignment="1">
      <alignment horizontal="center" vertical="center"/>
    </xf>
    <xf numFmtId="3" fontId="11" fillId="5" borderId="142" xfId="0" applyNumberFormat="1" applyFont="1" applyFill="1" applyBorder="1" applyAlignment="1">
      <alignment horizontal="center" vertical="center"/>
    </xf>
    <xf numFmtId="49" fontId="11" fillId="5" borderId="6" xfId="0" applyNumberFormat="1" applyFont="1" applyFill="1" applyBorder="1" applyAlignment="1">
      <alignment horizontal="center" vertical="center"/>
    </xf>
    <xf numFmtId="49" fontId="11" fillId="5" borderId="44" xfId="0" applyNumberFormat="1" applyFont="1" applyFill="1" applyBorder="1" applyAlignment="1">
      <alignment horizontal="center" vertical="center" wrapText="1"/>
    </xf>
    <xf numFmtId="49" fontId="19" fillId="5" borderId="6" xfId="0" applyNumberFormat="1" applyFont="1" applyFill="1" applyBorder="1" applyAlignment="1">
      <alignment horizontal="center" vertical="center" wrapText="1"/>
    </xf>
    <xf numFmtId="49" fontId="11" fillId="5" borderId="107" xfId="0" applyNumberFormat="1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112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107" xfId="0" applyFont="1" applyFill="1" applyBorder="1" applyAlignment="1">
      <alignment horizontal="center" vertical="center"/>
    </xf>
    <xf numFmtId="0" fontId="11" fillId="5" borderId="167" xfId="0" applyFont="1" applyFill="1" applyBorder="1" applyAlignment="1">
      <alignment horizontal="center" vertical="center"/>
    </xf>
    <xf numFmtId="49" fontId="11" fillId="5" borderId="6" xfId="0" applyNumberFormat="1" applyFont="1" applyFill="1" applyBorder="1" applyAlignment="1">
      <alignment horizontal="center" vertical="center" wrapText="1"/>
    </xf>
    <xf numFmtId="0" fontId="11" fillId="5" borderId="44" xfId="0" applyFont="1" applyFill="1" applyBorder="1" applyAlignment="1">
      <alignment horizontal="center" vertical="center"/>
    </xf>
    <xf numFmtId="0" fontId="11" fillId="5" borderId="142" xfId="0" applyFont="1" applyFill="1" applyBorder="1" applyAlignment="1">
      <alignment horizontal="center" vertical="center"/>
    </xf>
    <xf numFmtId="0" fontId="11" fillId="5" borderId="31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44" xfId="0" applyFont="1" applyFill="1" applyBorder="1" applyAlignment="1">
      <alignment horizontal="center" vertical="center" wrapText="1"/>
    </xf>
    <xf numFmtId="0" fontId="11" fillId="5" borderId="0" xfId="0" applyFont="1" applyFill="1"/>
    <xf numFmtId="3" fontId="3" fillId="2" borderId="2" xfId="0" applyNumberFormat="1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3" fontId="3" fillId="2" borderId="106" xfId="0" applyNumberFormat="1" applyFont="1" applyFill="1" applyBorder="1" applyAlignment="1">
      <alignment horizontal="center" vertical="center"/>
    </xf>
    <xf numFmtId="49" fontId="3" fillId="2" borderId="112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137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1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06" xfId="0" applyFont="1" applyFill="1" applyBorder="1" applyAlignment="1">
      <alignment horizontal="center" vertical="center"/>
    </xf>
    <xf numFmtId="0" fontId="3" fillId="2" borderId="114" xfId="0" applyFont="1" applyFill="1" applyBorder="1" applyAlignment="1">
      <alignment horizontal="center" vertical="center"/>
    </xf>
    <xf numFmtId="0" fontId="3" fillId="2" borderId="150" xfId="0" applyFont="1" applyFill="1" applyBorder="1" applyAlignment="1">
      <alignment horizontal="center" vertical="center" wrapText="1"/>
    </xf>
    <xf numFmtId="0" fontId="3" fillId="2" borderId="107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wrapText="1"/>
    </xf>
    <xf numFmtId="0" fontId="3" fillId="2" borderId="16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0" xfId="0" applyFont="1" applyFill="1"/>
    <xf numFmtId="0" fontId="3" fillId="2" borderId="3" xfId="0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/>
    </xf>
    <xf numFmtId="3" fontId="3" fillId="2" borderId="107" xfId="0" applyNumberFormat="1" applyFont="1" applyFill="1" applyBorder="1" applyAlignment="1">
      <alignment horizontal="center" vertical="center"/>
    </xf>
    <xf numFmtId="49" fontId="3" fillId="2" borderId="112" xfId="0" applyNumberFormat="1" applyFont="1" applyFill="1" applyBorder="1" applyAlignment="1">
      <alignment horizontal="center" vertical="center" wrapText="1"/>
    </xf>
    <xf numFmtId="49" fontId="22" fillId="2" borderId="6" xfId="0" applyNumberFormat="1" applyFont="1" applyFill="1" applyBorder="1" applyAlignment="1">
      <alignment horizontal="center" vertical="center" wrapText="1"/>
    </xf>
    <xf numFmtId="49" fontId="3" fillId="2" borderId="107" xfId="0" applyNumberFormat="1" applyFont="1" applyFill="1" applyBorder="1" applyAlignment="1">
      <alignment horizontal="center" vertical="center"/>
    </xf>
    <xf numFmtId="0" fontId="3" fillId="2" borderId="112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62" xfId="0" applyFont="1" applyFill="1" applyBorder="1" applyAlignment="1">
      <alignment horizontal="center" vertical="center"/>
    </xf>
    <xf numFmtId="0" fontId="3" fillId="2" borderId="163" xfId="0" applyFont="1" applyFill="1" applyBorder="1" applyAlignment="1">
      <alignment horizontal="center" vertical="center"/>
    </xf>
    <xf numFmtId="0" fontId="3" fillId="2" borderId="159" xfId="0" applyFont="1" applyFill="1" applyBorder="1" applyAlignment="1">
      <alignment horizontal="center" vertical="center" wrapText="1"/>
    </xf>
    <xf numFmtId="0" fontId="3" fillId="2" borderId="107" xfId="0" applyFont="1" applyFill="1" applyBorder="1" applyAlignment="1">
      <alignment horizontal="center" vertical="center" wrapText="1"/>
    </xf>
    <xf numFmtId="49" fontId="3" fillId="2" borderId="107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49" fontId="23" fillId="2" borderId="6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49" fontId="3" fillId="2" borderId="144" xfId="0" applyNumberFormat="1" applyFont="1" applyFill="1" applyBorder="1" applyAlignment="1">
      <alignment vertical="center" wrapText="1"/>
    </xf>
    <xf numFmtId="49" fontId="3" fillId="2" borderId="30" xfId="0" applyNumberFormat="1" applyFont="1" applyFill="1" applyBorder="1" applyAlignment="1">
      <alignment vertical="center" wrapText="1"/>
    </xf>
    <xf numFmtId="49" fontId="3" fillId="2" borderId="31" xfId="0" applyNumberFormat="1" applyFont="1" applyFill="1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 wrapText="1"/>
    </xf>
    <xf numFmtId="49" fontId="3" fillId="2" borderId="144" xfId="0" applyNumberFormat="1" applyFont="1" applyFill="1" applyBorder="1" applyAlignment="1">
      <alignment vertical="center"/>
    </xf>
    <xf numFmtId="49" fontId="3" fillId="2" borderId="30" xfId="0" applyNumberFormat="1" applyFont="1" applyFill="1" applyBorder="1" applyAlignment="1">
      <alignment vertical="center"/>
    </xf>
    <xf numFmtId="49" fontId="3" fillId="2" borderId="31" xfId="0" applyNumberFormat="1" applyFont="1" applyFill="1" applyBorder="1" applyAlignment="1">
      <alignment vertical="center"/>
    </xf>
    <xf numFmtId="49" fontId="3" fillId="2" borderId="144" xfId="0" applyNumberFormat="1" applyFont="1" applyFill="1" applyBorder="1" applyAlignment="1">
      <alignment horizontal="center" vertical="center"/>
    </xf>
    <xf numFmtId="49" fontId="3" fillId="2" borderId="44" xfId="0" applyNumberFormat="1" applyFont="1" applyFill="1" applyBorder="1" applyAlignment="1">
      <alignment horizontal="center" vertical="center"/>
    </xf>
    <xf numFmtId="49" fontId="3" fillId="2" borderId="44" xfId="0" applyNumberFormat="1" applyFont="1" applyFill="1" applyBorder="1" applyAlignment="1">
      <alignment horizontal="center" vertical="center" wrapText="1"/>
    </xf>
    <xf numFmtId="0" fontId="3" fillId="2" borderId="170" xfId="0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/>
    </xf>
    <xf numFmtId="3" fontId="3" fillId="2" borderId="8" xfId="0" applyNumberFormat="1" applyFont="1" applyFill="1" applyBorder="1" applyAlignment="1">
      <alignment horizontal="center" vertical="center"/>
    </xf>
    <xf numFmtId="49" fontId="3" fillId="2" borderId="164" xfId="0" applyNumberFormat="1" applyFont="1" applyFill="1" applyBorder="1" applyAlignment="1">
      <alignment horizontal="center" vertical="center" wrapText="1"/>
    </xf>
    <xf numFmtId="0" fontId="3" fillId="2" borderId="112" xfId="0" applyFont="1" applyFill="1" applyBorder="1" applyAlignment="1">
      <alignment horizontal="center" vertical="center" wrapText="1"/>
    </xf>
    <xf numFmtId="0" fontId="3" fillId="2" borderId="206" xfId="0" applyFont="1" applyFill="1" applyBorder="1" applyAlignment="1">
      <alignment horizontal="center" vertical="center"/>
    </xf>
    <xf numFmtId="49" fontId="3" fillId="2" borderId="206" xfId="0" applyNumberFormat="1" applyFont="1" applyFill="1" applyBorder="1" applyAlignment="1">
      <alignment horizontal="center" vertical="center" wrapText="1"/>
    </xf>
    <xf numFmtId="0" fontId="3" fillId="2" borderId="141" xfId="0" applyFont="1" applyFill="1" applyBorder="1" applyAlignment="1">
      <alignment horizontal="center" vertical="center" wrapText="1"/>
    </xf>
    <xf numFmtId="49" fontId="22" fillId="2" borderId="11" xfId="0" applyNumberFormat="1" applyFont="1" applyFill="1" applyBorder="1" applyAlignment="1">
      <alignment horizontal="center" vertical="center" wrapText="1"/>
    </xf>
    <xf numFmtId="49" fontId="3" fillId="2" borderId="145" xfId="0" applyNumberFormat="1" applyFont="1" applyFill="1" applyBorder="1" applyAlignment="1">
      <alignment horizontal="center" vertical="center" wrapText="1"/>
    </xf>
    <xf numFmtId="3" fontId="3" fillId="2" borderId="107" xfId="0" applyNumberFormat="1" applyFont="1" applyFill="1" applyBorder="1" applyAlignment="1">
      <alignment horizontal="center" vertical="center" wrapText="1"/>
    </xf>
    <xf numFmtId="49" fontId="3" fillId="2" borderId="141" xfId="0" applyNumberFormat="1" applyFont="1" applyFill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3" fontId="3" fillId="0" borderId="107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107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1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/>
    <xf numFmtId="0" fontId="3" fillId="0" borderId="3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49" fontId="3" fillId="0" borderId="44" xfId="0" applyNumberFormat="1" applyFont="1" applyBorder="1" applyAlignment="1">
      <alignment horizontal="center" vertical="center" wrapText="1"/>
    </xf>
    <xf numFmtId="49" fontId="22" fillId="0" borderId="6" xfId="0" applyNumberFormat="1" applyFont="1" applyBorder="1" applyAlignment="1">
      <alignment horizontal="center" vertical="center" wrapText="1"/>
    </xf>
    <xf numFmtId="0" fontId="3" fillId="0" borderId="107" xfId="0" applyFont="1" applyBorder="1" applyAlignment="1">
      <alignment horizontal="center" vertical="center"/>
    </xf>
    <xf numFmtId="49" fontId="3" fillId="0" borderId="107" xfId="0" applyNumberFormat="1" applyFont="1" applyBorder="1" applyAlignment="1">
      <alignment horizontal="center" vertical="center"/>
    </xf>
    <xf numFmtId="3" fontId="3" fillId="0" borderId="96" xfId="0" applyNumberFormat="1" applyFont="1" applyBorder="1" applyAlignment="1">
      <alignment horizontal="center" vertical="center"/>
    </xf>
    <xf numFmtId="3" fontId="3" fillId="0" borderId="44" xfId="0" applyNumberFormat="1" applyFont="1" applyBorder="1" applyAlignment="1">
      <alignment horizontal="center" vertical="center"/>
    </xf>
    <xf numFmtId="3" fontId="3" fillId="0" borderId="142" xfId="0" applyNumberFormat="1" applyFont="1" applyBorder="1" applyAlignment="1">
      <alignment horizontal="center" vertical="center"/>
    </xf>
    <xf numFmtId="0" fontId="3" fillId="0" borderId="167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142" xfId="0" applyFont="1" applyBorder="1" applyAlignment="1">
      <alignment horizontal="center" vertical="center"/>
    </xf>
    <xf numFmtId="49" fontId="3" fillId="0" borderId="140" xfId="0" applyNumberFormat="1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74" xfId="0" applyFont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49" fontId="22" fillId="2" borderId="31" xfId="0" applyNumberFormat="1" applyFont="1" applyFill="1" applyBorder="1" applyAlignment="1">
      <alignment horizontal="center" vertical="center" wrapText="1"/>
    </xf>
    <xf numFmtId="0" fontId="3" fillId="2" borderId="167" xfId="0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wrapText="1"/>
    </xf>
    <xf numFmtId="49" fontId="3" fillId="2" borderId="207" xfId="0" applyNumberFormat="1" applyFont="1" applyFill="1" applyBorder="1" applyAlignment="1">
      <alignment horizontal="center" vertical="center" wrapText="1"/>
    </xf>
    <xf numFmtId="0" fontId="3" fillId="2" borderId="208" xfId="0" applyFont="1" applyFill="1" applyBorder="1" applyAlignment="1">
      <alignment horizontal="center" vertical="center" wrapText="1"/>
    </xf>
    <xf numFmtId="0" fontId="3" fillId="2" borderId="209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49" fontId="24" fillId="2" borderId="177" xfId="0" applyNumberFormat="1" applyFont="1" applyFill="1" applyBorder="1" applyAlignment="1">
      <alignment horizontal="center" vertical="center" wrapText="1"/>
    </xf>
    <xf numFmtId="0" fontId="23" fillId="2" borderId="107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8" fillId="2" borderId="74" xfId="0" applyFont="1" applyFill="1" applyBorder="1" applyAlignment="1">
      <alignment horizontal="center" vertical="center"/>
    </xf>
    <xf numFmtId="0" fontId="8" fillId="2" borderId="75" xfId="0" applyFont="1" applyFill="1" applyBorder="1" applyAlignment="1">
      <alignment horizontal="center" vertical="center"/>
    </xf>
    <xf numFmtId="0" fontId="8" fillId="2" borderId="101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8" fillId="2" borderId="132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2" borderId="134" xfId="0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/>
    </xf>
    <xf numFmtId="3" fontId="7" fillId="2" borderId="3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3" fontId="7" fillId="2" borderId="106" xfId="0" applyNumberFormat="1" applyFont="1" applyFill="1" applyBorder="1" applyAlignment="1">
      <alignment horizontal="center" vertical="center"/>
    </xf>
    <xf numFmtId="49" fontId="7" fillId="2" borderId="112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17" fillId="2" borderId="6" xfId="0" applyNumberFormat="1" applyFont="1" applyFill="1" applyBorder="1" applyAlignment="1">
      <alignment horizontal="center" vertical="center" wrapText="1"/>
    </xf>
    <xf numFmtId="49" fontId="7" fillId="2" borderId="137" xfId="0" applyNumberFormat="1" applyFont="1" applyFill="1" applyBorder="1" applyAlignment="1">
      <alignment horizontal="center" vertical="center"/>
    </xf>
    <xf numFmtId="0" fontId="7" fillId="2" borderId="11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06" xfId="0" applyFont="1" applyFill="1" applyBorder="1" applyAlignment="1">
      <alignment horizontal="center" vertical="center"/>
    </xf>
    <xf numFmtId="0" fontId="7" fillId="2" borderId="114" xfId="0" applyFont="1" applyFill="1" applyBorder="1" applyAlignment="1">
      <alignment horizontal="center" vertical="center"/>
    </xf>
    <xf numFmtId="0" fontId="7" fillId="2" borderId="150" xfId="0" applyFont="1" applyFill="1" applyBorder="1" applyAlignment="1">
      <alignment horizontal="center" vertical="center" wrapText="1"/>
    </xf>
    <xf numFmtId="0" fontId="7" fillId="2" borderId="107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 wrapText="1"/>
    </xf>
    <xf numFmtId="0" fontId="7" fillId="2" borderId="16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0" xfId="0" applyFont="1" applyFill="1"/>
    <xf numFmtId="0" fontId="7" fillId="2" borderId="3" xfId="0" applyFont="1" applyFill="1" applyBorder="1" applyAlignment="1">
      <alignment horizontal="center" vertical="center" wrapText="1"/>
    </xf>
    <xf numFmtId="3" fontId="7" fillId="2" borderId="5" xfId="0" applyNumberFormat="1" applyFont="1" applyFill="1" applyBorder="1" applyAlignment="1">
      <alignment horizontal="center" vertical="center"/>
    </xf>
    <xf numFmtId="3" fontId="7" fillId="2" borderId="6" xfId="0" applyNumberFormat="1" applyFont="1" applyFill="1" applyBorder="1" applyAlignment="1">
      <alignment horizontal="center" vertical="center"/>
    </xf>
    <xf numFmtId="3" fontId="7" fillId="2" borderId="107" xfId="0" applyNumberFormat="1" applyFont="1" applyFill="1" applyBorder="1" applyAlignment="1">
      <alignment horizontal="center" vertical="center"/>
    </xf>
    <xf numFmtId="49" fontId="7" fillId="2" borderId="112" xfId="0" applyNumberFormat="1" applyFont="1" applyFill="1" applyBorder="1" applyAlignment="1">
      <alignment horizontal="center" vertical="center" wrapText="1"/>
    </xf>
    <xf numFmtId="49" fontId="7" fillId="2" borderId="107" xfId="0" applyNumberFormat="1" applyFont="1" applyFill="1" applyBorder="1" applyAlignment="1">
      <alignment horizontal="center" vertical="center"/>
    </xf>
    <xf numFmtId="0" fontId="7" fillId="2" borderId="112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62" xfId="0" applyFont="1" applyFill="1" applyBorder="1" applyAlignment="1">
      <alignment horizontal="center" vertical="center"/>
    </xf>
    <xf numFmtId="49" fontId="7" fillId="2" borderId="176" xfId="0" applyNumberFormat="1" applyFont="1" applyFill="1" applyBorder="1" applyAlignment="1">
      <alignment horizontal="center" vertical="center" wrapText="1"/>
    </xf>
    <xf numFmtId="49" fontId="7" fillId="2" borderId="31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63" xfId="0" applyFont="1" applyFill="1" applyBorder="1" applyAlignment="1">
      <alignment horizontal="center" vertical="center"/>
    </xf>
    <xf numFmtId="0" fontId="7" fillId="2" borderId="159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/>
    </xf>
    <xf numFmtId="0" fontId="7" fillId="2" borderId="107" xfId="0" applyFont="1" applyFill="1" applyBorder="1" applyAlignment="1">
      <alignment horizontal="center" vertical="center" wrapText="1"/>
    </xf>
    <xf numFmtId="49" fontId="7" fillId="2" borderId="107" xfId="0" applyNumberFormat="1" applyFont="1" applyFill="1" applyBorder="1" applyAlignment="1">
      <alignment horizontal="center" vertical="center" wrapText="1"/>
    </xf>
    <xf numFmtId="49" fontId="7" fillId="2" borderId="177" xfId="0" applyNumberFormat="1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187" xfId="0" applyFont="1" applyFill="1" applyBorder="1" applyAlignment="1">
      <alignment horizontal="center" vertical="center"/>
    </xf>
    <xf numFmtId="0" fontId="7" fillId="2" borderId="164" xfId="0" applyFont="1" applyFill="1" applyBorder="1" applyAlignment="1">
      <alignment horizontal="center" vertical="center"/>
    </xf>
    <xf numFmtId="0" fontId="7" fillId="2" borderId="191" xfId="0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 wrapText="1"/>
    </xf>
    <xf numFmtId="3" fontId="7" fillId="2" borderId="44" xfId="0" applyNumberFormat="1" applyFont="1" applyFill="1" applyBorder="1" applyAlignment="1">
      <alignment horizontal="center" vertical="center"/>
    </xf>
    <xf numFmtId="0" fontId="7" fillId="2" borderId="176" xfId="0" applyFont="1" applyFill="1" applyBorder="1" applyAlignment="1">
      <alignment horizontal="center" vertical="center"/>
    </xf>
    <xf numFmtId="49" fontId="7" fillId="2" borderId="164" xfId="0" applyNumberFormat="1" applyFont="1" applyFill="1" applyBorder="1" applyAlignment="1">
      <alignment horizontal="center" vertical="center" wrapText="1"/>
    </xf>
    <xf numFmtId="0" fontId="7" fillId="2" borderId="191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3" fontId="7" fillId="2" borderId="73" xfId="0" applyNumberFormat="1" applyFont="1" applyFill="1" applyBorder="1" applyAlignment="1">
      <alignment horizontal="center" vertical="center"/>
    </xf>
    <xf numFmtId="3" fontId="7" fillId="2" borderId="189" xfId="0" applyNumberFormat="1" applyFont="1" applyFill="1" applyBorder="1" applyAlignment="1">
      <alignment horizontal="center" vertical="center"/>
    </xf>
    <xf numFmtId="3" fontId="7" fillId="2" borderId="31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3" fontId="7" fillId="2" borderId="187" xfId="0" applyNumberFormat="1" applyFont="1" applyFill="1" applyBorder="1" applyAlignment="1">
      <alignment horizontal="center" vertical="center"/>
    </xf>
    <xf numFmtId="49" fontId="7" fillId="2" borderId="144" xfId="0" applyNumberFormat="1" applyFont="1" applyFill="1" applyBorder="1" applyAlignment="1">
      <alignment horizontal="center" vertical="center" wrapText="1"/>
    </xf>
    <xf numFmtId="49" fontId="7" fillId="2" borderId="30" xfId="0" applyNumberFormat="1" applyFont="1" applyFill="1" applyBorder="1" applyAlignment="1">
      <alignment vertical="center" wrapText="1"/>
    </xf>
    <xf numFmtId="0" fontId="7" fillId="2" borderId="188" xfId="0" applyFont="1" applyFill="1" applyBorder="1" applyAlignment="1">
      <alignment horizontal="center" vertical="center"/>
    </xf>
    <xf numFmtId="3" fontId="7" fillId="2" borderId="188" xfId="0" applyNumberFormat="1" applyFont="1" applyFill="1" applyBorder="1" applyAlignment="1">
      <alignment horizontal="center" vertical="center"/>
    </xf>
    <xf numFmtId="49" fontId="7" fillId="2" borderId="144" xfId="0" applyNumberFormat="1" applyFont="1" applyFill="1" applyBorder="1" applyAlignment="1">
      <alignment vertical="center" wrapText="1"/>
    </xf>
    <xf numFmtId="3" fontId="7" fillId="2" borderId="11" xfId="0" applyNumberFormat="1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177" xfId="0" applyFont="1" applyFill="1" applyBorder="1" applyAlignment="1">
      <alignment horizontal="center" vertical="center"/>
    </xf>
    <xf numFmtId="3" fontId="7" fillId="2" borderId="164" xfId="0" applyNumberFormat="1" applyFont="1" applyFill="1" applyBorder="1" applyAlignment="1">
      <alignment horizontal="center" vertical="center"/>
    </xf>
    <xf numFmtId="49" fontId="7" fillId="2" borderId="142" xfId="0" applyNumberFormat="1" applyFont="1" applyFill="1" applyBorder="1" applyAlignment="1">
      <alignment horizontal="center" vertical="center" wrapText="1"/>
    </xf>
    <xf numFmtId="49" fontId="7" fillId="2" borderId="140" xfId="0" applyNumberFormat="1" applyFont="1" applyFill="1" applyBorder="1" applyAlignment="1">
      <alignment horizontal="center" vertical="center" wrapText="1"/>
    </xf>
    <xf numFmtId="49" fontId="7" fillId="2" borderId="44" xfId="0" applyNumberFormat="1" applyFont="1" applyFill="1" applyBorder="1" applyAlignment="1">
      <alignment horizontal="center" vertical="center" wrapText="1"/>
    </xf>
    <xf numFmtId="49" fontId="17" fillId="2" borderId="44" xfId="0" applyNumberFormat="1" applyFont="1" applyFill="1" applyBorder="1" applyAlignment="1">
      <alignment horizontal="center" vertical="center" wrapText="1"/>
    </xf>
    <xf numFmtId="0" fontId="7" fillId="2" borderId="140" xfId="0" applyFont="1" applyFill="1" applyBorder="1" applyAlignment="1">
      <alignment horizontal="center" vertical="center"/>
    </xf>
    <xf numFmtId="3" fontId="7" fillId="2" borderId="142" xfId="0" applyNumberFormat="1" applyFont="1" applyFill="1" applyBorder="1" applyAlignment="1">
      <alignment horizontal="center" vertical="center"/>
    </xf>
    <xf numFmtId="49" fontId="7" fillId="2" borderId="140" xfId="0" applyNumberFormat="1" applyFont="1" applyFill="1" applyBorder="1" applyAlignment="1">
      <alignment horizontal="center" vertical="center"/>
    </xf>
    <xf numFmtId="0" fontId="7" fillId="2" borderId="186" xfId="0" applyFont="1" applyFill="1" applyBorder="1" applyAlignment="1">
      <alignment horizontal="center" vertical="center"/>
    </xf>
    <xf numFmtId="49" fontId="7" fillId="2" borderId="164" xfId="0" applyNumberFormat="1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49" fontId="7" fillId="2" borderId="31" xfId="0" applyNumberFormat="1" applyFont="1" applyFill="1" applyBorder="1" applyAlignment="1">
      <alignment horizontal="center" vertical="center"/>
    </xf>
    <xf numFmtId="0" fontId="7" fillId="2" borderId="112" xfId="0" applyFont="1" applyFill="1" applyBorder="1" applyAlignment="1">
      <alignment horizontal="center" vertical="center" wrapText="1"/>
    </xf>
    <xf numFmtId="0" fontId="7" fillId="2" borderId="133" xfId="0" applyFont="1" applyFill="1" applyBorder="1" applyAlignment="1">
      <alignment horizontal="center" vertical="center"/>
    </xf>
    <xf numFmtId="3" fontId="7" fillId="2" borderId="177" xfId="0" applyNumberFormat="1" applyFont="1" applyFill="1" applyBorder="1" applyAlignment="1">
      <alignment horizontal="center" vertical="center"/>
    </xf>
    <xf numFmtId="49" fontId="7" fillId="2" borderId="177" xfId="0" applyNumberFormat="1" applyFont="1" applyFill="1" applyBorder="1" applyAlignment="1">
      <alignment horizontal="center" vertical="center"/>
    </xf>
    <xf numFmtId="49" fontId="7" fillId="2" borderId="141" xfId="0" applyNumberFormat="1" applyFont="1" applyFill="1" applyBorder="1" applyAlignment="1">
      <alignment horizontal="center" vertical="center" wrapText="1"/>
    </xf>
    <xf numFmtId="49" fontId="7" fillId="2" borderId="145" xfId="0" applyNumberFormat="1" applyFont="1" applyFill="1" applyBorder="1" applyAlignment="1">
      <alignment horizontal="center" vertical="center" wrapText="1"/>
    </xf>
    <xf numFmtId="3" fontId="7" fillId="2" borderId="107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/>
    </xf>
    <xf numFmtId="49" fontId="7" fillId="2" borderId="30" xfId="0" applyNumberFormat="1" applyFont="1" applyFill="1" applyBorder="1" applyAlignment="1">
      <alignment horizontal="center" vertical="center" wrapText="1"/>
    </xf>
    <xf numFmtId="49" fontId="7" fillId="2" borderId="31" xfId="0" applyNumberFormat="1" applyFont="1" applyFill="1" applyBorder="1" applyAlignment="1">
      <alignment vertical="center" wrapText="1"/>
    </xf>
    <xf numFmtId="3" fontId="7" fillId="2" borderId="186" xfId="0" applyNumberFormat="1" applyFont="1" applyFill="1" applyBorder="1" applyAlignment="1">
      <alignment horizontal="center" vertical="center"/>
    </xf>
    <xf numFmtId="3" fontId="7" fillId="2" borderId="97" xfId="0" applyNumberFormat="1" applyFont="1" applyFill="1" applyBorder="1" applyAlignment="1">
      <alignment horizontal="center" vertical="center"/>
    </xf>
    <xf numFmtId="3" fontId="7" fillId="2" borderId="143" xfId="0" applyNumberFormat="1" applyFont="1" applyFill="1" applyBorder="1" applyAlignment="1">
      <alignment horizontal="center" vertical="center"/>
    </xf>
    <xf numFmtId="49" fontId="7" fillId="2" borderId="141" xfId="0" applyNumberFormat="1" applyFont="1" applyFill="1" applyBorder="1" applyAlignment="1">
      <alignment horizontal="center" vertical="center"/>
    </xf>
    <xf numFmtId="49" fontId="7" fillId="2" borderId="11" xfId="0" applyNumberFormat="1" applyFont="1" applyFill="1" applyBorder="1" applyAlignment="1">
      <alignment horizontal="center" vertical="center"/>
    </xf>
    <xf numFmtId="49" fontId="17" fillId="2" borderId="11" xfId="0" applyNumberFormat="1" applyFont="1" applyFill="1" applyBorder="1" applyAlignment="1">
      <alignment horizontal="center" vertical="center" wrapText="1"/>
    </xf>
    <xf numFmtId="49" fontId="7" fillId="2" borderId="143" xfId="0" applyNumberFormat="1" applyFont="1" applyFill="1" applyBorder="1" applyAlignment="1">
      <alignment horizontal="center" vertical="center" wrapText="1"/>
    </xf>
    <xf numFmtId="0" fontId="7" fillId="2" borderId="141" xfId="0" applyFont="1" applyFill="1" applyBorder="1" applyAlignment="1">
      <alignment horizontal="center" vertical="center"/>
    </xf>
    <xf numFmtId="3" fontId="7" fillId="2" borderId="178" xfId="0" applyNumberFormat="1" applyFont="1" applyFill="1" applyBorder="1" applyAlignment="1">
      <alignment horizontal="center" vertical="center"/>
    </xf>
    <xf numFmtId="3" fontId="7" fillId="2" borderId="182" xfId="0" applyNumberFormat="1" applyFont="1" applyFill="1" applyBorder="1" applyAlignment="1">
      <alignment horizontal="center" vertical="center"/>
    </xf>
    <xf numFmtId="3" fontId="7" fillId="2" borderId="179" xfId="0" applyNumberFormat="1" applyFont="1" applyFill="1" applyBorder="1" applyAlignment="1">
      <alignment horizontal="center" vertical="center"/>
    </xf>
    <xf numFmtId="49" fontId="7" fillId="2" borderId="180" xfId="0" applyNumberFormat="1" applyFont="1" applyFill="1" applyBorder="1" applyAlignment="1">
      <alignment horizontal="center" vertical="center"/>
    </xf>
    <xf numFmtId="49" fontId="7" fillId="2" borderId="181" xfId="0" applyNumberFormat="1" applyFont="1" applyFill="1" applyBorder="1" applyAlignment="1">
      <alignment vertical="center" wrapText="1"/>
    </xf>
    <xf numFmtId="49" fontId="7" fillId="2" borderId="182" xfId="0" applyNumberFormat="1" applyFont="1" applyFill="1" applyBorder="1" applyAlignment="1">
      <alignment vertical="center"/>
    </xf>
    <xf numFmtId="49" fontId="7" fillId="2" borderId="179" xfId="0" applyNumberFormat="1" applyFont="1" applyFill="1" applyBorder="1" applyAlignment="1">
      <alignment horizontal="center" vertical="center" wrapText="1"/>
    </xf>
    <xf numFmtId="0" fontId="7" fillId="2" borderId="181" xfId="0" applyFont="1" applyFill="1" applyBorder="1" applyAlignment="1">
      <alignment horizontal="center" vertical="center"/>
    </xf>
    <xf numFmtId="0" fontId="7" fillId="2" borderId="183" xfId="0" applyFont="1" applyFill="1" applyBorder="1" applyAlignment="1">
      <alignment horizontal="center" vertical="center"/>
    </xf>
    <xf numFmtId="0" fontId="7" fillId="2" borderId="184" xfId="0" applyFont="1" applyFill="1" applyBorder="1" applyAlignment="1">
      <alignment horizontal="center" vertical="center"/>
    </xf>
    <xf numFmtId="49" fontId="7" fillId="2" borderId="180" xfId="0" applyNumberFormat="1" applyFont="1" applyFill="1" applyBorder="1" applyAlignment="1">
      <alignment vertical="center"/>
    </xf>
    <xf numFmtId="49" fontId="7" fillId="2" borderId="185" xfId="0" applyNumberFormat="1" applyFont="1" applyFill="1" applyBorder="1" applyAlignment="1">
      <alignment vertical="center" wrapText="1"/>
    </xf>
    <xf numFmtId="49" fontId="7" fillId="2" borderId="31" xfId="0" applyNumberFormat="1" applyFont="1" applyFill="1" applyBorder="1" applyAlignment="1">
      <alignment vertical="center"/>
    </xf>
    <xf numFmtId="49" fontId="7" fillId="2" borderId="176" xfId="0" applyNumberFormat="1" applyFont="1" applyFill="1" applyBorder="1" applyAlignment="1">
      <alignment vertical="center" wrapText="1"/>
    </xf>
    <xf numFmtId="49" fontId="7" fillId="2" borderId="144" xfId="0" applyNumberFormat="1" applyFont="1" applyFill="1" applyBorder="1" applyAlignment="1">
      <alignment horizontal="center" vertical="center"/>
    </xf>
    <xf numFmtId="49" fontId="7" fillId="2" borderId="30" xfId="0" applyNumberFormat="1" applyFont="1" applyFill="1" applyBorder="1" applyAlignment="1">
      <alignment vertical="center"/>
    </xf>
    <xf numFmtId="0" fontId="7" fillId="2" borderId="31" xfId="0" applyFont="1" applyFill="1" applyBorder="1" applyAlignment="1">
      <alignment horizontal="center" vertical="center"/>
    </xf>
    <xf numFmtId="49" fontId="7" fillId="2" borderId="44" xfId="0" applyNumberFormat="1" applyFont="1" applyFill="1" applyBorder="1" applyAlignment="1">
      <alignment horizontal="center" vertical="center"/>
    </xf>
    <xf numFmtId="0" fontId="7" fillId="2" borderId="193" xfId="0" applyFont="1" applyFill="1" applyBorder="1" applyAlignment="1">
      <alignment horizontal="center" vertical="center" wrapText="1"/>
    </xf>
    <xf numFmtId="0" fontId="7" fillId="2" borderId="97" xfId="0" applyFont="1" applyFill="1" applyBorder="1" applyAlignment="1">
      <alignment horizontal="center" vertical="center" wrapText="1"/>
    </xf>
    <xf numFmtId="0" fontId="7" fillId="2" borderId="192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/>
    </xf>
    <xf numFmtId="0" fontId="7" fillId="2" borderId="195" xfId="0" applyFont="1" applyFill="1" applyBorder="1" applyAlignment="1">
      <alignment horizontal="center" vertical="center" wrapText="1"/>
    </xf>
    <xf numFmtId="0" fontId="7" fillId="2" borderId="177" xfId="0" applyFont="1" applyFill="1" applyBorder="1" applyAlignment="1">
      <alignment horizontal="center" vertical="center" wrapText="1"/>
    </xf>
    <xf numFmtId="3" fontId="7" fillId="2" borderId="190" xfId="0" applyNumberFormat="1" applyFont="1" applyFill="1" applyBorder="1" applyAlignment="1">
      <alignment horizontal="center" vertical="center"/>
    </xf>
    <xf numFmtId="49" fontId="7" fillId="2" borderId="188" xfId="0" applyNumberFormat="1" applyFont="1" applyFill="1" applyBorder="1" applyAlignment="1">
      <alignment horizontal="center" vertical="center" wrapText="1"/>
    </xf>
    <xf numFmtId="49" fontId="7" fillId="2" borderId="29" xfId="0" applyNumberFormat="1" applyFont="1" applyFill="1" applyBorder="1" applyAlignment="1">
      <alignment vertical="center" wrapText="1"/>
    </xf>
    <xf numFmtId="49" fontId="7" fillId="2" borderId="0" xfId="0" applyNumberFormat="1" applyFont="1" applyFill="1" applyBorder="1" applyAlignment="1">
      <alignment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142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49" fontId="7" fillId="2" borderId="196" xfId="0" applyNumberFormat="1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49" fontId="7" fillId="2" borderId="197" xfId="0" applyNumberFormat="1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49" fontId="1" fillId="2" borderId="107" xfId="0" applyNumberFormat="1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194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3" fontId="7" fillId="2" borderId="96" xfId="0" applyNumberFormat="1" applyFont="1" applyFill="1" applyBorder="1" applyAlignment="1">
      <alignment horizontal="center" vertical="center"/>
    </xf>
    <xf numFmtId="0" fontId="7" fillId="2" borderId="167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1" fillId="2" borderId="0" xfId="0" applyFont="1" applyFill="1"/>
    <xf numFmtId="3" fontId="7" fillId="2" borderId="73" xfId="0" applyNumberFormat="1" applyFont="1" applyFill="1" applyBorder="1" applyAlignment="1">
      <alignment vertical="center"/>
    </xf>
    <xf numFmtId="3" fontId="7" fillId="2" borderId="188" xfId="0" applyNumberFormat="1" applyFont="1" applyFill="1" applyBorder="1" applyAlignment="1">
      <alignment vertical="center"/>
    </xf>
    <xf numFmtId="3" fontId="7" fillId="2" borderId="31" xfId="0" applyNumberFormat="1" applyFont="1" applyFill="1" applyBorder="1" applyAlignment="1">
      <alignment vertical="center"/>
    </xf>
    <xf numFmtId="3" fontId="7" fillId="2" borderId="107" xfId="0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112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7" fillId="2" borderId="107" xfId="0" applyFont="1" applyFill="1" applyBorder="1" applyAlignment="1">
      <alignment vertical="center"/>
    </xf>
    <xf numFmtId="0" fontId="7" fillId="2" borderId="31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 wrapText="1"/>
    </xf>
    <xf numFmtId="0" fontId="7" fillId="2" borderId="11" xfId="0" applyFont="1" applyFill="1" applyBorder="1" applyAlignment="1">
      <alignment vertical="center" wrapText="1"/>
    </xf>
    <xf numFmtId="0" fontId="7" fillId="2" borderId="0" xfId="0" applyFont="1" applyFill="1" applyAlignment="1"/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3" fontId="7" fillId="2" borderId="210" xfId="0" applyNumberFormat="1" applyFont="1" applyFill="1" applyBorder="1" applyAlignment="1">
      <alignment horizontal="center" vertical="center"/>
    </xf>
    <xf numFmtId="3" fontId="7" fillId="2" borderId="211" xfId="0" applyNumberFormat="1" applyFont="1" applyFill="1" applyBorder="1" applyAlignment="1">
      <alignment horizontal="center" vertical="center"/>
    </xf>
    <xf numFmtId="0" fontId="1" fillId="2" borderId="212" xfId="0" applyFont="1" applyFill="1" applyBorder="1"/>
    <xf numFmtId="0" fontId="1" fillId="2" borderId="72" xfId="0" applyFont="1" applyFill="1" applyBorder="1"/>
    <xf numFmtId="0" fontId="1" fillId="2" borderId="92" xfId="0" applyFont="1" applyFill="1" applyBorder="1"/>
    <xf numFmtId="0" fontId="1" fillId="2" borderId="213" xfId="0" applyFont="1" applyFill="1" applyBorder="1"/>
    <xf numFmtId="49" fontId="7" fillId="2" borderId="41" xfId="0" applyNumberFormat="1" applyFont="1" applyFill="1" applyBorder="1" applyAlignment="1">
      <alignment horizontal="center" vertical="center"/>
    </xf>
    <xf numFmtId="49" fontId="7" fillId="2" borderId="213" xfId="0" applyNumberFormat="1" applyFont="1" applyFill="1" applyBorder="1" applyAlignment="1">
      <alignment horizontal="center" vertical="center" wrapText="1"/>
    </xf>
    <xf numFmtId="49" fontId="7" fillId="2" borderId="72" xfId="0" applyNumberFormat="1" applyFont="1" applyFill="1" applyBorder="1" applyAlignment="1">
      <alignment vertical="center" wrapText="1"/>
    </xf>
    <xf numFmtId="49" fontId="17" fillId="2" borderId="72" xfId="0" applyNumberFormat="1" applyFont="1" applyFill="1" applyBorder="1" applyAlignment="1">
      <alignment horizontal="center" vertical="center" wrapText="1"/>
    </xf>
    <xf numFmtId="49" fontId="7" fillId="2" borderId="214" xfId="0" applyNumberFormat="1" applyFont="1" applyFill="1" applyBorder="1" applyAlignment="1">
      <alignment horizontal="center" vertical="center" wrapText="1"/>
    </xf>
    <xf numFmtId="49" fontId="7" fillId="2" borderId="213" xfId="0" applyNumberFormat="1" applyFont="1" applyFill="1" applyBorder="1" applyAlignment="1">
      <alignment vertical="center" wrapText="1"/>
    </xf>
    <xf numFmtId="49" fontId="7" fillId="2" borderId="214" xfId="0" applyNumberFormat="1" applyFont="1" applyFill="1" applyBorder="1" applyAlignment="1">
      <alignment vertical="center"/>
    </xf>
    <xf numFmtId="49" fontId="7" fillId="2" borderId="72" xfId="0" applyNumberFormat="1" applyFont="1" applyFill="1" applyBorder="1" applyAlignment="1">
      <alignment horizontal="center" vertical="center"/>
    </xf>
    <xf numFmtId="49" fontId="7" fillId="2" borderId="72" xfId="0" applyNumberFormat="1" applyFont="1" applyFill="1" applyBorder="1" applyAlignment="1">
      <alignment horizontal="center" vertical="center" wrapText="1"/>
    </xf>
    <xf numFmtId="49" fontId="7" fillId="2" borderId="213" xfId="0" applyNumberFormat="1" applyFont="1" applyFill="1" applyBorder="1" applyAlignment="1">
      <alignment horizontal="center" vertical="center"/>
    </xf>
    <xf numFmtId="49" fontId="7" fillId="2" borderId="149" xfId="0" applyNumberFormat="1" applyFont="1" applyFill="1" applyBorder="1" applyAlignment="1">
      <alignment horizontal="center" vertical="center"/>
    </xf>
    <xf numFmtId="0" fontId="7" fillId="2" borderId="136" xfId="0" applyFont="1" applyFill="1" applyBorder="1" applyAlignment="1">
      <alignment horizontal="center" vertical="center"/>
    </xf>
    <xf numFmtId="3" fontId="7" fillId="2" borderId="8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vertical="center"/>
    </xf>
    <xf numFmtId="0" fontId="7" fillId="2" borderId="72" xfId="0" applyFont="1" applyFill="1" applyBorder="1" applyAlignment="1">
      <alignment horizontal="center" vertical="center"/>
    </xf>
    <xf numFmtId="0" fontId="7" fillId="2" borderId="72" xfId="0" applyFont="1" applyFill="1" applyBorder="1" applyAlignment="1">
      <alignment horizontal="center" vertical="center" wrapText="1"/>
    </xf>
    <xf numFmtId="49" fontId="11" fillId="2" borderId="72" xfId="0" applyNumberFormat="1" applyFont="1" applyFill="1" applyBorder="1" applyAlignment="1">
      <alignment horizontal="center" vertical="center" wrapText="1"/>
    </xf>
    <xf numFmtId="0" fontId="7" fillId="2" borderId="72" xfId="0" applyFont="1" applyFill="1" applyBorder="1" applyAlignment="1">
      <alignment vertical="center"/>
    </xf>
    <xf numFmtId="3" fontId="7" fillId="2" borderId="72" xfId="0" applyNumberFormat="1" applyFont="1" applyFill="1" applyBorder="1" applyAlignment="1">
      <alignment horizontal="center" vertical="center" wrapText="1"/>
    </xf>
    <xf numFmtId="3" fontId="7" fillId="2" borderId="30" xfId="0" applyNumberFormat="1" applyFont="1" applyFill="1" applyBorder="1" applyAlignment="1">
      <alignment horizontal="center" vertical="center"/>
    </xf>
    <xf numFmtId="49" fontId="7" fillId="2" borderId="30" xfId="0" applyNumberFormat="1" applyFont="1" applyFill="1" applyBorder="1" applyAlignment="1">
      <alignment horizontal="center" vertical="center"/>
    </xf>
    <xf numFmtId="0" fontId="7" fillId="2" borderId="72" xfId="0" applyFont="1" applyFill="1" applyBorder="1" applyAlignment="1">
      <alignment vertical="center" wrapText="1"/>
    </xf>
    <xf numFmtId="49" fontId="7" fillId="2" borderId="72" xfId="0" applyNumberFormat="1" applyFont="1" applyFill="1" applyBorder="1" applyAlignment="1">
      <alignment vertical="center"/>
    </xf>
    <xf numFmtId="0" fontId="3" fillId="2" borderId="72" xfId="0" applyFont="1" applyFill="1" applyBorder="1" applyAlignment="1">
      <alignment horizontal="center" vertical="center" wrapText="1"/>
    </xf>
    <xf numFmtId="3" fontId="7" fillId="2" borderId="176" xfId="0" applyNumberFormat="1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17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3" fontId="7" fillId="2" borderId="72" xfId="0" applyNumberFormat="1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14" fontId="7" fillId="0" borderId="103" xfId="0" applyNumberFormat="1" applyFont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49" fontId="7" fillId="2" borderId="215" xfId="0" applyNumberFormat="1" applyFont="1" applyFill="1" applyBorder="1" applyAlignment="1">
      <alignment horizontal="center" vertical="center" wrapText="1"/>
    </xf>
    <xf numFmtId="49" fontId="7" fillId="2" borderId="215" xfId="0" applyNumberFormat="1" applyFont="1" applyFill="1" applyBorder="1" applyAlignment="1">
      <alignment horizontal="center" vertical="center"/>
    </xf>
    <xf numFmtId="0" fontId="7" fillId="2" borderId="215" xfId="0" applyFont="1" applyFill="1" applyBorder="1" applyAlignment="1">
      <alignment horizontal="center" vertical="center" wrapText="1"/>
    </xf>
    <xf numFmtId="0" fontId="7" fillId="2" borderId="215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/>
    </xf>
    <xf numFmtId="49" fontId="7" fillId="5" borderId="6" xfId="0" applyNumberFormat="1" applyFont="1" applyFill="1" applyBorder="1" applyAlignment="1">
      <alignment horizontal="center" vertical="center"/>
    </xf>
    <xf numFmtId="49" fontId="17" fillId="5" borderId="6" xfId="0" applyNumberFormat="1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49" fontId="7" fillId="5" borderId="6" xfId="0" applyNumberFormat="1" applyFont="1" applyFill="1" applyBorder="1" applyAlignment="1">
      <alignment horizontal="center" vertical="center" wrapText="1"/>
    </xf>
    <xf numFmtId="0" fontId="7" fillId="5" borderId="0" xfId="0" applyFont="1" applyFill="1"/>
    <xf numFmtId="3" fontId="7" fillId="5" borderId="5" xfId="0" applyNumberFormat="1" applyFont="1" applyFill="1" applyBorder="1" applyAlignment="1">
      <alignment horizontal="center" vertical="center"/>
    </xf>
    <xf numFmtId="3" fontId="7" fillId="5" borderId="6" xfId="0" applyNumberFormat="1" applyFont="1" applyFill="1" applyBorder="1" applyAlignment="1">
      <alignment horizontal="center" vertical="center"/>
    </xf>
    <xf numFmtId="3" fontId="7" fillId="5" borderId="107" xfId="0" applyNumberFormat="1" applyFont="1" applyFill="1" applyBorder="1" applyAlignment="1">
      <alignment horizontal="center" vertical="center"/>
    </xf>
    <xf numFmtId="0" fontId="7" fillId="5" borderId="112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 wrapText="1"/>
    </xf>
    <xf numFmtId="49" fontId="7" fillId="5" borderId="107" xfId="0" applyNumberFormat="1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1" fillId="2" borderId="6" xfId="0" applyFont="1" applyFill="1" applyBorder="1"/>
    <xf numFmtId="0" fontId="1" fillId="2" borderId="31" xfId="0" applyFont="1" applyFill="1" applyBorder="1"/>
    <xf numFmtId="0" fontId="7" fillId="2" borderId="97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8" fillId="2" borderId="101" xfId="0" applyFont="1" applyFill="1" applyBorder="1" applyAlignment="1">
      <alignment horizontal="center" vertical="center"/>
    </xf>
    <xf numFmtId="0" fontId="8" fillId="2" borderId="74" xfId="0" applyFont="1" applyFill="1" applyBorder="1" applyAlignment="1">
      <alignment horizontal="center" vertical="center"/>
    </xf>
    <xf numFmtId="0" fontId="8" fillId="2" borderId="75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49" fontId="7" fillId="5" borderId="112" xfId="0" applyNumberFormat="1" applyFont="1" applyFill="1" applyBorder="1" applyAlignment="1">
      <alignment horizontal="center" vertical="center"/>
    </xf>
    <xf numFmtId="0" fontId="7" fillId="5" borderId="107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 wrapText="1"/>
    </xf>
    <xf numFmtId="49" fontId="7" fillId="5" borderId="8" xfId="0" applyNumberFormat="1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5" borderId="72" xfId="0" applyFont="1" applyFill="1" applyBorder="1" applyAlignment="1">
      <alignment horizontal="center" vertical="center"/>
    </xf>
    <xf numFmtId="0" fontId="7" fillId="5" borderId="72" xfId="0" applyFont="1" applyFill="1" applyBorder="1" applyAlignment="1">
      <alignment horizontal="center" vertical="center" wrapText="1"/>
    </xf>
    <xf numFmtId="49" fontId="7" fillId="5" borderId="72" xfId="0" applyNumberFormat="1" applyFont="1" applyFill="1" applyBorder="1" applyAlignment="1">
      <alignment horizontal="center" vertical="center" wrapText="1"/>
    </xf>
    <xf numFmtId="3" fontId="7" fillId="5" borderId="8" xfId="0" applyNumberFormat="1" applyFont="1" applyFill="1" applyBorder="1" applyAlignment="1">
      <alignment horizontal="center" vertical="center"/>
    </xf>
    <xf numFmtId="49" fontId="7" fillId="5" borderId="72" xfId="0" applyNumberFormat="1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212" xfId="0" applyFont="1" applyFill="1" applyBorder="1"/>
    <xf numFmtId="0" fontId="7" fillId="2" borderId="72" xfId="0" applyFont="1" applyFill="1" applyBorder="1"/>
    <xf numFmtId="0" fontId="7" fillId="2" borderId="213" xfId="0" applyFont="1" applyFill="1" applyBorder="1"/>
    <xf numFmtId="0" fontId="1" fillId="2" borderId="112" xfId="0" applyFont="1" applyFill="1" applyBorder="1"/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44" xfId="0" applyNumberFormat="1" applyFont="1" applyFill="1" applyBorder="1" applyAlignment="1">
      <alignment horizontal="center" vertical="center"/>
    </xf>
    <xf numFmtId="0" fontId="1" fillId="2" borderId="170" xfId="0" applyFont="1" applyFill="1" applyBorder="1" applyAlignment="1">
      <alignment horizontal="center" vertical="center" wrapText="1"/>
    </xf>
    <xf numFmtId="49" fontId="1" fillId="2" borderId="72" xfId="0" applyNumberFormat="1" applyFont="1" applyFill="1" applyBorder="1" applyAlignment="1">
      <alignment horizontal="center" vertical="center" wrapText="1"/>
    </xf>
    <xf numFmtId="0" fontId="1" fillId="2" borderId="72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1" fillId="5" borderId="0" xfId="0" applyFont="1" applyFill="1"/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49" fontId="7" fillId="2" borderId="216" xfId="0" applyNumberFormat="1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12" fillId="2" borderId="92" xfId="0" applyFont="1" applyFill="1" applyBorder="1" applyAlignment="1">
      <alignment horizontal="center"/>
    </xf>
    <xf numFmtId="0" fontId="12" fillId="2" borderId="93" xfId="0" applyFont="1" applyFill="1" applyBorder="1" applyAlignment="1">
      <alignment horizontal="center"/>
    </xf>
    <xf numFmtId="0" fontId="12" fillId="2" borderId="86" xfId="0" applyFont="1" applyFill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1" fillId="0" borderId="50" xfId="0" applyFont="1" applyBorder="1" applyAlignment="1">
      <alignment horizontal="center"/>
    </xf>
    <xf numFmtId="0" fontId="11" fillId="0" borderId="51" xfId="0" applyFont="1" applyBorder="1" applyAlignment="1">
      <alignment horizontal="center"/>
    </xf>
    <xf numFmtId="0" fontId="11" fillId="0" borderId="52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11" fillId="0" borderId="54" xfId="0" applyFont="1" applyBorder="1" applyAlignment="1">
      <alignment horizontal="center"/>
    </xf>
    <xf numFmtId="0" fontId="11" fillId="0" borderId="55" xfId="0" applyFont="1" applyBorder="1" applyAlignment="1">
      <alignment horizontal="center"/>
    </xf>
    <xf numFmtId="0" fontId="7" fillId="0" borderId="7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96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14" fontId="1" fillId="0" borderId="21" xfId="0" applyNumberFormat="1" applyFont="1" applyBorder="1" applyAlignment="1">
      <alignment horizontal="center" vertical="center"/>
    </xf>
    <xf numFmtId="14" fontId="1" fillId="0" borderId="22" xfId="0" applyNumberFormat="1" applyFont="1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14" fontId="0" fillId="0" borderId="21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3" borderId="40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0" borderId="44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4" fillId="0" borderId="73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5" fillId="2" borderId="92" xfId="0" applyFont="1" applyFill="1" applyBorder="1" applyAlignment="1">
      <alignment horizontal="center"/>
    </xf>
    <xf numFmtId="0" fontId="5" fillId="2" borderId="93" xfId="0" applyFont="1" applyFill="1" applyBorder="1" applyAlignment="1">
      <alignment horizontal="center"/>
    </xf>
    <xf numFmtId="0" fontId="5" fillId="2" borderId="86" xfId="0" applyFont="1" applyFill="1" applyBorder="1" applyAlignment="1">
      <alignment horizontal="center"/>
    </xf>
    <xf numFmtId="0" fontId="0" fillId="6" borderId="84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6" borderId="85" xfId="0" applyFill="1" applyBorder="1" applyAlignment="1">
      <alignment horizontal="center" vertical="center"/>
    </xf>
    <xf numFmtId="0" fontId="0" fillId="2" borderId="8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85" xfId="0" applyFill="1" applyBorder="1" applyAlignment="1">
      <alignment horizontal="center" vertical="center"/>
    </xf>
    <xf numFmtId="14" fontId="1" fillId="7" borderId="21" xfId="0" applyNumberFormat="1" applyFont="1" applyFill="1" applyBorder="1" applyAlignment="1">
      <alignment horizontal="center" vertical="center"/>
    </xf>
    <xf numFmtId="14" fontId="1" fillId="7" borderId="22" xfId="0" applyNumberFormat="1" applyFont="1" applyFill="1" applyBorder="1" applyAlignment="1">
      <alignment horizontal="center" vertical="center"/>
    </xf>
    <xf numFmtId="0" fontId="0" fillId="2" borderId="8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5" xfId="0" applyFill="1" applyBorder="1" applyAlignment="1">
      <alignment horizontal="center"/>
    </xf>
    <xf numFmtId="0" fontId="10" fillId="0" borderId="73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0" fillId="2" borderId="73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8" borderId="84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8" borderId="85" xfId="0" applyFill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4" fontId="1" fillId="0" borderId="94" xfId="0" applyNumberFormat="1" applyFont="1" applyBorder="1" applyAlignment="1">
      <alignment horizontal="center" vertical="center"/>
    </xf>
    <xf numFmtId="0" fontId="6" fillId="7" borderId="73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4" borderId="84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7" fillId="0" borderId="73" xfId="0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14" fontId="7" fillId="0" borderId="21" xfId="0" applyNumberFormat="1" applyFont="1" applyFill="1" applyBorder="1" applyAlignment="1">
      <alignment horizontal="center" vertical="center"/>
    </xf>
    <xf numFmtId="14" fontId="7" fillId="0" borderId="22" xfId="0" applyNumberFormat="1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84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85" xfId="0" applyFont="1" applyFill="1" applyBorder="1" applyAlignment="1">
      <alignment horizontal="center" vertical="center"/>
    </xf>
    <xf numFmtId="14" fontId="7" fillId="0" borderId="21" xfId="0" applyNumberFormat="1" applyFont="1" applyBorder="1" applyAlignment="1">
      <alignment horizontal="center" vertical="center"/>
    </xf>
    <xf numFmtId="14" fontId="7" fillId="0" borderId="22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96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42" xfId="0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  <xf numFmtId="0" fontId="13" fillId="2" borderId="73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4" fillId="0" borderId="73" xfId="0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13" fillId="0" borderId="73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73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7" fillId="2" borderId="73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14" fontId="7" fillId="0" borderId="98" xfId="0" applyNumberFormat="1" applyFont="1" applyBorder="1" applyAlignment="1">
      <alignment horizontal="center" vertical="center"/>
    </xf>
    <xf numFmtId="0" fontId="7" fillId="0" borderId="73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14" fontId="1" fillId="0" borderId="74" xfId="0" applyNumberFormat="1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14" fontId="1" fillId="0" borderId="103" xfId="0" applyNumberFormat="1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2" borderId="78" xfId="0" applyFont="1" applyFill="1" applyBorder="1" applyAlignment="1">
      <alignment horizontal="center"/>
    </xf>
    <xf numFmtId="0" fontId="1" fillId="2" borderId="7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74" xfId="0" applyFont="1" applyFill="1" applyBorder="1" applyAlignment="1">
      <alignment horizontal="center"/>
    </xf>
    <xf numFmtId="0" fontId="2" fillId="2" borderId="116" xfId="0" applyFont="1" applyFill="1" applyBorder="1" applyAlignment="1">
      <alignment horizontal="center"/>
    </xf>
    <xf numFmtId="0" fontId="2" fillId="2" borderId="117" xfId="0" applyFont="1" applyFill="1" applyBorder="1" applyAlignment="1">
      <alignment horizontal="center"/>
    </xf>
    <xf numFmtId="0" fontId="2" fillId="2" borderId="124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/>
    </xf>
    <xf numFmtId="0" fontId="1" fillId="2" borderId="101" xfId="0" applyFont="1" applyFill="1" applyBorder="1" applyAlignment="1">
      <alignment horizontal="center"/>
    </xf>
    <xf numFmtId="14" fontId="1" fillId="0" borderId="132" xfId="0" applyNumberFormat="1" applyFont="1" applyBorder="1" applyAlignment="1">
      <alignment horizontal="center" vertical="center"/>
    </xf>
    <xf numFmtId="14" fontId="1" fillId="0" borderId="133" xfId="0" applyNumberFormat="1" applyFont="1" applyBorder="1" applyAlignment="1">
      <alignment horizontal="center" vertical="center"/>
    </xf>
    <xf numFmtId="14" fontId="1" fillId="0" borderId="134" xfId="0" applyNumberFormat="1" applyFont="1" applyBorder="1" applyAlignment="1">
      <alignment horizontal="center" vertical="center"/>
    </xf>
    <xf numFmtId="14" fontId="1" fillId="0" borderId="135" xfId="0" applyNumberFormat="1" applyFont="1" applyBorder="1" applyAlignment="1">
      <alignment horizontal="center" vertical="center"/>
    </xf>
    <xf numFmtId="0" fontId="11" fillId="2" borderId="116" xfId="0" applyFont="1" applyFill="1" applyBorder="1" applyAlignment="1">
      <alignment horizontal="center"/>
    </xf>
    <xf numFmtId="0" fontId="11" fillId="2" borderId="117" xfId="0" applyFont="1" applyFill="1" applyBorder="1" applyAlignment="1">
      <alignment horizontal="center"/>
    </xf>
    <xf numFmtId="0" fontId="11" fillId="2" borderId="124" xfId="0" applyFont="1" applyFill="1" applyBorder="1" applyAlignment="1">
      <alignment horizontal="center"/>
    </xf>
    <xf numFmtId="0" fontId="11" fillId="2" borderId="52" xfId="0" applyFont="1" applyFill="1" applyBorder="1" applyAlignment="1">
      <alignment horizontal="center"/>
    </xf>
    <xf numFmtId="49" fontId="1" fillId="0" borderId="140" xfId="0" applyNumberFormat="1" applyFont="1" applyBorder="1" applyAlignment="1">
      <alignment horizontal="center" vertical="center" wrapText="1"/>
    </xf>
    <xf numFmtId="49" fontId="1" fillId="0" borderId="141" xfId="0" applyNumberFormat="1" applyFont="1" applyBorder="1" applyAlignment="1">
      <alignment horizontal="center" vertical="center" wrapText="1"/>
    </xf>
    <xf numFmtId="0" fontId="1" fillId="0" borderId="140" xfId="0" applyFont="1" applyBorder="1" applyAlignment="1">
      <alignment horizontal="center" vertical="center" wrapText="1"/>
    </xf>
    <xf numFmtId="0" fontId="1" fillId="0" borderId="141" xfId="0" applyFont="1" applyBorder="1" applyAlignment="1">
      <alignment horizontal="center" vertical="center" wrapText="1"/>
    </xf>
    <xf numFmtId="49" fontId="1" fillId="0" borderId="142" xfId="0" applyNumberFormat="1" applyFont="1" applyBorder="1" applyAlignment="1">
      <alignment horizontal="center" vertical="center" wrapText="1"/>
    </xf>
    <xf numFmtId="49" fontId="1" fillId="0" borderId="143" xfId="0" applyNumberFormat="1" applyFont="1" applyBorder="1" applyAlignment="1">
      <alignment horizontal="center" vertical="center" wrapText="1"/>
    </xf>
    <xf numFmtId="0" fontId="1" fillId="0" borderId="144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49" fontId="1" fillId="0" borderId="42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9" xfId="0" applyNumberFormat="1" applyFont="1" applyBorder="1" applyAlignment="1">
      <alignment horizontal="center" vertical="center" wrapText="1"/>
    </xf>
    <xf numFmtId="49" fontId="1" fillId="0" borderId="168" xfId="0" applyNumberFormat="1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9" fontId="1" fillId="0" borderId="169" xfId="0" applyNumberFormat="1" applyFont="1" applyBorder="1" applyAlignment="1">
      <alignment horizontal="center" vertical="center" wrapText="1"/>
    </xf>
    <xf numFmtId="3" fontId="1" fillId="0" borderId="96" xfId="0" applyNumberFormat="1" applyFont="1" applyBorder="1" applyAlignment="1">
      <alignment horizontal="center" vertical="center"/>
    </xf>
    <xf numFmtId="3" fontId="1" fillId="0" borderId="83" xfId="0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horizontal="center" vertical="center" wrapText="1"/>
    </xf>
    <xf numFmtId="49" fontId="1" fillId="0" borderId="170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3" fontId="1" fillId="0" borderId="44" xfId="0" applyNumberFormat="1" applyFont="1" applyBorder="1" applyAlignment="1">
      <alignment horizontal="center" vertical="center"/>
    </xf>
    <xf numFmtId="3" fontId="1" fillId="0" borderId="170" xfId="0" applyNumberFormat="1" applyFont="1" applyBorder="1" applyAlignment="1">
      <alignment horizontal="center" vertical="center"/>
    </xf>
    <xf numFmtId="0" fontId="8" fillId="2" borderId="101" xfId="0" applyFont="1" applyFill="1" applyBorder="1" applyAlignment="1">
      <alignment horizontal="center" vertical="center"/>
    </xf>
    <xf numFmtId="0" fontId="8" fillId="2" borderId="7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78" xfId="0" applyFont="1" applyFill="1" applyBorder="1" applyAlignment="1">
      <alignment horizontal="center" vertical="center"/>
    </xf>
    <xf numFmtId="0" fontId="8" fillId="2" borderId="75" xfId="0" applyFont="1" applyFill="1" applyBorder="1" applyAlignment="1">
      <alignment horizontal="center" vertical="center"/>
    </xf>
    <xf numFmtId="49" fontId="1" fillId="0" borderId="144" xfId="0" applyNumberFormat="1" applyFont="1" applyBorder="1" applyAlignment="1">
      <alignment horizontal="center" vertical="center" wrapText="1"/>
    </xf>
    <xf numFmtId="49" fontId="1" fillId="0" borderId="30" xfId="0" applyNumberFormat="1" applyFont="1" applyBorder="1" applyAlignment="1">
      <alignment horizontal="center" vertical="center" wrapText="1"/>
    </xf>
    <xf numFmtId="49" fontId="1" fillId="0" borderId="31" xfId="0" applyNumberFormat="1" applyFont="1" applyBorder="1" applyAlignment="1">
      <alignment horizontal="center" vertical="center" wrapText="1"/>
    </xf>
    <xf numFmtId="49" fontId="1" fillId="0" borderId="144" xfId="0" applyNumberFormat="1" applyFont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  <xf numFmtId="14" fontId="7" fillId="0" borderId="103" xfId="0" applyNumberFormat="1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144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49" fontId="7" fillId="0" borderId="144" xfId="0" applyNumberFormat="1" applyFont="1" applyBorder="1" applyAlignment="1">
      <alignment horizontal="center" vertical="center" wrapText="1"/>
    </xf>
    <xf numFmtId="49" fontId="7" fillId="0" borderId="30" xfId="0" applyNumberFormat="1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14" fontId="7" fillId="0" borderId="132" xfId="0" applyNumberFormat="1" applyFont="1" applyBorder="1" applyAlignment="1">
      <alignment horizontal="center" vertical="center"/>
    </xf>
    <xf numFmtId="14" fontId="7" fillId="0" borderId="13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78" xfId="0" applyFont="1" applyBorder="1" applyAlignment="1">
      <alignment horizontal="center" vertical="center" wrapText="1"/>
    </xf>
    <xf numFmtId="0" fontId="7" fillId="0" borderId="75" xfId="0" applyFont="1" applyBorder="1" applyAlignment="1">
      <alignment horizontal="center" vertical="center" wrapText="1"/>
    </xf>
    <xf numFmtId="14" fontId="18" fillId="0" borderId="103" xfId="0" applyNumberFormat="1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1" fillId="0" borderId="144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3" fillId="2" borderId="144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49" fontId="3" fillId="2" borderId="206" xfId="0" applyNumberFormat="1" applyFont="1" applyFill="1" applyBorder="1" applyAlignment="1">
      <alignment horizontal="center" vertical="center" wrapText="1"/>
    </xf>
    <xf numFmtId="0" fontId="3" fillId="0" borderId="144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78" xfId="0" applyFont="1" applyFill="1" applyBorder="1" applyAlignment="1">
      <alignment horizontal="center" vertical="center" wrapText="1"/>
    </xf>
    <xf numFmtId="0" fontId="7" fillId="5" borderId="7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78" xfId="0" applyFont="1" applyFill="1" applyBorder="1" applyAlignment="1">
      <alignment horizontal="center" vertical="center" wrapText="1"/>
    </xf>
    <xf numFmtId="0" fontId="7" fillId="2" borderId="75" xfId="0" applyFont="1" applyFill="1" applyBorder="1" applyAlignment="1">
      <alignment horizontal="center" vertical="center" wrapText="1"/>
    </xf>
    <xf numFmtId="0" fontId="7" fillId="2" borderId="144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0" borderId="103" xfId="0" applyFont="1" applyBorder="1" applyAlignment="1">
      <alignment horizontal="center" vertical="center"/>
    </xf>
  </cellXfs>
  <cellStyles count="1">
    <cellStyle name="Обычный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otted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otted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otted">
          <color indexed="64"/>
        </top>
        <bottom/>
      </border>
    </dxf>
    <dxf>
      <border outline="0">
        <top style="dotted">
          <color indexed="64"/>
        </top>
      </border>
    </dxf>
    <dxf>
      <border outline="0">
        <left style="thin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  <dxf>
      <border outline="0"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ables/table1.xml><?xml version="1.0" encoding="utf-8"?>
<table xmlns="http://schemas.openxmlformats.org/spreadsheetml/2006/main" id="1" name="Таблица1" displayName="Таблица1" ref="AH14:AJ15" totalsRowShown="0" headerRowDxfId="7" dataDxfId="5" headerRowBorderDxfId="6" tableBorderDxfId="4" totalsRowBorderDxfId="3">
  <autoFilter ref="AH14:AJ15"/>
  <tableColumns count="3">
    <tableColumn id="1" name="ППР" dataDxfId="2"/>
    <tableColumn id="2" name="Столбец2" dataDxfId="1"/>
    <tableColumn id="3" name="Столбец3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7"/>
  <sheetViews>
    <sheetView zoomScale="55" zoomScaleNormal="55" workbookViewId="0">
      <pane xSplit="1" topLeftCell="C1" activePane="topRight" state="frozen"/>
      <selection pane="topRight" activeCell="Y34" sqref="Y34"/>
    </sheetView>
  </sheetViews>
  <sheetFormatPr defaultColWidth="8.85546875" defaultRowHeight="18.75" x14ac:dyDescent="0.3"/>
  <cols>
    <col min="1" max="1" width="22.7109375" style="384" customWidth="1"/>
    <col min="2" max="2" width="33.7109375" style="296" customWidth="1"/>
    <col min="3" max="3" width="30.28515625" style="289" customWidth="1"/>
    <col min="4" max="4" width="32.42578125" style="289" customWidth="1"/>
    <col min="5" max="5" width="32.5703125" style="329" bestFit="1" customWidth="1"/>
    <col min="6" max="6" width="19" style="421" customWidth="1"/>
    <col min="7" max="7" width="17.140625" style="421" customWidth="1"/>
    <col min="8" max="8" width="11.5703125" style="296" bestFit="1" customWidth="1"/>
    <col min="9" max="9" width="16.7109375" style="289" customWidth="1"/>
    <col min="10" max="10" width="13.7109375" style="289" customWidth="1"/>
    <col min="11" max="11" width="12.28515625" style="353" bestFit="1" customWidth="1"/>
    <col min="12" max="12" width="9.85546875" style="353" customWidth="1"/>
    <col min="13" max="13" width="10.140625" style="329" bestFit="1" customWidth="1"/>
    <col min="14" max="14" width="11.85546875" style="296" bestFit="1" customWidth="1"/>
    <col min="15" max="15" width="12.28515625" style="289" bestFit="1" customWidth="1"/>
    <col min="16" max="16" width="11.85546875" style="289" bestFit="1" customWidth="1"/>
    <col min="17" max="17" width="12.28515625" style="329" bestFit="1" customWidth="1"/>
    <col min="18" max="19" width="10.140625" style="379" customWidth="1"/>
    <col min="20" max="16384" width="8.85546875" style="301"/>
  </cols>
  <sheetData>
    <row r="1" spans="1:22" ht="20.25" thickTop="1" thickBot="1" x14ac:dyDescent="0.35">
      <c r="A1" s="417"/>
      <c r="B1" s="2088" t="s">
        <v>3</v>
      </c>
      <c r="C1" s="2089"/>
      <c r="D1" s="2089"/>
      <c r="E1" s="2090"/>
      <c r="F1" s="298"/>
      <c r="G1" s="298"/>
      <c r="H1" s="2088" t="s">
        <v>6</v>
      </c>
      <c r="I1" s="2089"/>
      <c r="J1" s="2089"/>
      <c r="K1" s="2091"/>
      <c r="L1" s="2091"/>
      <c r="M1" s="2090"/>
      <c r="N1" s="2092" t="s">
        <v>13</v>
      </c>
      <c r="O1" s="2093"/>
      <c r="P1" s="2093"/>
      <c r="Q1" s="2094"/>
      <c r="R1" s="298"/>
      <c r="S1" s="299"/>
      <c r="T1" s="300"/>
    </row>
    <row r="2" spans="1:22" ht="20.25" thickTop="1" thickBot="1" x14ac:dyDescent="0.35">
      <c r="A2" s="418" t="s">
        <v>0</v>
      </c>
      <c r="B2" s="303" t="s">
        <v>1</v>
      </c>
      <c r="C2" s="304" t="s">
        <v>4</v>
      </c>
      <c r="D2" s="304" t="s">
        <v>2</v>
      </c>
      <c r="E2" s="305" t="s">
        <v>5</v>
      </c>
      <c r="F2" s="306" t="s">
        <v>26</v>
      </c>
      <c r="G2" s="306" t="s">
        <v>19</v>
      </c>
      <c r="H2" s="307" t="s">
        <v>1</v>
      </c>
      <c r="I2" s="308" t="s">
        <v>4</v>
      </c>
      <c r="J2" s="308" t="s">
        <v>2</v>
      </c>
      <c r="K2" s="308" t="s">
        <v>5</v>
      </c>
      <c r="L2" s="309" t="s">
        <v>26</v>
      </c>
      <c r="M2" s="310" t="s">
        <v>19</v>
      </c>
      <c r="N2" s="303" t="s">
        <v>1</v>
      </c>
      <c r="O2" s="304" t="s">
        <v>4</v>
      </c>
      <c r="P2" s="304" t="s">
        <v>2</v>
      </c>
      <c r="Q2" s="311" t="s">
        <v>5</v>
      </c>
      <c r="R2" s="312" t="s">
        <v>19</v>
      </c>
      <c r="S2" s="313" t="s">
        <v>26</v>
      </c>
    </row>
    <row r="3" spans="1:22" ht="20.100000000000001" customHeight="1" thickTop="1" x14ac:dyDescent="0.3">
      <c r="A3" s="314">
        <v>44378</v>
      </c>
      <c r="B3" s="315"/>
      <c r="C3" s="263"/>
      <c r="D3" s="263"/>
      <c r="E3" s="316"/>
      <c r="F3" s="317"/>
      <c r="G3" s="318"/>
      <c r="H3" s="315">
        <v>120</v>
      </c>
      <c r="I3" s="263"/>
      <c r="J3" s="263"/>
      <c r="K3" s="263"/>
      <c r="L3" s="319"/>
      <c r="M3" s="320"/>
      <c r="N3" s="326"/>
      <c r="O3" s="321"/>
      <c r="P3" s="290"/>
      <c r="Q3" s="290"/>
      <c r="R3" s="322"/>
      <c r="S3" s="323"/>
      <c r="U3" s="324" t="s">
        <v>8</v>
      </c>
      <c r="V3" s="301" t="s">
        <v>10</v>
      </c>
    </row>
    <row r="4" spans="1:22" ht="20.100000000000001" customHeight="1" x14ac:dyDescent="0.3">
      <c r="A4" s="314">
        <v>44379</v>
      </c>
      <c r="B4" s="315"/>
      <c r="C4" s="263"/>
      <c r="D4" s="263"/>
      <c r="E4" s="316"/>
      <c r="F4" s="315"/>
      <c r="G4" s="318"/>
      <c r="H4" s="315">
        <v>90</v>
      </c>
      <c r="I4" s="263"/>
      <c r="J4" s="263"/>
      <c r="K4" s="263"/>
      <c r="L4" s="263"/>
      <c r="M4" s="320"/>
      <c r="N4" s="291"/>
      <c r="O4" s="321"/>
      <c r="P4" s="290"/>
      <c r="Q4" s="290"/>
      <c r="R4" s="327"/>
      <c r="S4" s="323"/>
      <c r="U4" s="324"/>
    </row>
    <row r="5" spans="1:22" ht="20.100000000000001" customHeight="1" x14ac:dyDescent="0.3">
      <c r="A5" s="314">
        <v>44380</v>
      </c>
      <c r="B5" s="315"/>
      <c r="F5" s="296"/>
      <c r="H5" s="296">
        <v>20</v>
      </c>
      <c r="K5" s="289"/>
      <c r="L5" s="289"/>
      <c r="M5" s="422"/>
      <c r="N5" s="291"/>
      <c r="O5" s="321"/>
      <c r="P5" s="290"/>
      <c r="Q5" s="290"/>
      <c r="R5" s="334"/>
      <c r="S5" s="323"/>
      <c r="U5" s="335" t="s">
        <v>7</v>
      </c>
      <c r="V5" s="301" t="s">
        <v>11</v>
      </c>
    </row>
    <row r="6" spans="1:22" ht="20.100000000000001" customHeight="1" x14ac:dyDescent="0.3">
      <c r="A6" s="314">
        <v>44381</v>
      </c>
      <c r="B6" s="294"/>
      <c r="C6" s="290"/>
      <c r="D6" s="404"/>
      <c r="E6" s="336"/>
      <c r="F6" s="294"/>
      <c r="G6" s="423"/>
      <c r="H6" s="294"/>
      <c r="I6" s="290"/>
      <c r="J6" s="290"/>
      <c r="K6" s="290"/>
      <c r="L6" s="290"/>
      <c r="M6" s="425"/>
      <c r="N6" s="291"/>
      <c r="O6" s="321"/>
      <c r="P6" s="290"/>
      <c r="Q6" s="290"/>
      <c r="R6" s="334"/>
      <c r="S6" s="339"/>
      <c r="U6" s="340" t="s">
        <v>9</v>
      </c>
      <c r="V6" s="301" t="s">
        <v>12</v>
      </c>
    </row>
    <row r="7" spans="1:22" ht="20.100000000000001" customHeight="1" x14ac:dyDescent="0.3">
      <c r="A7" s="314">
        <v>44382</v>
      </c>
      <c r="B7" s="341"/>
      <c r="C7" s="290"/>
      <c r="D7" s="405"/>
      <c r="E7" s="342"/>
      <c r="F7" s="294"/>
      <c r="G7" s="423"/>
      <c r="H7" s="294"/>
      <c r="I7" s="290"/>
      <c r="J7" s="290"/>
      <c r="K7" s="290"/>
      <c r="L7" s="290"/>
      <c r="M7" s="425"/>
      <c r="N7" s="291"/>
      <c r="O7" s="321"/>
      <c r="P7" s="290"/>
      <c r="Q7" s="290"/>
      <c r="R7" s="334"/>
      <c r="S7" s="339"/>
      <c r="U7" s="343" t="s">
        <v>71</v>
      </c>
      <c r="V7" s="344" t="s">
        <v>51</v>
      </c>
    </row>
    <row r="8" spans="1:22" ht="20.100000000000001" customHeight="1" x14ac:dyDescent="0.3">
      <c r="A8" s="314">
        <v>44383</v>
      </c>
      <c r="B8" s="341"/>
      <c r="C8" s="290"/>
      <c r="D8" s="405"/>
      <c r="E8" s="425"/>
      <c r="F8" s="294"/>
      <c r="G8" s="423"/>
      <c r="H8" s="294">
        <v>80</v>
      </c>
      <c r="I8" s="290"/>
      <c r="J8" s="290"/>
      <c r="K8" s="290"/>
      <c r="L8" s="290"/>
      <c r="M8" s="425"/>
      <c r="N8" s="291"/>
      <c r="O8" s="321"/>
      <c r="P8" s="290"/>
      <c r="Q8" s="290"/>
      <c r="R8" s="334"/>
      <c r="S8" s="339"/>
      <c r="U8" s="343"/>
      <c r="V8" s="344"/>
    </row>
    <row r="9" spans="1:22" ht="20.100000000000001" customHeight="1" x14ac:dyDescent="0.3">
      <c r="A9" s="314">
        <v>44384</v>
      </c>
      <c r="B9" s="341"/>
      <c r="C9" s="290"/>
      <c r="D9" s="405"/>
      <c r="E9" s="398"/>
      <c r="F9" s="341"/>
      <c r="G9" s="345"/>
      <c r="H9" s="294">
        <v>130</v>
      </c>
      <c r="I9" s="290"/>
      <c r="J9" s="290"/>
      <c r="K9" s="290"/>
      <c r="L9" s="290"/>
      <c r="M9" s="425"/>
      <c r="N9" s="291"/>
      <c r="O9" s="321"/>
      <c r="P9" s="290"/>
      <c r="Q9" s="290"/>
      <c r="R9" s="334"/>
      <c r="S9" s="339"/>
      <c r="T9" s="300"/>
    </row>
    <row r="10" spans="1:22" ht="20.100000000000001" customHeight="1" x14ac:dyDescent="0.3">
      <c r="A10" s="314">
        <v>44385</v>
      </c>
      <c r="B10" s="341"/>
      <c r="D10" s="406"/>
      <c r="E10" s="347"/>
      <c r="F10" s="348"/>
      <c r="K10" s="289"/>
      <c r="L10" s="289"/>
      <c r="M10" s="422"/>
      <c r="N10" s="291"/>
      <c r="O10" s="321"/>
      <c r="P10" s="290"/>
      <c r="Q10" s="290"/>
      <c r="R10" s="334"/>
      <c r="S10" s="349"/>
      <c r="T10" s="300"/>
    </row>
    <row r="11" spans="1:22" ht="20.100000000000001" customHeight="1" x14ac:dyDescent="0.3">
      <c r="A11" s="314">
        <v>44386</v>
      </c>
      <c r="B11" s="420"/>
      <c r="D11" s="406"/>
      <c r="E11" s="347"/>
      <c r="F11" s="296"/>
      <c r="H11" s="2095">
        <v>300</v>
      </c>
      <c r="I11" s="2096"/>
      <c r="J11" s="2096"/>
      <c r="K11" s="2096"/>
      <c r="L11" s="2096"/>
      <c r="M11" s="2097"/>
      <c r="N11" s="291"/>
      <c r="O11" s="321"/>
      <c r="P11" s="290"/>
      <c r="Q11" s="290"/>
      <c r="R11" s="334"/>
      <c r="S11" s="349"/>
    </row>
    <row r="12" spans="1:22" ht="20.100000000000001" customHeight="1" x14ac:dyDescent="0.3">
      <c r="A12" s="314">
        <v>44387</v>
      </c>
      <c r="B12" s="420"/>
      <c r="D12" s="406"/>
      <c r="E12" s="347"/>
      <c r="F12" s="351"/>
      <c r="G12" s="352"/>
      <c r="K12" s="289"/>
      <c r="L12" s="289"/>
      <c r="M12" s="422"/>
      <c r="N12" s="291"/>
      <c r="O12" s="321"/>
      <c r="P12" s="290"/>
      <c r="Q12" s="290"/>
      <c r="R12" s="334"/>
      <c r="S12" s="349"/>
      <c r="T12" s="300"/>
    </row>
    <row r="13" spans="1:22" ht="20.100000000000001" customHeight="1" x14ac:dyDescent="0.3">
      <c r="A13" s="314">
        <v>44388</v>
      </c>
      <c r="B13" s="420"/>
      <c r="D13" s="403"/>
      <c r="E13" s="347"/>
      <c r="F13" s="351"/>
      <c r="G13" s="352"/>
      <c r="L13" s="289"/>
      <c r="M13" s="422"/>
      <c r="N13" s="291"/>
      <c r="O13" s="321"/>
      <c r="P13" s="290"/>
      <c r="Q13" s="290"/>
      <c r="R13" s="334"/>
      <c r="S13" s="349"/>
      <c r="T13" s="300"/>
    </row>
    <row r="14" spans="1:22" ht="20.100000000000001" customHeight="1" x14ac:dyDescent="0.3">
      <c r="A14" s="314">
        <v>44389</v>
      </c>
      <c r="B14" s="354"/>
      <c r="D14" s="403"/>
      <c r="E14" s="347"/>
      <c r="F14" s="346"/>
      <c r="G14" s="352"/>
      <c r="L14" s="289"/>
      <c r="M14" s="422"/>
      <c r="N14" s="291"/>
      <c r="O14" s="321"/>
      <c r="P14" s="290"/>
      <c r="Q14" s="290"/>
      <c r="R14" s="334"/>
      <c r="S14" s="349"/>
    </row>
    <row r="15" spans="1:22" ht="20.100000000000001" customHeight="1" x14ac:dyDescent="0.3">
      <c r="A15" s="314">
        <v>44390</v>
      </c>
      <c r="B15" s="420"/>
      <c r="E15" s="407"/>
      <c r="F15" s="346"/>
      <c r="G15" s="352"/>
      <c r="L15" s="289"/>
      <c r="M15" s="422"/>
      <c r="N15" s="291"/>
      <c r="O15" s="321"/>
      <c r="P15" s="290"/>
      <c r="Q15" s="290"/>
      <c r="R15" s="334"/>
      <c r="S15" s="349"/>
    </row>
    <row r="16" spans="1:22" ht="20.100000000000001" customHeight="1" x14ac:dyDescent="0.3">
      <c r="A16" s="314">
        <v>44391</v>
      </c>
      <c r="E16" s="355"/>
      <c r="F16" s="296"/>
      <c r="L16" s="289"/>
      <c r="M16" s="422"/>
      <c r="N16" s="291"/>
      <c r="O16" s="321"/>
      <c r="P16" s="290"/>
      <c r="Q16" s="290"/>
      <c r="R16" s="334"/>
      <c r="S16" s="349"/>
    </row>
    <row r="17" spans="1:23" ht="20.100000000000001" customHeight="1" x14ac:dyDescent="0.3">
      <c r="A17" s="314">
        <v>44392</v>
      </c>
      <c r="B17" s="294"/>
      <c r="C17" s="290"/>
      <c r="D17" s="288"/>
      <c r="E17" s="342"/>
      <c r="F17" s="294"/>
      <c r="G17" s="423"/>
      <c r="H17" s="294"/>
      <c r="I17" s="290"/>
      <c r="J17" s="290"/>
      <c r="K17" s="357"/>
      <c r="L17" s="357"/>
      <c r="M17" s="342"/>
      <c r="N17" s="291"/>
      <c r="O17" s="321"/>
      <c r="P17" s="290"/>
      <c r="Q17" s="290"/>
      <c r="R17" s="334"/>
      <c r="S17" s="349"/>
    </row>
    <row r="18" spans="1:23" ht="20.100000000000001" customHeight="1" x14ac:dyDescent="0.3">
      <c r="A18" s="314">
        <v>44393</v>
      </c>
      <c r="B18" s="294"/>
      <c r="C18" s="290"/>
      <c r="D18" s="290"/>
      <c r="E18" s="290"/>
      <c r="F18" s="294"/>
      <c r="G18" s="425"/>
      <c r="H18" s="424"/>
      <c r="I18" s="290"/>
      <c r="J18" s="290"/>
      <c r="K18" s="357"/>
      <c r="L18" s="357"/>
      <c r="M18" s="342"/>
      <c r="N18" s="291"/>
      <c r="O18" s="321"/>
      <c r="P18" s="290"/>
      <c r="Q18" s="290"/>
      <c r="R18" s="334"/>
      <c r="S18" s="358"/>
    </row>
    <row r="19" spans="1:23" ht="20.100000000000001" customHeight="1" x14ac:dyDescent="0.3">
      <c r="A19" s="314">
        <v>44394</v>
      </c>
      <c r="B19" s="291"/>
      <c r="C19" s="292"/>
      <c r="D19" s="423"/>
      <c r="E19" s="293"/>
      <c r="F19" s="294"/>
      <c r="G19" s="425"/>
      <c r="H19" s="424"/>
      <c r="I19" s="290"/>
      <c r="J19" s="290"/>
      <c r="K19" s="357"/>
      <c r="L19" s="357"/>
      <c r="M19" s="342"/>
      <c r="N19" s="291"/>
      <c r="O19" s="321"/>
      <c r="P19" s="290"/>
      <c r="Q19" s="290"/>
      <c r="R19" s="410"/>
      <c r="S19" s="358"/>
    </row>
    <row r="20" spans="1:23" ht="20.100000000000001" customHeight="1" x14ac:dyDescent="0.3">
      <c r="A20" s="314">
        <v>44395</v>
      </c>
      <c r="B20" s="291"/>
      <c r="C20" s="292"/>
      <c r="D20" s="288"/>
      <c r="E20" s="293"/>
      <c r="F20" s="294"/>
      <c r="G20" s="423"/>
      <c r="H20" s="291"/>
      <c r="I20" s="292"/>
      <c r="J20" s="423"/>
      <c r="K20" s="292"/>
      <c r="L20" s="292"/>
      <c r="M20" s="293"/>
      <c r="N20" s="291"/>
      <c r="O20" s="321"/>
      <c r="P20" s="290"/>
      <c r="Q20" s="290"/>
      <c r="R20" s="427"/>
      <c r="S20" s="349"/>
    </row>
    <row r="21" spans="1:23" ht="20.100000000000001" customHeight="1" x14ac:dyDescent="0.3">
      <c r="A21" s="314">
        <v>44396</v>
      </c>
      <c r="B21" s="294"/>
      <c r="C21" s="290"/>
      <c r="D21" s="290"/>
      <c r="E21" s="429"/>
      <c r="F21" s="294"/>
      <c r="G21" s="423"/>
      <c r="H21" s="294"/>
      <c r="I21" s="290"/>
      <c r="J21" s="290"/>
      <c r="K21" s="357"/>
      <c r="L21" s="357"/>
      <c r="M21" s="342"/>
      <c r="N21" s="291"/>
      <c r="O21" s="321"/>
      <c r="P21" s="290"/>
      <c r="Q21" s="290"/>
      <c r="R21" s="334"/>
      <c r="S21" s="349"/>
    </row>
    <row r="22" spans="1:23" ht="20.100000000000001" customHeight="1" x14ac:dyDescent="0.3">
      <c r="A22" s="314">
        <v>44397</v>
      </c>
      <c r="B22" s="294"/>
      <c r="C22" s="290"/>
      <c r="D22" s="288"/>
      <c r="E22" s="359"/>
      <c r="F22" s="294"/>
      <c r="G22" s="423"/>
      <c r="H22" s="294"/>
      <c r="I22" s="290"/>
      <c r="J22" s="428"/>
      <c r="K22" s="361"/>
      <c r="L22" s="361"/>
      <c r="M22" s="362"/>
      <c r="N22" s="291"/>
      <c r="O22" s="321"/>
      <c r="P22" s="290"/>
      <c r="Q22" s="290"/>
      <c r="R22" s="334"/>
      <c r="S22" s="349"/>
    </row>
    <row r="23" spans="1:23" ht="20.100000000000001" customHeight="1" x14ac:dyDescent="0.3">
      <c r="A23" s="314">
        <v>44398</v>
      </c>
      <c r="B23" s="294"/>
      <c r="C23" s="290"/>
      <c r="D23" s="288"/>
      <c r="E23" s="342"/>
      <c r="F23" s="294"/>
      <c r="G23" s="423"/>
      <c r="H23" s="294"/>
      <c r="I23" s="290"/>
      <c r="J23" s="428"/>
      <c r="K23" s="361"/>
      <c r="L23" s="361"/>
      <c r="M23" s="362"/>
      <c r="N23" s="291"/>
      <c r="O23" s="321"/>
      <c r="P23" s="290"/>
      <c r="Q23" s="290"/>
      <c r="R23" s="334"/>
      <c r="S23" s="349"/>
    </row>
    <row r="24" spans="1:23" ht="20.100000000000001" customHeight="1" x14ac:dyDescent="0.3">
      <c r="A24" s="314">
        <v>44399</v>
      </c>
      <c r="B24" s="415"/>
      <c r="C24" s="290"/>
      <c r="D24" s="288"/>
      <c r="E24" s="293"/>
      <c r="F24" s="294"/>
      <c r="G24" s="423"/>
      <c r="H24" s="2098"/>
      <c r="I24" s="290"/>
      <c r="J24" s="2100"/>
      <c r="K24" s="361"/>
      <c r="L24" s="361"/>
      <c r="M24" s="362"/>
      <c r="N24" s="291"/>
      <c r="O24" s="321"/>
      <c r="P24" s="290"/>
      <c r="Q24" s="290"/>
      <c r="R24" s="427"/>
      <c r="S24" s="349"/>
    </row>
    <row r="25" spans="1:23" ht="20.100000000000001" customHeight="1" x14ac:dyDescent="0.3">
      <c r="A25" s="314">
        <v>44400</v>
      </c>
      <c r="B25" s="416"/>
      <c r="C25" s="290"/>
      <c r="D25" s="288"/>
      <c r="E25" s="336"/>
      <c r="F25" s="294"/>
      <c r="G25" s="423"/>
      <c r="H25" s="2099"/>
      <c r="I25" s="290"/>
      <c r="J25" s="2101"/>
      <c r="K25" s="361"/>
      <c r="L25" s="361"/>
      <c r="M25" s="362"/>
      <c r="N25" s="291"/>
      <c r="O25" s="321"/>
      <c r="P25" s="290"/>
      <c r="Q25" s="290"/>
      <c r="R25" s="334"/>
      <c r="S25" s="349"/>
    </row>
    <row r="26" spans="1:23" ht="20.100000000000001" customHeight="1" x14ac:dyDescent="0.3">
      <c r="A26" s="314">
        <v>44401</v>
      </c>
      <c r="B26" s="294"/>
      <c r="C26" s="290"/>
      <c r="D26" s="288"/>
      <c r="E26" s="342"/>
      <c r="F26" s="294"/>
      <c r="G26" s="423"/>
      <c r="H26" s="294"/>
      <c r="I26" s="290"/>
      <c r="J26" s="428"/>
      <c r="K26" s="361"/>
      <c r="L26" s="361"/>
      <c r="M26" s="362"/>
      <c r="N26" s="291"/>
      <c r="O26" s="321"/>
      <c r="P26" s="290"/>
      <c r="Q26" s="290"/>
      <c r="R26" s="334"/>
      <c r="S26" s="349"/>
    </row>
    <row r="27" spans="1:23" ht="20.100000000000001" customHeight="1" x14ac:dyDescent="0.3">
      <c r="A27" s="314">
        <v>44402</v>
      </c>
      <c r="B27" s="294"/>
      <c r="C27" s="290"/>
      <c r="D27" s="288"/>
      <c r="E27" s="398"/>
      <c r="F27" s="294"/>
      <c r="G27" s="423"/>
      <c r="H27" s="294"/>
      <c r="I27" s="290"/>
      <c r="J27" s="428"/>
      <c r="K27" s="361"/>
      <c r="L27" s="361"/>
      <c r="M27" s="362"/>
      <c r="N27" s="291"/>
      <c r="O27" s="321"/>
      <c r="P27" s="290"/>
      <c r="Q27" s="290"/>
      <c r="R27" s="427"/>
      <c r="S27" s="349"/>
    </row>
    <row r="28" spans="1:23" ht="20.100000000000001" customHeight="1" x14ac:dyDescent="0.3">
      <c r="A28" s="314">
        <v>44403</v>
      </c>
      <c r="B28" s="341"/>
      <c r="C28" s="290"/>
      <c r="D28" s="288"/>
      <c r="E28" s="425"/>
      <c r="F28" s="294"/>
      <c r="G28" s="423"/>
      <c r="H28" s="294"/>
      <c r="I28" s="290"/>
      <c r="J28" s="428"/>
      <c r="K28" s="361"/>
      <c r="L28" s="361"/>
      <c r="M28" s="362"/>
      <c r="N28" s="291"/>
      <c r="O28" s="321"/>
      <c r="P28" s="290"/>
      <c r="Q28" s="290"/>
      <c r="R28" s="427"/>
      <c r="S28" s="349"/>
    </row>
    <row r="29" spans="1:23" ht="20.100000000000001" customHeight="1" x14ac:dyDescent="0.3">
      <c r="A29" s="314">
        <v>44404</v>
      </c>
      <c r="B29" s="341"/>
      <c r="C29" s="290"/>
      <c r="D29" s="288"/>
      <c r="E29" s="425"/>
      <c r="F29" s="294"/>
      <c r="G29" s="423"/>
      <c r="H29" s="294"/>
      <c r="I29" s="290"/>
      <c r="J29" s="290"/>
      <c r="K29" s="357"/>
      <c r="L29" s="357"/>
      <c r="M29" s="362"/>
      <c r="N29" s="291"/>
      <c r="O29" s="321"/>
      <c r="P29" s="290"/>
      <c r="Q29" s="290"/>
      <c r="R29" s="334"/>
      <c r="S29" s="349"/>
      <c r="V29" s="363"/>
      <c r="W29" s="363"/>
    </row>
    <row r="30" spans="1:23" ht="20.100000000000001" customHeight="1" x14ac:dyDescent="0.3">
      <c r="A30" s="314">
        <v>44405</v>
      </c>
      <c r="B30" s="291"/>
      <c r="C30" s="290"/>
      <c r="D30" s="288"/>
      <c r="E30" s="425"/>
      <c r="F30" s="294"/>
      <c r="G30" s="423"/>
      <c r="H30" s="294"/>
      <c r="I30" s="290"/>
      <c r="J30" s="290"/>
      <c r="K30" s="357"/>
      <c r="L30" s="357"/>
      <c r="M30" s="362"/>
      <c r="N30" s="291"/>
      <c r="O30" s="321"/>
      <c r="P30" s="290"/>
      <c r="Q30" s="290"/>
      <c r="R30" s="410"/>
      <c r="S30" s="349"/>
    </row>
    <row r="31" spans="1:23" ht="20.100000000000001" customHeight="1" x14ac:dyDescent="0.3">
      <c r="A31" s="314">
        <v>44406</v>
      </c>
      <c r="B31" s="341"/>
      <c r="C31" s="290"/>
      <c r="D31" s="288"/>
      <c r="E31" s="425"/>
      <c r="F31" s="294"/>
      <c r="G31" s="423"/>
      <c r="H31" s="294"/>
      <c r="I31" s="290"/>
      <c r="J31" s="290"/>
      <c r="K31" s="357"/>
      <c r="L31" s="357"/>
      <c r="M31" s="362"/>
      <c r="N31" s="291"/>
      <c r="O31" s="321"/>
      <c r="P31" s="290"/>
      <c r="Q31" s="290"/>
      <c r="R31" s="334"/>
      <c r="S31" s="349"/>
    </row>
    <row r="32" spans="1:23" ht="20.100000000000001" customHeight="1" x14ac:dyDescent="0.3">
      <c r="A32" s="314">
        <v>44407</v>
      </c>
      <c r="B32" s="294"/>
      <c r="C32" s="290"/>
      <c r="D32" s="288"/>
      <c r="E32" s="425"/>
      <c r="F32" s="294"/>
      <c r="G32" s="423"/>
      <c r="H32" s="294"/>
      <c r="I32" s="290"/>
      <c r="J32" s="290"/>
      <c r="K32" s="357"/>
      <c r="L32" s="357"/>
      <c r="M32" s="362"/>
      <c r="N32" s="291"/>
      <c r="O32" s="321"/>
      <c r="P32" s="290"/>
      <c r="Q32" s="290"/>
      <c r="R32" s="334"/>
      <c r="S32" s="349"/>
    </row>
    <row r="33" spans="1:19" ht="20.100000000000001" customHeight="1" x14ac:dyDescent="0.3">
      <c r="A33" s="314">
        <v>44408</v>
      </c>
      <c r="B33" s="291"/>
      <c r="C33" s="290"/>
      <c r="D33" s="288"/>
      <c r="E33" s="425"/>
      <c r="F33" s="341"/>
      <c r="G33" s="423"/>
      <c r="H33" s="294"/>
      <c r="I33" s="290"/>
      <c r="J33" s="290"/>
      <c r="K33" s="357"/>
      <c r="L33" s="357"/>
      <c r="M33" s="342"/>
      <c r="N33" s="291"/>
      <c r="O33" s="321"/>
      <c r="P33" s="290"/>
      <c r="Q33" s="290"/>
      <c r="R33" s="334"/>
      <c r="S33" s="349"/>
    </row>
    <row r="34" spans="1:19" ht="19.5" thickBot="1" x14ac:dyDescent="0.35">
      <c r="A34" s="368" t="s">
        <v>20</v>
      </c>
      <c r="B34" s="369"/>
      <c r="C34" s="370"/>
      <c r="D34" s="370"/>
      <c r="E34" s="371"/>
      <c r="F34" s="369">
        <f>SUM(F3:F33)</f>
        <v>0</v>
      </c>
      <c r="G34" s="372"/>
      <c r="H34" s="369">
        <f t="shared" ref="H34:M34" si="0">SUM(H3:H33)</f>
        <v>740</v>
      </c>
      <c r="I34" s="370">
        <f t="shared" si="0"/>
        <v>0</v>
      </c>
      <c r="J34" s="370">
        <f t="shared" si="0"/>
        <v>0</v>
      </c>
      <c r="K34" s="373">
        <f t="shared" si="0"/>
        <v>0</v>
      </c>
      <c r="L34" s="373">
        <f t="shared" si="0"/>
        <v>0</v>
      </c>
      <c r="M34" s="371">
        <f t="shared" si="0"/>
        <v>0</v>
      </c>
      <c r="N34" s="374"/>
      <c r="O34" s="375"/>
      <c r="P34" s="375"/>
      <c r="Q34" s="376"/>
      <c r="R34" s="377"/>
      <c r="S34" s="378"/>
    </row>
    <row r="35" spans="1:19" s="300" customFormat="1" ht="19.5" thickBot="1" x14ac:dyDescent="0.35">
      <c r="A35" s="368" t="s">
        <v>21</v>
      </c>
      <c r="B35" s="379"/>
      <c r="C35" s="379"/>
      <c r="D35" s="379"/>
      <c r="E35" s="379"/>
      <c r="F35" s="379">
        <f>F34/60</f>
        <v>0</v>
      </c>
      <c r="G35" s="379"/>
      <c r="H35" s="380">
        <f t="shared" ref="H35:M35" si="1">H34/60</f>
        <v>12.333333333333334</v>
      </c>
      <c r="I35" s="380">
        <f t="shared" si="1"/>
        <v>0</v>
      </c>
      <c r="J35" s="380">
        <f t="shared" si="1"/>
        <v>0</v>
      </c>
      <c r="K35" s="380">
        <f t="shared" si="1"/>
        <v>0</v>
      </c>
      <c r="L35" s="380">
        <f t="shared" si="1"/>
        <v>0</v>
      </c>
      <c r="M35" s="380">
        <f t="shared" si="1"/>
        <v>0</v>
      </c>
      <c r="N35" s="379"/>
      <c r="O35" s="379"/>
      <c r="P35" s="379"/>
      <c r="Q35" s="379"/>
      <c r="R35" s="379"/>
      <c r="S35" s="379"/>
    </row>
    <row r="36" spans="1:19" s="300" customFormat="1" x14ac:dyDescent="0.3">
      <c r="A36" s="379" t="s">
        <v>41</v>
      </c>
      <c r="B36" s="379"/>
      <c r="C36" s="379"/>
      <c r="D36" s="379"/>
      <c r="E36" s="379"/>
      <c r="F36" s="379"/>
      <c r="G36" s="379"/>
      <c r="H36" s="381">
        <f>(H4+H17)/60</f>
        <v>1.5</v>
      </c>
      <c r="I36" s="381" t="e">
        <f>(#REF!)/60</f>
        <v>#REF!</v>
      </c>
      <c r="J36" s="381" t="e">
        <f>(J13+J14+J21+J22+J23+J28+#REF!)/60</f>
        <v>#REF!</v>
      </c>
      <c r="K36" s="381" t="e">
        <f>(K7+K10+K15+#REF!)/60</f>
        <v>#REF!</v>
      </c>
      <c r="L36" s="382">
        <f t="shared" ref="L36:M38" si="2">L17/24</f>
        <v>0</v>
      </c>
      <c r="M36" s="382">
        <f t="shared" si="2"/>
        <v>0</v>
      </c>
      <c r="N36" s="379"/>
      <c r="O36" s="379"/>
      <c r="P36" s="379"/>
      <c r="Q36" s="379"/>
      <c r="R36" s="379"/>
      <c r="S36" s="379"/>
    </row>
    <row r="37" spans="1:19" s="300" customFormat="1" x14ac:dyDescent="0.3">
      <c r="A37" s="379" t="s">
        <v>42</v>
      </c>
      <c r="B37" s="379"/>
      <c r="C37" s="379"/>
      <c r="D37" s="379"/>
      <c r="E37" s="379"/>
      <c r="F37" s="379"/>
      <c r="G37" s="379"/>
      <c r="H37" s="381">
        <f>(H5)/60</f>
        <v>0.33333333333333331</v>
      </c>
      <c r="I37" s="381">
        <f>(I21)/60</f>
        <v>0</v>
      </c>
      <c r="J37" s="381">
        <f>(J6+J12+J20)/60</f>
        <v>0</v>
      </c>
      <c r="K37" s="381">
        <f>(K6+K8+K11+K28)/60</f>
        <v>0</v>
      </c>
      <c r="L37" s="382">
        <f t="shared" si="2"/>
        <v>0</v>
      </c>
      <c r="M37" s="382">
        <f t="shared" si="2"/>
        <v>0</v>
      </c>
      <c r="N37" s="379"/>
      <c r="O37" s="379"/>
      <c r="P37" s="379"/>
      <c r="Q37" s="379"/>
      <c r="R37" s="379"/>
      <c r="S37" s="379"/>
    </row>
    <row r="38" spans="1:19" s="300" customFormat="1" x14ac:dyDescent="0.3">
      <c r="A38" s="379" t="s">
        <v>43</v>
      </c>
      <c r="B38" s="379"/>
      <c r="C38" s="379"/>
      <c r="D38" s="379"/>
      <c r="E38" s="379"/>
      <c r="F38" s="379"/>
      <c r="G38" s="379"/>
      <c r="H38" s="381">
        <f>(H24)/60</f>
        <v>0</v>
      </c>
      <c r="I38" s="381">
        <v>0</v>
      </c>
      <c r="J38" s="381">
        <f>(J24+J19+J18)/60</f>
        <v>0</v>
      </c>
      <c r="K38" s="381" t="e">
        <f>(K9+K27+#REF!)/60</f>
        <v>#REF!</v>
      </c>
      <c r="L38" s="382">
        <f t="shared" si="2"/>
        <v>0</v>
      </c>
      <c r="M38" s="382">
        <f t="shared" si="2"/>
        <v>0</v>
      </c>
      <c r="N38" s="379"/>
      <c r="O38" s="379"/>
      <c r="P38" s="379"/>
      <c r="Q38" s="379"/>
      <c r="R38" s="379"/>
      <c r="S38" s="379"/>
    </row>
    <row r="39" spans="1:19" x14ac:dyDescent="0.3">
      <c r="A39" s="426" t="s">
        <v>141</v>
      </c>
      <c r="B39" s="301"/>
      <c r="C39" s="301"/>
      <c r="D39" s="301"/>
      <c r="E39" s="301"/>
      <c r="F39" s="301"/>
      <c r="G39" s="301"/>
      <c r="H39" s="381" t="e">
        <f>(#REF!)/60</f>
        <v>#REF!</v>
      </c>
      <c r="I39" s="381" t="e">
        <f>(#REF!)/60</f>
        <v>#REF!</v>
      </c>
      <c r="J39" s="381" t="e">
        <f>(#REF!)/60</f>
        <v>#REF!</v>
      </c>
      <c r="K39" s="381" t="e">
        <f>#REF!/60</f>
        <v>#REF!</v>
      </c>
      <c r="L39" s="301"/>
      <c r="M39" s="301"/>
      <c r="N39" s="301"/>
      <c r="O39" s="301"/>
      <c r="P39" s="301"/>
      <c r="Q39" s="301"/>
      <c r="R39" s="301"/>
      <c r="S39" s="301"/>
    </row>
    <row r="40" spans="1:19" x14ac:dyDescent="0.3">
      <c r="A40" s="426"/>
      <c r="B40" s="301"/>
      <c r="C40" s="301"/>
      <c r="D40" s="301"/>
      <c r="E40" s="301"/>
      <c r="F40" s="301"/>
      <c r="G40" s="301"/>
      <c r="H40" s="301"/>
      <c r="I40" s="379"/>
      <c r="J40" s="300"/>
      <c r="K40" s="301"/>
      <c r="L40" s="301"/>
      <c r="M40" s="301"/>
      <c r="N40" s="301"/>
      <c r="O40" s="301"/>
      <c r="P40" s="301"/>
      <c r="Q40" s="301"/>
      <c r="R40" s="301"/>
      <c r="S40" s="301"/>
    </row>
    <row r="41" spans="1:19" x14ac:dyDescent="0.3">
      <c r="A41" s="379"/>
      <c r="B41" s="301"/>
      <c r="C41" s="301"/>
      <c r="D41" s="301"/>
      <c r="E41" s="301"/>
      <c r="F41" s="301"/>
      <c r="G41" s="301"/>
      <c r="H41" s="301"/>
      <c r="I41" s="301"/>
      <c r="J41" s="301"/>
      <c r="K41" s="300"/>
      <c r="L41" s="301"/>
      <c r="M41" s="301"/>
      <c r="N41" s="301"/>
      <c r="O41" s="301"/>
      <c r="P41" s="301"/>
      <c r="Q41" s="301"/>
      <c r="R41" s="301"/>
      <c r="S41" s="301"/>
    </row>
    <row r="42" spans="1:19" x14ac:dyDescent="0.3">
      <c r="A42" s="379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</row>
    <row r="43" spans="1:19" x14ac:dyDescent="0.3">
      <c r="A43" s="379"/>
      <c r="B43" s="301"/>
      <c r="C43" s="301"/>
      <c r="D43" s="301"/>
      <c r="E43" s="383"/>
      <c r="F43" s="383"/>
      <c r="G43" s="363"/>
      <c r="H43" s="363"/>
      <c r="I43" s="301"/>
      <c r="J43" s="301"/>
      <c r="K43" s="301"/>
      <c r="L43" s="301"/>
      <c r="M43" s="301"/>
      <c r="N43" s="301"/>
      <c r="O43" s="301"/>
      <c r="P43" s="301"/>
      <c r="Q43" s="301"/>
      <c r="R43" s="301"/>
      <c r="S43" s="301"/>
    </row>
    <row r="44" spans="1:19" ht="19.5" x14ac:dyDescent="0.35">
      <c r="B44" s="301"/>
      <c r="C44" s="2085" t="s">
        <v>143</v>
      </c>
      <c r="D44" s="2086"/>
      <c r="E44" s="2086"/>
      <c r="F44" s="2086"/>
      <c r="G44" s="2087"/>
      <c r="H44" s="301"/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</row>
    <row r="45" spans="1:19" ht="19.5" thickBot="1" x14ac:dyDescent="0.35"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</row>
    <row r="46" spans="1:19" ht="19.5" thickBot="1" x14ac:dyDescent="0.35">
      <c r="B46" s="301"/>
      <c r="C46" s="385"/>
      <c r="D46" s="385" t="s">
        <v>1</v>
      </c>
      <c r="E46" s="386" t="s">
        <v>101</v>
      </c>
      <c r="F46" s="386" t="s">
        <v>102</v>
      </c>
      <c r="G46" s="386" t="s">
        <v>103</v>
      </c>
      <c r="H46" s="301"/>
      <c r="I46" s="301"/>
      <c r="J46" s="301"/>
      <c r="K46" s="301"/>
      <c r="L46" s="301"/>
      <c r="M46" s="301"/>
      <c r="N46" s="301"/>
      <c r="O46" s="301"/>
      <c r="P46" s="301"/>
      <c r="Q46" s="301"/>
      <c r="R46" s="301"/>
      <c r="S46" s="301"/>
    </row>
    <row r="47" spans="1:19" x14ac:dyDescent="0.3">
      <c r="B47" s="301"/>
      <c r="C47" s="387" t="s">
        <v>108</v>
      </c>
      <c r="D47" s="388">
        <f>H36</f>
        <v>1.5</v>
      </c>
      <c r="E47" s="388" t="e">
        <f t="shared" ref="E47:F50" si="3">J36</f>
        <v>#REF!</v>
      </c>
      <c r="F47" s="388" t="e">
        <f t="shared" si="3"/>
        <v>#REF!</v>
      </c>
      <c r="G47" s="389" t="e">
        <f>I36</f>
        <v>#REF!</v>
      </c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</row>
    <row r="48" spans="1:19" x14ac:dyDescent="0.3">
      <c r="A48" s="426"/>
      <c r="B48" s="301"/>
      <c r="C48" s="390" t="s">
        <v>109</v>
      </c>
      <c r="D48" s="391">
        <f>H37</f>
        <v>0.33333333333333331</v>
      </c>
      <c r="E48" s="391">
        <f t="shared" si="3"/>
        <v>0</v>
      </c>
      <c r="F48" s="391">
        <f t="shared" si="3"/>
        <v>0</v>
      </c>
      <c r="G48" s="392">
        <f>I37</f>
        <v>0</v>
      </c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</row>
    <row r="49" spans="1:19" x14ac:dyDescent="0.3">
      <c r="A49" s="419"/>
      <c r="B49" s="301"/>
      <c r="C49" s="390" t="s">
        <v>110</v>
      </c>
      <c r="D49" s="391">
        <f>H38</f>
        <v>0</v>
      </c>
      <c r="E49" s="391">
        <f t="shared" si="3"/>
        <v>0</v>
      </c>
      <c r="F49" s="391" t="e">
        <f t="shared" si="3"/>
        <v>#REF!</v>
      </c>
      <c r="G49" s="392">
        <f>I38</f>
        <v>0</v>
      </c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</row>
    <row r="50" spans="1:19" ht="19.5" thickBot="1" x14ac:dyDescent="0.35">
      <c r="A50" s="419"/>
      <c r="B50" s="301"/>
      <c r="C50" s="393" t="s">
        <v>111</v>
      </c>
      <c r="D50" s="394" t="e">
        <f>H39</f>
        <v>#REF!</v>
      </c>
      <c r="E50" s="394" t="e">
        <f t="shared" si="3"/>
        <v>#REF!</v>
      </c>
      <c r="F50" s="394" t="e">
        <f t="shared" si="3"/>
        <v>#REF!</v>
      </c>
      <c r="G50" s="394" t="e">
        <f>I39</f>
        <v>#REF!</v>
      </c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</row>
    <row r="51" spans="1:19" ht="19.5" thickBot="1" x14ac:dyDescent="0.35">
      <c r="A51" s="419"/>
      <c r="B51" s="301"/>
      <c r="C51" s="395" t="s">
        <v>100</v>
      </c>
      <c r="D51" s="396" t="e">
        <f>D47+D48+D49+D50</f>
        <v>#REF!</v>
      </c>
      <c r="E51" s="396" t="e">
        <f>E47+E48+E49+E50</f>
        <v>#REF!</v>
      </c>
      <c r="F51" s="396" t="e">
        <f>F47+F48+F49+F50</f>
        <v>#REF!</v>
      </c>
      <c r="G51" s="396" t="e">
        <f>G47+G48+G49+G50</f>
        <v>#REF!</v>
      </c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1:19" x14ac:dyDescent="0.3">
      <c r="A52" s="419"/>
      <c r="B52" s="301"/>
      <c r="C52" s="301"/>
      <c r="D52" s="301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19" x14ac:dyDescent="0.3">
      <c r="A53" s="419"/>
      <c r="B53" s="301"/>
      <c r="C53" s="426" t="s">
        <v>106</v>
      </c>
      <c r="D53" s="397" t="e">
        <f>D47+D48+D49+E47+E48+E49+F47+F48+F49+G47+G48+G49</f>
        <v>#REF!</v>
      </c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19" x14ac:dyDescent="0.3">
      <c r="A54" s="419"/>
      <c r="B54" s="301"/>
      <c r="C54" s="426" t="s">
        <v>107</v>
      </c>
      <c r="D54" s="397" t="e">
        <f>AVERAGE(D50:G50)</f>
        <v>#REF!</v>
      </c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19" x14ac:dyDescent="0.3">
      <c r="A55" s="419"/>
      <c r="B55" s="301"/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19" x14ac:dyDescent="0.3">
      <c r="A56" s="419"/>
      <c r="B56" s="301"/>
      <c r="C56" s="301"/>
      <c r="D56" s="301"/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19" x14ac:dyDescent="0.3">
      <c r="A57" s="419"/>
      <c r="B57" s="301"/>
      <c r="C57" s="301"/>
      <c r="D57" s="301"/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19" x14ac:dyDescent="0.3">
      <c r="A58" s="419"/>
      <c r="B58" s="301"/>
      <c r="C58" s="301"/>
      <c r="D58" s="301"/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19" x14ac:dyDescent="0.3">
      <c r="A59" s="419"/>
      <c r="B59" s="301"/>
      <c r="C59" s="301"/>
      <c r="D59" s="301"/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19" x14ac:dyDescent="0.3">
      <c r="A60" s="419"/>
      <c r="B60" s="301"/>
      <c r="C60" s="301"/>
      <c r="D60" s="301"/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19" x14ac:dyDescent="0.3">
      <c r="A61" s="419"/>
      <c r="B61" s="301"/>
      <c r="C61" s="301"/>
      <c r="D61" s="301"/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19" x14ac:dyDescent="0.3">
      <c r="A62" s="419"/>
      <c r="B62" s="301"/>
      <c r="C62" s="301"/>
      <c r="D62" s="301"/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19" x14ac:dyDescent="0.3">
      <c r="A63" s="419"/>
      <c r="B63" s="301"/>
      <c r="C63" s="301"/>
      <c r="D63" s="301"/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19" x14ac:dyDescent="0.3">
      <c r="A64" s="419"/>
      <c r="B64" s="301"/>
      <c r="C64" s="301"/>
      <c r="D64" s="301"/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  <row r="65" spans="1:19" x14ac:dyDescent="0.3">
      <c r="A65" s="419"/>
      <c r="B65" s="301"/>
      <c r="C65" s="301"/>
      <c r="D65" s="301"/>
      <c r="E65" s="301"/>
      <c r="F65" s="301"/>
      <c r="G65" s="301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</row>
    <row r="66" spans="1:19" x14ac:dyDescent="0.3">
      <c r="A66" s="419"/>
      <c r="B66" s="301"/>
      <c r="C66" s="301"/>
      <c r="D66" s="301"/>
      <c r="E66" s="301"/>
      <c r="F66" s="301"/>
      <c r="G66" s="301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1"/>
      <c r="S66" s="301"/>
    </row>
    <row r="67" spans="1:19" x14ac:dyDescent="0.3">
      <c r="A67" s="419"/>
      <c r="B67" s="301"/>
      <c r="C67" s="301"/>
      <c r="D67" s="301"/>
      <c r="E67" s="301"/>
      <c r="F67" s="301"/>
      <c r="G67" s="301"/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</row>
    <row r="68" spans="1:19" x14ac:dyDescent="0.3">
      <c r="A68" s="419"/>
      <c r="B68" s="301"/>
      <c r="C68" s="301"/>
      <c r="D68" s="301"/>
      <c r="E68" s="301"/>
      <c r="F68" s="301"/>
      <c r="G68" s="301"/>
      <c r="H68" s="301"/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</row>
    <row r="69" spans="1:19" x14ac:dyDescent="0.3">
      <c r="A69" s="419"/>
      <c r="B69" s="301"/>
      <c r="C69" s="301"/>
      <c r="D69" s="301"/>
      <c r="E69" s="301"/>
      <c r="F69" s="301"/>
      <c r="G69" s="301"/>
      <c r="H69" s="301"/>
      <c r="I69" s="301"/>
      <c r="J69" s="301"/>
      <c r="K69" s="301"/>
      <c r="L69" s="301"/>
      <c r="M69" s="301"/>
      <c r="N69" s="301"/>
      <c r="O69" s="301"/>
      <c r="P69" s="301"/>
      <c r="Q69" s="301"/>
      <c r="R69" s="301"/>
      <c r="S69" s="301"/>
    </row>
    <row r="70" spans="1:19" x14ac:dyDescent="0.3">
      <c r="A70" s="419"/>
      <c r="B70" s="301"/>
      <c r="C70" s="301"/>
      <c r="D70" s="301"/>
      <c r="E70" s="301"/>
      <c r="F70" s="301"/>
      <c r="G70" s="301"/>
      <c r="H70" s="301"/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</row>
    <row r="71" spans="1:19" x14ac:dyDescent="0.3">
      <c r="A71" s="419"/>
      <c r="B71" s="301"/>
      <c r="C71" s="301"/>
      <c r="D71" s="301"/>
      <c r="E71" s="301"/>
      <c r="F71" s="301"/>
      <c r="G71" s="301"/>
      <c r="H71" s="301"/>
      <c r="I71" s="301"/>
      <c r="J71" s="301"/>
      <c r="K71" s="301"/>
      <c r="L71" s="301"/>
      <c r="M71" s="301"/>
      <c r="N71" s="301"/>
      <c r="O71" s="301"/>
      <c r="P71" s="301"/>
      <c r="Q71" s="301"/>
      <c r="R71" s="301"/>
      <c r="S71" s="301"/>
    </row>
    <row r="72" spans="1:19" x14ac:dyDescent="0.3">
      <c r="A72" s="419"/>
      <c r="B72" s="301"/>
      <c r="C72" s="301"/>
      <c r="D72" s="301"/>
      <c r="E72" s="301"/>
      <c r="F72" s="301"/>
      <c r="G72" s="301"/>
      <c r="H72" s="301"/>
      <c r="I72" s="301"/>
      <c r="J72" s="301"/>
      <c r="K72" s="301"/>
      <c r="L72" s="301"/>
      <c r="M72" s="301"/>
      <c r="N72" s="301"/>
      <c r="O72" s="301"/>
      <c r="P72" s="301"/>
      <c r="Q72" s="301"/>
      <c r="R72" s="301"/>
      <c r="S72" s="301"/>
    </row>
    <row r="73" spans="1:19" x14ac:dyDescent="0.3">
      <c r="A73" s="419"/>
      <c r="B73" s="301"/>
      <c r="C73" s="301"/>
      <c r="D73" s="301"/>
      <c r="E73" s="301"/>
      <c r="F73" s="301"/>
      <c r="G73" s="301"/>
      <c r="H73" s="301"/>
      <c r="I73" s="301"/>
      <c r="J73" s="301"/>
      <c r="K73" s="301"/>
      <c r="L73" s="301"/>
      <c r="M73" s="301"/>
      <c r="N73" s="301"/>
      <c r="O73" s="301"/>
      <c r="P73" s="301"/>
      <c r="Q73" s="301"/>
      <c r="R73" s="301"/>
      <c r="S73" s="301"/>
    </row>
    <row r="74" spans="1:19" x14ac:dyDescent="0.3">
      <c r="A74" s="419"/>
      <c r="B74" s="301"/>
      <c r="C74" s="301"/>
      <c r="D74" s="301"/>
      <c r="E74" s="301"/>
      <c r="F74" s="301"/>
      <c r="G74" s="301"/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</row>
    <row r="75" spans="1:19" x14ac:dyDescent="0.3">
      <c r="A75" s="419"/>
      <c r="B75" s="301"/>
      <c r="C75" s="301"/>
      <c r="D75" s="301"/>
      <c r="E75" s="301"/>
      <c r="F75" s="301"/>
      <c r="G75" s="301"/>
      <c r="H75" s="301"/>
      <c r="I75" s="301"/>
      <c r="J75" s="301"/>
      <c r="K75" s="301"/>
      <c r="L75" s="301"/>
      <c r="M75" s="301"/>
      <c r="N75" s="301"/>
      <c r="O75" s="301"/>
      <c r="P75" s="301"/>
      <c r="Q75" s="301"/>
      <c r="R75" s="301"/>
      <c r="S75" s="301"/>
    </row>
    <row r="76" spans="1:19" x14ac:dyDescent="0.3">
      <c r="A76" s="419"/>
      <c r="B76" s="301"/>
      <c r="C76" s="301"/>
      <c r="D76" s="301"/>
      <c r="E76" s="301"/>
      <c r="F76" s="301"/>
      <c r="G76" s="301"/>
      <c r="H76" s="301"/>
      <c r="I76" s="301"/>
      <c r="J76" s="301"/>
      <c r="K76" s="301"/>
      <c r="L76" s="301"/>
      <c r="M76" s="301"/>
      <c r="N76" s="301"/>
      <c r="O76" s="301"/>
      <c r="P76" s="301"/>
      <c r="Q76" s="301"/>
      <c r="R76" s="301"/>
      <c r="S76" s="301"/>
    </row>
    <row r="77" spans="1:19" x14ac:dyDescent="0.3">
      <c r="A77" s="419"/>
      <c r="B77" s="301"/>
      <c r="C77" s="301"/>
      <c r="D77" s="301"/>
      <c r="E77" s="301"/>
      <c r="F77" s="301"/>
      <c r="G77" s="301"/>
      <c r="H77" s="301"/>
      <c r="I77" s="301"/>
      <c r="J77" s="301"/>
      <c r="K77" s="301"/>
      <c r="L77" s="301"/>
      <c r="M77" s="301"/>
      <c r="N77" s="301"/>
      <c r="O77" s="301"/>
      <c r="P77" s="301"/>
      <c r="Q77" s="301"/>
      <c r="R77" s="301"/>
      <c r="S77" s="301"/>
    </row>
    <row r="78" spans="1:19" x14ac:dyDescent="0.3">
      <c r="A78" s="419"/>
      <c r="B78" s="301"/>
      <c r="C78" s="301"/>
      <c r="D78" s="301"/>
      <c r="E78" s="301"/>
      <c r="F78" s="301"/>
      <c r="G78" s="301"/>
      <c r="H78" s="301"/>
      <c r="I78" s="301"/>
      <c r="J78" s="301"/>
      <c r="K78" s="301"/>
      <c r="L78" s="301"/>
      <c r="M78" s="301"/>
      <c r="N78" s="301"/>
      <c r="O78" s="301"/>
      <c r="P78" s="301"/>
      <c r="Q78" s="301"/>
      <c r="R78" s="301"/>
      <c r="S78" s="301"/>
    </row>
    <row r="79" spans="1:19" x14ac:dyDescent="0.3">
      <c r="A79" s="419"/>
      <c r="B79" s="301"/>
      <c r="C79" s="301"/>
      <c r="D79" s="301"/>
      <c r="E79" s="301"/>
      <c r="F79" s="301"/>
      <c r="G79" s="301"/>
      <c r="H79" s="301"/>
      <c r="I79" s="301"/>
      <c r="J79" s="301"/>
      <c r="K79" s="301"/>
      <c r="L79" s="301"/>
      <c r="M79" s="301"/>
      <c r="N79" s="301"/>
      <c r="O79" s="301"/>
      <c r="P79" s="301"/>
      <c r="Q79" s="301"/>
      <c r="R79" s="301"/>
      <c r="S79" s="301"/>
    </row>
    <row r="80" spans="1:19" x14ac:dyDescent="0.3">
      <c r="A80" s="419"/>
      <c r="B80" s="301"/>
      <c r="C80" s="301"/>
      <c r="D80" s="301"/>
      <c r="E80" s="301"/>
      <c r="F80" s="301"/>
      <c r="G80" s="301"/>
      <c r="H80" s="301"/>
      <c r="I80" s="301"/>
      <c r="J80" s="301"/>
      <c r="K80" s="301"/>
      <c r="L80" s="301"/>
      <c r="M80" s="301"/>
      <c r="N80" s="301"/>
      <c r="O80" s="301"/>
      <c r="P80" s="301"/>
      <c r="Q80" s="301"/>
      <c r="R80" s="301"/>
      <c r="S80" s="301"/>
    </row>
    <row r="81" spans="1:19" x14ac:dyDescent="0.3">
      <c r="A81" s="419"/>
      <c r="B81" s="301"/>
      <c r="C81" s="301"/>
      <c r="D81" s="301"/>
      <c r="E81" s="301"/>
      <c r="F81" s="301"/>
      <c r="G81" s="301"/>
      <c r="H81" s="301"/>
      <c r="I81" s="301"/>
      <c r="J81" s="301"/>
      <c r="K81" s="301"/>
      <c r="L81" s="301"/>
      <c r="M81" s="301"/>
      <c r="N81" s="301"/>
      <c r="O81" s="301"/>
      <c r="P81" s="301"/>
      <c r="Q81" s="301"/>
      <c r="R81" s="301"/>
      <c r="S81" s="301"/>
    </row>
    <row r="82" spans="1:19" x14ac:dyDescent="0.3">
      <c r="A82" s="419"/>
      <c r="B82" s="301"/>
      <c r="C82" s="301"/>
      <c r="D82" s="301"/>
      <c r="E82" s="301"/>
      <c r="F82" s="301"/>
      <c r="G82" s="301"/>
      <c r="H82" s="301"/>
      <c r="I82" s="301"/>
      <c r="J82" s="301"/>
      <c r="K82" s="301"/>
      <c r="L82" s="301"/>
      <c r="M82" s="301"/>
      <c r="N82" s="301"/>
      <c r="O82" s="301"/>
      <c r="P82" s="301"/>
      <c r="Q82" s="301"/>
      <c r="R82" s="301"/>
      <c r="S82" s="301"/>
    </row>
    <row r="83" spans="1:19" x14ac:dyDescent="0.3">
      <c r="A83" s="419"/>
      <c r="B83" s="301"/>
      <c r="C83" s="301"/>
      <c r="D83" s="301"/>
      <c r="E83" s="301"/>
      <c r="F83" s="301"/>
      <c r="G83" s="301"/>
      <c r="H83" s="301"/>
      <c r="I83" s="301"/>
      <c r="J83" s="301"/>
      <c r="K83" s="301"/>
      <c r="L83" s="301"/>
      <c r="M83" s="301"/>
      <c r="N83" s="301"/>
      <c r="O83" s="301"/>
      <c r="P83" s="301"/>
      <c r="Q83" s="301"/>
      <c r="R83" s="301"/>
      <c r="S83" s="301"/>
    </row>
    <row r="84" spans="1:19" x14ac:dyDescent="0.3">
      <c r="A84" s="419"/>
      <c r="B84" s="301"/>
      <c r="C84" s="301"/>
      <c r="D84" s="301"/>
      <c r="E84" s="301"/>
      <c r="F84" s="301"/>
      <c r="G84" s="301"/>
      <c r="H84" s="301"/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1"/>
    </row>
    <row r="85" spans="1:19" x14ac:dyDescent="0.3">
      <c r="A85" s="419"/>
      <c r="B85" s="301"/>
      <c r="C85" s="301"/>
      <c r="D85" s="301"/>
      <c r="E85" s="301"/>
      <c r="F85" s="301"/>
      <c r="G85" s="301"/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</row>
    <row r="86" spans="1:19" x14ac:dyDescent="0.3">
      <c r="A86" s="419"/>
      <c r="B86" s="301"/>
      <c r="C86" s="301"/>
      <c r="D86" s="301"/>
      <c r="E86" s="301"/>
      <c r="F86" s="301"/>
      <c r="G86" s="301"/>
      <c r="H86" s="301"/>
      <c r="I86" s="301"/>
      <c r="J86" s="301"/>
      <c r="K86" s="301"/>
      <c r="L86" s="301"/>
      <c r="M86" s="301"/>
      <c r="N86" s="301"/>
      <c r="O86" s="301"/>
      <c r="P86" s="301"/>
      <c r="Q86" s="301"/>
      <c r="R86" s="301"/>
      <c r="S86" s="301"/>
    </row>
    <row r="87" spans="1:19" x14ac:dyDescent="0.3">
      <c r="A87" s="419"/>
      <c r="B87" s="301"/>
      <c r="C87" s="301"/>
      <c r="D87" s="301"/>
      <c r="E87" s="301"/>
      <c r="F87" s="301"/>
      <c r="G87" s="301"/>
      <c r="H87" s="301"/>
      <c r="I87" s="301"/>
      <c r="J87" s="301"/>
      <c r="K87" s="301"/>
      <c r="L87" s="301"/>
      <c r="M87" s="301"/>
      <c r="N87" s="301"/>
      <c r="O87" s="301"/>
      <c r="P87" s="301"/>
      <c r="Q87" s="301"/>
      <c r="R87" s="301"/>
      <c r="S87" s="301"/>
    </row>
    <row r="88" spans="1:19" x14ac:dyDescent="0.3">
      <c r="A88" s="419"/>
      <c r="B88" s="301"/>
      <c r="C88" s="301"/>
      <c r="D88" s="301"/>
      <c r="E88" s="301"/>
      <c r="F88" s="301"/>
      <c r="G88" s="301"/>
      <c r="H88" s="301"/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1"/>
    </row>
    <row r="89" spans="1:19" x14ac:dyDescent="0.3">
      <c r="A89" s="419"/>
      <c r="B89" s="301"/>
      <c r="C89" s="301"/>
      <c r="D89" s="301"/>
      <c r="E89" s="301"/>
      <c r="F89" s="301"/>
      <c r="G89" s="301"/>
      <c r="H89" s="301"/>
      <c r="I89" s="301"/>
      <c r="J89" s="301"/>
      <c r="K89" s="301"/>
      <c r="L89" s="301"/>
      <c r="M89" s="301"/>
      <c r="N89" s="301"/>
      <c r="O89" s="301"/>
      <c r="P89" s="301"/>
      <c r="Q89" s="301"/>
      <c r="R89" s="301"/>
      <c r="S89" s="301"/>
    </row>
    <row r="90" spans="1:19" x14ac:dyDescent="0.3">
      <c r="A90" s="419"/>
      <c r="B90" s="301"/>
      <c r="C90" s="301"/>
      <c r="D90" s="301"/>
      <c r="E90" s="301"/>
      <c r="F90" s="301"/>
      <c r="G90" s="301"/>
      <c r="H90" s="301"/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</row>
    <row r="91" spans="1:19" x14ac:dyDescent="0.3">
      <c r="A91" s="419"/>
      <c r="B91" s="301"/>
      <c r="C91" s="301"/>
      <c r="D91" s="301"/>
      <c r="E91" s="301"/>
      <c r="F91" s="301"/>
      <c r="G91" s="301"/>
      <c r="H91" s="301"/>
      <c r="I91" s="301"/>
      <c r="J91" s="301"/>
      <c r="K91" s="301"/>
      <c r="L91" s="301"/>
      <c r="M91" s="301"/>
      <c r="N91" s="301"/>
      <c r="O91" s="301"/>
      <c r="P91" s="301"/>
      <c r="Q91" s="301"/>
      <c r="R91" s="301"/>
      <c r="S91" s="301"/>
    </row>
    <row r="92" spans="1:19" x14ac:dyDescent="0.3">
      <c r="A92" s="419"/>
      <c r="B92" s="301"/>
      <c r="C92" s="301"/>
      <c r="D92" s="301"/>
      <c r="E92" s="301"/>
      <c r="F92" s="301"/>
      <c r="G92" s="301"/>
      <c r="H92" s="301"/>
      <c r="I92" s="301"/>
      <c r="J92" s="301"/>
      <c r="K92" s="301"/>
      <c r="L92" s="301"/>
      <c r="M92" s="301"/>
      <c r="N92" s="301"/>
      <c r="O92" s="301"/>
      <c r="P92" s="301"/>
      <c r="Q92" s="301"/>
      <c r="R92" s="301"/>
      <c r="S92" s="301"/>
    </row>
    <row r="93" spans="1:19" x14ac:dyDescent="0.3">
      <c r="A93" s="419"/>
      <c r="B93" s="301"/>
      <c r="C93" s="301"/>
      <c r="D93" s="301"/>
      <c r="E93" s="301"/>
      <c r="F93" s="301"/>
      <c r="G93" s="301"/>
      <c r="H93" s="301"/>
      <c r="I93" s="301"/>
      <c r="J93" s="301"/>
      <c r="K93" s="301"/>
      <c r="L93" s="301"/>
      <c r="M93" s="301"/>
      <c r="N93" s="301"/>
      <c r="O93" s="301"/>
      <c r="P93" s="301"/>
      <c r="Q93" s="301"/>
      <c r="R93" s="301"/>
      <c r="S93" s="301"/>
    </row>
    <row r="94" spans="1:19" x14ac:dyDescent="0.3">
      <c r="A94" s="419"/>
      <c r="B94" s="301"/>
      <c r="C94" s="301"/>
      <c r="D94" s="301"/>
      <c r="E94" s="301"/>
      <c r="F94" s="301"/>
      <c r="G94" s="301"/>
      <c r="H94" s="301"/>
      <c r="I94" s="301"/>
      <c r="J94" s="301"/>
      <c r="K94" s="301"/>
      <c r="L94" s="301"/>
      <c r="M94" s="301"/>
      <c r="N94" s="301"/>
      <c r="O94" s="301"/>
      <c r="P94" s="301"/>
      <c r="Q94" s="301"/>
      <c r="R94" s="301"/>
      <c r="S94" s="301"/>
    </row>
    <row r="95" spans="1:19" x14ac:dyDescent="0.3">
      <c r="A95" s="419"/>
      <c r="B95" s="301"/>
      <c r="C95" s="301"/>
      <c r="D95" s="301"/>
      <c r="E95" s="301"/>
      <c r="F95" s="301"/>
      <c r="G95" s="301"/>
      <c r="H95" s="301"/>
      <c r="I95" s="301"/>
      <c r="J95" s="301"/>
      <c r="K95" s="301"/>
      <c r="L95" s="301"/>
      <c r="M95" s="301"/>
      <c r="N95" s="301"/>
      <c r="O95" s="301"/>
      <c r="P95" s="301"/>
      <c r="Q95" s="301"/>
      <c r="R95" s="301"/>
      <c r="S95" s="301"/>
    </row>
    <row r="96" spans="1:19" x14ac:dyDescent="0.3">
      <c r="A96" s="419"/>
      <c r="B96" s="301"/>
      <c r="C96" s="301"/>
      <c r="D96" s="301"/>
      <c r="E96" s="301"/>
      <c r="F96" s="301"/>
      <c r="G96" s="301"/>
      <c r="H96" s="301"/>
      <c r="I96" s="301"/>
      <c r="J96" s="301"/>
      <c r="K96" s="301"/>
      <c r="L96" s="301"/>
      <c r="M96" s="301"/>
      <c r="N96" s="301"/>
      <c r="O96" s="301"/>
      <c r="P96" s="301"/>
      <c r="Q96" s="301"/>
      <c r="R96" s="301"/>
      <c r="S96" s="301"/>
    </row>
    <row r="97" spans="1:19" x14ac:dyDescent="0.3">
      <c r="A97" s="419"/>
      <c r="B97" s="301"/>
      <c r="C97" s="301"/>
      <c r="D97" s="301"/>
      <c r="E97" s="301"/>
      <c r="F97" s="301"/>
      <c r="G97" s="301"/>
      <c r="H97" s="301"/>
      <c r="I97" s="301"/>
      <c r="J97" s="301"/>
      <c r="K97" s="301"/>
      <c r="L97" s="301"/>
      <c r="M97" s="301"/>
      <c r="N97" s="301"/>
      <c r="O97" s="301"/>
      <c r="P97" s="301"/>
      <c r="Q97" s="301"/>
      <c r="R97" s="301"/>
      <c r="S97" s="301"/>
    </row>
    <row r="98" spans="1:19" x14ac:dyDescent="0.3">
      <c r="A98" s="419"/>
      <c r="B98" s="301"/>
      <c r="C98" s="301"/>
      <c r="D98" s="301"/>
      <c r="E98" s="301"/>
      <c r="F98" s="301"/>
      <c r="G98" s="301"/>
      <c r="H98" s="301"/>
      <c r="I98" s="301"/>
      <c r="J98" s="301"/>
      <c r="K98" s="301"/>
      <c r="L98" s="301"/>
      <c r="M98" s="301"/>
      <c r="N98" s="301"/>
      <c r="O98" s="301"/>
      <c r="P98" s="301"/>
      <c r="Q98" s="301"/>
      <c r="R98" s="301"/>
      <c r="S98" s="301"/>
    </row>
    <row r="99" spans="1:19" x14ac:dyDescent="0.3">
      <c r="A99" s="419"/>
      <c r="B99" s="301"/>
      <c r="C99" s="301"/>
      <c r="D99" s="301"/>
      <c r="E99" s="301"/>
      <c r="F99" s="301"/>
      <c r="G99" s="301"/>
      <c r="H99" s="301"/>
      <c r="I99" s="301"/>
      <c r="J99" s="301"/>
      <c r="K99" s="301"/>
      <c r="L99" s="301"/>
      <c r="M99" s="301"/>
      <c r="N99" s="301"/>
      <c r="O99" s="301"/>
      <c r="P99" s="301"/>
      <c r="Q99" s="301"/>
      <c r="R99" s="301"/>
      <c r="S99" s="301"/>
    </row>
    <row r="100" spans="1:19" x14ac:dyDescent="0.3">
      <c r="A100" s="419"/>
      <c r="B100" s="301"/>
      <c r="C100" s="301"/>
      <c r="D100" s="301"/>
      <c r="E100" s="301"/>
      <c r="F100" s="301"/>
      <c r="G100" s="301"/>
      <c r="H100" s="301"/>
      <c r="I100" s="301"/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</row>
    <row r="101" spans="1:19" x14ac:dyDescent="0.3">
      <c r="A101" s="419"/>
      <c r="B101" s="301"/>
      <c r="C101" s="301"/>
      <c r="D101" s="301"/>
      <c r="E101" s="301"/>
      <c r="F101" s="301"/>
      <c r="G101" s="301"/>
      <c r="H101" s="301"/>
      <c r="I101" s="301"/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</row>
    <row r="102" spans="1:19" x14ac:dyDescent="0.3">
      <c r="A102" s="419"/>
      <c r="B102" s="301"/>
      <c r="C102" s="301"/>
      <c r="D102" s="301"/>
      <c r="E102" s="301"/>
      <c r="F102" s="301"/>
      <c r="G102" s="301"/>
      <c r="H102" s="301"/>
      <c r="I102" s="301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</row>
    <row r="103" spans="1:19" x14ac:dyDescent="0.3">
      <c r="A103" s="419"/>
      <c r="B103" s="301"/>
      <c r="C103" s="301"/>
      <c r="D103" s="301"/>
      <c r="E103" s="301"/>
      <c r="F103" s="301"/>
      <c r="G103" s="301"/>
      <c r="H103" s="301"/>
      <c r="I103" s="301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</row>
    <row r="104" spans="1:19" x14ac:dyDescent="0.3">
      <c r="A104" s="419"/>
      <c r="B104" s="301"/>
      <c r="C104" s="301"/>
      <c r="D104" s="301"/>
      <c r="E104" s="301"/>
      <c r="F104" s="301"/>
      <c r="G104" s="301"/>
      <c r="H104" s="301"/>
      <c r="I104" s="301"/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</row>
    <row r="105" spans="1:19" x14ac:dyDescent="0.3">
      <c r="A105" s="419"/>
      <c r="B105" s="301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</row>
    <row r="106" spans="1:19" x14ac:dyDescent="0.3">
      <c r="A106" s="419"/>
      <c r="B106" s="301"/>
      <c r="C106" s="301"/>
      <c r="D106" s="301"/>
      <c r="E106" s="301"/>
      <c r="F106" s="301"/>
      <c r="G106" s="301"/>
      <c r="H106" s="301"/>
      <c r="I106" s="301"/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</row>
    <row r="107" spans="1:19" x14ac:dyDescent="0.3">
      <c r="A107" s="419"/>
      <c r="B107" s="301"/>
      <c r="C107" s="301"/>
      <c r="D107" s="301"/>
      <c r="E107" s="301"/>
      <c r="F107" s="301"/>
      <c r="G107" s="301"/>
      <c r="H107" s="301"/>
      <c r="I107" s="301"/>
      <c r="J107" s="301"/>
      <c r="K107" s="301"/>
      <c r="L107" s="301"/>
      <c r="M107" s="301"/>
      <c r="N107" s="301"/>
      <c r="O107" s="301"/>
      <c r="P107" s="301"/>
      <c r="Q107" s="301"/>
      <c r="R107" s="301"/>
      <c r="S107" s="301"/>
    </row>
    <row r="108" spans="1:19" x14ac:dyDescent="0.3">
      <c r="A108" s="419"/>
      <c r="B108" s="301"/>
      <c r="C108" s="301"/>
      <c r="D108" s="301"/>
      <c r="E108" s="301"/>
      <c r="F108" s="301"/>
      <c r="G108" s="301"/>
      <c r="H108" s="301"/>
      <c r="I108" s="301"/>
      <c r="J108" s="301"/>
      <c r="K108" s="301"/>
      <c r="L108" s="301"/>
      <c r="M108" s="301"/>
      <c r="N108" s="301"/>
      <c r="O108" s="301"/>
      <c r="P108" s="301"/>
      <c r="Q108" s="301"/>
      <c r="R108" s="301"/>
      <c r="S108" s="301"/>
    </row>
    <row r="109" spans="1:19" x14ac:dyDescent="0.3">
      <c r="A109" s="419"/>
      <c r="B109" s="301"/>
      <c r="C109" s="301"/>
      <c r="D109" s="301"/>
      <c r="E109" s="301"/>
      <c r="F109" s="301"/>
      <c r="G109" s="301"/>
      <c r="H109" s="301"/>
      <c r="I109" s="301"/>
      <c r="J109" s="301"/>
      <c r="K109" s="301"/>
      <c r="L109" s="301"/>
      <c r="M109" s="301"/>
      <c r="N109" s="301"/>
      <c r="O109" s="301"/>
      <c r="P109" s="301"/>
      <c r="Q109" s="301"/>
      <c r="R109" s="301"/>
      <c r="S109" s="301"/>
    </row>
    <row r="110" spans="1:19" x14ac:dyDescent="0.3">
      <c r="A110" s="419"/>
      <c r="B110" s="301"/>
      <c r="C110" s="301"/>
      <c r="D110" s="301"/>
      <c r="E110" s="301"/>
      <c r="F110" s="301"/>
      <c r="G110" s="301"/>
      <c r="H110" s="301"/>
      <c r="I110" s="301"/>
      <c r="J110" s="301"/>
      <c r="K110" s="301"/>
      <c r="L110" s="301"/>
      <c r="M110" s="301"/>
      <c r="N110" s="301"/>
      <c r="O110" s="301"/>
      <c r="P110" s="301"/>
      <c r="Q110" s="301"/>
      <c r="R110" s="301"/>
      <c r="S110" s="301"/>
    </row>
    <row r="111" spans="1:19" x14ac:dyDescent="0.3">
      <c r="A111" s="419"/>
      <c r="B111" s="301"/>
      <c r="C111" s="301"/>
      <c r="D111" s="301"/>
      <c r="E111" s="301"/>
      <c r="F111" s="301"/>
      <c r="G111" s="301"/>
      <c r="H111" s="301"/>
      <c r="I111" s="301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</row>
    <row r="112" spans="1:19" x14ac:dyDescent="0.3">
      <c r="A112" s="419"/>
      <c r="B112" s="301"/>
      <c r="C112" s="301"/>
      <c r="D112" s="301"/>
      <c r="E112" s="301"/>
      <c r="F112" s="301"/>
      <c r="G112" s="301"/>
      <c r="H112" s="301"/>
      <c r="I112" s="301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</row>
    <row r="113" spans="1:19" x14ac:dyDescent="0.3">
      <c r="A113" s="419"/>
      <c r="B113" s="301"/>
      <c r="C113" s="301"/>
      <c r="D113" s="301"/>
      <c r="E113" s="301"/>
      <c r="F113" s="301"/>
      <c r="G113" s="301"/>
      <c r="H113" s="301"/>
      <c r="I113" s="301"/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</row>
    <row r="114" spans="1:19" x14ac:dyDescent="0.3">
      <c r="A114" s="419"/>
      <c r="B114" s="301"/>
      <c r="C114" s="301"/>
      <c r="D114" s="301"/>
      <c r="E114" s="301"/>
      <c r="F114" s="301"/>
      <c r="G114" s="301"/>
      <c r="H114" s="301"/>
      <c r="I114" s="301"/>
      <c r="J114" s="301"/>
      <c r="K114" s="301"/>
      <c r="L114" s="301"/>
      <c r="M114" s="301"/>
      <c r="N114" s="301"/>
      <c r="O114" s="301"/>
      <c r="P114" s="301"/>
      <c r="Q114" s="301"/>
      <c r="R114" s="301"/>
      <c r="S114" s="301"/>
    </row>
    <row r="115" spans="1:19" x14ac:dyDescent="0.3">
      <c r="A115" s="419"/>
      <c r="B115" s="301"/>
      <c r="C115" s="301"/>
      <c r="D115" s="301"/>
      <c r="E115" s="301"/>
      <c r="F115" s="301"/>
      <c r="G115" s="301"/>
      <c r="H115" s="301"/>
      <c r="I115" s="301"/>
      <c r="J115" s="301"/>
      <c r="K115" s="301"/>
      <c r="L115" s="301"/>
      <c r="M115" s="301"/>
      <c r="N115" s="301"/>
      <c r="O115" s="301"/>
      <c r="P115" s="301"/>
      <c r="Q115" s="301"/>
      <c r="R115" s="301"/>
      <c r="S115" s="301"/>
    </row>
    <row r="116" spans="1:19" x14ac:dyDescent="0.3">
      <c r="A116" s="419"/>
      <c r="B116" s="301"/>
      <c r="C116" s="301"/>
      <c r="D116" s="301"/>
      <c r="E116" s="301"/>
      <c r="F116" s="301"/>
      <c r="G116" s="301"/>
      <c r="H116" s="301"/>
      <c r="I116" s="301"/>
      <c r="J116" s="301"/>
      <c r="K116" s="301"/>
      <c r="L116" s="301"/>
      <c r="M116" s="301"/>
      <c r="N116" s="301"/>
      <c r="O116" s="301"/>
      <c r="P116" s="301"/>
      <c r="Q116" s="301"/>
      <c r="R116" s="301"/>
      <c r="S116" s="301"/>
    </row>
    <row r="117" spans="1:19" x14ac:dyDescent="0.3">
      <c r="A117" s="419"/>
      <c r="B117" s="301"/>
      <c r="C117" s="301"/>
      <c r="D117" s="301"/>
      <c r="E117" s="301"/>
      <c r="F117" s="301"/>
      <c r="G117" s="301"/>
      <c r="H117" s="301"/>
      <c r="I117" s="301"/>
      <c r="J117" s="301"/>
      <c r="K117" s="301"/>
      <c r="L117" s="301"/>
      <c r="M117" s="301"/>
      <c r="N117" s="301"/>
      <c r="O117" s="301"/>
      <c r="P117" s="301"/>
      <c r="Q117" s="301"/>
      <c r="R117" s="301"/>
      <c r="S117" s="301"/>
    </row>
    <row r="118" spans="1:19" x14ac:dyDescent="0.3">
      <c r="A118" s="419"/>
      <c r="B118" s="301"/>
      <c r="C118" s="301"/>
      <c r="D118" s="301"/>
      <c r="E118" s="301"/>
      <c r="F118" s="301"/>
      <c r="G118" s="301"/>
      <c r="H118" s="301"/>
      <c r="I118" s="301"/>
      <c r="J118" s="301"/>
      <c r="K118" s="301"/>
      <c r="L118" s="301"/>
      <c r="M118" s="301"/>
      <c r="N118" s="301"/>
      <c r="O118" s="301"/>
      <c r="P118" s="301"/>
      <c r="Q118" s="301"/>
      <c r="R118" s="301"/>
      <c r="S118" s="301"/>
    </row>
    <row r="119" spans="1:19" x14ac:dyDescent="0.3">
      <c r="A119" s="419"/>
      <c r="B119" s="301"/>
      <c r="C119" s="301"/>
      <c r="D119" s="301"/>
      <c r="E119" s="301"/>
      <c r="F119" s="301"/>
      <c r="G119" s="301"/>
      <c r="H119" s="301"/>
      <c r="I119" s="301"/>
      <c r="J119" s="301"/>
      <c r="K119" s="301"/>
      <c r="L119" s="301"/>
      <c r="M119" s="301"/>
      <c r="N119" s="301"/>
      <c r="O119" s="301"/>
      <c r="P119" s="301"/>
      <c r="Q119" s="301"/>
      <c r="R119" s="301"/>
      <c r="S119" s="301"/>
    </row>
    <row r="120" spans="1:19" x14ac:dyDescent="0.3">
      <c r="A120" s="419"/>
      <c r="B120" s="301"/>
      <c r="C120" s="301"/>
      <c r="D120" s="301"/>
      <c r="E120" s="301"/>
      <c r="F120" s="301"/>
      <c r="G120" s="301"/>
      <c r="H120" s="301"/>
      <c r="I120" s="301"/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</row>
    <row r="121" spans="1:19" x14ac:dyDescent="0.3">
      <c r="A121" s="419"/>
      <c r="B121" s="301"/>
      <c r="C121" s="301"/>
      <c r="D121" s="301"/>
      <c r="E121" s="301"/>
      <c r="F121" s="301"/>
      <c r="G121" s="301"/>
      <c r="H121" s="301"/>
      <c r="I121" s="301"/>
      <c r="J121" s="301"/>
      <c r="K121" s="301"/>
      <c r="L121" s="301"/>
      <c r="M121" s="301"/>
      <c r="N121" s="301"/>
      <c r="O121" s="301"/>
      <c r="P121" s="301"/>
      <c r="Q121" s="301"/>
      <c r="R121" s="301"/>
      <c r="S121" s="301"/>
    </row>
    <row r="122" spans="1:19" x14ac:dyDescent="0.3">
      <c r="A122" s="419"/>
      <c r="B122" s="301"/>
      <c r="C122" s="301"/>
      <c r="D122" s="301"/>
      <c r="E122" s="301"/>
      <c r="F122" s="301"/>
      <c r="G122" s="301"/>
      <c r="H122" s="301"/>
      <c r="I122" s="301"/>
      <c r="J122" s="301"/>
      <c r="K122" s="301"/>
      <c r="L122" s="301"/>
      <c r="M122" s="301"/>
      <c r="N122" s="301"/>
      <c r="O122" s="301"/>
      <c r="P122" s="301"/>
      <c r="Q122" s="301"/>
      <c r="R122" s="301"/>
      <c r="S122" s="301"/>
    </row>
    <row r="123" spans="1:19" x14ac:dyDescent="0.3">
      <c r="A123" s="419"/>
      <c r="B123" s="301"/>
      <c r="C123" s="301"/>
      <c r="D123" s="301"/>
      <c r="E123" s="301"/>
      <c r="F123" s="301"/>
      <c r="G123" s="301"/>
      <c r="H123" s="301"/>
      <c r="I123" s="301"/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</row>
    <row r="124" spans="1:19" x14ac:dyDescent="0.3">
      <c r="A124" s="419"/>
      <c r="B124" s="301"/>
      <c r="C124" s="301"/>
      <c r="D124" s="301"/>
      <c r="E124" s="301"/>
      <c r="F124" s="301"/>
      <c r="G124" s="301"/>
      <c r="H124" s="301"/>
      <c r="I124" s="301"/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</row>
    <row r="125" spans="1:19" x14ac:dyDescent="0.3">
      <c r="A125" s="419"/>
      <c r="B125" s="301"/>
      <c r="C125" s="301"/>
      <c r="D125" s="301"/>
      <c r="E125" s="301"/>
      <c r="F125" s="301"/>
      <c r="G125" s="301"/>
      <c r="H125" s="301"/>
      <c r="I125" s="301"/>
      <c r="J125" s="301"/>
      <c r="K125" s="301"/>
      <c r="L125" s="301"/>
      <c r="M125" s="301"/>
      <c r="N125" s="301"/>
      <c r="O125" s="301"/>
      <c r="P125" s="301"/>
      <c r="Q125" s="301"/>
      <c r="R125" s="301"/>
      <c r="S125" s="301"/>
    </row>
    <row r="126" spans="1:19" x14ac:dyDescent="0.3">
      <c r="A126" s="419"/>
      <c r="B126" s="301"/>
      <c r="C126" s="301"/>
      <c r="D126" s="301"/>
      <c r="E126" s="301"/>
      <c r="F126" s="301"/>
      <c r="G126" s="301"/>
      <c r="H126" s="301"/>
      <c r="I126" s="301"/>
      <c r="J126" s="301"/>
      <c r="K126" s="301"/>
      <c r="L126" s="301"/>
      <c r="M126" s="301"/>
      <c r="N126" s="301"/>
      <c r="O126" s="301"/>
      <c r="P126" s="301"/>
      <c r="Q126" s="301"/>
      <c r="R126" s="301"/>
      <c r="S126" s="301"/>
    </row>
    <row r="127" spans="1:19" x14ac:dyDescent="0.3">
      <c r="A127" s="419"/>
      <c r="B127" s="301"/>
      <c r="C127" s="301"/>
      <c r="D127" s="301"/>
      <c r="E127" s="301"/>
      <c r="F127" s="301"/>
      <c r="G127" s="301"/>
      <c r="H127" s="301"/>
      <c r="I127" s="301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</row>
    <row r="128" spans="1:19" x14ac:dyDescent="0.3">
      <c r="A128" s="419"/>
      <c r="B128" s="301"/>
      <c r="C128" s="301"/>
      <c r="D128" s="301"/>
      <c r="E128" s="301"/>
      <c r="F128" s="301"/>
      <c r="G128" s="301"/>
      <c r="H128" s="301"/>
      <c r="I128" s="301"/>
      <c r="J128" s="301"/>
      <c r="K128" s="301"/>
      <c r="L128" s="301"/>
      <c r="M128" s="301"/>
      <c r="N128" s="301"/>
      <c r="O128" s="301"/>
      <c r="P128" s="301"/>
      <c r="Q128" s="301"/>
      <c r="R128" s="301"/>
      <c r="S128" s="301"/>
    </row>
    <row r="129" spans="1:19" x14ac:dyDescent="0.3">
      <c r="A129" s="419"/>
      <c r="B129" s="301"/>
      <c r="C129" s="301"/>
      <c r="D129" s="301"/>
      <c r="E129" s="301"/>
      <c r="F129" s="301"/>
      <c r="G129" s="301"/>
      <c r="H129" s="301"/>
      <c r="I129" s="301"/>
      <c r="J129" s="301"/>
      <c r="K129" s="301"/>
      <c r="L129" s="301"/>
      <c r="M129" s="301"/>
      <c r="N129" s="301"/>
      <c r="O129" s="301"/>
      <c r="P129" s="301"/>
      <c r="Q129" s="301"/>
      <c r="R129" s="301"/>
      <c r="S129" s="301"/>
    </row>
    <row r="130" spans="1:19" x14ac:dyDescent="0.3">
      <c r="A130" s="419"/>
      <c r="B130" s="301"/>
      <c r="C130" s="301"/>
      <c r="D130" s="301"/>
      <c r="E130" s="301"/>
      <c r="F130" s="301"/>
      <c r="G130" s="301"/>
      <c r="H130" s="301"/>
      <c r="I130" s="301"/>
      <c r="J130" s="301"/>
      <c r="K130" s="301"/>
      <c r="L130" s="301"/>
      <c r="M130" s="301"/>
      <c r="N130" s="301"/>
      <c r="O130" s="301"/>
      <c r="P130" s="301"/>
      <c r="Q130" s="301"/>
      <c r="R130" s="301"/>
      <c r="S130" s="301"/>
    </row>
    <row r="131" spans="1:19" x14ac:dyDescent="0.3">
      <c r="A131" s="419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01"/>
      <c r="M131" s="301"/>
      <c r="N131" s="301"/>
      <c r="O131" s="301"/>
      <c r="P131" s="301"/>
      <c r="Q131" s="301"/>
      <c r="R131" s="301"/>
      <c r="S131" s="301"/>
    </row>
    <row r="132" spans="1:19" x14ac:dyDescent="0.3">
      <c r="A132" s="419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01"/>
      <c r="M132" s="301"/>
      <c r="N132" s="301"/>
      <c r="O132" s="301"/>
      <c r="P132" s="301"/>
      <c r="Q132" s="301"/>
      <c r="R132" s="301"/>
      <c r="S132" s="301"/>
    </row>
    <row r="133" spans="1:19" x14ac:dyDescent="0.3">
      <c r="A133" s="419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01"/>
      <c r="M133" s="301"/>
      <c r="N133" s="301"/>
      <c r="O133" s="301"/>
      <c r="P133" s="301"/>
      <c r="Q133" s="301"/>
      <c r="R133" s="301"/>
      <c r="S133" s="301"/>
    </row>
    <row r="134" spans="1:19" x14ac:dyDescent="0.3">
      <c r="A134" s="419"/>
      <c r="B134" s="301"/>
      <c r="C134" s="301"/>
      <c r="D134" s="301"/>
      <c r="E134" s="301"/>
      <c r="F134" s="301"/>
      <c r="G134" s="301"/>
      <c r="H134" s="301"/>
      <c r="I134" s="301"/>
      <c r="J134" s="301"/>
      <c r="K134" s="301"/>
      <c r="L134" s="301"/>
      <c r="M134" s="301"/>
      <c r="N134" s="301"/>
      <c r="O134" s="301"/>
      <c r="P134" s="301"/>
      <c r="Q134" s="301"/>
      <c r="R134" s="301"/>
      <c r="S134" s="301"/>
    </row>
    <row r="135" spans="1:19" x14ac:dyDescent="0.3">
      <c r="A135" s="419"/>
      <c r="B135" s="301"/>
      <c r="C135" s="301"/>
      <c r="D135" s="301"/>
      <c r="E135" s="301"/>
      <c r="F135" s="301"/>
      <c r="G135" s="301"/>
      <c r="H135" s="301"/>
      <c r="I135" s="301"/>
      <c r="J135" s="301"/>
      <c r="K135" s="301"/>
      <c r="L135" s="301"/>
      <c r="M135" s="301"/>
      <c r="N135" s="301"/>
      <c r="O135" s="301"/>
      <c r="P135" s="301"/>
      <c r="Q135" s="301"/>
      <c r="R135" s="301"/>
      <c r="S135" s="301"/>
    </row>
    <row r="136" spans="1:19" x14ac:dyDescent="0.3">
      <c r="A136" s="419"/>
      <c r="B136" s="301"/>
      <c r="C136" s="301"/>
      <c r="D136" s="301"/>
      <c r="E136" s="301"/>
      <c r="F136" s="301"/>
      <c r="G136" s="301"/>
      <c r="H136" s="301"/>
      <c r="I136" s="301"/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</row>
    <row r="137" spans="1:19" x14ac:dyDescent="0.3">
      <c r="A137" s="419"/>
      <c r="B137" s="301"/>
      <c r="C137" s="301"/>
      <c r="D137" s="301"/>
      <c r="E137" s="301"/>
      <c r="F137" s="301"/>
      <c r="G137" s="301"/>
      <c r="H137" s="301"/>
      <c r="I137" s="301"/>
      <c r="J137" s="301"/>
      <c r="K137" s="301"/>
      <c r="L137" s="301"/>
      <c r="M137" s="301"/>
      <c r="N137" s="301"/>
      <c r="O137" s="301"/>
      <c r="P137" s="301"/>
      <c r="Q137" s="301"/>
      <c r="R137" s="301"/>
      <c r="S137" s="301"/>
    </row>
    <row r="138" spans="1:19" x14ac:dyDescent="0.3">
      <c r="A138" s="419"/>
      <c r="B138" s="301"/>
      <c r="C138" s="301"/>
      <c r="D138" s="301"/>
      <c r="E138" s="301"/>
      <c r="F138" s="301"/>
      <c r="G138" s="301"/>
      <c r="H138" s="301"/>
      <c r="I138" s="301"/>
      <c r="J138" s="301"/>
      <c r="K138" s="301"/>
      <c r="L138" s="301"/>
      <c r="M138" s="301"/>
      <c r="N138" s="301"/>
      <c r="O138" s="301"/>
      <c r="P138" s="301"/>
      <c r="Q138" s="301"/>
      <c r="R138" s="301"/>
      <c r="S138" s="301"/>
    </row>
    <row r="139" spans="1:19" x14ac:dyDescent="0.3">
      <c r="A139" s="419"/>
      <c r="B139" s="301"/>
      <c r="C139" s="301"/>
      <c r="D139" s="301"/>
      <c r="E139" s="301"/>
      <c r="F139" s="301"/>
      <c r="G139" s="301"/>
      <c r="H139" s="301"/>
      <c r="I139" s="301"/>
      <c r="J139" s="301"/>
      <c r="K139" s="301"/>
      <c r="L139" s="301"/>
      <c r="M139" s="301"/>
      <c r="N139" s="301"/>
      <c r="O139" s="301"/>
      <c r="P139" s="301"/>
      <c r="Q139" s="301"/>
      <c r="R139" s="301"/>
      <c r="S139" s="301"/>
    </row>
    <row r="140" spans="1:19" x14ac:dyDescent="0.3">
      <c r="A140" s="419"/>
      <c r="B140" s="301"/>
      <c r="C140" s="301"/>
      <c r="D140" s="301"/>
      <c r="E140" s="301"/>
      <c r="F140" s="301"/>
      <c r="G140" s="301"/>
      <c r="H140" s="301"/>
      <c r="I140" s="301"/>
      <c r="J140" s="301"/>
      <c r="K140" s="301"/>
      <c r="L140" s="301"/>
      <c r="M140" s="301"/>
      <c r="N140" s="301"/>
      <c r="O140" s="301"/>
      <c r="P140" s="301"/>
      <c r="Q140" s="301"/>
      <c r="R140" s="301"/>
      <c r="S140" s="301"/>
    </row>
    <row r="141" spans="1:19" x14ac:dyDescent="0.3">
      <c r="A141" s="419"/>
      <c r="B141" s="301"/>
      <c r="C141" s="301"/>
      <c r="D141" s="301"/>
      <c r="E141" s="301"/>
      <c r="F141" s="301"/>
      <c r="G141" s="301"/>
      <c r="H141" s="301"/>
      <c r="I141" s="301"/>
      <c r="J141" s="301"/>
      <c r="K141" s="301"/>
      <c r="L141" s="301"/>
      <c r="M141" s="301"/>
      <c r="N141" s="301"/>
      <c r="O141" s="301"/>
      <c r="P141" s="301"/>
      <c r="Q141" s="301"/>
      <c r="R141" s="301"/>
      <c r="S141" s="301"/>
    </row>
    <row r="142" spans="1:19" x14ac:dyDescent="0.3">
      <c r="A142" s="419"/>
      <c r="B142" s="301"/>
      <c r="C142" s="301"/>
      <c r="D142" s="301"/>
      <c r="E142" s="301"/>
      <c r="F142" s="301"/>
      <c r="G142" s="301"/>
      <c r="H142" s="301"/>
      <c r="I142" s="301"/>
      <c r="J142" s="301"/>
      <c r="K142" s="301"/>
      <c r="L142" s="301"/>
      <c r="M142" s="301"/>
      <c r="N142" s="301"/>
      <c r="O142" s="301"/>
      <c r="P142" s="301"/>
      <c r="Q142" s="301"/>
      <c r="R142" s="301"/>
      <c r="S142" s="301"/>
    </row>
    <row r="143" spans="1:19" x14ac:dyDescent="0.3">
      <c r="A143" s="419"/>
      <c r="B143" s="301"/>
      <c r="C143" s="301"/>
      <c r="D143" s="301"/>
      <c r="E143" s="301"/>
      <c r="F143" s="301"/>
      <c r="G143" s="301"/>
      <c r="H143" s="301"/>
      <c r="I143" s="301"/>
      <c r="J143" s="301"/>
      <c r="K143" s="301"/>
      <c r="L143" s="301"/>
      <c r="M143" s="301"/>
      <c r="N143" s="301"/>
      <c r="O143" s="301"/>
      <c r="P143" s="301"/>
      <c r="Q143" s="301"/>
      <c r="R143" s="301"/>
      <c r="S143" s="301"/>
    </row>
    <row r="144" spans="1:19" x14ac:dyDescent="0.3">
      <c r="A144" s="419"/>
      <c r="B144" s="301"/>
      <c r="C144" s="301"/>
      <c r="D144" s="301"/>
      <c r="E144" s="301"/>
      <c r="F144" s="301"/>
      <c r="G144" s="301"/>
      <c r="H144" s="301"/>
      <c r="I144" s="301"/>
      <c r="J144" s="301"/>
      <c r="K144" s="301"/>
      <c r="L144" s="301"/>
      <c r="M144" s="301"/>
      <c r="N144" s="301"/>
      <c r="O144" s="301"/>
      <c r="P144" s="301"/>
      <c r="Q144" s="301"/>
      <c r="R144" s="301"/>
      <c r="S144" s="301"/>
    </row>
    <row r="145" spans="1:19" x14ac:dyDescent="0.3">
      <c r="A145" s="419"/>
      <c r="B145" s="301"/>
      <c r="C145" s="301"/>
      <c r="D145" s="301"/>
      <c r="E145" s="301"/>
      <c r="F145" s="301"/>
      <c r="G145" s="301"/>
      <c r="H145" s="301"/>
      <c r="I145" s="301"/>
      <c r="J145" s="301"/>
      <c r="K145" s="301"/>
      <c r="L145" s="301"/>
      <c r="M145" s="301"/>
      <c r="N145" s="301"/>
      <c r="O145" s="301"/>
      <c r="P145" s="301"/>
      <c r="Q145" s="301"/>
      <c r="R145" s="301"/>
      <c r="S145" s="301"/>
    </row>
    <row r="146" spans="1:19" x14ac:dyDescent="0.3">
      <c r="A146" s="419"/>
      <c r="B146" s="301"/>
      <c r="C146" s="301"/>
      <c r="D146" s="301"/>
      <c r="E146" s="301"/>
      <c r="F146" s="301"/>
      <c r="G146" s="301"/>
      <c r="H146" s="301"/>
      <c r="I146" s="301"/>
      <c r="J146" s="301"/>
      <c r="K146" s="301"/>
      <c r="L146" s="301"/>
      <c r="M146" s="301"/>
      <c r="N146" s="301"/>
      <c r="O146" s="301"/>
      <c r="P146" s="301"/>
      <c r="Q146" s="301"/>
      <c r="R146" s="301"/>
      <c r="S146" s="301"/>
    </row>
    <row r="147" spans="1:19" x14ac:dyDescent="0.3">
      <c r="A147" s="419"/>
      <c r="B147" s="301"/>
      <c r="C147" s="301"/>
      <c r="D147" s="301"/>
      <c r="E147" s="301"/>
      <c r="F147" s="301"/>
      <c r="G147" s="301"/>
      <c r="H147" s="301"/>
      <c r="I147" s="301"/>
      <c r="J147" s="301"/>
      <c r="K147" s="301"/>
      <c r="L147" s="301"/>
      <c r="M147" s="301"/>
      <c r="N147" s="301"/>
      <c r="O147" s="301"/>
      <c r="P147" s="301"/>
      <c r="Q147" s="301"/>
      <c r="R147" s="301"/>
      <c r="S147" s="301"/>
    </row>
    <row r="148" spans="1:19" x14ac:dyDescent="0.3">
      <c r="A148" s="419"/>
      <c r="B148" s="301"/>
      <c r="C148" s="301"/>
      <c r="D148" s="301"/>
      <c r="E148" s="301"/>
      <c r="F148" s="301"/>
      <c r="G148" s="301"/>
      <c r="H148" s="301"/>
      <c r="I148" s="301"/>
      <c r="J148" s="301"/>
      <c r="K148" s="301"/>
      <c r="L148" s="301"/>
      <c r="M148" s="301"/>
      <c r="N148" s="301"/>
      <c r="O148" s="301"/>
      <c r="P148" s="301"/>
      <c r="Q148" s="301"/>
      <c r="R148" s="301"/>
      <c r="S148" s="301"/>
    </row>
    <row r="149" spans="1:19" x14ac:dyDescent="0.3">
      <c r="A149" s="419"/>
      <c r="B149" s="301"/>
      <c r="C149" s="301"/>
      <c r="D149" s="301"/>
      <c r="E149" s="301"/>
      <c r="F149" s="301"/>
      <c r="G149" s="301"/>
      <c r="H149" s="301"/>
      <c r="I149" s="301"/>
      <c r="J149" s="301"/>
      <c r="K149" s="301"/>
      <c r="L149" s="301"/>
      <c r="M149" s="301"/>
      <c r="N149" s="301"/>
      <c r="O149" s="301"/>
      <c r="P149" s="301"/>
      <c r="Q149" s="301"/>
      <c r="R149" s="301"/>
      <c r="S149" s="301"/>
    </row>
    <row r="150" spans="1:19" x14ac:dyDescent="0.3">
      <c r="A150" s="419"/>
      <c r="B150" s="301"/>
      <c r="C150" s="301"/>
      <c r="D150" s="301"/>
      <c r="E150" s="301"/>
      <c r="F150" s="301"/>
      <c r="G150" s="301"/>
      <c r="H150" s="301"/>
      <c r="I150" s="301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</row>
    <row r="151" spans="1:19" x14ac:dyDescent="0.3">
      <c r="A151" s="419"/>
      <c r="B151" s="301"/>
      <c r="C151" s="301"/>
      <c r="D151" s="301"/>
      <c r="E151" s="301"/>
      <c r="F151" s="301"/>
      <c r="G151" s="301"/>
      <c r="H151" s="301"/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</row>
    <row r="152" spans="1:19" x14ac:dyDescent="0.3">
      <c r="A152" s="419"/>
      <c r="B152" s="301"/>
      <c r="C152" s="301"/>
      <c r="D152" s="301"/>
      <c r="E152" s="301"/>
      <c r="F152" s="301"/>
      <c r="G152" s="301"/>
      <c r="H152" s="301"/>
      <c r="I152" s="301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</row>
    <row r="153" spans="1:19" x14ac:dyDescent="0.3">
      <c r="A153" s="419"/>
      <c r="B153" s="301"/>
      <c r="C153" s="301"/>
      <c r="D153" s="301"/>
      <c r="E153" s="301"/>
      <c r="F153" s="301"/>
      <c r="G153" s="301"/>
      <c r="H153" s="301"/>
      <c r="I153" s="301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</row>
    <row r="154" spans="1:19" x14ac:dyDescent="0.3">
      <c r="A154" s="419"/>
      <c r="B154" s="301"/>
      <c r="C154" s="301"/>
      <c r="D154" s="301"/>
      <c r="E154" s="301"/>
      <c r="F154" s="301"/>
      <c r="G154" s="301"/>
      <c r="H154" s="301"/>
      <c r="I154" s="301"/>
      <c r="J154" s="301"/>
      <c r="K154" s="301"/>
      <c r="L154" s="301"/>
      <c r="M154" s="301"/>
      <c r="N154" s="301"/>
      <c r="O154" s="301"/>
      <c r="P154" s="301"/>
      <c r="Q154" s="301"/>
      <c r="R154" s="301"/>
      <c r="S154" s="301"/>
    </row>
    <row r="155" spans="1:19" x14ac:dyDescent="0.3">
      <c r="A155" s="419"/>
      <c r="B155" s="301"/>
      <c r="C155" s="301"/>
      <c r="D155" s="301"/>
      <c r="E155" s="301"/>
      <c r="F155" s="301"/>
      <c r="G155" s="301"/>
      <c r="H155" s="301"/>
      <c r="I155" s="301"/>
      <c r="J155" s="301"/>
      <c r="K155" s="301"/>
      <c r="L155" s="301"/>
      <c r="M155" s="301"/>
      <c r="N155" s="301"/>
      <c r="O155" s="301"/>
      <c r="P155" s="301"/>
      <c r="Q155" s="301"/>
      <c r="R155" s="301"/>
      <c r="S155" s="301"/>
    </row>
    <row r="156" spans="1:19" x14ac:dyDescent="0.3">
      <c r="A156" s="419"/>
      <c r="B156" s="301"/>
      <c r="C156" s="301"/>
      <c r="D156" s="301"/>
      <c r="E156" s="301"/>
      <c r="F156" s="301"/>
      <c r="G156" s="301"/>
      <c r="H156" s="301"/>
      <c r="I156" s="301"/>
      <c r="J156" s="301"/>
      <c r="K156" s="301"/>
      <c r="L156" s="301"/>
      <c r="M156" s="301"/>
      <c r="N156" s="301"/>
      <c r="O156" s="301"/>
      <c r="P156" s="301"/>
      <c r="Q156" s="301"/>
      <c r="R156" s="301"/>
      <c r="S156" s="301"/>
    </row>
    <row r="157" spans="1:19" x14ac:dyDescent="0.3">
      <c r="A157" s="419"/>
      <c r="B157" s="301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</row>
    <row r="158" spans="1:19" x14ac:dyDescent="0.3">
      <c r="A158" s="419"/>
      <c r="B158" s="301"/>
      <c r="C158" s="301"/>
      <c r="D158" s="301"/>
      <c r="E158" s="301"/>
      <c r="F158" s="301"/>
      <c r="G158" s="301"/>
      <c r="H158" s="301"/>
      <c r="I158" s="301"/>
      <c r="J158" s="301"/>
      <c r="K158" s="301"/>
      <c r="L158" s="301"/>
      <c r="M158" s="301"/>
      <c r="N158" s="301"/>
      <c r="O158" s="301"/>
      <c r="P158" s="301"/>
      <c r="Q158" s="301"/>
      <c r="R158" s="301"/>
      <c r="S158" s="301"/>
    </row>
    <row r="159" spans="1:19" x14ac:dyDescent="0.3">
      <c r="A159" s="419"/>
      <c r="B159" s="301"/>
      <c r="C159" s="301"/>
      <c r="D159" s="301"/>
      <c r="E159" s="301"/>
      <c r="F159" s="301"/>
      <c r="G159" s="301"/>
      <c r="H159" s="301"/>
      <c r="I159" s="301"/>
      <c r="J159" s="301"/>
      <c r="K159" s="301"/>
      <c r="L159" s="301"/>
      <c r="M159" s="301"/>
      <c r="N159" s="301"/>
      <c r="O159" s="301"/>
      <c r="P159" s="301"/>
      <c r="Q159" s="301"/>
      <c r="R159" s="301"/>
      <c r="S159" s="301"/>
    </row>
    <row r="160" spans="1:19" x14ac:dyDescent="0.3">
      <c r="A160" s="419"/>
      <c r="B160" s="301"/>
      <c r="C160" s="301"/>
      <c r="D160" s="301"/>
      <c r="E160" s="301"/>
      <c r="F160" s="301"/>
      <c r="G160" s="301"/>
      <c r="H160" s="301"/>
      <c r="I160" s="301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</row>
    <row r="161" spans="1:19" x14ac:dyDescent="0.3">
      <c r="A161" s="419"/>
      <c r="B161" s="301"/>
      <c r="C161" s="301"/>
      <c r="D161" s="301"/>
      <c r="E161" s="301"/>
      <c r="F161" s="301"/>
      <c r="G161" s="301"/>
      <c r="H161" s="301"/>
      <c r="I161" s="301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</row>
    <row r="162" spans="1:19" x14ac:dyDescent="0.3">
      <c r="A162" s="419"/>
      <c r="B162" s="301"/>
      <c r="C162" s="301"/>
      <c r="D162" s="301"/>
      <c r="E162" s="301"/>
      <c r="F162" s="301"/>
      <c r="G162" s="301"/>
      <c r="H162" s="301"/>
      <c r="I162" s="301"/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</row>
    <row r="163" spans="1:19" x14ac:dyDescent="0.3">
      <c r="A163" s="419"/>
      <c r="B163" s="301"/>
      <c r="C163" s="301"/>
      <c r="D163" s="301"/>
      <c r="E163" s="301"/>
      <c r="F163" s="301"/>
      <c r="G163" s="301"/>
      <c r="H163" s="301"/>
      <c r="I163" s="301"/>
      <c r="J163" s="301"/>
      <c r="K163" s="301"/>
      <c r="L163" s="301"/>
      <c r="M163" s="301"/>
      <c r="N163" s="301"/>
      <c r="O163" s="301"/>
      <c r="P163" s="301"/>
      <c r="Q163" s="301"/>
      <c r="R163" s="301"/>
      <c r="S163" s="301"/>
    </row>
    <row r="164" spans="1:19" x14ac:dyDescent="0.3">
      <c r="A164" s="419"/>
      <c r="B164" s="301"/>
      <c r="C164" s="301"/>
      <c r="D164" s="301"/>
      <c r="E164" s="301"/>
      <c r="F164" s="301"/>
      <c r="G164" s="301"/>
      <c r="H164" s="301"/>
      <c r="I164" s="301"/>
      <c r="J164" s="301"/>
      <c r="K164" s="301"/>
      <c r="L164" s="301"/>
      <c r="M164" s="301"/>
      <c r="N164" s="301"/>
      <c r="O164" s="301"/>
      <c r="P164" s="301"/>
      <c r="Q164" s="301"/>
      <c r="R164" s="301"/>
      <c r="S164" s="301"/>
    </row>
    <row r="165" spans="1:19" x14ac:dyDescent="0.3">
      <c r="A165" s="419"/>
      <c r="B165" s="301"/>
      <c r="C165" s="301"/>
      <c r="D165" s="301"/>
      <c r="E165" s="301"/>
      <c r="F165" s="301"/>
      <c r="G165" s="301"/>
      <c r="H165" s="301"/>
      <c r="I165" s="301"/>
      <c r="J165" s="301"/>
      <c r="K165" s="301"/>
      <c r="L165" s="301"/>
      <c r="M165" s="301"/>
      <c r="N165" s="301"/>
      <c r="O165" s="301"/>
      <c r="P165" s="301"/>
      <c r="Q165" s="301"/>
      <c r="R165" s="301"/>
      <c r="S165" s="301"/>
    </row>
    <row r="166" spans="1:19" x14ac:dyDescent="0.3">
      <c r="A166" s="419"/>
      <c r="B166" s="301"/>
      <c r="C166" s="301"/>
      <c r="D166" s="301"/>
      <c r="E166" s="301"/>
      <c r="F166" s="301"/>
      <c r="G166" s="301"/>
      <c r="H166" s="301"/>
      <c r="I166" s="301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</row>
    <row r="167" spans="1:19" x14ac:dyDescent="0.3">
      <c r="A167" s="419"/>
      <c r="B167" s="301"/>
      <c r="C167" s="301"/>
      <c r="D167" s="301"/>
      <c r="E167" s="301"/>
      <c r="F167" s="301"/>
      <c r="G167" s="301"/>
      <c r="H167" s="301"/>
      <c r="I167" s="301"/>
      <c r="J167" s="301"/>
      <c r="K167" s="301"/>
      <c r="L167" s="301"/>
      <c r="M167" s="301"/>
      <c r="N167" s="301"/>
      <c r="O167" s="301"/>
      <c r="P167" s="301"/>
      <c r="Q167" s="301"/>
      <c r="R167" s="301"/>
      <c r="S167" s="301"/>
    </row>
    <row r="168" spans="1:19" x14ac:dyDescent="0.3">
      <c r="A168" s="419"/>
      <c r="B168" s="301"/>
      <c r="C168" s="301"/>
      <c r="D168" s="301"/>
      <c r="E168" s="301"/>
      <c r="F168" s="301"/>
      <c r="G168" s="301"/>
      <c r="H168" s="301"/>
      <c r="I168" s="301"/>
      <c r="J168" s="301"/>
      <c r="K168" s="301"/>
      <c r="L168" s="301"/>
      <c r="M168" s="301"/>
      <c r="N168" s="301"/>
      <c r="O168" s="301"/>
      <c r="P168" s="301"/>
      <c r="Q168" s="301"/>
      <c r="R168" s="301"/>
      <c r="S168" s="301"/>
    </row>
    <row r="169" spans="1:19" x14ac:dyDescent="0.3">
      <c r="A169" s="419"/>
      <c r="B169" s="301"/>
      <c r="C169" s="301"/>
      <c r="D169" s="301"/>
      <c r="E169" s="301"/>
      <c r="F169" s="301"/>
      <c r="G169" s="301"/>
      <c r="H169" s="301"/>
      <c r="I169" s="301"/>
      <c r="J169" s="301"/>
      <c r="K169" s="301"/>
      <c r="L169" s="301"/>
      <c r="M169" s="301"/>
      <c r="N169" s="301"/>
      <c r="O169" s="301"/>
      <c r="P169" s="301"/>
      <c r="Q169" s="301"/>
      <c r="R169" s="301"/>
      <c r="S169" s="301"/>
    </row>
    <row r="170" spans="1:19" x14ac:dyDescent="0.3">
      <c r="A170" s="419"/>
      <c r="B170" s="301"/>
      <c r="C170" s="301"/>
      <c r="D170" s="301"/>
      <c r="E170" s="301"/>
      <c r="F170" s="301"/>
      <c r="G170" s="301"/>
      <c r="H170" s="301"/>
      <c r="I170" s="301"/>
      <c r="J170" s="301"/>
      <c r="K170" s="301"/>
      <c r="L170" s="301"/>
      <c r="M170" s="301"/>
      <c r="N170" s="301"/>
      <c r="O170" s="301"/>
      <c r="P170" s="301"/>
      <c r="Q170" s="301"/>
      <c r="R170" s="301"/>
      <c r="S170" s="301"/>
    </row>
    <row r="171" spans="1:19" x14ac:dyDescent="0.3">
      <c r="A171" s="419"/>
      <c r="B171" s="301"/>
      <c r="C171" s="301"/>
      <c r="D171" s="301"/>
      <c r="E171" s="301"/>
      <c r="F171" s="301"/>
      <c r="G171" s="301"/>
      <c r="H171" s="301"/>
      <c r="I171" s="301"/>
      <c r="J171" s="301"/>
      <c r="K171" s="301"/>
      <c r="L171" s="301"/>
      <c r="M171" s="301"/>
      <c r="N171" s="301"/>
      <c r="O171" s="301"/>
      <c r="P171" s="301"/>
      <c r="Q171" s="301"/>
      <c r="R171" s="301"/>
      <c r="S171" s="301"/>
    </row>
    <row r="172" spans="1:19" x14ac:dyDescent="0.3">
      <c r="A172" s="419"/>
      <c r="B172" s="301"/>
      <c r="C172" s="301"/>
      <c r="D172" s="301"/>
      <c r="E172" s="301"/>
      <c r="F172" s="301"/>
      <c r="G172" s="301"/>
      <c r="H172" s="301"/>
      <c r="I172" s="301"/>
      <c r="J172" s="301"/>
      <c r="K172" s="301"/>
      <c r="L172" s="301"/>
      <c r="M172" s="301"/>
      <c r="N172" s="301"/>
      <c r="O172" s="301"/>
      <c r="P172" s="301"/>
      <c r="Q172" s="301"/>
      <c r="R172" s="301"/>
      <c r="S172" s="301"/>
    </row>
    <row r="173" spans="1:19" x14ac:dyDescent="0.3">
      <c r="A173" s="419"/>
      <c r="B173" s="301"/>
      <c r="C173" s="301"/>
      <c r="D173" s="301"/>
      <c r="E173" s="301"/>
      <c r="F173" s="301"/>
      <c r="G173" s="301"/>
      <c r="H173" s="301"/>
      <c r="I173" s="301"/>
      <c r="J173" s="301"/>
      <c r="K173" s="301"/>
      <c r="L173" s="301"/>
      <c r="M173" s="301"/>
      <c r="N173" s="301"/>
      <c r="O173" s="301"/>
      <c r="P173" s="301"/>
      <c r="Q173" s="301"/>
      <c r="R173" s="301"/>
      <c r="S173" s="301"/>
    </row>
    <row r="174" spans="1:19" x14ac:dyDescent="0.3">
      <c r="A174" s="419"/>
      <c r="B174" s="301"/>
      <c r="C174" s="301"/>
      <c r="D174" s="301"/>
      <c r="E174" s="301"/>
      <c r="F174" s="301"/>
      <c r="G174" s="301"/>
      <c r="H174" s="301"/>
      <c r="I174" s="301"/>
      <c r="J174" s="301"/>
      <c r="K174" s="301"/>
      <c r="L174" s="301"/>
      <c r="M174" s="301"/>
      <c r="N174" s="301"/>
      <c r="O174" s="301"/>
      <c r="P174" s="301"/>
      <c r="Q174" s="301"/>
      <c r="R174" s="301"/>
      <c r="S174" s="301"/>
    </row>
    <row r="175" spans="1:19" x14ac:dyDescent="0.3">
      <c r="A175" s="419"/>
      <c r="B175" s="301"/>
      <c r="C175" s="301"/>
      <c r="D175" s="301"/>
      <c r="E175" s="301"/>
      <c r="F175" s="301"/>
      <c r="G175" s="301"/>
      <c r="H175" s="301"/>
      <c r="I175" s="301"/>
      <c r="J175" s="301"/>
      <c r="K175" s="301"/>
      <c r="L175" s="301"/>
      <c r="M175" s="301"/>
      <c r="N175" s="301"/>
      <c r="O175" s="301"/>
      <c r="P175" s="301"/>
      <c r="Q175" s="301"/>
      <c r="R175" s="301"/>
      <c r="S175" s="301"/>
    </row>
    <row r="176" spans="1:19" x14ac:dyDescent="0.3">
      <c r="A176" s="419"/>
      <c r="B176" s="301"/>
      <c r="C176" s="301"/>
      <c r="D176" s="301"/>
      <c r="E176" s="301"/>
      <c r="F176" s="301"/>
      <c r="G176" s="301"/>
      <c r="H176" s="301"/>
      <c r="I176" s="301"/>
      <c r="J176" s="301"/>
      <c r="K176" s="301"/>
      <c r="L176" s="301"/>
      <c r="M176" s="301"/>
      <c r="N176" s="301"/>
      <c r="O176" s="301"/>
      <c r="P176" s="301"/>
      <c r="Q176" s="301"/>
      <c r="R176" s="301"/>
      <c r="S176" s="301"/>
    </row>
    <row r="177" spans="1:19" x14ac:dyDescent="0.3">
      <c r="A177" s="419"/>
      <c r="B177" s="301"/>
      <c r="C177" s="301"/>
      <c r="D177" s="301"/>
      <c r="E177" s="301"/>
      <c r="F177" s="301"/>
      <c r="G177" s="301"/>
      <c r="H177" s="301"/>
      <c r="I177" s="301"/>
      <c r="J177" s="301"/>
      <c r="K177" s="301"/>
      <c r="L177" s="301"/>
      <c r="M177" s="301"/>
      <c r="N177" s="301"/>
      <c r="O177" s="301"/>
      <c r="P177" s="301"/>
      <c r="Q177" s="301"/>
      <c r="R177" s="301"/>
      <c r="S177" s="301"/>
    </row>
    <row r="178" spans="1:19" x14ac:dyDescent="0.3">
      <c r="A178" s="419"/>
      <c r="B178" s="301"/>
      <c r="C178" s="301"/>
      <c r="D178" s="301"/>
      <c r="E178" s="301"/>
      <c r="F178" s="301"/>
      <c r="G178" s="301"/>
      <c r="H178" s="301"/>
      <c r="I178" s="301"/>
      <c r="J178" s="301"/>
      <c r="K178" s="301"/>
      <c r="L178" s="301"/>
      <c r="M178" s="301"/>
      <c r="N178" s="301"/>
      <c r="O178" s="301"/>
      <c r="P178" s="301"/>
      <c r="Q178" s="301"/>
      <c r="R178" s="301"/>
      <c r="S178" s="301"/>
    </row>
    <row r="179" spans="1:19" x14ac:dyDescent="0.3">
      <c r="A179" s="419"/>
      <c r="B179" s="301"/>
      <c r="C179" s="301"/>
      <c r="D179" s="301"/>
      <c r="E179" s="301"/>
      <c r="F179" s="301"/>
      <c r="G179" s="301"/>
      <c r="H179" s="301"/>
      <c r="I179" s="301"/>
      <c r="J179" s="301"/>
      <c r="K179" s="301"/>
      <c r="L179" s="301"/>
      <c r="M179" s="301"/>
      <c r="N179" s="301"/>
      <c r="O179" s="301"/>
      <c r="P179" s="301"/>
      <c r="Q179" s="301"/>
      <c r="R179" s="301"/>
      <c r="S179" s="301"/>
    </row>
    <row r="180" spans="1:19" x14ac:dyDescent="0.3">
      <c r="A180" s="419"/>
      <c r="B180" s="301"/>
      <c r="C180" s="301"/>
      <c r="D180" s="301"/>
      <c r="E180" s="301"/>
      <c r="F180" s="301"/>
      <c r="G180" s="301"/>
      <c r="H180" s="301"/>
      <c r="I180" s="301"/>
      <c r="J180" s="301"/>
      <c r="K180" s="301"/>
      <c r="L180" s="301"/>
      <c r="M180" s="301"/>
      <c r="N180" s="301"/>
      <c r="O180" s="301"/>
      <c r="P180" s="301"/>
      <c r="Q180" s="301"/>
      <c r="R180" s="301"/>
      <c r="S180" s="301"/>
    </row>
    <row r="181" spans="1:19" x14ac:dyDescent="0.3">
      <c r="A181" s="419"/>
      <c r="B181" s="301"/>
      <c r="C181" s="301"/>
      <c r="D181" s="301"/>
      <c r="E181" s="301"/>
      <c r="F181" s="301"/>
      <c r="G181" s="301"/>
      <c r="H181" s="301"/>
      <c r="I181" s="301"/>
      <c r="J181" s="301"/>
      <c r="K181" s="301"/>
      <c r="L181" s="301"/>
      <c r="M181" s="301"/>
      <c r="N181" s="301"/>
      <c r="O181" s="301"/>
      <c r="P181" s="301"/>
      <c r="Q181" s="301"/>
      <c r="R181" s="301"/>
      <c r="S181" s="301"/>
    </row>
    <row r="182" spans="1:19" x14ac:dyDescent="0.3">
      <c r="A182" s="419"/>
      <c r="B182" s="301"/>
      <c r="C182" s="301"/>
      <c r="D182" s="301"/>
      <c r="E182" s="301"/>
      <c r="F182" s="301"/>
      <c r="G182" s="301"/>
      <c r="H182" s="301"/>
      <c r="I182" s="301"/>
      <c r="J182" s="301"/>
      <c r="K182" s="301"/>
      <c r="L182" s="301"/>
      <c r="M182" s="301"/>
      <c r="N182" s="301"/>
      <c r="O182" s="301"/>
      <c r="P182" s="301"/>
      <c r="Q182" s="301"/>
      <c r="R182" s="301"/>
      <c r="S182" s="301"/>
    </row>
    <row r="183" spans="1:19" x14ac:dyDescent="0.3">
      <c r="A183" s="419"/>
      <c r="B183" s="301"/>
      <c r="C183" s="301"/>
      <c r="D183" s="301"/>
      <c r="E183" s="301"/>
      <c r="F183" s="301"/>
      <c r="G183" s="301"/>
      <c r="H183" s="301"/>
      <c r="I183" s="301"/>
      <c r="J183" s="301"/>
      <c r="K183" s="301"/>
      <c r="L183" s="301"/>
      <c r="M183" s="301"/>
      <c r="N183" s="301"/>
      <c r="O183" s="301"/>
      <c r="P183" s="301"/>
      <c r="Q183" s="301"/>
      <c r="R183" s="301"/>
      <c r="S183" s="301"/>
    </row>
    <row r="184" spans="1:19" x14ac:dyDescent="0.3">
      <c r="A184" s="419"/>
      <c r="B184" s="301"/>
      <c r="C184" s="301"/>
      <c r="D184" s="301"/>
      <c r="E184" s="301"/>
      <c r="F184" s="301"/>
      <c r="G184" s="301"/>
      <c r="H184" s="301"/>
      <c r="I184" s="301"/>
      <c r="J184" s="301"/>
      <c r="K184" s="301"/>
      <c r="L184" s="301"/>
      <c r="M184" s="301"/>
      <c r="N184" s="301"/>
      <c r="O184" s="301"/>
      <c r="P184" s="301"/>
      <c r="Q184" s="301"/>
      <c r="R184" s="301"/>
      <c r="S184" s="301"/>
    </row>
    <row r="185" spans="1:19" x14ac:dyDescent="0.3">
      <c r="A185" s="419"/>
      <c r="B185" s="301"/>
      <c r="C185" s="301"/>
      <c r="D185" s="301"/>
      <c r="E185" s="301"/>
      <c r="F185" s="301"/>
      <c r="G185" s="301"/>
      <c r="H185" s="301"/>
      <c r="I185" s="301"/>
      <c r="J185" s="301"/>
      <c r="K185" s="301"/>
      <c r="L185" s="301"/>
      <c r="M185" s="301"/>
      <c r="N185" s="301"/>
      <c r="O185" s="301"/>
      <c r="P185" s="301"/>
      <c r="Q185" s="301"/>
      <c r="R185" s="301"/>
      <c r="S185" s="301"/>
    </row>
    <row r="186" spans="1:19" x14ac:dyDescent="0.3">
      <c r="A186" s="419"/>
      <c r="B186" s="301"/>
      <c r="C186" s="301"/>
      <c r="D186" s="301"/>
      <c r="E186" s="301"/>
      <c r="F186" s="301"/>
      <c r="G186" s="301"/>
      <c r="H186" s="301"/>
      <c r="I186" s="301"/>
      <c r="J186" s="301"/>
      <c r="K186" s="301"/>
      <c r="L186" s="301"/>
      <c r="M186" s="301"/>
      <c r="N186" s="301"/>
      <c r="O186" s="301"/>
      <c r="P186" s="301"/>
      <c r="Q186" s="301"/>
      <c r="R186" s="301"/>
      <c r="S186" s="301"/>
    </row>
    <row r="187" spans="1:19" x14ac:dyDescent="0.3">
      <c r="A187" s="419"/>
      <c r="B187" s="301"/>
      <c r="C187" s="301"/>
      <c r="D187" s="301"/>
      <c r="E187" s="301"/>
      <c r="F187" s="301"/>
      <c r="G187" s="301"/>
      <c r="H187" s="301"/>
      <c r="I187" s="301"/>
      <c r="J187" s="301"/>
      <c r="K187" s="301"/>
      <c r="L187" s="301"/>
      <c r="M187" s="301"/>
      <c r="N187" s="301"/>
      <c r="O187" s="301"/>
      <c r="P187" s="301"/>
      <c r="Q187" s="301"/>
      <c r="R187" s="301"/>
      <c r="S187" s="301"/>
    </row>
    <row r="188" spans="1:19" x14ac:dyDescent="0.3">
      <c r="A188" s="419"/>
      <c r="B188" s="301"/>
      <c r="C188" s="301"/>
      <c r="D188" s="301"/>
      <c r="E188" s="301"/>
      <c r="F188" s="301"/>
      <c r="G188" s="301"/>
      <c r="H188" s="301"/>
      <c r="I188" s="301"/>
      <c r="J188" s="301"/>
      <c r="K188" s="301"/>
      <c r="L188" s="301"/>
      <c r="M188" s="301"/>
      <c r="N188" s="301"/>
      <c r="O188" s="301"/>
      <c r="P188" s="301"/>
      <c r="Q188" s="301"/>
      <c r="R188" s="301"/>
      <c r="S188" s="301"/>
    </row>
    <row r="189" spans="1:19" x14ac:dyDescent="0.3">
      <c r="A189" s="419"/>
      <c r="B189" s="301"/>
      <c r="C189" s="301"/>
      <c r="D189" s="301"/>
      <c r="E189" s="301"/>
      <c r="F189" s="301"/>
      <c r="G189" s="301"/>
      <c r="H189" s="301"/>
      <c r="I189" s="301"/>
      <c r="J189" s="301"/>
      <c r="K189" s="301"/>
      <c r="L189" s="301"/>
      <c r="M189" s="301"/>
      <c r="N189" s="301"/>
      <c r="O189" s="301"/>
      <c r="P189" s="301"/>
      <c r="Q189" s="301"/>
      <c r="R189" s="301"/>
      <c r="S189" s="301"/>
    </row>
    <row r="190" spans="1:19" x14ac:dyDescent="0.3">
      <c r="A190" s="419"/>
      <c r="B190" s="301"/>
      <c r="C190" s="301"/>
      <c r="D190" s="301"/>
      <c r="E190" s="301"/>
      <c r="F190" s="301"/>
      <c r="G190" s="301"/>
      <c r="H190" s="301"/>
      <c r="I190" s="301"/>
      <c r="J190" s="301"/>
      <c r="K190" s="301"/>
      <c r="L190" s="301"/>
      <c r="M190" s="301"/>
      <c r="N190" s="301"/>
      <c r="O190" s="301"/>
      <c r="P190" s="301"/>
      <c r="Q190" s="301"/>
      <c r="R190" s="301"/>
      <c r="S190" s="301"/>
    </row>
    <row r="191" spans="1:19" x14ac:dyDescent="0.3">
      <c r="A191" s="419"/>
      <c r="B191" s="301"/>
      <c r="C191" s="301"/>
      <c r="D191" s="301"/>
      <c r="E191" s="301"/>
      <c r="F191" s="301"/>
      <c r="G191" s="301"/>
      <c r="H191" s="301"/>
      <c r="I191" s="301"/>
      <c r="J191" s="301"/>
      <c r="K191" s="301"/>
      <c r="L191" s="301"/>
      <c r="M191" s="301"/>
      <c r="N191" s="301"/>
      <c r="O191" s="301"/>
      <c r="P191" s="301"/>
      <c r="Q191" s="301"/>
      <c r="R191" s="301"/>
      <c r="S191" s="301"/>
    </row>
    <row r="192" spans="1:19" x14ac:dyDescent="0.3">
      <c r="A192" s="419"/>
      <c r="B192" s="301"/>
      <c r="C192" s="301"/>
      <c r="D192" s="301"/>
      <c r="E192" s="301"/>
      <c r="F192" s="301"/>
      <c r="G192" s="301"/>
      <c r="H192" s="301"/>
      <c r="I192" s="301"/>
      <c r="J192" s="301"/>
      <c r="K192" s="301"/>
      <c r="L192" s="301"/>
      <c r="M192" s="301"/>
      <c r="N192" s="301"/>
      <c r="O192" s="301"/>
      <c r="P192" s="301"/>
      <c r="Q192" s="301"/>
      <c r="R192" s="301"/>
      <c r="S192" s="301"/>
    </row>
    <row r="193" spans="1:19" x14ac:dyDescent="0.3">
      <c r="A193" s="419"/>
      <c r="B193" s="301"/>
      <c r="C193" s="301"/>
      <c r="D193" s="301"/>
      <c r="E193" s="301"/>
      <c r="F193" s="301"/>
      <c r="G193" s="301"/>
      <c r="H193" s="301"/>
      <c r="I193" s="301"/>
      <c r="J193" s="301"/>
      <c r="K193" s="301"/>
      <c r="L193" s="301"/>
      <c r="M193" s="301"/>
      <c r="N193" s="301"/>
      <c r="O193" s="301"/>
      <c r="P193" s="301"/>
      <c r="Q193" s="301"/>
      <c r="R193" s="301"/>
      <c r="S193" s="301"/>
    </row>
    <row r="194" spans="1:19" x14ac:dyDescent="0.3">
      <c r="A194" s="419"/>
      <c r="B194" s="301"/>
      <c r="C194" s="301"/>
      <c r="D194" s="301"/>
      <c r="E194" s="301"/>
      <c r="F194" s="301"/>
      <c r="G194" s="301"/>
      <c r="H194" s="301"/>
      <c r="I194" s="301"/>
      <c r="J194" s="301"/>
      <c r="K194" s="301"/>
      <c r="L194" s="301"/>
      <c r="M194" s="301"/>
      <c r="N194" s="301"/>
      <c r="O194" s="301"/>
      <c r="P194" s="301"/>
      <c r="Q194" s="301"/>
      <c r="R194" s="301"/>
      <c r="S194" s="301"/>
    </row>
    <row r="195" spans="1:19" x14ac:dyDescent="0.3">
      <c r="A195" s="419"/>
      <c r="B195" s="301"/>
      <c r="C195" s="301"/>
      <c r="D195" s="301"/>
      <c r="E195" s="301"/>
      <c r="F195" s="301"/>
      <c r="G195" s="301"/>
      <c r="H195" s="301"/>
      <c r="I195" s="301"/>
      <c r="J195" s="301"/>
      <c r="K195" s="301"/>
      <c r="L195" s="301"/>
      <c r="M195" s="301"/>
      <c r="N195" s="301"/>
      <c r="O195" s="301"/>
      <c r="P195" s="301"/>
      <c r="Q195" s="301"/>
      <c r="R195" s="301"/>
      <c r="S195" s="301"/>
    </row>
    <row r="196" spans="1:19" x14ac:dyDescent="0.3">
      <c r="A196" s="419"/>
      <c r="B196" s="301"/>
      <c r="C196" s="301"/>
      <c r="D196" s="301"/>
      <c r="E196" s="301"/>
      <c r="F196" s="301"/>
      <c r="G196" s="301"/>
      <c r="H196" s="301"/>
      <c r="I196" s="301"/>
      <c r="J196" s="301"/>
      <c r="K196" s="301"/>
      <c r="L196" s="301"/>
      <c r="M196" s="301"/>
      <c r="N196" s="301"/>
      <c r="O196" s="301"/>
      <c r="P196" s="301"/>
      <c r="Q196" s="301"/>
      <c r="R196" s="301"/>
      <c r="S196" s="301"/>
    </row>
    <row r="197" spans="1:19" x14ac:dyDescent="0.3">
      <c r="A197" s="419"/>
      <c r="B197" s="301"/>
      <c r="C197" s="301"/>
      <c r="D197" s="301"/>
      <c r="E197" s="301"/>
      <c r="F197" s="301"/>
      <c r="G197" s="301"/>
      <c r="H197" s="301"/>
      <c r="I197" s="301"/>
      <c r="J197" s="301"/>
      <c r="K197" s="301"/>
      <c r="L197" s="301"/>
      <c r="M197" s="301"/>
      <c r="N197" s="301"/>
      <c r="O197" s="301"/>
      <c r="P197" s="301"/>
      <c r="Q197" s="301"/>
      <c r="R197" s="301"/>
      <c r="S197" s="301"/>
    </row>
    <row r="198" spans="1:19" x14ac:dyDescent="0.3">
      <c r="A198" s="419"/>
      <c r="B198" s="301"/>
      <c r="C198" s="301"/>
      <c r="D198" s="301"/>
      <c r="E198" s="301"/>
      <c r="F198" s="301"/>
      <c r="G198" s="301"/>
      <c r="H198" s="301"/>
      <c r="I198" s="301"/>
      <c r="J198" s="301"/>
      <c r="K198" s="301"/>
      <c r="L198" s="301"/>
      <c r="M198" s="301"/>
      <c r="N198" s="301"/>
      <c r="O198" s="301"/>
      <c r="P198" s="301"/>
      <c r="Q198" s="301"/>
      <c r="R198" s="301"/>
      <c r="S198" s="301"/>
    </row>
    <row r="199" spans="1:19" x14ac:dyDescent="0.3">
      <c r="A199" s="419"/>
      <c r="B199" s="301"/>
      <c r="C199" s="301"/>
      <c r="D199" s="301"/>
      <c r="E199" s="301"/>
      <c r="F199" s="301"/>
      <c r="G199" s="301"/>
      <c r="H199" s="301"/>
      <c r="I199" s="301"/>
      <c r="J199" s="301"/>
      <c r="K199" s="301"/>
      <c r="L199" s="301"/>
      <c r="M199" s="301"/>
      <c r="N199" s="301"/>
      <c r="O199" s="301"/>
      <c r="P199" s="301"/>
      <c r="Q199" s="301"/>
      <c r="R199" s="301"/>
      <c r="S199" s="301"/>
    </row>
    <row r="200" spans="1:19" x14ac:dyDescent="0.3">
      <c r="A200" s="419"/>
      <c r="B200" s="301"/>
      <c r="C200" s="301"/>
      <c r="D200" s="301"/>
      <c r="E200" s="301"/>
      <c r="F200" s="301"/>
      <c r="G200" s="301"/>
      <c r="H200" s="301"/>
      <c r="I200" s="301"/>
      <c r="J200" s="301"/>
      <c r="K200" s="301"/>
      <c r="L200" s="301"/>
      <c r="M200" s="301"/>
      <c r="N200" s="301"/>
      <c r="O200" s="301"/>
      <c r="P200" s="301"/>
      <c r="Q200" s="301"/>
      <c r="R200" s="301"/>
      <c r="S200" s="301"/>
    </row>
    <row r="201" spans="1:19" x14ac:dyDescent="0.3">
      <c r="A201" s="419"/>
      <c r="B201" s="301"/>
      <c r="C201" s="301"/>
      <c r="D201" s="301"/>
      <c r="E201" s="301"/>
      <c r="F201" s="301"/>
      <c r="G201" s="301"/>
      <c r="H201" s="301"/>
      <c r="I201" s="301"/>
      <c r="J201" s="301"/>
      <c r="K201" s="301"/>
      <c r="L201" s="301"/>
      <c r="M201" s="301"/>
      <c r="N201" s="301"/>
      <c r="O201" s="301"/>
      <c r="P201" s="301"/>
      <c r="Q201" s="301"/>
      <c r="R201" s="301"/>
      <c r="S201" s="301"/>
    </row>
    <row r="202" spans="1:19" x14ac:dyDescent="0.3">
      <c r="A202" s="419"/>
      <c r="B202" s="301"/>
      <c r="C202" s="301"/>
      <c r="D202" s="301"/>
      <c r="E202" s="301"/>
      <c r="F202" s="301"/>
      <c r="G202" s="301"/>
      <c r="H202" s="301"/>
      <c r="I202" s="301"/>
      <c r="J202" s="301"/>
      <c r="K202" s="301"/>
      <c r="L202" s="301"/>
      <c r="M202" s="301"/>
      <c r="N202" s="301"/>
      <c r="O202" s="301"/>
      <c r="P202" s="301"/>
      <c r="Q202" s="301"/>
      <c r="R202" s="301"/>
      <c r="S202" s="301"/>
    </row>
    <row r="203" spans="1:19" x14ac:dyDescent="0.3">
      <c r="A203" s="419"/>
      <c r="B203" s="301"/>
      <c r="C203" s="301"/>
      <c r="D203" s="301"/>
      <c r="E203" s="301"/>
      <c r="F203" s="301"/>
      <c r="G203" s="301"/>
      <c r="H203" s="301"/>
      <c r="I203" s="301"/>
      <c r="J203" s="301"/>
      <c r="K203" s="301"/>
      <c r="L203" s="301"/>
      <c r="M203" s="301"/>
      <c r="N203" s="301"/>
      <c r="O203" s="301"/>
      <c r="P203" s="301"/>
      <c r="Q203" s="301"/>
      <c r="R203" s="301"/>
      <c r="S203" s="301"/>
    </row>
    <row r="204" spans="1:19" x14ac:dyDescent="0.3">
      <c r="A204" s="419"/>
      <c r="B204" s="301"/>
      <c r="C204" s="301"/>
      <c r="D204" s="301"/>
      <c r="E204" s="301"/>
      <c r="F204" s="301"/>
      <c r="G204" s="301"/>
      <c r="H204" s="301"/>
      <c r="I204" s="301"/>
      <c r="J204" s="301"/>
      <c r="K204" s="301"/>
      <c r="L204" s="301"/>
      <c r="M204" s="301"/>
      <c r="N204" s="301"/>
      <c r="O204" s="301"/>
      <c r="P204" s="301"/>
      <c r="Q204" s="301"/>
      <c r="R204" s="301"/>
      <c r="S204" s="301"/>
    </row>
    <row r="205" spans="1:19" x14ac:dyDescent="0.3">
      <c r="A205" s="419"/>
      <c r="B205" s="301"/>
      <c r="C205" s="301"/>
      <c r="D205" s="301"/>
      <c r="E205" s="301"/>
      <c r="F205" s="301"/>
      <c r="G205" s="301"/>
      <c r="H205" s="301"/>
      <c r="I205" s="301"/>
      <c r="J205" s="301"/>
      <c r="K205" s="301"/>
      <c r="L205" s="301"/>
      <c r="M205" s="301"/>
      <c r="N205" s="301"/>
      <c r="O205" s="301"/>
      <c r="P205" s="301"/>
      <c r="Q205" s="301"/>
      <c r="R205" s="301"/>
      <c r="S205" s="301"/>
    </row>
    <row r="206" spans="1:19" x14ac:dyDescent="0.3">
      <c r="A206" s="419"/>
      <c r="B206" s="301"/>
      <c r="C206" s="301"/>
      <c r="D206" s="301"/>
      <c r="E206" s="301"/>
      <c r="F206" s="301"/>
      <c r="G206" s="301"/>
      <c r="H206" s="301"/>
      <c r="I206" s="301"/>
      <c r="J206" s="301"/>
      <c r="K206" s="301"/>
      <c r="L206" s="301"/>
      <c r="M206" s="301"/>
      <c r="N206" s="301"/>
      <c r="O206" s="301"/>
      <c r="P206" s="301"/>
      <c r="Q206" s="301"/>
      <c r="R206" s="301"/>
      <c r="S206" s="301"/>
    </row>
    <row r="207" spans="1:19" x14ac:dyDescent="0.3">
      <c r="A207" s="419"/>
      <c r="B207" s="301"/>
      <c r="C207" s="301"/>
      <c r="D207" s="301"/>
      <c r="E207" s="301"/>
      <c r="F207" s="301"/>
      <c r="G207" s="301"/>
      <c r="H207" s="301"/>
      <c r="I207" s="301"/>
      <c r="J207" s="301"/>
      <c r="K207" s="301"/>
      <c r="L207" s="301"/>
      <c r="M207" s="301"/>
      <c r="N207" s="301"/>
      <c r="O207" s="301"/>
      <c r="P207" s="301"/>
      <c r="Q207" s="301"/>
      <c r="R207" s="301"/>
      <c r="S207" s="301"/>
    </row>
    <row r="208" spans="1:19" x14ac:dyDescent="0.3">
      <c r="A208" s="419"/>
      <c r="B208" s="301"/>
      <c r="C208" s="301"/>
      <c r="D208" s="301"/>
      <c r="E208" s="301"/>
      <c r="F208" s="301"/>
      <c r="G208" s="301"/>
      <c r="H208" s="301"/>
      <c r="I208" s="301"/>
      <c r="J208" s="301"/>
      <c r="K208" s="301"/>
      <c r="L208" s="301"/>
      <c r="M208" s="301"/>
      <c r="N208" s="301"/>
      <c r="O208" s="301"/>
      <c r="P208" s="301"/>
      <c r="Q208" s="301"/>
      <c r="R208" s="301"/>
      <c r="S208" s="301"/>
    </row>
    <row r="209" spans="1:19" x14ac:dyDescent="0.3">
      <c r="A209" s="419"/>
      <c r="B209" s="301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1"/>
      <c r="O209" s="301"/>
      <c r="P209" s="301"/>
      <c r="Q209" s="301"/>
      <c r="R209" s="301"/>
      <c r="S209" s="301"/>
    </row>
    <row r="210" spans="1:19" x14ac:dyDescent="0.3">
      <c r="A210" s="419"/>
      <c r="B210" s="301"/>
      <c r="C210" s="301"/>
      <c r="D210" s="301"/>
      <c r="E210" s="301"/>
      <c r="F210" s="301"/>
      <c r="G210" s="301"/>
      <c r="H210" s="301"/>
      <c r="I210" s="301"/>
      <c r="J210" s="301"/>
      <c r="K210" s="301"/>
      <c r="L210" s="301"/>
      <c r="M210" s="301"/>
      <c r="N210" s="301"/>
      <c r="O210" s="301"/>
      <c r="P210" s="301"/>
      <c r="Q210" s="301"/>
      <c r="R210" s="301"/>
      <c r="S210" s="301"/>
    </row>
    <row r="211" spans="1:19" x14ac:dyDescent="0.3">
      <c r="A211" s="419"/>
      <c r="B211" s="301"/>
      <c r="C211" s="301"/>
      <c r="D211" s="301"/>
      <c r="E211" s="301"/>
      <c r="F211" s="301"/>
      <c r="G211" s="301"/>
      <c r="H211" s="301"/>
      <c r="I211" s="301"/>
      <c r="J211" s="301"/>
      <c r="K211" s="301"/>
      <c r="L211" s="301"/>
      <c r="M211" s="301"/>
      <c r="N211" s="301"/>
      <c r="O211" s="301"/>
      <c r="P211" s="301"/>
      <c r="Q211" s="301"/>
      <c r="R211" s="301"/>
      <c r="S211" s="301"/>
    </row>
    <row r="212" spans="1:19" x14ac:dyDescent="0.3">
      <c r="A212" s="419"/>
      <c r="B212" s="301"/>
      <c r="C212" s="301"/>
      <c r="D212" s="301"/>
      <c r="E212" s="301"/>
      <c r="F212" s="301"/>
      <c r="G212" s="301"/>
      <c r="H212" s="301"/>
      <c r="I212" s="301"/>
      <c r="J212" s="301"/>
      <c r="K212" s="301"/>
      <c r="L212" s="301"/>
      <c r="M212" s="301"/>
      <c r="N212" s="301"/>
      <c r="O212" s="301"/>
      <c r="P212" s="301"/>
      <c r="Q212" s="301"/>
      <c r="R212" s="301"/>
      <c r="S212" s="301"/>
    </row>
    <row r="213" spans="1:19" x14ac:dyDescent="0.3">
      <c r="A213" s="419"/>
      <c r="B213" s="301"/>
      <c r="C213" s="301"/>
      <c r="D213" s="301"/>
      <c r="E213" s="301"/>
      <c r="F213" s="301"/>
      <c r="G213" s="301"/>
      <c r="H213" s="301"/>
      <c r="I213" s="301"/>
      <c r="J213" s="301"/>
      <c r="K213" s="301"/>
      <c r="L213" s="301"/>
      <c r="M213" s="301"/>
      <c r="N213" s="301"/>
      <c r="O213" s="301"/>
      <c r="P213" s="301"/>
      <c r="Q213" s="301"/>
      <c r="R213" s="301"/>
      <c r="S213" s="301"/>
    </row>
    <row r="214" spans="1:19" x14ac:dyDescent="0.3">
      <c r="A214" s="419"/>
      <c r="B214" s="301"/>
      <c r="C214" s="301"/>
      <c r="D214" s="301"/>
      <c r="E214" s="301"/>
      <c r="F214" s="301"/>
      <c r="G214" s="301"/>
      <c r="H214" s="301"/>
      <c r="I214" s="301"/>
      <c r="J214" s="301"/>
      <c r="K214" s="301"/>
      <c r="L214" s="301"/>
      <c r="M214" s="301"/>
      <c r="N214" s="301"/>
      <c r="O214" s="301"/>
      <c r="P214" s="301"/>
      <c r="Q214" s="301"/>
      <c r="R214" s="301"/>
      <c r="S214" s="301"/>
    </row>
    <row r="215" spans="1:19" x14ac:dyDescent="0.3">
      <c r="A215" s="419"/>
      <c r="B215" s="301"/>
      <c r="C215" s="301"/>
      <c r="D215" s="301"/>
      <c r="E215" s="301"/>
      <c r="F215" s="301"/>
      <c r="G215" s="301"/>
      <c r="H215" s="301"/>
      <c r="I215" s="301"/>
      <c r="J215" s="301"/>
      <c r="K215" s="301"/>
      <c r="L215" s="301"/>
      <c r="M215" s="301"/>
      <c r="N215" s="301"/>
      <c r="O215" s="301"/>
      <c r="P215" s="301"/>
      <c r="Q215" s="301"/>
      <c r="R215" s="301"/>
      <c r="S215" s="301"/>
    </row>
    <row r="216" spans="1:19" x14ac:dyDescent="0.3">
      <c r="A216" s="419"/>
      <c r="B216" s="301"/>
      <c r="C216" s="301"/>
      <c r="D216" s="301"/>
      <c r="E216" s="301"/>
      <c r="F216" s="301"/>
      <c r="G216" s="301"/>
      <c r="H216" s="301"/>
      <c r="I216" s="301"/>
      <c r="J216" s="301"/>
      <c r="K216" s="301"/>
      <c r="L216" s="301"/>
      <c r="M216" s="301"/>
      <c r="N216" s="301"/>
      <c r="O216" s="301"/>
      <c r="P216" s="301"/>
      <c r="Q216" s="301"/>
      <c r="R216" s="301"/>
      <c r="S216" s="301"/>
    </row>
    <row r="217" spans="1:19" x14ac:dyDescent="0.3">
      <c r="A217" s="419"/>
      <c r="B217" s="301"/>
      <c r="C217" s="301"/>
      <c r="D217" s="301"/>
      <c r="E217" s="301"/>
      <c r="F217" s="301"/>
      <c r="G217" s="301"/>
      <c r="H217" s="301"/>
      <c r="I217" s="301"/>
      <c r="J217" s="301"/>
      <c r="K217" s="301"/>
      <c r="L217" s="301"/>
      <c r="M217" s="301"/>
      <c r="N217" s="301"/>
      <c r="O217" s="301"/>
      <c r="P217" s="301"/>
      <c r="Q217" s="301"/>
      <c r="R217" s="301"/>
      <c r="S217" s="301"/>
    </row>
    <row r="218" spans="1:19" x14ac:dyDescent="0.3">
      <c r="A218" s="419"/>
      <c r="B218" s="301"/>
      <c r="C218" s="301"/>
      <c r="D218" s="301"/>
      <c r="E218" s="301"/>
      <c r="F218" s="301"/>
      <c r="G218" s="301"/>
      <c r="H218" s="301"/>
      <c r="I218" s="301"/>
      <c r="J218" s="301"/>
      <c r="K218" s="301"/>
      <c r="L218" s="301"/>
      <c r="M218" s="301"/>
      <c r="N218" s="301"/>
      <c r="O218" s="301"/>
      <c r="P218" s="301"/>
      <c r="Q218" s="301"/>
      <c r="R218" s="301"/>
      <c r="S218" s="301"/>
    </row>
    <row r="219" spans="1:19" x14ac:dyDescent="0.3">
      <c r="A219" s="419"/>
      <c r="B219" s="301"/>
      <c r="C219" s="301"/>
      <c r="D219" s="301"/>
      <c r="E219" s="301"/>
      <c r="F219" s="301"/>
      <c r="G219" s="301"/>
      <c r="H219" s="301"/>
      <c r="I219" s="301"/>
      <c r="J219" s="301"/>
      <c r="K219" s="301"/>
      <c r="L219" s="301"/>
      <c r="M219" s="301"/>
      <c r="N219" s="301"/>
      <c r="O219" s="301"/>
      <c r="P219" s="301"/>
      <c r="Q219" s="301"/>
      <c r="R219" s="301"/>
      <c r="S219" s="301"/>
    </row>
    <row r="220" spans="1:19" x14ac:dyDescent="0.3">
      <c r="A220" s="419"/>
      <c r="B220" s="301"/>
      <c r="C220" s="301"/>
      <c r="D220" s="301"/>
      <c r="E220" s="301"/>
      <c r="F220" s="301"/>
      <c r="G220" s="301"/>
      <c r="H220" s="301"/>
      <c r="I220" s="301"/>
      <c r="J220" s="301"/>
      <c r="K220" s="301"/>
      <c r="L220" s="301"/>
      <c r="M220" s="301"/>
      <c r="N220" s="301"/>
      <c r="O220" s="301"/>
      <c r="P220" s="301"/>
      <c r="Q220" s="301"/>
      <c r="R220" s="301"/>
      <c r="S220" s="301"/>
    </row>
    <row r="221" spans="1:19" x14ac:dyDescent="0.3">
      <c r="A221" s="419"/>
      <c r="B221" s="301"/>
      <c r="C221" s="301"/>
      <c r="D221" s="301"/>
      <c r="E221" s="301"/>
      <c r="F221" s="301"/>
      <c r="G221" s="301"/>
      <c r="H221" s="301"/>
      <c r="I221" s="301"/>
      <c r="J221" s="301"/>
      <c r="K221" s="301"/>
      <c r="L221" s="301"/>
      <c r="M221" s="301"/>
      <c r="N221" s="301"/>
      <c r="O221" s="301"/>
      <c r="P221" s="301"/>
      <c r="Q221" s="301"/>
      <c r="R221" s="301"/>
      <c r="S221" s="301"/>
    </row>
    <row r="222" spans="1:19" x14ac:dyDescent="0.3">
      <c r="A222" s="419"/>
      <c r="B222" s="301"/>
      <c r="C222" s="301"/>
      <c r="D222" s="301"/>
      <c r="E222" s="301"/>
      <c r="F222" s="301"/>
      <c r="G222" s="301"/>
      <c r="H222" s="301"/>
      <c r="I222" s="301"/>
      <c r="J222" s="301"/>
      <c r="K222" s="301"/>
      <c r="L222" s="301"/>
      <c r="M222" s="301"/>
      <c r="N222" s="301"/>
      <c r="O222" s="301"/>
      <c r="P222" s="301"/>
      <c r="Q222" s="301"/>
      <c r="R222" s="301"/>
      <c r="S222" s="301"/>
    </row>
    <row r="223" spans="1:19" x14ac:dyDescent="0.3">
      <c r="A223" s="419"/>
      <c r="B223" s="301"/>
      <c r="C223" s="301"/>
      <c r="D223" s="301"/>
      <c r="E223" s="301"/>
      <c r="F223" s="301"/>
      <c r="G223" s="301"/>
      <c r="H223" s="301"/>
      <c r="I223" s="301"/>
      <c r="J223" s="301"/>
      <c r="K223" s="301"/>
      <c r="L223" s="301"/>
      <c r="M223" s="301"/>
      <c r="N223" s="301"/>
      <c r="O223" s="301"/>
      <c r="P223" s="301"/>
      <c r="Q223" s="301"/>
      <c r="R223" s="301"/>
      <c r="S223" s="301"/>
    </row>
    <row r="224" spans="1:19" x14ac:dyDescent="0.3">
      <c r="A224" s="419"/>
      <c r="B224" s="301"/>
      <c r="C224" s="301"/>
      <c r="D224" s="301"/>
      <c r="E224" s="301"/>
      <c r="F224" s="301"/>
      <c r="G224" s="301"/>
      <c r="H224" s="301"/>
      <c r="I224" s="301"/>
      <c r="J224" s="301"/>
      <c r="K224" s="301"/>
      <c r="L224" s="301"/>
      <c r="M224" s="301"/>
      <c r="N224" s="301"/>
      <c r="O224" s="301"/>
      <c r="P224" s="301"/>
      <c r="Q224" s="301"/>
      <c r="R224" s="301"/>
      <c r="S224" s="301"/>
    </row>
    <row r="225" spans="1:19" x14ac:dyDescent="0.3">
      <c r="A225" s="419"/>
      <c r="B225" s="301"/>
      <c r="C225" s="301"/>
      <c r="D225" s="301"/>
      <c r="E225" s="301"/>
      <c r="F225" s="301"/>
      <c r="G225" s="301"/>
      <c r="H225" s="301"/>
      <c r="I225" s="301"/>
      <c r="J225" s="301"/>
      <c r="K225" s="301"/>
      <c r="L225" s="301"/>
      <c r="M225" s="301"/>
      <c r="N225" s="301"/>
      <c r="O225" s="301"/>
      <c r="P225" s="301"/>
      <c r="Q225" s="301"/>
      <c r="R225" s="301"/>
      <c r="S225" s="301"/>
    </row>
    <row r="226" spans="1:19" x14ac:dyDescent="0.3">
      <c r="A226" s="419"/>
      <c r="B226" s="301"/>
      <c r="C226" s="301"/>
      <c r="D226" s="301"/>
      <c r="E226" s="301"/>
      <c r="F226" s="301"/>
      <c r="G226" s="301"/>
      <c r="H226" s="301"/>
      <c r="I226" s="301"/>
      <c r="J226" s="301"/>
      <c r="K226" s="301"/>
      <c r="L226" s="301"/>
      <c r="M226" s="301"/>
      <c r="N226" s="301"/>
      <c r="O226" s="301"/>
      <c r="P226" s="301"/>
      <c r="Q226" s="301"/>
      <c r="R226" s="301"/>
      <c r="S226" s="301"/>
    </row>
    <row r="227" spans="1:19" x14ac:dyDescent="0.3">
      <c r="A227" s="419"/>
      <c r="B227" s="301"/>
      <c r="C227" s="301"/>
      <c r="D227" s="301"/>
      <c r="E227" s="301"/>
      <c r="F227" s="301"/>
      <c r="G227" s="301"/>
      <c r="H227" s="301"/>
      <c r="I227" s="301"/>
      <c r="J227" s="301"/>
      <c r="K227" s="301"/>
      <c r="L227" s="301"/>
      <c r="M227" s="301"/>
      <c r="N227" s="301"/>
      <c r="O227" s="301"/>
      <c r="P227" s="301"/>
      <c r="Q227" s="301"/>
      <c r="R227" s="301"/>
      <c r="S227" s="301"/>
    </row>
    <row r="228" spans="1:19" x14ac:dyDescent="0.3">
      <c r="A228" s="419"/>
      <c r="B228" s="301"/>
      <c r="C228" s="301"/>
      <c r="D228" s="301"/>
      <c r="E228" s="301"/>
      <c r="F228" s="301"/>
      <c r="G228" s="301"/>
      <c r="H228" s="301"/>
      <c r="I228" s="301"/>
      <c r="J228" s="301"/>
      <c r="K228" s="301"/>
      <c r="L228" s="301"/>
      <c r="M228" s="301"/>
      <c r="N228" s="301"/>
      <c r="O228" s="301"/>
      <c r="P228" s="301"/>
      <c r="Q228" s="301"/>
      <c r="R228" s="301"/>
      <c r="S228" s="301"/>
    </row>
    <row r="229" spans="1:19" x14ac:dyDescent="0.3">
      <c r="A229" s="419"/>
      <c r="B229" s="301"/>
      <c r="C229" s="301"/>
      <c r="D229" s="301"/>
      <c r="E229" s="301"/>
      <c r="F229" s="301"/>
      <c r="G229" s="301"/>
      <c r="H229" s="301"/>
      <c r="I229" s="301"/>
      <c r="J229" s="301"/>
      <c r="K229" s="301"/>
      <c r="L229" s="301"/>
      <c r="M229" s="301"/>
      <c r="N229" s="301"/>
      <c r="O229" s="301"/>
      <c r="P229" s="301"/>
      <c r="Q229" s="301"/>
      <c r="R229" s="301"/>
      <c r="S229" s="301"/>
    </row>
    <row r="230" spans="1:19" x14ac:dyDescent="0.3">
      <c r="A230" s="419"/>
      <c r="B230" s="301"/>
      <c r="C230" s="301"/>
      <c r="D230" s="301"/>
      <c r="E230" s="301"/>
      <c r="F230" s="301"/>
      <c r="G230" s="301"/>
      <c r="H230" s="301"/>
      <c r="I230" s="301"/>
      <c r="J230" s="301"/>
      <c r="K230" s="301"/>
      <c r="L230" s="301"/>
      <c r="M230" s="301"/>
      <c r="N230" s="301"/>
      <c r="O230" s="301"/>
      <c r="P230" s="301"/>
      <c r="Q230" s="301"/>
      <c r="R230" s="301"/>
      <c r="S230" s="301"/>
    </row>
    <row r="231" spans="1:19" x14ac:dyDescent="0.3">
      <c r="A231" s="419"/>
      <c r="B231" s="301"/>
      <c r="C231" s="301"/>
      <c r="D231" s="301"/>
      <c r="E231" s="301"/>
      <c r="F231" s="301"/>
      <c r="G231" s="301"/>
      <c r="H231" s="301"/>
      <c r="I231" s="301"/>
      <c r="J231" s="301"/>
      <c r="K231" s="301"/>
      <c r="L231" s="301"/>
      <c r="M231" s="301"/>
      <c r="N231" s="301"/>
      <c r="O231" s="301"/>
      <c r="P231" s="301"/>
      <c r="Q231" s="301"/>
      <c r="R231" s="301"/>
      <c r="S231" s="301"/>
    </row>
    <row r="232" spans="1:19" x14ac:dyDescent="0.3">
      <c r="A232" s="419"/>
      <c r="B232" s="301"/>
      <c r="C232" s="301"/>
      <c r="D232" s="301"/>
      <c r="E232" s="301"/>
      <c r="F232" s="301"/>
      <c r="G232" s="301"/>
      <c r="H232" s="301"/>
      <c r="I232" s="301"/>
      <c r="J232" s="301"/>
      <c r="K232" s="301"/>
      <c r="L232" s="301"/>
      <c r="M232" s="301"/>
      <c r="N232" s="301"/>
      <c r="O232" s="301"/>
      <c r="P232" s="301"/>
      <c r="Q232" s="301"/>
      <c r="R232" s="301"/>
      <c r="S232" s="301"/>
    </row>
    <row r="233" spans="1:19" x14ac:dyDescent="0.3">
      <c r="A233" s="419"/>
      <c r="B233" s="301"/>
      <c r="C233" s="301"/>
      <c r="D233" s="301"/>
      <c r="E233" s="301"/>
      <c r="F233" s="301"/>
      <c r="G233" s="301"/>
      <c r="H233" s="301"/>
      <c r="I233" s="301"/>
      <c r="J233" s="301"/>
      <c r="K233" s="301"/>
      <c r="L233" s="301"/>
      <c r="M233" s="301"/>
      <c r="N233" s="301"/>
      <c r="O233" s="301"/>
      <c r="P233" s="301"/>
      <c r="Q233" s="301"/>
      <c r="R233" s="301"/>
      <c r="S233" s="301"/>
    </row>
    <row r="234" spans="1:19" x14ac:dyDescent="0.3">
      <c r="A234" s="419"/>
      <c r="B234" s="301"/>
      <c r="C234" s="301"/>
      <c r="D234" s="301"/>
      <c r="E234" s="301"/>
      <c r="F234" s="301"/>
      <c r="G234" s="301"/>
      <c r="H234" s="301"/>
      <c r="I234" s="301"/>
      <c r="J234" s="301"/>
      <c r="K234" s="301"/>
      <c r="L234" s="301"/>
      <c r="M234" s="301"/>
      <c r="N234" s="301"/>
      <c r="O234" s="301"/>
      <c r="P234" s="301"/>
      <c r="Q234" s="301"/>
      <c r="R234" s="301"/>
      <c r="S234" s="301"/>
    </row>
    <row r="235" spans="1:19" x14ac:dyDescent="0.3">
      <c r="A235" s="419"/>
      <c r="B235" s="301"/>
      <c r="C235" s="301"/>
      <c r="D235" s="301"/>
      <c r="E235" s="301"/>
      <c r="F235" s="301"/>
      <c r="G235" s="301"/>
      <c r="H235" s="301"/>
      <c r="I235" s="301"/>
      <c r="J235" s="301"/>
      <c r="K235" s="301"/>
      <c r="L235" s="301"/>
      <c r="M235" s="301"/>
      <c r="N235" s="301"/>
      <c r="O235" s="301"/>
      <c r="P235" s="301"/>
      <c r="Q235" s="301"/>
      <c r="R235" s="301"/>
      <c r="S235" s="301"/>
    </row>
    <row r="236" spans="1:19" x14ac:dyDescent="0.3">
      <c r="A236" s="419"/>
      <c r="B236" s="301"/>
      <c r="C236" s="301"/>
      <c r="D236" s="301"/>
      <c r="E236" s="301"/>
      <c r="F236" s="301"/>
      <c r="G236" s="301"/>
      <c r="H236" s="301"/>
      <c r="I236" s="301"/>
      <c r="J236" s="301"/>
      <c r="K236" s="301"/>
      <c r="L236" s="301"/>
      <c r="M236" s="301"/>
      <c r="N236" s="301"/>
      <c r="O236" s="301"/>
      <c r="P236" s="301"/>
      <c r="Q236" s="301"/>
      <c r="R236" s="301"/>
      <c r="S236" s="301"/>
    </row>
    <row r="237" spans="1:19" x14ac:dyDescent="0.3">
      <c r="A237" s="419"/>
      <c r="B237" s="301"/>
      <c r="C237" s="301"/>
      <c r="D237" s="301"/>
      <c r="E237" s="301"/>
      <c r="F237" s="301"/>
      <c r="G237" s="301"/>
      <c r="H237" s="301"/>
      <c r="I237" s="301"/>
      <c r="J237" s="301"/>
      <c r="K237" s="301"/>
      <c r="L237" s="301"/>
      <c r="M237" s="301"/>
      <c r="N237" s="301"/>
      <c r="O237" s="301"/>
      <c r="P237" s="301"/>
      <c r="Q237" s="301"/>
      <c r="R237" s="301"/>
      <c r="S237" s="301"/>
    </row>
    <row r="238" spans="1:19" x14ac:dyDescent="0.3">
      <c r="A238" s="419"/>
      <c r="B238" s="301"/>
      <c r="C238" s="301"/>
      <c r="D238" s="301"/>
      <c r="E238" s="301"/>
      <c r="F238" s="301"/>
      <c r="G238" s="301"/>
      <c r="H238" s="301"/>
      <c r="I238" s="301"/>
      <c r="J238" s="301"/>
      <c r="K238" s="301"/>
      <c r="L238" s="301"/>
      <c r="M238" s="301"/>
      <c r="N238" s="301"/>
      <c r="O238" s="301"/>
      <c r="P238" s="301"/>
      <c r="Q238" s="301"/>
      <c r="R238" s="301"/>
      <c r="S238" s="301"/>
    </row>
    <row r="239" spans="1:19" x14ac:dyDescent="0.3">
      <c r="A239" s="419"/>
      <c r="B239" s="301"/>
      <c r="C239" s="301"/>
      <c r="D239" s="301"/>
      <c r="E239" s="301"/>
      <c r="F239" s="301"/>
      <c r="G239" s="301"/>
      <c r="H239" s="301"/>
      <c r="I239" s="301"/>
      <c r="J239" s="301"/>
      <c r="K239" s="301"/>
      <c r="L239" s="301"/>
      <c r="M239" s="301"/>
      <c r="N239" s="301"/>
      <c r="O239" s="301"/>
      <c r="P239" s="301"/>
      <c r="Q239" s="301"/>
      <c r="R239" s="301"/>
      <c r="S239" s="301"/>
    </row>
    <row r="240" spans="1:19" x14ac:dyDescent="0.3">
      <c r="A240" s="419"/>
      <c r="B240" s="301"/>
      <c r="C240" s="301"/>
      <c r="D240" s="301"/>
      <c r="E240" s="301"/>
      <c r="F240" s="301"/>
      <c r="G240" s="301"/>
      <c r="H240" s="301"/>
      <c r="I240" s="301"/>
      <c r="J240" s="301"/>
      <c r="K240" s="301"/>
      <c r="L240" s="301"/>
      <c r="M240" s="301"/>
      <c r="N240" s="301"/>
      <c r="O240" s="301"/>
      <c r="P240" s="301"/>
      <c r="Q240" s="301"/>
      <c r="R240" s="301"/>
      <c r="S240" s="301"/>
    </row>
    <row r="241" spans="1:19" x14ac:dyDescent="0.3">
      <c r="A241" s="419"/>
      <c r="B241" s="301"/>
      <c r="C241" s="301"/>
      <c r="D241" s="301"/>
      <c r="E241" s="301"/>
      <c r="F241" s="301"/>
      <c r="G241" s="301"/>
      <c r="H241" s="301"/>
      <c r="I241" s="301"/>
      <c r="J241" s="301"/>
      <c r="K241" s="301"/>
      <c r="L241" s="301"/>
      <c r="M241" s="301"/>
      <c r="N241" s="301"/>
      <c r="O241" s="301"/>
      <c r="P241" s="301"/>
      <c r="Q241" s="301"/>
      <c r="R241" s="301"/>
      <c r="S241" s="301"/>
    </row>
    <row r="242" spans="1:19" x14ac:dyDescent="0.3">
      <c r="A242" s="419"/>
      <c r="B242" s="301"/>
      <c r="C242" s="301"/>
      <c r="D242" s="301"/>
      <c r="E242" s="301"/>
      <c r="F242" s="301"/>
      <c r="G242" s="301"/>
      <c r="H242" s="301"/>
      <c r="I242" s="301"/>
      <c r="J242" s="301"/>
      <c r="K242" s="301"/>
      <c r="L242" s="301"/>
      <c r="M242" s="301"/>
      <c r="N242" s="301"/>
      <c r="O242" s="301"/>
      <c r="P242" s="301"/>
      <c r="Q242" s="301"/>
      <c r="R242" s="301"/>
      <c r="S242" s="301"/>
    </row>
    <row r="243" spans="1:19" x14ac:dyDescent="0.3">
      <c r="A243" s="419"/>
      <c r="B243" s="301"/>
      <c r="C243" s="301"/>
      <c r="D243" s="301"/>
      <c r="E243" s="301"/>
      <c r="F243" s="301"/>
      <c r="G243" s="301"/>
      <c r="H243" s="301"/>
      <c r="I243" s="301"/>
      <c r="J243" s="301"/>
      <c r="K243" s="301"/>
      <c r="L243" s="301"/>
      <c r="M243" s="301"/>
      <c r="N243" s="301"/>
      <c r="O243" s="301"/>
      <c r="P243" s="301"/>
      <c r="Q243" s="301"/>
      <c r="R243" s="301"/>
      <c r="S243" s="301"/>
    </row>
    <row r="244" spans="1:19" x14ac:dyDescent="0.3">
      <c r="A244" s="419"/>
      <c r="B244" s="301"/>
      <c r="C244" s="301"/>
      <c r="D244" s="301"/>
      <c r="E244" s="301"/>
      <c r="F244" s="301"/>
      <c r="G244" s="301"/>
      <c r="H244" s="301"/>
      <c r="I244" s="301"/>
      <c r="J244" s="301"/>
      <c r="K244" s="301"/>
      <c r="L244" s="301"/>
      <c r="M244" s="301"/>
      <c r="N244" s="301"/>
      <c r="O244" s="301"/>
      <c r="P244" s="301"/>
      <c r="Q244" s="301"/>
      <c r="R244" s="301"/>
      <c r="S244" s="301"/>
    </row>
    <row r="245" spans="1:19" x14ac:dyDescent="0.3">
      <c r="A245" s="419"/>
      <c r="B245" s="301"/>
      <c r="C245" s="301"/>
      <c r="D245" s="301"/>
      <c r="E245" s="301"/>
      <c r="F245" s="301"/>
      <c r="G245" s="301"/>
      <c r="H245" s="301"/>
      <c r="I245" s="301"/>
      <c r="J245" s="301"/>
      <c r="K245" s="301"/>
      <c r="L245" s="301"/>
      <c r="M245" s="301"/>
      <c r="N245" s="301"/>
      <c r="O245" s="301"/>
      <c r="P245" s="301"/>
      <c r="Q245" s="301"/>
      <c r="R245" s="301"/>
      <c r="S245" s="301"/>
    </row>
    <row r="246" spans="1:19" x14ac:dyDescent="0.3">
      <c r="A246" s="419"/>
      <c r="B246" s="301"/>
      <c r="C246" s="301"/>
      <c r="D246" s="301"/>
      <c r="E246" s="301"/>
      <c r="F246" s="301"/>
      <c r="G246" s="301"/>
      <c r="H246" s="301"/>
      <c r="I246" s="301"/>
      <c r="J246" s="301"/>
      <c r="K246" s="301"/>
      <c r="L246" s="301"/>
      <c r="M246" s="301"/>
      <c r="N246" s="301"/>
      <c r="O246" s="301"/>
      <c r="P246" s="301"/>
      <c r="Q246" s="301"/>
      <c r="R246" s="301"/>
      <c r="S246" s="301"/>
    </row>
    <row r="247" spans="1:19" x14ac:dyDescent="0.3">
      <c r="A247" s="419"/>
      <c r="B247" s="301"/>
      <c r="C247" s="301"/>
      <c r="D247" s="301"/>
      <c r="E247" s="301"/>
      <c r="F247" s="301"/>
      <c r="G247" s="301"/>
      <c r="H247" s="301"/>
      <c r="I247" s="301"/>
      <c r="J247" s="301"/>
      <c r="K247" s="301"/>
      <c r="L247" s="301"/>
      <c r="M247" s="301"/>
      <c r="N247" s="301"/>
      <c r="O247" s="301"/>
      <c r="P247" s="301"/>
      <c r="Q247" s="301"/>
      <c r="R247" s="301"/>
      <c r="S247" s="301"/>
    </row>
    <row r="248" spans="1:19" x14ac:dyDescent="0.3">
      <c r="A248" s="419"/>
      <c r="B248" s="301"/>
      <c r="C248" s="301"/>
      <c r="D248" s="301"/>
      <c r="E248" s="301"/>
      <c r="F248" s="301"/>
      <c r="G248" s="301"/>
      <c r="H248" s="301"/>
      <c r="I248" s="301"/>
      <c r="J248" s="301"/>
      <c r="K248" s="301"/>
      <c r="L248" s="301"/>
      <c r="M248" s="301"/>
      <c r="N248" s="301"/>
      <c r="O248" s="301"/>
      <c r="P248" s="301"/>
      <c r="Q248" s="301"/>
      <c r="R248" s="301"/>
      <c r="S248" s="301"/>
    </row>
    <row r="249" spans="1:19" x14ac:dyDescent="0.3">
      <c r="A249" s="419"/>
      <c r="B249" s="301"/>
      <c r="C249" s="301"/>
      <c r="D249" s="301"/>
      <c r="E249" s="301"/>
      <c r="F249" s="301"/>
      <c r="G249" s="301"/>
      <c r="H249" s="301"/>
      <c r="I249" s="301"/>
      <c r="J249" s="301"/>
      <c r="K249" s="301"/>
      <c r="L249" s="301"/>
      <c r="M249" s="301"/>
      <c r="N249" s="301"/>
      <c r="O249" s="301"/>
      <c r="P249" s="301"/>
      <c r="Q249" s="301"/>
      <c r="R249" s="301"/>
      <c r="S249" s="301"/>
    </row>
    <row r="250" spans="1:19" x14ac:dyDescent="0.3">
      <c r="A250" s="419"/>
      <c r="B250" s="301"/>
      <c r="C250" s="301"/>
      <c r="D250" s="301"/>
      <c r="E250" s="301"/>
      <c r="F250" s="301"/>
      <c r="G250" s="301"/>
      <c r="H250" s="301"/>
      <c r="I250" s="301"/>
      <c r="J250" s="301"/>
      <c r="K250" s="301"/>
      <c r="L250" s="301"/>
      <c r="M250" s="301"/>
      <c r="N250" s="301"/>
      <c r="O250" s="301"/>
      <c r="P250" s="301"/>
      <c r="Q250" s="301"/>
      <c r="R250" s="301"/>
      <c r="S250" s="301"/>
    </row>
    <row r="251" spans="1:19" x14ac:dyDescent="0.3">
      <c r="A251" s="419"/>
      <c r="B251" s="301"/>
      <c r="C251" s="301"/>
      <c r="D251" s="301"/>
      <c r="E251" s="301"/>
      <c r="F251" s="301"/>
      <c r="G251" s="301"/>
      <c r="H251" s="301"/>
      <c r="I251" s="301"/>
      <c r="J251" s="301"/>
      <c r="K251" s="301"/>
      <c r="L251" s="301"/>
      <c r="M251" s="301"/>
      <c r="N251" s="301"/>
      <c r="O251" s="301"/>
      <c r="P251" s="301"/>
      <c r="Q251" s="301"/>
      <c r="R251" s="301"/>
      <c r="S251" s="301"/>
    </row>
    <row r="252" spans="1:19" x14ac:dyDescent="0.3">
      <c r="A252" s="419"/>
      <c r="B252" s="301"/>
      <c r="C252" s="301"/>
      <c r="D252" s="301"/>
      <c r="E252" s="301"/>
      <c r="F252" s="301"/>
      <c r="G252" s="301"/>
      <c r="H252" s="301"/>
      <c r="I252" s="301"/>
      <c r="J252" s="301"/>
      <c r="K252" s="301"/>
      <c r="L252" s="301"/>
      <c r="M252" s="301"/>
      <c r="N252" s="301"/>
      <c r="O252" s="301"/>
      <c r="P252" s="301"/>
      <c r="Q252" s="301"/>
      <c r="R252" s="301"/>
      <c r="S252" s="301"/>
    </row>
    <row r="253" spans="1:19" x14ac:dyDescent="0.3">
      <c r="A253" s="419"/>
      <c r="B253" s="301"/>
      <c r="C253" s="301"/>
      <c r="D253" s="301"/>
      <c r="E253" s="301"/>
      <c r="F253" s="301"/>
      <c r="G253" s="301"/>
      <c r="H253" s="301"/>
      <c r="I253" s="301"/>
      <c r="J253" s="301"/>
      <c r="K253" s="301"/>
      <c r="L253" s="301"/>
      <c r="M253" s="301"/>
      <c r="N253" s="301"/>
      <c r="O253" s="301"/>
      <c r="P253" s="301"/>
      <c r="Q253" s="301"/>
      <c r="R253" s="301"/>
      <c r="S253" s="301"/>
    </row>
    <row r="254" spans="1:19" x14ac:dyDescent="0.3">
      <c r="A254" s="419"/>
      <c r="B254" s="301"/>
      <c r="C254" s="301"/>
      <c r="D254" s="301"/>
      <c r="E254" s="301"/>
      <c r="F254" s="301"/>
      <c r="G254" s="301"/>
      <c r="H254" s="301"/>
      <c r="I254" s="301"/>
      <c r="J254" s="301"/>
      <c r="K254" s="301"/>
      <c r="L254" s="301"/>
      <c r="M254" s="301"/>
      <c r="N254" s="301"/>
      <c r="O254" s="301"/>
      <c r="P254" s="301"/>
      <c r="Q254" s="301"/>
      <c r="R254" s="301"/>
      <c r="S254" s="301"/>
    </row>
    <row r="255" spans="1:19" x14ac:dyDescent="0.3">
      <c r="A255" s="419"/>
      <c r="B255" s="301"/>
      <c r="C255" s="301"/>
      <c r="D255" s="301"/>
      <c r="E255" s="301"/>
      <c r="F255" s="301"/>
      <c r="G255" s="301"/>
      <c r="H255" s="301"/>
      <c r="I255" s="301"/>
      <c r="J255" s="301"/>
      <c r="K255" s="301"/>
      <c r="L255" s="301"/>
      <c r="M255" s="301"/>
      <c r="N255" s="301"/>
      <c r="O255" s="301"/>
      <c r="P255" s="301"/>
      <c r="Q255" s="301"/>
      <c r="R255" s="301"/>
      <c r="S255" s="301"/>
    </row>
    <row r="256" spans="1:19" x14ac:dyDescent="0.3">
      <c r="A256" s="419"/>
      <c r="B256" s="301"/>
      <c r="C256" s="301"/>
      <c r="D256" s="301"/>
      <c r="E256" s="301"/>
      <c r="F256" s="301"/>
      <c r="G256" s="301"/>
      <c r="H256" s="301"/>
      <c r="I256" s="301"/>
      <c r="J256" s="301"/>
      <c r="K256" s="301"/>
      <c r="L256" s="301"/>
      <c r="M256" s="301"/>
      <c r="N256" s="301"/>
      <c r="O256" s="301"/>
      <c r="P256" s="301"/>
      <c r="Q256" s="301"/>
      <c r="R256" s="301"/>
      <c r="S256" s="301"/>
    </row>
    <row r="257" spans="1:19" x14ac:dyDescent="0.3">
      <c r="A257" s="419"/>
      <c r="B257" s="301"/>
      <c r="C257" s="301"/>
      <c r="D257" s="301"/>
      <c r="E257" s="301"/>
      <c r="F257" s="301"/>
      <c r="G257" s="301"/>
      <c r="H257" s="301"/>
      <c r="I257" s="301"/>
      <c r="J257" s="301"/>
      <c r="K257" s="301"/>
      <c r="L257" s="301"/>
      <c r="M257" s="301"/>
      <c r="N257" s="301"/>
      <c r="O257" s="301"/>
      <c r="P257" s="301"/>
      <c r="Q257" s="301"/>
      <c r="R257" s="301"/>
      <c r="S257" s="301"/>
    </row>
    <row r="258" spans="1:19" x14ac:dyDescent="0.3">
      <c r="A258" s="419"/>
      <c r="B258" s="301"/>
      <c r="C258" s="301"/>
      <c r="D258" s="301"/>
      <c r="E258" s="301"/>
      <c r="F258" s="301"/>
      <c r="G258" s="301"/>
      <c r="H258" s="301"/>
      <c r="I258" s="301"/>
      <c r="J258" s="301"/>
      <c r="K258" s="301"/>
      <c r="L258" s="301"/>
      <c r="M258" s="301"/>
      <c r="N258" s="301"/>
      <c r="O258" s="301"/>
      <c r="P258" s="301"/>
      <c r="Q258" s="301"/>
      <c r="R258" s="301"/>
      <c r="S258" s="301"/>
    </row>
    <row r="259" spans="1:19" x14ac:dyDescent="0.3">
      <c r="A259" s="419"/>
      <c r="B259" s="301"/>
      <c r="C259" s="301"/>
      <c r="D259" s="301"/>
      <c r="E259" s="301"/>
      <c r="F259" s="301"/>
      <c r="G259" s="301"/>
      <c r="H259" s="301"/>
      <c r="I259" s="301"/>
      <c r="J259" s="301"/>
      <c r="K259" s="301"/>
      <c r="L259" s="301"/>
      <c r="M259" s="301"/>
      <c r="N259" s="301"/>
      <c r="O259" s="301"/>
      <c r="P259" s="301"/>
      <c r="Q259" s="301"/>
      <c r="R259" s="301"/>
      <c r="S259" s="301"/>
    </row>
    <row r="260" spans="1:19" x14ac:dyDescent="0.3">
      <c r="A260" s="419"/>
      <c r="B260" s="301"/>
      <c r="C260" s="301"/>
      <c r="D260" s="301"/>
      <c r="E260" s="301"/>
      <c r="F260" s="301"/>
      <c r="G260" s="301"/>
      <c r="H260" s="301"/>
      <c r="I260" s="301"/>
      <c r="J260" s="301"/>
      <c r="K260" s="301"/>
      <c r="L260" s="301"/>
      <c r="M260" s="301"/>
      <c r="N260" s="301"/>
      <c r="O260" s="301"/>
      <c r="P260" s="301"/>
      <c r="Q260" s="301"/>
      <c r="R260" s="301"/>
      <c r="S260" s="301"/>
    </row>
    <row r="261" spans="1:19" x14ac:dyDescent="0.3">
      <c r="A261" s="419"/>
      <c r="B261" s="301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1"/>
      <c r="O261" s="301"/>
      <c r="P261" s="301"/>
      <c r="Q261" s="301"/>
      <c r="R261" s="301"/>
      <c r="S261" s="301"/>
    </row>
    <row r="262" spans="1:19" x14ac:dyDescent="0.3">
      <c r="A262" s="419"/>
      <c r="B262" s="301"/>
      <c r="C262" s="301"/>
      <c r="D262" s="301"/>
      <c r="E262" s="301"/>
      <c r="F262" s="301"/>
      <c r="G262" s="301"/>
      <c r="H262" s="301"/>
      <c r="I262" s="301"/>
      <c r="J262" s="301"/>
      <c r="K262" s="301"/>
      <c r="L262" s="301"/>
      <c r="M262" s="301"/>
      <c r="N262" s="301"/>
      <c r="O262" s="301"/>
      <c r="P262" s="301"/>
      <c r="Q262" s="301"/>
      <c r="R262" s="301"/>
      <c r="S262" s="301"/>
    </row>
    <row r="263" spans="1:19" x14ac:dyDescent="0.3">
      <c r="A263" s="419"/>
      <c r="B263" s="301"/>
      <c r="C263" s="301"/>
      <c r="D263" s="301"/>
      <c r="E263" s="301"/>
      <c r="F263" s="301"/>
      <c r="G263" s="301"/>
      <c r="H263" s="301"/>
      <c r="I263" s="301"/>
      <c r="J263" s="301"/>
      <c r="K263" s="301"/>
      <c r="L263" s="301"/>
      <c r="M263" s="301"/>
      <c r="N263" s="301"/>
      <c r="O263" s="301"/>
      <c r="P263" s="301"/>
      <c r="Q263" s="301"/>
      <c r="R263" s="301"/>
      <c r="S263" s="301"/>
    </row>
    <row r="264" spans="1:19" x14ac:dyDescent="0.3">
      <c r="A264" s="419"/>
      <c r="B264" s="301"/>
      <c r="C264" s="301"/>
      <c r="D264" s="301"/>
      <c r="E264" s="301"/>
      <c r="F264" s="301"/>
      <c r="G264" s="301"/>
      <c r="H264" s="301"/>
      <c r="I264" s="301"/>
      <c r="J264" s="301"/>
      <c r="K264" s="301"/>
      <c r="L264" s="301"/>
      <c r="M264" s="301"/>
      <c r="N264" s="301"/>
      <c r="O264" s="301"/>
      <c r="P264" s="301"/>
      <c r="Q264" s="301"/>
      <c r="R264" s="301"/>
      <c r="S264" s="301"/>
    </row>
    <row r="265" spans="1:19" x14ac:dyDescent="0.3">
      <c r="A265" s="419"/>
      <c r="B265" s="301"/>
      <c r="C265" s="301"/>
      <c r="D265" s="301"/>
      <c r="E265" s="301"/>
      <c r="F265" s="301"/>
      <c r="G265" s="301"/>
      <c r="H265" s="301"/>
      <c r="I265" s="301"/>
      <c r="J265" s="301"/>
      <c r="K265" s="301"/>
      <c r="L265" s="301"/>
      <c r="M265" s="301"/>
      <c r="N265" s="301"/>
      <c r="O265" s="301"/>
      <c r="P265" s="301"/>
      <c r="Q265" s="301"/>
      <c r="R265" s="301"/>
      <c r="S265" s="301"/>
    </row>
    <row r="266" spans="1:19" x14ac:dyDescent="0.3">
      <c r="A266" s="419"/>
      <c r="B266" s="301"/>
      <c r="C266" s="301"/>
      <c r="D266" s="301"/>
      <c r="E266" s="301"/>
      <c r="F266" s="301"/>
      <c r="G266" s="301"/>
      <c r="H266" s="301"/>
      <c r="I266" s="301"/>
      <c r="J266" s="301"/>
      <c r="K266" s="301"/>
      <c r="L266" s="301"/>
      <c r="M266" s="301"/>
      <c r="N266" s="301"/>
      <c r="O266" s="301"/>
      <c r="P266" s="301"/>
      <c r="Q266" s="301"/>
      <c r="R266" s="301"/>
      <c r="S266" s="301"/>
    </row>
    <row r="267" spans="1:19" x14ac:dyDescent="0.3">
      <c r="A267" s="419"/>
      <c r="B267" s="301"/>
      <c r="C267" s="301"/>
      <c r="D267" s="301"/>
      <c r="E267" s="301"/>
      <c r="F267" s="301"/>
      <c r="G267" s="301"/>
      <c r="H267" s="301"/>
      <c r="I267" s="301"/>
      <c r="J267" s="301"/>
      <c r="K267" s="301"/>
      <c r="L267" s="301"/>
      <c r="M267" s="301"/>
      <c r="N267" s="301"/>
      <c r="O267" s="301"/>
      <c r="P267" s="301"/>
      <c r="Q267" s="301"/>
      <c r="R267" s="301"/>
      <c r="S267" s="301"/>
    </row>
    <row r="268" spans="1:19" x14ac:dyDescent="0.3">
      <c r="A268" s="419"/>
      <c r="B268" s="301"/>
      <c r="C268" s="301"/>
      <c r="D268" s="301"/>
      <c r="E268" s="301"/>
      <c r="F268" s="301"/>
      <c r="G268" s="301"/>
      <c r="H268" s="301"/>
      <c r="I268" s="301"/>
      <c r="J268" s="301"/>
      <c r="K268" s="301"/>
      <c r="L268" s="301"/>
      <c r="M268" s="301"/>
      <c r="N268" s="301"/>
      <c r="O268" s="301"/>
      <c r="P268" s="301"/>
      <c r="Q268" s="301"/>
      <c r="R268" s="301"/>
      <c r="S268" s="301"/>
    </row>
    <row r="269" spans="1:19" x14ac:dyDescent="0.3">
      <c r="A269" s="419"/>
      <c r="B269" s="301"/>
      <c r="C269" s="301"/>
      <c r="D269" s="301"/>
      <c r="E269" s="301"/>
      <c r="F269" s="301"/>
      <c r="G269" s="301"/>
      <c r="H269" s="301"/>
      <c r="I269" s="301"/>
      <c r="J269" s="301"/>
      <c r="K269" s="301"/>
      <c r="L269" s="301"/>
      <c r="M269" s="301"/>
      <c r="N269" s="301"/>
      <c r="O269" s="301"/>
      <c r="P269" s="301"/>
      <c r="Q269" s="301"/>
      <c r="R269" s="301"/>
      <c r="S269" s="301"/>
    </row>
    <row r="270" spans="1:19" x14ac:dyDescent="0.3">
      <c r="A270" s="419"/>
      <c r="B270" s="301"/>
      <c r="C270" s="301"/>
      <c r="D270" s="301"/>
      <c r="E270" s="301"/>
      <c r="F270" s="301"/>
      <c r="G270" s="301"/>
      <c r="H270" s="301"/>
      <c r="I270" s="301"/>
      <c r="J270" s="301"/>
      <c r="K270" s="301"/>
      <c r="L270" s="301"/>
      <c r="M270" s="301"/>
      <c r="N270" s="301"/>
      <c r="O270" s="301"/>
      <c r="P270" s="301"/>
      <c r="Q270" s="301"/>
      <c r="R270" s="301"/>
      <c r="S270" s="301"/>
    </row>
    <row r="271" spans="1:19" x14ac:dyDescent="0.3">
      <c r="A271" s="419"/>
      <c r="B271" s="301"/>
      <c r="C271" s="301"/>
      <c r="D271" s="301"/>
      <c r="E271" s="301"/>
      <c r="F271" s="301"/>
      <c r="G271" s="301"/>
      <c r="H271" s="301"/>
      <c r="I271" s="301"/>
      <c r="J271" s="301"/>
      <c r="K271" s="301"/>
      <c r="L271" s="301"/>
      <c r="M271" s="301"/>
      <c r="N271" s="301"/>
      <c r="O271" s="301"/>
      <c r="P271" s="301"/>
      <c r="Q271" s="301"/>
      <c r="R271" s="301"/>
      <c r="S271" s="301"/>
    </row>
    <row r="272" spans="1:19" x14ac:dyDescent="0.3">
      <c r="A272" s="419"/>
      <c r="B272" s="301"/>
      <c r="C272" s="301"/>
      <c r="D272" s="301"/>
      <c r="E272" s="301"/>
      <c r="F272" s="301"/>
      <c r="G272" s="301"/>
      <c r="H272" s="301"/>
      <c r="I272" s="301"/>
      <c r="J272" s="301"/>
      <c r="K272" s="301"/>
      <c r="L272" s="301"/>
      <c r="M272" s="301"/>
      <c r="N272" s="301"/>
      <c r="O272" s="301"/>
      <c r="P272" s="301"/>
      <c r="Q272" s="301"/>
      <c r="R272" s="301"/>
      <c r="S272" s="301"/>
    </row>
    <row r="273" spans="1:19" x14ac:dyDescent="0.3">
      <c r="A273" s="419"/>
      <c r="B273" s="301"/>
      <c r="C273" s="301"/>
      <c r="D273" s="301"/>
      <c r="E273" s="301"/>
      <c r="F273" s="301"/>
      <c r="G273" s="301"/>
      <c r="H273" s="301"/>
      <c r="I273" s="301"/>
      <c r="J273" s="301"/>
      <c r="K273" s="301"/>
      <c r="L273" s="301"/>
      <c r="M273" s="301"/>
      <c r="N273" s="301"/>
      <c r="O273" s="301"/>
      <c r="P273" s="301"/>
      <c r="Q273" s="301"/>
      <c r="R273" s="301"/>
      <c r="S273" s="301"/>
    </row>
    <row r="274" spans="1:19" x14ac:dyDescent="0.3">
      <c r="A274" s="419"/>
      <c r="B274" s="301"/>
      <c r="C274" s="301"/>
      <c r="D274" s="301"/>
      <c r="E274" s="301"/>
      <c r="F274" s="301"/>
      <c r="G274" s="301"/>
      <c r="H274" s="301"/>
      <c r="I274" s="301"/>
      <c r="J274" s="301"/>
      <c r="K274" s="301"/>
      <c r="L274" s="301"/>
      <c r="M274" s="301"/>
      <c r="N274" s="301"/>
      <c r="O274" s="301"/>
      <c r="P274" s="301"/>
      <c r="Q274" s="301"/>
      <c r="R274" s="301"/>
      <c r="S274" s="301"/>
    </row>
    <row r="275" spans="1:19" x14ac:dyDescent="0.3">
      <c r="A275" s="419"/>
      <c r="B275" s="301"/>
      <c r="C275" s="301"/>
      <c r="D275" s="301"/>
      <c r="E275" s="301"/>
      <c r="F275" s="301"/>
      <c r="G275" s="301"/>
      <c r="H275" s="301"/>
      <c r="I275" s="301"/>
      <c r="J275" s="301"/>
      <c r="K275" s="301"/>
      <c r="L275" s="301"/>
      <c r="M275" s="301"/>
      <c r="N275" s="301"/>
      <c r="O275" s="301"/>
      <c r="P275" s="301"/>
      <c r="Q275" s="301"/>
      <c r="R275" s="301"/>
      <c r="S275" s="301"/>
    </row>
    <row r="276" spans="1:19" x14ac:dyDescent="0.3">
      <c r="A276" s="419"/>
      <c r="B276" s="301"/>
      <c r="C276" s="301"/>
      <c r="D276" s="301"/>
      <c r="E276" s="301"/>
      <c r="F276" s="301"/>
      <c r="G276" s="301"/>
      <c r="H276" s="301"/>
      <c r="I276" s="301"/>
      <c r="J276" s="301"/>
      <c r="K276" s="301"/>
      <c r="L276" s="301"/>
      <c r="M276" s="301"/>
      <c r="N276" s="301"/>
      <c r="O276" s="301"/>
      <c r="P276" s="301"/>
      <c r="Q276" s="301"/>
      <c r="R276" s="301"/>
      <c r="S276" s="301"/>
    </row>
    <row r="277" spans="1:19" x14ac:dyDescent="0.3">
      <c r="A277" s="419"/>
      <c r="B277" s="301"/>
      <c r="C277" s="301"/>
      <c r="D277" s="301"/>
      <c r="E277" s="301"/>
      <c r="F277" s="301"/>
      <c r="G277" s="301"/>
      <c r="H277" s="301"/>
      <c r="I277" s="301"/>
      <c r="J277" s="301"/>
      <c r="K277" s="301"/>
      <c r="L277" s="301"/>
      <c r="M277" s="301"/>
      <c r="N277" s="301"/>
      <c r="O277" s="301"/>
      <c r="P277" s="301"/>
      <c r="Q277" s="301"/>
      <c r="R277" s="301"/>
      <c r="S277" s="301"/>
    </row>
    <row r="278" spans="1:19" x14ac:dyDescent="0.3">
      <c r="A278" s="419"/>
      <c r="B278" s="301"/>
      <c r="C278" s="301"/>
      <c r="D278" s="301"/>
      <c r="E278" s="301"/>
      <c r="F278" s="301"/>
      <c r="G278" s="301"/>
      <c r="H278" s="301"/>
      <c r="I278" s="301"/>
      <c r="J278" s="301"/>
      <c r="K278" s="301"/>
      <c r="L278" s="301"/>
      <c r="M278" s="301"/>
      <c r="N278" s="301"/>
      <c r="O278" s="301"/>
      <c r="P278" s="301"/>
      <c r="Q278" s="301"/>
      <c r="R278" s="301"/>
      <c r="S278" s="301"/>
    </row>
    <row r="279" spans="1:19" x14ac:dyDescent="0.3">
      <c r="A279" s="419"/>
    </row>
    <row r="280" spans="1:19" x14ac:dyDescent="0.3">
      <c r="A280" s="419"/>
    </row>
    <row r="281" spans="1:19" x14ac:dyDescent="0.3">
      <c r="A281" s="419"/>
    </row>
    <row r="282" spans="1:19" x14ac:dyDescent="0.3">
      <c r="A282" s="419"/>
    </row>
    <row r="283" spans="1:19" x14ac:dyDescent="0.3">
      <c r="A283" s="419"/>
    </row>
    <row r="284" spans="1:19" x14ac:dyDescent="0.3">
      <c r="A284" s="419"/>
    </row>
    <row r="285" spans="1:19" x14ac:dyDescent="0.3">
      <c r="A285" s="419"/>
    </row>
    <row r="286" spans="1:19" x14ac:dyDescent="0.3">
      <c r="A286" s="419"/>
    </row>
    <row r="287" spans="1:19" x14ac:dyDescent="0.3">
      <c r="A287" s="419"/>
    </row>
  </sheetData>
  <mergeCells count="7">
    <mergeCell ref="C44:G44"/>
    <mergeCell ref="B1:E1"/>
    <mergeCell ref="H1:M1"/>
    <mergeCell ref="N1:Q1"/>
    <mergeCell ref="H11:M11"/>
    <mergeCell ref="H24:H25"/>
    <mergeCell ref="J24:J25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9"/>
  <sheetViews>
    <sheetView zoomScale="80" zoomScaleNormal="80" workbookViewId="0">
      <pane xSplit="17" ySplit="2" topLeftCell="Y3" activePane="bottomRight" state="frozen"/>
      <selection pane="topRight" activeCell="O1" sqref="O1"/>
      <selection pane="bottomLeft" activeCell="A3" sqref="A3"/>
      <selection pane="bottomRight" activeCell="H1" sqref="H1:M1"/>
    </sheetView>
  </sheetViews>
  <sheetFormatPr defaultRowHeight="15" x14ac:dyDescent="0.25"/>
  <cols>
    <col min="1" max="1" width="20.140625" style="4" customWidth="1"/>
    <col min="2" max="2" width="28" style="8" customWidth="1"/>
    <col min="3" max="3" width="30.28515625" style="9" customWidth="1"/>
    <col min="4" max="4" width="16" style="9" customWidth="1"/>
    <col min="5" max="5" width="20.85546875" style="10" customWidth="1"/>
    <col min="6" max="6" width="19" style="46" customWidth="1"/>
    <col min="7" max="7" width="14.5703125" style="46" customWidth="1"/>
    <col min="8" max="8" width="11.5703125" style="8" bestFit="1" customWidth="1"/>
    <col min="9" max="9" width="10.140625" style="9" bestFit="1" customWidth="1"/>
    <col min="10" max="10" width="9.85546875" style="9" bestFit="1" customWidth="1"/>
    <col min="11" max="12" width="9.85546875" style="25" customWidth="1"/>
    <col min="13" max="13" width="10.140625" style="10" bestFit="1" customWidth="1"/>
    <col min="14" max="14" width="9.85546875" style="8" bestFit="1" customWidth="1"/>
    <col min="15" max="15" width="10.140625" style="9" bestFit="1" customWidth="1"/>
    <col min="16" max="16" width="9.85546875" style="9" bestFit="1" customWidth="1"/>
    <col min="17" max="17" width="10.140625" style="10" bestFit="1" customWidth="1"/>
    <col min="18" max="19" width="10.140625" style="24" customWidth="1"/>
  </cols>
  <sheetData>
    <row r="1" spans="1:22" x14ac:dyDescent="0.25">
      <c r="A1" s="31"/>
      <c r="B1" s="2102" t="s">
        <v>3</v>
      </c>
      <c r="C1" s="2103"/>
      <c r="D1" s="2103"/>
      <c r="E1" s="2105"/>
      <c r="F1" s="43"/>
      <c r="G1" s="43"/>
      <c r="H1" s="2102" t="s">
        <v>6</v>
      </c>
      <c r="I1" s="2103"/>
      <c r="J1" s="2103"/>
      <c r="K1" s="2104"/>
      <c r="L1" s="2104"/>
      <c r="M1" s="2105"/>
      <c r="N1" s="2106" t="s">
        <v>13</v>
      </c>
      <c r="O1" s="2107"/>
      <c r="P1" s="2107"/>
      <c r="Q1" s="2108"/>
      <c r="R1" s="64"/>
      <c r="S1" s="55"/>
      <c r="T1" s="30"/>
    </row>
    <row r="2" spans="1:22" x14ac:dyDescent="0.25">
      <c r="A2" s="32" t="s">
        <v>0</v>
      </c>
      <c r="B2" s="11" t="s">
        <v>1</v>
      </c>
      <c r="C2" s="12" t="s">
        <v>4</v>
      </c>
      <c r="D2" s="12" t="s">
        <v>2</v>
      </c>
      <c r="E2" s="13" t="s">
        <v>5</v>
      </c>
      <c r="F2" s="44" t="s">
        <v>26</v>
      </c>
      <c r="G2" s="44" t="s">
        <v>19</v>
      </c>
      <c r="H2" s="27" t="s">
        <v>1</v>
      </c>
      <c r="I2" s="28" t="s">
        <v>4</v>
      </c>
      <c r="J2" s="28" t="s">
        <v>2</v>
      </c>
      <c r="K2" s="28" t="s">
        <v>5</v>
      </c>
      <c r="L2" s="51" t="s">
        <v>26</v>
      </c>
      <c r="M2" s="29" t="s">
        <v>19</v>
      </c>
      <c r="N2" s="14" t="s">
        <v>1</v>
      </c>
      <c r="O2" s="15" t="s">
        <v>4</v>
      </c>
      <c r="P2" s="15" t="s">
        <v>2</v>
      </c>
      <c r="Q2" s="52" t="s">
        <v>5</v>
      </c>
      <c r="R2" s="68" t="s">
        <v>19</v>
      </c>
      <c r="S2" s="56" t="s">
        <v>26</v>
      </c>
    </row>
    <row r="3" spans="1:22" x14ac:dyDescent="0.25">
      <c r="A3" s="33">
        <v>44197</v>
      </c>
      <c r="B3" s="5" t="s">
        <v>24</v>
      </c>
      <c r="C3" s="6"/>
      <c r="D3" s="6"/>
      <c r="E3" s="7"/>
      <c r="F3" s="45"/>
      <c r="G3" s="45"/>
      <c r="H3" s="5">
        <v>28</v>
      </c>
      <c r="I3" s="6">
        <v>4</v>
      </c>
      <c r="J3" s="6"/>
      <c r="K3" s="6"/>
      <c r="L3" s="45"/>
      <c r="M3" s="26"/>
      <c r="N3" s="16" t="s">
        <v>8</v>
      </c>
      <c r="O3" s="17" t="s">
        <v>7</v>
      </c>
      <c r="P3" s="6"/>
      <c r="Q3" s="50"/>
      <c r="R3" s="69"/>
      <c r="S3" s="57"/>
      <c r="U3" s="2" t="s">
        <v>8</v>
      </c>
      <c r="V3" t="s">
        <v>10</v>
      </c>
    </row>
    <row r="4" spans="1:22" x14ac:dyDescent="0.25">
      <c r="A4" s="33">
        <v>44198</v>
      </c>
      <c r="D4" s="9" t="s">
        <v>23</v>
      </c>
      <c r="H4" s="8">
        <v>10</v>
      </c>
      <c r="I4" s="9">
        <v>80</v>
      </c>
      <c r="J4" s="9">
        <v>840</v>
      </c>
      <c r="K4" s="9"/>
      <c r="L4" s="46"/>
      <c r="M4" s="26"/>
      <c r="N4" s="18" t="s">
        <v>7</v>
      </c>
      <c r="O4" s="17" t="s">
        <v>7</v>
      </c>
      <c r="P4" s="19" t="s">
        <v>8</v>
      </c>
      <c r="Q4" s="25"/>
      <c r="S4" s="58"/>
      <c r="U4" s="1" t="s">
        <v>7</v>
      </c>
      <c r="V4" t="s">
        <v>11</v>
      </c>
    </row>
    <row r="5" spans="1:22" x14ac:dyDescent="0.25">
      <c r="A5" s="33">
        <v>44199</v>
      </c>
      <c r="D5" s="9" t="s">
        <v>23</v>
      </c>
      <c r="J5" s="9">
        <v>1220</v>
      </c>
      <c r="K5" s="9"/>
      <c r="L5" s="46"/>
      <c r="M5" s="26"/>
      <c r="P5" s="19" t="s">
        <v>8</v>
      </c>
      <c r="Q5" s="25"/>
      <c r="S5" s="58"/>
      <c r="U5" s="3" t="s">
        <v>9</v>
      </c>
      <c r="V5" t="s">
        <v>12</v>
      </c>
    </row>
    <row r="6" spans="1:22" x14ac:dyDescent="0.25">
      <c r="A6" s="33">
        <v>44200</v>
      </c>
      <c r="D6" s="9" t="s">
        <v>23</v>
      </c>
      <c r="J6" s="9">
        <v>85</v>
      </c>
      <c r="K6" s="9"/>
      <c r="L6" s="46"/>
      <c r="M6" s="26"/>
      <c r="O6" s="42"/>
      <c r="P6" s="19" t="s">
        <v>8</v>
      </c>
      <c r="Q6" s="25"/>
      <c r="S6" s="58"/>
    </row>
    <row r="7" spans="1:22" ht="30" x14ac:dyDescent="0.25">
      <c r="A7" s="33">
        <v>44201</v>
      </c>
      <c r="B7" s="22" t="s">
        <v>17</v>
      </c>
      <c r="E7" s="21" t="s">
        <v>23</v>
      </c>
      <c r="F7" s="47"/>
      <c r="G7" s="47"/>
      <c r="H7" s="8">
        <v>15</v>
      </c>
      <c r="K7" s="9">
        <v>840</v>
      </c>
      <c r="L7" s="46"/>
      <c r="M7" s="26"/>
      <c r="N7" s="18" t="s">
        <v>7</v>
      </c>
      <c r="Q7" s="53" t="s">
        <v>8</v>
      </c>
      <c r="R7" s="71"/>
      <c r="S7" s="59"/>
      <c r="T7" s="30"/>
    </row>
    <row r="8" spans="1:22" ht="30" x14ac:dyDescent="0.25">
      <c r="A8" s="2109">
        <v>44202</v>
      </c>
      <c r="C8" s="21" t="s">
        <v>16</v>
      </c>
      <c r="E8" s="21" t="s">
        <v>23</v>
      </c>
      <c r="F8" s="47"/>
      <c r="G8" s="47"/>
      <c r="I8" s="9">
        <v>5</v>
      </c>
      <c r="K8" s="9">
        <v>425</v>
      </c>
      <c r="L8" s="46"/>
      <c r="M8" s="26"/>
      <c r="O8" s="19" t="s">
        <v>8</v>
      </c>
      <c r="Q8" s="53" t="s">
        <v>8</v>
      </c>
      <c r="R8" s="71"/>
      <c r="S8" s="59"/>
      <c r="T8" s="30"/>
    </row>
    <row r="9" spans="1:22" x14ac:dyDescent="0.25">
      <c r="A9" s="2110"/>
      <c r="E9" s="10" t="s">
        <v>15</v>
      </c>
      <c r="K9" s="9">
        <v>168</v>
      </c>
      <c r="L9" s="46"/>
      <c r="M9" s="26"/>
      <c r="Q9" s="54" t="s">
        <v>7</v>
      </c>
      <c r="R9" s="71"/>
      <c r="S9" s="60"/>
      <c r="T9" s="30"/>
    </row>
    <row r="10" spans="1:22" ht="30" x14ac:dyDescent="0.25">
      <c r="A10" s="34">
        <v>44203</v>
      </c>
      <c r="C10" s="21" t="s">
        <v>25</v>
      </c>
      <c r="D10" s="21" t="s">
        <v>14</v>
      </c>
      <c r="I10" s="9">
        <v>133</v>
      </c>
      <c r="J10" s="9">
        <v>426</v>
      </c>
      <c r="K10" s="9"/>
      <c r="L10" s="46"/>
      <c r="M10" s="26"/>
      <c r="O10" s="35" t="s">
        <v>9</v>
      </c>
      <c r="P10" s="19" t="s">
        <v>8</v>
      </c>
      <c r="Q10" s="25"/>
      <c r="R10" s="73"/>
      <c r="S10" s="58"/>
    </row>
    <row r="11" spans="1:22" ht="30" x14ac:dyDescent="0.25">
      <c r="A11" s="34">
        <v>44205</v>
      </c>
      <c r="E11" s="23" t="s">
        <v>18</v>
      </c>
      <c r="F11" s="48"/>
      <c r="G11" s="48"/>
      <c r="K11" s="9">
        <v>26</v>
      </c>
      <c r="L11" s="46"/>
      <c r="M11" s="26"/>
      <c r="Q11" s="53" t="s">
        <v>8</v>
      </c>
      <c r="R11" s="71"/>
      <c r="S11" s="59"/>
      <c r="T11" s="30"/>
    </row>
    <row r="12" spans="1:22" ht="30" x14ac:dyDescent="0.25">
      <c r="A12" s="34">
        <v>44206</v>
      </c>
      <c r="E12" s="23" t="s">
        <v>22</v>
      </c>
      <c r="F12" s="48"/>
      <c r="G12" s="48"/>
      <c r="M12" s="10">
        <v>710</v>
      </c>
      <c r="Q12" s="25"/>
      <c r="R12" s="73"/>
      <c r="S12" s="58"/>
    </row>
    <row r="13" spans="1:22" x14ac:dyDescent="0.25">
      <c r="A13" s="34">
        <v>44207</v>
      </c>
      <c r="H13" s="8">
        <v>161</v>
      </c>
      <c r="K13" s="25">
        <v>121</v>
      </c>
      <c r="N13" s="2" t="s">
        <v>8</v>
      </c>
      <c r="P13" s="1" t="s">
        <v>7</v>
      </c>
      <c r="Q13" s="25"/>
      <c r="R13" s="73"/>
      <c r="S13" s="58"/>
    </row>
    <row r="14" spans="1:22" x14ac:dyDescent="0.25">
      <c r="A14" s="34">
        <v>44208</v>
      </c>
      <c r="H14" s="8">
        <v>685</v>
      </c>
      <c r="I14" s="9">
        <v>15</v>
      </c>
      <c r="N14" s="2" t="s">
        <v>8</v>
      </c>
      <c r="O14" s="2" t="s">
        <v>8</v>
      </c>
      <c r="Q14" s="25"/>
      <c r="R14" s="73"/>
      <c r="S14" s="58"/>
    </row>
    <row r="15" spans="1:22" x14ac:dyDescent="0.25">
      <c r="A15" s="34">
        <v>44209</v>
      </c>
      <c r="B15" s="9"/>
      <c r="C15" s="10"/>
      <c r="D15" s="46" t="s">
        <v>37</v>
      </c>
      <c r="E15" s="8"/>
      <c r="F15" s="65"/>
      <c r="G15" s="9"/>
      <c r="H15" s="9"/>
      <c r="L15" s="25">
        <v>790</v>
      </c>
      <c r="Q15" s="25"/>
      <c r="R15" s="73"/>
      <c r="S15" s="1" t="s">
        <v>7</v>
      </c>
    </row>
    <row r="16" spans="1:22" x14ac:dyDescent="0.25">
      <c r="A16" s="34">
        <v>44210</v>
      </c>
      <c r="B16" s="8" t="s">
        <v>24</v>
      </c>
      <c r="H16" s="8">
        <v>13</v>
      </c>
      <c r="N16" s="35" t="s">
        <v>9</v>
      </c>
      <c r="Q16" s="25"/>
      <c r="R16" s="73"/>
      <c r="S16" s="58"/>
    </row>
    <row r="17" spans="1:23" x14ac:dyDescent="0.25">
      <c r="A17" s="34">
        <v>44211</v>
      </c>
      <c r="B17" s="8" t="s">
        <v>36</v>
      </c>
      <c r="H17" s="8">
        <v>3</v>
      </c>
      <c r="N17" s="1" t="s">
        <v>7</v>
      </c>
      <c r="Q17" s="25"/>
      <c r="R17" s="73"/>
      <c r="S17" s="58"/>
    </row>
    <row r="18" spans="1:23" x14ac:dyDescent="0.25">
      <c r="A18" s="34">
        <v>44212</v>
      </c>
      <c r="Q18" s="25"/>
      <c r="R18" s="73"/>
      <c r="S18" s="58"/>
    </row>
    <row r="19" spans="1:23" x14ac:dyDescent="0.25">
      <c r="A19" s="34">
        <v>44213</v>
      </c>
      <c r="D19" s="9" t="s">
        <v>28</v>
      </c>
      <c r="J19" s="9">
        <v>220</v>
      </c>
      <c r="P19" s="1" t="s">
        <v>7</v>
      </c>
      <c r="Q19" s="25"/>
      <c r="R19" s="73"/>
      <c r="S19" s="58"/>
    </row>
    <row r="20" spans="1:23" x14ac:dyDescent="0.25">
      <c r="A20" s="34">
        <v>44214</v>
      </c>
      <c r="C20" s="2115" t="s">
        <v>38</v>
      </c>
      <c r="O20" s="2117" t="s">
        <v>8</v>
      </c>
      <c r="Q20" s="25"/>
      <c r="R20" s="73"/>
      <c r="S20" s="58"/>
    </row>
    <row r="21" spans="1:23" x14ac:dyDescent="0.25">
      <c r="A21" s="34">
        <v>44215</v>
      </c>
      <c r="C21" s="2116"/>
      <c r="D21" s="9" t="s">
        <v>27</v>
      </c>
      <c r="I21" s="9">
        <v>2980</v>
      </c>
      <c r="J21" s="9">
        <v>10</v>
      </c>
      <c r="O21" s="2118"/>
      <c r="P21" s="35" t="s">
        <v>9</v>
      </c>
      <c r="Q21" s="25"/>
      <c r="R21" s="73"/>
      <c r="S21" s="58"/>
    </row>
    <row r="22" spans="1:23" ht="81" customHeight="1" x14ac:dyDescent="0.25">
      <c r="A22" s="34">
        <v>44216</v>
      </c>
      <c r="B22" s="63" t="s">
        <v>29</v>
      </c>
      <c r="C22" s="2119" t="s">
        <v>39</v>
      </c>
      <c r="H22" s="8">
        <v>67</v>
      </c>
      <c r="I22" s="9">
        <v>1931</v>
      </c>
      <c r="N22" s="62" t="s">
        <v>7</v>
      </c>
      <c r="O22" s="75" t="s">
        <v>8</v>
      </c>
      <c r="Q22" s="25"/>
      <c r="R22" s="73"/>
      <c r="S22" s="58"/>
      <c r="V22" s="20"/>
      <c r="W22" s="20"/>
    </row>
    <row r="23" spans="1:23" x14ac:dyDescent="0.25">
      <c r="A23" s="34">
        <v>44217</v>
      </c>
      <c r="C23" s="2120"/>
      <c r="O23" s="74"/>
      <c r="Q23" s="25"/>
      <c r="R23" s="73"/>
      <c r="S23" s="58"/>
    </row>
    <row r="24" spans="1:23" x14ac:dyDescent="0.25">
      <c r="A24" s="2113">
        <v>44218</v>
      </c>
      <c r="E24" s="2111" t="s">
        <v>30</v>
      </c>
      <c r="F24" s="66"/>
      <c r="Q24" s="25"/>
      <c r="R24" s="73"/>
      <c r="S24" s="58"/>
    </row>
    <row r="25" spans="1:23" ht="90.75" customHeight="1" x14ac:dyDescent="0.25">
      <c r="A25" s="2114"/>
      <c r="E25" s="2112"/>
      <c r="F25" s="67"/>
      <c r="K25" s="25">
        <v>481</v>
      </c>
      <c r="Q25" s="53" t="s">
        <v>8</v>
      </c>
      <c r="R25" s="71"/>
      <c r="S25" s="58"/>
    </row>
    <row r="26" spans="1:23" ht="45" x14ac:dyDescent="0.25">
      <c r="A26" s="34">
        <v>44219</v>
      </c>
      <c r="D26" s="21" t="s">
        <v>31</v>
      </c>
      <c r="F26" s="48"/>
      <c r="J26" s="9">
        <v>10</v>
      </c>
      <c r="P26" s="3" t="s">
        <v>9</v>
      </c>
      <c r="Q26" s="25"/>
      <c r="R26" s="73"/>
      <c r="S26" s="58"/>
    </row>
    <row r="27" spans="1:23" ht="60" x14ac:dyDescent="0.25">
      <c r="A27" s="34">
        <v>44220</v>
      </c>
      <c r="B27" s="22" t="s">
        <v>32</v>
      </c>
      <c r="D27" s="9" t="s">
        <v>28</v>
      </c>
      <c r="E27" s="23" t="s">
        <v>33</v>
      </c>
      <c r="F27" s="48"/>
      <c r="H27" s="8">
        <v>240</v>
      </c>
      <c r="J27" s="9">
        <v>320</v>
      </c>
      <c r="K27" s="25">
        <v>180</v>
      </c>
      <c r="N27" s="62" t="s">
        <v>7</v>
      </c>
      <c r="P27" s="62" t="s">
        <v>7</v>
      </c>
      <c r="Q27" s="62" t="s">
        <v>7</v>
      </c>
      <c r="R27" s="72"/>
      <c r="S27" s="58"/>
    </row>
    <row r="28" spans="1:23" x14ac:dyDescent="0.25">
      <c r="A28" s="34">
        <v>44221</v>
      </c>
      <c r="C28" s="9" t="s">
        <v>28</v>
      </c>
      <c r="I28" s="9">
        <v>160</v>
      </c>
      <c r="O28" s="62" t="s">
        <v>7</v>
      </c>
      <c r="Q28" s="25"/>
      <c r="R28" s="73"/>
      <c r="S28" s="58"/>
    </row>
    <row r="29" spans="1:23" x14ac:dyDescent="0.25">
      <c r="A29" s="34">
        <v>44222</v>
      </c>
      <c r="Q29" s="25"/>
      <c r="R29" s="73"/>
      <c r="S29" s="58"/>
    </row>
    <row r="30" spans="1:23" x14ac:dyDescent="0.25">
      <c r="A30" s="34">
        <v>44223</v>
      </c>
      <c r="Q30" s="25"/>
      <c r="R30" s="73"/>
      <c r="S30" s="58"/>
    </row>
    <row r="31" spans="1:23" ht="75" x14ac:dyDescent="0.25">
      <c r="A31" s="34">
        <v>44224</v>
      </c>
      <c r="B31" s="22" t="s">
        <v>34</v>
      </c>
      <c r="G31" s="48" t="s">
        <v>35</v>
      </c>
      <c r="H31" s="8">
        <v>150</v>
      </c>
      <c r="M31" s="10">
        <v>120</v>
      </c>
      <c r="N31" s="53" t="s">
        <v>8</v>
      </c>
      <c r="Q31" s="25"/>
      <c r="R31" s="53" t="s">
        <v>8</v>
      </c>
      <c r="S31" s="58"/>
    </row>
    <row r="32" spans="1:23" x14ac:dyDescent="0.25">
      <c r="A32" s="34">
        <v>44225</v>
      </c>
      <c r="Q32" s="25"/>
      <c r="R32" s="73"/>
      <c r="S32" s="58"/>
    </row>
    <row r="33" spans="1:19" x14ac:dyDescent="0.25">
      <c r="A33" s="34">
        <v>44226</v>
      </c>
      <c r="Q33" s="25"/>
      <c r="R33" s="73"/>
      <c r="S33" s="58"/>
    </row>
    <row r="34" spans="1:19" ht="90" x14ac:dyDescent="0.25">
      <c r="A34" s="34">
        <v>44227</v>
      </c>
      <c r="G34" s="48" t="s">
        <v>40</v>
      </c>
      <c r="M34" s="10">
        <v>210</v>
      </c>
      <c r="Q34" s="25"/>
      <c r="R34" s="53" t="s">
        <v>8</v>
      </c>
      <c r="S34" s="58"/>
    </row>
    <row r="35" spans="1:19" ht="15.75" thickBot="1" x14ac:dyDescent="0.3">
      <c r="A35" s="36" t="s">
        <v>20</v>
      </c>
      <c r="B35" s="37"/>
      <c r="C35" s="38"/>
      <c r="D35" s="38"/>
      <c r="E35" s="40"/>
      <c r="F35" s="49"/>
      <c r="G35" s="49"/>
      <c r="H35" s="37">
        <f t="shared" ref="H35:M35" si="0">SUM(H3:H34)</f>
        <v>1372</v>
      </c>
      <c r="I35" s="38">
        <f t="shared" si="0"/>
        <v>5308</v>
      </c>
      <c r="J35" s="38">
        <f t="shared" si="0"/>
        <v>3131</v>
      </c>
      <c r="K35" s="39">
        <f t="shared" si="0"/>
        <v>2241</v>
      </c>
      <c r="L35" s="39">
        <f t="shared" si="0"/>
        <v>790</v>
      </c>
      <c r="M35" s="40">
        <f t="shared" si="0"/>
        <v>1040</v>
      </c>
      <c r="N35" s="37"/>
      <c r="O35" s="38"/>
      <c r="P35" s="38"/>
      <c r="Q35" s="39"/>
      <c r="R35" s="70"/>
      <c r="S35" s="61"/>
    </row>
    <row r="36" spans="1:19" s="30" customFormat="1" ht="15.75" thickBot="1" x14ac:dyDescent="0.3">
      <c r="A36" s="36" t="s">
        <v>21</v>
      </c>
      <c r="B36" s="24"/>
      <c r="C36" s="24"/>
      <c r="D36" s="24"/>
      <c r="E36" s="24"/>
      <c r="F36" s="24"/>
      <c r="G36" s="24"/>
      <c r="H36" s="41">
        <f t="shared" ref="H36:M36" si="1">H35/24</f>
        <v>57.166666666666664</v>
      </c>
      <c r="I36" s="41">
        <f t="shared" si="1"/>
        <v>221.16666666666666</v>
      </c>
      <c r="J36" s="41">
        <f t="shared" si="1"/>
        <v>130.45833333333334</v>
      </c>
      <c r="K36" s="41">
        <f t="shared" si="1"/>
        <v>93.375</v>
      </c>
      <c r="L36" s="41">
        <f t="shared" si="1"/>
        <v>32.916666666666664</v>
      </c>
      <c r="M36" s="77">
        <f t="shared" si="1"/>
        <v>43.333333333333336</v>
      </c>
      <c r="N36" s="24"/>
      <c r="O36" s="24"/>
      <c r="P36" s="24"/>
      <c r="Q36" s="24"/>
      <c r="R36" s="24"/>
      <c r="S36" s="24"/>
    </row>
    <row r="37" spans="1:19" s="30" customFormat="1" x14ac:dyDescent="0.25">
      <c r="A37" s="24" t="s">
        <v>41</v>
      </c>
      <c r="B37" s="24"/>
      <c r="C37" s="24"/>
      <c r="D37" s="24"/>
      <c r="E37" s="24"/>
      <c r="F37" s="24"/>
      <c r="G37" s="24"/>
      <c r="H37" s="76">
        <f>(H3+H13+H14+H31)/24</f>
        <v>42.666666666666664</v>
      </c>
      <c r="I37" s="76">
        <f>(I8+I14+I21+I22)/24</f>
        <v>205.45833333333334</v>
      </c>
      <c r="J37" s="76">
        <f>(J4+J5+J6+J10+J21)/24</f>
        <v>107.54166666666667</v>
      </c>
      <c r="K37" s="76">
        <f>(K7+K8+K11+K25)/24</f>
        <v>73.833333333333329</v>
      </c>
      <c r="L37" s="24"/>
      <c r="M37" s="76">
        <f>(M12+M31+M34)/24</f>
        <v>43.333333333333336</v>
      </c>
      <c r="N37" s="24"/>
      <c r="O37" s="24"/>
      <c r="P37" s="24"/>
      <c r="Q37" s="24"/>
      <c r="R37" s="24"/>
      <c r="S37" s="24"/>
    </row>
    <row r="38" spans="1:19" s="30" customFormat="1" x14ac:dyDescent="0.25">
      <c r="A38" s="24" t="s">
        <v>42</v>
      </c>
      <c r="B38" s="24"/>
      <c r="C38" s="24"/>
      <c r="D38" s="24"/>
      <c r="E38" s="24"/>
      <c r="F38" s="24"/>
      <c r="G38" s="24"/>
      <c r="H38" s="76">
        <f>(H4+H7+H17+H22+H27)/24</f>
        <v>13.958333333333334</v>
      </c>
      <c r="I38" s="76">
        <f>(I3+I4+I28)/24</f>
        <v>10.166666666666666</v>
      </c>
      <c r="J38" s="24">
        <f>(J19+J27)/24</f>
        <v>22.5</v>
      </c>
      <c r="K38" s="24">
        <f>(K9+K27)/24</f>
        <v>14.5</v>
      </c>
      <c r="L38" s="76">
        <f>L15/24</f>
        <v>32.916666666666664</v>
      </c>
      <c r="M38" s="24"/>
      <c r="N38" s="24"/>
      <c r="O38" s="24"/>
      <c r="P38" s="24"/>
      <c r="Q38" s="24"/>
      <c r="R38" s="24"/>
      <c r="S38" s="24"/>
    </row>
    <row r="39" spans="1:19" s="30" customFormat="1" x14ac:dyDescent="0.25">
      <c r="A39" s="24" t="s">
        <v>43</v>
      </c>
      <c r="B39" s="24"/>
      <c r="C39" s="24"/>
      <c r="D39" s="24"/>
      <c r="E39" s="24"/>
      <c r="F39" s="24"/>
      <c r="G39" s="24"/>
      <c r="H39" s="76">
        <f>H16/24</f>
        <v>0.54166666666666663</v>
      </c>
      <c r="I39" s="76">
        <f>(I10)/24</f>
        <v>5.541666666666667</v>
      </c>
      <c r="J39" s="76">
        <f>(J26+J21)/24</f>
        <v>0.83333333333333337</v>
      </c>
      <c r="K39" s="24">
        <v>0</v>
      </c>
      <c r="L39" s="24"/>
      <c r="M39" s="24"/>
      <c r="N39" s="24"/>
      <c r="O39" s="24"/>
      <c r="P39" s="24"/>
      <c r="Q39" s="24"/>
      <c r="R39" s="24"/>
      <c r="S39" s="24"/>
    </row>
    <row r="40" spans="1:19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 spans="1:19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</row>
    <row r="81" spans="1:19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</row>
    <row r="82" spans="1:19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 spans="1:19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  <row r="84" spans="1:19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</row>
    <row r="85" spans="1:19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 spans="1:19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 spans="1:19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 spans="1:19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 spans="1:19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 spans="1:19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 spans="1:19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 spans="1:19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93" spans="1:19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</row>
    <row r="94" spans="1:19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 spans="1:19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 spans="1:19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 spans="1:19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 spans="1:19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</row>
    <row r="99" spans="1:19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</row>
    <row r="100" spans="1:19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 spans="1:19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 spans="1:19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 spans="1:19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 spans="1:19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 spans="1:19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  <row r="106" spans="1:19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</row>
    <row r="107" spans="1:19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</row>
    <row r="108" spans="1:19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</row>
    <row r="109" spans="1:19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</row>
    <row r="110" spans="1:19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</row>
    <row r="111" spans="1:19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</row>
    <row r="112" spans="1:19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</row>
    <row r="113" spans="1:19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</row>
    <row r="114" spans="1:19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</row>
    <row r="115" spans="1:19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</row>
    <row r="116" spans="1:19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</row>
    <row r="117" spans="1:19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</row>
    <row r="118" spans="1:19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</row>
    <row r="119" spans="1:19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</row>
    <row r="120" spans="1:19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</row>
    <row r="121" spans="1:19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 spans="1:19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</row>
    <row r="123" spans="1:19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</row>
    <row r="124" spans="1:19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</row>
    <row r="125" spans="1:19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</row>
    <row r="126" spans="1:19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</row>
    <row r="127" spans="1:19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</row>
    <row r="128" spans="1:19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</row>
    <row r="129" spans="1:19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</row>
    <row r="130" spans="1:19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</row>
    <row r="131" spans="1:19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</row>
    <row r="132" spans="1:19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</row>
    <row r="133" spans="1:19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</row>
    <row r="134" spans="1:19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</row>
    <row r="135" spans="1:19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</row>
    <row r="136" spans="1:19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</row>
    <row r="137" spans="1:19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</row>
    <row r="138" spans="1:19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</row>
    <row r="139" spans="1:19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</row>
    <row r="140" spans="1:19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</row>
    <row r="141" spans="1:19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</row>
    <row r="142" spans="1:19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</row>
    <row r="143" spans="1:19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</row>
    <row r="144" spans="1:19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</row>
    <row r="145" spans="1:19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</row>
    <row r="146" spans="1:19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</row>
    <row r="147" spans="1:19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</row>
    <row r="148" spans="1:19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</row>
    <row r="149" spans="1:19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</row>
    <row r="150" spans="1:19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</row>
    <row r="151" spans="1:19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</row>
    <row r="152" spans="1:19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</row>
    <row r="153" spans="1:19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</row>
    <row r="154" spans="1:19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</row>
    <row r="155" spans="1:19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</row>
    <row r="156" spans="1:19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</row>
    <row r="157" spans="1:19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</row>
    <row r="158" spans="1:19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</row>
    <row r="159" spans="1:19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</row>
    <row r="160" spans="1:19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</row>
    <row r="161" spans="1:19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</row>
    <row r="162" spans="1:19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</row>
    <row r="163" spans="1:19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</row>
    <row r="164" spans="1:19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</row>
    <row r="165" spans="1:19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</row>
    <row r="166" spans="1:19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</row>
    <row r="167" spans="1:19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</row>
    <row r="168" spans="1:19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</row>
    <row r="169" spans="1:19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</row>
    <row r="170" spans="1:19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</row>
    <row r="171" spans="1:19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</row>
    <row r="172" spans="1:19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</row>
    <row r="173" spans="1:19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</row>
    <row r="174" spans="1:19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</row>
    <row r="175" spans="1:19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</row>
    <row r="176" spans="1:19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</row>
    <row r="177" spans="1:19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</row>
    <row r="178" spans="1:19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</row>
    <row r="179" spans="1:19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</row>
    <row r="180" spans="1:19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</row>
    <row r="181" spans="1:19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</row>
    <row r="182" spans="1:19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</row>
    <row r="183" spans="1:19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</row>
    <row r="184" spans="1:19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</row>
    <row r="185" spans="1:19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</row>
    <row r="186" spans="1:19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</row>
    <row r="187" spans="1:19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</row>
    <row r="188" spans="1:19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</row>
    <row r="189" spans="1:19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</row>
    <row r="190" spans="1:19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</row>
    <row r="191" spans="1:19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</row>
    <row r="192" spans="1:19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</row>
    <row r="193" spans="1:19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</row>
    <row r="194" spans="1:19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</row>
    <row r="195" spans="1:19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</row>
    <row r="196" spans="1:19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</row>
    <row r="197" spans="1:19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</row>
    <row r="198" spans="1:19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</row>
    <row r="199" spans="1:19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</row>
    <row r="200" spans="1:19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</row>
    <row r="201" spans="1:19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</row>
    <row r="202" spans="1:19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</row>
    <row r="203" spans="1:19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</row>
    <row r="204" spans="1:19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</row>
    <row r="205" spans="1:19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</row>
    <row r="206" spans="1:19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</row>
    <row r="207" spans="1:19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</row>
    <row r="208" spans="1:19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</row>
    <row r="209" spans="1:19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</row>
    <row r="210" spans="1:19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</row>
    <row r="211" spans="1:19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</row>
    <row r="212" spans="1:19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</row>
    <row r="213" spans="1:19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</row>
    <row r="214" spans="1:19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</row>
    <row r="215" spans="1:19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</row>
    <row r="216" spans="1:19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</row>
    <row r="217" spans="1:19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</row>
    <row r="218" spans="1:19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</row>
    <row r="219" spans="1:19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</row>
    <row r="220" spans="1:19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</row>
    <row r="221" spans="1:19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</row>
    <row r="222" spans="1:19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</row>
    <row r="223" spans="1:19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</row>
    <row r="224" spans="1:19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</row>
    <row r="225" spans="1:19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</row>
    <row r="226" spans="1:19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</row>
    <row r="227" spans="1:19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</row>
    <row r="228" spans="1:19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</row>
    <row r="229" spans="1:19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</row>
    <row r="230" spans="1:19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</row>
    <row r="231" spans="1:19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</row>
    <row r="232" spans="1:19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</row>
    <row r="233" spans="1:19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</row>
    <row r="234" spans="1:19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</row>
    <row r="235" spans="1:19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</row>
    <row r="236" spans="1:19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</row>
    <row r="237" spans="1:19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</row>
    <row r="238" spans="1:19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</row>
    <row r="239" spans="1:19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</row>
    <row r="240" spans="1:19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</row>
    <row r="241" spans="1:19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</row>
    <row r="242" spans="1:19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</row>
    <row r="243" spans="1:19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</row>
    <row r="244" spans="1:19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</row>
    <row r="245" spans="1:19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</row>
    <row r="246" spans="1:19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</row>
    <row r="247" spans="1:19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</row>
    <row r="248" spans="1:19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</row>
    <row r="249" spans="1:19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</row>
    <row r="250" spans="1:19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</row>
    <row r="251" spans="1:19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</row>
    <row r="252" spans="1:19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</row>
    <row r="253" spans="1:19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</row>
    <row r="254" spans="1:19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</row>
    <row r="255" spans="1:19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</row>
    <row r="256" spans="1:19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</row>
    <row r="257" spans="1:19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</row>
    <row r="258" spans="1:19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</row>
    <row r="259" spans="1:19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</row>
    <row r="260" spans="1:19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</row>
    <row r="261" spans="1:19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</row>
    <row r="262" spans="1:19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</row>
    <row r="263" spans="1:19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</row>
    <row r="264" spans="1:19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</row>
    <row r="265" spans="1:19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</row>
    <row r="266" spans="1:19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</row>
    <row r="267" spans="1:19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</row>
    <row r="268" spans="1:19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</row>
    <row r="269" spans="1:19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</row>
    <row r="270" spans="1:19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</row>
    <row r="271" spans="1:19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</row>
    <row r="272" spans="1:19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</row>
    <row r="273" spans="1:19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</row>
    <row r="274" spans="1:19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</row>
    <row r="275" spans="1:19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</row>
    <row r="276" spans="1:19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</row>
    <row r="277" spans="1:19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</row>
    <row r="278" spans="1:19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</row>
    <row r="279" spans="1:19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</row>
  </sheetData>
  <autoFilter ref="N2:Q2"/>
  <mergeCells count="9">
    <mergeCell ref="H1:M1"/>
    <mergeCell ref="B1:E1"/>
    <mergeCell ref="N1:Q1"/>
    <mergeCell ref="A8:A9"/>
    <mergeCell ref="E24:E25"/>
    <mergeCell ref="A24:A25"/>
    <mergeCell ref="C20:C21"/>
    <mergeCell ref="O20:O21"/>
    <mergeCell ref="C22:C23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1"/>
  <sheetViews>
    <sheetView workbookViewId="0">
      <selection activeCell="F40" sqref="F40"/>
    </sheetView>
  </sheetViews>
  <sheetFormatPr defaultRowHeight="15" x14ac:dyDescent="0.25"/>
  <cols>
    <col min="1" max="1" width="20.140625" style="4" customWidth="1"/>
    <col min="2" max="2" width="28" style="8" customWidth="1"/>
    <col min="3" max="3" width="30.28515625" style="9" customWidth="1"/>
    <col min="4" max="4" width="17" style="9" bestFit="1" customWidth="1"/>
    <col min="5" max="5" width="20.85546875" style="10" customWidth="1"/>
    <col min="6" max="6" width="19" style="46" customWidth="1"/>
    <col min="7" max="7" width="17.140625" style="46" customWidth="1"/>
    <col min="8" max="8" width="11.5703125" style="8" bestFit="1" customWidth="1"/>
    <col min="9" max="9" width="10.140625" style="9" bestFit="1" customWidth="1"/>
    <col min="10" max="10" width="9.85546875" style="9" bestFit="1" customWidth="1"/>
    <col min="11" max="12" width="9.85546875" style="25" customWidth="1"/>
    <col min="13" max="13" width="10.140625" style="10" bestFit="1" customWidth="1"/>
    <col min="14" max="14" width="9.85546875" style="8" bestFit="1" customWidth="1"/>
    <col min="15" max="15" width="10.140625" style="9" bestFit="1" customWidth="1"/>
    <col min="16" max="16" width="9.85546875" style="9" bestFit="1" customWidth="1"/>
    <col min="17" max="17" width="10.140625" style="10" bestFit="1" customWidth="1"/>
    <col min="18" max="19" width="10.140625" style="24" customWidth="1"/>
  </cols>
  <sheetData>
    <row r="1" spans="1:22" ht="16.5" thickTop="1" thickBot="1" x14ac:dyDescent="0.3">
      <c r="A1" s="89"/>
      <c r="B1" s="2127" t="s">
        <v>3</v>
      </c>
      <c r="C1" s="2128"/>
      <c r="D1" s="2128"/>
      <c r="E1" s="2129"/>
      <c r="F1" s="64"/>
      <c r="G1" s="64"/>
      <c r="H1" s="2127" t="s">
        <v>6</v>
      </c>
      <c r="I1" s="2128"/>
      <c r="J1" s="2128"/>
      <c r="K1" s="2130"/>
      <c r="L1" s="2130"/>
      <c r="M1" s="2129"/>
      <c r="N1" s="2131" t="s">
        <v>13</v>
      </c>
      <c r="O1" s="2132"/>
      <c r="P1" s="2132"/>
      <c r="Q1" s="2133"/>
      <c r="R1" s="64"/>
      <c r="S1" s="90"/>
      <c r="T1" s="30"/>
    </row>
    <row r="2" spans="1:22" ht="16.5" thickTop="1" thickBot="1" x14ac:dyDescent="0.3">
      <c r="A2" s="94" t="s">
        <v>0</v>
      </c>
      <c r="B2" s="95" t="s">
        <v>1</v>
      </c>
      <c r="C2" s="96" t="s">
        <v>4</v>
      </c>
      <c r="D2" s="96" t="s">
        <v>2</v>
      </c>
      <c r="E2" s="97" t="s">
        <v>5</v>
      </c>
      <c r="F2" s="98" t="s">
        <v>26</v>
      </c>
      <c r="G2" s="98" t="s">
        <v>19</v>
      </c>
      <c r="H2" s="99" t="s">
        <v>1</v>
      </c>
      <c r="I2" s="100" t="s">
        <v>4</v>
      </c>
      <c r="J2" s="100" t="s">
        <v>2</v>
      </c>
      <c r="K2" s="100" t="s">
        <v>5</v>
      </c>
      <c r="L2" s="101" t="s">
        <v>26</v>
      </c>
      <c r="M2" s="102" t="s">
        <v>19</v>
      </c>
      <c r="N2" s="95" t="s">
        <v>1</v>
      </c>
      <c r="O2" s="96" t="s">
        <v>4</v>
      </c>
      <c r="P2" s="96" t="s">
        <v>2</v>
      </c>
      <c r="Q2" s="103" t="s">
        <v>5</v>
      </c>
      <c r="R2" s="116" t="s">
        <v>19</v>
      </c>
      <c r="S2" s="104" t="s">
        <v>26</v>
      </c>
    </row>
    <row r="3" spans="1:22" ht="15.75" thickTop="1" x14ac:dyDescent="0.25">
      <c r="A3" s="91">
        <v>44228</v>
      </c>
      <c r="B3" s="121" t="s">
        <v>44</v>
      </c>
      <c r="C3" s="122"/>
      <c r="D3" s="122" t="s">
        <v>46</v>
      </c>
      <c r="E3" s="123"/>
      <c r="F3" s="105"/>
      <c r="G3" s="51"/>
      <c r="H3" s="27">
        <v>7</v>
      </c>
      <c r="I3" s="28"/>
      <c r="J3" s="28">
        <v>40</v>
      </c>
      <c r="K3" s="28"/>
      <c r="L3" s="107"/>
      <c r="M3" s="29"/>
      <c r="N3" s="62" t="s">
        <v>7</v>
      </c>
      <c r="O3" s="92"/>
      <c r="P3" s="141" t="s">
        <v>8</v>
      </c>
      <c r="Q3" s="93"/>
      <c r="R3" s="117"/>
      <c r="S3" s="113"/>
      <c r="U3" s="2" t="s">
        <v>8</v>
      </c>
      <c r="V3" t="s">
        <v>10</v>
      </c>
    </row>
    <row r="4" spans="1:22" x14ac:dyDescent="0.25">
      <c r="A4" s="33">
        <v>44229</v>
      </c>
      <c r="B4" s="124"/>
      <c r="C4" s="125"/>
      <c r="D4" s="125" t="s">
        <v>45</v>
      </c>
      <c r="E4" s="126"/>
      <c r="F4" s="8"/>
      <c r="J4" s="9">
        <v>230</v>
      </c>
      <c r="K4" s="9"/>
      <c r="L4" s="9"/>
      <c r="M4" s="26"/>
      <c r="N4" s="78"/>
      <c r="O4" s="42"/>
      <c r="P4" s="141" t="s">
        <v>8</v>
      </c>
      <c r="Q4" s="80"/>
      <c r="R4" s="118"/>
      <c r="S4" s="109"/>
      <c r="U4" s="1" t="s">
        <v>7</v>
      </c>
      <c r="V4" t="s">
        <v>11</v>
      </c>
    </row>
    <row r="5" spans="1:22" x14ac:dyDescent="0.25">
      <c r="A5" s="33">
        <v>44230</v>
      </c>
      <c r="B5" s="124" t="s">
        <v>46</v>
      </c>
      <c r="C5" s="125"/>
      <c r="D5" s="125" t="s">
        <v>28</v>
      </c>
      <c r="E5" s="126" t="s">
        <v>47</v>
      </c>
      <c r="F5" s="8"/>
      <c r="H5" s="8">
        <v>35</v>
      </c>
      <c r="J5" s="9">
        <v>100</v>
      </c>
      <c r="K5" s="9">
        <v>10</v>
      </c>
      <c r="L5" s="9"/>
      <c r="M5" s="26"/>
      <c r="N5" s="141" t="s">
        <v>8</v>
      </c>
      <c r="O5" s="83"/>
      <c r="P5" s="62" t="s">
        <v>7</v>
      </c>
      <c r="Q5" s="141" t="s">
        <v>8</v>
      </c>
      <c r="R5" s="118"/>
      <c r="S5" s="109"/>
      <c r="U5" s="3" t="s">
        <v>9</v>
      </c>
      <c r="V5" t="s">
        <v>12</v>
      </c>
    </row>
    <row r="6" spans="1:22" ht="25.5" x14ac:dyDescent="0.25">
      <c r="A6" s="33">
        <v>44231</v>
      </c>
      <c r="B6" s="124"/>
      <c r="C6" s="125"/>
      <c r="D6" s="125"/>
      <c r="E6" s="127" t="s">
        <v>48</v>
      </c>
      <c r="F6" s="8"/>
      <c r="K6" s="9"/>
      <c r="L6" s="9"/>
      <c r="M6" s="26"/>
      <c r="N6" s="82"/>
      <c r="O6" s="42"/>
      <c r="P6" s="42"/>
      <c r="Q6" s="141" t="s">
        <v>8</v>
      </c>
      <c r="R6" s="118"/>
      <c r="S6" s="109"/>
      <c r="U6" s="145"/>
      <c r="V6" s="146" t="s">
        <v>51</v>
      </c>
    </row>
    <row r="7" spans="1:22" x14ac:dyDescent="0.25">
      <c r="A7" s="33">
        <v>44232</v>
      </c>
      <c r="B7" s="2124" t="s">
        <v>49</v>
      </c>
      <c r="C7" s="2125"/>
      <c r="D7" s="2125"/>
      <c r="E7" s="2126"/>
      <c r="F7" s="22"/>
      <c r="G7" s="47"/>
      <c r="H7" s="8">
        <v>5</v>
      </c>
      <c r="J7" s="9">
        <v>420</v>
      </c>
      <c r="K7" s="9"/>
      <c r="L7" s="9"/>
      <c r="M7" s="26"/>
      <c r="N7" s="78"/>
      <c r="O7" s="83"/>
      <c r="P7" s="83"/>
      <c r="Q7" s="79"/>
      <c r="R7" s="119"/>
      <c r="S7" s="114"/>
      <c r="T7" s="30"/>
    </row>
    <row r="8" spans="1:22" x14ac:dyDescent="0.25">
      <c r="A8" s="33">
        <v>44233</v>
      </c>
      <c r="B8" s="124"/>
      <c r="C8" s="129"/>
      <c r="D8" s="125"/>
      <c r="E8" s="127"/>
      <c r="F8" s="22"/>
      <c r="G8" s="47"/>
      <c r="K8" s="9"/>
      <c r="L8" s="9"/>
      <c r="M8" s="26"/>
      <c r="N8" s="82"/>
      <c r="O8" s="42"/>
      <c r="P8" s="83"/>
      <c r="Q8" s="79"/>
      <c r="R8" s="119"/>
      <c r="S8" s="114"/>
      <c r="T8" s="30"/>
    </row>
    <row r="9" spans="1:22" x14ac:dyDescent="0.25">
      <c r="A9" s="33">
        <v>44234</v>
      </c>
      <c r="B9" s="2121" t="s">
        <v>52</v>
      </c>
      <c r="C9" s="2122"/>
      <c r="D9" s="2122"/>
      <c r="E9" s="2123"/>
      <c r="F9" s="143" t="s">
        <v>50</v>
      </c>
      <c r="K9" s="9"/>
      <c r="L9" s="9">
        <v>840</v>
      </c>
      <c r="M9" s="26"/>
      <c r="N9" s="147"/>
      <c r="O9" s="148"/>
      <c r="P9" s="148"/>
      <c r="Q9" s="149"/>
      <c r="R9" s="150"/>
      <c r="S9" s="114"/>
      <c r="T9" s="30"/>
    </row>
    <row r="10" spans="1:22" x14ac:dyDescent="0.25">
      <c r="A10" s="33">
        <v>44235</v>
      </c>
      <c r="B10" s="2121" t="s">
        <v>52</v>
      </c>
      <c r="C10" s="2122"/>
      <c r="D10" s="2122"/>
      <c r="E10" s="2123"/>
      <c r="F10" s="8" t="s">
        <v>53</v>
      </c>
      <c r="K10" s="9"/>
      <c r="L10" s="9">
        <v>480</v>
      </c>
      <c r="M10" s="26"/>
      <c r="N10" s="147"/>
      <c r="O10" s="148"/>
      <c r="P10" s="148"/>
      <c r="Q10" s="149"/>
      <c r="R10" s="150"/>
      <c r="S10" s="109"/>
    </row>
    <row r="11" spans="1:22" x14ac:dyDescent="0.25">
      <c r="A11" s="33">
        <v>44236</v>
      </c>
      <c r="B11" s="2121" t="s">
        <v>52</v>
      </c>
      <c r="C11" s="2122"/>
      <c r="D11" s="2122"/>
      <c r="E11" s="2123"/>
      <c r="F11" s="153" t="s">
        <v>54</v>
      </c>
      <c r="G11" s="48"/>
      <c r="K11" s="9"/>
      <c r="L11" s="9">
        <v>1440</v>
      </c>
      <c r="M11" s="26"/>
      <c r="N11" s="147"/>
      <c r="O11" s="148"/>
      <c r="P11" s="148"/>
      <c r="Q11" s="149"/>
      <c r="R11" s="150"/>
      <c r="S11" s="114"/>
      <c r="T11" s="30"/>
    </row>
    <row r="12" spans="1:22" x14ac:dyDescent="0.25">
      <c r="A12" s="33" t="s">
        <v>57</v>
      </c>
      <c r="B12" s="2121" t="s">
        <v>52</v>
      </c>
      <c r="C12" s="2122"/>
      <c r="D12" s="2122"/>
      <c r="E12" s="2123"/>
      <c r="F12" s="22" t="s">
        <v>55</v>
      </c>
      <c r="G12" s="48"/>
      <c r="L12" s="9">
        <v>810</v>
      </c>
      <c r="M12" s="26"/>
      <c r="N12" s="147"/>
      <c r="O12" s="148"/>
      <c r="P12" s="148"/>
      <c r="Q12" s="149"/>
      <c r="R12" s="150"/>
      <c r="S12" s="109"/>
    </row>
    <row r="13" spans="1:22" x14ac:dyDescent="0.25">
      <c r="A13" s="33" t="s">
        <v>56</v>
      </c>
      <c r="B13" s="151"/>
      <c r="C13" s="133"/>
      <c r="D13" s="133" t="s">
        <v>46</v>
      </c>
      <c r="E13" s="152"/>
      <c r="F13" s="22"/>
      <c r="G13" s="48"/>
      <c r="J13" s="9">
        <v>20</v>
      </c>
      <c r="L13" s="9"/>
      <c r="M13" s="26"/>
      <c r="N13" s="81"/>
      <c r="O13" s="83"/>
      <c r="P13" s="141" t="s">
        <v>8</v>
      </c>
      <c r="Q13" s="79"/>
      <c r="R13" s="119"/>
      <c r="S13" s="109"/>
    </row>
    <row r="14" spans="1:22" x14ac:dyDescent="0.25">
      <c r="A14" s="33">
        <v>44238</v>
      </c>
      <c r="B14" s="124"/>
      <c r="C14" s="125"/>
      <c r="D14" s="125"/>
      <c r="E14" s="126"/>
      <c r="F14" s="8"/>
      <c r="L14" s="9"/>
      <c r="M14" s="26"/>
      <c r="N14" s="84"/>
      <c r="O14" s="83"/>
      <c r="P14" s="84"/>
      <c r="Q14" s="80"/>
      <c r="R14" s="118"/>
      <c r="S14" s="109"/>
    </row>
    <row r="15" spans="1:22" x14ac:dyDescent="0.25">
      <c r="A15" s="33">
        <v>44239</v>
      </c>
      <c r="B15" s="124"/>
      <c r="C15" s="125"/>
      <c r="D15" s="130" t="s">
        <v>58</v>
      </c>
      <c r="E15" s="126"/>
      <c r="F15" s="8"/>
      <c r="J15" s="9">
        <v>140</v>
      </c>
      <c r="N15" s="84"/>
      <c r="O15" s="83"/>
      <c r="P15" s="141" t="s">
        <v>8</v>
      </c>
      <c r="Q15" s="80"/>
      <c r="R15" s="118"/>
      <c r="S15" s="109"/>
    </row>
    <row r="16" spans="1:22" x14ac:dyDescent="0.25">
      <c r="A16" s="33">
        <v>44240</v>
      </c>
      <c r="B16" s="124"/>
      <c r="C16" s="131"/>
      <c r="D16" s="132"/>
      <c r="E16" s="133"/>
      <c r="F16" s="8"/>
      <c r="G16" s="26"/>
      <c r="H16" s="65"/>
      <c r="N16" s="82"/>
      <c r="O16" s="83"/>
      <c r="P16" s="83"/>
      <c r="Q16" s="80"/>
      <c r="R16" s="118"/>
      <c r="S16" s="115"/>
    </row>
    <row r="17" spans="1:23" ht="25.5" x14ac:dyDescent="0.25">
      <c r="A17" s="33">
        <v>44241</v>
      </c>
      <c r="B17" s="124"/>
      <c r="C17" s="129" t="s">
        <v>60</v>
      </c>
      <c r="D17" s="134"/>
      <c r="E17" s="126" t="s">
        <v>59</v>
      </c>
      <c r="F17" s="8"/>
      <c r="I17" s="9">
        <v>155</v>
      </c>
      <c r="M17" s="10">
        <v>41</v>
      </c>
      <c r="N17" s="81"/>
      <c r="O17" s="141" t="s">
        <v>8</v>
      </c>
      <c r="P17" s="83"/>
      <c r="Q17" s="141" t="s">
        <v>8</v>
      </c>
      <c r="R17" s="118"/>
      <c r="S17" s="109"/>
    </row>
    <row r="18" spans="1:23" x14ac:dyDescent="0.25">
      <c r="A18" s="33">
        <v>44242</v>
      </c>
      <c r="B18" s="124"/>
      <c r="C18" s="122" t="s">
        <v>46</v>
      </c>
      <c r="D18" s="125"/>
      <c r="E18" s="122" t="s">
        <v>46</v>
      </c>
      <c r="F18" s="8"/>
      <c r="I18" s="9">
        <v>15</v>
      </c>
      <c r="K18" s="25">
        <v>10</v>
      </c>
      <c r="N18" s="84"/>
      <c r="O18" s="141" t="s">
        <v>8</v>
      </c>
      <c r="P18" s="83"/>
      <c r="Q18" s="141" t="s">
        <v>8</v>
      </c>
      <c r="R18" s="118"/>
      <c r="S18" s="109"/>
    </row>
    <row r="19" spans="1:23" x14ac:dyDescent="0.25">
      <c r="A19" s="33">
        <v>44243</v>
      </c>
      <c r="B19" s="124" t="s">
        <v>61</v>
      </c>
      <c r="C19" s="125"/>
      <c r="D19" s="125"/>
      <c r="E19" s="126"/>
      <c r="F19" s="8"/>
      <c r="H19" s="8">
        <v>10</v>
      </c>
      <c r="J19" s="156"/>
      <c r="K19" s="157"/>
      <c r="L19" s="157"/>
      <c r="M19" s="160"/>
      <c r="N19" s="62" t="s">
        <v>7</v>
      </c>
      <c r="O19" s="85"/>
      <c r="P19" s="85"/>
      <c r="Q19" s="142"/>
      <c r="R19" s="120"/>
      <c r="S19" s="109"/>
    </row>
    <row r="20" spans="1:23" ht="38.25" x14ac:dyDescent="0.25">
      <c r="A20" s="2109">
        <v>44244</v>
      </c>
      <c r="B20" s="124"/>
      <c r="C20" s="125"/>
      <c r="D20" s="129" t="s">
        <v>63</v>
      </c>
      <c r="E20" s="127" t="s">
        <v>67</v>
      </c>
      <c r="F20" s="8"/>
      <c r="I20" s="25"/>
      <c r="J20" s="170">
        <v>75</v>
      </c>
      <c r="K20" s="170">
        <v>140</v>
      </c>
      <c r="L20" s="165"/>
      <c r="M20" s="166"/>
      <c r="N20" s="167"/>
      <c r="O20" s="168"/>
      <c r="P20" s="141" t="s">
        <v>8</v>
      </c>
      <c r="Q20" s="141" t="s">
        <v>8</v>
      </c>
      <c r="R20" s="169"/>
      <c r="S20" s="109"/>
    </row>
    <row r="21" spans="1:23" ht="38.25" x14ac:dyDescent="0.25">
      <c r="A21" s="2110"/>
      <c r="B21" s="124"/>
      <c r="C21" s="130"/>
      <c r="D21" s="129" t="s">
        <v>65</v>
      </c>
      <c r="E21" s="127" t="s">
        <v>66</v>
      </c>
      <c r="F21" s="8"/>
      <c r="I21" s="25"/>
      <c r="J21" s="24">
        <v>40</v>
      </c>
      <c r="K21" s="24">
        <v>15</v>
      </c>
      <c r="L21" s="24"/>
      <c r="M21" s="171"/>
      <c r="N21" s="172"/>
      <c r="O21" s="163"/>
      <c r="P21" s="62" t="s">
        <v>7</v>
      </c>
      <c r="Q21" s="62" t="s">
        <v>7</v>
      </c>
      <c r="R21" s="81"/>
      <c r="S21" s="109"/>
    </row>
    <row r="22" spans="1:23" x14ac:dyDescent="0.25">
      <c r="A22" s="33">
        <v>44245</v>
      </c>
      <c r="B22" s="124"/>
      <c r="C22" s="135"/>
      <c r="D22" s="125"/>
      <c r="E22" s="126"/>
      <c r="F22" s="8"/>
      <c r="J22" s="158"/>
      <c r="K22" s="159"/>
      <c r="L22" s="159"/>
      <c r="M22" s="161"/>
      <c r="N22" s="162"/>
      <c r="O22" s="163"/>
      <c r="P22" s="110"/>
      <c r="Q22" s="111"/>
      <c r="R22" s="164"/>
      <c r="S22" s="109"/>
    </row>
    <row r="23" spans="1:23" x14ac:dyDescent="0.25">
      <c r="A23" s="33">
        <v>44246</v>
      </c>
      <c r="B23" s="2121" t="s">
        <v>52</v>
      </c>
      <c r="C23" s="2122"/>
      <c r="D23" s="2122"/>
      <c r="E23" s="2122"/>
      <c r="F23" s="154" t="s">
        <v>62</v>
      </c>
      <c r="L23" s="25">
        <v>375</v>
      </c>
      <c r="N23" s="147"/>
      <c r="O23" s="148"/>
      <c r="P23" s="148"/>
      <c r="Q23" s="149"/>
      <c r="R23" s="150"/>
      <c r="S23" s="109"/>
    </row>
    <row r="24" spans="1:23" x14ac:dyDescent="0.25">
      <c r="A24" s="33">
        <v>44247</v>
      </c>
      <c r="B24" s="136"/>
      <c r="C24" s="137"/>
      <c r="D24" s="125"/>
      <c r="E24" s="126"/>
      <c r="F24" s="8"/>
      <c r="N24" s="84"/>
      <c r="O24" s="85"/>
      <c r="P24" s="83"/>
      <c r="Q24" s="80"/>
      <c r="R24" s="118"/>
      <c r="S24" s="109"/>
      <c r="V24" s="20"/>
      <c r="W24" s="20"/>
    </row>
    <row r="25" spans="1:23" x14ac:dyDescent="0.25">
      <c r="A25" s="33">
        <v>44248</v>
      </c>
      <c r="B25" s="124"/>
      <c r="C25" s="138"/>
      <c r="D25" s="125"/>
      <c r="E25" s="126" t="s">
        <v>64</v>
      </c>
      <c r="F25" s="8"/>
      <c r="K25" s="25">
        <v>180</v>
      </c>
      <c r="N25" s="82"/>
      <c r="O25" s="110"/>
      <c r="P25" s="83"/>
      <c r="Q25" s="141" t="s">
        <v>8</v>
      </c>
      <c r="R25" s="118"/>
      <c r="S25" s="109"/>
    </row>
    <row r="26" spans="1:23" x14ac:dyDescent="0.25">
      <c r="A26" s="33">
        <v>44249</v>
      </c>
      <c r="B26" s="124"/>
      <c r="C26" s="129"/>
      <c r="D26" s="125"/>
      <c r="E26" s="139"/>
      <c r="F26" s="22"/>
      <c r="N26" s="82"/>
      <c r="O26" s="83"/>
      <c r="P26" s="83"/>
      <c r="Q26" s="80"/>
      <c r="R26" s="118"/>
      <c r="S26" s="109"/>
    </row>
    <row r="27" spans="1:23" x14ac:dyDescent="0.25">
      <c r="A27" s="33">
        <v>44250</v>
      </c>
      <c r="B27" s="124"/>
      <c r="C27" s="125"/>
      <c r="D27" s="125"/>
      <c r="E27" s="140"/>
      <c r="F27" s="106"/>
      <c r="N27" s="82"/>
      <c r="O27" s="83"/>
      <c r="P27" s="83"/>
      <c r="Q27" s="79"/>
      <c r="R27" s="119"/>
      <c r="S27" s="109"/>
    </row>
    <row r="28" spans="1:23" x14ac:dyDescent="0.25">
      <c r="A28" s="33">
        <v>44251</v>
      </c>
      <c r="B28" s="124"/>
      <c r="C28" s="125"/>
      <c r="D28" s="129"/>
      <c r="E28" s="126"/>
      <c r="F28" s="22"/>
      <c r="N28" s="82"/>
      <c r="O28" s="83"/>
      <c r="P28" s="84"/>
      <c r="Q28" s="80"/>
      <c r="R28" s="118"/>
      <c r="S28" s="109"/>
    </row>
    <row r="29" spans="1:23" x14ac:dyDescent="0.25">
      <c r="A29" s="33">
        <v>44252</v>
      </c>
      <c r="B29" s="128"/>
      <c r="C29" s="125"/>
      <c r="D29" s="125"/>
      <c r="E29" s="127"/>
      <c r="F29" s="22"/>
      <c r="N29" s="84"/>
      <c r="O29" s="83"/>
      <c r="P29" s="80"/>
      <c r="Q29" s="80"/>
      <c r="R29" s="118"/>
      <c r="S29" s="109"/>
    </row>
    <row r="30" spans="1:23" x14ac:dyDescent="0.25">
      <c r="A30" s="33">
        <v>44253</v>
      </c>
      <c r="B30" s="124"/>
      <c r="C30" s="125"/>
      <c r="D30" s="125"/>
      <c r="E30" s="126"/>
      <c r="F30" s="8"/>
      <c r="N30" s="82"/>
      <c r="O30" s="84"/>
      <c r="P30" s="83"/>
      <c r="Q30" s="80"/>
      <c r="R30" s="120"/>
      <c r="S30" s="109"/>
    </row>
    <row r="31" spans="1:23" x14ac:dyDescent="0.25">
      <c r="A31" s="33">
        <v>44254</v>
      </c>
      <c r="B31" s="124"/>
      <c r="C31" s="125"/>
      <c r="D31" s="125"/>
      <c r="E31" s="126"/>
      <c r="F31" s="8"/>
      <c r="N31" s="82"/>
      <c r="O31" s="83"/>
      <c r="P31" s="83"/>
      <c r="Q31" s="80"/>
      <c r="R31" s="108"/>
      <c r="S31" s="87"/>
    </row>
    <row r="32" spans="1:23" x14ac:dyDescent="0.25">
      <c r="A32" s="33">
        <v>44255</v>
      </c>
      <c r="B32" s="124"/>
      <c r="C32" s="125"/>
      <c r="D32" s="125"/>
      <c r="E32" s="126"/>
      <c r="F32" s="8"/>
      <c r="N32" s="82"/>
      <c r="O32" s="83"/>
      <c r="P32" s="83"/>
      <c r="Q32" s="80"/>
      <c r="R32" s="81"/>
      <c r="S32" s="87"/>
    </row>
    <row r="33" spans="1:19" x14ac:dyDescent="0.25">
      <c r="A33" s="33"/>
      <c r="B33" s="22"/>
      <c r="F33" s="8"/>
      <c r="G33" s="48"/>
      <c r="N33" s="79"/>
      <c r="O33" s="83"/>
      <c r="P33" s="83"/>
      <c r="Q33" s="80"/>
      <c r="R33" s="79"/>
      <c r="S33" s="87"/>
    </row>
    <row r="34" spans="1:19" x14ac:dyDescent="0.25">
      <c r="A34" s="33"/>
      <c r="F34" s="8"/>
      <c r="N34" s="82"/>
      <c r="O34" s="83"/>
      <c r="P34" s="83"/>
      <c r="Q34" s="80"/>
      <c r="R34" s="112"/>
      <c r="S34" s="87"/>
    </row>
    <row r="35" spans="1:19" x14ac:dyDescent="0.25">
      <c r="A35" s="33"/>
      <c r="F35" s="8"/>
      <c r="N35" s="82"/>
      <c r="O35" s="83"/>
      <c r="P35" s="83"/>
      <c r="Q35" s="80"/>
      <c r="R35" s="81"/>
      <c r="S35" s="87"/>
    </row>
    <row r="36" spans="1:19" x14ac:dyDescent="0.25">
      <c r="A36" s="33"/>
      <c r="F36" s="8"/>
      <c r="G36" s="48"/>
      <c r="N36" s="82"/>
      <c r="O36" s="83"/>
      <c r="P36" s="83"/>
      <c r="Q36" s="80"/>
      <c r="R36" s="79"/>
      <c r="S36" s="87"/>
    </row>
    <row r="37" spans="1:19" ht="15.75" thickBot="1" x14ac:dyDescent="0.3">
      <c r="A37" s="36" t="s">
        <v>20</v>
      </c>
      <c r="B37" s="37"/>
      <c r="C37" s="38"/>
      <c r="D37" s="38"/>
      <c r="E37" s="40"/>
      <c r="F37" s="49"/>
      <c r="G37" s="49"/>
      <c r="H37" s="37">
        <f t="shared" ref="H37:M37" si="0">SUM(H3:H36)</f>
        <v>57</v>
      </c>
      <c r="I37" s="38">
        <f t="shared" si="0"/>
        <v>170</v>
      </c>
      <c r="J37" s="38">
        <f t="shared" si="0"/>
        <v>1065</v>
      </c>
      <c r="K37" s="39">
        <f t="shared" si="0"/>
        <v>355</v>
      </c>
      <c r="L37" s="39">
        <f>SUM(L3:L36)</f>
        <v>3945</v>
      </c>
      <c r="M37" s="40">
        <f t="shared" si="0"/>
        <v>41</v>
      </c>
      <c r="N37" s="37"/>
      <c r="O37" s="38"/>
      <c r="P37" s="38"/>
      <c r="Q37" s="39"/>
      <c r="R37" s="86"/>
      <c r="S37" s="88"/>
    </row>
    <row r="38" spans="1:19" s="30" customFormat="1" ht="15.75" thickBot="1" x14ac:dyDescent="0.3">
      <c r="A38" s="36" t="s">
        <v>21</v>
      </c>
      <c r="B38" s="24"/>
      <c r="C38" s="24"/>
      <c r="D38" s="24"/>
      <c r="E38" s="24"/>
      <c r="F38" s="24"/>
      <c r="G38" s="24"/>
      <c r="H38" s="41">
        <f t="shared" ref="H38:M38" si="1">H37/60</f>
        <v>0.95</v>
      </c>
      <c r="I38" s="41">
        <f t="shared" si="1"/>
        <v>2.8333333333333335</v>
      </c>
      <c r="J38" s="41">
        <f t="shared" si="1"/>
        <v>17.75</v>
      </c>
      <c r="K38" s="41">
        <f t="shared" si="1"/>
        <v>5.916666666666667</v>
      </c>
      <c r="L38" s="41">
        <f t="shared" si="1"/>
        <v>65.75</v>
      </c>
      <c r="M38" s="41">
        <f t="shared" si="1"/>
        <v>0.68333333333333335</v>
      </c>
      <c r="N38" s="24"/>
      <c r="O38" s="24"/>
      <c r="P38" s="24"/>
      <c r="Q38" s="24"/>
      <c r="R38" s="24"/>
      <c r="S38" s="24"/>
    </row>
    <row r="39" spans="1:19" s="30" customFormat="1" x14ac:dyDescent="0.25">
      <c r="A39" s="24" t="s">
        <v>41</v>
      </c>
      <c r="B39" s="24"/>
      <c r="C39" s="24"/>
      <c r="D39" s="24"/>
      <c r="E39" s="24"/>
      <c r="F39" s="24"/>
      <c r="G39" s="24"/>
      <c r="H39" s="76">
        <f>(H4+H14+H15+H33)/24</f>
        <v>0</v>
      </c>
      <c r="I39" s="76">
        <f>(I9+I15+I23+I24)/24</f>
        <v>0</v>
      </c>
      <c r="J39" s="76">
        <f>(J5+J6+J7+J11+J23)/24</f>
        <v>21.666666666666668</v>
      </c>
      <c r="K39" s="76">
        <f>(K8+K9+K12+K27)/24</f>
        <v>0</v>
      </c>
      <c r="L39" s="24"/>
      <c r="M39" s="76">
        <f>(M13+M33+M36)/24</f>
        <v>0</v>
      </c>
      <c r="N39" s="24"/>
      <c r="O39" s="24"/>
      <c r="P39" s="24"/>
      <c r="Q39" s="24"/>
      <c r="R39" s="24"/>
      <c r="S39" s="24"/>
    </row>
    <row r="40" spans="1:19" s="30" customFormat="1" x14ac:dyDescent="0.25">
      <c r="A40" s="24" t="s">
        <v>42</v>
      </c>
      <c r="B40" s="24"/>
      <c r="C40" s="24"/>
      <c r="D40" s="24"/>
      <c r="E40" s="24"/>
      <c r="F40" s="24"/>
      <c r="G40" s="24"/>
      <c r="H40" s="76">
        <f>(H5+H8+H18+H24+H29)/24</f>
        <v>1.4583333333333333</v>
      </c>
      <c r="I40" s="76">
        <f>(I4+I5+I30)/24</f>
        <v>0</v>
      </c>
      <c r="J40" s="24">
        <f>(J20+J29)/24</f>
        <v>3.125</v>
      </c>
      <c r="K40" s="24">
        <f>(K10+K29)/24</f>
        <v>0</v>
      </c>
      <c r="L40" s="76">
        <f>L16/24</f>
        <v>0</v>
      </c>
      <c r="M40" s="24"/>
      <c r="N40" s="24"/>
      <c r="O40" s="24"/>
      <c r="P40" s="24"/>
      <c r="Q40" s="24"/>
      <c r="R40" s="24"/>
      <c r="S40" s="24"/>
    </row>
    <row r="41" spans="1:19" s="30" customFormat="1" x14ac:dyDescent="0.25">
      <c r="A41" s="24" t="s">
        <v>43</v>
      </c>
      <c r="B41" s="24"/>
      <c r="C41" s="24"/>
      <c r="D41" s="24"/>
      <c r="E41" s="24"/>
      <c r="F41" s="24"/>
      <c r="G41" s="24"/>
      <c r="H41" s="76">
        <f>H17/24</f>
        <v>0</v>
      </c>
      <c r="I41" s="76">
        <f>(I11)/24</f>
        <v>0</v>
      </c>
      <c r="J41" s="76">
        <f>(J28+J23)/24</f>
        <v>0</v>
      </c>
      <c r="K41" s="24">
        <v>0</v>
      </c>
      <c r="L41" s="24"/>
      <c r="M41" s="24"/>
      <c r="N41" s="24"/>
      <c r="O41" s="24"/>
      <c r="P41" s="24"/>
      <c r="Q41" s="24"/>
      <c r="R41" s="24"/>
      <c r="S41" s="24"/>
    </row>
    <row r="42" spans="1:19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/>
      <c r="B46"/>
      <c r="C46"/>
      <c r="D46"/>
      <c r="E46" s="144"/>
      <c r="F46" s="144"/>
      <c r="G46" s="20"/>
      <c r="H46" s="20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/>
      <c r="B49"/>
      <c r="C49"/>
      <c r="D49"/>
      <c r="E49" s="20"/>
      <c r="F49" s="20"/>
      <c r="G49" s="20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 spans="1:19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</row>
    <row r="81" spans="1:19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</row>
    <row r="82" spans="1:19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 spans="1:19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  <row r="84" spans="1:19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</row>
    <row r="85" spans="1:19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 spans="1:19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 spans="1:19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 spans="1:19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 spans="1:19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 spans="1:19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 spans="1:19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 spans="1:19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93" spans="1:19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</row>
    <row r="94" spans="1:19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 spans="1:19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 spans="1:19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 spans="1:19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 spans="1:19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</row>
    <row r="99" spans="1:19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</row>
    <row r="100" spans="1:19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 spans="1:19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 spans="1:19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 spans="1:19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 spans="1:19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 spans="1:19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  <row r="106" spans="1:19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</row>
    <row r="107" spans="1:19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</row>
    <row r="108" spans="1:19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</row>
    <row r="109" spans="1:19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</row>
    <row r="110" spans="1:19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</row>
    <row r="111" spans="1:19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</row>
    <row r="112" spans="1:19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</row>
    <row r="113" spans="1:19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</row>
    <row r="114" spans="1:19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</row>
    <row r="115" spans="1:19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</row>
    <row r="116" spans="1:19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</row>
    <row r="117" spans="1:19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</row>
    <row r="118" spans="1:19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</row>
    <row r="119" spans="1:19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</row>
    <row r="120" spans="1:19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</row>
    <row r="121" spans="1:19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 spans="1:19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</row>
    <row r="123" spans="1:19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</row>
    <row r="124" spans="1:19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</row>
    <row r="125" spans="1:19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</row>
    <row r="126" spans="1:19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</row>
    <row r="127" spans="1:19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</row>
    <row r="128" spans="1:19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</row>
    <row r="129" spans="1:19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</row>
    <row r="130" spans="1:19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</row>
    <row r="131" spans="1:19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</row>
    <row r="132" spans="1:19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</row>
    <row r="133" spans="1:19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</row>
    <row r="134" spans="1:19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</row>
    <row r="135" spans="1:19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</row>
    <row r="136" spans="1:19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</row>
    <row r="137" spans="1:19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</row>
    <row r="138" spans="1:19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</row>
    <row r="139" spans="1:19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</row>
    <row r="140" spans="1:19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</row>
    <row r="141" spans="1:19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</row>
    <row r="142" spans="1:19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</row>
    <row r="143" spans="1:19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</row>
    <row r="144" spans="1:19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</row>
    <row r="145" spans="1:19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</row>
    <row r="146" spans="1:19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</row>
    <row r="147" spans="1:19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</row>
    <row r="148" spans="1:19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</row>
    <row r="149" spans="1:19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</row>
    <row r="150" spans="1:19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</row>
    <row r="151" spans="1:19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</row>
    <row r="152" spans="1:19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</row>
    <row r="153" spans="1:19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</row>
    <row r="154" spans="1:19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</row>
    <row r="155" spans="1:19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</row>
    <row r="156" spans="1:19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</row>
    <row r="157" spans="1:19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</row>
    <row r="158" spans="1:19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</row>
    <row r="159" spans="1:19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</row>
    <row r="160" spans="1:19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</row>
    <row r="161" spans="1:19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</row>
    <row r="162" spans="1:19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</row>
    <row r="163" spans="1:19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</row>
    <row r="164" spans="1:19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</row>
    <row r="165" spans="1:19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</row>
    <row r="166" spans="1:19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</row>
    <row r="167" spans="1:19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</row>
    <row r="168" spans="1:19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</row>
    <row r="169" spans="1:19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</row>
    <row r="170" spans="1:19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</row>
    <row r="171" spans="1:19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</row>
    <row r="172" spans="1:19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</row>
    <row r="173" spans="1:19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</row>
    <row r="174" spans="1:19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</row>
    <row r="175" spans="1:19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</row>
    <row r="176" spans="1:19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</row>
    <row r="177" spans="1:19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</row>
    <row r="178" spans="1:19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</row>
    <row r="179" spans="1:19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</row>
    <row r="180" spans="1:19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</row>
    <row r="181" spans="1:19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</row>
    <row r="182" spans="1:19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</row>
    <row r="183" spans="1:19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</row>
    <row r="184" spans="1:19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</row>
    <row r="185" spans="1:19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</row>
    <row r="186" spans="1:19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</row>
    <row r="187" spans="1:19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</row>
    <row r="188" spans="1:19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</row>
    <row r="189" spans="1:19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</row>
    <row r="190" spans="1:19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</row>
    <row r="191" spans="1:19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</row>
    <row r="192" spans="1:19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</row>
    <row r="193" spans="1:19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</row>
    <row r="194" spans="1:19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</row>
    <row r="195" spans="1:19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</row>
    <row r="196" spans="1:19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</row>
    <row r="197" spans="1:19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</row>
    <row r="198" spans="1:19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</row>
    <row r="199" spans="1:19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</row>
    <row r="200" spans="1:19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</row>
    <row r="201" spans="1:19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</row>
    <row r="202" spans="1:19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</row>
    <row r="203" spans="1:19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</row>
    <row r="204" spans="1:19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</row>
    <row r="205" spans="1:19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</row>
    <row r="206" spans="1:19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</row>
    <row r="207" spans="1:19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</row>
    <row r="208" spans="1:19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</row>
    <row r="209" spans="1:19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</row>
    <row r="210" spans="1:19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</row>
    <row r="211" spans="1:19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</row>
    <row r="212" spans="1:19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</row>
    <row r="213" spans="1:19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</row>
    <row r="214" spans="1:19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</row>
    <row r="215" spans="1:19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</row>
    <row r="216" spans="1:19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</row>
    <row r="217" spans="1:19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</row>
    <row r="218" spans="1:19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</row>
    <row r="219" spans="1:19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</row>
    <row r="220" spans="1:19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</row>
    <row r="221" spans="1:19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</row>
    <row r="222" spans="1:19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</row>
    <row r="223" spans="1:19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</row>
    <row r="224" spans="1:19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</row>
    <row r="225" spans="1:19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</row>
    <row r="226" spans="1:19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</row>
    <row r="227" spans="1:19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</row>
    <row r="228" spans="1:19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</row>
    <row r="229" spans="1:19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</row>
    <row r="230" spans="1:19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</row>
    <row r="231" spans="1:19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</row>
    <row r="232" spans="1:19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</row>
    <row r="233" spans="1:19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</row>
    <row r="234" spans="1:19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</row>
    <row r="235" spans="1:19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</row>
    <row r="236" spans="1:19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</row>
    <row r="237" spans="1:19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</row>
    <row r="238" spans="1:19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</row>
    <row r="239" spans="1:19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</row>
    <row r="240" spans="1:19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</row>
    <row r="241" spans="1:19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</row>
    <row r="242" spans="1:19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</row>
    <row r="243" spans="1:19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</row>
    <row r="244" spans="1:19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</row>
    <row r="245" spans="1:19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</row>
    <row r="246" spans="1:19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</row>
    <row r="247" spans="1:19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</row>
    <row r="248" spans="1:19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</row>
    <row r="249" spans="1:19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</row>
    <row r="250" spans="1:19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</row>
    <row r="251" spans="1:19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</row>
    <row r="252" spans="1:19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</row>
    <row r="253" spans="1:19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</row>
    <row r="254" spans="1:19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</row>
    <row r="255" spans="1:19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</row>
    <row r="256" spans="1:19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</row>
    <row r="257" spans="1:19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</row>
    <row r="258" spans="1:19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</row>
    <row r="259" spans="1:19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</row>
    <row r="260" spans="1:19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</row>
    <row r="261" spans="1:19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</row>
    <row r="262" spans="1:19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</row>
    <row r="263" spans="1:19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</row>
    <row r="264" spans="1:19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</row>
    <row r="265" spans="1:19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</row>
    <row r="266" spans="1:19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</row>
    <row r="267" spans="1:19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</row>
    <row r="268" spans="1:19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</row>
    <row r="269" spans="1:19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</row>
    <row r="270" spans="1:19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</row>
    <row r="271" spans="1:19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</row>
    <row r="272" spans="1:19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</row>
    <row r="273" spans="1:19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</row>
    <row r="274" spans="1:19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</row>
    <row r="275" spans="1:19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</row>
    <row r="276" spans="1:19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</row>
    <row r="277" spans="1:19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</row>
    <row r="278" spans="1:19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</row>
    <row r="279" spans="1:19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</row>
    <row r="280" spans="1:19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</row>
    <row r="281" spans="1:19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</row>
  </sheetData>
  <mergeCells count="10">
    <mergeCell ref="H1:M1"/>
    <mergeCell ref="N1:Q1"/>
    <mergeCell ref="B9:E9"/>
    <mergeCell ref="B10:E10"/>
    <mergeCell ref="B11:E11"/>
    <mergeCell ref="A20:A21"/>
    <mergeCell ref="B23:E23"/>
    <mergeCell ref="B12:E12"/>
    <mergeCell ref="B7:E7"/>
    <mergeCell ref="B1:E1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6"/>
  <sheetViews>
    <sheetView topLeftCell="C31" workbookViewId="0">
      <selection activeCell="D62" sqref="D62"/>
    </sheetView>
  </sheetViews>
  <sheetFormatPr defaultRowHeight="15" x14ac:dyDescent="0.25"/>
  <cols>
    <col min="1" max="1" width="20.140625" style="4" customWidth="1"/>
    <col min="2" max="2" width="28" style="8" customWidth="1"/>
    <col min="3" max="3" width="30.28515625" style="9" customWidth="1"/>
    <col min="4" max="4" width="22.42578125" style="9" customWidth="1"/>
    <col min="5" max="5" width="22.42578125" style="10" customWidth="1"/>
    <col min="6" max="6" width="19" style="46" customWidth="1"/>
    <col min="7" max="7" width="17.140625" style="46" customWidth="1"/>
    <col min="8" max="8" width="11.5703125" style="8" bestFit="1" customWidth="1"/>
    <col min="9" max="9" width="16.7109375" style="9" customWidth="1"/>
    <col min="10" max="10" width="10.5703125" style="9" bestFit="1" customWidth="1"/>
    <col min="11" max="12" width="9.85546875" style="25" customWidth="1"/>
    <col min="13" max="13" width="10.140625" style="10" bestFit="1" customWidth="1"/>
    <col min="14" max="14" width="9.85546875" style="8" bestFit="1" customWidth="1"/>
    <col min="15" max="15" width="10.140625" style="9" bestFit="1" customWidth="1"/>
    <col min="16" max="16" width="9.85546875" style="9" bestFit="1" customWidth="1"/>
    <col min="17" max="17" width="10.140625" style="10" bestFit="1" customWidth="1"/>
    <col min="18" max="19" width="10.140625" style="24" customWidth="1"/>
  </cols>
  <sheetData>
    <row r="1" spans="1:22" ht="16.5" thickTop="1" thickBot="1" x14ac:dyDescent="0.3">
      <c r="A1" s="89"/>
      <c r="B1" s="2127" t="s">
        <v>3</v>
      </c>
      <c r="C1" s="2128"/>
      <c r="D1" s="2128"/>
      <c r="E1" s="2129"/>
      <c r="F1" s="64"/>
      <c r="G1" s="64"/>
      <c r="H1" s="2127" t="s">
        <v>6</v>
      </c>
      <c r="I1" s="2128"/>
      <c r="J1" s="2128"/>
      <c r="K1" s="2130"/>
      <c r="L1" s="2130"/>
      <c r="M1" s="2129"/>
      <c r="N1" s="2131" t="s">
        <v>13</v>
      </c>
      <c r="O1" s="2132"/>
      <c r="P1" s="2132"/>
      <c r="Q1" s="2133"/>
      <c r="R1" s="64"/>
      <c r="S1" s="90"/>
      <c r="T1" s="30"/>
    </row>
    <row r="2" spans="1:22" ht="16.5" thickTop="1" thickBot="1" x14ac:dyDescent="0.3">
      <c r="A2" s="94" t="s">
        <v>0</v>
      </c>
      <c r="B2" s="95" t="s">
        <v>1</v>
      </c>
      <c r="C2" s="96" t="s">
        <v>4</v>
      </c>
      <c r="D2" s="96" t="s">
        <v>2</v>
      </c>
      <c r="E2" s="97" t="s">
        <v>5</v>
      </c>
      <c r="F2" s="98" t="s">
        <v>26</v>
      </c>
      <c r="G2" s="98" t="s">
        <v>19</v>
      </c>
      <c r="H2" s="99" t="s">
        <v>1</v>
      </c>
      <c r="I2" s="100" t="s">
        <v>4</v>
      </c>
      <c r="J2" s="100" t="s">
        <v>2</v>
      </c>
      <c r="K2" s="100" t="s">
        <v>5</v>
      </c>
      <c r="L2" s="101" t="s">
        <v>26</v>
      </c>
      <c r="M2" s="102" t="s">
        <v>19</v>
      </c>
      <c r="N2" s="95" t="s">
        <v>1</v>
      </c>
      <c r="O2" s="96" t="s">
        <v>4</v>
      </c>
      <c r="P2" s="96" t="s">
        <v>2</v>
      </c>
      <c r="Q2" s="103" t="s">
        <v>5</v>
      </c>
      <c r="R2" s="116" t="s">
        <v>19</v>
      </c>
      <c r="S2" s="104" t="s">
        <v>26</v>
      </c>
    </row>
    <row r="3" spans="1:22" ht="15" customHeight="1" thickTop="1" x14ac:dyDescent="0.25">
      <c r="A3" s="91" t="s">
        <v>68</v>
      </c>
      <c r="B3" s="121"/>
      <c r="C3" s="122"/>
      <c r="D3" s="122" t="s">
        <v>28</v>
      </c>
      <c r="E3" s="123"/>
      <c r="F3" s="105"/>
      <c r="G3" s="51"/>
      <c r="H3" s="27"/>
      <c r="I3" s="28"/>
      <c r="J3" s="28">
        <v>90</v>
      </c>
      <c r="K3" s="28"/>
      <c r="L3" s="107"/>
      <c r="M3" s="29"/>
      <c r="N3" s="175"/>
      <c r="O3" s="92"/>
      <c r="P3" s="1" t="s">
        <v>7</v>
      </c>
      <c r="Q3" s="93"/>
      <c r="R3" s="117"/>
      <c r="S3" s="113"/>
      <c r="U3" s="2" t="s">
        <v>8</v>
      </c>
      <c r="V3" t="s">
        <v>10</v>
      </c>
    </row>
    <row r="4" spans="1:22" ht="15" customHeight="1" x14ac:dyDescent="0.25">
      <c r="A4" s="91">
        <v>44257</v>
      </c>
      <c r="B4" s="121" t="s">
        <v>69</v>
      </c>
      <c r="C4" s="125"/>
      <c r="D4" s="125"/>
      <c r="E4" s="126"/>
      <c r="F4" s="8"/>
      <c r="H4" s="8">
        <v>144</v>
      </c>
      <c r="K4" s="9"/>
      <c r="L4" s="9"/>
      <c r="M4" s="26"/>
      <c r="N4" s="2" t="s">
        <v>8</v>
      </c>
      <c r="O4" s="42"/>
      <c r="P4" s="42"/>
      <c r="Q4" s="42"/>
      <c r="R4" s="118"/>
      <c r="S4" s="109"/>
      <c r="U4" s="1" t="s">
        <v>7</v>
      </c>
      <c r="V4" t="s">
        <v>11</v>
      </c>
    </row>
    <row r="5" spans="1:22" ht="25.5" x14ac:dyDescent="0.25">
      <c r="A5" s="91">
        <v>44258</v>
      </c>
      <c r="B5" s="124"/>
      <c r="C5" s="125"/>
      <c r="D5" s="125"/>
      <c r="E5" s="127" t="s">
        <v>70</v>
      </c>
      <c r="F5" s="8"/>
      <c r="K5" s="9">
        <v>720</v>
      </c>
      <c r="L5" s="9"/>
      <c r="M5" s="26"/>
      <c r="N5" s="84"/>
      <c r="O5" s="83"/>
      <c r="P5" s="84"/>
      <c r="Q5" s="178" t="s">
        <v>9</v>
      </c>
      <c r="R5" s="118"/>
      <c r="S5" s="109"/>
      <c r="U5" s="3" t="s">
        <v>9</v>
      </c>
      <c r="V5" t="s">
        <v>12</v>
      </c>
    </row>
    <row r="6" spans="1:22" ht="15" customHeight="1" x14ac:dyDescent="0.25">
      <c r="A6" s="91">
        <v>44259</v>
      </c>
      <c r="B6" s="124" t="s">
        <v>72</v>
      </c>
      <c r="C6" s="125" t="s">
        <v>72</v>
      </c>
      <c r="D6" s="125" t="s">
        <v>72</v>
      </c>
      <c r="E6" s="126" t="s">
        <v>73</v>
      </c>
      <c r="F6" s="8"/>
      <c r="K6" s="9">
        <v>720</v>
      </c>
      <c r="L6" s="9">
        <v>720</v>
      </c>
      <c r="M6" s="9"/>
      <c r="N6" s="181" t="s">
        <v>71</v>
      </c>
      <c r="O6" s="181" t="s">
        <v>71</v>
      </c>
      <c r="P6" s="181" t="s">
        <v>71</v>
      </c>
      <c r="Q6" s="181" t="s">
        <v>71</v>
      </c>
      <c r="R6" s="181" t="s">
        <v>71</v>
      </c>
      <c r="S6" s="109"/>
      <c r="U6" s="181" t="s">
        <v>71</v>
      </c>
      <c r="V6" s="146" t="s">
        <v>51</v>
      </c>
    </row>
    <row r="7" spans="1:22" ht="15" customHeight="1" x14ac:dyDescent="0.25">
      <c r="A7" s="91" t="s">
        <v>75</v>
      </c>
      <c r="B7" s="173" t="s">
        <v>72</v>
      </c>
      <c r="C7" s="125" t="s">
        <v>72</v>
      </c>
      <c r="D7" s="125" t="s">
        <v>72</v>
      </c>
      <c r="E7" s="174" t="s">
        <v>74</v>
      </c>
      <c r="F7" s="22"/>
      <c r="G7" s="47"/>
      <c r="K7" s="9"/>
      <c r="L7" s="9">
        <v>720</v>
      </c>
      <c r="M7" s="26"/>
      <c r="N7" s="181" t="s">
        <v>71</v>
      </c>
      <c r="O7" s="181" t="s">
        <v>71</v>
      </c>
      <c r="P7" s="181" t="s">
        <v>71</v>
      </c>
      <c r="Q7" s="181" t="s">
        <v>71</v>
      </c>
      <c r="R7" s="181" t="s">
        <v>71</v>
      </c>
      <c r="S7" s="114"/>
      <c r="T7" s="30"/>
    </row>
    <row r="8" spans="1:22" ht="15" customHeight="1" x14ac:dyDescent="0.25">
      <c r="A8" s="91" t="s">
        <v>76</v>
      </c>
      <c r="B8" s="124"/>
      <c r="C8" s="125"/>
      <c r="D8" s="125" t="s">
        <v>78</v>
      </c>
      <c r="E8" s="127" t="s">
        <v>77</v>
      </c>
      <c r="F8" s="22"/>
      <c r="G8" s="47"/>
      <c r="J8" s="9">
        <v>15</v>
      </c>
      <c r="K8" s="9">
        <v>65</v>
      </c>
      <c r="L8" s="9"/>
      <c r="M8" s="26"/>
      <c r="N8" s="82"/>
      <c r="O8" s="42"/>
      <c r="P8" s="2" t="s">
        <v>8</v>
      </c>
      <c r="Q8" s="2" t="s">
        <v>8</v>
      </c>
      <c r="R8" s="119"/>
      <c r="S8" s="114"/>
      <c r="T8" s="30"/>
    </row>
    <row r="9" spans="1:22" ht="15" customHeight="1" x14ac:dyDescent="0.25">
      <c r="A9" s="91">
        <v>44261</v>
      </c>
      <c r="B9" s="179" t="s">
        <v>79</v>
      </c>
      <c r="C9" s="125"/>
      <c r="D9" s="125" t="s">
        <v>79</v>
      </c>
      <c r="E9" s="177"/>
      <c r="F9" s="143"/>
      <c r="H9" s="8">
        <v>25</v>
      </c>
      <c r="J9" s="9">
        <v>20</v>
      </c>
      <c r="K9" s="9"/>
      <c r="L9" s="9"/>
      <c r="M9" s="26"/>
      <c r="N9" s="178" t="s">
        <v>9</v>
      </c>
      <c r="O9" s="83"/>
      <c r="P9" s="178" t="s">
        <v>9</v>
      </c>
      <c r="Q9" s="42"/>
      <c r="R9" s="119"/>
      <c r="S9" s="114"/>
      <c r="T9" s="30"/>
    </row>
    <row r="10" spans="1:22" ht="15" customHeight="1" x14ac:dyDescent="0.25">
      <c r="A10" s="91">
        <v>44262</v>
      </c>
      <c r="B10" s="176"/>
      <c r="C10" s="125"/>
      <c r="D10" s="125"/>
      <c r="E10" s="177"/>
      <c r="F10" s="8"/>
      <c r="K10" s="9"/>
      <c r="L10" s="9"/>
      <c r="M10" s="26"/>
      <c r="N10" s="82"/>
      <c r="O10" s="83"/>
      <c r="P10" s="83"/>
      <c r="Q10" s="42"/>
      <c r="R10" s="119"/>
      <c r="S10" s="109"/>
    </row>
    <row r="11" spans="1:22" ht="15" customHeight="1" x14ac:dyDescent="0.25">
      <c r="A11" s="2109">
        <v>44263</v>
      </c>
      <c r="B11" s="176"/>
      <c r="C11" s="125"/>
      <c r="D11" s="125" t="s">
        <v>80</v>
      </c>
      <c r="E11" s="177"/>
      <c r="F11" s="153"/>
      <c r="G11" s="48"/>
      <c r="J11" s="9">
        <v>240</v>
      </c>
      <c r="K11" s="9"/>
      <c r="L11" s="9"/>
      <c r="M11" s="26"/>
      <c r="N11" s="82"/>
      <c r="O11" s="83"/>
      <c r="P11" s="1" t="s">
        <v>7</v>
      </c>
      <c r="Q11" s="42"/>
      <c r="R11" s="119"/>
      <c r="S11" s="114"/>
      <c r="T11" s="30"/>
    </row>
    <row r="12" spans="1:22" ht="15" customHeight="1" x14ac:dyDescent="0.25">
      <c r="A12" s="2110"/>
      <c r="B12" s="176"/>
      <c r="C12" s="125"/>
      <c r="D12" s="125" t="s">
        <v>81</v>
      </c>
      <c r="E12" s="177"/>
      <c r="F12" s="153"/>
      <c r="G12" s="48"/>
      <c r="J12" s="9">
        <v>240</v>
      </c>
      <c r="L12" s="9"/>
      <c r="M12" s="26"/>
      <c r="N12" s="82"/>
      <c r="O12" s="83"/>
      <c r="P12" s="2" t="s">
        <v>8</v>
      </c>
      <c r="Q12" s="42"/>
      <c r="R12" s="119"/>
      <c r="S12" s="114"/>
      <c r="T12" s="30"/>
    </row>
    <row r="13" spans="1:22" ht="15" customHeight="1" x14ac:dyDescent="0.25">
      <c r="A13" s="91">
        <v>44264</v>
      </c>
      <c r="B13" s="176"/>
      <c r="C13" s="125"/>
      <c r="D13" s="125" t="s">
        <v>82</v>
      </c>
      <c r="E13" s="177"/>
      <c r="F13" s="22"/>
      <c r="G13" s="48"/>
      <c r="J13" s="9">
        <v>30</v>
      </c>
      <c r="L13" s="9"/>
      <c r="M13" s="26"/>
      <c r="N13" s="82"/>
      <c r="O13" s="83"/>
      <c r="P13" s="178" t="s">
        <v>9</v>
      </c>
      <c r="Q13" s="42"/>
      <c r="R13" s="119"/>
      <c r="S13" s="109"/>
    </row>
    <row r="14" spans="1:22" ht="15" customHeight="1" x14ac:dyDescent="0.25">
      <c r="A14" s="91">
        <v>44265</v>
      </c>
      <c r="B14" s="179" t="s">
        <v>83</v>
      </c>
      <c r="C14" s="125"/>
      <c r="D14" s="125"/>
      <c r="E14" s="155"/>
      <c r="F14" s="22"/>
      <c r="G14" s="48"/>
      <c r="H14" s="8">
        <v>60</v>
      </c>
      <c r="L14" s="9"/>
      <c r="M14" s="26"/>
      <c r="N14" s="1" t="s">
        <v>7</v>
      </c>
      <c r="O14" s="83"/>
      <c r="P14" s="83"/>
      <c r="Q14" s="42"/>
      <c r="R14" s="119"/>
      <c r="S14" s="109"/>
    </row>
    <row r="15" spans="1:22" ht="15" customHeight="1" x14ac:dyDescent="0.25">
      <c r="A15" s="91">
        <v>44266</v>
      </c>
      <c r="B15" s="124" t="s">
        <v>79</v>
      </c>
      <c r="C15" s="125"/>
      <c r="D15" s="125" t="s">
        <v>79</v>
      </c>
      <c r="E15" s="126"/>
      <c r="F15" s="8"/>
      <c r="H15" s="8">
        <v>60</v>
      </c>
      <c r="J15" s="9">
        <v>30</v>
      </c>
      <c r="L15" s="9"/>
      <c r="M15" s="26"/>
      <c r="N15" s="178" t="s">
        <v>9</v>
      </c>
      <c r="O15" s="83"/>
      <c r="P15" s="178" t="s">
        <v>9</v>
      </c>
      <c r="Q15" s="42"/>
      <c r="R15" s="119"/>
      <c r="S15" s="109"/>
    </row>
    <row r="16" spans="1:22" ht="15" customHeight="1" x14ac:dyDescent="0.25">
      <c r="A16" s="91">
        <v>44267</v>
      </c>
      <c r="B16" s="124"/>
      <c r="C16" s="125"/>
      <c r="D16" s="125"/>
      <c r="E16" s="126"/>
      <c r="F16" s="8"/>
      <c r="N16" s="82"/>
      <c r="O16" s="83"/>
      <c r="P16" s="83"/>
      <c r="Q16" s="42"/>
      <c r="R16" s="119"/>
      <c r="S16" s="109"/>
    </row>
    <row r="17" spans="1:23" ht="15" customHeight="1" x14ac:dyDescent="0.25">
      <c r="A17" s="91">
        <v>44268</v>
      </c>
      <c r="B17" s="124"/>
      <c r="C17" s="125"/>
      <c r="D17" s="125"/>
      <c r="E17" s="180" t="s">
        <v>84</v>
      </c>
      <c r="F17" s="8"/>
      <c r="G17" s="26"/>
      <c r="H17" s="65"/>
      <c r="K17" s="25">
        <v>180</v>
      </c>
      <c r="N17" s="82"/>
      <c r="O17" s="83"/>
      <c r="P17" s="83"/>
      <c r="Q17" s="2" t="s">
        <v>8</v>
      </c>
      <c r="R17" s="119"/>
      <c r="S17" s="115"/>
    </row>
    <row r="18" spans="1:23" ht="15" customHeight="1" x14ac:dyDescent="0.25">
      <c r="A18" s="91">
        <v>44269</v>
      </c>
      <c r="B18" s="124"/>
      <c r="C18" s="125"/>
      <c r="D18" s="125"/>
      <c r="E18" s="126"/>
      <c r="F18" s="8"/>
      <c r="N18" s="82"/>
      <c r="O18" s="83"/>
      <c r="P18" s="83"/>
      <c r="Q18" s="42"/>
      <c r="R18" s="119"/>
      <c r="S18" s="109"/>
    </row>
    <row r="19" spans="1:23" ht="15" customHeight="1" x14ac:dyDescent="0.25">
      <c r="A19" s="2109">
        <v>44270</v>
      </c>
      <c r="B19" s="124" t="s">
        <v>79</v>
      </c>
      <c r="C19" s="125"/>
      <c r="D19" s="125" t="s">
        <v>85</v>
      </c>
      <c r="E19" s="122"/>
      <c r="F19" s="8"/>
      <c r="H19" s="8">
        <v>30</v>
      </c>
      <c r="J19" s="9">
        <v>180</v>
      </c>
      <c r="N19" s="178" t="s">
        <v>9</v>
      </c>
      <c r="O19" s="83"/>
      <c r="P19" s="1" t="s">
        <v>7</v>
      </c>
      <c r="Q19" s="42"/>
      <c r="R19" s="119"/>
      <c r="S19" s="109"/>
    </row>
    <row r="20" spans="1:23" ht="15" customHeight="1" x14ac:dyDescent="0.25">
      <c r="A20" s="2110"/>
      <c r="B20" s="124"/>
      <c r="C20" s="125"/>
      <c r="D20" s="125" t="s">
        <v>86</v>
      </c>
      <c r="E20" s="183"/>
      <c r="F20" s="8"/>
      <c r="J20" s="156">
        <v>60</v>
      </c>
      <c r="K20" s="157"/>
      <c r="L20" s="157"/>
      <c r="M20" s="160"/>
      <c r="N20" s="82"/>
      <c r="O20" s="83"/>
      <c r="P20" s="2" t="s">
        <v>8</v>
      </c>
      <c r="Q20" s="42"/>
      <c r="R20" s="119"/>
      <c r="S20" s="109"/>
    </row>
    <row r="21" spans="1:23" ht="15" customHeight="1" x14ac:dyDescent="0.25">
      <c r="A21" s="91">
        <v>44271</v>
      </c>
      <c r="B21" s="124"/>
      <c r="C21" s="125"/>
      <c r="D21" s="125"/>
      <c r="E21" s="126"/>
      <c r="F21" s="8"/>
      <c r="J21" s="156"/>
      <c r="K21" s="157"/>
      <c r="L21" s="157"/>
      <c r="M21" s="160"/>
      <c r="N21" s="82"/>
      <c r="O21" s="83"/>
      <c r="P21" s="83"/>
      <c r="Q21" s="42"/>
      <c r="R21" s="119"/>
      <c r="S21" s="109"/>
    </row>
    <row r="22" spans="1:23" ht="15" customHeight="1" x14ac:dyDescent="0.25">
      <c r="A22" s="91">
        <v>44272</v>
      </c>
      <c r="B22" s="124"/>
      <c r="C22" s="125"/>
      <c r="D22" s="125"/>
      <c r="E22" s="127"/>
      <c r="F22" s="8"/>
      <c r="J22" s="156"/>
      <c r="K22" s="157"/>
      <c r="L22" s="157"/>
      <c r="M22" s="160"/>
      <c r="N22" s="82"/>
      <c r="O22" s="83"/>
      <c r="P22" s="83"/>
      <c r="Q22" s="42"/>
      <c r="R22" s="119"/>
      <c r="S22" s="109"/>
    </row>
    <row r="23" spans="1:23" ht="15" customHeight="1" x14ac:dyDescent="0.25">
      <c r="A23" s="91">
        <v>44273</v>
      </c>
      <c r="B23" s="124"/>
      <c r="C23" s="125"/>
      <c r="D23" s="125"/>
      <c r="E23" s="127"/>
      <c r="F23" s="8"/>
      <c r="J23" s="156"/>
      <c r="K23" s="157"/>
      <c r="L23" s="157"/>
      <c r="M23" s="160"/>
      <c r="N23" s="82"/>
      <c r="O23" s="83"/>
      <c r="P23" s="83"/>
      <c r="Q23" s="42"/>
      <c r="R23" s="119"/>
      <c r="S23" s="109"/>
    </row>
    <row r="24" spans="1:23" ht="41.25" customHeight="1" x14ac:dyDescent="0.25">
      <c r="A24" s="2109">
        <v>44274</v>
      </c>
      <c r="B24" s="124" t="s">
        <v>87</v>
      </c>
      <c r="C24" s="125"/>
      <c r="D24" s="129" t="s">
        <v>88</v>
      </c>
      <c r="E24" s="126"/>
      <c r="F24" s="8"/>
      <c r="H24" s="8">
        <v>20</v>
      </c>
      <c r="J24" s="156">
        <v>30</v>
      </c>
      <c r="K24" s="157"/>
      <c r="L24" s="157"/>
      <c r="M24" s="160"/>
      <c r="N24" s="141" t="s">
        <v>98</v>
      </c>
      <c r="O24" s="83"/>
      <c r="P24" s="83"/>
      <c r="Q24" s="42"/>
      <c r="R24" s="119"/>
      <c r="S24" s="109"/>
    </row>
    <row r="25" spans="1:23" ht="61.5" customHeight="1" x14ac:dyDescent="0.25">
      <c r="A25" s="2110"/>
      <c r="B25" s="124"/>
      <c r="C25" s="129" t="s">
        <v>90</v>
      </c>
      <c r="D25" s="129" t="s">
        <v>89</v>
      </c>
      <c r="E25" s="126"/>
      <c r="F25" s="8"/>
      <c r="I25" s="9">
        <v>6186</v>
      </c>
      <c r="J25" s="156">
        <v>1786</v>
      </c>
      <c r="K25" s="157"/>
      <c r="L25" s="157"/>
      <c r="M25" s="160"/>
      <c r="N25" s="188"/>
      <c r="O25" s="62" t="s">
        <v>7</v>
      </c>
      <c r="P25" s="62" t="s">
        <v>7</v>
      </c>
      <c r="Q25" s="42"/>
      <c r="R25" s="119"/>
      <c r="S25" s="109"/>
    </row>
    <row r="26" spans="1:23" ht="15" customHeight="1" x14ac:dyDescent="0.25">
      <c r="A26" s="91">
        <v>44275</v>
      </c>
      <c r="B26" s="2121" t="s">
        <v>91</v>
      </c>
      <c r="C26" s="2122"/>
      <c r="D26" s="2122"/>
      <c r="E26" s="2123"/>
      <c r="F26" s="8"/>
      <c r="J26" s="156"/>
      <c r="K26" s="157"/>
      <c r="L26" s="157">
        <v>540</v>
      </c>
      <c r="M26" s="160"/>
      <c r="N26" s="2137" t="s">
        <v>104</v>
      </c>
      <c r="O26" s="2138"/>
      <c r="P26" s="2138"/>
      <c r="Q26" s="2138"/>
      <c r="R26" s="2139"/>
      <c r="S26" s="109"/>
    </row>
    <row r="27" spans="1:23" ht="15" customHeight="1" x14ac:dyDescent="0.25">
      <c r="A27" s="91">
        <v>44276</v>
      </c>
      <c r="B27" s="136"/>
      <c r="C27" s="137"/>
      <c r="D27" s="125" t="s">
        <v>81</v>
      </c>
      <c r="E27" s="126"/>
      <c r="F27" s="8"/>
      <c r="J27" s="9">
        <v>55</v>
      </c>
      <c r="M27" s="160"/>
      <c r="N27" s="82"/>
      <c r="O27" s="83"/>
      <c r="P27" s="141" t="s">
        <v>98</v>
      </c>
      <c r="Q27" s="42"/>
      <c r="R27" s="119"/>
      <c r="S27" s="109"/>
      <c r="V27" s="20"/>
      <c r="W27" s="20"/>
    </row>
    <row r="28" spans="1:23" ht="15" customHeight="1" x14ac:dyDescent="0.25">
      <c r="A28" s="91">
        <v>44277</v>
      </c>
      <c r="B28" s="124"/>
      <c r="C28" s="187" t="s">
        <v>74</v>
      </c>
      <c r="D28" s="125" t="s">
        <v>81</v>
      </c>
      <c r="E28" s="126"/>
      <c r="F28" s="8"/>
      <c r="I28" s="9">
        <v>1440</v>
      </c>
      <c r="J28" s="9">
        <v>50</v>
      </c>
      <c r="M28" s="160"/>
      <c r="N28" s="82"/>
      <c r="O28" s="141" t="s">
        <v>98</v>
      </c>
      <c r="P28" s="141" t="s">
        <v>98</v>
      </c>
      <c r="Q28" s="42"/>
      <c r="R28" s="118"/>
      <c r="S28" s="109"/>
    </row>
    <row r="29" spans="1:23" ht="15" customHeight="1" x14ac:dyDescent="0.25">
      <c r="A29" s="2109">
        <v>44278</v>
      </c>
      <c r="B29" s="184"/>
      <c r="C29" s="193"/>
      <c r="D29" s="185"/>
      <c r="E29" s="186"/>
      <c r="F29" s="8"/>
      <c r="M29" s="160"/>
      <c r="N29" s="82"/>
      <c r="O29" s="83"/>
      <c r="P29" s="141"/>
      <c r="Q29" s="42"/>
      <c r="R29" s="118"/>
      <c r="S29" s="109"/>
    </row>
    <row r="30" spans="1:23" ht="15" customHeight="1" x14ac:dyDescent="0.25">
      <c r="A30" s="2110"/>
      <c r="B30" s="2121" t="s">
        <v>92</v>
      </c>
      <c r="C30" s="2122"/>
      <c r="D30" s="2122"/>
      <c r="E30" s="2123"/>
      <c r="F30" s="22"/>
      <c r="H30" s="8">
        <v>40</v>
      </c>
      <c r="J30" s="9">
        <v>32</v>
      </c>
      <c r="K30" s="25">
        <v>34</v>
      </c>
      <c r="N30" s="190"/>
      <c r="O30" s="191"/>
      <c r="P30" s="1" t="s">
        <v>7</v>
      </c>
      <c r="Q30" s="17"/>
      <c r="R30" s="192"/>
      <c r="S30" s="109"/>
    </row>
    <row r="31" spans="1:23" ht="15" customHeight="1" x14ac:dyDescent="0.25">
      <c r="A31" s="91">
        <v>44279</v>
      </c>
      <c r="B31" s="124" t="s">
        <v>72</v>
      </c>
      <c r="C31" s="125" t="s">
        <v>72</v>
      </c>
      <c r="D31" s="125" t="s">
        <v>72</v>
      </c>
      <c r="E31" s="125" t="s">
        <v>72</v>
      </c>
      <c r="F31" s="106"/>
      <c r="I31" s="21"/>
      <c r="L31" s="25">
        <v>984</v>
      </c>
      <c r="N31" s="181" t="s">
        <v>71</v>
      </c>
      <c r="O31" s="181" t="s">
        <v>71</v>
      </c>
      <c r="P31" s="181" t="s">
        <v>71</v>
      </c>
      <c r="Q31" s="181" t="s">
        <v>71</v>
      </c>
      <c r="R31" s="181" t="s">
        <v>71</v>
      </c>
      <c r="S31" s="109"/>
    </row>
    <row r="32" spans="1:23" ht="23.25" customHeight="1" x14ac:dyDescent="0.25">
      <c r="A32" s="91">
        <v>44280</v>
      </c>
      <c r="B32" s="124"/>
      <c r="C32" s="125"/>
      <c r="D32" s="125"/>
      <c r="E32" s="126"/>
      <c r="F32" s="22"/>
      <c r="N32" s="82"/>
      <c r="O32" s="83"/>
      <c r="P32" s="84"/>
      <c r="Q32" s="42"/>
      <c r="R32" s="118"/>
      <c r="S32" s="109"/>
    </row>
    <row r="33" spans="1:19" ht="15" customHeight="1" x14ac:dyDescent="0.25">
      <c r="A33" s="2109">
        <v>44281</v>
      </c>
      <c r="B33" s="2121" t="s">
        <v>93</v>
      </c>
      <c r="C33" s="2122"/>
      <c r="D33" s="2122"/>
      <c r="E33" s="2123"/>
      <c r="F33" s="22"/>
      <c r="H33" s="8">
        <v>40</v>
      </c>
      <c r="J33" s="9">
        <v>20</v>
      </c>
      <c r="K33" s="25">
        <v>22</v>
      </c>
      <c r="N33" s="2140" t="s">
        <v>7</v>
      </c>
      <c r="O33" s="2141"/>
      <c r="P33" s="2141"/>
      <c r="Q33" s="2141"/>
      <c r="R33" s="2142"/>
      <c r="S33" s="109"/>
    </row>
    <row r="34" spans="1:19" ht="36.75" customHeight="1" x14ac:dyDescent="0.25">
      <c r="A34" s="2110"/>
      <c r="B34" s="128" t="s">
        <v>94</v>
      </c>
      <c r="C34" s="125"/>
      <c r="D34" s="129" t="s">
        <v>95</v>
      </c>
      <c r="E34" s="127"/>
      <c r="F34" s="22"/>
      <c r="H34" s="8">
        <v>120</v>
      </c>
      <c r="J34" s="9">
        <v>487</v>
      </c>
      <c r="N34" s="141" t="s">
        <v>98</v>
      </c>
      <c r="O34" s="83"/>
      <c r="P34" s="141" t="s">
        <v>98</v>
      </c>
      <c r="Q34" s="42"/>
      <c r="R34" s="118"/>
      <c r="S34" s="109"/>
    </row>
    <row r="35" spans="1:19" ht="15" customHeight="1" x14ac:dyDescent="0.25">
      <c r="A35" s="91">
        <v>44282</v>
      </c>
      <c r="B35" s="124"/>
      <c r="C35" s="125" t="s">
        <v>82</v>
      </c>
      <c r="D35" s="125"/>
      <c r="E35" s="126" t="s">
        <v>96</v>
      </c>
      <c r="F35" s="8"/>
      <c r="I35" s="9">
        <v>135</v>
      </c>
      <c r="K35" s="25">
        <v>87</v>
      </c>
      <c r="N35" s="82"/>
      <c r="O35" s="178" t="s">
        <v>9</v>
      </c>
      <c r="P35" s="83"/>
      <c r="Q35" s="1" t="s">
        <v>7</v>
      </c>
      <c r="R35" s="120"/>
      <c r="S35" s="109"/>
    </row>
    <row r="36" spans="1:19" ht="15" customHeight="1" x14ac:dyDescent="0.25">
      <c r="A36" s="91">
        <v>44283</v>
      </c>
      <c r="B36" s="124" t="s">
        <v>87</v>
      </c>
      <c r="C36" s="125"/>
      <c r="D36" s="125"/>
      <c r="E36" s="126"/>
      <c r="F36" s="8"/>
      <c r="H36" s="8">
        <v>15</v>
      </c>
      <c r="N36" s="141" t="s">
        <v>98</v>
      </c>
      <c r="O36" s="83"/>
      <c r="P36" s="83"/>
      <c r="Q36" s="42"/>
      <c r="R36" s="108"/>
      <c r="S36" s="87"/>
    </row>
    <row r="37" spans="1:19" ht="15" customHeight="1" x14ac:dyDescent="0.25">
      <c r="A37" s="91">
        <v>44284</v>
      </c>
      <c r="B37" s="124"/>
      <c r="C37" s="125"/>
      <c r="D37" s="125" t="s">
        <v>97</v>
      </c>
      <c r="E37" s="126"/>
      <c r="F37" s="8"/>
      <c r="J37" s="9">
        <v>55</v>
      </c>
      <c r="N37" s="82"/>
      <c r="O37" s="83"/>
      <c r="P37" s="178" t="s">
        <v>9</v>
      </c>
      <c r="Q37" s="42"/>
      <c r="R37" s="81"/>
      <c r="S37" s="87"/>
    </row>
    <row r="38" spans="1:19" ht="15" customHeight="1" x14ac:dyDescent="0.25">
      <c r="A38" s="91">
        <v>44285</v>
      </c>
      <c r="B38" s="22"/>
      <c r="D38" s="125"/>
      <c r="F38" s="8"/>
      <c r="G38" s="48"/>
      <c r="N38" s="79"/>
      <c r="O38" s="83"/>
      <c r="P38" s="83"/>
      <c r="Q38" s="42"/>
      <c r="R38" s="79"/>
      <c r="S38" s="87"/>
    </row>
    <row r="39" spans="1:19" ht="15" customHeight="1" x14ac:dyDescent="0.25">
      <c r="A39" s="182">
        <v>44286</v>
      </c>
      <c r="D39" s="125"/>
      <c r="F39" s="8"/>
      <c r="N39" s="82"/>
      <c r="O39" s="83"/>
      <c r="P39" s="83"/>
      <c r="Q39" s="42"/>
      <c r="R39" s="112"/>
      <c r="S39" s="87"/>
    </row>
    <row r="40" spans="1:19" ht="15" customHeight="1" x14ac:dyDescent="0.25">
      <c r="A40" s="33"/>
      <c r="D40" s="125"/>
      <c r="F40" s="8"/>
      <c r="N40" s="82"/>
      <c r="O40" s="83"/>
      <c r="P40" s="83"/>
      <c r="Q40" s="42"/>
      <c r="R40" s="81"/>
      <c r="S40" s="87"/>
    </row>
    <row r="41" spans="1:19" ht="15" customHeight="1" x14ac:dyDescent="0.25">
      <c r="A41" s="33"/>
      <c r="F41" s="8"/>
      <c r="G41" s="48"/>
      <c r="N41" s="82"/>
      <c r="O41" s="83"/>
      <c r="P41" s="83"/>
      <c r="Q41" s="42"/>
      <c r="R41" s="79"/>
      <c r="S41" s="87"/>
    </row>
    <row r="42" spans="1:19" ht="15.75" thickBot="1" x14ac:dyDescent="0.3">
      <c r="A42" s="36" t="s">
        <v>20</v>
      </c>
      <c r="B42" s="37"/>
      <c r="C42" s="38"/>
      <c r="D42" s="38"/>
      <c r="E42" s="40"/>
      <c r="F42" s="37">
        <f t="shared" ref="F42:M42" si="0">SUM(F3:F41)</f>
        <v>0</v>
      </c>
      <c r="G42" s="49"/>
      <c r="H42" s="37">
        <f>SUM(H3:H41)</f>
        <v>554</v>
      </c>
      <c r="I42" s="38">
        <f t="shared" si="0"/>
        <v>7761</v>
      </c>
      <c r="J42" s="38">
        <f t="shared" si="0"/>
        <v>3420</v>
      </c>
      <c r="K42" s="39">
        <f>SUM(K3:K41)</f>
        <v>1828</v>
      </c>
      <c r="L42" s="39">
        <f>SUM(L3:L41)</f>
        <v>2964</v>
      </c>
      <c r="M42" s="40">
        <f t="shared" si="0"/>
        <v>0</v>
      </c>
      <c r="N42" s="37"/>
      <c r="O42" s="38"/>
      <c r="P42" s="38"/>
      <c r="Q42" s="39"/>
      <c r="R42" s="86"/>
      <c r="S42" s="88"/>
    </row>
    <row r="43" spans="1:19" s="30" customFormat="1" ht="15.75" thickBot="1" x14ac:dyDescent="0.3">
      <c r="A43" s="36" t="s">
        <v>21</v>
      </c>
      <c r="B43" s="24"/>
      <c r="C43" s="24"/>
      <c r="D43" s="24"/>
      <c r="E43" s="24"/>
      <c r="F43" s="24">
        <f>F42/60</f>
        <v>0</v>
      </c>
      <c r="G43" s="24"/>
      <c r="H43" s="41">
        <f t="shared" ref="H43:M43" si="1">H42/60</f>
        <v>9.2333333333333325</v>
      </c>
      <c r="I43" s="41">
        <f t="shared" si="1"/>
        <v>129.35</v>
      </c>
      <c r="J43" s="41">
        <f t="shared" si="1"/>
        <v>57</v>
      </c>
      <c r="K43" s="41">
        <f t="shared" si="1"/>
        <v>30.466666666666665</v>
      </c>
      <c r="L43" s="41">
        <f t="shared" si="1"/>
        <v>49.4</v>
      </c>
      <c r="M43" s="41">
        <f t="shared" si="1"/>
        <v>0</v>
      </c>
      <c r="N43" s="24"/>
      <c r="O43" s="24"/>
      <c r="P43" s="24"/>
      <c r="Q43" s="24"/>
      <c r="R43" s="24"/>
      <c r="S43" s="24"/>
    </row>
    <row r="44" spans="1:19" s="30" customFormat="1" x14ac:dyDescent="0.25">
      <c r="A44" s="24" t="s">
        <v>41</v>
      </c>
      <c r="B44" s="24"/>
      <c r="C44" s="24"/>
      <c r="D44" s="24"/>
      <c r="E44" s="24"/>
      <c r="F44" s="24"/>
      <c r="G44" s="24"/>
      <c r="H44" s="189">
        <f>(H4+H24+H34+H36)/60</f>
        <v>4.9833333333333334</v>
      </c>
      <c r="I44" s="76">
        <f>(I3+I4+I34+I28)/60</f>
        <v>24</v>
      </c>
      <c r="J44" s="189">
        <f>(J8+J12+J20+J27+J28+J34)/60</f>
        <v>15.116666666666667</v>
      </c>
      <c r="K44" s="189">
        <f>(K8+K17+K6+K7)/60</f>
        <v>16.083333333333332</v>
      </c>
      <c r="L44" s="24"/>
      <c r="M44" s="76">
        <f>(M14+M38+M41)/24</f>
        <v>0</v>
      </c>
      <c r="N44" s="24"/>
      <c r="O44" s="24"/>
      <c r="P44" s="24"/>
      <c r="Q44" s="24"/>
      <c r="R44" s="24"/>
      <c r="S44" s="24"/>
    </row>
    <row r="45" spans="1:19" s="30" customFormat="1" x14ac:dyDescent="0.25">
      <c r="A45" s="24" t="s">
        <v>42</v>
      </c>
      <c r="B45" s="24"/>
      <c r="C45" s="24"/>
      <c r="D45" s="24"/>
      <c r="E45" s="24"/>
      <c r="F45" s="24"/>
      <c r="G45" s="24"/>
      <c r="H45" s="189">
        <f>(H14+H33+H30)/60</f>
        <v>2.3333333333333335</v>
      </c>
      <c r="I45" s="76">
        <f>(I4+I5+I35+I25)/60</f>
        <v>105.35</v>
      </c>
      <c r="J45" s="189">
        <f>(J3+J11+J19+J25+J26+J30+J33)/60</f>
        <v>39.133333333333333</v>
      </c>
      <c r="K45" s="189">
        <f>(K26+K33+K35+K30)/60</f>
        <v>2.3833333333333333</v>
      </c>
      <c r="L45" s="76">
        <f>L17/24</f>
        <v>0</v>
      </c>
      <c r="M45" s="24"/>
      <c r="N45" s="24"/>
      <c r="O45" s="24"/>
      <c r="P45" s="24"/>
      <c r="Q45" s="24"/>
      <c r="R45" s="24"/>
      <c r="S45" s="24"/>
    </row>
    <row r="46" spans="1:19" s="30" customFormat="1" x14ac:dyDescent="0.25">
      <c r="A46" s="24" t="s">
        <v>43</v>
      </c>
      <c r="B46" s="24"/>
      <c r="C46" s="24"/>
      <c r="D46" s="24"/>
      <c r="E46" s="24"/>
      <c r="F46" s="24"/>
      <c r="G46" s="24"/>
      <c r="H46" s="189">
        <f>(H9+H15+H19)/60</f>
        <v>1.9166666666666667</v>
      </c>
      <c r="I46" s="76">
        <f>(I11)/24</f>
        <v>0</v>
      </c>
      <c r="J46" s="189">
        <f>(J9+J13+J15+J37)/60</f>
        <v>2.25</v>
      </c>
      <c r="K46" s="189">
        <f>(K5)/60</f>
        <v>12</v>
      </c>
      <c r="L46" s="24"/>
      <c r="M46" s="24"/>
      <c r="N46" s="24"/>
      <c r="O46" s="24"/>
      <c r="P46" s="24"/>
      <c r="Q46" s="24"/>
      <c r="R46" s="24"/>
      <c r="S46" s="24"/>
    </row>
    <row r="47" spans="1:19" x14ac:dyDescent="0.25">
      <c r="A47" s="81" t="s">
        <v>99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/>
      <c r="B48"/>
      <c r="C48"/>
      <c r="D48"/>
      <c r="E48"/>
      <c r="F48"/>
      <c r="G48"/>
      <c r="H48"/>
      <c r="I48" s="24"/>
      <c r="J48" s="30"/>
      <c r="K48"/>
      <c r="L48"/>
      <c r="M48"/>
      <c r="N48"/>
      <c r="O48"/>
      <c r="P48"/>
      <c r="Q48"/>
      <c r="R48"/>
      <c r="S48"/>
    </row>
    <row r="49" spans="1:19" x14ac:dyDescent="0.25">
      <c r="A49"/>
      <c r="B49"/>
      <c r="C49"/>
      <c r="D49"/>
      <c r="E49"/>
      <c r="F49"/>
      <c r="G49"/>
      <c r="H49"/>
      <c r="I49"/>
      <c r="J49"/>
      <c r="K49" s="30"/>
      <c r="L49"/>
      <c r="M49"/>
      <c r="N49"/>
      <c r="O49"/>
      <c r="P49"/>
      <c r="Q49"/>
      <c r="R49"/>
      <c r="S49"/>
    </row>
    <row r="50" spans="1:19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/>
      <c r="B51"/>
      <c r="C51"/>
      <c r="D51"/>
      <c r="E51" s="144"/>
      <c r="F51" s="144"/>
      <c r="G51" s="20"/>
      <c r="H51" s="20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/>
      <c r="B52"/>
      <c r="C52" s="2134" t="s">
        <v>105</v>
      </c>
      <c r="D52" s="2135"/>
      <c r="E52" s="2135"/>
      <c r="F52" s="2135"/>
      <c r="G52" s="2136"/>
      <c r="H52"/>
      <c r="I52"/>
      <c r="J52"/>
      <c r="K52"/>
      <c r="L52"/>
      <c r="M52"/>
      <c r="N52"/>
      <c r="O52"/>
      <c r="P52"/>
      <c r="Q52"/>
      <c r="R52"/>
      <c r="S52"/>
    </row>
    <row r="53" spans="1:19" ht="15.75" thickBo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ht="15.75" thickBot="1" x14ac:dyDescent="0.3">
      <c r="A54"/>
      <c r="B54"/>
      <c r="C54" s="196"/>
      <c r="D54" s="196" t="s">
        <v>1</v>
      </c>
      <c r="E54" s="201" t="s">
        <v>101</v>
      </c>
      <c r="F54" s="201" t="s">
        <v>102</v>
      </c>
      <c r="G54" s="201" t="s">
        <v>103</v>
      </c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/>
      <c r="B55"/>
      <c r="C55" s="204" t="s">
        <v>108</v>
      </c>
      <c r="D55" s="197">
        <v>4.9833333333333298</v>
      </c>
      <c r="E55" s="197">
        <v>15.116666666666667</v>
      </c>
      <c r="F55" s="197">
        <v>4.083333333333333</v>
      </c>
      <c r="G55" s="202">
        <v>24</v>
      </c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/>
      <c r="B56"/>
      <c r="C56" s="205" t="s">
        <v>109</v>
      </c>
      <c r="D56" s="198">
        <v>2.3333333333333335</v>
      </c>
      <c r="E56" s="198">
        <v>39.133333333333333</v>
      </c>
      <c r="F56" s="198">
        <v>2.3833333333333333</v>
      </c>
      <c r="G56" s="203">
        <v>105.35</v>
      </c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/>
      <c r="B57"/>
      <c r="C57" s="205" t="s">
        <v>110</v>
      </c>
      <c r="D57" s="198">
        <v>1.9166666666666667</v>
      </c>
      <c r="E57" s="198">
        <v>2.25</v>
      </c>
      <c r="F57" s="198">
        <v>12</v>
      </c>
      <c r="G57" s="203">
        <v>0</v>
      </c>
      <c r="H57"/>
      <c r="I57"/>
      <c r="J57"/>
      <c r="K57"/>
      <c r="L57"/>
      <c r="M57"/>
      <c r="N57"/>
      <c r="O57"/>
      <c r="P57"/>
      <c r="Q57"/>
      <c r="R57"/>
      <c r="S57"/>
    </row>
    <row r="58" spans="1:19" ht="15.75" thickBot="1" x14ac:dyDescent="0.3">
      <c r="A58"/>
      <c r="B58"/>
      <c r="C58" s="206" t="s">
        <v>111</v>
      </c>
      <c r="D58" s="199">
        <v>49.4</v>
      </c>
      <c r="E58" s="199">
        <v>49.4</v>
      </c>
      <c r="F58" s="199">
        <v>49.4</v>
      </c>
      <c r="G58" s="199">
        <v>49.4</v>
      </c>
      <c r="H58"/>
      <c r="I58"/>
      <c r="J58"/>
      <c r="K58"/>
      <c r="L58"/>
      <c r="M58"/>
      <c r="N58"/>
      <c r="O58"/>
      <c r="P58"/>
      <c r="Q58"/>
      <c r="R58"/>
      <c r="S58"/>
    </row>
    <row r="59" spans="1:19" ht="15.75" thickBot="1" x14ac:dyDescent="0.3">
      <c r="A59"/>
      <c r="B59"/>
      <c r="C59" s="207" t="s">
        <v>100</v>
      </c>
      <c r="D59" s="200">
        <f>D55+D56+D57+D58</f>
        <v>58.633333333333326</v>
      </c>
      <c r="E59" s="200">
        <f>E55+E56+E57+E58</f>
        <v>105.9</v>
      </c>
      <c r="F59" s="200">
        <f>F55+F56+F57+F58</f>
        <v>67.866666666666674</v>
      </c>
      <c r="G59" s="200">
        <f>G55+G56+G57+G58</f>
        <v>178.75</v>
      </c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/>
      <c r="B61"/>
      <c r="C61" s="81" t="s">
        <v>106</v>
      </c>
      <c r="D61" s="194">
        <f>D55+D56+D57+E55+E56+E57+F55+F56+F57+G55+G56+G57</f>
        <v>213.54999999999998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/>
      <c r="B62"/>
      <c r="C62" s="81" t="s">
        <v>107</v>
      </c>
      <c r="D62" s="195">
        <v>49.4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 spans="1:19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</row>
    <row r="81" spans="1:19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</row>
    <row r="82" spans="1:19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 spans="1:19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  <row r="84" spans="1:19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</row>
    <row r="85" spans="1:19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 spans="1:19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 spans="1:19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 spans="1:19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 spans="1:19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 spans="1:19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 spans="1:19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 spans="1:19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93" spans="1:19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</row>
    <row r="94" spans="1:19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 spans="1:19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 spans="1:19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 spans="1:19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 spans="1:19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</row>
    <row r="99" spans="1:19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</row>
    <row r="100" spans="1:19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 spans="1:19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 spans="1:19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 spans="1:19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 spans="1:19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 spans="1:19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  <row r="106" spans="1:19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</row>
    <row r="107" spans="1:19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</row>
    <row r="108" spans="1:19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</row>
    <row r="109" spans="1:19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</row>
    <row r="110" spans="1:19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</row>
    <row r="111" spans="1:19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</row>
    <row r="112" spans="1:19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</row>
    <row r="113" spans="1:19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</row>
    <row r="114" spans="1:19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</row>
    <row r="115" spans="1:19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</row>
    <row r="116" spans="1:19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</row>
    <row r="117" spans="1:19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</row>
    <row r="118" spans="1:19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</row>
    <row r="119" spans="1:19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</row>
    <row r="120" spans="1:19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</row>
    <row r="121" spans="1:19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 spans="1:19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</row>
    <row r="123" spans="1:19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</row>
    <row r="124" spans="1:19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</row>
    <row r="125" spans="1:19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</row>
    <row r="126" spans="1:19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</row>
    <row r="127" spans="1:19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</row>
    <row r="128" spans="1:19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</row>
    <row r="129" spans="1:19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</row>
    <row r="130" spans="1:19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</row>
    <row r="131" spans="1:19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</row>
    <row r="132" spans="1:19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</row>
    <row r="133" spans="1:19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</row>
    <row r="134" spans="1:19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</row>
    <row r="135" spans="1:19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</row>
    <row r="136" spans="1:19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</row>
    <row r="137" spans="1:19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</row>
    <row r="138" spans="1:19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</row>
    <row r="139" spans="1:19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</row>
    <row r="140" spans="1:19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</row>
    <row r="141" spans="1:19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</row>
    <row r="142" spans="1:19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</row>
    <row r="143" spans="1:19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</row>
    <row r="144" spans="1:19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</row>
    <row r="145" spans="1:19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</row>
    <row r="146" spans="1:19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</row>
    <row r="147" spans="1:19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</row>
    <row r="148" spans="1:19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</row>
    <row r="149" spans="1:19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</row>
    <row r="150" spans="1:19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</row>
    <row r="151" spans="1:19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</row>
    <row r="152" spans="1:19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</row>
    <row r="153" spans="1:19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</row>
    <row r="154" spans="1:19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</row>
    <row r="155" spans="1:19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</row>
    <row r="156" spans="1:19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</row>
    <row r="157" spans="1:19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</row>
    <row r="158" spans="1:19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</row>
    <row r="159" spans="1:19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</row>
    <row r="160" spans="1:19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</row>
    <row r="161" spans="1:19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</row>
    <row r="162" spans="1:19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</row>
    <row r="163" spans="1:19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</row>
    <row r="164" spans="1:19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</row>
    <row r="165" spans="1:19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</row>
    <row r="166" spans="1:19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</row>
    <row r="167" spans="1:19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</row>
    <row r="168" spans="1:19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</row>
    <row r="169" spans="1:19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</row>
    <row r="170" spans="1:19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</row>
    <row r="171" spans="1:19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</row>
    <row r="172" spans="1:19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</row>
    <row r="173" spans="1:19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</row>
    <row r="174" spans="1:19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</row>
    <row r="175" spans="1:19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</row>
    <row r="176" spans="1:19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</row>
    <row r="177" spans="1:19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</row>
    <row r="178" spans="1:19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</row>
    <row r="179" spans="1:19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</row>
    <row r="180" spans="1:19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</row>
    <row r="181" spans="1:19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</row>
    <row r="182" spans="1:19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</row>
    <row r="183" spans="1:19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</row>
    <row r="184" spans="1:19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</row>
    <row r="185" spans="1:19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</row>
    <row r="186" spans="1:19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</row>
    <row r="187" spans="1:19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</row>
    <row r="188" spans="1:19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</row>
    <row r="189" spans="1:19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</row>
    <row r="190" spans="1:19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</row>
    <row r="191" spans="1:19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</row>
    <row r="192" spans="1:19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</row>
    <row r="193" spans="1:19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</row>
    <row r="194" spans="1:19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</row>
    <row r="195" spans="1:19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</row>
    <row r="196" spans="1:19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</row>
    <row r="197" spans="1:19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</row>
    <row r="198" spans="1:19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</row>
    <row r="199" spans="1:19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</row>
    <row r="200" spans="1:19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</row>
    <row r="201" spans="1:19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</row>
    <row r="202" spans="1:19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</row>
    <row r="203" spans="1:19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</row>
    <row r="204" spans="1:19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</row>
    <row r="205" spans="1:19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</row>
    <row r="206" spans="1:19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</row>
    <row r="207" spans="1:19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</row>
    <row r="208" spans="1:19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</row>
    <row r="209" spans="1:19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</row>
    <row r="210" spans="1:19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</row>
    <row r="211" spans="1:19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</row>
    <row r="212" spans="1:19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</row>
    <row r="213" spans="1:19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</row>
    <row r="214" spans="1:19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</row>
    <row r="215" spans="1:19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</row>
    <row r="216" spans="1:19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</row>
    <row r="217" spans="1:19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</row>
    <row r="218" spans="1:19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</row>
    <row r="219" spans="1:19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</row>
    <row r="220" spans="1:19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</row>
    <row r="221" spans="1:19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</row>
    <row r="222" spans="1:19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</row>
    <row r="223" spans="1:19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</row>
    <row r="224" spans="1:19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</row>
    <row r="225" spans="1:19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</row>
    <row r="226" spans="1:19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</row>
    <row r="227" spans="1:19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</row>
    <row r="228" spans="1:19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</row>
    <row r="229" spans="1:19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</row>
    <row r="230" spans="1:19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</row>
    <row r="231" spans="1:19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</row>
    <row r="232" spans="1:19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</row>
    <row r="233" spans="1:19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</row>
    <row r="234" spans="1:19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</row>
    <row r="235" spans="1:19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</row>
    <row r="236" spans="1:19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</row>
    <row r="237" spans="1:19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</row>
    <row r="238" spans="1:19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</row>
    <row r="239" spans="1:19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</row>
    <row r="240" spans="1:19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</row>
    <row r="241" spans="1:19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</row>
    <row r="242" spans="1:19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</row>
    <row r="243" spans="1:19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</row>
    <row r="244" spans="1:19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</row>
    <row r="245" spans="1:19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</row>
    <row r="246" spans="1:19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</row>
    <row r="247" spans="1:19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</row>
    <row r="248" spans="1:19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</row>
    <row r="249" spans="1:19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</row>
    <row r="250" spans="1:19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</row>
    <row r="251" spans="1:19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</row>
    <row r="252" spans="1:19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</row>
    <row r="253" spans="1:19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</row>
    <row r="254" spans="1:19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</row>
    <row r="255" spans="1:19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</row>
    <row r="256" spans="1:19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</row>
    <row r="257" spans="1:19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</row>
    <row r="258" spans="1:19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</row>
    <row r="259" spans="1:19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</row>
    <row r="260" spans="1:19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</row>
    <row r="261" spans="1:19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</row>
    <row r="262" spans="1:19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</row>
    <row r="263" spans="1:19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</row>
    <row r="264" spans="1:19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</row>
    <row r="265" spans="1:19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</row>
    <row r="266" spans="1:19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</row>
    <row r="267" spans="1:19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</row>
    <row r="268" spans="1:19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</row>
    <row r="269" spans="1:19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</row>
    <row r="270" spans="1:19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</row>
    <row r="271" spans="1:19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</row>
    <row r="272" spans="1:19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</row>
    <row r="273" spans="1:19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</row>
    <row r="274" spans="1:19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</row>
    <row r="275" spans="1:19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</row>
    <row r="276" spans="1:19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</row>
    <row r="277" spans="1:19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</row>
    <row r="278" spans="1:19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</row>
    <row r="279" spans="1:19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</row>
    <row r="280" spans="1:19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</row>
    <row r="281" spans="1:19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</row>
    <row r="282" spans="1:19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</row>
    <row r="283" spans="1:19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</row>
    <row r="284" spans="1:19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</row>
    <row r="285" spans="1:19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</row>
    <row r="286" spans="1:19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</row>
  </sheetData>
  <mergeCells count="14">
    <mergeCell ref="C52:G52"/>
    <mergeCell ref="B1:E1"/>
    <mergeCell ref="H1:M1"/>
    <mergeCell ref="N1:Q1"/>
    <mergeCell ref="A11:A12"/>
    <mergeCell ref="A19:A20"/>
    <mergeCell ref="N26:R26"/>
    <mergeCell ref="N33:R33"/>
    <mergeCell ref="A24:A25"/>
    <mergeCell ref="B26:E26"/>
    <mergeCell ref="B30:E30"/>
    <mergeCell ref="A33:A34"/>
    <mergeCell ref="B33:E33"/>
    <mergeCell ref="A29:A30"/>
  </mergeCells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8"/>
  <sheetViews>
    <sheetView topLeftCell="A28" zoomScale="60" zoomScaleNormal="60" workbookViewId="0">
      <pane xSplit="1" topLeftCell="B1" activePane="topRight" state="frozen"/>
      <selection pane="topRight" activeCell="A49" sqref="A49"/>
    </sheetView>
  </sheetViews>
  <sheetFormatPr defaultRowHeight="15" x14ac:dyDescent="0.25"/>
  <cols>
    <col min="1" max="1" width="20.140625" style="4" customWidth="1"/>
    <col min="2" max="2" width="28" style="8" customWidth="1"/>
    <col min="3" max="3" width="30.28515625" style="9" customWidth="1"/>
    <col min="4" max="4" width="22.42578125" style="9" customWidth="1"/>
    <col min="5" max="5" width="22.42578125" style="10" customWidth="1"/>
    <col min="6" max="6" width="19" style="46" customWidth="1"/>
    <col min="7" max="7" width="17.140625" style="46" customWidth="1"/>
    <col min="8" max="8" width="11.5703125" style="8" bestFit="1" customWidth="1"/>
    <col min="9" max="9" width="16.7109375" style="9" customWidth="1"/>
    <col min="10" max="10" width="10.5703125" style="9" bestFit="1" customWidth="1"/>
    <col min="11" max="12" width="9.85546875" style="25" customWidth="1"/>
    <col min="13" max="13" width="10.140625" style="10" bestFit="1" customWidth="1"/>
    <col min="14" max="14" width="9.85546875" style="8" bestFit="1" customWidth="1"/>
    <col min="15" max="15" width="10.140625" style="9" bestFit="1" customWidth="1"/>
    <col min="16" max="16" width="9.85546875" style="9" bestFit="1" customWidth="1"/>
    <col min="17" max="17" width="10.140625" style="10" bestFit="1" customWidth="1"/>
    <col min="18" max="19" width="10.140625" style="24" customWidth="1"/>
  </cols>
  <sheetData>
    <row r="1" spans="1:22" ht="16.5" thickTop="1" thickBot="1" x14ac:dyDescent="0.3">
      <c r="A1" s="89"/>
      <c r="B1" s="2127" t="s">
        <v>3</v>
      </c>
      <c r="C1" s="2128"/>
      <c r="D1" s="2128"/>
      <c r="E1" s="2129"/>
      <c r="F1" s="64"/>
      <c r="G1" s="64"/>
      <c r="H1" s="2127" t="s">
        <v>6</v>
      </c>
      <c r="I1" s="2128"/>
      <c r="J1" s="2128"/>
      <c r="K1" s="2130"/>
      <c r="L1" s="2130"/>
      <c r="M1" s="2129"/>
      <c r="N1" s="2131" t="s">
        <v>13</v>
      </c>
      <c r="O1" s="2132"/>
      <c r="P1" s="2132"/>
      <c r="Q1" s="2133"/>
      <c r="R1" s="64"/>
      <c r="S1" s="90"/>
      <c r="T1" s="30"/>
    </row>
    <row r="2" spans="1:22" ht="16.5" thickTop="1" thickBot="1" x14ac:dyDescent="0.3">
      <c r="A2" s="94" t="s">
        <v>0</v>
      </c>
      <c r="B2" s="95" t="s">
        <v>1</v>
      </c>
      <c r="C2" s="96" t="s">
        <v>4</v>
      </c>
      <c r="D2" s="96" t="s">
        <v>2</v>
      </c>
      <c r="E2" s="97" t="s">
        <v>5</v>
      </c>
      <c r="F2" s="98" t="s">
        <v>26</v>
      </c>
      <c r="G2" s="98" t="s">
        <v>19</v>
      </c>
      <c r="H2" s="99" t="s">
        <v>1</v>
      </c>
      <c r="I2" s="100" t="s">
        <v>4</v>
      </c>
      <c r="J2" s="100" t="s">
        <v>2</v>
      </c>
      <c r="K2" s="100" t="s">
        <v>5</v>
      </c>
      <c r="L2" s="101" t="s">
        <v>26</v>
      </c>
      <c r="M2" s="102" t="s">
        <v>19</v>
      </c>
      <c r="N2" s="95" t="s">
        <v>1</v>
      </c>
      <c r="O2" s="96" t="s">
        <v>4</v>
      </c>
      <c r="P2" s="96" t="s">
        <v>2</v>
      </c>
      <c r="Q2" s="103" t="s">
        <v>5</v>
      </c>
      <c r="R2" s="116" t="s">
        <v>19</v>
      </c>
      <c r="S2" s="104" t="s">
        <v>26</v>
      </c>
    </row>
    <row r="3" spans="1:22" ht="15" customHeight="1" thickTop="1" x14ac:dyDescent="0.25">
      <c r="A3" s="91">
        <v>44287</v>
      </c>
      <c r="B3" s="121" t="s">
        <v>96</v>
      </c>
      <c r="C3" s="122"/>
      <c r="D3" s="122"/>
      <c r="E3" s="123"/>
      <c r="F3" s="105"/>
      <c r="G3" s="51"/>
      <c r="H3" s="27">
        <v>366</v>
      </c>
      <c r="I3" s="28"/>
      <c r="J3" s="28"/>
      <c r="K3" s="28"/>
      <c r="L3" s="107"/>
      <c r="M3" s="29"/>
      <c r="N3" s="1" t="s">
        <v>7</v>
      </c>
      <c r="O3" s="92"/>
      <c r="P3" s="175"/>
      <c r="Q3" s="93"/>
      <c r="R3" s="117"/>
      <c r="S3" s="113"/>
      <c r="U3" s="2" t="s">
        <v>8</v>
      </c>
      <c r="V3" t="s">
        <v>10</v>
      </c>
    </row>
    <row r="4" spans="1:22" ht="15" customHeight="1" x14ac:dyDescent="0.25">
      <c r="A4" s="91">
        <v>44288</v>
      </c>
      <c r="B4" s="121" t="s">
        <v>113</v>
      </c>
      <c r="C4" s="125"/>
      <c r="D4" s="125" t="s">
        <v>112</v>
      </c>
      <c r="E4" s="126"/>
      <c r="F4" s="8"/>
      <c r="H4" s="8">
        <v>11</v>
      </c>
      <c r="J4" s="9">
        <v>215</v>
      </c>
      <c r="K4" s="9"/>
      <c r="L4" s="9"/>
      <c r="M4" s="26"/>
      <c r="N4" s="2" t="s">
        <v>8</v>
      </c>
      <c r="O4" s="42"/>
      <c r="P4" s="1" t="s">
        <v>7</v>
      </c>
      <c r="Q4" s="42"/>
      <c r="R4" s="118"/>
      <c r="S4" s="113"/>
      <c r="U4" s="1" t="s">
        <v>7</v>
      </c>
      <c r="V4" t="s">
        <v>11</v>
      </c>
    </row>
    <row r="5" spans="1:22" x14ac:dyDescent="0.25">
      <c r="A5" s="236">
        <v>44289</v>
      </c>
      <c r="B5" s="214"/>
      <c r="C5" s="215"/>
      <c r="D5" s="215"/>
      <c r="E5" s="216"/>
      <c r="F5" s="217"/>
      <c r="G5" s="218"/>
      <c r="H5" s="217"/>
      <c r="I5" s="219"/>
      <c r="J5" s="219"/>
      <c r="K5" s="219"/>
      <c r="L5" s="219"/>
      <c r="M5" s="220"/>
      <c r="N5" s="221"/>
      <c r="O5" s="219"/>
      <c r="P5" s="221"/>
      <c r="Q5" s="221"/>
      <c r="R5" s="222"/>
      <c r="S5" s="223"/>
      <c r="U5" s="3" t="s">
        <v>9</v>
      </c>
      <c r="V5" t="s">
        <v>12</v>
      </c>
    </row>
    <row r="6" spans="1:22" ht="15" customHeight="1" x14ac:dyDescent="0.25">
      <c r="A6" s="236">
        <v>44290</v>
      </c>
      <c r="B6" s="214"/>
      <c r="C6" s="215"/>
      <c r="D6" s="215"/>
      <c r="E6" s="224"/>
      <c r="F6" s="217"/>
      <c r="G6" s="218"/>
      <c r="H6" s="217"/>
      <c r="I6" s="219"/>
      <c r="J6" s="219"/>
      <c r="K6" s="219"/>
      <c r="L6" s="219"/>
      <c r="M6" s="220"/>
      <c r="N6" s="225"/>
      <c r="O6" s="225"/>
      <c r="P6" s="225"/>
      <c r="Q6" s="225"/>
      <c r="R6" s="225"/>
      <c r="S6" s="223"/>
      <c r="U6" s="181" t="s">
        <v>71</v>
      </c>
      <c r="V6" s="146" t="s">
        <v>51</v>
      </c>
    </row>
    <row r="7" spans="1:22" ht="15" customHeight="1" x14ac:dyDescent="0.25">
      <c r="A7" s="236">
        <v>44291</v>
      </c>
      <c r="B7" s="226"/>
      <c r="C7" s="215"/>
      <c r="D7" s="215"/>
      <c r="E7" s="227"/>
      <c r="F7" s="228"/>
      <c r="G7" s="229"/>
      <c r="H7" s="217"/>
      <c r="I7" s="219"/>
      <c r="J7" s="219"/>
      <c r="K7" s="219"/>
      <c r="L7" s="219"/>
      <c r="M7" s="220"/>
      <c r="N7" s="225"/>
      <c r="O7" s="225"/>
      <c r="P7" s="225"/>
      <c r="Q7" s="225"/>
      <c r="R7" s="225"/>
      <c r="S7" s="223"/>
      <c r="T7" s="30"/>
    </row>
    <row r="8" spans="1:22" ht="15" customHeight="1" x14ac:dyDescent="0.25">
      <c r="A8" s="91">
        <v>44292</v>
      </c>
      <c r="B8" s="124" t="s">
        <v>114</v>
      </c>
      <c r="C8" s="125"/>
      <c r="D8" s="125" t="s">
        <v>114</v>
      </c>
      <c r="E8" s="127"/>
      <c r="F8" s="22"/>
      <c r="G8" s="47"/>
      <c r="H8" s="8">
        <v>35</v>
      </c>
      <c r="J8" s="9">
        <v>139</v>
      </c>
      <c r="K8" s="9"/>
      <c r="L8" s="9"/>
      <c r="M8" s="26"/>
      <c r="N8" s="3" t="s">
        <v>9</v>
      </c>
      <c r="O8" s="42"/>
      <c r="P8" s="3" t="s">
        <v>9</v>
      </c>
      <c r="Q8" s="175"/>
      <c r="R8" s="119"/>
      <c r="S8" s="113"/>
      <c r="T8" s="30"/>
    </row>
    <row r="9" spans="1:22" ht="15" customHeight="1" x14ac:dyDescent="0.25">
      <c r="A9" s="91">
        <v>44293</v>
      </c>
      <c r="B9" s="208" t="s">
        <v>115</v>
      </c>
      <c r="C9" s="125"/>
      <c r="D9" s="125" t="s">
        <v>114</v>
      </c>
      <c r="E9" s="177"/>
      <c r="F9" s="143"/>
      <c r="H9" s="8">
        <v>1100</v>
      </c>
      <c r="J9" s="9">
        <v>35</v>
      </c>
      <c r="K9" s="9"/>
      <c r="L9" s="9"/>
      <c r="M9" s="26"/>
      <c r="N9" s="2" t="s">
        <v>8</v>
      </c>
      <c r="O9" s="83"/>
      <c r="P9" s="3" t="s">
        <v>9</v>
      </c>
      <c r="Q9" s="42"/>
      <c r="R9" s="119"/>
      <c r="S9" s="114"/>
      <c r="T9" s="30"/>
    </row>
    <row r="10" spans="1:22" ht="15" customHeight="1" x14ac:dyDescent="0.25">
      <c r="A10" s="91">
        <v>44294</v>
      </c>
      <c r="B10" s="208" t="s">
        <v>115</v>
      </c>
      <c r="C10" s="125"/>
      <c r="D10" s="125" t="s">
        <v>114</v>
      </c>
      <c r="E10" s="177"/>
      <c r="F10" s="8"/>
      <c r="H10" s="8">
        <v>1440</v>
      </c>
      <c r="J10" s="9">
        <v>20</v>
      </c>
      <c r="K10" s="9"/>
      <c r="L10" s="9"/>
      <c r="M10" s="26"/>
      <c r="N10" s="2" t="s">
        <v>8</v>
      </c>
      <c r="O10" s="83"/>
      <c r="P10" s="3" t="s">
        <v>9</v>
      </c>
      <c r="Q10" s="42"/>
      <c r="R10" s="119"/>
      <c r="S10" s="109"/>
    </row>
    <row r="11" spans="1:22" ht="15" customHeight="1" x14ac:dyDescent="0.25">
      <c r="A11" s="91">
        <v>44295</v>
      </c>
      <c r="B11" s="208" t="s">
        <v>115</v>
      </c>
      <c r="C11" s="125"/>
      <c r="D11" s="125"/>
      <c r="E11" s="177"/>
      <c r="F11" s="153"/>
      <c r="G11" s="48"/>
      <c r="H11" s="8">
        <v>1440</v>
      </c>
      <c r="K11" s="9"/>
      <c r="L11" s="9"/>
      <c r="M11" s="26"/>
      <c r="N11" s="2" t="s">
        <v>8</v>
      </c>
      <c r="O11" s="83"/>
      <c r="P11" s="175"/>
      <c r="Q11" s="42"/>
      <c r="R11" s="119"/>
      <c r="S11" s="114"/>
      <c r="T11" s="30"/>
    </row>
    <row r="12" spans="1:22" ht="15" customHeight="1" x14ac:dyDescent="0.25">
      <c r="A12" s="91">
        <v>44296</v>
      </c>
      <c r="B12" s="208" t="s">
        <v>116</v>
      </c>
      <c r="C12" s="125"/>
      <c r="D12" s="125" t="s">
        <v>117</v>
      </c>
      <c r="E12" s="177"/>
      <c r="F12" s="153"/>
      <c r="G12" s="48"/>
      <c r="H12" s="8">
        <v>168</v>
      </c>
      <c r="J12" s="9">
        <v>48</v>
      </c>
      <c r="L12" s="9"/>
      <c r="M12" s="26"/>
      <c r="N12" s="2" t="s">
        <v>8</v>
      </c>
      <c r="O12" s="83"/>
      <c r="P12" s="3" t="s">
        <v>9</v>
      </c>
      <c r="Q12" s="42"/>
      <c r="R12" s="119"/>
      <c r="S12" s="114"/>
      <c r="T12" s="30"/>
    </row>
    <row r="13" spans="1:22" ht="15" customHeight="1" x14ac:dyDescent="0.25">
      <c r="A13" s="91">
        <v>44297</v>
      </c>
      <c r="B13" s="176" t="s">
        <v>114</v>
      </c>
      <c r="C13" s="125"/>
      <c r="D13" s="125" t="s">
        <v>114</v>
      </c>
      <c r="E13" s="177" t="s">
        <v>114</v>
      </c>
      <c r="F13" s="22"/>
      <c r="G13" s="48"/>
      <c r="H13" s="8">
        <v>30</v>
      </c>
      <c r="J13" s="9">
        <v>30</v>
      </c>
      <c r="K13" s="25">
        <v>30</v>
      </c>
      <c r="L13" s="9"/>
      <c r="M13" s="26"/>
      <c r="N13" s="3" t="s">
        <v>9</v>
      </c>
      <c r="O13" s="83"/>
      <c r="P13" s="3" t="s">
        <v>9</v>
      </c>
      <c r="Q13" s="3" t="s">
        <v>9</v>
      </c>
      <c r="R13" s="119"/>
      <c r="S13" s="109"/>
    </row>
    <row r="14" spans="1:22" ht="15" customHeight="1" x14ac:dyDescent="0.25">
      <c r="A14" s="91">
        <v>44298</v>
      </c>
      <c r="B14" s="208" t="s">
        <v>118</v>
      </c>
      <c r="C14" s="125"/>
      <c r="D14" s="125"/>
      <c r="E14" s="177" t="s">
        <v>114</v>
      </c>
      <c r="F14" s="22"/>
      <c r="G14" s="48"/>
      <c r="H14" s="8">
        <v>225</v>
      </c>
      <c r="K14" s="25">
        <v>40</v>
      </c>
      <c r="L14" s="9"/>
      <c r="M14" s="26"/>
      <c r="N14" s="2" t="s">
        <v>8</v>
      </c>
      <c r="O14" s="83"/>
      <c r="P14" s="83"/>
      <c r="Q14" s="3" t="s">
        <v>9</v>
      </c>
      <c r="R14" s="119"/>
      <c r="S14" s="109"/>
    </row>
    <row r="15" spans="1:22" ht="15" customHeight="1" x14ac:dyDescent="0.25">
      <c r="A15" s="91">
        <v>44299</v>
      </c>
      <c r="B15" s="124"/>
      <c r="C15" s="125"/>
      <c r="D15" s="125"/>
      <c r="E15" s="230" t="s">
        <v>121</v>
      </c>
      <c r="F15" s="8"/>
      <c r="K15" s="25">
        <v>60</v>
      </c>
      <c r="L15" s="9"/>
      <c r="M15" s="26"/>
      <c r="N15" s="84"/>
      <c r="O15" s="83"/>
      <c r="P15" s="84"/>
      <c r="Q15" s="3" t="s">
        <v>9</v>
      </c>
      <c r="R15" s="119"/>
      <c r="S15" s="109"/>
    </row>
    <row r="16" spans="1:22" ht="15" customHeight="1" x14ac:dyDescent="0.25">
      <c r="A16" s="91">
        <v>44300</v>
      </c>
      <c r="B16" s="124" t="s">
        <v>112</v>
      </c>
      <c r="C16" s="125" t="s">
        <v>112</v>
      </c>
      <c r="D16" s="125" t="s">
        <v>114</v>
      </c>
      <c r="E16" s="126"/>
      <c r="F16" s="8"/>
      <c r="H16" s="8">
        <v>35</v>
      </c>
      <c r="I16" s="9">
        <v>69</v>
      </c>
      <c r="J16" s="9">
        <v>20</v>
      </c>
      <c r="N16" s="1" t="s">
        <v>7</v>
      </c>
      <c r="O16" s="1" t="s">
        <v>7</v>
      </c>
      <c r="P16" s="3" t="s">
        <v>9</v>
      </c>
      <c r="Q16" s="42"/>
      <c r="R16" s="119"/>
      <c r="S16" s="109"/>
    </row>
    <row r="17" spans="1:23" ht="15" customHeight="1" x14ac:dyDescent="0.25">
      <c r="A17" s="91">
        <v>44301</v>
      </c>
      <c r="B17" s="124" t="s">
        <v>119</v>
      </c>
      <c r="C17" s="125"/>
      <c r="D17" s="129" t="s">
        <v>120</v>
      </c>
      <c r="E17" s="209"/>
      <c r="F17" s="8"/>
      <c r="G17" s="26"/>
      <c r="H17" s="65">
        <v>15</v>
      </c>
      <c r="J17" s="9">
        <v>85</v>
      </c>
      <c r="N17" s="2" t="s">
        <v>8</v>
      </c>
      <c r="O17" s="83"/>
      <c r="P17" s="1" t="s">
        <v>7</v>
      </c>
      <c r="Q17" s="175"/>
      <c r="R17" s="119"/>
      <c r="S17" s="115"/>
    </row>
    <row r="18" spans="1:23" ht="15" customHeight="1" x14ac:dyDescent="0.25">
      <c r="A18" s="2143">
        <v>44302</v>
      </c>
      <c r="B18" s="124"/>
      <c r="C18" s="125"/>
      <c r="D18" s="125" t="s">
        <v>122</v>
      </c>
      <c r="E18" s="237"/>
      <c r="F18" s="8"/>
      <c r="H18" s="65"/>
      <c r="J18" s="9">
        <v>15</v>
      </c>
      <c r="N18" s="188"/>
      <c r="O18" s="83"/>
      <c r="P18" s="2" t="s">
        <v>8</v>
      </c>
      <c r="Q18" s="175"/>
      <c r="R18" s="119"/>
      <c r="S18" s="115"/>
    </row>
    <row r="19" spans="1:23" ht="27" customHeight="1" x14ac:dyDescent="0.25">
      <c r="A19" s="2144"/>
      <c r="B19" s="214"/>
      <c r="C19" s="215"/>
      <c r="D19" s="129" t="s">
        <v>120</v>
      </c>
      <c r="E19" s="224"/>
      <c r="F19" s="217"/>
      <c r="G19" s="218"/>
      <c r="H19" s="217"/>
      <c r="I19" s="219"/>
      <c r="J19" s="219">
        <v>85</v>
      </c>
      <c r="K19" s="231"/>
      <c r="L19" s="231"/>
      <c r="M19" s="232"/>
      <c r="N19" s="217"/>
      <c r="O19" s="219"/>
      <c r="P19" s="1" t="s">
        <v>7</v>
      </c>
      <c r="Q19" s="233"/>
      <c r="R19" s="234"/>
      <c r="S19" s="235"/>
    </row>
    <row r="20" spans="1:23" ht="27.75" customHeight="1" x14ac:dyDescent="0.25">
      <c r="A20" s="91">
        <v>44303</v>
      </c>
      <c r="B20" s="124"/>
      <c r="C20" s="125"/>
      <c r="D20" s="129" t="s">
        <v>123</v>
      </c>
      <c r="E20" s="122"/>
      <c r="F20" s="8"/>
      <c r="J20" s="9">
        <v>40</v>
      </c>
      <c r="N20" s="84"/>
      <c r="O20" s="83"/>
      <c r="P20" s="141" t="s">
        <v>8</v>
      </c>
      <c r="Q20" s="42"/>
      <c r="R20" s="119"/>
      <c r="S20" s="109"/>
    </row>
    <row r="21" spans="1:23" ht="15" customHeight="1" x14ac:dyDescent="0.25">
      <c r="A21" s="91">
        <v>44304</v>
      </c>
      <c r="B21" s="124"/>
      <c r="C21" s="125"/>
      <c r="D21" s="125"/>
      <c r="E21" s="183"/>
      <c r="F21" s="8"/>
      <c r="J21" s="156"/>
      <c r="K21" s="157"/>
      <c r="L21" s="157"/>
      <c r="M21" s="160"/>
      <c r="N21" s="82"/>
      <c r="O21" s="83"/>
      <c r="P21" s="175"/>
      <c r="Q21" s="42"/>
      <c r="R21" s="119"/>
      <c r="S21" s="109"/>
    </row>
    <row r="22" spans="1:23" ht="15" customHeight="1" x14ac:dyDescent="0.25">
      <c r="A22" s="91">
        <v>44305</v>
      </c>
      <c r="B22" s="124" t="s">
        <v>124</v>
      </c>
      <c r="C22" s="125"/>
      <c r="D22" s="125"/>
      <c r="E22" s="126"/>
      <c r="F22" s="8"/>
      <c r="H22" s="8">
        <v>80</v>
      </c>
      <c r="J22" s="156"/>
      <c r="K22" s="157"/>
      <c r="L22" s="157"/>
      <c r="M22" s="160"/>
      <c r="N22" s="2" t="s">
        <v>8</v>
      </c>
      <c r="O22" s="83"/>
      <c r="P22" s="83"/>
      <c r="Q22" s="42"/>
      <c r="R22" s="119"/>
      <c r="S22" s="109"/>
    </row>
    <row r="23" spans="1:23" ht="15" customHeight="1" x14ac:dyDescent="0.25">
      <c r="A23" s="91">
        <v>44306</v>
      </c>
      <c r="B23" s="2121" t="s">
        <v>125</v>
      </c>
      <c r="C23" s="2122"/>
      <c r="D23" s="2122"/>
      <c r="E23" s="2123"/>
      <c r="F23" s="8"/>
      <c r="H23" s="8">
        <v>192</v>
      </c>
      <c r="I23" s="9">
        <v>198</v>
      </c>
      <c r="J23" s="156">
        <v>217</v>
      </c>
      <c r="K23" s="157">
        <v>205</v>
      </c>
      <c r="L23" s="157"/>
      <c r="M23" s="160"/>
      <c r="N23" s="2140" t="s">
        <v>7</v>
      </c>
      <c r="O23" s="2141"/>
      <c r="P23" s="2141"/>
      <c r="Q23" s="2141"/>
      <c r="R23" s="2142"/>
      <c r="S23" s="109"/>
    </row>
    <row r="24" spans="1:23" ht="15" customHeight="1" x14ac:dyDescent="0.25">
      <c r="A24" s="91">
        <v>44307</v>
      </c>
      <c r="B24" s="124"/>
      <c r="C24" s="125"/>
      <c r="D24" s="125"/>
      <c r="E24" s="127"/>
      <c r="F24" s="8"/>
      <c r="J24" s="156"/>
      <c r="K24" s="157"/>
      <c r="L24" s="157"/>
      <c r="M24" s="160"/>
      <c r="N24" s="82"/>
      <c r="O24" s="83"/>
      <c r="P24" s="83"/>
      <c r="Q24" s="42"/>
      <c r="R24" s="119"/>
      <c r="S24" s="109"/>
    </row>
    <row r="25" spans="1:23" x14ac:dyDescent="0.25">
      <c r="A25" s="91">
        <v>44308</v>
      </c>
      <c r="B25" s="124" t="s">
        <v>112</v>
      </c>
      <c r="C25" s="125"/>
      <c r="D25" s="129"/>
      <c r="E25" s="126"/>
      <c r="F25" s="8"/>
      <c r="H25" s="8">
        <v>10</v>
      </c>
      <c r="J25" s="156"/>
      <c r="K25" s="157"/>
      <c r="L25" s="157"/>
      <c r="M25" s="160"/>
      <c r="N25" s="1" t="s">
        <v>7</v>
      </c>
      <c r="O25" s="83"/>
      <c r="P25" s="83"/>
      <c r="Q25" s="42"/>
      <c r="R25" s="119"/>
      <c r="S25" s="109"/>
    </row>
    <row r="26" spans="1:23" x14ac:dyDescent="0.25">
      <c r="A26" s="91">
        <v>44309</v>
      </c>
      <c r="B26" s="124" t="s">
        <v>127</v>
      </c>
      <c r="C26" s="129" t="s">
        <v>126</v>
      </c>
      <c r="D26" s="124" t="s">
        <v>127</v>
      </c>
      <c r="E26" s="124" t="s">
        <v>127</v>
      </c>
      <c r="F26" s="8"/>
      <c r="H26" s="8">
        <v>15</v>
      </c>
      <c r="I26" s="9">
        <v>194</v>
      </c>
      <c r="J26" s="156">
        <v>18</v>
      </c>
      <c r="K26" s="157">
        <v>17</v>
      </c>
      <c r="L26" s="157"/>
      <c r="M26" s="160"/>
      <c r="N26" s="2145" t="s">
        <v>7</v>
      </c>
      <c r="O26" s="2146"/>
      <c r="P26" s="2146"/>
      <c r="Q26" s="2146"/>
      <c r="R26" s="2147"/>
      <c r="S26" s="109"/>
    </row>
    <row r="27" spans="1:23" ht="15" customHeight="1" x14ac:dyDescent="0.25">
      <c r="A27" s="91">
        <v>44310</v>
      </c>
      <c r="B27" s="2121" t="s">
        <v>66</v>
      </c>
      <c r="C27" s="2122"/>
      <c r="D27" s="2122"/>
      <c r="E27" s="2123"/>
      <c r="F27" s="8"/>
      <c r="H27" s="8">
        <v>160</v>
      </c>
      <c r="I27" s="9">
        <v>95</v>
      </c>
      <c r="J27" s="156">
        <v>145</v>
      </c>
      <c r="K27" s="157">
        <v>75</v>
      </c>
      <c r="L27" s="157"/>
      <c r="M27" s="160"/>
      <c r="N27" s="2145" t="s">
        <v>7</v>
      </c>
      <c r="O27" s="2146"/>
      <c r="P27" s="2146"/>
      <c r="Q27" s="2146"/>
      <c r="R27" s="2147"/>
      <c r="S27" s="109"/>
    </row>
    <row r="28" spans="1:23" ht="15" customHeight="1" x14ac:dyDescent="0.25">
      <c r="A28" s="91">
        <v>44311</v>
      </c>
      <c r="B28" s="136"/>
      <c r="C28" s="129"/>
      <c r="D28" s="129"/>
      <c r="E28" s="126"/>
      <c r="F28" s="8"/>
      <c r="M28" s="160"/>
      <c r="N28" s="82"/>
      <c r="O28" s="83"/>
      <c r="P28" s="84"/>
      <c r="Q28" s="42"/>
      <c r="R28" s="119"/>
      <c r="S28" s="109"/>
      <c r="V28" s="20"/>
      <c r="W28" s="20"/>
    </row>
    <row r="29" spans="1:23" ht="15" customHeight="1" x14ac:dyDescent="0.25">
      <c r="A29" s="91">
        <v>44312</v>
      </c>
      <c r="B29" s="124"/>
      <c r="C29" s="129"/>
      <c r="D29" s="129"/>
      <c r="E29" s="126"/>
      <c r="F29" s="8"/>
      <c r="M29" s="160"/>
      <c r="N29" s="82"/>
      <c r="O29" s="84"/>
      <c r="P29" s="84"/>
      <c r="Q29" s="42"/>
      <c r="R29" s="118"/>
      <c r="S29" s="109"/>
    </row>
    <row r="30" spans="1:23" ht="28.5" customHeight="1" x14ac:dyDescent="0.25">
      <c r="A30" s="2109">
        <v>44313</v>
      </c>
      <c r="B30" s="239" t="s">
        <v>128</v>
      </c>
      <c r="C30" s="129"/>
      <c r="D30" s="129" t="s">
        <v>129</v>
      </c>
      <c r="E30" s="238"/>
      <c r="F30" s="8"/>
      <c r="H30" s="8">
        <v>90</v>
      </c>
      <c r="J30" s="9">
        <v>420</v>
      </c>
      <c r="K30" s="25">
        <v>420</v>
      </c>
      <c r="M30" s="160"/>
      <c r="N30" s="2" t="s">
        <v>8</v>
      </c>
      <c r="O30" s="84"/>
      <c r="P30" s="2" t="s">
        <v>8</v>
      </c>
      <c r="Q30" s="42"/>
      <c r="R30" s="118"/>
      <c r="S30" s="109"/>
    </row>
    <row r="31" spans="1:23" ht="15" customHeight="1" x14ac:dyDescent="0.25">
      <c r="A31" s="2110"/>
      <c r="B31" s="124" t="s">
        <v>127</v>
      </c>
      <c r="C31" s="124" t="s">
        <v>127</v>
      </c>
      <c r="D31" s="124" t="s">
        <v>127</v>
      </c>
      <c r="E31" s="124" t="s">
        <v>127</v>
      </c>
      <c r="F31" s="8"/>
      <c r="H31" s="8">
        <v>17</v>
      </c>
      <c r="I31" s="9">
        <v>32</v>
      </c>
      <c r="J31" s="9">
        <v>139</v>
      </c>
      <c r="K31" s="25">
        <v>45</v>
      </c>
      <c r="M31" s="160"/>
      <c r="N31" s="240" t="s">
        <v>7</v>
      </c>
      <c r="O31" s="240" t="s">
        <v>7</v>
      </c>
      <c r="P31" s="84"/>
      <c r="Q31" s="240" t="s">
        <v>7</v>
      </c>
      <c r="R31" s="118"/>
      <c r="S31" s="109"/>
    </row>
    <row r="32" spans="1:23" ht="15" customHeight="1" x14ac:dyDescent="0.25">
      <c r="A32" s="91">
        <v>44314</v>
      </c>
      <c r="B32" s="2121" t="s">
        <v>130</v>
      </c>
      <c r="C32" s="2122"/>
      <c r="D32" s="2122"/>
      <c r="E32" s="2123"/>
      <c r="F32" s="22"/>
      <c r="H32" s="8">
        <v>108</v>
      </c>
      <c r="I32" s="9">
        <v>115</v>
      </c>
      <c r="J32" s="9">
        <v>135</v>
      </c>
      <c r="K32" s="25">
        <v>120</v>
      </c>
      <c r="N32" s="2140" t="s">
        <v>7</v>
      </c>
      <c r="O32" s="2141"/>
      <c r="P32" s="2141"/>
      <c r="Q32" s="2141"/>
      <c r="R32" s="2142"/>
      <c r="S32" s="109"/>
    </row>
    <row r="33" spans="1:19" ht="15" customHeight="1" x14ac:dyDescent="0.25">
      <c r="A33" s="91">
        <v>44315</v>
      </c>
      <c r="B33" s="124"/>
      <c r="C33" s="129"/>
      <c r="D33" s="129"/>
      <c r="E33" s="125"/>
      <c r="F33" s="106"/>
      <c r="I33" s="21"/>
      <c r="N33" s="175"/>
      <c r="O33" s="175"/>
      <c r="P33" s="175"/>
      <c r="Q33" s="175"/>
      <c r="R33" s="175"/>
      <c r="S33" s="109"/>
    </row>
    <row r="34" spans="1:19" x14ac:dyDescent="0.25">
      <c r="A34" s="91">
        <v>44316</v>
      </c>
      <c r="B34" s="124"/>
      <c r="C34" s="129"/>
      <c r="D34" s="129"/>
      <c r="E34" s="126"/>
      <c r="F34" s="22"/>
      <c r="N34" s="82"/>
      <c r="O34" s="83"/>
      <c r="P34" s="84"/>
      <c r="Q34" s="42"/>
      <c r="R34" s="118"/>
      <c r="S34" s="109"/>
    </row>
    <row r="35" spans="1:19" ht="15" customHeight="1" x14ac:dyDescent="0.25">
      <c r="A35" s="91"/>
      <c r="B35" s="124"/>
      <c r="C35" s="210"/>
      <c r="D35" s="129"/>
      <c r="E35" s="177"/>
      <c r="F35" s="22"/>
      <c r="N35" s="211"/>
      <c r="O35" s="212"/>
      <c r="P35" s="212"/>
      <c r="Q35" s="212"/>
      <c r="R35" s="213"/>
      <c r="S35" s="109"/>
    </row>
    <row r="36" spans="1:19" x14ac:dyDescent="0.25">
      <c r="A36" s="91"/>
      <c r="B36" s="124"/>
      <c r="C36" s="125"/>
      <c r="D36" s="129"/>
      <c r="E36" s="127"/>
      <c r="F36" s="22"/>
      <c r="N36" s="84"/>
      <c r="O36" s="83"/>
      <c r="P36" s="84"/>
      <c r="Q36" s="42"/>
      <c r="R36" s="118"/>
      <c r="S36" s="109"/>
    </row>
    <row r="37" spans="1:19" ht="15" customHeight="1" x14ac:dyDescent="0.25">
      <c r="A37" s="91"/>
      <c r="B37" s="124"/>
      <c r="C37" s="125"/>
      <c r="D37" s="125"/>
      <c r="E37" s="126"/>
      <c r="F37" s="8"/>
      <c r="N37" s="82"/>
      <c r="O37" s="84"/>
      <c r="P37" s="83"/>
      <c r="Q37" s="175"/>
      <c r="R37" s="120"/>
      <c r="S37" s="109"/>
    </row>
    <row r="38" spans="1:19" ht="15" customHeight="1" x14ac:dyDescent="0.25">
      <c r="A38" s="91"/>
      <c r="B38" s="124"/>
      <c r="C38" s="125"/>
      <c r="D38" s="125"/>
      <c r="E38" s="126"/>
      <c r="F38" s="8"/>
      <c r="N38" s="84"/>
      <c r="O38" s="83"/>
      <c r="P38" s="83"/>
      <c r="Q38" s="42"/>
      <c r="R38" s="108"/>
      <c r="S38" s="87"/>
    </row>
    <row r="39" spans="1:19" ht="15" customHeight="1" x14ac:dyDescent="0.25">
      <c r="A39" s="91"/>
      <c r="B39" s="124"/>
      <c r="C39" s="125"/>
      <c r="D39" s="125"/>
      <c r="E39" s="126"/>
      <c r="F39" s="8"/>
      <c r="N39" s="82"/>
      <c r="O39" s="83"/>
      <c r="P39" s="84"/>
      <c r="Q39" s="42"/>
      <c r="R39" s="81"/>
      <c r="S39" s="87"/>
    </row>
    <row r="40" spans="1:19" ht="15" customHeight="1" x14ac:dyDescent="0.25">
      <c r="A40" s="91"/>
      <c r="B40" s="22"/>
      <c r="D40" s="125"/>
      <c r="F40" s="8"/>
      <c r="G40" s="48"/>
      <c r="N40" s="79"/>
      <c r="O40" s="83"/>
      <c r="P40" s="83"/>
      <c r="Q40" s="42"/>
      <c r="R40" s="79"/>
      <c r="S40" s="87"/>
    </row>
    <row r="41" spans="1:19" ht="15" customHeight="1" x14ac:dyDescent="0.25">
      <c r="A41" s="91"/>
      <c r="D41" s="125"/>
      <c r="F41" s="8"/>
      <c r="N41" s="82"/>
      <c r="O41" s="83"/>
      <c r="P41" s="83"/>
      <c r="Q41" s="42"/>
      <c r="R41" s="112"/>
      <c r="S41" s="87"/>
    </row>
    <row r="42" spans="1:19" ht="15" customHeight="1" x14ac:dyDescent="0.25">
      <c r="A42" s="33"/>
      <c r="D42" s="125"/>
      <c r="F42" s="8"/>
      <c r="N42" s="82"/>
      <c r="O42" s="83"/>
      <c r="P42" s="83"/>
      <c r="Q42" s="42"/>
      <c r="R42" s="81"/>
      <c r="S42" s="87"/>
    </row>
    <row r="43" spans="1:19" ht="15" customHeight="1" x14ac:dyDescent="0.25">
      <c r="A43" s="33"/>
      <c r="F43" s="8"/>
      <c r="G43" s="48"/>
      <c r="N43" s="82"/>
      <c r="O43" s="83"/>
      <c r="P43" s="83"/>
      <c r="Q43" s="42"/>
      <c r="R43" s="79"/>
      <c r="S43" s="87"/>
    </row>
    <row r="44" spans="1:19" ht="15.75" thickBot="1" x14ac:dyDescent="0.3">
      <c r="A44" s="36" t="s">
        <v>20</v>
      </c>
      <c r="B44" s="37"/>
      <c r="C44" s="38"/>
      <c r="D44" s="38"/>
      <c r="E44" s="40"/>
      <c r="F44" s="37">
        <f t="shared" ref="F44:M44" si="0">SUM(F3:F43)</f>
        <v>0</v>
      </c>
      <c r="G44" s="49"/>
      <c r="H44" s="37">
        <f>SUM(H3:H43)</f>
        <v>5537</v>
      </c>
      <c r="I44" s="38">
        <f t="shared" si="0"/>
        <v>703</v>
      </c>
      <c r="J44" s="38">
        <f t="shared" si="0"/>
        <v>1806</v>
      </c>
      <c r="K44" s="39">
        <f>SUM(K3:K43)</f>
        <v>1012</v>
      </c>
      <c r="L44" s="39">
        <f>SUM(L3:L43)</f>
        <v>0</v>
      </c>
      <c r="M44" s="40">
        <f t="shared" si="0"/>
        <v>0</v>
      </c>
      <c r="N44" s="37"/>
      <c r="O44" s="38"/>
      <c r="P44" s="38"/>
      <c r="Q44" s="39"/>
      <c r="R44" s="86"/>
      <c r="S44" s="88"/>
    </row>
    <row r="45" spans="1:19" s="30" customFormat="1" ht="15.75" thickBot="1" x14ac:dyDescent="0.3">
      <c r="A45" s="36" t="s">
        <v>21</v>
      </c>
      <c r="B45" s="24"/>
      <c r="C45" s="24"/>
      <c r="D45" s="24"/>
      <c r="E45" s="24"/>
      <c r="F45" s="24">
        <f>F44/60</f>
        <v>0</v>
      </c>
      <c r="G45" s="24"/>
      <c r="H45" s="41">
        <f t="shared" ref="H45:M45" si="1">H44/60</f>
        <v>92.283333333333331</v>
      </c>
      <c r="I45" s="41">
        <f t="shared" si="1"/>
        <v>11.716666666666667</v>
      </c>
      <c r="J45" s="41">
        <f t="shared" si="1"/>
        <v>30.1</v>
      </c>
      <c r="K45" s="41">
        <f t="shared" si="1"/>
        <v>16.866666666666667</v>
      </c>
      <c r="L45" s="41">
        <f t="shared" si="1"/>
        <v>0</v>
      </c>
      <c r="M45" s="41">
        <f t="shared" si="1"/>
        <v>0</v>
      </c>
      <c r="N45" s="24"/>
      <c r="O45" s="24"/>
      <c r="P45" s="24"/>
      <c r="Q45" s="24"/>
      <c r="R45" s="24"/>
      <c r="S45" s="24"/>
    </row>
    <row r="46" spans="1:19" s="30" customFormat="1" x14ac:dyDescent="0.25">
      <c r="A46" s="24" t="s">
        <v>41</v>
      </c>
      <c r="B46" s="24"/>
      <c r="C46" s="24"/>
      <c r="D46" s="24"/>
      <c r="E46" s="24"/>
      <c r="F46" s="24"/>
      <c r="G46" s="24"/>
      <c r="H46" s="189">
        <f>(H4+H9+H10+H11+H12+H14+H22+H30+H17)/60</f>
        <v>76.150000000000006</v>
      </c>
      <c r="I46" s="76">
        <f>(I3+I4+I36+I29)/60</f>
        <v>0</v>
      </c>
      <c r="J46" s="189">
        <f>(J18+J20+J30)/60</f>
        <v>7.916666666666667</v>
      </c>
      <c r="K46" s="189">
        <f>(K8+K17+K6+K7)/60</f>
        <v>0</v>
      </c>
      <c r="L46" s="24"/>
      <c r="M46" s="76">
        <f>(M14+M40+M43)/24</f>
        <v>0</v>
      </c>
      <c r="N46" s="24"/>
      <c r="O46" s="24"/>
      <c r="P46" s="24"/>
      <c r="Q46" s="24"/>
      <c r="R46" s="24"/>
      <c r="S46" s="24"/>
    </row>
    <row r="47" spans="1:19" s="30" customFormat="1" x14ac:dyDescent="0.25">
      <c r="A47" s="24" t="s">
        <v>42</v>
      </c>
      <c r="B47" s="24"/>
      <c r="C47" s="24"/>
      <c r="D47" s="24"/>
      <c r="E47" s="24"/>
      <c r="F47" s="24"/>
      <c r="G47" s="24"/>
      <c r="H47" s="189">
        <f>(H3+H16+H23+H25+H26+H27+H31+H32)/60</f>
        <v>15.05</v>
      </c>
      <c r="I47" s="189">
        <f>(I16+I23+I26+I27+I31+I32)/60</f>
        <v>11.716666666666667</v>
      </c>
      <c r="J47" s="189">
        <f>(J4+J17+J19+J23+J26+J27+J32+J31)/60</f>
        <v>17.316666666666666</v>
      </c>
      <c r="K47" s="189">
        <f>(K23+K26+K27+K31+K32)/60</f>
        <v>7.7</v>
      </c>
      <c r="L47" s="76">
        <f>L17/24</f>
        <v>0</v>
      </c>
      <c r="M47" s="24"/>
      <c r="N47" s="24"/>
      <c r="O47" s="24"/>
      <c r="P47" s="24"/>
      <c r="Q47" s="24"/>
      <c r="R47" s="24"/>
      <c r="S47" s="24"/>
    </row>
    <row r="48" spans="1:19" s="30" customFormat="1" x14ac:dyDescent="0.25">
      <c r="A48" s="24" t="s">
        <v>43</v>
      </c>
      <c r="B48" s="24"/>
      <c r="C48" s="24"/>
      <c r="D48" s="24"/>
      <c r="E48" s="24"/>
      <c r="F48" s="24"/>
      <c r="G48" s="24"/>
      <c r="H48" s="189">
        <f>(H8+H13)/60</f>
        <v>1.0833333333333333</v>
      </c>
      <c r="I48" s="76">
        <f>(I11)/24</f>
        <v>0</v>
      </c>
      <c r="J48" s="189">
        <f>(J8+J9+J12+J13+J16++J10)/60</f>
        <v>4.8666666666666663</v>
      </c>
      <c r="K48" s="189">
        <f>(K13+K14+K15)/60</f>
        <v>2.1666666666666665</v>
      </c>
      <c r="L48" s="24"/>
      <c r="M48" s="24"/>
      <c r="N48" s="24"/>
      <c r="O48" s="24"/>
      <c r="P48" s="24"/>
      <c r="Q48" s="24"/>
      <c r="R48" s="24"/>
      <c r="S48" s="24"/>
    </row>
    <row r="49" spans="1:19" x14ac:dyDescent="0.25">
      <c r="A49" s="81" t="s">
        <v>99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/>
      <c r="B50"/>
      <c r="C50"/>
      <c r="D50"/>
      <c r="E50"/>
      <c r="F50"/>
      <c r="G50"/>
      <c r="H50"/>
      <c r="I50" s="24"/>
      <c r="J50" s="30"/>
      <c r="K50"/>
      <c r="L50"/>
      <c r="M50"/>
      <c r="N50"/>
      <c r="O50"/>
      <c r="P50"/>
      <c r="Q50"/>
      <c r="R50"/>
      <c r="S50"/>
    </row>
    <row r="51" spans="1:19" x14ac:dyDescent="0.25">
      <c r="A51"/>
      <c r="B51"/>
      <c r="C51"/>
      <c r="D51"/>
      <c r="E51"/>
      <c r="F51"/>
      <c r="G51"/>
      <c r="H51"/>
      <c r="I51"/>
      <c r="J51"/>
      <c r="K51" s="30"/>
      <c r="L51"/>
      <c r="M51"/>
      <c r="N51"/>
      <c r="O51"/>
      <c r="P51"/>
      <c r="Q51"/>
      <c r="R51"/>
      <c r="S51"/>
    </row>
    <row r="52" spans="1:19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/>
      <c r="B53"/>
      <c r="C53"/>
      <c r="D53"/>
      <c r="E53" s="144"/>
      <c r="F53" s="144"/>
      <c r="G53" s="20"/>
      <c r="H53" s="20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/>
      <c r="B54"/>
      <c r="C54" s="2134" t="s">
        <v>134</v>
      </c>
      <c r="D54" s="2135"/>
      <c r="E54" s="2135"/>
      <c r="F54" s="2135"/>
      <c r="G54" s="2136"/>
      <c r="H54"/>
      <c r="I54"/>
      <c r="J54"/>
      <c r="K54"/>
      <c r="L54"/>
      <c r="M54"/>
      <c r="N54"/>
      <c r="O54"/>
      <c r="P54"/>
      <c r="Q54"/>
      <c r="R54"/>
      <c r="S54"/>
    </row>
    <row r="55" spans="1:19" ht="15.75" thickBo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ht="15.75" thickBot="1" x14ac:dyDescent="0.3">
      <c r="A56"/>
      <c r="B56"/>
      <c r="C56" s="196"/>
      <c r="D56" s="196" t="s">
        <v>1</v>
      </c>
      <c r="E56" s="201" t="s">
        <v>101</v>
      </c>
      <c r="F56" s="201" t="s">
        <v>102</v>
      </c>
      <c r="G56" s="201" t="s">
        <v>103</v>
      </c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/>
      <c r="B57"/>
      <c r="C57" s="204" t="s">
        <v>108</v>
      </c>
      <c r="D57" s="197">
        <f>H46</f>
        <v>76.150000000000006</v>
      </c>
      <c r="E57" s="197">
        <f t="shared" ref="E57:F59" si="2">J46</f>
        <v>7.916666666666667</v>
      </c>
      <c r="F57" s="197">
        <f t="shared" si="2"/>
        <v>0</v>
      </c>
      <c r="G57" s="241">
        <f>I46</f>
        <v>0</v>
      </c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/>
      <c r="B58"/>
      <c r="C58" s="205" t="s">
        <v>109</v>
      </c>
      <c r="D58" s="198">
        <f>H47</f>
        <v>15.05</v>
      </c>
      <c r="E58" s="198">
        <f t="shared" si="2"/>
        <v>17.316666666666666</v>
      </c>
      <c r="F58" s="198">
        <f t="shared" si="2"/>
        <v>7.7</v>
      </c>
      <c r="G58" s="242">
        <f>I47</f>
        <v>11.716666666666667</v>
      </c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/>
      <c r="B59"/>
      <c r="C59" s="205" t="s">
        <v>110</v>
      </c>
      <c r="D59" s="198">
        <f>H48</f>
        <v>1.0833333333333333</v>
      </c>
      <c r="E59" s="198">
        <f t="shared" si="2"/>
        <v>4.8666666666666663</v>
      </c>
      <c r="F59" s="198">
        <f t="shared" si="2"/>
        <v>2.1666666666666665</v>
      </c>
      <c r="G59" s="243">
        <f>I48</f>
        <v>0</v>
      </c>
      <c r="H59"/>
      <c r="I59"/>
      <c r="J59"/>
      <c r="K59"/>
      <c r="L59"/>
      <c r="M59"/>
      <c r="N59"/>
      <c r="O59"/>
      <c r="P59"/>
      <c r="Q59"/>
      <c r="R59"/>
      <c r="S59"/>
    </row>
    <row r="60" spans="1:19" ht="15.75" thickBot="1" x14ac:dyDescent="0.3">
      <c r="A60"/>
      <c r="B60"/>
      <c r="C60" s="206" t="s">
        <v>111</v>
      </c>
      <c r="D60" s="199"/>
      <c r="E60" s="199"/>
      <c r="F60" s="199"/>
      <c r="G60" s="199"/>
      <c r="H60"/>
      <c r="I60"/>
      <c r="J60"/>
      <c r="K60"/>
      <c r="L60"/>
      <c r="M60"/>
      <c r="N60"/>
      <c r="O60"/>
      <c r="P60"/>
      <c r="Q60"/>
      <c r="R60"/>
      <c r="S60"/>
    </row>
    <row r="61" spans="1:19" ht="15.75" thickBot="1" x14ac:dyDescent="0.3">
      <c r="A61"/>
      <c r="B61"/>
      <c r="C61" s="207" t="s">
        <v>100</v>
      </c>
      <c r="D61" s="200">
        <f>D57+D58+D59+D60</f>
        <v>92.283333333333331</v>
      </c>
      <c r="E61" s="200">
        <f>E57+E58+E59+E60</f>
        <v>30.1</v>
      </c>
      <c r="F61" s="200">
        <f>F57+F58+F59+F60</f>
        <v>9.8666666666666671</v>
      </c>
      <c r="G61" s="200">
        <f>G57+G58+G59+G60</f>
        <v>11.716666666666667</v>
      </c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/>
      <c r="B63"/>
      <c r="C63" s="81" t="s">
        <v>106</v>
      </c>
      <c r="D63" s="194">
        <f>D57+D58+D59+E57+E58+E59+F57+F58+F59+G57+G58+G59</f>
        <v>143.96666666666664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/>
      <c r="B64"/>
      <c r="C64" s="81" t="s">
        <v>107</v>
      </c>
      <c r="D64" s="195">
        <v>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 spans="1:19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</row>
    <row r="81" spans="1:19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</row>
    <row r="82" spans="1:19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 spans="1:19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  <row r="84" spans="1:19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</row>
    <row r="85" spans="1:19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 spans="1:19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 spans="1:19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 spans="1:19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 spans="1:19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 spans="1:19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 spans="1:19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 spans="1:19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93" spans="1:19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</row>
    <row r="94" spans="1:19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 spans="1:19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 spans="1:19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 spans="1:19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 spans="1:19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</row>
    <row r="99" spans="1:19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</row>
    <row r="100" spans="1:19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 spans="1:19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 spans="1:19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 spans="1:19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 spans="1:19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 spans="1:19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  <row r="106" spans="1:19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</row>
    <row r="107" spans="1:19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</row>
    <row r="108" spans="1:19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</row>
    <row r="109" spans="1:19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</row>
    <row r="110" spans="1:19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</row>
    <row r="111" spans="1:19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</row>
    <row r="112" spans="1:19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</row>
    <row r="113" spans="1:19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</row>
    <row r="114" spans="1:19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</row>
    <row r="115" spans="1:19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</row>
    <row r="116" spans="1:19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</row>
    <row r="117" spans="1:19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</row>
    <row r="118" spans="1:19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</row>
    <row r="119" spans="1:19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</row>
    <row r="120" spans="1:19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</row>
    <row r="121" spans="1:19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 spans="1:19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</row>
    <row r="123" spans="1:19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</row>
    <row r="124" spans="1:19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</row>
    <row r="125" spans="1:19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</row>
    <row r="126" spans="1:19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</row>
    <row r="127" spans="1:19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</row>
    <row r="128" spans="1:19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</row>
    <row r="129" spans="1:19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</row>
    <row r="130" spans="1:19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</row>
    <row r="131" spans="1:19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</row>
    <row r="132" spans="1:19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</row>
    <row r="133" spans="1:19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</row>
    <row r="134" spans="1:19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</row>
    <row r="135" spans="1:19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</row>
    <row r="136" spans="1:19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</row>
    <row r="137" spans="1:19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</row>
    <row r="138" spans="1:19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</row>
    <row r="139" spans="1:19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</row>
    <row r="140" spans="1:19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</row>
    <row r="141" spans="1:19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</row>
    <row r="142" spans="1:19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</row>
    <row r="143" spans="1:19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</row>
    <row r="144" spans="1:19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</row>
    <row r="145" spans="1:19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</row>
    <row r="146" spans="1:19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</row>
    <row r="147" spans="1:19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</row>
    <row r="148" spans="1:19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</row>
    <row r="149" spans="1:19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</row>
    <row r="150" spans="1:19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</row>
    <row r="151" spans="1:19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</row>
    <row r="152" spans="1:19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</row>
    <row r="153" spans="1:19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</row>
    <row r="154" spans="1:19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</row>
    <row r="155" spans="1:19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</row>
    <row r="156" spans="1:19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</row>
    <row r="157" spans="1:19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</row>
    <row r="158" spans="1:19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</row>
    <row r="159" spans="1:19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</row>
    <row r="160" spans="1:19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</row>
    <row r="161" spans="1:19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</row>
    <row r="162" spans="1:19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</row>
    <row r="163" spans="1:19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</row>
    <row r="164" spans="1:19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</row>
    <row r="165" spans="1:19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</row>
    <row r="166" spans="1:19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</row>
    <row r="167" spans="1:19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</row>
    <row r="168" spans="1:19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</row>
    <row r="169" spans="1:19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</row>
    <row r="170" spans="1:19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</row>
    <row r="171" spans="1:19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</row>
    <row r="172" spans="1:19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</row>
    <row r="173" spans="1:19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</row>
    <row r="174" spans="1:19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</row>
    <row r="175" spans="1:19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</row>
    <row r="176" spans="1:19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</row>
    <row r="177" spans="1:19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</row>
    <row r="178" spans="1:19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</row>
    <row r="179" spans="1:19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</row>
    <row r="180" spans="1:19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</row>
    <row r="181" spans="1:19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</row>
    <row r="182" spans="1:19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</row>
    <row r="183" spans="1:19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</row>
    <row r="184" spans="1:19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</row>
    <row r="185" spans="1:19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</row>
    <row r="186" spans="1:19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</row>
    <row r="187" spans="1:19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</row>
    <row r="188" spans="1:19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</row>
    <row r="189" spans="1:19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</row>
    <row r="190" spans="1:19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</row>
    <row r="191" spans="1:19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</row>
    <row r="192" spans="1:19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</row>
    <row r="193" spans="1:19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</row>
    <row r="194" spans="1:19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</row>
    <row r="195" spans="1:19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</row>
    <row r="196" spans="1:19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</row>
    <row r="197" spans="1:19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</row>
    <row r="198" spans="1:19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</row>
    <row r="199" spans="1:19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</row>
    <row r="200" spans="1:19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</row>
    <row r="201" spans="1:19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</row>
    <row r="202" spans="1:19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</row>
    <row r="203" spans="1:19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</row>
    <row r="204" spans="1:19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</row>
    <row r="205" spans="1:19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</row>
    <row r="206" spans="1:19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</row>
    <row r="207" spans="1:19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</row>
    <row r="208" spans="1:19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</row>
    <row r="209" spans="1:19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</row>
    <row r="210" spans="1:19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</row>
    <row r="211" spans="1:19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</row>
    <row r="212" spans="1:19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</row>
    <row r="213" spans="1:19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</row>
    <row r="214" spans="1:19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</row>
    <row r="215" spans="1:19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</row>
    <row r="216" spans="1:19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</row>
    <row r="217" spans="1:19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</row>
    <row r="218" spans="1:19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</row>
    <row r="219" spans="1:19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</row>
    <row r="220" spans="1:19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</row>
    <row r="221" spans="1:19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</row>
    <row r="222" spans="1:19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</row>
    <row r="223" spans="1:19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</row>
    <row r="224" spans="1:19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</row>
    <row r="225" spans="1:19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</row>
    <row r="226" spans="1:19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</row>
    <row r="227" spans="1:19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</row>
    <row r="228" spans="1:19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</row>
    <row r="229" spans="1:19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</row>
    <row r="230" spans="1:19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</row>
    <row r="231" spans="1:19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</row>
    <row r="232" spans="1:19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</row>
    <row r="233" spans="1:19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</row>
    <row r="234" spans="1:19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</row>
    <row r="235" spans="1:19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</row>
    <row r="236" spans="1:19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</row>
    <row r="237" spans="1:19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</row>
    <row r="238" spans="1:19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</row>
    <row r="239" spans="1:19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</row>
    <row r="240" spans="1:19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</row>
    <row r="241" spans="1:19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</row>
    <row r="242" spans="1:19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</row>
    <row r="243" spans="1:19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</row>
    <row r="244" spans="1:19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</row>
    <row r="245" spans="1:19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</row>
    <row r="246" spans="1:19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</row>
    <row r="247" spans="1:19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</row>
    <row r="248" spans="1:19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</row>
    <row r="249" spans="1:19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</row>
    <row r="250" spans="1:19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</row>
    <row r="251" spans="1:19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</row>
    <row r="252" spans="1:19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</row>
    <row r="253" spans="1:19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</row>
    <row r="254" spans="1:19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</row>
    <row r="255" spans="1:19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</row>
    <row r="256" spans="1:19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</row>
    <row r="257" spans="1:19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</row>
    <row r="258" spans="1:19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</row>
    <row r="259" spans="1:19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</row>
    <row r="260" spans="1:19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</row>
    <row r="261" spans="1:19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</row>
    <row r="262" spans="1:19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</row>
    <row r="263" spans="1:19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</row>
    <row r="264" spans="1:19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</row>
    <row r="265" spans="1:19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</row>
    <row r="266" spans="1:19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</row>
    <row r="267" spans="1:19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</row>
    <row r="268" spans="1:19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</row>
    <row r="269" spans="1:19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</row>
    <row r="270" spans="1:19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</row>
    <row r="271" spans="1:19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</row>
    <row r="272" spans="1:19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</row>
    <row r="273" spans="1:19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</row>
    <row r="274" spans="1:19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</row>
    <row r="275" spans="1:19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</row>
    <row r="276" spans="1:19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</row>
    <row r="277" spans="1:19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</row>
    <row r="278" spans="1:19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</row>
    <row r="279" spans="1:19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</row>
    <row r="280" spans="1:19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</row>
    <row r="281" spans="1:19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</row>
    <row r="282" spans="1:19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</row>
    <row r="283" spans="1:19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</row>
    <row r="284" spans="1:19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</row>
    <row r="285" spans="1:19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</row>
    <row r="286" spans="1:19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</row>
    <row r="287" spans="1:19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</row>
    <row r="288" spans="1:19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</row>
  </sheetData>
  <mergeCells count="13">
    <mergeCell ref="C54:G54"/>
    <mergeCell ref="B1:E1"/>
    <mergeCell ref="H1:M1"/>
    <mergeCell ref="N1:Q1"/>
    <mergeCell ref="A18:A19"/>
    <mergeCell ref="B23:E23"/>
    <mergeCell ref="N23:R23"/>
    <mergeCell ref="N26:R26"/>
    <mergeCell ref="B27:E27"/>
    <mergeCell ref="N27:R27"/>
    <mergeCell ref="A30:A31"/>
    <mergeCell ref="B32:E32"/>
    <mergeCell ref="N32:R32"/>
  </mergeCells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9"/>
  <sheetViews>
    <sheetView zoomScale="60" zoomScaleNormal="60" workbookViewId="0">
      <pane xSplit="1" topLeftCell="B1" activePane="topRight" state="frozen"/>
      <selection pane="topRight" activeCell="G36" sqref="G36"/>
    </sheetView>
  </sheetViews>
  <sheetFormatPr defaultRowHeight="15" x14ac:dyDescent="0.25"/>
  <cols>
    <col min="1" max="1" width="22.7109375" style="4" customWidth="1"/>
    <col min="2" max="2" width="28" style="8" customWidth="1"/>
    <col min="3" max="4" width="30.28515625" style="9" customWidth="1"/>
    <col min="5" max="5" width="22.42578125" style="10" customWidth="1"/>
    <col min="6" max="6" width="19" style="46" customWidth="1"/>
    <col min="7" max="7" width="17.140625" style="46" customWidth="1"/>
    <col min="8" max="8" width="11.5703125" style="8" bestFit="1" customWidth="1"/>
    <col min="9" max="9" width="16.7109375" style="9" customWidth="1"/>
    <col min="10" max="10" width="13.7109375" style="9" customWidth="1"/>
    <col min="11" max="12" width="9.85546875" style="25" customWidth="1"/>
    <col min="13" max="13" width="10.140625" style="10" bestFit="1" customWidth="1"/>
    <col min="14" max="14" width="9.85546875" style="8" bestFit="1" customWidth="1"/>
    <col min="15" max="15" width="10.140625" style="9" bestFit="1" customWidth="1"/>
    <col min="16" max="16" width="9.85546875" style="9" bestFit="1" customWidth="1"/>
    <col min="17" max="17" width="10.140625" style="10" bestFit="1" customWidth="1"/>
    <col min="18" max="19" width="10.140625" style="24" customWidth="1"/>
  </cols>
  <sheetData>
    <row r="1" spans="1:22" ht="16.5" thickTop="1" thickBot="1" x14ac:dyDescent="0.3">
      <c r="A1" s="89"/>
      <c r="B1" s="2127" t="s">
        <v>3</v>
      </c>
      <c r="C1" s="2128"/>
      <c r="D1" s="2128"/>
      <c r="E1" s="2129"/>
      <c r="F1" s="64"/>
      <c r="G1" s="64"/>
      <c r="H1" s="2127" t="s">
        <v>6</v>
      </c>
      <c r="I1" s="2128"/>
      <c r="J1" s="2128"/>
      <c r="K1" s="2130"/>
      <c r="L1" s="2130"/>
      <c r="M1" s="2129"/>
      <c r="N1" s="2131" t="s">
        <v>13</v>
      </c>
      <c r="O1" s="2132"/>
      <c r="P1" s="2132"/>
      <c r="Q1" s="2133"/>
      <c r="R1" s="64"/>
      <c r="S1" s="90"/>
      <c r="T1" s="30"/>
    </row>
    <row r="2" spans="1:22" ht="16.5" thickTop="1" thickBot="1" x14ac:dyDescent="0.3">
      <c r="A2" s="94" t="s">
        <v>0</v>
      </c>
      <c r="B2" s="95" t="s">
        <v>1</v>
      </c>
      <c r="C2" s="96" t="s">
        <v>4</v>
      </c>
      <c r="D2" s="96" t="s">
        <v>2</v>
      </c>
      <c r="E2" s="97" t="s">
        <v>5</v>
      </c>
      <c r="F2" s="98" t="s">
        <v>26</v>
      </c>
      <c r="G2" s="98" t="s">
        <v>19</v>
      </c>
      <c r="H2" s="99" t="s">
        <v>1</v>
      </c>
      <c r="I2" s="100" t="s">
        <v>4</v>
      </c>
      <c r="J2" s="100" t="s">
        <v>2</v>
      </c>
      <c r="K2" s="100" t="s">
        <v>5</v>
      </c>
      <c r="L2" s="101" t="s">
        <v>26</v>
      </c>
      <c r="M2" s="102" t="s">
        <v>19</v>
      </c>
      <c r="N2" s="95" t="s">
        <v>1</v>
      </c>
      <c r="O2" s="96" t="s">
        <v>4</v>
      </c>
      <c r="P2" s="96" t="s">
        <v>2</v>
      </c>
      <c r="Q2" s="103" t="s">
        <v>5</v>
      </c>
      <c r="R2" s="116" t="s">
        <v>19</v>
      </c>
      <c r="S2" s="104" t="s">
        <v>26</v>
      </c>
    </row>
    <row r="3" spans="1:22" ht="22.5" customHeight="1" thickTop="1" x14ac:dyDescent="0.25">
      <c r="A3" s="91">
        <v>44317</v>
      </c>
      <c r="B3" s="121"/>
      <c r="C3" s="122"/>
      <c r="D3" s="122"/>
      <c r="E3" s="123"/>
      <c r="F3" s="105"/>
      <c r="G3" s="51"/>
      <c r="H3" s="27"/>
      <c r="I3" s="28"/>
      <c r="J3" s="28"/>
      <c r="K3" s="28"/>
      <c r="L3" s="107"/>
      <c r="M3" s="29"/>
      <c r="N3" s="188"/>
      <c r="O3" s="247"/>
      <c r="P3" s="188"/>
      <c r="Q3" s="248"/>
      <c r="R3" s="249"/>
      <c r="S3" s="113"/>
      <c r="U3" s="2" t="s">
        <v>8</v>
      </c>
      <c r="V3" t="s">
        <v>10</v>
      </c>
    </row>
    <row r="4" spans="1:22" ht="22.5" customHeight="1" x14ac:dyDescent="0.25">
      <c r="A4" s="91">
        <v>44318</v>
      </c>
      <c r="B4" s="267"/>
      <c r="C4" s="125"/>
      <c r="D4" s="125"/>
      <c r="E4" s="126"/>
      <c r="F4" s="8"/>
      <c r="K4" s="9"/>
      <c r="L4" s="9"/>
      <c r="M4" s="26"/>
      <c r="N4" s="188"/>
      <c r="O4" s="250"/>
      <c r="P4" s="188"/>
      <c r="Q4" s="250"/>
      <c r="R4" s="251"/>
      <c r="S4" s="113"/>
      <c r="U4" s="245" t="s">
        <v>7</v>
      </c>
      <c r="V4" t="s">
        <v>11</v>
      </c>
    </row>
    <row r="5" spans="1:22" ht="36.75" customHeight="1" x14ac:dyDescent="0.25">
      <c r="A5" s="91">
        <v>44319</v>
      </c>
      <c r="B5" s="268"/>
      <c r="C5" s="215"/>
      <c r="D5" s="246" t="s">
        <v>131</v>
      </c>
      <c r="E5" s="216"/>
      <c r="F5" s="217"/>
      <c r="G5" s="218"/>
      <c r="H5" s="217"/>
      <c r="I5" s="219"/>
      <c r="J5" s="219">
        <v>85</v>
      </c>
      <c r="K5" s="219"/>
      <c r="L5" s="219"/>
      <c r="M5" s="220"/>
      <c r="N5" s="72"/>
      <c r="O5" s="252"/>
      <c r="P5" s="62" t="s">
        <v>7</v>
      </c>
      <c r="Q5" s="72"/>
      <c r="R5" s="251"/>
      <c r="S5" s="223"/>
      <c r="U5" s="3" t="s">
        <v>9</v>
      </c>
      <c r="V5" t="s">
        <v>12</v>
      </c>
    </row>
    <row r="6" spans="1:22" ht="24.75" customHeight="1" x14ac:dyDescent="0.25">
      <c r="A6" s="91">
        <v>44320</v>
      </c>
      <c r="B6" s="272" t="s">
        <v>137</v>
      </c>
      <c r="C6" s="215"/>
      <c r="D6" s="215"/>
      <c r="E6" s="224"/>
      <c r="F6" s="217"/>
      <c r="G6" s="218"/>
      <c r="H6" s="217">
        <v>10</v>
      </c>
      <c r="I6" s="219"/>
      <c r="J6" s="219"/>
      <c r="K6" s="219"/>
      <c r="L6" s="219"/>
      <c r="M6" s="220"/>
      <c r="N6" s="178" t="s">
        <v>9</v>
      </c>
      <c r="O6" s="188"/>
      <c r="P6" s="188"/>
      <c r="Q6" s="188"/>
      <c r="R6" s="188"/>
      <c r="S6" s="223"/>
      <c r="U6" s="181" t="s">
        <v>71</v>
      </c>
      <c r="V6" s="146" t="s">
        <v>51</v>
      </c>
    </row>
    <row r="7" spans="1:22" ht="18.75" customHeight="1" x14ac:dyDescent="0.25">
      <c r="A7" s="91">
        <v>44321</v>
      </c>
      <c r="B7" s="272" t="s">
        <v>137</v>
      </c>
      <c r="C7" s="215"/>
      <c r="D7" s="215"/>
      <c r="E7" s="261" t="s">
        <v>127</v>
      </c>
      <c r="F7" s="228"/>
      <c r="G7" s="229"/>
      <c r="H7" s="217">
        <v>10</v>
      </c>
      <c r="I7" s="219"/>
      <c r="J7" s="219"/>
      <c r="K7" s="219">
        <v>20</v>
      </c>
      <c r="L7" s="219"/>
      <c r="M7" s="220"/>
      <c r="N7" s="178" t="s">
        <v>9</v>
      </c>
      <c r="O7" s="188"/>
      <c r="P7" s="188"/>
      <c r="Q7" s="62" t="s">
        <v>7</v>
      </c>
      <c r="R7" s="188"/>
      <c r="S7" s="223"/>
      <c r="T7" s="30"/>
    </row>
    <row r="8" spans="1:22" ht="20.25" customHeight="1" x14ac:dyDescent="0.25">
      <c r="A8" s="91">
        <v>44322</v>
      </c>
      <c r="B8" s="269"/>
      <c r="C8" s="125"/>
      <c r="D8" s="125"/>
      <c r="E8" s="127"/>
      <c r="F8" s="22"/>
      <c r="G8" s="47"/>
      <c r="K8" s="9"/>
      <c r="L8" s="9"/>
      <c r="M8" s="26"/>
      <c r="N8" s="188"/>
      <c r="O8" s="250"/>
      <c r="P8" s="188"/>
      <c r="Q8" s="188"/>
      <c r="R8" s="253"/>
      <c r="S8" s="113"/>
      <c r="T8" s="30"/>
    </row>
    <row r="9" spans="1:22" ht="21" customHeight="1" x14ac:dyDescent="0.25">
      <c r="A9" s="2109">
        <v>44323</v>
      </c>
      <c r="B9" s="272" t="s">
        <v>137</v>
      </c>
      <c r="C9" s="125"/>
      <c r="D9" s="259" t="s">
        <v>45</v>
      </c>
      <c r="E9" s="177"/>
      <c r="F9" s="143"/>
      <c r="H9" s="8">
        <v>20</v>
      </c>
      <c r="J9" s="9">
        <v>360</v>
      </c>
      <c r="K9" s="9"/>
      <c r="L9" s="9"/>
      <c r="M9" s="26"/>
      <c r="N9" s="178" t="s">
        <v>9</v>
      </c>
      <c r="O9" s="252"/>
      <c r="P9" s="62" t="s">
        <v>7</v>
      </c>
      <c r="Q9" s="250"/>
      <c r="R9" s="253"/>
      <c r="S9" s="114"/>
      <c r="T9" s="30"/>
    </row>
    <row r="10" spans="1:22" ht="17.25" customHeight="1" x14ac:dyDescent="0.25">
      <c r="A10" s="2110"/>
      <c r="B10" s="270"/>
      <c r="C10" s="125"/>
      <c r="D10" s="259" t="s">
        <v>45</v>
      </c>
      <c r="E10" s="177"/>
      <c r="F10" s="8"/>
      <c r="J10" s="9">
        <v>360</v>
      </c>
      <c r="K10" s="9"/>
      <c r="L10" s="9"/>
      <c r="M10" s="26"/>
      <c r="N10" s="188"/>
      <c r="O10" s="252"/>
      <c r="P10" s="2" t="s">
        <v>8</v>
      </c>
      <c r="Q10" s="250"/>
      <c r="R10" s="253"/>
      <c r="S10" s="109"/>
    </row>
    <row r="11" spans="1:22" ht="18.75" customHeight="1" x14ac:dyDescent="0.25">
      <c r="A11" s="2109">
        <v>44324</v>
      </c>
      <c r="B11" s="270"/>
      <c r="C11" s="125"/>
      <c r="D11" s="259" t="s">
        <v>45</v>
      </c>
      <c r="E11" s="177"/>
      <c r="F11" s="153"/>
      <c r="G11" s="48"/>
      <c r="J11" s="9">
        <v>55</v>
      </c>
      <c r="K11" s="9"/>
      <c r="L11" s="9"/>
      <c r="M11" s="26"/>
      <c r="N11" s="188"/>
      <c r="O11" s="252"/>
      <c r="P11" s="62" t="s">
        <v>7</v>
      </c>
      <c r="Q11" s="250"/>
      <c r="R11" s="253"/>
      <c r="S11" s="114"/>
      <c r="T11" s="30"/>
    </row>
    <row r="12" spans="1:22" ht="15" customHeight="1" x14ac:dyDescent="0.25">
      <c r="A12" s="2160"/>
      <c r="B12" s="270"/>
      <c r="C12" s="125"/>
      <c r="D12" s="259" t="s">
        <v>45</v>
      </c>
      <c r="E12" s="177"/>
      <c r="F12" s="153"/>
      <c r="G12" s="48"/>
      <c r="J12" s="9">
        <v>55</v>
      </c>
      <c r="L12" s="9"/>
      <c r="M12" s="26"/>
      <c r="N12" s="188"/>
      <c r="O12" s="252"/>
      <c r="P12" s="2" t="s">
        <v>8</v>
      </c>
      <c r="Q12" s="250"/>
      <c r="R12" s="253"/>
      <c r="S12" s="114"/>
      <c r="T12" s="30"/>
    </row>
    <row r="13" spans="1:22" ht="59.25" customHeight="1" x14ac:dyDescent="0.25">
      <c r="A13" s="2160"/>
      <c r="B13" s="271"/>
      <c r="C13" s="125"/>
      <c r="D13" s="260" t="s">
        <v>132</v>
      </c>
      <c r="E13" s="177"/>
      <c r="F13" s="22"/>
      <c r="G13" s="48"/>
      <c r="J13" s="9">
        <v>19</v>
      </c>
      <c r="L13" s="9"/>
      <c r="M13" s="26"/>
      <c r="N13" s="188"/>
      <c r="O13" s="252"/>
      <c r="P13" s="141" t="s">
        <v>8</v>
      </c>
      <c r="Q13" s="188"/>
      <c r="R13" s="253"/>
      <c r="S13" s="109"/>
    </row>
    <row r="14" spans="1:22" ht="18.75" customHeight="1" x14ac:dyDescent="0.25">
      <c r="A14" s="2110"/>
      <c r="B14" s="270"/>
      <c r="C14" s="125"/>
      <c r="D14" s="259" t="s">
        <v>127</v>
      </c>
      <c r="E14" s="259" t="s">
        <v>127</v>
      </c>
      <c r="F14" s="22"/>
      <c r="G14" s="48"/>
      <c r="J14" s="9">
        <v>37</v>
      </c>
      <c r="K14" s="25">
        <v>33</v>
      </c>
      <c r="L14" s="9"/>
      <c r="M14" s="26"/>
      <c r="N14" s="188"/>
      <c r="O14" s="252"/>
      <c r="P14" s="62" t="s">
        <v>7</v>
      </c>
      <c r="Q14" s="62" t="s">
        <v>7</v>
      </c>
      <c r="R14" s="253"/>
      <c r="S14" s="109"/>
    </row>
    <row r="15" spans="1:22" ht="21" customHeight="1" x14ac:dyDescent="0.25">
      <c r="A15" s="91">
        <v>44325</v>
      </c>
      <c r="B15" s="269"/>
      <c r="C15" s="125"/>
      <c r="D15" s="125"/>
      <c r="E15" s="230"/>
      <c r="F15" s="8"/>
      <c r="L15" s="9"/>
      <c r="M15" s="26"/>
      <c r="N15" s="72"/>
      <c r="O15" s="252"/>
      <c r="P15" s="72"/>
      <c r="Q15" s="188"/>
      <c r="R15" s="253"/>
      <c r="S15" s="109"/>
    </row>
    <row r="16" spans="1:22" ht="45.75" customHeight="1" x14ac:dyDescent="0.25">
      <c r="A16" s="91">
        <v>44326</v>
      </c>
      <c r="B16" s="124"/>
      <c r="C16" s="125"/>
      <c r="D16" s="260" t="s">
        <v>135</v>
      </c>
      <c r="E16" s="126"/>
      <c r="F16" s="8"/>
      <c r="J16" s="9">
        <v>374</v>
      </c>
      <c r="N16" s="188"/>
      <c r="O16" s="188"/>
      <c r="P16" s="2" t="s">
        <v>8</v>
      </c>
      <c r="Q16" s="250"/>
      <c r="R16" s="253"/>
      <c r="S16" s="109"/>
    </row>
    <row r="17" spans="1:23" ht="20.25" customHeight="1" x14ac:dyDescent="0.25">
      <c r="A17" s="91">
        <v>44327</v>
      </c>
      <c r="B17" s="124"/>
      <c r="C17" s="125"/>
      <c r="D17" s="259" t="s">
        <v>127</v>
      </c>
      <c r="E17" s="259" t="s">
        <v>127</v>
      </c>
      <c r="F17" s="8"/>
      <c r="G17" s="26"/>
      <c r="H17" s="65"/>
      <c r="J17" s="9">
        <v>24</v>
      </c>
      <c r="K17" s="25">
        <v>40</v>
      </c>
      <c r="N17" s="262"/>
      <c r="O17" s="252"/>
      <c r="P17" s="265" t="s">
        <v>7</v>
      </c>
      <c r="Q17" s="265" t="s">
        <v>7</v>
      </c>
      <c r="R17" s="253"/>
      <c r="S17" s="115"/>
    </row>
    <row r="18" spans="1:23" ht="30" customHeight="1" x14ac:dyDescent="0.25">
      <c r="A18" s="91">
        <v>44328</v>
      </c>
      <c r="B18" s="2161" t="s">
        <v>136</v>
      </c>
      <c r="C18" s="2162"/>
      <c r="D18" s="2162"/>
      <c r="E18" s="2163"/>
      <c r="F18" s="8"/>
      <c r="H18" s="65">
        <v>199</v>
      </c>
      <c r="I18" s="9">
        <v>195</v>
      </c>
      <c r="J18" s="9">
        <v>204</v>
      </c>
      <c r="K18" s="25">
        <v>209</v>
      </c>
      <c r="N18" s="2140" t="s">
        <v>7</v>
      </c>
      <c r="O18" s="2141"/>
      <c r="P18" s="2141"/>
      <c r="Q18" s="2141"/>
      <c r="R18" s="2142"/>
      <c r="S18" s="115"/>
    </row>
    <row r="19" spans="1:23" ht="21" customHeight="1" x14ac:dyDescent="0.25">
      <c r="A19" s="91">
        <v>44329</v>
      </c>
      <c r="B19" s="279"/>
      <c r="C19" s="280"/>
      <c r="D19" s="272" t="s">
        <v>137</v>
      </c>
      <c r="E19" s="281"/>
      <c r="F19" s="217"/>
      <c r="G19" s="218"/>
      <c r="H19" s="276"/>
      <c r="I19" s="277"/>
      <c r="J19" s="264">
        <v>15</v>
      </c>
      <c r="K19" s="277"/>
      <c r="L19" s="277"/>
      <c r="M19" s="278"/>
      <c r="N19" s="255"/>
      <c r="O19" s="256"/>
      <c r="P19" s="178" t="s">
        <v>9</v>
      </c>
      <c r="Q19" s="256"/>
      <c r="R19" s="257"/>
      <c r="S19" s="235"/>
    </row>
    <row r="20" spans="1:23" ht="27.75" customHeight="1" x14ac:dyDescent="0.25">
      <c r="A20" s="91">
        <v>44330</v>
      </c>
      <c r="B20" s="124"/>
      <c r="C20" s="125"/>
      <c r="D20" s="272" t="s">
        <v>137</v>
      </c>
      <c r="E20" s="263" t="s">
        <v>113</v>
      </c>
      <c r="F20" s="8"/>
      <c r="J20" s="9">
        <v>15</v>
      </c>
      <c r="K20" s="25">
        <v>206</v>
      </c>
      <c r="N20" s="72"/>
      <c r="O20" s="252"/>
      <c r="P20" s="178" t="s">
        <v>9</v>
      </c>
      <c r="Q20" s="2" t="s">
        <v>8</v>
      </c>
      <c r="R20" s="253"/>
      <c r="S20" s="109"/>
    </row>
    <row r="21" spans="1:23" ht="15" customHeight="1" x14ac:dyDescent="0.25">
      <c r="A21" s="91">
        <v>44331</v>
      </c>
      <c r="B21" s="124"/>
      <c r="C21" s="125"/>
      <c r="D21" s="259" t="s">
        <v>115</v>
      </c>
      <c r="E21" s="183"/>
      <c r="F21" s="8"/>
      <c r="J21" s="156"/>
      <c r="K21" s="157">
        <v>1355</v>
      </c>
      <c r="L21" s="157"/>
      <c r="M21" s="160"/>
      <c r="N21" s="254"/>
      <c r="O21" s="252"/>
      <c r="P21" s="188"/>
      <c r="Q21" s="2" t="s">
        <v>8</v>
      </c>
      <c r="R21" s="253"/>
      <c r="S21" s="109"/>
    </row>
    <row r="22" spans="1:23" ht="15" customHeight="1" x14ac:dyDescent="0.25">
      <c r="A22" s="91">
        <v>44332</v>
      </c>
      <c r="B22" s="124"/>
      <c r="C22" s="125"/>
      <c r="D22" s="125"/>
      <c r="E22" s="126"/>
      <c r="F22" s="8"/>
      <c r="J22" s="156"/>
      <c r="K22" s="157"/>
      <c r="L22" s="157"/>
      <c r="M22" s="160"/>
      <c r="N22" s="188"/>
      <c r="O22" s="252"/>
      <c r="P22" s="252"/>
      <c r="Q22" s="250"/>
      <c r="R22" s="253"/>
      <c r="S22" s="109"/>
    </row>
    <row r="23" spans="1:23" ht="15" customHeight="1" x14ac:dyDescent="0.25">
      <c r="A23" s="2109">
        <v>44333</v>
      </c>
      <c r="B23" s="272" t="s">
        <v>137</v>
      </c>
      <c r="C23" s="210"/>
      <c r="D23" s="210"/>
      <c r="E23" s="177"/>
      <c r="F23" s="8"/>
      <c r="H23" s="8">
        <v>15</v>
      </c>
      <c r="J23" s="156"/>
      <c r="K23" s="157"/>
      <c r="L23" s="157"/>
      <c r="M23" s="160"/>
      <c r="N23" s="178" t="s">
        <v>9</v>
      </c>
      <c r="O23" s="256"/>
      <c r="P23" s="256"/>
      <c r="Q23" s="256"/>
      <c r="R23" s="257"/>
      <c r="S23" s="109"/>
    </row>
    <row r="24" spans="1:23" ht="15" customHeight="1" x14ac:dyDescent="0.25">
      <c r="A24" s="2110"/>
      <c r="B24" s="272" t="s">
        <v>138</v>
      </c>
      <c r="C24" s="125"/>
      <c r="D24" s="125"/>
      <c r="E24" s="127"/>
      <c r="F24" s="8"/>
      <c r="H24" s="8">
        <v>10</v>
      </c>
      <c r="J24" s="156"/>
      <c r="K24" s="157"/>
      <c r="L24" s="157"/>
      <c r="M24" s="160"/>
      <c r="N24" s="265" t="s">
        <v>7</v>
      </c>
      <c r="O24" s="252"/>
      <c r="P24" s="252"/>
      <c r="Q24" s="250"/>
      <c r="R24" s="253"/>
      <c r="S24" s="109"/>
    </row>
    <row r="25" spans="1:23" x14ac:dyDescent="0.25">
      <c r="A25" s="91">
        <v>44334</v>
      </c>
      <c r="B25" s="124"/>
      <c r="C25" s="125"/>
      <c r="D25" s="129"/>
      <c r="E25" s="126"/>
      <c r="F25" s="8"/>
      <c r="J25" s="156"/>
      <c r="K25" s="157"/>
      <c r="L25" s="157"/>
      <c r="M25" s="160"/>
      <c r="N25" s="188"/>
      <c r="O25" s="252"/>
      <c r="P25" s="252"/>
      <c r="Q25" s="250"/>
      <c r="R25" s="253"/>
      <c r="S25" s="109"/>
    </row>
    <row r="26" spans="1:23" x14ac:dyDescent="0.25">
      <c r="A26" s="91">
        <v>44335</v>
      </c>
      <c r="B26" s="124"/>
      <c r="C26" s="129"/>
      <c r="D26" s="124"/>
      <c r="E26" s="124"/>
      <c r="F26" s="8"/>
      <c r="J26" s="156"/>
      <c r="K26" s="157"/>
      <c r="L26" s="157"/>
      <c r="M26" s="160"/>
      <c r="N26" s="273"/>
      <c r="O26" s="274"/>
      <c r="P26" s="274"/>
      <c r="Q26" s="274"/>
      <c r="R26" s="275"/>
      <c r="S26" s="109"/>
    </row>
    <row r="27" spans="1:23" ht="15" customHeight="1" x14ac:dyDescent="0.25">
      <c r="A27" s="91">
        <v>44336</v>
      </c>
      <c r="B27" s="272" t="s">
        <v>137</v>
      </c>
      <c r="C27" s="210"/>
      <c r="D27" s="210"/>
      <c r="E27" s="177"/>
      <c r="F27" s="8"/>
      <c r="H27" s="8">
        <v>15</v>
      </c>
      <c r="J27" s="156"/>
      <c r="K27" s="157"/>
      <c r="L27" s="157"/>
      <c r="M27" s="160"/>
      <c r="N27" s="178" t="s">
        <v>9</v>
      </c>
      <c r="O27" s="274"/>
      <c r="P27" s="274"/>
      <c r="Q27" s="274"/>
      <c r="R27" s="275"/>
      <c r="S27" s="109"/>
    </row>
    <row r="28" spans="1:23" ht="15" customHeight="1" x14ac:dyDescent="0.25">
      <c r="A28" s="2109">
        <v>44337</v>
      </c>
      <c r="B28" s="272" t="s">
        <v>137</v>
      </c>
      <c r="C28" s="129"/>
      <c r="D28" s="129"/>
      <c r="E28" s="126"/>
      <c r="F28" s="8"/>
      <c r="H28" s="8">
        <v>15</v>
      </c>
      <c r="M28" s="160"/>
      <c r="N28" s="178" t="s">
        <v>9</v>
      </c>
      <c r="O28" s="252"/>
      <c r="P28" s="72"/>
      <c r="Q28" s="250"/>
      <c r="R28" s="253"/>
      <c r="S28" s="109"/>
      <c r="V28" s="20"/>
      <c r="W28" s="20"/>
    </row>
    <row r="29" spans="1:23" ht="15" customHeight="1" x14ac:dyDescent="0.25">
      <c r="A29" s="2110"/>
      <c r="B29" s="2157" t="s">
        <v>145</v>
      </c>
      <c r="C29" s="2158"/>
      <c r="D29" s="2158"/>
      <c r="E29" s="2159"/>
      <c r="F29" s="8"/>
      <c r="H29" s="8">
        <v>162</v>
      </c>
      <c r="I29" s="9">
        <v>126</v>
      </c>
      <c r="J29" s="9">
        <v>125</v>
      </c>
      <c r="K29" s="25">
        <v>120</v>
      </c>
      <c r="M29" s="160"/>
      <c r="N29" s="2140" t="s">
        <v>7</v>
      </c>
      <c r="O29" s="2164"/>
      <c r="P29" s="2164"/>
      <c r="Q29" s="2164"/>
      <c r="R29" s="2142"/>
      <c r="S29" s="109"/>
    </row>
    <row r="30" spans="1:23" ht="19.5" customHeight="1" x14ac:dyDescent="0.25">
      <c r="A30" s="2109">
        <v>44338</v>
      </c>
      <c r="B30" s="272" t="s">
        <v>137</v>
      </c>
      <c r="C30" s="129"/>
      <c r="D30" s="129"/>
      <c r="E30" s="244"/>
      <c r="F30" s="8"/>
      <c r="H30" s="8">
        <v>55</v>
      </c>
      <c r="M30" s="160"/>
      <c r="N30" s="178" t="s">
        <v>9</v>
      </c>
      <c r="O30" s="72"/>
      <c r="P30" s="188"/>
      <c r="Q30" s="250"/>
      <c r="R30" s="251"/>
      <c r="S30" s="109"/>
    </row>
    <row r="31" spans="1:23" ht="15" customHeight="1" x14ac:dyDescent="0.25">
      <c r="A31" s="2110"/>
      <c r="B31" s="282" t="s">
        <v>139</v>
      </c>
      <c r="C31" s="124"/>
      <c r="D31" s="124"/>
      <c r="E31" s="124"/>
      <c r="F31" s="8"/>
      <c r="H31" s="8">
        <v>48</v>
      </c>
      <c r="M31" s="160"/>
      <c r="N31" s="2" t="s">
        <v>8</v>
      </c>
      <c r="O31" s="188"/>
      <c r="P31" s="72"/>
      <c r="Q31" s="188"/>
      <c r="R31" s="251"/>
      <c r="S31" s="109"/>
    </row>
    <row r="32" spans="1:23" ht="15" customHeight="1" x14ac:dyDescent="0.25">
      <c r="A32" s="91">
        <v>44339</v>
      </c>
      <c r="B32" s="176"/>
      <c r="C32" s="210"/>
      <c r="D32" s="210"/>
      <c r="E32" s="272" t="s">
        <v>137</v>
      </c>
      <c r="F32" s="22"/>
      <c r="K32" s="25">
        <v>35</v>
      </c>
      <c r="N32" s="255"/>
      <c r="O32" s="256"/>
      <c r="P32" s="256"/>
      <c r="Q32" s="178" t="s">
        <v>9</v>
      </c>
      <c r="R32" s="257"/>
      <c r="S32" s="109"/>
    </row>
    <row r="33" spans="1:19" ht="24.75" customHeight="1" x14ac:dyDescent="0.25">
      <c r="A33" s="91">
        <v>44340</v>
      </c>
      <c r="B33" s="272" t="s">
        <v>137</v>
      </c>
      <c r="C33" s="129"/>
      <c r="D33" s="272" t="s">
        <v>137</v>
      </c>
      <c r="E33" s="125"/>
      <c r="F33" s="106"/>
      <c r="H33" s="8">
        <v>35</v>
      </c>
      <c r="I33" s="21"/>
      <c r="J33" s="9">
        <v>45</v>
      </c>
      <c r="N33" s="178" t="s">
        <v>9</v>
      </c>
      <c r="O33" s="188"/>
      <c r="P33" s="178" t="s">
        <v>9</v>
      </c>
      <c r="Q33" s="72"/>
      <c r="R33" s="188"/>
      <c r="S33" s="109"/>
    </row>
    <row r="34" spans="1:19" ht="18.75" x14ac:dyDescent="0.25">
      <c r="A34" s="2109">
        <v>44341</v>
      </c>
      <c r="B34" s="282" t="s">
        <v>96</v>
      </c>
      <c r="C34" s="129"/>
      <c r="D34" s="129"/>
      <c r="E34" s="126"/>
      <c r="F34" s="22"/>
      <c r="H34" s="8">
        <v>155</v>
      </c>
      <c r="N34" s="265" t="s">
        <v>7</v>
      </c>
      <c r="O34" s="252"/>
      <c r="P34" s="72"/>
      <c r="Q34" s="250"/>
      <c r="R34" s="251"/>
      <c r="S34" s="109"/>
    </row>
    <row r="35" spans="1:19" ht="15" customHeight="1" x14ac:dyDescent="0.25">
      <c r="A35" s="2110"/>
      <c r="B35" s="282" t="s">
        <v>137</v>
      </c>
      <c r="C35" s="210"/>
      <c r="D35" s="282" t="s">
        <v>137</v>
      </c>
      <c r="E35" s="177"/>
      <c r="F35" s="22"/>
      <c r="H35" s="8">
        <v>10</v>
      </c>
      <c r="J35" s="9">
        <v>52</v>
      </c>
      <c r="N35" s="178" t="s">
        <v>9</v>
      </c>
      <c r="O35" s="256"/>
      <c r="P35" s="178" t="s">
        <v>9</v>
      </c>
      <c r="Q35" s="72"/>
      <c r="R35" s="257"/>
      <c r="S35" s="109"/>
    </row>
    <row r="36" spans="1:19" ht="15" customHeight="1" x14ac:dyDescent="0.25">
      <c r="A36" s="2109">
        <v>44342</v>
      </c>
      <c r="B36" s="282" t="s">
        <v>140</v>
      </c>
      <c r="C36" s="210"/>
      <c r="D36" s="284"/>
      <c r="E36" s="177"/>
      <c r="F36" s="22"/>
      <c r="H36" s="8">
        <v>10</v>
      </c>
      <c r="N36" s="2" t="s">
        <v>8</v>
      </c>
      <c r="O36" s="256"/>
      <c r="P36" s="256"/>
      <c r="Q36" s="72"/>
      <c r="R36" s="257"/>
      <c r="S36" s="109"/>
    </row>
    <row r="37" spans="1:19" ht="18.75" x14ac:dyDescent="0.25">
      <c r="A37" s="2110"/>
      <c r="B37" s="282" t="s">
        <v>137</v>
      </c>
      <c r="C37" s="125"/>
      <c r="D37" s="282" t="s">
        <v>137</v>
      </c>
      <c r="E37" s="127"/>
      <c r="F37" s="22"/>
      <c r="H37" s="8">
        <v>50</v>
      </c>
      <c r="J37" s="9">
        <v>20</v>
      </c>
      <c r="N37" s="178" t="s">
        <v>9</v>
      </c>
      <c r="O37" s="252"/>
      <c r="P37" s="178" t="s">
        <v>9</v>
      </c>
      <c r="Q37" s="250"/>
      <c r="R37" s="251"/>
      <c r="S37" s="109"/>
    </row>
    <row r="38" spans="1:19" ht="15" customHeight="1" x14ac:dyDescent="0.25">
      <c r="A38" s="91">
        <v>44343</v>
      </c>
      <c r="B38" s="2148" t="s">
        <v>72</v>
      </c>
      <c r="C38" s="2149"/>
      <c r="D38" s="2149"/>
      <c r="E38" s="2150"/>
      <c r="F38" s="8"/>
      <c r="H38" s="8">
        <v>528</v>
      </c>
      <c r="I38" s="9">
        <v>497</v>
      </c>
      <c r="J38" s="9">
        <v>535</v>
      </c>
      <c r="K38" s="25">
        <v>514</v>
      </c>
      <c r="N38" s="2154" t="s">
        <v>71</v>
      </c>
      <c r="O38" s="2155"/>
      <c r="P38" s="2155"/>
      <c r="Q38" s="2155"/>
      <c r="R38" s="2156"/>
      <c r="S38" s="109"/>
    </row>
    <row r="39" spans="1:19" ht="15" customHeight="1" x14ac:dyDescent="0.25">
      <c r="A39" s="91">
        <v>44344</v>
      </c>
      <c r="B39" s="124"/>
      <c r="C39" s="125"/>
      <c r="D39" s="125"/>
      <c r="E39" s="126"/>
      <c r="F39" s="8"/>
      <c r="N39" s="72"/>
      <c r="O39" s="252"/>
      <c r="P39" s="252"/>
      <c r="Q39" s="250"/>
      <c r="R39" s="258"/>
      <c r="S39" s="87"/>
    </row>
    <row r="40" spans="1:19" ht="15" customHeight="1" x14ac:dyDescent="0.25">
      <c r="A40" s="2109">
        <v>44345</v>
      </c>
      <c r="B40" s="124"/>
      <c r="C40" s="259" t="s">
        <v>142</v>
      </c>
      <c r="D40" s="259" t="s">
        <v>42</v>
      </c>
      <c r="E40" s="259" t="s">
        <v>42</v>
      </c>
      <c r="F40" s="8"/>
      <c r="I40" s="9">
        <v>457</v>
      </c>
      <c r="J40" s="9">
        <v>40</v>
      </c>
      <c r="K40" s="25">
        <v>15</v>
      </c>
      <c r="N40" s="82"/>
      <c r="O40" s="2" t="s">
        <v>8</v>
      </c>
      <c r="P40" s="266" t="s">
        <v>7</v>
      </c>
      <c r="Q40" s="266" t="s">
        <v>7</v>
      </c>
      <c r="R40" s="81"/>
      <c r="S40" s="87"/>
    </row>
    <row r="41" spans="1:19" ht="15" customHeight="1" x14ac:dyDescent="0.25">
      <c r="A41" s="2110"/>
      <c r="B41" s="22"/>
      <c r="D41" s="282" t="s">
        <v>137</v>
      </c>
      <c r="F41" s="8"/>
      <c r="G41" s="48"/>
      <c r="J41" s="9">
        <v>50</v>
      </c>
      <c r="N41" s="79"/>
      <c r="O41" s="83"/>
      <c r="P41" s="178" t="s">
        <v>9</v>
      </c>
      <c r="Q41" s="42"/>
      <c r="R41" s="79"/>
      <c r="S41" s="87"/>
    </row>
    <row r="42" spans="1:19" ht="15" customHeight="1" x14ac:dyDescent="0.25">
      <c r="A42" s="2109">
        <v>44346</v>
      </c>
      <c r="B42" s="22"/>
      <c r="C42" s="259" t="s">
        <v>42</v>
      </c>
      <c r="D42" s="282" t="s">
        <v>137</v>
      </c>
      <c r="E42" s="282" t="s">
        <v>137</v>
      </c>
      <c r="F42" s="8"/>
      <c r="G42" s="48"/>
      <c r="I42" s="9">
        <v>15</v>
      </c>
      <c r="J42" s="9">
        <v>10</v>
      </c>
      <c r="K42" s="25">
        <v>10</v>
      </c>
      <c r="N42" s="286"/>
      <c r="O42" s="283" t="s">
        <v>7</v>
      </c>
      <c r="P42" s="178" t="s">
        <v>9</v>
      </c>
      <c r="Q42" s="178" t="s">
        <v>9</v>
      </c>
      <c r="R42" s="286"/>
      <c r="S42" s="87"/>
    </row>
    <row r="43" spans="1:19" ht="15" customHeight="1" x14ac:dyDescent="0.25">
      <c r="A43" s="2110"/>
      <c r="D43" s="125"/>
      <c r="F43" s="8"/>
      <c r="N43" s="82"/>
      <c r="O43" s="83"/>
      <c r="P43" s="83"/>
      <c r="Q43" s="42"/>
      <c r="R43" s="112"/>
      <c r="S43" s="87"/>
    </row>
    <row r="44" spans="1:19" ht="15" customHeight="1" x14ac:dyDescent="0.25">
      <c r="A44" s="91">
        <v>44347</v>
      </c>
      <c r="B44" s="2148" t="s">
        <v>144</v>
      </c>
      <c r="C44" s="2149"/>
      <c r="D44" s="2149"/>
      <c r="E44" s="2150"/>
      <c r="F44" s="8"/>
      <c r="H44" s="8">
        <v>93</v>
      </c>
      <c r="I44" s="9">
        <v>92</v>
      </c>
      <c r="J44" s="9">
        <v>107</v>
      </c>
      <c r="K44" s="25">
        <v>96</v>
      </c>
      <c r="N44" s="2151" t="s">
        <v>7</v>
      </c>
      <c r="O44" s="2152"/>
      <c r="P44" s="2152"/>
      <c r="Q44" s="2153"/>
      <c r="R44" s="81"/>
      <c r="S44" s="87"/>
    </row>
    <row r="45" spans="1:19" ht="15" customHeight="1" x14ac:dyDescent="0.25">
      <c r="A45" s="91"/>
      <c r="F45" s="8"/>
      <c r="G45" s="48"/>
      <c r="N45" s="82"/>
      <c r="O45" s="83"/>
      <c r="P45" s="83"/>
      <c r="Q45" s="42"/>
      <c r="R45" s="79"/>
      <c r="S45" s="87"/>
    </row>
    <row r="46" spans="1:19" ht="15.75" thickBot="1" x14ac:dyDescent="0.3">
      <c r="A46" s="36" t="s">
        <v>20</v>
      </c>
      <c r="B46" s="37"/>
      <c r="C46" s="38"/>
      <c r="D46" s="38"/>
      <c r="E46" s="40"/>
      <c r="F46" s="37">
        <f>SUM(F3:F45)</f>
        <v>0</v>
      </c>
      <c r="G46" s="49"/>
      <c r="H46" s="37">
        <f t="shared" ref="H46:M46" si="0">SUM(H3:H45)</f>
        <v>1440</v>
      </c>
      <c r="I46" s="38">
        <f t="shared" si="0"/>
        <v>1382</v>
      </c>
      <c r="J46" s="38">
        <f t="shared" si="0"/>
        <v>2587</v>
      </c>
      <c r="K46" s="39">
        <f t="shared" si="0"/>
        <v>2653</v>
      </c>
      <c r="L46" s="39">
        <f t="shared" si="0"/>
        <v>0</v>
      </c>
      <c r="M46" s="40">
        <f t="shared" si="0"/>
        <v>0</v>
      </c>
      <c r="N46" s="37"/>
      <c r="O46" s="38"/>
      <c r="P46" s="38"/>
      <c r="Q46" s="39"/>
      <c r="R46" s="86"/>
      <c r="S46" s="88"/>
    </row>
    <row r="47" spans="1:19" s="30" customFormat="1" ht="15.75" thickBot="1" x14ac:dyDescent="0.3">
      <c r="A47" s="36" t="s">
        <v>21</v>
      </c>
      <c r="B47" s="24"/>
      <c r="C47" s="24"/>
      <c r="D47" s="24"/>
      <c r="E47" s="24"/>
      <c r="F47" s="24">
        <f>F46/60</f>
        <v>0</v>
      </c>
      <c r="G47" s="24"/>
      <c r="H47" s="41">
        <f t="shared" ref="H47:M47" si="1">H46/60</f>
        <v>24</v>
      </c>
      <c r="I47" s="41">
        <f t="shared" si="1"/>
        <v>23.033333333333335</v>
      </c>
      <c r="J47" s="41">
        <f t="shared" si="1"/>
        <v>43.116666666666667</v>
      </c>
      <c r="K47" s="41">
        <f t="shared" si="1"/>
        <v>44.216666666666669</v>
      </c>
      <c r="L47" s="41">
        <f t="shared" si="1"/>
        <v>0</v>
      </c>
      <c r="M47" s="41">
        <f t="shared" si="1"/>
        <v>0</v>
      </c>
      <c r="N47" s="24"/>
      <c r="O47" s="24"/>
      <c r="P47" s="24"/>
      <c r="Q47" s="24"/>
      <c r="R47" s="24"/>
      <c r="S47" s="24"/>
    </row>
    <row r="48" spans="1:19" s="30" customFormat="1" x14ac:dyDescent="0.25">
      <c r="A48" s="24" t="s">
        <v>41</v>
      </c>
      <c r="B48" s="24"/>
      <c r="C48" s="24"/>
      <c r="D48" s="24"/>
      <c r="E48" s="24"/>
      <c r="F48" s="24"/>
      <c r="G48" s="24"/>
      <c r="H48" s="189">
        <f>(H31+H36)/60</f>
        <v>0.96666666666666667</v>
      </c>
      <c r="I48" s="189">
        <f>(I40)/60</f>
        <v>7.6166666666666663</v>
      </c>
      <c r="J48" s="189">
        <f>(J10+J12+J13+J16)/60</f>
        <v>13.466666666666667</v>
      </c>
      <c r="K48" s="189">
        <f>(K20+K21)/60</f>
        <v>26.016666666666666</v>
      </c>
      <c r="L48" s="76">
        <f t="shared" ref="L48:M50" si="2">L16/24</f>
        <v>0</v>
      </c>
      <c r="M48" s="76">
        <f t="shared" si="2"/>
        <v>0</v>
      </c>
      <c r="N48" s="24"/>
      <c r="O48" s="24"/>
      <c r="P48" s="24"/>
      <c r="Q48" s="24"/>
      <c r="R48" s="24"/>
      <c r="S48" s="24"/>
    </row>
    <row r="49" spans="1:19" s="30" customFormat="1" x14ac:dyDescent="0.25">
      <c r="A49" s="24" t="s">
        <v>42</v>
      </c>
      <c r="B49" s="24"/>
      <c r="C49" s="24"/>
      <c r="D49" s="24"/>
      <c r="E49" s="24"/>
      <c r="F49" s="24"/>
      <c r="G49" s="24"/>
      <c r="H49" s="189">
        <f>(H18+H24+H29+H34+H44)/60</f>
        <v>10.316666666666666</v>
      </c>
      <c r="I49" s="189">
        <f>(I18+I29+I42+I44)/60</f>
        <v>7.1333333333333337</v>
      </c>
      <c r="J49" s="189">
        <f>(J5+J9+J11+J14+J17+J18+J29+J40+J44)/60</f>
        <v>17.283333333333335</v>
      </c>
      <c r="K49" s="189">
        <f>(K7+K14+K17+K18+K29+K40+K44)/60</f>
        <v>8.8833333333333329</v>
      </c>
      <c r="L49" s="76">
        <f t="shared" si="2"/>
        <v>0</v>
      </c>
      <c r="M49" s="76">
        <f t="shared" si="2"/>
        <v>0</v>
      </c>
      <c r="N49" s="24"/>
      <c r="O49" s="24"/>
      <c r="P49" s="24"/>
      <c r="Q49" s="24"/>
      <c r="R49" s="24"/>
      <c r="S49" s="24"/>
    </row>
    <row r="50" spans="1:19" s="30" customFormat="1" x14ac:dyDescent="0.25">
      <c r="A50" s="24" t="s">
        <v>43</v>
      </c>
      <c r="B50" s="24"/>
      <c r="C50" s="24"/>
      <c r="D50" s="24"/>
      <c r="E50" s="24"/>
      <c r="F50" s="24"/>
      <c r="G50" s="24"/>
      <c r="H50" s="189">
        <f>(H6+H7+H9+H23+H27+H28+H33+H35+H37+H30)/60</f>
        <v>3.9166666666666665</v>
      </c>
      <c r="I50" s="189">
        <v>0</v>
      </c>
      <c r="J50" s="189">
        <f>(J19+J20+J33+J35+J37+J41+J42)/60</f>
        <v>3.45</v>
      </c>
      <c r="K50" s="189">
        <f>(K32+K42)/60</f>
        <v>0.75</v>
      </c>
      <c r="L50" s="76">
        <f t="shared" si="2"/>
        <v>0</v>
      </c>
      <c r="M50" s="76">
        <f t="shared" si="2"/>
        <v>0</v>
      </c>
      <c r="N50" s="24"/>
      <c r="O50" s="24"/>
      <c r="P50" s="24"/>
      <c r="Q50" s="24"/>
      <c r="R50" s="24"/>
      <c r="S50" s="24"/>
    </row>
    <row r="51" spans="1:19" x14ac:dyDescent="0.25">
      <c r="A51" s="81" t="s">
        <v>141</v>
      </c>
      <c r="B51"/>
      <c r="C51"/>
      <c r="D51"/>
      <c r="E51"/>
      <c r="F51"/>
      <c r="G51"/>
      <c r="H51" s="189">
        <f>(H38)/60</f>
        <v>8.8000000000000007</v>
      </c>
      <c r="I51" s="189">
        <f>(I38)/60</f>
        <v>8.2833333333333332</v>
      </c>
      <c r="J51" s="189">
        <f>(J38)/60</f>
        <v>8.9166666666666661</v>
      </c>
      <c r="K51" s="189">
        <f>K38/60</f>
        <v>8.5666666666666664</v>
      </c>
      <c r="L51"/>
      <c r="M51"/>
      <c r="N51"/>
      <c r="O51"/>
      <c r="P51"/>
      <c r="Q51"/>
      <c r="R51"/>
      <c r="S51"/>
    </row>
    <row r="52" spans="1:19" x14ac:dyDescent="0.25">
      <c r="A52" s="81"/>
      <c r="B52"/>
      <c r="C52"/>
      <c r="D52"/>
      <c r="E52"/>
      <c r="F52"/>
      <c r="G52"/>
      <c r="H52"/>
      <c r="I52" s="24"/>
      <c r="J52" s="30"/>
      <c r="K52"/>
      <c r="L52"/>
      <c r="M52"/>
      <c r="N52"/>
      <c r="O52"/>
      <c r="P52"/>
      <c r="Q52"/>
      <c r="R52"/>
      <c r="S52"/>
    </row>
    <row r="53" spans="1:19" x14ac:dyDescent="0.25">
      <c r="A53" s="24"/>
      <c r="B53"/>
      <c r="C53"/>
      <c r="D53"/>
      <c r="E53"/>
      <c r="F53"/>
      <c r="G53"/>
      <c r="H53"/>
      <c r="I53"/>
      <c r="J53"/>
      <c r="K53" s="30"/>
      <c r="L53"/>
      <c r="M53"/>
      <c r="N53"/>
      <c r="O53"/>
      <c r="P53"/>
      <c r="Q53"/>
      <c r="R53"/>
      <c r="S53"/>
    </row>
    <row r="54" spans="1:19" x14ac:dyDescent="0.25">
      <c r="A54" s="2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4"/>
      <c r="B55"/>
      <c r="C55"/>
      <c r="D55"/>
      <c r="E55" s="144"/>
      <c r="F55" s="144"/>
      <c r="G55" s="20"/>
      <c r="H55" s="20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B56"/>
      <c r="C56" s="2134" t="s">
        <v>133</v>
      </c>
      <c r="D56" s="2135"/>
      <c r="E56" s="2135"/>
      <c r="F56" s="2135"/>
      <c r="G56" s="2136"/>
      <c r="H56"/>
      <c r="I56"/>
      <c r="J56"/>
      <c r="K56"/>
      <c r="L56"/>
      <c r="M56"/>
      <c r="N56"/>
      <c r="O56"/>
      <c r="P56"/>
      <c r="Q56"/>
      <c r="R56"/>
      <c r="S56"/>
    </row>
    <row r="57" spans="1:19" ht="15.75" thickBot="1" x14ac:dyDescent="0.3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ht="15.75" thickBot="1" x14ac:dyDescent="0.3">
      <c r="B58"/>
      <c r="C58" s="196"/>
      <c r="D58" s="196" t="s">
        <v>1</v>
      </c>
      <c r="E58" s="201" t="s">
        <v>101</v>
      </c>
      <c r="F58" s="201" t="s">
        <v>102</v>
      </c>
      <c r="G58" s="201" t="s">
        <v>103</v>
      </c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B59"/>
      <c r="C59" s="204" t="s">
        <v>108</v>
      </c>
      <c r="D59" s="197">
        <f>H48</f>
        <v>0.96666666666666667</v>
      </c>
      <c r="E59" s="197">
        <f t="shared" ref="E59:F62" si="3">J48</f>
        <v>13.466666666666667</v>
      </c>
      <c r="F59" s="197">
        <f t="shared" si="3"/>
        <v>26.016666666666666</v>
      </c>
      <c r="G59" s="285">
        <f>I48</f>
        <v>7.6166666666666663</v>
      </c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81"/>
      <c r="B60"/>
      <c r="C60" s="205" t="s">
        <v>109</v>
      </c>
      <c r="D60" s="198">
        <f>H49</f>
        <v>10.316666666666666</v>
      </c>
      <c r="E60" s="198">
        <f t="shared" si="3"/>
        <v>17.283333333333335</v>
      </c>
      <c r="F60" s="198">
        <f t="shared" si="3"/>
        <v>8.8833333333333329</v>
      </c>
      <c r="G60" s="242">
        <f>I49</f>
        <v>7.1333333333333337</v>
      </c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/>
      <c r="B61"/>
      <c r="C61" s="205" t="s">
        <v>110</v>
      </c>
      <c r="D61" s="198">
        <f>H50</f>
        <v>3.9166666666666665</v>
      </c>
      <c r="E61" s="198">
        <f t="shared" si="3"/>
        <v>3.45</v>
      </c>
      <c r="F61" s="198">
        <f t="shared" si="3"/>
        <v>0.75</v>
      </c>
      <c r="G61" s="242">
        <f>I50</f>
        <v>0</v>
      </c>
      <c r="H61"/>
      <c r="I61"/>
      <c r="J61"/>
      <c r="K61"/>
      <c r="L61"/>
      <c r="M61"/>
      <c r="N61"/>
      <c r="O61"/>
      <c r="P61"/>
      <c r="Q61"/>
      <c r="R61"/>
      <c r="S61"/>
    </row>
    <row r="62" spans="1:19" ht="15.75" thickBot="1" x14ac:dyDescent="0.3">
      <c r="A62"/>
      <c r="B62"/>
      <c r="C62" s="206" t="s">
        <v>111</v>
      </c>
      <c r="D62" s="199">
        <f>H51</f>
        <v>8.8000000000000007</v>
      </c>
      <c r="E62" s="199">
        <f t="shared" si="3"/>
        <v>8.9166666666666661</v>
      </c>
      <c r="F62" s="199">
        <f t="shared" si="3"/>
        <v>8.5666666666666664</v>
      </c>
      <c r="G62" s="199">
        <f>I51</f>
        <v>8.2833333333333332</v>
      </c>
      <c r="H62"/>
      <c r="I62"/>
      <c r="J62"/>
      <c r="K62"/>
      <c r="L62"/>
      <c r="M62"/>
      <c r="N62"/>
      <c r="O62"/>
      <c r="P62"/>
      <c r="Q62"/>
      <c r="R62"/>
      <c r="S62"/>
    </row>
    <row r="63" spans="1:19" ht="15.75" thickBot="1" x14ac:dyDescent="0.3">
      <c r="A63"/>
      <c r="B63"/>
      <c r="C63" s="207" t="s">
        <v>100</v>
      </c>
      <c r="D63" s="200">
        <f>D59+D60+D61+D62</f>
        <v>24</v>
      </c>
      <c r="E63" s="200">
        <f>E59+E60+E61+E62</f>
        <v>43.116666666666667</v>
      </c>
      <c r="F63" s="200">
        <f>F59+F60+F61+F62</f>
        <v>44.216666666666669</v>
      </c>
      <c r="G63" s="200">
        <f>G59+G60+G61+G62</f>
        <v>23.033333333333331</v>
      </c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/>
      <c r="B65"/>
      <c r="C65" s="81" t="s">
        <v>106</v>
      </c>
      <c r="D65" s="194">
        <f>D59+D60+D61+E59+E60+E61+F59+F60+F61+G59+G60+G61</f>
        <v>99.800000000000011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A66"/>
      <c r="B66"/>
      <c r="C66" s="81" t="s">
        <v>107</v>
      </c>
      <c r="D66" s="194">
        <f>AVERAGE(D62:G62)</f>
        <v>8.6416666666666675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 spans="1:19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</row>
    <row r="81" spans="1:19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</row>
    <row r="82" spans="1:19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 spans="1:19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  <row r="84" spans="1:19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</row>
    <row r="85" spans="1:19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 spans="1:19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 spans="1:19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 spans="1:19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 spans="1:19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 spans="1:19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 spans="1:19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 spans="1:19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93" spans="1:19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</row>
    <row r="94" spans="1:19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 spans="1:19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 spans="1:19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 spans="1:19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 spans="1:19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</row>
    <row r="99" spans="1:19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</row>
    <row r="100" spans="1:19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 spans="1:19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 spans="1:19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 spans="1:19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 spans="1:19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 spans="1:19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  <row r="106" spans="1:19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</row>
    <row r="107" spans="1:19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</row>
    <row r="108" spans="1:19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</row>
    <row r="109" spans="1:19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</row>
    <row r="110" spans="1:19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</row>
    <row r="111" spans="1:19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</row>
    <row r="112" spans="1:19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</row>
    <row r="113" spans="1:19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</row>
    <row r="114" spans="1:19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</row>
    <row r="115" spans="1:19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</row>
    <row r="116" spans="1:19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</row>
    <row r="117" spans="1:19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</row>
    <row r="118" spans="1:19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</row>
    <row r="119" spans="1:19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</row>
    <row r="120" spans="1:19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</row>
    <row r="121" spans="1:19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 spans="1:19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</row>
    <row r="123" spans="1:19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</row>
    <row r="124" spans="1:19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</row>
    <row r="125" spans="1:19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</row>
    <row r="126" spans="1:19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</row>
    <row r="127" spans="1:19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</row>
    <row r="128" spans="1:19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</row>
    <row r="129" spans="1:19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</row>
    <row r="130" spans="1:19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</row>
    <row r="131" spans="1:19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</row>
    <row r="132" spans="1:19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</row>
    <row r="133" spans="1:19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</row>
    <row r="134" spans="1:19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</row>
    <row r="135" spans="1:19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</row>
    <row r="136" spans="1:19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</row>
    <row r="137" spans="1:19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</row>
    <row r="138" spans="1:19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</row>
    <row r="139" spans="1:19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</row>
    <row r="140" spans="1:19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</row>
    <row r="141" spans="1:19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</row>
    <row r="142" spans="1:19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</row>
    <row r="143" spans="1:19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</row>
    <row r="144" spans="1:19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</row>
    <row r="145" spans="1:19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</row>
    <row r="146" spans="1:19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</row>
    <row r="147" spans="1:19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</row>
    <row r="148" spans="1:19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</row>
    <row r="149" spans="1:19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</row>
    <row r="150" spans="1:19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</row>
    <row r="151" spans="1:19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</row>
    <row r="152" spans="1:19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</row>
    <row r="153" spans="1:19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</row>
    <row r="154" spans="1:19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</row>
    <row r="155" spans="1:19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</row>
    <row r="156" spans="1:19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</row>
    <row r="157" spans="1:19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</row>
    <row r="158" spans="1:19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</row>
    <row r="159" spans="1:19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</row>
    <row r="160" spans="1:19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</row>
    <row r="161" spans="1:19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</row>
    <row r="162" spans="1:19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</row>
    <row r="163" spans="1:19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</row>
    <row r="164" spans="1:19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</row>
    <row r="165" spans="1:19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</row>
    <row r="166" spans="1:19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</row>
    <row r="167" spans="1:19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</row>
    <row r="168" spans="1:19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</row>
    <row r="169" spans="1:19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</row>
    <row r="170" spans="1:19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</row>
    <row r="171" spans="1:19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</row>
    <row r="172" spans="1:19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</row>
    <row r="173" spans="1:19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</row>
    <row r="174" spans="1:19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</row>
    <row r="175" spans="1:19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</row>
    <row r="176" spans="1:19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</row>
    <row r="177" spans="1:19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</row>
    <row r="178" spans="1:19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</row>
    <row r="179" spans="1:19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</row>
    <row r="180" spans="1:19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</row>
    <row r="181" spans="1:19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</row>
    <row r="182" spans="1:19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</row>
    <row r="183" spans="1:19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</row>
    <row r="184" spans="1:19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</row>
    <row r="185" spans="1:19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</row>
    <row r="186" spans="1:19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</row>
    <row r="187" spans="1:19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</row>
    <row r="188" spans="1:19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</row>
    <row r="189" spans="1:19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</row>
    <row r="190" spans="1:19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</row>
    <row r="191" spans="1:19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</row>
    <row r="192" spans="1:19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</row>
    <row r="193" spans="1:19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</row>
    <row r="194" spans="1:19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</row>
    <row r="195" spans="1:19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</row>
    <row r="196" spans="1:19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</row>
    <row r="197" spans="1:19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</row>
    <row r="198" spans="1:19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</row>
    <row r="199" spans="1:19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</row>
    <row r="200" spans="1:19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</row>
    <row r="201" spans="1:19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</row>
    <row r="202" spans="1:19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</row>
    <row r="203" spans="1:19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</row>
    <row r="204" spans="1:19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</row>
    <row r="205" spans="1:19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</row>
    <row r="206" spans="1:19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</row>
    <row r="207" spans="1:19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</row>
    <row r="208" spans="1:19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</row>
    <row r="209" spans="1:19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</row>
    <row r="210" spans="1:19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</row>
    <row r="211" spans="1:19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</row>
    <row r="212" spans="1:19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</row>
    <row r="213" spans="1:19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</row>
    <row r="214" spans="1:19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</row>
    <row r="215" spans="1:19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</row>
    <row r="216" spans="1:19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</row>
    <row r="217" spans="1:19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</row>
    <row r="218" spans="1:19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</row>
    <row r="219" spans="1:19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</row>
    <row r="220" spans="1:19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</row>
    <row r="221" spans="1:19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</row>
    <row r="222" spans="1:19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</row>
    <row r="223" spans="1:19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</row>
    <row r="224" spans="1:19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</row>
    <row r="225" spans="1:19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</row>
    <row r="226" spans="1:19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</row>
    <row r="227" spans="1:19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</row>
    <row r="228" spans="1:19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</row>
    <row r="229" spans="1:19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</row>
    <row r="230" spans="1:19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</row>
    <row r="231" spans="1:19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</row>
    <row r="232" spans="1:19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</row>
    <row r="233" spans="1:19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</row>
    <row r="234" spans="1:19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</row>
    <row r="235" spans="1:19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</row>
    <row r="236" spans="1:19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</row>
    <row r="237" spans="1:19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</row>
    <row r="238" spans="1:19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</row>
    <row r="239" spans="1:19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</row>
    <row r="240" spans="1:19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</row>
    <row r="241" spans="1:19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</row>
    <row r="242" spans="1:19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</row>
    <row r="243" spans="1:19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</row>
    <row r="244" spans="1:19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</row>
    <row r="245" spans="1:19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</row>
    <row r="246" spans="1:19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</row>
    <row r="247" spans="1:19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</row>
    <row r="248" spans="1:19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</row>
    <row r="249" spans="1:19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</row>
    <row r="250" spans="1:19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</row>
    <row r="251" spans="1:19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</row>
    <row r="252" spans="1:19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</row>
    <row r="253" spans="1:19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</row>
    <row r="254" spans="1:19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</row>
    <row r="255" spans="1:19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</row>
    <row r="256" spans="1:19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</row>
    <row r="257" spans="1:19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</row>
    <row r="258" spans="1:19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</row>
    <row r="259" spans="1:19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</row>
    <row r="260" spans="1:19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</row>
    <row r="261" spans="1:19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</row>
    <row r="262" spans="1:19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</row>
    <row r="263" spans="1:19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</row>
    <row r="264" spans="1:19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</row>
    <row r="265" spans="1:19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</row>
    <row r="266" spans="1:19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</row>
    <row r="267" spans="1:19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</row>
    <row r="268" spans="1:19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</row>
    <row r="269" spans="1:19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</row>
    <row r="270" spans="1:19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</row>
    <row r="271" spans="1:19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</row>
    <row r="272" spans="1:19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</row>
    <row r="273" spans="1:19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</row>
    <row r="274" spans="1:19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</row>
    <row r="275" spans="1:19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</row>
    <row r="276" spans="1:19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</row>
    <row r="277" spans="1:19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</row>
    <row r="278" spans="1:19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</row>
    <row r="279" spans="1:19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</row>
    <row r="280" spans="1:19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</row>
    <row r="281" spans="1:19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</row>
    <row r="282" spans="1:19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</row>
    <row r="283" spans="1:19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</row>
    <row r="284" spans="1:19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</row>
    <row r="285" spans="1:19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</row>
    <row r="286" spans="1:19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</row>
    <row r="287" spans="1:19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</row>
    <row r="288" spans="1:19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</row>
    <row r="289" spans="1:19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</row>
    <row r="290" spans="1:19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</row>
    <row r="291" spans="1:19" x14ac:dyDescent="0.25">
      <c r="A291"/>
    </row>
    <row r="292" spans="1:19" x14ac:dyDescent="0.25">
      <c r="A292"/>
    </row>
    <row r="293" spans="1:19" x14ac:dyDescent="0.25">
      <c r="A293"/>
    </row>
    <row r="294" spans="1:19" x14ac:dyDescent="0.25">
      <c r="A294"/>
    </row>
    <row r="295" spans="1:19" x14ac:dyDescent="0.25">
      <c r="A295"/>
    </row>
    <row r="296" spans="1:19" x14ac:dyDescent="0.25">
      <c r="A296"/>
    </row>
    <row r="297" spans="1:19" x14ac:dyDescent="0.25">
      <c r="A297"/>
    </row>
    <row r="298" spans="1:19" x14ac:dyDescent="0.25">
      <c r="A298"/>
    </row>
    <row r="299" spans="1:19" x14ac:dyDescent="0.25">
      <c r="A299"/>
    </row>
  </sheetData>
  <mergeCells count="21">
    <mergeCell ref="N29:R29"/>
    <mergeCell ref="A30:A31"/>
    <mergeCell ref="A34:A35"/>
    <mergeCell ref="A23:A24"/>
    <mergeCell ref="A28:A29"/>
    <mergeCell ref="A42:A43"/>
    <mergeCell ref="B44:E44"/>
    <mergeCell ref="N44:Q44"/>
    <mergeCell ref="C56:G56"/>
    <mergeCell ref="B1:E1"/>
    <mergeCell ref="H1:M1"/>
    <mergeCell ref="N1:Q1"/>
    <mergeCell ref="B38:E38"/>
    <mergeCell ref="N38:R38"/>
    <mergeCell ref="B29:E29"/>
    <mergeCell ref="A40:A41"/>
    <mergeCell ref="A9:A10"/>
    <mergeCell ref="A11:A14"/>
    <mergeCell ref="B18:E18"/>
    <mergeCell ref="N18:R18"/>
    <mergeCell ref="A36:A37"/>
  </mergeCells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0"/>
  <sheetViews>
    <sheetView topLeftCell="A25" zoomScale="55" zoomScaleNormal="55" workbookViewId="0">
      <pane xSplit="1" topLeftCell="B1" activePane="topRight" state="frozen"/>
      <selection pane="topRight" activeCell="H50" sqref="H50:K50"/>
    </sheetView>
  </sheetViews>
  <sheetFormatPr defaultColWidth="8.85546875" defaultRowHeight="18.75" x14ac:dyDescent="0.3"/>
  <cols>
    <col min="1" max="1" width="22.7109375" style="384" customWidth="1"/>
    <col min="2" max="2" width="33.7109375" style="296" customWidth="1"/>
    <col min="3" max="3" width="30.28515625" style="289" customWidth="1"/>
    <col min="4" max="4" width="32.42578125" style="289" customWidth="1"/>
    <col min="5" max="5" width="32.5703125" style="329" bestFit="1" customWidth="1"/>
    <col min="6" max="6" width="19" style="330" customWidth="1"/>
    <col min="7" max="7" width="17.140625" style="330" customWidth="1"/>
    <col min="8" max="8" width="11.5703125" style="296" bestFit="1" customWidth="1"/>
    <col min="9" max="9" width="16.7109375" style="289" customWidth="1"/>
    <col min="10" max="10" width="13.7109375" style="289" customWidth="1"/>
    <col min="11" max="11" width="12.28515625" style="353" bestFit="1" customWidth="1"/>
    <col min="12" max="12" width="9.85546875" style="353" customWidth="1"/>
    <col min="13" max="13" width="10.140625" style="329" bestFit="1" customWidth="1"/>
    <col min="14" max="14" width="11.85546875" style="296" bestFit="1" customWidth="1"/>
    <col min="15" max="15" width="12.28515625" style="289" bestFit="1" customWidth="1"/>
    <col min="16" max="16" width="11.85546875" style="289" bestFit="1" customWidth="1"/>
    <col min="17" max="17" width="12.28515625" style="329" bestFit="1" customWidth="1"/>
    <col min="18" max="19" width="10.140625" style="379" customWidth="1"/>
    <col min="20" max="16384" width="8.85546875" style="301"/>
  </cols>
  <sheetData>
    <row r="1" spans="1:22" ht="20.25" thickTop="1" thickBot="1" x14ac:dyDescent="0.35">
      <c r="A1" s="297"/>
      <c r="B1" s="2088" t="s">
        <v>3</v>
      </c>
      <c r="C1" s="2089"/>
      <c r="D1" s="2089"/>
      <c r="E1" s="2090"/>
      <c r="F1" s="298"/>
      <c r="G1" s="298"/>
      <c r="H1" s="2088" t="s">
        <v>6</v>
      </c>
      <c r="I1" s="2089"/>
      <c r="J1" s="2089"/>
      <c r="K1" s="2091"/>
      <c r="L1" s="2091"/>
      <c r="M1" s="2090"/>
      <c r="N1" s="2092" t="s">
        <v>13</v>
      </c>
      <c r="O1" s="2093"/>
      <c r="P1" s="2093"/>
      <c r="Q1" s="2094"/>
      <c r="R1" s="298"/>
      <c r="S1" s="299"/>
      <c r="T1" s="300"/>
    </row>
    <row r="2" spans="1:22" ht="20.25" thickTop="1" thickBot="1" x14ac:dyDescent="0.35">
      <c r="A2" s="302" t="s">
        <v>0</v>
      </c>
      <c r="B2" s="303" t="s">
        <v>1</v>
      </c>
      <c r="C2" s="304" t="s">
        <v>4</v>
      </c>
      <c r="D2" s="304" t="s">
        <v>2</v>
      </c>
      <c r="E2" s="305" t="s">
        <v>5</v>
      </c>
      <c r="F2" s="306" t="s">
        <v>26</v>
      </c>
      <c r="G2" s="306" t="s">
        <v>19</v>
      </c>
      <c r="H2" s="307" t="s">
        <v>1</v>
      </c>
      <c r="I2" s="308" t="s">
        <v>4</v>
      </c>
      <c r="J2" s="308" t="s">
        <v>2</v>
      </c>
      <c r="K2" s="308" t="s">
        <v>5</v>
      </c>
      <c r="L2" s="309" t="s">
        <v>26</v>
      </c>
      <c r="M2" s="310" t="s">
        <v>19</v>
      </c>
      <c r="N2" s="303" t="s">
        <v>1</v>
      </c>
      <c r="O2" s="304" t="s">
        <v>4</v>
      </c>
      <c r="P2" s="304" t="s">
        <v>2</v>
      </c>
      <c r="Q2" s="311" t="s">
        <v>5</v>
      </c>
      <c r="R2" s="312" t="s">
        <v>19</v>
      </c>
      <c r="S2" s="313" t="s">
        <v>26</v>
      </c>
    </row>
    <row r="3" spans="1:22" ht="22.5" customHeight="1" thickTop="1" x14ac:dyDescent="0.3">
      <c r="A3" s="314">
        <v>44348</v>
      </c>
      <c r="B3" s="315"/>
      <c r="C3" s="263"/>
      <c r="D3" s="263"/>
      <c r="E3" s="316"/>
      <c r="F3" s="317"/>
      <c r="G3" s="318"/>
      <c r="H3" s="315"/>
      <c r="I3" s="263"/>
      <c r="J3" s="263"/>
      <c r="K3" s="263"/>
      <c r="L3" s="319"/>
      <c r="M3" s="320"/>
      <c r="N3" s="326"/>
      <c r="O3" s="321"/>
      <c r="P3" s="290"/>
      <c r="Q3" s="290"/>
      <c r="R3" s="322"/>
      <c r="S3" s="323"/>
      <c r="U3" s="324" t="s">
        <v>8</v>
      </c>
      <c r="V3" s="301" t="s">
        <v>10</v>
      </c>
    </row>
    <row r="4" spans="1:22" ht="22.5" customHeight="1" x14ac:dyDescent="0.3">
      <c r="A4" s="2177">
        <v>44349</v>
      </c>
      <c r="B4" s="315" t="s">
        <v>146</v>
      </c>
      <c r="C4" s="263"/>
      <c r="D4" s="263"/>
      <c r="E4" s="316"/>
      <c r="F4" s="315"/>
      <c r="G4" s="318"/>
      <c r="H4" s="315">
        <v>290</v>
      </c>
      <c r="I4" s="263"/>
      <c r="J4" s="263"/>
      <c r="K4" s="263"/>
      <c r="L4" s="263"/>
      <c r="M4" s="320"/>
      <c r="N4" s="325" t="s">
        <v>8</v>
      </c>
      <c r="O4" s="321"/>
      <c r="P4" s="290"/>
      <c r="Q4" s="290"/>
      <c r="R4" s="327"/>
      <c r="S4" s="323"/>
      <c r="U4" s="324"/>
    </row>
    <row r="5" spans="1:22" ht="22.5" customHeight="1" x14ac:dyDescent="0.3">
      <c r="A5" s="2178"/>
      <c r="B5" s="315" t="s">
        <v>146</v>
      </c>
      <c r="F5" s="296"/>
      <c r="H5" s="296">
        <v>290</v>
      </c>
      <c r="K5" s="289"/>
      <c r="L5" s="289"/>
      <c r="M5" s="331"/>
      <c r="N5" s="332" t="s">
        <v>7</v>
      </c>
      <c r="O5" s="290"/>
      <c r="P5" s="290"/>
      <c r="Q5" s="290"/>
      <c r="R5" s="334"/>
      <c r="S5" s="323"/>
      <c r="U5" s="335" t="s">
        <v>7</v>
      </c>
      <c r="V5" s="301" t="s">
        <v>11</v>
      </c>
    </row>
    <row r="6" spans="1:22" ht="36.75" customHeight="1" x14ac:dyDescent="0.3">
      <c r="A6" s="314">
        <v>44350</v>
      </c>
      <c r="B6" s="294"/>
      <c r="C6" s="290"/>
      <c r="D6" s="404" t="s">
        <v>47</v>
      </c>
      <c r="E6" s="336"/>
      <c r="F6" s="294"/>
      <c r="G6" s="337"/>
      <c r="H6" s="294"/>
      <c r="I6" s="290"/>
      <c r="J6" s="290">
        <v>70</v>
      </c>
      <c r="K6" s="290">
        <v>12</v>
      </c>
      <c r="L6" s="290"/>
      <c r="M6" s="338"/>
      <c r="N6" s="333"/>
      <c r="O6" s="290"/>
      <c r="P6" s="332" t="s">
        <v>7</v>
      </c>
      <c r="Q6" s="332" t="s">
        <v>7</v>
      </c>
      <c r="R6" s="334"/>
      <c r="S6" s="339"/>
      <c r="U6" s="340" t="s">
        <v>9</v>
      </c>
      <c r="V6" s="301" t="s">
        <v>12</v>
      </c>
    </row>
    <row r="7" spans="1:22" ht="24.75" customHeight="1" x14ac:dyDescent="0.3">
      <c r="A7" s="2177">
        <v>44351</v>
      </c>
      <c r="B7" s="341"/>
      <c r="C7" s="290"/>
      <c r="D7" s="405" t="s">
        <v>146</v>
      </c>
      <c r="E7" s="342"/>
      <c r="F7" s="294"/>
      <c r="G7" s="337"/>
      <c r="H7" s="294"/>
      <c r="I7" s="290"/>
      <c r="J7" s="290"/>
      <c r="K7" s="290">
        <v>225</v>
      </c>
      <c r="L7" s="290"/>
      <c r="M7" s="338"/>
      <c r="N7" s="333"/>
      <c r="O7" s="333"/>
      <c r="P7" s="333"/>
      <c r="Q7" s="325" t="s">
        <v>8</v>
      </c>
      <c r="R7" s="333"/>
      <c r="S7" s="339"/>
      <c r="U7" s="343" t="s">
        <v>71</v>
      </c>
      <c r="V7" s="344" t="s">
        <v>51</v>
      </c>
    </row>
    <row r="8" spans="1:22" ht="24.75" customHeight="1" x14ac:dyDescent="0.3">
      <c r="A8" s="2178"/>
      <c r="B8" s="341"/>
      <c r="C8" s="290"/>
      <c r="D8" s="405" t="s">
        <v>146</v>
      </c>
      <c r="E8" s="338"/>
      <c r="F8" s="294"/>
      <c r="G8" s="337"/>
      <c r="H8" s="294"/>
      <c r="I8" s="290"/>
      <c r="J8" s="290"/>
      <c r="K8" s="290">
        <v>225</v>
      </c>
      <c r="L8" s="290"/>
      <c r="M8" s="338"/>
      <c r="N8" s="333"/>
      <c r="O8" s="333"/>
      <c r="P8" s="333"/>
      <c r="Q8" s="332" t="s">
        <v>7</v>
      </c>
      <c r="R8" s="333"/>
      <c r="S8" s="339"/>
      <c r="U8" s="343"/>
      <c r="V8" s="344"/>
    </row>
    <row r="9" spans="1:22" ht="37.5" x14ac:dyDescent="0.3">
      <c r="A9" s="314">
        <v>44352</v>
      </c>
      <c r="B9" s="341"/>
      <c r="C9" s="290"/>
      <c r="D9" s="405"/>
      <c r="E9" s="398" t="s">
        <v>147</v>
      </c>
      <c r="F9" s="341"/>
      <c r="G9" s="345"/>
      <c r="H9" s="294"/>
      <c r="I9" s="290"/>
      <c r="J9" s="290"/>
      <c r="K9" s="290">
        <v>45</v>
      </c>
      <c r="L9" s="290"/>
      <c r="M9" s="338"/>
      <c r="N9" s="333"/>
      <c r="O9" s="333"/>
      <c r="P9" s="333"/>
      <c r="Q9" s="401" t="s">
        <v>9</v>
      </c>
      <c r="R9" s="333"/>
      <c r="S9" s="339"/>
      <c r="T9" s="300"/>
    </row>
    <row r="10" spans="1:22" ht="21" customHeight="1" x14ac:dyDescent="0.3">
      <c r="A10" s="2177">
        <v>44354</v>
      </c>
      <c r="B10" s="341"/>
      <c r="D10" s="406"/>
      <c r="E10" s="347" t="s">
        <v>146</v>
      </c>
      <c r="F10" s="348"/>
      <c r="K10" s="289">
        <v>160</v>
      </c>
      <c r="L10" s="289"/>
      <c r="M10" s="331"/>
      <c r="N10" s="333"/>
      <c r="O10" s="290"/>
      <c r="P10" s="333"/>
      <c r="Q10" s="325" t="s">
        <v>8</v>
      </c>
      <c r="R10" s="334"/>
      <c r="S10" s="349"/>
      <c r="T10" s="300"/>
    </row>
    <row r="11" spans="1:22" ht="17.25" customHeight="1" x14ac:dyDescent="0.3">
      <c r="A11" s="2179"/>
      <c r="B11" s="350"/>
      <c r="D11" s="406"/>
      <c r="E11" s="347" t="s">
        <v>146</v>
      </c>
      <c r="F11" s="296"/>
      <c r="K11" s="289">
        <v>160</v>
      </c>
      <c r="L11" s="289"/>
      <c r="M11" s="331"/>
      <c r="N11" s="333"/>
      <c r="O11" s="290"/>
      <c r="P11" s="333"/>
      <c r="Q11" s="332" t="s">
        <v>7</v>
      </c>
      <c r="R11" s="334"/>
      <c r="S11" s="349"/>
    </row>
    <row r="12" spans="1:22" ht="18.75" customHeight="1" x14ac:dyDescent="0.3">
      <c r="A12" s="402">
        <v>44355</v>
      </c>
      <c r="B12" s="350"/>
      <c r="D12" s="406" t="s">
        <v>47</v>
      </c>
      <c r="E12" s="347"/>
      <c r="F12" s="351"/>
      <c r="G12" s="352"/>
      <c r="J12" s="289">
        <v>90</v>
      </c>
      <c r="K12" s="289"/>
      <c r="L12" s="289"/>
      <c r="M12" s="331"/>
      <c r="N12" s="333"/>
      <c r="O12" s="290"/>
      <c r="P12" s="332" t="s">
        <v>7</v>
      </c>
      <c r="Q12" s="290"/>
      <c r="R12" s="334"/>
      <c r="S12" s="349"/>
      <c r="T12" s="300"/>
    </row>
    <row r="13" spans="1:22" ht="56.25" x14ac:dyDescent="0.3">
      <c r="A13" s="402">
        <v>44357</v>
      </c>
      <c r="B13" s="350"/>
      <c r="D13" s="403" t="s">
        <v>148</v>
      </c>
      <c r="E13" s="347"/>
      <c r="F13" s="351"/>
      <c r="G13" s="352"/>
      <c r="J13" s="289">
        <v>460</v>
      </c>
      <c r="L13" s="289"/>
      <c r="M13" s="331"/>
      <c r="N13" s="333"/>
      <c r="O13" s="290"/>
      <c r="P13" s="325" t="s">
        <v>8</v>
      </c>
      <c r="Q13" s="290"/>
      <c r="R13" s="334"/>
      <c r="S13" s="349"/>
      <c r="T13" s="300"/>
    </row>
    <row r="14" spans="1:22" x14ac:dyDescent="0.3">
      <c r="A14" s="402">
        <v>44359</v>
      </c>
      <c r="B14" s="354"/>
      <c r="D14" s="403" t="s">
        <v>149</v>
      </c>
      <c r="E14" s="347"/>
      <c r="F14" s="346"/>
      <c r="G14" s="352"/>
      <c r="J14" s="289">
        <v>15</v>
      </c>
      <c r="L14" s="289"/>
      <c r="M14" s="331"/>
      <c r="N14" s="333"/>
      <c r="O14" s="290"/>
      <c r="P14" s="325" t="s">
        <v>8</v>
      </c>
      <c r="Q14" s="333"/>
      <c r="R14" s="334"/>
      <c r="S14" s="349"/>
    </row>
    <row r="15" spans="1:22" ht="48.75" customHeight="1" x14ac:dyDescent="0.3">
      <c r="A15" s="328">
        <v>44360</v>
      </c>
      <c r="B15" s="350"/>
      <c r="E15" s="407" t="s">
        <v>150</v>
      </c>
      <c r="F15" s="346"/>
      <c r="G15" s="352"/>
      <c r="K15" s="353">
        <v>45</v>
      </c>
      <c r="L15" s="289"/>
      <c r="M15" s="331"/>
      <c r="N15" s="333"/>
      <c r="O15" s="290"/>
      <c r="P15" s="333"/>
      <c r="Q15" s="325" t="s">
        <v>8</v>
      </c>
      <c r="R15" s="334"/>
      <c r="S15" s="349"/>
    </row>
    <row r="16" spans="1:22" ht="21" customHeight="1" x14ac:dyDescent="0.3">
      <c r="A16" s="314">
        <v>44361</v>
      </c>
      <c r="E16" s="355"/>
      <c r="F16" s="296"/>
      <c r="L16" s="289"/>
      <c r="M16" s="331"/>
      <c r="N16" s="333"/>
      <c r="O16" s="290"/>
      <c r="P16" s="333"/>
      <c r="Q16" s="333"/>
      <c r="R16" s="334"/>
      <c r="S16" s="349"/>
    </row>
    <row r="17" spans="1:23" ht="45.75" customHeight="1" x14ac:dyDescent="0.3">
      <c r="A17" s="356">
        <v>44362</v>
      </c>
      <c r="B17" s="294" t="s">
        <v>151</v>
      </c>
      <c r="C17" s="290"/>
      <c r="D17" s="288"/>
      <c r="E17" s="342"/>
      <c r="F17" s="294"/>
      <c r="G17" s="337"/>
      <c r="H17" s="294">
        <v>45</v>
      </c>
      <c r="I17" s="290"/>
      <c r="J17" s="290"/>
      <c r="K17" s="357"/>
      <c r="L17" s="357"/>
      <c r="M17" s="342"/>
      <c r="N17" s="325" t="s">
        <v>8</v>
      </c>
      <c r="O17" s="333"/>
      <c r="P17" s="333"/>
      <c r="Q17" s="290"/>
      <c r="R17" s="334"/>
      <c r="S17" s="349"/>
    </row>
    <row r="18" spans="1:23" ht="20.25" customHeight="1" x14ac:dyDescent="0.3">
      <c r="A18" s="356">
        <v>44363</v>
      </c>
      <c r="B18" s="294"/>
      <c r="C18" s="290"/>
      <c r="D18" s="290" t="s">
        <v>27</v>
      </c>
      <c r="E18" s="290"/>
      <c r="F18" s="294"/>
      <c r="G18" s="338"/>
      <c r="H18" s="295"/>
      <c r="I18" s="290"/>
      <c r="J18" s="290">
        <v>30</v>
      </c>
      <c r="K18" s="357"/>
      <c r="L18" s="357"/>
      <c r="M18" s="342"/>
      <c r="N18" s="333"/>
      <c r="O18" s="290"/>
      <c r="P18" s="401" t="s">
        <v>9</v>
      </c>
      <c r="Q18" s="333"/>
      <c r="R18" s="334"/>
      <c r="S18" s="358"/>
    </row>
    <row r="19" spans="1:23" ht="30" customHeight="1" x14ac:dyDescent="0.3">
      <c r="A19" s="356">
        <v>44364</v>
      </c>
      <c r="B19" s="291"/>
      <c r="C19" s="292"/>
      <c r="D19" s="337" t="s">
        <v>152</v>
      </c>
      <c r="E19" s="293"/>
      <c r="F19" s="294"/>
      <c r="G19" s="338"/>
      <c r="H19" s="295"/>
      <c r="I19" s="290"/>
      <c r="J19" s="290">
        <v>15</v>
      </c>
      <c r="K19" s="357"/>
      <c r="L19" s="357"/>
      <c r="M19" s="342"/>
      <c r="N19" s="408"/>
      <c r="O19" s="409"/>
      <c r="P19" s="401" t="s">
        <v>9</v>
      </c>
      <c r="Q19" s="409"/>
      <c r="R19" s="410"/>
      <c r="S19" s="358"/>
    </row>
    <row r="20" spans="1:23" ht="21" customHeight="1" x14ac:dyDescent="0.3">
      <c r="A20" s="356">
        <v>44365</v>
      </c>
      <c r="B20" s="291"/>
      <c r="C20" s="292"/>
      <c r="D20" s="288" t="s">
        <v>153</v>
      </c>
      <c r="E20" s="293"/>
      <c r="F20" s="294"/>
      <c r="G20" s="337"/>
      <c r="H20" s="291"/>
      <c r="I20" s="292"/>
      <c r="J20" s="337">
        <v>30</v>
      </c>
      <c r="K20" s="292"/>
      <c r="L20" s="292"/>
      <c r="M20" s="293"/>
      <c r="N20" s="399"/>
      <c r="O20" s="367"/>
      <c r="P20" s="333"/>
      <c r="Q20" s="367"/>
      <c r="R20" s="400"/>
      <c r="S20" s="349"/>
    </row>
    <row r="21" spans="1:23" ht="27.75" customHeight="1" x14ac:dyDescent="0.3">
      <c r="A21" s="356">
        <v>44366</v>
      </c>
      <c r="B21" s="294"/>
      <c r="C21" s="290" t="s">
        <v>154</v>
      </c>
      <c r="D21" s="290" t="s">
        <v>155</v>
      </c>
      <c r="E21" s="287"/>
      <c r="F21" s="294"/>
      <c r="G21" s="337"/>
      <c r="H21" s="294"/>
      <c r="I21" s="290">
        <v>90</v>
      </c>
      <c r="J21" s="290">
        <v>405</v>
      </c>
      <c r="K21" s="357"/>
      <c r="L21" s="357"/>
      <c r="M21" s="342"/>
      <c r="N21" s="333"/>
      <c r="O21" s="332" t="s">
        <v>7</v>
      </c>
      <c r="P21" s="325" t="s">
        <v>8</v>
      </c>
      <c r="Q21" s="333"/>
      <c r="R21" s="334"/>
      <c r="S21" s="349"/>
    </row>
    <row r="22" spans="1:23" ht="47.25" customHeight="1" x14ac:dyDescent="0.3">
      <c r="A22" s="356">
        <v>44367</v>
      </c>
      <c r="B22" s="294"/>
      <c r="C22" s="290"/>
      <c r="D22" s="288" t="s">
        <v>156</v>
      </c>
      <c r="E22" s="359"/>
      <c r="F22" s="294"/>
      <c r="G22" s="337"/>
      <c r="H22" s="294"/>
      <c r="I22" s="290"/>
      <c r="J22" s="360">
        <v>130</v>
      </c>
      <c r="K22" s="361"/>
      <c r="L22" s="361"/>
      <c r="M22" s="362"/>
      <c r="N22" s="294"/>
      <c r="O22" s="290"/>
      <c r="P22" s="325" t="s">
        <v>8</v>
      </c>
      <c r="Q22" s="333"/>
      <c r="R22" s="334"/>
      <c r="S22" s="349"/>
    </row>
    <row r="23" spans="1:23" ht="15" customHeight="1" x14ac:dyDescent="0.3">
      <c r="A23" s="356">
        <v>44368</v>
      </c>
      <c r="B23" s="294"/>
      <c r="C23" s="290"/>
      <c r="D23" s="290" t="s">
        <v>157</v>
      </c>
      <c r="E23" s="342"/>
      <c r="F23" s="294"/>
      <c r="G23" s="337"/>
      <c r="H23" s="294"/>
      <c r="I23" s="290"/>
      <c r="J23" s="360">
        <v>280</v>
      </c>
      <c r="K23" s="361"/>
      <c r="L23" s="361"/>
      <c r="M23" s="362"/>
      <c r="N23" s="333"/>
      <c r="O23" s="290"/>
      <c r="P23" s="325" t="s">
        <v>8</v>
      </c>
      <c r="Q23" s="290"/>
      <c r="R23" s="334"/>
      <c r="S23" s="349"/>
    </row>
    <row r="24" spans="1:23" ht="15" customHeight="1" x14ac:dyDescent="0.3">
      <c r="A24" s="2171">
        <v>44369</v>
      </c>
      <c r="B24" s="2181" t="s">
        <v>158</v>
      </c>
      <c r="C24" s="292"/>
      <c r="D24" s="2183" t="s">
        <v>27</v>
      </c>
      <c r="E24" s="293"/>
      <c r="F24" s="294"/>
      <c r="G24" s="337"/>
      <c r="H24" s="2098">
        <v>40</v>
      </c>
      <c r="I24" s="290"/>
      <c r="J24" s="2100">
        <v>40</v>
      </c>
      <c r="K24" s="361"/>
      <c r="L24" s="361"/>
      <c r="M24" s="362"/>
      <c r="N24" s="2165" t="s">
        <v>9</v>
      </c>
      <c r="O24" s="367"/>
      <c r="P24" s="2166" t="s">
        <v>9</v>
      </c>
      <c r="Q24" s="367"/>
      <c r="R24" s="400"/>
      <c r="S24" s="349"/>
    </row>
    <row r="25" spans="1:23" ht="15" customHeight="1" x14ac:dyDescent="0.3">
      <c r="A25" s="2172"/>
      <c r="B25" s="2182"/>
      <c r="C25" s="290"/>
      <c r="D25" s="2184"/>
      <c r="E25" s="336"/>
      <c r="F25" s="294"/>
      <c r="G25" s="337"/>
      <c r="H25" s="2099"/>
      <c r="I25" s="290"/>
      <c r="J25" s="2101"/>
      <c r="K25" s="361"/>
      <c r="L25" s="361"/>
      <c r="M25" s="362"/>
      <c r="N25" s="2165"/>
      <c r="O25" s="290"/>
      <c r="P25" s="2167"/>
      <c r="Q25" s="290"/>
      <c r="R25" s="334"/>
      <c r="S25" s="349"/>
    </row>
    <row r="26" spans="1:23" x14ac:dyDescent="0.3">
      <c r="A26" s="356">
        <v>44370</v>
      </c>
      <c r="B26" s="294"/>
      <c r="C26" s="290"/>
      <c r="D26" s="288"/>
      <c r="E26" s="342"/>
      <c r="F26" s="294"/>
      <c r="G26" s="337"/>
      <c r="H26" s="294"/>
      <c r="I26" s="290"/>
      <c r="J26" s="360"/>
      <c r="K26" s="361"/>
      <c r="L26" s="361"/>
      <c r="M26" s="362"/>
      <c r="N26" s="333"/>
      <c r="O26" s="290"/>
      <c r="P26" s="290"/>
      <c r="Q26" s="290"/>
      <c r="R26" s="334"/>
      <c r="S26" s="349"/>
    </row>
    <row r="27" spans="1:23" ht="37.5" x14ac:dyDescent="0.3">
      <c r="A27" s="356">
        <v>44371</v>
      </c>
      <c r="B27" s="294"/>
      <c r="C27" s="288"/>
      <c r="D27" s="294"/>
      <c r="E27" s="398" t="s">
        <v>147</v>
      </c>
      <c r="F27" s="294"/>
      <c r="G27" s="337"/>
      <c r="H27" s="294"/>
      <c r="I27" s="290"/>
      <c r="J27" s="360"/>
      <c r="K27" s="361">
        <v>60</v>
      </c>
      <c r="L27" s="361"/>
      <c r="M27" s="362"/>
      <c r="N27" s="399"/>
      <c r="O27" s="333"/>
      <c r="P27" s="414"/>
      <c r="Q27" s="411" t="s">
        <v>9</v>
      </c>
      <c r="R27" s="400"/>
      <c r="S27" s="349"/>
    </row>
    <row r="28" spans="1:23" ht="27.75" customHeight="1" x14ac:dyDescent="0.3">
      <c r="A28" s="356">
        <v>44372</v>
      </c>
      <c r="B28" s="341"/>
      <c r="C28" s="292"/>
      <c r="D28" s="337" t="s">
        <v>41</v>
      </c>
      <c r="E28" s="338" t="s">
        <v>159</v>
      </c>
      <c r="F28" s="294"/>
      <c r="G28" s="337"/>
      <c r="H28" s="294"/>
      <c r="I28" s="290"/>
      <c r="J28" s="360">
        <v>225</v>
      </c>
      <c r="K28" s="361">
        <v>130</v>
      </c>
      <c r="L28" s="361"/>
      <c r="M28" s="362"/>
      <c r="N28" s="333"/>
      <c r="O28" s="333"/>
      <c r="P28" s="325" t="s">
        <v>8</v>
      </c>
      <c r="Q28" s="332" t="s">
        <v>7</v>
      </c>
      <c r="R28" s="400"/>
      <c r="S28" s="349"/>
    </row>
    <row r="29" spans="1:23" ht="15" customHeight="1" x14ac:dyDescent="0.3">
      <c r="A29" s="2171">
        <v>44373</v>
      </c>
      <c r="B29" s="341"/>
      <c r="C29" s="288"/>
      <c r="D29" s="288"/>
      <c r="E29" s="342"/>
      <c r="F29" s="294"/>
      <c r="G29" s="337"/>
      <c r="H29" s="294"/>
      <c r="I29" s="290"/>
      <c r="J29" s="290"/>
      <c r="K29" s="357"/>
      <c r="L29" s="357"/>
      <c r="M29" s="362"/>
      <c r="N29" s="333"/>
      <c r="O29" s="290"/>
      <c r="P29" s="333"/>
      <c r="Q29" s="290"/>
      <c r="R29" s="334"/>
      <c r="S29" s="349"/>
      <c r="V29" s="363"/>
      <c r="W29" s="363"/>
    </row>
    <row r="30" spans="1:23" ht="15" customHeight="1" x14ac:dyDescent="0.3">
      <c r="A30" s="2172"/>
      <c r="B30" s="2168"/>
      <c r="C30" s="2169"/>
      <c r="D30" s="2169"/>
      <c r="E30" s="2173"/>
      <c r="F30" s="294"/>
      <c r="G30" s="337"/>
      <c r="H30" s="294"/>
      <c r="I30" s="290"/>
      <c r="J30" s="290"/>
      <c r="K30" s="357"/>
      <c r="L30" s="357"/>
      <c r="M30" s="362"/>
      <c r="N30" s="2174"/>
      <c r="O30" s="2180"/>
      <c r="P30" s="2180"/>
      <c r="Q30" s="2180"/>
      <c r="R30" s="2176"/>
      <c r="S30" s="349"/>
    </row>
    <row r="31" spans="1:23" ht="19.5" customHeight="1" x14ac:dyDescent="0.3">
      <c r="A31" s="2171">
        <v>44374</v>
      </c>
      <c r="B31" s="341"/>
      <c r="C31" s="288"/>
      <c r="D31" s="288"/>
      <c r="E31" s="338"/>
      <c r="F31" s="294"/>
      <c r="G31" s="337"/>
      <c r="H31" s="294"/>
      <c r="I31" s="290"/>
      <c r="J31" s="290"/>
      <c r="K31" s="357"/>
      <c r="L31" s="357"/>
      <c r="M31" s="362"/>
      <c r="N31" s="333"/>
      <c r="O31" s="333"/>
      <c r="P31" s="333"/>
      <c r="Q31" s="290"/>
      <c r="R31" s="334"/>
      <c r="S31" s="349"/>
    </row>
    <row r="32" spans="1:23" ht="15" customHeight="1" x14ac:dyDescent="0.3">
      <c r="A32" s="2172"/>
      <c r="B32" s="294"/>
      <c r="C32" s="294"/>
      <c r="D32" s="294"/>
      <c r="E32" s="294"/>
      <c r="F32" s="294"/>
      <c r="G32" s="337"/>
      <c r="H32" s="294"/>
      <c r="I32" s="290"/>
      <c r="J32" s="290"/>
      <c r="K32" s="357"/>
      <c r="L32" s="357"/>
      <c r="M32" s="362"/>
      <c r="N32" s="333"/>
      <c r="O32" s="333"/>
      <c r="P32" s="333"/>
      <c r="Q32" s="333"/>
      <c r="R32" s="334"/>
      <c r="S32" s="349"/>
    </row>
    <row r="33" spans="1:19" ht="15" customHeight="1" x14ac:dyDescent="0.3">
      <c r="A33" s="356">
        <v>44375</v>
      </c>
      <c r="B33" s="291"/>
      <c r="C33" s="292"/>
      <c r="D33" s="292"/>
      <c r="E33" s="341"/>
      <c r="F33" s="341"/>
      <c r="G33" s="337"/>
      <c r="H33" s="294"/>
      <c r="I33" s="290"/>
      <c r="J33" s="290"/>
      <c r="K33" s="357"/>
      <c r="L33" s="357"/>
      <c r="M33" s="342"/>
      <c r="N33" s="399"/>
      <c r="O33" s="367"/>
      <c r="P33" s="367"/>
      <c r="Q33" s="333"/>
      <c r="R33" s="400"/>
      <c r="S33" s="349"/>
    </row>
    <row r="34" spans="1:19" ht="24.75" customHeight="1" x14ac:dyDescent="0.3">
      <c r="A34" s="356">
        <v>44376</v>
      </c>
      <c r="B34" s="341"/>
      <c r="C34" s="288"/>
      <c r="D34" s="341"/>
      <c r="E34" s="290" t="s">
        <v>160</v>
      </c>
      <c r="F34" s="364"/>
      <c r="G34" s="337"/>
      <c r="H34" s="294"/>
      <c r="I34" s="288"/>
      <c r="J34" s="290"/>
      <c r="K34" s="357">
        <v>120</v>
      </c>
      <c r="L34" s="357"/>
      <c r="M34" s="342"/>
      <c r="N34" s="333"/>
      <c r="O34" s="333"/>
      <c r="P34" s="414"/>
      <c r="Q34" s="411" t="s">
        <v>9</v>
      </c>
      <c r="R34" s="333"/>
      <c r="S34" s="349"/>
    </row>
    <row r="35" spans="1:19" ht="56.25" x14ac:dyDescent="0.3">
      <c r="A35" s="2171">
        <v>44377</v>
      </c>
      <c r="B35" s="294"/>
      <c r="C35" s="288"/>
      <c r="D35" s="288" t="s">
        <v>162</v>
      </c>
      <c r="E35" s="342" t="s">
        <v>161</v>
      </c>
      <c r="F35" s="341"/>
      <c r="G35" s="337"/>
      <c r="H35" s="294"/>
      <c r="I35" s="290"/>
      <c r="J35" s="290">
        <v>220</v>
      </c>
      <c r="K35" s="357">
        <v>85</v>
      </c>
      <c r="L35" s="357"/>
      <c r="M35" s="342"/>
      <c r="N35" s="333"/>
      <c r="O35" s="290"/>
      <c r="P35" s="325" t="s">
        <v>8</v>
      </c>
      <c r="Q35" s="325" t="s">
        <v>8</v>
      </c>
      <c r="R35" s="334"/>
      <c r="S35" s="349"/>
    </row>
    <row r="36" spans="1:19" ht="26.25" customHeight="1" x14ac:dyDescent="0.3">
      <c r="A36" s="2172"/>
      <c r="B36" s="294"/>
      <c r="C36" s="292"/>
      <c r="D36" s="294"/>
      <c r="E36" s="293"/>
      <c r="F36" s="341"/>
      <c r="G36" s="337"/>
      <c r="H36" s="294"/>
      <c r="I36" s="290"/>
      <c r="J36" s="290"/>
      <c r="K36" s="357"/>
      <c r="L36" s="357"/>
      <c r="M36" s="342"/>
      <c r="N36" s="333"/>
      <c r="O36" s="367"/>
      <c r="P36" s="333"/>
      <c r="Q36" s="333"/>
      <c r="R36" s="400"/>
      <c r="S36" s="349"/>
    </row>
    <row r="37" spans="1:19" ht="15" customHeight="1" x14ac:dyDescent="0.3">
      <c r="A37" s="2171"/>
      <c r="B37" s="294"/>
      <c r="C37" s="292"/>
      <c r="D37" s="295"/>
      <c r="E37" s="293"/>
      <c r="F37" s="341"/>
      <c r="G37" s="337"/>
      <c r="H37" s="294"/>
      <c r="I37" s="290"/>
      <c r="J37" s="290"/>
      <c r="K37" s="357"/>
      <c r="L37" s="357"/>
      <c r="M37" s="342"/>
      <c r="N37" s="333"/>
      <c r="O37" s="367"/>
      <c r="P37" s="367"/>
      <c r="Q37" s="333"/>
      <c r="R37" s="400"/>
      <c r="S37" s="349"/>
    </row>
    <row r="38" spans="1:19" x14ac:dyDescent="0.3">
      <c r="A38" s="2172"/>
      <c r="B38" s="294"/>
      <c r="C38" s="290"/>
      <c r="D38" s="294"/>
      <c r="E38" s="336"/>
      <c r="F38" s="341"/>
      <c r="G38" s="337"/>
      <c r="H38" s="294"/>
      <c r="I38" s="290"/>
      <c r="J38" s="290"/>
      <c r="K38" s="357"/>
      <c r="L38" s="357"/>
      <c r="M38" s="342"/>
      <c r="N38" s="333"/>
      <c r="O38" s="290"/>
      <c r="P38" s="333"/>
      <c r="Q38" s="290"/>
      <c r="R38" s="334"/>
      <c r="S38" s="349"/>
    </row>
    <row r="39" spans="1:19" ht="15" customHeight="1" x14ac:dyDescent="0.3">
      <c r="A39" s="356"/>
      <c r="B39" s="2168"/>
      <c r="C39" s="2169"/>
      <c r="D39" s="2169"/>
      <c r="E39" s="2173"/>
      <c r="F39" s="294"/>
      <c r="G39" s="337"/>
      <c r="H39" s="294"/>
      <c r="I39" s="290"/>
      <c r="J39" s="290"/>
      <c r="K39" s="357"/>
      <c r="L39" s="357"/>
      <c r="M39" s="342"/>
      <c r="N39" s="2174"/>
      <c r="O39" s="2175"/>
      <c r="P39" s="2175"/>
      <c r="Q39" s="2175"/>
      <c r="R39" s="2176"/>
      <c r="S39" s="349"/>
    </row>
    <row r="40" spans="1:19" ht="15" customHeight="1" x14ac:dyDescent="0.3">
      <c r="A40" s="356"/>
      <c r="B40" s="294"/>
      <c r="C40" s="290"/>
      <c r="D40" s="290"/>
      <c r="E40" s="342"/>
      <c r="F40" s="294"/>
      <c r="G40" s="337"/>
      <c r="H40" s="294"/>
      <c r="I40" s="290"/>
      <c r="J40" s="290"/>
      <c r="K40" s="357"/>
      <c r="L40" s="357"/>
      <c r="M40" s="342"/>
      <c r="N40" s="333"/>
      <c r="O40" s="290"/>
      <c r="P40" s="290"/>
      <c r="Q40" s="290"/>
      <c r="R40" s="365"/>
      <c r="S40" s="366"/>
    </row>
    <row r="41" spans="1:19" ht="15" customHeight="1" x14ac:dyDescent="0.3">
      <c r="A41" s="2177"/>
      <c r="E41" s="289"/>
      <c r="F41" s="296"/>
      <c r="N41" s="294"/>
      <c r="O41" s="333"/>
      <c r="P41" s="333"/>
      <c r="Q41" s="333"/>
      <c r="R41" s="367"/>
      <c r="S41" s="366"/>
    </row>
    <row r="42" spans="1:19" ht="15" customHeight="1" x14ac:dyDescent="0.3">
      <c r="A42" s="2178"/>
      <c r="B42" s="346"/>
      <c r="D42" s="296"/>
      <c r="F42" s="296"/>
      <c r="G42" s="352"/>
      <c r="N42" s="357"/>
      <c r="O42" s="290"/>
      <c r="P42" s="333"/>
      <c r="Q42" s="290"/>
      <c r="R42" s="357"/>
      <c r="S42" s="366"/>
    </row>
    <row r="43" spans="1:19" ht="15" customHeight="1" x14ac:dyDescent="0.3">
      <c r="A43" s="2177"/>
      <c r="B43" s="346"/>
      <c r="D43" s="296"/>
      <c r="E43" s="296"/>
      <c r="F43" s="296"/>
      <c r="G43" s="352"/>
      <c r="N43" s="337"/>
      <c r="O43" s="333"/>
      <c r="P43" s="333"/>
      <c r="Q43" s="333"/>
      <c r="R43" s="337"/>
      <c r="S43" s="366"/>
    </row>
    <row r="44" spans="1:19" ht="15" customHeight="1" x14ac:dyDescent="0.3">
      <c r="A44" s="2178"/>
      <c r="F44" s="296"/>
      <c r="N44" s="294"/>
      <c r="O44" s="290"/>
      <c r="P44" s="290"/>
      <c r="Q44" s="290"/>
      <c r="R44" s="338"/>
      <c r="S44" s="366"/>
    </row>
    <row r="45" spans="1:19" ht="15" customHeight="1" x14ac:dyDescent="0.3">
      <c r="A45" s="314"/>
      <c r="B45" s="2095"/>
      <c r="C45" s="2096"/>
      <c r="D45" s="2096"/>
      <c r="E45" s="2097"/>
      <c r="F45" s="296"/>
      <c r="N45" s="2168"/>
      <c r="O45" s="2169"/>
      <c r="P45" s="2169"/>
      <c r="Q45" s="2170"/>
      <c r="R45" s="367"/>
      <c r="S45" s="366"/>
    </row>
    <row r="46" spans="1:19" ht="15" customHeight="1" x14ac:dyDescent="0.3">
      <c r="A46" s="314"/>
      <c r="F46" s="296"/>
      <c r="G46" s="352"/>
      <c r="N46" s="294"/>
      <c r="O46" s="290"/>
      <c r="P46" s="290"/>
      <c r="Q46" s="290"/>
      <c r="R46" s="357"/>
      <c r="S46" s="366"/>
    </row>
    <row r="47" spans="1:19" ht="19.5" thickBot="1" x14ac:dyDescent="0.35">
      <c r="A47" s="368" t="s">
        <v>20</v>
      </c>
      <c r="B47" s="369"/>
      <c r="C47" s="370"/>
      <c r="D47" s="370"/>
      <c r="E47" s="371"/>
      <c r="F47" s="369">
        <f>SUM(F3:F46)</f>
        <v>0</v>
      </c>
      <c r="G47" s="372"/>
      <c r="H47" s="369">
        <f t="shared" ref="H47:M47" si="0">SUM(H3:H46)</f>
        <v>665</v>
      </c>
      <c r="I47" s="370">
        <f t="shared" si="0"/>
        <v>90</v>
      </c>
      <c r="J47" s="370">
        <f t="shared" si="0"/>
        <v>2010</v>
      </c>
      <c r="K47" s="373">
        <f t="shared" si="0"/>
        <v>1267</v>
      </c>
      <c r="L47" s="373">
        <f t="shared" si="0"/>
        <v>0</v>
      </c>
      <c r="M47" s="371">
        <f t="shared" si="0"/>
        <v>0</v>
      </c>
      <c r="N47" s="374"/>
      <c r="O47" s="375"/>
      <c r="P47" s="375"/>
      <c r="Q47" s="376"/>
      <c r="R47" s="377"/>
      <c r="S47" s="378"/>
    </row>
    <row r="48" spans="1:19" s="300" customFormat="1" ht="19.5" thickBot="1" x14ac:dyDescent="0.35">
      <c r="A48" s="368" t="s">
        <v>21</v>
      </c>
      <c r="B48" s="379"/>
      <c r="C48" s="379"/>
      <c r="D48" s="379"/>
      <c r="E48" s="379"/>
      <c r="F48" s="379">
        <f>F47/60</f>
        <v>0</v>
      </c>
      <c r="G48" s="379"/>
      <c r="H48" s="380">
        <f t="shared" ref="H48:M48" si="1">H47/60</f>
        <v>11.083333333333334</v>
      </c>
      <c r="I48" s="380">
        <f t="shared" si="1"/>
        <v>1.5</v>
      </c>
      <c r="J48" s="380">
        <f t="shared" si="1"/>
        <v>33.5</v>
      </c>
      <c r="K48" s="380">
        <f t="shared" si="1"/>
        <v>21.116666666666667</v>
      </c>
      <c r="L48" s="380">
        <f t="shared" si="1"/>
        <v>0</v>
      </c>
      <c r="M48" s="380">
        <f t="shared" si="1"/>
        <v>0</v>
      </c>
      <c r="N48" s="379"/>
      <c r="O48" s="379"/>
      <c r="P48" s="379"/>
      <c r="Q48" s="379"/>
      <c r="R48" s="379"/>
      <c r="S48" s="379"/>
    </row>
    <row r="49" spans="1:19" s="300" customFormat="1" x14ac:dyDescent="0.3">
      <c r="A49" s="379" t="s">
        <v>41</v>
      </c>
      <c r="B49" s="379"/>
      <c r="C49" s="379"/>
      <c r="D49" s="379"/>
      <c r="E49" s="379"/>
      <c r="F49" s="379"/>
      <c r="G49" s="379"/>
      <c r="H49" s="381">
        <f>(H4+H17)/60</f>
        <v>5.583333333333333</v>
      </c>
      <c r="I49" s="381">
        <f>(I41)/60</f>
        <v>0</v>
      </c>
      <c r="J49" s="381">
        <f>(J13+J14+J21+J22+J23+J28+J35)/60</f>
        <v>28.916666666666668</v>
      </c>
      <c r="K49" s="381">
        <f>(K7+K10+K15+K35)/60</f>
        <v>8.5833333333333339</v>
      </c>
      <c r="L49" s="382">
        <f t="shared" ref="L49:M51" si="2">L17/24</f>
        <v>0</v>
      </c>
      <c r="M49" s="382">
        <f t="shared" si="2"/>
        <v>0</v>
      </c>
      <c r="N49" s="379"/>
      <c r="O49" s="379"/>
      <c r="P49" s="379"/>
      <c r="Q49" s="379"/>
      <c r="R49" s="379"/>
      <c r="S49" s="379"/>
    </row>
    <row r="50" spans="1:19" s="300" customFormat="1" x14ac:dyDescent="0.3">
      <c r="A50" s="379" t="s">
        <v>42</v>
      </c>
      <c r="B50" s="379"/>
      <c r="C50" s="379"/>
      <c r="D50" s="379"/>
      <c r="E50" s="379"/>
      <c r="F50" s="379"/>
      <c r="G50" s="379"/>
      <c r="H50" s="381">
        <f>(H5)/60</f>
        <v>4.833333333333333</v>
      </c>
      <c r="I50" s="381">
        <f>(I21)/60</f>
        <v>1.5</v>
      </c>
      <c r="J50" s="381">
        <f>(J6+J12+J20)/60</f>
        <v>3.1666666666666665</v>
      </c>
      <c r="K50" s="381">
        <f>(K6+K8+K11+K28)/60</f>
        <v>8.7833333333333332</v>
      </c>
      <c r="L50" s="382">
        <f t="shared" si="2"/>
        <v>0</v>
      </c>
      <c r="M50" s="382">
        <f t="shared" si="2"/>
        <v>0</v>
      </c>
      <c r="N50" s="379"/>
      <c r="O50" s="379"/>
      <c r="P50" s="379"/>
      <c r="Q50" s="379"/>
      <c r="R50" s="379"/>
      <c r="S50" s="379"/>
    </row>
    <row r="51" spans="1:19" s="300" customFormat="1" x14ac:dyDescent="0.3">
      <c r="A51" s="379" t="s">
        <v>43</v>
      </c>
      <c r="B51" s="379"/>
      <c r="C51" s="379"/>
      <c r="D51" s="379"/>
      <c r="E51" s="379"/>
      <c r="F51" s="379"/>
      <c r="G51" s="379"/>
      <c r="H51" s="381">
        <f>(H24)/60</f>
        <v>0.66666666666666663</v>
      </c>
      <c r="I51" s="381">
        <v>0</v>
      </c>
      <c r="J51" s="381">
        <f>(J24+J19+J18)/60</f>
        <v>1.4166666666666667</v>
      </c>
      <c r="K51" s="381">
        <f>(K9+K27+K34)/60</f>
        <v>3.75</v>
      </c>
      <c r="L51" s="382">
        <f t="shared" si="2"/>
        <v>0</v>
      </c>
      <c r="M51" s="382">
        <f t="shared" si="2"/>
        <v>0</v>
      </c>
      <c r="N51" s="379"/>
      <c r="O51" s="379"/>
      <c r="P51" s="379"/>
      <c r="Q51" s="379"/>
      <c r="R51" s="379"/>
      <c r="S51" s="379"/>
    </row>
    <row r="52" spans="1:19" x14ac:dyDescent="0.3">
      <c r="A52" s="367" t="s">
        <v>141</v>
      </c>
      <c r="B52" s="301"/>
      <c r="C52" s="301"/>
      <c r="D52" s="301"/>
      <c r="E52" s="301"/>
      <c r="F52" s="301"/>
      <c r="G52" s="301"/>
      <c r="H52" s="381">
        <f>(H39)/60</f>
        <v>0</v>
      </c>
      <c r="I52" s="381">
        <f>(I39)/60</f>
        <v>0</v>
      </c>
      <c r="J52" s="381">
        <f>(J39)/60</f>
        <v>0</v>
      </c>
      <c r="K52" s="381">
        <f>K39/60</f>
        <v>0</v>
      </c>
      <c r="L52" s="301"/>
      <c r="M52" s="301"/>
      <c r="N52" s="301"/>
      <c r="O52" s="301"/>
      <c r="P52" s="301"/>
      <c r="Q52" s="301"/>
      <c r="R52" s="301"/>
      <c r="S52" s="301"/>
    </row>
    <row r="53" spans="1:19" x14ac:dyDescent="0.3">
      <c r="A53" s="367"/>
      <c r="B53" s="301"/>
      <c r="C53" s="301"/>
      <c r="D53" s="301"/>
      <c r="E53" s="301"/>
      <c r="F53" s="301"/>
      <c r="G53" s="301"/>
      <c r="H53" s="301"/>
      <c r="I53" s="379"/>
      <c r="J53" s="300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19" x14ac:dyDescent="0.3">
      <c r="A54" s="379"/>
      <c r="B54" s="301"/>
      <c r="C54" s="301"/>
      <c r="D54" s="301"/>
      <c r="E54" s="301"/>
      <c r="F54" s="301"/>
      <c r="G54" s="301"/>
      <c r="H54" s="301"/>
      <c r="I54" s="301"/>
      <c r="J54" s="301"/>
      <c r="K54" s="300"/>
      <c r="L54" s="301"/>
      <c r="M54" s="301"/>
      <c r="N54" s="301"/>
      <c r="O54" s="301"/>
      <c r="P54" s="301"/>
      <c r="Q54" s="301"/>
      <c r="R54" s="301"/>
      <c r="S54" s="301"/>
    </row>
    <row r="55" spans="1:19" x14ac:dyDescent="0.3">
      <c r="A55" s="379"/>
      <c r="B55" s="301"/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19" x14ac:dyDescent="0.3">
      <c r="A56" s="379"/>
      <c r="B56" s="301"/>
      <c r="C56" s="301"/>
      <c r="D56" s="301"/>
      <c r="E56" s="383"/>
      <c r="F56" s="383"/>
      <c r="G56" s="363"/>
      <c r="H56" s="363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19" ht="19.5" x14ac:dyDescent="0.35">
      <c r="B57" s="301"/>
      <c r="C57" s="2085" t="s">
        <v>143</v>
      </c>
      <c r="D57" s="2086"/>
      <c r="E57" s="2086"/>
      <c r="F57" s="2086"/>
      <c r="G57" s="2087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19" ht="19.5" thickBot="1" x14ac:dyDescent="0.35">
      <c r="B58" s="301"/>
      <c r="C58" s="301"/>
      <c r="D58" s="301"/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19" ht="19.5" thickBot="1" x14ac:dyDescent="0.35">
      <c r="B59" s="301"/>
      <c r="C59" s="385"/>
      <c r="D59" s="385" t="s">
        <v>1</v>
      </c>
      <c r="E59" s="386" t="s">
        <v>101</v>
      </c>
      <c r="F59" s="386" t="s">
        <v>102</v>
      </c>
      <c r="G59" s="386" t="s">
        <v>103</v>
      </c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19" x14ac:dyDescent="0.3">
      <c r="B60" s="301"/>
      <c r="C60" s="387" t="s">
        <v>108</v>
      </c>
      <c r="D60" s="388">
        <f>H49</f>
        <v>5.583333333333333</v>
      </c>
      <c r="E60" s="388">
        <f t="shared" ref="E60:F63" si="3">J49</f>
        <v>28.916666666666668</v>
      </c>
      <c r="F60" s="388">
        <f t="shared" si="3"/>
        <v>8.5833333333333339</v>
      </c>
      <c r="G60" s="389">
        <f>I49</f>
        <v>0</v>
      </c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19" x14ac:dyDescent="0.3">
      <c r="A61" s="367"/>
      <c r="B61" s="301"/>
      <c r="C61" s="390" t="s">
        <v>109</v>
      </c>
      <c r="D61" s="391">
        <f>H50</f>
        <v>4.833333333333333</v>
      </c>
      <c r="E61" s="391">
        <f t="shared" si="3"/>
        <v>3.1666666666666665</v>
      </c>
      <c r="F61" s="391">
        <f t="shared" si="3"/>
        <v>8.7833333333333332</v>
      </c>
      <c r="G61" s="392">
        <f>I50</f>
        <v>1.5</v>
      </c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19" x14ac:dyDescent="0.3">
      <c r="A62" s="301"/>
      <c r="B62" s="301"/>
      <c r="C62" s="390" t="s">
        <v>110</v>
      </c>
      <c r="D62" s="391">
        <f>H51</f>
        <v>0.66666666666666663</v>
      </c>
      <c r="E62" s="391">
        <f t="shared" si="3"/>
        <v>1.4166666666666667</v>
      </c>
      <c r="F62" s="391">
        <f t="shared" si="3"/>
        <v>3.75</v>
      </c>
      <c r="G62" s="392">
        <f>I51</f>
        <v>0</v>
      </c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19" ht="19.5" thickBot="1" x14ac:dyDescent="0.35">
      <c r="A63" s="301"/>
      <c r="B63" s="301"/>
      <c r="C63" s="393" t="s">
        <v>111</v>
      </c>
      <c r="D63" s="394">
        <f>H52</f>
        <v>0</v>
      </c>
      <c r="E63" s="394">
        <f t="shared" si="3"/>
        <v>0</v>
      </c>
      <c r="F63" s="394">
        <f t="shared" si="3"/>
        <v>0</v>
      </c>
      <c r="G63" s="394">
        <f>I52</f>
        <v>0</v>
      </c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19" ht="19.5" thickBot="1" x14ac:dyDescent="0.35">
      <c r="A64" s="301"/>
      <c r="B64" s="301"/>
      <c r="C64" s="395" t="s">
        <v>100</v>
      </c>
      <c r="D64" s="396">
        <f>D60+D61+D62+D63</f>
        <v>11.083333333333332</v>
      </c>
      <c r="E64" s="396">
        <f>E60+E61+E62+E63</f>
        <v>33.5</v>
      </c>
      <c r="F64" s="396">
        <f>F60+F61+F62+F63</f>
        <v>21.116666666666667</v>
      </c>
      <c r="G64" s="396">
        <f>G60+G61+G62+G63</f>
        <v>1.5</v>
      </c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  <row r="65" spans="1:19" x14ac:dyDescent="0.3">
      <c r="A65" s="301"/>
      <c r="B65" s="301"/>
      <c r="C65" s="301"/>
      <c r="D65" s="301"/>
      <c r="E65" s="301"/>
      <c r="F65" s="301"/>
      <c r="G65" s="301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</row>
    <row r="66" spans="1:19" x14ac:dyDescent="0.3">
      <c r="A66" s="301"/>
      <c r="B66" s="301"/>
      <c r="C66" s="367" t="s">
        <v>106</v>
      </c>
      <c r="D66" s="397">
        <f>D60+D61+D62+E60+E61+E62+F60+F61+F62+G60+G61+G62</f>
        <v>67.199999999999989</v>
      </c>
      <c r="E66" s="301"/>
      <c r="F66" s="301"/>
      <c r="G66" s="301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1"/>
      <c r="S66" s="301"/>
    </row>
    <row r="67" spans="1:19" x14ac:dyDescent="0.3">
      <c r="A67" s="301"/>
      <c r="B67" s="301"/>
      <c r="C67" s="367" t="s">
        <v>107</v>
      </c>
      <c r="D67" s="397">
        <f>AVERAGE(D63:G63)</f>
        <v>0</v>
      </c>
      <c r="E67" s="301"/>
      <c r="F67" s="301"/>
      <c r="G67" s="301"/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</row>
    <row r="68" spans="1:19" x14ac:dyDescent="0.3">
      <c r="A68" s="301"/>
      <c r="B68" s="301"/>
      <c r="C68" s="301"/>
      <c r="D68" s="301"/>
      <c r="E68" s="301"/>
      <c r="F68" s="301"/>
      <c r="G68" s="301"/>
      <c r="H68" s="301"/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</row>
    <row r="69" spans="1:19" x14ac:dyDescent="0.3">
      <c r="A69" s="301"/>
      <c r="B69" s="301"/>
      <c r="C69" s="301"/>
      <c r="D69" s="301"/>
      <c r="E69" s="301"/>
      <c r="F69" s="301"/>
      <c r="G69" s="301"/>
      <c r="H69" s="301"/>
      <c r="I69" s="301"/>
      <c r="J69" s="301"/>
      <c r="K69" s="301"/>
      <c r="L69" s="301"/>
      <c r="M69" s="301"/>
      <c r="N69" s="301"/>
      <c r="O69" s="301"/>
      <c r="P69" s="301"/>
      <c r="Q69" s="301"/>
      <c r="R69" s="301"/>
      <c r="S69" s="301"/>
    </row>
    <row r="70" spans="1:19" x14ac:dyDescent="0.3">
      <c r="A70" s="301"/>
      <c r="B70" s="301"/>
      <c r="C70" s="301"/>
      <c r="D70" s="301"/>
      <c r="E70" s="301"/>
      <c r="F70" s="301"/>
      <c r="G70" s="301"/>
      <c r="H70" s="301"/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</row>
    <row r="71" spans="1:19" x14ac:dyDescent="0.3">
      <c r="A71" s="301"/>
      <c r="B71" s="301"/>
      <c r="C71" s="301"/>
      <c r="D71" s="301"/>
      <c r="E71" s="301"/>
      <c r="F71" s="301"/>
      <c r="G71" s="301"/>
      <c r="H71" s="301"/>
      <c r="I71" s="301"/>
      <c r="J71" s="301"/>
      <c r="K71" s="301"/>
      <c r="L71" s="301"/>
      <c r="M71" s="301"/>
      <c r="N71" s="301"/>
      <c r="O71" s="301"/>
      <c r="P71" s="301"/>
      <c r="Q71" s="301"/>
      <c r="R71" s="301"/>
      <c r="S71" s="301"/>
    </row>
    <row r="72" spans="1:19" x14ac:dyDescent="0.3">
      <c r="A72" s="301"/>
      <c r="B72" s="301"/>
      <c r="C72" s="301"/>
      <c r="D72" s="301"/>
      <c r="E72" s="301"/>
      <c r="F72" s="301"/>
      <c r="G72" s="301"/>
      <c r="H72" s="301"/>
      <c r="I72" s="301"/>
      <c r="J72" s="301"/>
      <c r="K72" s="301"/>
      <c r="L72" s="301"/>
      <c r="M72" s="301"/>
      <c r="N72" s="301"/>
      <c r="O72" s="301"/>
      <c r="P72" s="301"/>
      <c r="Q72" s="301"/>
      <c r="R72" s="301"/>
      <c r="S72" s="301"/>
    </row>
    <row r="73" spans="1:19" x14ac:dyDescent="0.3">
      <c r="A73" s="301"/>
      <c r="B73" s="301"/>
      <c r="C73" s="301"/>
      <c r="D73" s="301"/>
      <c r="E73" s="301"/>
      <c r="F73" s="301"/>
      <c r="G73" s="301"/>
      <c r="H73" s="301"/>
      <c r="I73" s="301"/>
      <c r="J73" s="301"/>
      <c r="K73" s="301"/>
      <c r="L73" s="301"/>
      <c r="M73" s="301"/>
      <c r="N73" s="301"/>
      <c r="O73" s="301"/>
      <c r="P73" s="301"/>
      <c r="Q73" s="301"/>
      <c r="R73" s="301"/>
      <c r="S73" s="301"/>
    </row>
    <row r="74" spans="1:19" x14ac:dyDescent="0.3">
      <c r="A74" s="301"/>
      <c r="B74" s="301"/>
      <c r="C74" s="301"/>
      <c r="D74" s="301"/>
      <c r="E74" s="301"/>
      <c r="F74" s="301"/>
      <c r="G74" s="301"/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</row>
    <row r="75" spans="1:19" x14ac:dyDescent="0.3">
      <c r="A75" s="301"/>
      <c r="B75" s="301"/>
      <c r="C75" s="301"/>
      <c r="D75" s="301"/>
      <c r="E75" s="301"/>
      <c r="F75" s="301"/>
      <c r="G75" s="301"/>
      <c r="H75" s="301"/>
      <c r="I75" s="301"/>
      <c r="J75" s="301"/>
      <c r="K75" s="301"/>
      <c r="L75" s="301"/>
      <c r="M75" s="301"/>
      <c r="N75" s="301"/>
      <c r="O75" s="301"/>
      <c r="P75" s="301"/>
      <c r="Q75" s="301"/>
      <c r="R75" s="301"/>
      <c r="S75" s="301"/>
    </row>
    <row r="76" spans="1:19" x14ac:dyDescent="0.3">
      <c r="A76" s="301"/>
      <c r="B76" s="301"/>
      <c r="C76" s="301"/>
      <c r="D76" s="301"/>
      <c r="E76" s="301"/>
      <c r="F76" s="301"/>
      <c r="G76" s="301"/>
      <c r="H76" s="301"/>
      <c r="I76" s="301"/>
      <c r="J76" s="301"/>
      <c r="K76" s="301"/>
      <c r="L76" s="301"/>
      <c r="M76" s="301"/>
      <c r="N76" s="301"/>
      <c r="O76" s="301"/>
      <c r="P76" s="301"/>
      <c r="Q76" s="301"/>
      <c r="R76" s="301"/>
      <c r="S76" s="301"/>
    </row>
    <row r="77" spans="1:19" x14ac:dyDescent="0.3">
      <c r="A77" s="301"/>
      <c r="B77" s="301"/>
      <c r="C77" s="301"/>
      <c r="D77" s="301"/>
      <c r="E77" s="301"/>
      <c r="F77" s="301"/>
      <c r="G77" s="301"/>
      <c r="H77" s="301"/>
      <c r="I77" s="301"/>
      <c r="J77" s="301"/>
      <c r="K77" s="301"/>
      <c r="L77" s="301"/>
      <c r="M77" s="301"/>
      <c r="N77" s="301"/>
      <c r="O77" s="301"/>
      <c r="P77" s="301"/>
      <c r="Q77" s="301"/>
      <c r="R77" s="301"/>
      <c r="S77" s="301"/>
    </row>
    <row r="78" spans="1:19" x14ac:dyDescent="0.3">
      <c r="A78" s="301"/>
      <c r="B78" s="301"/>
      <c r="C78" s="301"/>
      <c r="D78" s="301"/>
      <c r="E78" s="301"/>
      <c r="F78" s="301"/>
      <c r="G78" s="301"/>
      <c r="H78" s="301"/>
      <c r="I78" s="301"/>
      <c r="J78" s="301"/>
      <c r="K78" s="301"/>
      <c r="L78" s="301"/>
      <c r="M78" s="301"/>
      <c r="N78" s="301"/>
      <c r="O78" s="301"/>
      <c r="P78" s="301"/>
      <c r="Q78" s="301"/>
      <c r="R78" s="301"/>
      <c r="S78" s="301"/>
    </row>
    <row r="79" spans="1:19" x14ac:dyDescent="0.3">
      <c r="A79" s="301"/>
      <c r="B79" s="301"/>
      <c r="C79" s="301"/>
      <c r="D79" s="301"/>
      <c r="E79" s="301"/>
      <c r="F79" s="301"/>
      <c r="G79" s="301"/>
      <c r="H79" s="301"/>
      <c r="I79" s="301"/>
      <c r="J79" s="301"/>
      <c r="K79" s="301"/>
      <c r="L79" s="301"/>
      <c r="M79" s="301"/>
      <c r="N79" s="301"/>
      <c r="O79" s="301"/>
      <c r="P79" s="301"/>
      <c r="Q79" s="301"/>
      <c r="R79" s="301"/>
      <c r="S79" s="301"/>
    </row>
    <row r="80" spans="1:19" x14ac:dyDescent="0.3">
      <c r="A80" s="301"/>
      <c r="B80" s="301"/>
      <c r="C80" s="301"/>
      <c r="D80" s="301"/>
      <c r="E80" s="301"/>
      <c r="F80" s="301"/>
      <c r="G80" s="301"/>
      <c r="H80" s="301"/>
      <c r="I80" s="301"/>
      <c r="J80" s="301"/>
      <c r="K80" s="301"/>
      <c r="L80" s="301"/>
      <c r="M80" s="301"/>
      <c r="N80" s="301"/>
      <c r="O80" s="301"/>
      <c r="P80" s="301"/>
      <c r="Q80" s="301"/>
      <c r="R80" s="301"/>
      <c r="S80" s="301"/>
    </row>
    <row r="81" spans="1:19" x14ac:dyDescent="0.3">
      <c r="A81" s="301"/>
      <c r="B81" s="301"/>
      <c r="C81" s="301"/>
      <c r="D81" s="301"/>
      <c r="E81" s="301"/>
      <c r="F81" s="301"/>
      <c r="G81" s="301"/>
      <c r="H81" s="301"/>
      <c r="I81" s="301"/>
      <c r="J81" s="301"/>
      <c r="K81" s="301"/>
      <c r="L81" s="301"/>
      <c r="M81" s="301"/>
      <c r="N81" s="301"/>
      <c r="O81" s="301"/>
      <c r="P81" s="301"/>
      <c r="Q81" s="301"/>
      <c r="R81" s="301"/>
      <c r="S81" s="301"/>
    </row>
    <row r="82" spans="1:19" x14ac:dyDescent="0.3">
      <c r="A82" s="301"/>
      <c r="B82" s="301"/>
      <c r="C82" s="301"/>
      <c r="D82" s="301"/>
      <c r="E82" s="301"/>
      <c r="F82" s="301"/>
      <c r="G82" s="301"/>
      <c r="H82" s="301"/>
      <c r="I82" s="301"/>
      <c r="J82" s="301"/>
      <c r="K82" s="301"/>
      <c r="L82" s="301"/>
      <c r="M82" s="301"/>
      <c r="N82" s="301"/>
      <c r="O82" s="301"/>
      <c r="P82" s="301"/>
      <c r="Q82" s="301"/>
      <c r="R82" s="301"/>
      <c r="S82" s="301"/>
    </row>
    <row r="83" spans="1:19" x14ac:dyDescent="0.3">
      <c r="A83" s="301"/>
      <c r="B83" s="301"/>
      <c r="C83" s="301"/>
      <c r="D83" s="301"/>
      <c r="E83" s="301"/>
      <c r="F83" s="301"/>
      <c r="G83" s="301"/>
      <c r="H83" s="301"/>
      <c r="I83" s="301"/>
      <c r="J83" s="301"/>
      <c r="K83" s="301"/>
      <c r="L83" s="301"/>
      <c r="M83" s="301"/>
      <c r="N83" s="301"/>
      <c r="O83" s="301"/>
      <c r="P83" s="301"/>
      <c r="Q83" s="301"/>
      <c r="R83" s="301"/>
      <c r="S83" s="301"/>
    </row>
    <row r="84" spans="1:19" x14ac:dyDescent="0.3">
      <c r="A84" s="301"/>
      <c r="B84" s="301"/>
      <c r="C84" s="301"/>
      <c r="D84" s="301"/>
      <c r="E84" s="301"/>
      <c r="F84" s="301"/>
      <c r="G84" s="301"/>
      <c r="H84" s="301"/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1"/>
    </row>
    <row r="85" spans="1:19" x14ac:dyDescent="0.3">
      <c r="A85" s="301"/>
      <c r="B85" s="301"/>
      <c r="C85" s="301"/>
      <c r="D85" s="301"/>
      <c r="E85" s="301"/>
      <c r="F85" s="301"/>
      <c r="G85" s="301"/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</row>
    <row r="86" spans="1:19" x14ac:dyDescent="0.3">
      <c r="A86" s="301"/>
      <c r="B86" s="301"/>
      <c r="C86" s="301"/>
      <c r="D86" s="301"/>
      <c r="E86" s="301"/>
      <c r="F86" s="301"/>
      <c r="G86" s="301"/>
      <c r="H86" s="301"/>
      <c r="I86" s="301"/>
      <c r="J86" s="301"/>
      <c r="K86" s="301"/>
      <c r="L86" s="301"/>
      <c r="M86" s="301"/>
      <c r="N86" s="301"/>
      <c r="O86" s="301"/>
      <c r="P86" s="301"/>
      <c r="Q86" s="301"/>
      <c r="R86" s="301"/>
      <c r="S86" s="301"/>
    </row>
    <row r="87" spans="1:19" x14ac:dyDescent="0.3">
      <c r="A87" s="301"/>
      <c r="B87" s="301"/>
      <c r="C87" s="301"/>
      <c r="D87" s="301"/>
      <c r="E87" s="301"/>
      <c r="F87" s="301"/>
      <c r="G87" s="301"/>
      <c r="H87" s="301"/>
      <c r="I87" s="301"/>
      <c r="J87" s="301"/>
      <c r="K87" s="301"/>
      <c r="L87" s="301"/>
      <c r="M87" s="301"/>
      <c r="N87" s="301"/>
      <c r="O87" s="301"/>
      <c r="P87" s="301"/>
      <c r="Q87" s="301"/>
      <c r="R87" s="301"/>
      <c r="S87" s="301"/>
    </row>
    <row r="88" spans="1:19" x14ac:dyDescent="0.3">
      <c r="A88" s="301"/>
      <c r="B88" s="301"/>
      <c r="C88" s="301"/>
      <c r="D88" s="301"/>
      <c r="E88" s="301"/>
      <c r="F88" s="301"/>
      <c r="G88" s="301"/>
      <c r="H88" s="301"/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1"/>
    </row>
    <row r="89" spans="1:19" x14ac:dyDescent="0.3">
      <c r="A89" s="301"/>
      <c r="B89" s="301"/>
      <c r="C89" s="301"/>
      <c r="D89" s="301"/>
      <c r="E89" s="301"/>
      <c r="F89" s="301"/>
      <c r="G89" s="301"/>
      <c r="H89" s="301"/>
      <c r="I89" s="301"/>
      <c r="J89" s="301"/>
      <c r="K89" s="301"/>
      <c r="L89" s="301"/>
      <c r="M89" s="301"/>
      <c r="N89" s="301"/>
      <c r="O89" s="301"/>
      <c r="P89" s="301"/>
      <c r="Q89" s="301"/>
      <c r="R89" s="301"/>
      <c r="S89" s="301"/>
    </row>
    <row r="90" spans="1:19" x14ac:dyDescent="0.3">
      <c r="A90" s="301"/>
      <c r="B90" s="301"/>
      <c r="C90" s="301"/>
      <c r="D90" s="301"/>
      <c r="E90" s="301"/>
      <c r="F90" s="301"/>
      <c r="G90" s="301"/>
      <c r="H90" s="301"/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</row>
    <row r="91" spans="1:19" x14ac:dyDescent="0.3">
      <c r="A91" s="301"/>
      <c r="B91" s="301"/>
      <c r="C91" s="301"/>
      <c r="D91" s="301"/>
      <c r="E91" s="301"/>
      <c r="F91" s="301"/>
      <c r="G91" s="301"/>
      <c r="H91" s="301"/>
      <c r="I91" s="301"/>
      <c r="J91" s="301"/>
      <c r="K91" s="301"/>
      <c r="L91" s="301"/>
      <c r="M91" s="301"/>
      <c r="N91" s="301"/>
      <c r="O91" s="301"/>
      <c r="P91" s="301"/>
      <c r="Q91" s="301"/>
      <c r="R91" s="301"/>
      <c r="S91" s="301"/>
    </row>
    <row r="92" spans="1:19" x14ac:dyDescent="0.3">
      <c r="A92" s="301"/>
      <c r="B92" s="301"/>
      <c r="C92" s="301"/>
      <c r="D92" s="301"/>
      <c r="E92" s="301"/>
      <c r="F92" s="301"/>
      <c r="G92" s="301"/>
      <c r="H92" s="301"/>
      <c r="I92" s="301"/>
      <c r="J92" s="301"/>
      <c r="K92" s="301"/>
      <c r="L92" s="301"/>
      <c r="M92" s="301"/>
      <c r="N92" s="301"/>
      <c r="O92" s="301"/>
      <c r="P92" s="301"/>
      <c r="Q92" s="301"/>
      <c r="R92" s="301"/>
      <c r="S92" s="301"/>
    </row>
    <row r="93" spans="1:19" x14ac:dyDescent="0.3">
      <c r="A93" s="301"/>
      <c r="B93" s="301"/>
      <c r="C93" s="301"/>
      <c r="D93" s="301"/>
      <c r="E93" s="301"/>
      <c r="F93" s="301"/>
      <c r="G93" s="301"/>
      <c r="H93" s="301"/>
      <c r="I93" s="301"/>
      <c r="J93" s="301"/>
      <c r="K93" s="301"/>
      <c r="L93" s="301"/>
      <c r="M93" s="301"/>
      <c r="N93" s="301"/>
      <c r="O93" s="301"/>
      <c r="P93" s="301"/>
      <c r="Q93" s="301"/>
      <c r="R93" s="301"/>
      <c r="S93" s="301"/>
    </row>
    <row r="94" spans="1:19" x14ac:dyDescent="0.3">
      <c r="A94" s="301"/>
      <c r="B94" s="301"/>
      <c r="C94" s="301"/>
      <c r="D94" s="301"/>
      <c r="E94" s="301"/>
      <c r="F94" s="301"/>
      <c r="G94" s="301"/>
      <c r="H94" s="301"/>
      <c r="I94" s="301"/>
      <c r="J94" s="301"/>
      <c r="K94" s="301"/>
      <c r="L94" s="301"/>
      <c r="M94" s="301"/>
      <c r="N94" s="301"/>
      <c r="O94" s="301"/>
      <c r="P94" s="301"/>
      <c r="Q94" s="301"/>
      <c r="R94" s="301"/>
      <c r="S94" s="301"/>
    </row>
    <row r="95" spans="1:19" x14ac:dyDescent="0.3">
      <c r="A95" s="301"/>
      <c r="B95" s="301"/>
      <c r="C95" s="301"/>
      <c r="D95" s="301"/>
      <c r="E95" s="301"/>
      <c r="F95" s="301"/>
      <c r="G95" s="301"/>
      <c r="H95" s="301"/>
      <c r="I95" s="301"/>
      <c r="J95" s="301"/>
      <c r="K95" s="301"/>
      <c r="L95" s="301"/>
      <c r="M95" s="301"/>
      <c r="N95" s="301"/>
      <c r="O95" s="301"/>
      <c r="P95" s="301"/>
      <c r="Q95" s="301"/>
      <c r="R95" s="301"/>
      <c r="S95" s="301"/>
    </row>
    <row r="96" spans="1:19" x14ac:dyDescent="0.3">
      <c r="A96" s="301"/>
      <c r="B96" s="301"/>
      <c r="C96" s="301"/>
      <c r="D96" s="301"/>
      <c r="E96" s="301"/>
      <c r="F96" s="301"/>
      <c r="G96" s="301"/>
      <c r="H96" s="301"/>
      <c r="I96" s="301"/>
      <c r="J96" s="301"/>
      <c r="K96" s="301"/>
      <c r="L96" s="301"/>
      <c r="M96" s="301"/>
      <c r="N96" s="301"/>
      <c r="O96" s="301"/>
      <c r="P96" s="301"/>
      <c r="Q96" s="301"/>
      <c r="R96" s="301"/>
      <c r="S96" s="301"/>
    </row>
    <row r="97" spans="1:19" x14ac:dyDescent="0.3">
      <c r="A97" s="301"/>
      <c r="B97" s="301"/>
      <c r="C97" s="301"/>
      <c r="D97" s="301"/>
      <c r="E97" s="301"/>
      <c r="F97" s="301"/>
      <c r="G97" s="301"/>
      <c r="H97" s="301"/>
      <c r="I97" s="301"/>
      <c r="J97" s="301"/>
      <c r="K97" s="301"/>
      <c r="L97" s="301"/>
      <c r="M97" s="301"/>
      <c r="N97" s="301"/>
      <c r="O97" s="301"/>
      <c r="P97" s="301"/>
      <c r="Q97" s="301"/>
      <c r="R97" s="301"/>
      <c r="S97" s="301"/>
    </row>
    <row r="98" spans="1:19" x14ac:dyDescent="0.3">
      <c r="A98" s="301"/>
      <c r="B98" s="301"/>
      <c r="C98" s="301"/>
      <c r="D98" s="301"/>
      <c r="E98" s="301"/>
      <c r="F98" s="301"/>
      <c r="G98" s="301"/>
      <c r="H98" s="301"/>
      <c r="I98" s="301"/>
      <c r="J98" s="301"/>
      <c r="K98" s="301"/>
      <c r="L98" s="301"/>
      <c r="M98" s="301"/>
      <c r="N98" s="301"/>
      <c r="O98" s="301"/>
      <c r="P98" s="301"/>
      <c r="Q98" s="301"/>
      <c r="R98" s="301"/>
      <c r="S98" s="301"/>
    </row>
    <row r="99" spans="1:19" x14ac:dyDescent="0.3">
      <c r="A99" s="301"/>
      <c r="B99" s="301"/>
      <c r="C99" s="301"/>
      <c r="D99" s="301"/>
      <c r="E99" s="301"/>
      <c r="F99" s="301"/>
      <c r="G99" s="301"/>
      <c r="H99" s="301"/>
      <c r="I99" s="301"/>
      <c r="J99" s="301"/>
      <c r="K99" s="301"/>
      <c r="L99" s="301"/>
      <c r="M99" s="301"/>
      <c r="N99" s="301"/>
      <c r="O99" s="301"/>
      <c r="P99" s="301"/>
      <c r="Q99" s="301"/>
      <c r="R99" s="301"/>
      <c r="S99" s="301"/>
    </row>
    <row r="100" spans="1:19" x14ac:dyDescent="0.3">
      <c r="A100" s="301"/>
      <c r="B100" s="301"/>
      <c r="C100" s="301"/>
      <c r="D100" s="301"/>
      <c r="E100" s="301"/>
      <c r="F100" s="301"/>
      <c r="G100" s="301"/>
      <c r="H100" s="301"/>
      <c r="I100" s="301"/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</row>
    <row r="101" spans="1:19" x14ac:dyDescent="0.3">
      <c r="A101" s="301"/>
      <c r="B101" s="301"/>
      <c r="C101" s="301"/>
      <c r="D101" s="301"/>
      <c r="E101" s="301"/>
      <c r="F101" s="301"/>
      <c r="G101" s="301"/>
      <c r="H101" s="301"/>
      <c r="I101" s="301"/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</row>
    <row r="102" spans="1:19" x14ac:dyDescent="0.3">
      <c r="A102" s="301"/>
      <c r="B102" s="301"/>
      <c r="C102" s="301"/>
      <c r="D102" s="301"/>
      <c r="E102" s="301"/>
      <c r="F102" s="301"/>
      <c r="G102" s="301"/>
      <c r="H102" s="301"/>
      <c r="I102" s="301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</row>
    <row r="103" spans="1:19" x14ac:dyDescent="0.3">
      <c r="A103" s="301"/>
      <c r="B103" s="301"/>
      <c r="C103" s="301"/>
      <c r="D103" s="301"/>
      <c r="E103" s="301"/>
      <c r="F103" s="301"/>
      <c r="G103" s="301"/>
      <c r="H103" s="301"/>
      <c r="I103" s="301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</row>
    <row r="104" spans="1:19" x14ac:dyDescent="0.3">
      <c r="A104" s="301"/>
      <c r="B104" s="301"/>
      <c r="C104" s="301"/>
      <c r="D104" s="301"/>
      <c r="E104" s="301"/>
      <c r="F104" s="301"/>
      <c r="G104" s="301"/>
      <c r="H104" s="301"/>
      <c r="I104" s="301"/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</row>
    <row r="105" spans="1:19" x14ac:dyDescent="0.3">
      <c r="A105" s="301"/>
      <c r="B105" s="301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</row>
    <row r="106" spans="1:19" x14ac:dyDescent="0.3">
      <c r="A106" s="301"/>
      <c r="B106" s="301"/>
      <c r="C106" s="301"/>
      <c r="D106" s="301"/>
      <c r="E106" s="301"/>
      <c r="F106" s="301"/>
      <c r="G106" s="301"/>
      <c r="H106" s="301"/>
      <c r="I106" s="301"/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</row>
    <row r="107" spans="1:19" x14ac:dyDescent="0.3">
      <c r="A107" s="301"/>
      <c r="B107" s="301"/>
      <c r="C107" s="301"/>
      <c r="D107" s="301"/>
      <c r="E107" s="301"/>
      <c r="F107" s="301"/>
      <c r="G107" s="301"/>
      <c r="H107" s="301"/>
      <c r="I107" s="301"/>
      <c r="J107" s="301"/>
      <c r="K107" s="301"/>
      <c r="L107" s="301"/>
      <c r="M107" s="301"/>
      <c r="N107" s="301"/>
      <c r="O107" s="301"/>
      <c r="P107" s="301"/>
      <c r="Q107" s="301"/>
      <c r="R107" s="301"/>
      <c r="S107" s="301"/>
    </row>
    <row r="108" spans="1:19" x14ac:dyDescent="0.3">
      <c r="A108" s="301"/>
      <c r="B108" s="301"/>
      <c r="C108" s="301"/>
      <c r="D108" s="301"/>
      <c r="E108" s="301"/>
      <c r="F108" s="301"/>
      <c r="G108" s="301"/>
      <c r="H108" s="301"/>
      <c r="I108" s="301"/>
      <c r="J108" s="301"/>
      <c r="K108" s="301"/>
      <c r="L108" s="301"/>
      <c r="M108" s="301"/>
      <c r="N108" s="301"/>
      <c r="O108" s="301"/>
      <c r="P108" s="301"/>
      <c r="Q108" s="301"/>
      <c r="R108" s="301"/>
      <c r="S108" s="301"/>
    </row>
    <row r="109" spans="1:19" x14ac:dyDescent="0.3">
      <c r="A109" s="301"/>
      <c r="B109" s="301"/>
      <c r="C109" s="301"/>
      <c r="D109" s="301"/>
      <c r="E109" s="301"/>
      <c r="F109" s="301"/>
      <c r="G109" s="301"/>
      <c r="H109" s="301"/>
      <c r="I109" s="301"/>
      <c r="J109" s="301"/>
      <c r="K109" s="301"/>
      <c r="L109" s="301"/>
      <c r="M109" s="301"/>
      <c r="N109" s="301"/>
      <c r="O109" s="301"/>
      <c r="P109" s="301"/>
      <c r="Q109" s="301"/>
      <c r="R109" s="301"/>
      <c r="S109" s="301"/>
    </row>
    <row r="110" spans="1:19" x14ac:dyDescent="0.3">
      <c r="A110" s="301"/>
      <c r="B110" s="301"/>
      <c r="C110" s="301"/>
      <c r="D110" s="301"/>
      <c r="E110" s="301"/>
      <c r="F110" s="301"/>
      <c r="G110" s="301"/>
      <c r="H110" s="301"/>
      <c r="I110" s="301"/>
      <c r="J110" s="301"/>
      <c r="K110" s="301"/>
      <c r="L110" s="301"/>
      <c r="M110" s="301"/>
      <c r="N110" s="301"/>
      <c r="O110" s="301"/>
      <c r="P110" s="301"/>
      <c r="Q110" s="301"/>
      <c r="R110" s="301"/>
      <c r="S110" s="301"/>
    </row>
    <row r="111" spans="1:19" x14ac:dyDescent="0.3">
      <c r="A111" s="301"/>
      <c r="B111" s="301"/>
      <c r="C111" s="301"/>
      <c r="D111" s="301"/>
      <c r="E111" s="301"/>
      <c r="F111" s="301"/>
      <c r="G111" s="301"/>
      <c r="H111" s="301"/>
      <c r="I111" s="301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</row>
    <row r="112" spans="1:19" x14ac:dyDescent="0.3">
      <c r="A112" s="301"/>
      <c r="B112" s="301"/>
      <c r="C112" s="301"/>
      <c r="D112" s="301"/>
      <c r="E112" s="301"/>
      <c r="F112" s="301"/>
      <c r="G112" s="301"/>
      <c r="H112" s="301"/>
      <c r="I112" s="301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</row>
    <row r="113" spans="1:19" x14ac:dyDescent="0.3">
      <c r="A113" s="301"/>
      <c r="B113" s="301"/>
      <c r="C113" s="301"/>
      <c r="D113" s="301"/>
      <c r="E113" s="301"/>
      <c r="F113" s="301"/>
      <c r="G113" s="301"/>
      <c r="H113" s="301"/>
      <c r="I113" s="301"/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</row>
    <row r="114" spans="1:19" x14ac:dyDescent="0.3">
      <c r="A114" s="301"/>
      <c r="B114" s="301"/>
      <c r="C114" s="301"/>
      <c r="D114" s="301"/>
      <c r="E114" s="301"/>
      <c r="F114" s="301"/>
      <c r="G114" s="301"/>
      <c r="H114" s="301"/>
      <c r="I114" s="301"/>
      <c r="J114" s="301"/>
      <c r="K114" s="301"/>
      <c r="L114" s="301"/>
      <c r="M114" s="301"/>
      <c r="N114" s="301"/>
      <c r="O114" s="301"/>
      <c r="P114" s="301"/>
      <c r="Q114" s="301"/>
      <c r="R114" s="301"/>
      <c r="S114" s="301"/>
    </row>
    <row r="115" spans="1:19" x14ac:dyDescent="0.3">
      <c r="A115" s="301"/>
      <c r="B115" s="301"/>
      <c r="C115" s="301"/>
      <c r="D115" s="301"/>
      <c r="E115" s="301"/>
      <c r="F115" s="301"/>
      <c r="G115" s="301"/>
      <c r="H115" s="301"/>
      <c r="I115" s="301"/>
      <c r="J115" s="301"/>
      <c r="K115" s="301"/>
      <c r="L115" s="301"/>
      <c r="M115" s="301"/>
      <c r="N115" s="301"/>
      <c r="O115" s="301"/>
      <c r="P115" s="301"/>
      <c r="Q115" s="301"/>
      <c r="R115" s="301"/>
      <c r="S115" s="301"/>
    </row>
    <row r="116" spans="1:19" x14ac:dyDescent="0.3">
      <c r="A116" s="301"/>
      <c r="B116" s="301"/>
      <c r="C116" s="301"/>
      <c r="D116" s="301"/>
      <c r="E116" s="301"/>
      <c r="F116" s="301"/>
      <c r="G116" s="301"/>
      <c r="H116" s="301"/>
      <c r="I116" s="301"/>
      <c r="J116" s="301"/>
      <c r="K116" s="301"/>
      <c r="L116" s="301"/>
      <c r="M116" s="301"/>
      <c r="N116" s="301"/>
      <c r="O116" s="301"/>
      <c r="P116" s="301"/>
      <c r="Q116" s="301"/>
      <c r="R116" s="301"/>
      <c r="S116" s="301"/>
    </row>
    <row r="117" spans="1:19" x14ac:dyDescent="0.3">
      <c r="A117" s="301"/>
      <c r="B117" s="301"/>
      <c r="C117" s="301"/>
      <c r="D117" s="301"/>
      <c r="E117" s="301"/>
      <c r="F117" s="301"/>
      <c r="G117" s="301"/>
      <c r="H117" s="301"/>
      <c r="I117" s="301"/>
      <c r="J117" s="301"/>
      <c r="K117" s="301"/>
      <c r="L117" s="301"/>
      <c r="M117" s="301"/>
      <c r="N117" s="301"/>
      <c r="O117" s="301"/>
      <c r="P117" s="301"/>
      <c r="Q117" s="301"/>
      <c r="R117" s="301"/>
      <c r="S117" s="301"/>
    </row>
    <row r="118" spans="1:19" x14ac:dyDescent="0.3">
      <c r="A118" s="301"/>
      <c r="B118" s="301"/>
      <c r="C118" s="301"/>
      <c r="D118" s="301"/>
      <c r="E118" s="301"/>
      <c r="F118" s="301"/>
      <c r="G118" s="301"/>
      <c r="H118" s="301"/>
      <c r="I118" s="301"/>
      <c r="J118" s="301"/>
      <c r="K118" s="301"/>
      <c r="L118" s="301"/>
      <c r="M118" s="301"/>
      <c r="N118" s="301"/>
      <c r="O118" s="301"/>
      <c r="P118" s="301"/>
      <c r="Q118" s="301"/>
      <c r="R118" s="301"/>
      <c r="S118" s="301"/>
    </row>
    <row r="119" spans="1:19" x14ac:dyDescent="0.3">
      <c r="A119" s="301"/>
      <c r="B119" s="301"/>
      <c r="C119" s="301"/>
      <c r="D119" s="301"/>
      <c r="E119" s="301"/>
      <c r="F119" s="301"/>
      <c r="G119" s="301"/>
      <c r="H119" s="301"/>
      <c r="I119" s="301"/>
      <c r="J119" s="301"/>
      <c r="K119" s="301"/>
      <c r="L119" s="301"/>
      <c r="M119" s="301"/>
      <c r="N119" s="301"/>
      <c r="O119" s="301"/>
      <c r="P119" s="301"/>
      <c r="Q119" s="301"/>
      <c r="R119" s="301"/>
      <c r="S119" s="301"/>
    </row>
    <row r="120" spans="1:19" x14ac:dyDescent="0.3">
      <c r="A120" s="301"/>
      <c r="B120" s="301"/>
      <c r="C120" s="301"/>
      <c r="D120" s="301"/>
      <c r="E120" s="301"/>
      <c r="F120" s="301"/>
      <c r="G120" s="301"/>
      <c r="H120" s="301"/>
      <c r="I120" s="301"/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</row>
    <row r="121" spans="1:19" x14ac:dyDescent="0.3">
      <c r="A121" s="301"/>
      <c r="B121" s="301"/>
      <c r="C121" s="301"/>
      <c r="D121" s="301"/>
      <c r="E121" s="301"/>
      <c r="F121" s="301"/>
      <c r="G121" s="301"/>
      <c r="H121" s="301"/>
      <c r="I121" s="301"/>
      <c r="J121" s="301"/>
      <c r="K121" s="301"/>
      <c r="L121" s="301"/>
      <c r="M121" s="301"/>
      <c r="N121" s="301"/>
      <c r="O121" s="301"/>
      <c r="P121" s="301"/>
      <c r="Q121" s="301"/>
      <c r="R121" s="301"/>
      <c r="S121" s="301"/>
    </row>
    <row r="122" spans="1:19" x14ac:dyDescent="0.3">
      <c r="A122" s="301"/>
      <c r="B122" s="301"/>
      <c r="C122" s="301"/>
      <c r="D122" s="301"/>
      <c r="E122" s="301"/>
      <c r="F122" s="301"/>
      <c r="G122" s="301"/>
      <c r="H122" s="301"/>
      <c r="I122" s="301"/>
      <c r="J122" s="301"/>
      <c r="K122" s="301"/>
      <c r="L122" s="301"/>
      <c r="M122" s="301"/>
      <c r="N122" s="301"/>
      <c r="O122" s="301"/>
      <c r="P122" s="301"/>
      <c r="Q122" s="301"/>
      <c r="R122" s="301"/>
      <c r="S122" s="301"/>
    </row>
    <row r="123" spans="1:19" x14ac:dyDescent="0.3">
      <c r="A123" s="301"/>
      <c r="B123" s="301"/>
      <c r="C123" s="301"/>
      <c r="D123" s="301"/>
      <c r="E123" s="301"/>
      <c r="F123" s="301"/>
      <c r="G123" s="301"/>
      <c r="H123" s="301"/>
      <c r="I123" s="301"/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</row>
    <row r="124" spans="1:19" x14ac:dyDescent="0.3">
      <c r="A124" s="301"/>
      <c r="B124" s="301"/>
      <c r="C124" s="301"/>
      <c r="D124" s="301"/>
      <c r="E124" s="301"/>
      <c r="F124" s="301"/>
      <c r="G124" s="301"/>
      <c r="H124" s="301"/>
      <c r="I124" s="301"/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</row>
    <row r="125" spans="1:19" x14ac:dyDescent="0.3">
      <c r="A125" s="301"/>
      <c r="B125" s="301"/>
      <c r="C125" s="301"/>
      <c r="D125" s="301"/>
      <c r="E125" s="301"/>
      <c r="F125" s="301"/>
      <c r="G125" s="301"/>
      <c r="H125" s="301"/>
      <c r="I125" s="301"/>
      <c r="J125" s="301"/>
      <c r="K125" s="301"/>
      <c r="L125" s="301"/>
      <c r="M125" s="301"/>
      <c r="N125" s="301"/>
      <c r="O125" s="301"/>
      <c r="P125" s="301"/>
      <c r="Q125" s="301"/>
      <c r="R125" s="301"/>
      <c r="S125" s="301"/>
    </row>
    <row r="126" spans="1:19" x14ac:dyDescent="0.3">
      <c r="A126" s="301"/>
      <c r="B126" s="301"/>
      <c r="C126" s="301"/>
      <c r="D126" s="301"/>
      <c r="E126" s="301"/>
      <c r="F126" s="301"/>
      <c r="G126" s="301"/>
      <c r="H126" s="301"/>
      <c r="I126" s="301"/>
      <c r="J126" s="301"/>
      <c r="K126" s="301"/>
      <c r="L126" s="301"/>
      <c r="M126" s="301"/>
      <c r="N126" s="301"/>
      <c r="O126" s="301"/>
      <c r="P126" s="301"/>
      <c r="Q126" s="301"/>
      <c r="R126" s="301"/>
      <c r="S126" s="301"/>
    </row>
    <row r="127" spans="1:19" x14ac:dyDescent="0.3">
      <c r="A127" s="301"/>
      <c r="B127" s="301"/>
      <c r="C127" s="301"/>
      <c r="D127" s="301"/>
      <c r="E127" s="301"/>
      <c r="F127" s="301"/>
      <c r="G127" s="301"/>
      <c r="H127" s="301"/>
      <c r="I127" s="301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</row>
    <row r="128" spans="1:19" x14ac:dyDescent="0.3">
      <c r="A128" s="301"/>
      <c r="B128" s="301"/>
      <c r="C128" s="301"/>
      <c r="D128" s="301"/>
      <c r="E128" s="301"/>
      <c r="F128" s="301"/>
      <c r="G128" s="301"/>
      <c r="H128" s="301"/>
      <c r="I128" s="301"/>
      <c r="J128" s="301"/>
      <c r="K128" s="301"/>
      <c r="L128" s="301"/>
      <c r="M128" s="301"/>
      <c r="N128" s="301"/>
      <c r="O128" s="301"/>
      <c r="P128" s="301"/>
      <c r="Q128" s="301"/>
      <c r="R128" s="301"/>
      <c r="S128" s="301"/>
    </row>
    <row r="129" spans="1:19" x14ac:dyDescent="0.3">
      <c r="A129" s="301"/>
      <c r="B129" s="301"/>
      <c r="C129" s="301"/>
      <c r="D129" s="301"/>
      <c r="E129" s="301"/>
      <c r="F129" s="301"/>
      <c r="G129" s="301"/>
      <c r="H129" s="301"/>
      <c r="I129" s="301"/>
      <c r="J129" s="301"/>
      <c r="K129" s="301"/>
      <c r="L129" s="301"/>
      <c r="M129" s="301"/>
      <c r="N129" s="301"/>
      <c r="O129" s="301"/>
      <c r="P129" s="301"/>
      <c r="Q129" s="301"/>
      <c r="R129" s="301"/>
      <c r="S129" s="301"/>
    </row>
    <row r="130" spans="1:19" x14ac:dyDescent="0.3">
      <c r="A130" s="301"/>
      <c r="B130" s="301"/>
      <c r="C130" s="301"/>
      <c r="D130" s="301"/>
      <c r="E130" s="301"/>
      <c r="F130" s="301"/>
      <c r="G130" s="301"/>
      <c r="H130" s="301"/>
      <c r="I130" s="301"/>
      <c r="J130" s="301"/>
      <c r="K130" s="301"/>
      <c r="L130" s="301"/>
      <c r="M130" s="301"/>
      <c r="N130" s="301"/>
      <c r="O130" s="301"/>
      <c r="P130" s="301"/>
      <c r="Q130" s="301"/>
      <c r="R130" s="301"/>
      <c r="S130" s="301"/>
    </row>
    <row r="131" spans="1:19" x14ac:dyDescent="0.3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01"/>
      <c r="M131" s="301"/>
      <c r="N131" s="301"/>
      <c r="O131" s="301"/>
      <c r="P131" s="301"/>
      <c r="Q131" s="301"/>
      <c r="R131" s="301"/>
      <c r="S131" s="301"/>
    </row>
    <row r="132" spans="1:19" x14ac:dyDescent="0.3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01"/>
      <c r="M132" s="301"/>
      <c r="N132" s="301"/>
      <c r="O132" s="301"/>
      <c r="P132" s="301"/>
      <c r="Q132" s="301"/>
      <c r="R132" s="301"/>
      <c r="S132" s="301"/>
    </row>
    <row r="133" spans="1:19" x14ac:dyDescent="0.3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01"/>
      <c r="M133" s="301"/>
      <c r="N133" s="301"/>
      <c r="O133" s="301"/>
      <c r="P133" s="301"/>
      <c r="Q133" s="301"/>
      <c r="R133" s="301"/>
      <c r="S133" s="301"/>
    </row>
    <row r="134" spans="1:19" x14ac:dyDescent="0.3">
      <c r="A134" s="301"/>
      <c r="B134" s="301"/>
      <c r="C134" s="301"/>
      <c r="D134" s="301"/>
      <c r="E134" s="301"/>
      <c r="F134" s="301"/>
      <c r="G134" s="301"/>
      <c r="H134" s="301"/>
      <c r="I134" s="301"/>
      <c r="J134" s="301"/>
      <c r="K134" s="301"/>
      <c r="L134" s="301"/>
      <c r="M134" s="301"/>
      <c r="N134" s="301"/>
      <c r="O134" s="301"/>
      <c r="P134" s="301"/>
      <c r="Q134" s="301"/>
      <c r="R134" s="301"/>
      <c r="S134" s="301"/>
    </row>
    <row r="135" spans="1:19" x14ac:dyDescent="0.3">
      <c r="A135" s="301"/>
      <c r="B135" s="301"/>
      <c r="C135" s="301"/>
      <c r="D135" s="301"/>
      <c r="E135" s="301"/>
      <c r="F135" s="301"/>
      <c r="G135" s="301"/>
      <c r="H135" s="301"/>
      <c r="I135" s="301"/>
      <c r="J135" s="301"/>
      <c r="K135" s="301"/>
      <c r="L135" s="301"/>
      <c r="M135" s="301"/>
      <c r="N135" s="301"/>
      <c r="O135" s="301"/>
      <c r="P135" s="301"/>
      <c r="Q135" s="301"/>
      <c r="R135" s="301"/>
      <c r="S135" s="301"/>
    </row>
    <row r="136" spans="1:19" x14ac:dyDescent="0.3">
      <c r="A136" s="301"/>
      <c r="B136" s="301"/>
      <c r="C136" s="301"/>
      <c r="D136" s="301"/>
      <c r="E136" s="301"/>
      <c r="F136" s="301"/>
      <c r="G136" s="301"/>
      <c r="H136" s="301"/>
      <c r="I136" s="301"/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</row>
    <row r="137" spans="1:19" x14ac:dyDescent="0.3">
      <c r="A137" s="301"/>
      <c r="B137" s="301"/>
      <c r="C137" s="301"/>
      <c r="D137" s="301"/>
      <c r="E137" s="301"/>
      <c r="F137" s="301"/>
      <c r="G137" s="301"/>
      <c r="H137" s="301"/>
      <c r="I137" s="301"/>
      <c r="J137" s="301"/>
      <c r="K137" s="301"/>
      <c r="L137" s="301"/>
      <c r="M137" s="301"/>
      <c r="N137" s="301"/>
      <c r="O137" s="301"/>
      <c r="P137" s="301"/>
      <c r="Q137" s="301"/>
      <c r="R137" s="301"/>
      <c r="S137" s="301"/>
    </row>
    <row r="138" spans="1:19" x14ac:dyDescent="0.3">
      <c r="A138" s="301"/>
      <c r="B138" s="301"/>
      <c r="C138" s="301"/>
      <c r="D138" s="301"/>
      <c r="E138" s="301"/>
      <c r="F138" s="301"/>
      <c r="G138" s="301"/>
      <c r="H138" s="301"/>
      <c r="I138" s="301"/>
      <c r="J138" s="301"/>
      <c r="K138" s="301"/>
      <c r="L138" s="301"/>
      <c r="M138" s="301"/>
      <c r="N138" s="301"/>
      <c r="O138" s="301"/>
      <c r="P138" s="301"/>
      <c r="Q138" s="301"/>
      <c r="R138" s="301"/>
      <c r="S138" s="301"/>
    </row>
    <row r="139" spans="1:19" x14ac:dyDescent="0.3">
      <c r="A139" s="301"/>
      <c r="B139" s="301"/>
      <c r="C139" s="301"/>
      <c r="D139" s="301"/>
      <c r="E139" s="301"/>
      <c r="F139" s="301"/>
      <c r="G139" s="301"/>
      <c r="H139" s="301"/>
      <c r="I139" s="301"/>
      <c r="J139" s="301"/>
      <c r="K139" s="301"/>
      <c r="L139" s="301"/>
      <c r="M139" s="301"/>
      <c r="N139" s="301"/>
      <c r="O139" s="301"/>
      <c r="P139" s="301"/>
      <c r="Q139" s="301"/>
      <c r="R139" s="301"/>
      <c r="S139" s="301"/>
    </row>
    <row r="140" spans="1:19" x14ac:dyDescent="0.3">
      <c r="A140" s="301"/>
      <c r="B140" s="301"/>
      <c r="C140" s="301"/>
      <c r="D140" s="301"/>
      <c r="E140" s="301"/>
      <c r="F140" s="301"/>
      <c r="G140" s="301"/>
      <c r="H140" s="301"/>
      <c r="I140" s="301"/>
      <c r="J140" s="301"/>
      <c r="K140" s="301"/>
      <c r="L140" s="301"/>
      <c r="M140" s="301"/>
      <c r="N140" s="301"/>
      <c r="O140" s="301"/>
      <c r="P140" s="301"/>
      <c r="Q140" s="301"/>
      <c r="R140" s="301"/>
      <c r="S140" s="301"/>
    </row>
    <row r="141" spans="1:19" x14ac:dyDescent="0.3">
      <c r="A141" s="301"/>
      <c r="B141" s="301"/>
      <c r="C141" s="301"/>
      <c r="D141" s="301"/>
      <c r="E141" s="301"/>
      <c r="F141" s="301"/>
      <c r="G141" s="301"/>
      <c r="H141" s="301"/>
      <c r="I141" s="301"/>
      <c r="J141" s="301"/>
      <c r="K141" s="301"/>
      <c r="L141" s="301"/>
      <c r="M141" s="301"/>
      <c r="N141" s="301"/>
      <c r="O141" s="301"/>
      <c r="P141" s="301"/>
      <c r="Q141" s="301"/>
      <c r="R141" s="301"/>
      <c r="S141" s="301"/>
    </row>
    <row r="142" spans="1:19" x14ac:dyDescent="0.3">
      <c r="A142" s="301"/>
      <c r="B142" s="301"/>
      <c r="C142" s="301"/>
      <c r="D142" s="301"/>
      <c r="E142" s="301"/>
      <c r="F142" s="301"/>
      <c r="G142" s="301"/>
      <c r="H142" s="301"/>
      <c r="I142" s="301"/>
      <c r="J142" s="301"/>
      <c r="K142" s="301"/>
      <c r="L142" s="301"/>
      <c r="M142" s="301"/>
      <c r="N142" s="301"/>
      <c r="O142" s="301"/>
      <c r="P142" s="301"/>
      <c r="Q142" s="301"/>
      <c r="R142" s="301"/>
      <c r="S142" s="301"/>
    </row>
    <row r="143" spans="1:19" x14ac:dyDescent="0.3">
      <c r="A143" s="301"/>
      <c r="B143" s="301"/>
      <c r="C143" s="301"/>
      <c r="D143" s="301"/>
      <c r="E143" s="301"/>
      <c r="F143" s="301"/>
      <c r="G143" s="301"/>
      <c r="H143" s="301"/>
      <c r="I143" s="301"/>
      <c r="J143" s="301"/>
      <c r="K143" s="301"/>
      <c r="L143" s="301"/>
      <c r="M143" s="301"/>
      <c r="N143" s="301"/>
      <c r="O143" s="301"/>
      <c r="P143" s="301"/>
      <c r="Q143" s="301"/>
      <c r="R143" s="301"/>
      <c r="S143" s="301"/>
    </row>
    <row r="144" spans="1:19" x14ac:dyDescent="0.3">
      <c r="A144" s="301"/>
      <c r="B144" s="301"/>
      <c r="C144" s="301"/>
      <c r="D144" s="301"/>
      <c r="E144" s="301"/>
      <c r="F144" s="301"/>
      <c r="G144" s="301"/>
      <c r="H144" s="301"/>
      <c r="I144" s="301"/>
      <c r="J144" s="301"/>
      <c r="K144" s="301"/>
      <c r="L144" s="301"/>
      <c r="M144" s="301"/>
      <c r="N144" s="301"/>
      <c r="O144" s="301"/>
      <c r="P144" s="301"/>
      <c r="Q144" s="301"/>
      <c r="R144" s="301"/>
      <c r="S144" s="301"/>
    </row>
    <row r="145" spans="1:19" x14ac:dyDescent="0.3">
      <c r="A145" s="301"/>
      <c r="B145" s="301"/>
      <c r="C145" s="301"/>
      <c r="D145" s="301"/>
      <c r="E145" s="301"/>
      <c r="F145" s="301"/>
      <c r="G145" s="301"/>
      <c r="H145" s="301"/>
      <c r="I145" s="301"/>
      <c r="J145" s="301"/>
      <c r="K145" s="301"/>
      <c r="L145" s="301"/>
      <c r="M145" s="301"/>
      <c r="N145" s="301"/>
      <c r="O145" s="301"/>
      <c r="P145" s="301"/>
      <c r="Q145" s="301"/>
      <c r="R145" s="301"/>
      <c r="S145" s="301"/>
    </row>
    <row r="146" spans="1:19" x14ac:dyDescent="0.3">
      <c r="A146" s="301"/>
      <c r="B146" s="301"/>
      <c r="C146" s="301"/>
      <c r="D146" s="301"/>
      <c r="E146" s="301"/>
      <c r="F146" s="301"/>
      <c r="G146" s="301"/>
      <c r="H146" s="301"/>
      <c r="I146" s="301"/>
      <c r="J146" s="301"/>
      <c r="K146" s="301"/>
      <c r="L146" s="301"/>
      <c r="M146" s="301"/>
      <c r="N146" s="301"/>
      <c r="O146" s="301"/>
      <c r="P146" s="301"/>
      <c r="Q146" s="301"/>
      <c r="R146" s="301"/>
      <c r="S146" s="301"/>
    </row>
    <row r="147" spans="1:19" x14ac:dyDescent="0.3">
      <c r="A147" s="301"/>
      <c r="B147" s="301"/>
      <c r="C147" s="301"/>
      <c r="D147" s="301"/>
      <c r="E147" s="301"/>
      <c r="F147" s="301"/>
      <c r="G147" s="301"/>
      <c r="H147" s="301"/>
      <c r="I147" s="301"/>
      <c r="J147" s="301"/>
      <c r="K147" s="301"/>
      <c r="L147" s="301"/>
      <c r="M147" s="301"/>
      <c r="N147" s="301"/>
      <c r="O147" s="301"/>
      <c r="P147" s="301"/>
      <c r="Q147" s="301"/>
      <c r="R147" s="301"/>
      <c r="S147" s="301"/>
    </row>
    <row r="148" spans="1:19" x14ac:dyDescent="0.3">
      <c r="A148" s="301"/>
      <c r="B148" s="301"/>
      <c r="C148" s="301"/>
      <c r="D148" s="301"/>
      <c r="E148" s="301"/>
      <c r="F148" s="301"/>
      <c r="G148" s="301"/>
      <c r="H148" s="301"/>
      <c r="I148" s="301"/>
      <c r="J148" s="301"/>
      <c r="K148" s="301"/>
      <c r="L148" s="301"/>
      <c r="M148" s="301"/>
      <c r="N148" s="301"/>
      <c r="O148" s="301"/>
      <c r="P148" s="301"/>
      <c r="Q148" s="301"/>
      <c r="R148" s="301"/>
      <c r="S148" s="301"/>
    </row>
    <row r="149" spans="1:19" x14ac:dyDescent="0.3">
      <c r="A149" s="301"/>
      <c r="B149" s="301"/>
      <c r="C149" s="301"/>
      <c r="D149" s="301"/>
      <c r="E149" s="301"/>
      <c r="F149" s="301"/>
      <c r="G149" s="301"/>
      <c r="H149" s="301"/>
      <c r="I149" s="301"/>
      <c r="J149" s="301"/>
      <c r="K149" s="301"/>
      <c r="L149" s="301"/>
      <c r="M149" s="301"/>
      <c r="N149" s="301"/>
      <c r="O149" s="301"/>
      <c r="P149" s="301"/>
      <c r="Q149" s="301"/>
      <c r="R149" s="301"/>
      <c r="S149" s="301"/>
    </row>
    <row r="150" spans="1:19" x14ac:dyDescent="0.3">
      <c r="A150" s="301"/>
      <c r="B150" s="301"/>
      <c r="C150" s="301"/>
      <c r="D150" s="301"/>
      <c r="E150" s="301"/>
      <c r="F150" s="301"/>
      <c r="G150" s="301"/>
      <c r="H150" s="301"/>
      <c r="I150" s="301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</row>
    <row r="151" spans="1:19" x14ac:dyDescent="0.3">
      <c r="A151" s="301"/>
      <c r="B151" s="301"/>
      <c r="C151" s="301"/>
      <c r="D151" s="301"/>
      <c r="E151" s="301"/>
      <c r="F151" s="301"/>
      <c r="G151" s="301"/>
      <c r="H151" s="301"/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</row>
    <row r="152" spans="1:19" x14ac:dyDescent="0.3">
      <c r="A152" s="301"/>
      <c r="B152" s="301"/>
      <c r="C152" s="301"/>
      <c r="D152" s="301"/>
      <c r="E152" s="301"/>
      <c r="F152" s="301"/>
      <c r="G152" s="301"/>
      <c r="H152" s="301"/>
      <c r="I152" s="301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</row>
    <row r="153" spans="1:19" x14ac:dyDescent="0.3">
      <c r="A153" s="301"/>
      <c r="B153" s="301"/>
      <c r="C153" s="301"/>
      <c r="D153" s="301"/>
      <c r="E153" s="301"/>
      <c r="F153" s="301"/>
      <c r="G153" s="301"/>
      <c r="H153" s="301"/>
      <c r="I153" s="301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</row>
    <row r="154" spans="1:19" x14ac:dyDescent="0.3">
      <c r="A154" s="301"/>
      <c r="B154" s="301"/>
      <c r="C154" s="301"/>
      <c r="D154" s="301"/>
      <c r="E154" s="301"/>
      <c r="F154" s="301"/>
      <c r="G154" s="301"/>
      <c r="H154" s="301"/>
      <c r="I154" s="301"/>
      <c r="J154" s="301"/>
      <c r="K154" s="301"/>
      <c r="L154" s="301"/>
      <c r="M154" s="301"/>
      <c r="N154" s="301"/>
      <c r="O154" s="301"/>
      <c r="P154" s="301"/>
      <c r="Q154" s="301"/>
      <c r="R154" s="301"/>
      <c r="S154" s="301"/>
    </row>
    <row r="155" spans="1:19" x14ac:dyDescent="0.3">
      <c r="A155" s="301"/>
      <c r="B155" s="301"/>
      <c r="C155" s="301"/>
      <c r="D155" s="301"/>
      <c r="E155" s="301"/>
      <c r="F155" s="301"/>
      <c r="G155" s="301"/>
      <c r="H155" s="301"/>
      <c r="I155" s="301"/>
      <c r="J155" s="301"/>
      <c r="K155" s="301"/>
      <c r="L155" s="301"/>
      <c r="M155" s="301"/>
      <c r="N155" s="301"/>
      <c r="O155" s="301"/>
      <c r="P155" s="301"/>
      <c r="Q155" s="301"/>
      <c r="R155" s="301"/>
      <c r="S155" s="301"/>
    </row>
    <row r="156" spans="1:19" x14ac:dyDescent="0.3">
      <c r="A156" s="301"/>
      <c r="B156" s="301"/>
      <c r="C156" s="301"/>
      <c r="D156" s="301"/>
      <c r="E156" s="301"/>
      <c r="F156" s="301"/>
      <c r="G156" s="301"/>
      <c r="H156" s="301"/>
      <c r="I156" s="301"/>
      <c r="J156" s="301"/>
      <c r="K156" s="301"/>
      <c r="L156" s="301"/>
      <c r="M156" s="301"/>
      <c r="N156" s="301"/>
      <c r="O156" s="301"/>
      <c r="P156" s="301"/>
      <c r="Q156" s="301"/>
      <c r="R156" s="301"/>
      <c r="S156" s="301"/>
    </row>
    <row r="157" spans="1:19" x14ac:dyDescent="0.3">
      <c r="A157" s="301"/>
      <c r="B157" s="301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</row>
    <row r="158" spans="1:19" x14ac:dyDescent="0.3">
      <c r="A158" s="301"/>
      <c r="B158" s="301"/>
      <c r="C158" s="301"/>
      <c r="D158" s="301"/>
      <c r="E158" s="301"/>
      <c r="F158" s="301"/>
      <c r="G158" s="301"/>
      <c r="H158" s="301"/>
      <c r="I158" s="301"/>
      <c r="J158" s="301"/>
      <c r="K158" s="301"/>
      <c r="L158" s="301"/>
      <c r="M158" s="301"/>
      <c r="N158" s="301"/>
      <c r="O158" s="301"/>
      <c r="P158" s="301"/>
      <c r="Q158" s="301"/>
      <c r="R158" s="301"/>
      <c r="S158" s="301"/>
    </row>
    <row r="159" spans="1:19" x14ac:dyDescent="0.3">
      <c r="A159" s="301"/>
      <c r="B159" s="301"/>
      <c r="C159" s="301"/>
      <c r="D159" s="301"/>
      <c r="E159" s="301"/>
      <c r="F159" s="301"/>
      <c r="G159" s="301"/>
      <c r="H159" s="301"/>
      <c r="I159" s="301"/>
      <c r="J159" s="301"/>
      <c r="K159" s="301"/>
      <c r="L159" s="301"/>
      <c r="M159" s="301"/>
      <c r="N159" s="301"/>
      <c r="O159" s="301"/>
      <c r="P159" s="301"/>
      <c r="Q159" s="301"/>
      <c r="R159" s="301"/>
      <c r="S159" s="301"/>
    </row>
    <row r="160" spans="1:19" x14ac:dyDescent="0.3">
      <c r="A160" s="301"/>
      <c r="B160" s="301"/>
      <c r="C160" s="301"/>
      <c r="D160" s="301"/>
      <c r="E160" s="301"/>
      <c r="F160" s="301"/>
      <c r="G160" s="301"/>
      <c r="H160" s="301"/>
      <c r="I160" s="301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</row>
    <row r="161" spans="1:19" x14ac:dyDescent="0.3">
      <c r="A161" s="301"/>
      <c r="B161" s="301"/>
      <c r="C161" s="301"/>
      <c r="D161" s="301"/>
      <c r="E161" s="301"/>
      <c r="F161" s="301"/>
      <c r="G161" s="301"/>
      <c r="H161" s="301"/>
      <c r="I161" s="301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</row>
    <row r="162" spans="1:19" x14ac:dyDescent="0.3">
      <c r="A162" s="301"/>
      <c r="B162" s="301"/>
      <c r="C162" s="301"/>
      <c r="D162" s="301"/>
      <c r="E162" s="301"/>
      <c r="F162" s="301"/>
      <c r="G162" s="301"/>
      <c r="H162" s="301"/>
      <c r="I162" s="301"/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</row>
    <row r="163" spans="1:19" x14ac:dyDescent="0.3">
      <c r="A163" s="301"/>
      <c r="B163" s="301"/>
      <c r="C163" s="301"/>
      <c r="D163" s="301"/>
      <c r="E163" s="301"/>
      <c r="F163" s="301"/>
      <c r="G163" s="301"/>
      <c r="H163" s="301"/>
      <c r="I163" s="301"/>
      <c r="J163" s="301"/>
      <c r="K163" s="301"/>
      <c r="L163" s="301"/>
      <c r="M163" s="301"/>
      <c r="N163" s="301"/>
      <c r="O163" s="301"/>
      <c r="P163" s="301"/>
      <c r="Q163" s="301"/>
      <c r="R163" s="301"/>
      <c r="S163" s="301"/>
    </row>
    <row r="164" spans="1:19" x14ac:dyDescent="0.3">
      <c r="A164" s="301"/>
      <c r="B164" s="301"/>
      <c r="C164" s="301"/>
      <c r="D164" s="301"/>
      <c r="E164" s="301"/>
      <c r="F164" s="301"/>
      <c r="G164" s="301"/>
      <c r="H164" s="301"/>
      <c r="I164" s="301"/>
      <c r="J164" s="301"/>
      <c r="K164" s="301"/>
      <c r="L164" s="301"/>
      <c r="M164" s="301"/>
      <c r="N164" s="301"/>
      <c r="O164" s="301"/>
      <c r="P164" s="301"/>
      <c r="Q164" s="301"/>
      <c r="R164" s="301"/>
      <c r="S164" s="301"/>
    </row>
    <row r="165" spans="1:19" x14ac:dyDescent="0.3">
      <c r="A165" s="301"/>
      <c r="B165" s="301"/>
      <c r="C165" s="301"/>
      <c r="D165" s="301"/>
      <c r="E165" s="301"/>
      <c r="F165" s="301"/>
      <c r="G165" s="301"/>
      <c r="H165" s="301"/>
      <c r="I165" s="301"/>
      <c r="J165" s="301"/>
      <c r="K165" s="301"/>
      <c r="L165" s="301"/>
      <c r="M165" s="301"/>
      <c r="N165" s="301"/>
      <c r="O165" s="301"/>
      <c r="P165" s="301"/>
      <c r="Q165" s="301"/>
      <c r="R165" s="301"/>
      <c r="S165" s="301"/>
    </row>
    <row r="166" spans="1:19" x14ac:dyDescent="0.3">
      <c r="A166" s="301"/>
      <c r="B166" s="301"/>
      <c r="C166" s="301"/>
      <c r="D166" s="301"/>
      <c r="E166" s="301"/>
      <c r="F166" s="301"/>
      <c r="G166" s="301"/>
      <c r="H166" s="301"/>
      <c r="I166" s="301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</row>
    <row r="167" spans="1:19" x14ac:dyDescent="0.3">
      <c r="A167" s="301"/>
      <c r="B167" s="301"/>
      <c r="C167" s="301"/>
      <c r="D167" s="301"/>
      <c r="E167" s="301"/>
      <c r="F167" s="301"/>
      <c r="G167" s="301"/>
      <c r="H167" s="301"/>
      <c r="I167" s="301"/>
      <c r="J167" s="301"/>
      <c r="K167" s="301"/>
      <c r="L167" s="301"/>
      <c r="M167" s="301"/>
      <c r="N167" s="301"/>
      <c r="O167" s="301"/>
      <c r="P167" s="301"/>
      <c r="Q167" s="301"/>
      <c r="R167" s="301"/>
      <c r="S167" s="301"/>
    </row>
    <row r="168" spans="1:19" x14ac:dyDescent="0.3">
      <c r="A168" s="301"/>
      <c r="B168" s="301"/>
      <c r="C168" s="301"/>
      <c r="D168" s="301"/>
      <c r="E168" s="301"/>
      <c r="F168" s="301"/>
      <c r="G168" s="301"/>
      <c r="H168" s="301"/>
      <c r="I168" s="301"/>
      <c r="J168" s="301"/>
      <c r="K168" s="301"/>
      <c r="L168" s="301"/>
      <c r="M168" s="301"/>
      <c r="N168" s="301"/>
      <c r="O168" s="301"/>
      <c r="P168" s="301"/>
      <c r="Q168" s="301"/>
      <c r="R168" s="301"/>
      <c r="S168" s="301"/>
    </row>
    <row r="169" spans="1:19" x14ac:dyDescent="0.3">
      <c r="A169" s="301"/>
      <c r="B169" s="301"/>
      <c r="C169" s="301"/>
      <c r="D169" s="301"/>
      <c r="E169" s="301"/>
      <c r="F169" s="301"/>
      <c r="G169" s="301"/>
      <c r="H169" s="301"/>
      <c r="I169" s="301"/>
      <c r="J169" s="301"/>
      <c r="K169" s="301"/>
      <c r="L169" s="301"/>
      <c r="M169" s="301"/>
      <c r="N169" s="301"/>
      <c r="O169" s="301"/>
      <c r="P169" s="301"/>
      <c r="Q169" s="301"/>
      <c r="R169" s="301"/>
      <c r="S169" s="301"/>
    </row>
    <row r="170" spans="1:19" x14ac:dyDescent="0.3">
      <c r="A170" s="301"/>
      <c r="B170" s="301"/>
      <c r="C170" s="301"/>
      <c r="D170" s="301"/>
      <c r="E170" s="301"/>
      <c r="F170" s="301"/>
      <c r="G170" s="301"/>
      <c r="H170" s="301"/>
      <c r="I170" s="301"/>
      <c r="J170" s="301"/>
      <c r="K170" s="301"/>
      <c r="L170" s="301"/>
      <c r="M170" s="301"/>
      <c r="N170" s="301"/>
      <c r="O170" s="301"/>
      <c r="P170" s="301"/>
      <c r="Q170" s="301"/>
      <c r="R170" s="301"/>
      <c r="S170" s="301"/>
    </row>
    <row r="171" spans="1:19" x14ac:dyDescent="0.3">
      <c r="A171" s="301"/>
      <c r="B171" s="301"/>
      <c r="C171" s="301"/>
      <c r="D171" s="301"/>
      <c r="E171" s="301"/>
      <c r="F171" s="301"/>
      <c r="G171" s="301"/>
      <c r="H171" s="301"/>
      <c r="I171" s="301"/>
      <c r="J171" s="301"/>
      <c r="K171" s="301"/>
      <c r="L171" s="301"/>
      <c r="M171" s="301"/>
      <c r="N171" s="301"/>
      <c r="O171" s="301"/>
      <c r="P171" s="301"/>
      <c r="Q171" s="301"/>
      <c r="R171" s="301"/>
      <c r="S171" s="301"/>
    </row>
    <row r="172" spans="1:19" x14ac:dyDescent="0.3">
      <c r="A172" s="301"/>
      <c r="B172" s="301"/>
      <c r="C172" s="301"/>
      <c r="D172" s="301"/>
      <c r="E172" s="301"/>
      <c r="F172" s="301"/>
      <c r="G172" s="301"/>
      <c r="H172" s="301"/>
      <c r="I172" s="301"/>
      <c r="J172" s="301"/>
      <c r="K172" s="301"/>
      <c r="L172" s="301"/>
      <c r="M172" s="301"/>
      <c r="N172" s="301"/>
      <c r="O172" s="301"/>
      <c r="P172" s="301"/>
      <c r="Q172" s="301"/>
      <c r="R172" s="301"/>
      <c r="S172" s="301"/>
    </row>
    <row r="173" spans="1:19" x14ac:dyDescent="0.3">
      <c r="A173" s="301"/>
      <c r="B173" s="301"/>
      <c r="C173" s="301"/>
      <c r="D173" s="301"/>
      <c r="E173" s="301"/>
      <c r="F173" s="301"/>
      <c r="G173" s="301"/>
      <c r="H173" s="301"/>
      <c r="I173" s="301"/>
      <c r="J173" s="301"/>
      <c r="K173" s="301"/>
      <c r="L173" s="301"/>
      <c r="M173" s="301"/>
      <c r="N173" s="301"/>
      <c r="O173" s="301"/>
      <c r="P173" s="301"/>
      <c r="Q173" s="301"/>
      <c r="R173" s="301"/>
      <c r="S173" s="301"/>
    </row>
    <row r="174" spans="1:19" x14ac:dyDescent="0.3">
      <c r="A174" s="301"/>
      <c r="B174" s="301"/>
      <c r="C174" s="301"/>
      <c r="D174" s="301"/>
      <c r="E174" s="301"/>
      <c r="F174" s="301"/>
      <c r="G174" s="301"/>
      <c r="H174" s="301"/>
      <c r="I174" s="301"/>
      <c r="J174" s="301"/>
      <c r="K174" s="301"/>
      <c r="L174" s="301"/>
      <c r="M174" s="301"/>
      <c r="N174" s="301"/>
      <c r="O174" s="301"/>
      <c r="P174" s="301"/>
      <c r="Q174" s="301"/>
      <c r="R174" s="301"/>
      <c r="S174" s="301"/>
    </row>
    <row r="175" spans="1:19" x14ac:dyDescent="0.3">
      <c r="A175" s="301"/>
      <c r="B175" s="301"/>
      <c r="C175" s="301"/>
      <c r="D175" s="301"/>
      <c r="E175" s="301"/>
      <c r="F175" s="301"/>
      <c r="G175" s="301"/>
      <c r="H175" s="301"/>
      <c r="I175" s="301"/>
      <c r="J175" s="301"/>
      <c r="K175" s="301"/>
      <c r="L175" s="301"/>
      <c r="M175" s="301"/>
      <c r="N175" s="301"/>
      <c r="O175" s="301"/>
      <c r="P175" s="301"/>
      <c r="Q175" s="301"/>
      <c r="R175" s="301"/>
      <c r="S175" s="301"/>
    </row>
    <row r="176" spans="1:19" x14ac:dyDescent="0.3">
      <c r="A176" s="301"/>
      <c r="B176" s="301"/>
      <c r="C176" s="301"/>
      <c r="D176" s="301"/>
      <c r="E176" s="301"/>
      <c r="F176" s="301"/>
      <c r="G176" s="301"/>
      <c r="H176" s="301"/>
      <c r="I176" s="301"/>
      <c r="J176" s="301"/>
      <c r="K176" s="301"/>
      <c r="L176" s="301"/>
      <c r="M176" s="301"/>
      <c r="N176" s="301"/>
      <c r="O176" s="301"/>
      <c r="P176" s="301"/>
      <c r="Q176" s="301"/>
      <c r="R176" s="301"/>
      <c r="S176" s="301"/>
    </row>
    <row r="177" spans="1:19" x14ac:dyDescent="0.3">
      <c r="A177" s="301"/>
      <c r="B177" s="301"/>
      <c r="C177" s="301"/>
      <c r="D177" s="301"/>
      <c r="E177" s="301"/>
      <c r="F177" s="301"/>
      <c r="G177" s="301"/>
      <c r="H177" s="301"/>
      <c r="I177" s="301"/>
      <c r="J177" s="301"/>
      <c r="K177" s="301"/>
      <c r="L177" s="301"/>
      <c r="M177" s="301"/>
      <c r="N177" s="301"/>
      <c r="O177" s="301"/>
      <c r="P177" s="301"/>
      <c r="Q177" s="301"/>
      <c r="R177" s="301"/>
      <c r="S177" s="301"/>
    </row>
    <row r="178" spans="1:19" x14ac:dyDescent="0.3">
      <c r="A178" s="301"/>
      <c r="B178" s="301"/>
      <c r="C178" s="301"/>
      <c r="D178" s="301"/>
      <c r="E178" s="301"/>
      <c r="F178" s="301"/>
      <c r="G178" s="301"/>
      <c r="H178" s="301"/>
      <c r="I178" s="301"/>
      <c r="J178" s="301"/>
      <c r="K178" s="301"/>
      <c r="L178" s="301"/>
      <c r="M178" s="301"/>
      <c r="N178" s="301"/>
      <c r="O178" s="301"/>
      <c r="P178" s="301"/>
      <c r="Q178" s="301"/>
      <c r="R178" s="301"/>
      <c r="S178" s="301"/>
    </row>
    <row r="179" spans="1:19" x14ac:dyDescent="0.3">
      <c r="A179" s="301"/>
      <c r="B179" s="301"/>
      <c r="C179" s="301"/>
      <c r="D179" s="301"/>
      <c r="E179" s="301"/>
      <c r="F179" s="301"/>
      <c r="G179" s="301"/>
      <c r="H179" s="301"/>
      <c r="I179" s="301"/>
      <c r="J179" s="301"/>
      <c r="K179" s="301"/>
      <c r="L179" s="301"/>
      <c r="M179" s="301"/>
      <c r="N179" s="301"/>
      <c r="O179" s="301"/>
      <c r="P179" s="301"/>
      <c r="Q179" s="301"/>
      <c r="R179" s="301"/>
      <c r="S179" s="301"/>
    </row>
    <row r="180" spans="1:19" x14ac:dyDescent="0.3">
      <c r="A180" s="301"/>
      <c r="B180" s="301"/>
      <c r="C180" s="301"/>
      <c r="D180" s="301"/>
      <c r="E180" s="301"/>
      <c r="F180" s="301"/>
      <c r="G180" s="301"/>
      <c r="H180" s="301"/>
      <c r="I180" s="301"/>
      <c r="J180" s="301"/>
      <c r="K180" s="301"/>
      <c r="L180" s="301"/>
      <c r="M180" s="301"/>
      <c r="N180" s="301"/>
      <c r="O180" s="301"/>
      <c r="P180" s="301"/>
      <c r="Q180" s="301"/>
      <c r="R180" s="301"/>
      <c r="S180" s="301"/>
    </row>
    <row r="181" spans="1:19" x14ac:dyDescent="0.3">
      <c r="A181" s="301"/>
      <c r="B181" s="301"/>
      <c r="C181" s="301"/>
      <c r="D181" s="301"/>
      <c r="E181" s="301"/>
      <c r="F181" s="301"/>
      <c r="G181" s="301"/>
      <c r="H181" s="301"/>
      <c r="I181" s="301"/>
      <c r="J181" s="301"/>
      <c r="K181" s="301"/>
      <c r="L181" s="301"/>
      <c r="M181" s="301"/>
      <c r="N181" s="301"/>
      <c r="O181" s="301"/>
      <c r="P181" s="301"/>
      <c r="Q181" s="301"/>
      <c r="R181" s="301"/>
      <c r="S181" s="301"/>
    </row>
    <row r="182" spans="1:19" x14ac:dyDescent="0.3">
      <c r="A182" s="301"/>
      <c r="B182" s="301"/>
      <c r="C182" s="301"/>
      <c r="D182" s="301"/>
      <c r="E182" s="301"/>
      <c r="F182" s="301"/>
      <c r="G182" s="301"/>
      <c r="H182" s="301"/>
      <c r="I182" s="301"/>
      <c r="J182" s="301"/>
      <c r="K182" s="301"/>
      <c r="L182" s="301"/>
      <c r="M182" s="301"/>
      <c r="N182" s="301"/>
      <c r="O182" s="301"/>
      <c r="P182" s="301"/>
      <c r="Q182" s="301"/>
      <c r="R182" s="301"/>
      <c r="S182" s="301"/>
    </row>
    <row r="183" spans="1:19" x14ac:dyDescent="0.3">
      <c r="A183" s="301"/>
      <c r="B183" s="301"/>
      <c r="C183" s="301"/>
      <c r="D183" s="301"/>
      <c r="E183" s="301"/>
      <c r="F183" s="301"/>
      <c r="G183" s="301"/>
      <c r="H183" s="301"/>
      <c r="I183" s="301"/>
      <c r="J183" s="301"/>
      <c r="K183" s="301"/>
      <c r="L183" s="301"/>
      <c r="M183" s="301"/>
      <c r="N183" s="301"/>
      <c r="O183" s="301"/>
      <c r="P183" s="301"/>
      <c r="Q183" s="301"/>
      <c r="R183" s="301"/>
      <c r="S183" s="301"/>
    </row>
    <row r="184" spans="1:19" x14ac:dyDescent="0.3">
      <c r="A184" s="301"/>
      <c r="B184" s="301"/>
      <c r="C184" s="301"/>
      <c r="D184" s="301"/>
      <c r="E184" s="301"/>
      <c r="F184" s="301"/>
      <c r="G184" s="301"/>
      <c r="H184" s="301"/>
      <c r="I184" s="301"/>
      <c r="J184" s="301"/>
      <c r="K184" s="301"/>
      <c r="L184" s="301"/>
      <c r="M184" s="301"/>
      <c r="N184" s="301"/>
      <c r="O184" s="301"/>
      <c r="P184" s="301"/>
      <c r="Q184" s="301"/>
      <c r="R184" s="301"/>
      <c r="S184" s="301"/>
    </row>
    <row r="185" spans="1:19" x14ac:dyDescent="0.3">
      <c r="A185" s="301"/>
      <c r="B185" s="301"/>
      <c r="C185" s="301"/>
      <c r="D185" s="301"/>
      <c r="E185" s="301"/>
      <c r="F185" s="301"/>
      <c r="G185" s="301"/>
      <c r="H185" s="301"/>
      <c r="I185" s="301"/>
      <c r="J185" s="301"/>
      <c r="K185" s="301"/>
      <c r="L185" s="301"/>
      <c r="M185" s="301"/>
      <c r="N185" s="301"/>
      <c r="O185" s="301"/>
      <c r="P185" s="301"/>
      <c r="Q185" s="301"/>
      <c r="R185" s="301"/>
      <c r="S185" s="301"/>
    </row>
    <row r="186" spans="1:19" x14ac:dyDescent="0.3">
      <c r="A186" s="301"/>
      <c r="B186" s="301"/>
      <c r="C186" s="301"/>
      <c r="D186" s="301"/>
      <c r="E186" s="301"/>
      <c r="F186" s="301"/>
      <c r="G186" s="301"/>
      <c r="H186" s="301"/>
      <c r="I186" s="301"/>
      <c r="J186" s="301"/>
      <c r="K186" s="301"/>
      <c r="L186" s="301"/>
      <c r="M186" s="301"/>
      <c r="N186" s="301"/>
      <c r="O186" s="301"/>
      <c r="P186" s="301"/>
      <c r="Q186" s="301"/>
      <c r="R186" s="301"/>
      <c r="S186" s="301"/>
    </row>
    <row r="187" spans="1:19" x14ac:dyDescent="0.3">
      <c r="A187" s="301"/>
      <c r="B187" s="301"/>
      <c r="C187" s="301"/>
      <c r="D187" s="301"/>
      <c r="E187" s="301"/>
      <c r="F187" s="301"/>
      <c r="G187" s="301"/>
      <c r="H187" s="301"/>
      <c r="I187" s="301"/>
      <c r="J187" s="301"/>
      <c r="K187" s="301"/>
      <c r="L187" s="301"/>
      <c r="M187" s="301"/>
      <c r="N187" s="301"/>
      <c r="O187" s="301"/>
      <c r="P187" s="301"/>
      <c r="Q187" s="301"/>
      <c r="R187" s="301"/>
      <c r="S187" s="301"/>
    </row>
    <row r="188" spans="1:19" x14ac:dyDescent="0.3">
      <c r="A188" s="301"/>
      <c r="B188" s="301"/>
      <c r="C188" s="301"/>
      <c r="D188" s="301"/>
      <c r="E188" s="301"/>
      <c r="F188" s="301"/>
      <c r="G188" s="301"/>
      <c r="H188" s="301"/>
      <c r="I188" s="301"/>
      <c r="J188" s="301"/>
      <c r="K188" s="301"/>
      <c r="L188" s="301"/>
      <c r="M188" s="301"/>
      <c r="N188" s="301"/>
      <c r="O188" s="301"/>
      <c r="P188" s="301"/>
      <c r="Q188" s="301"/>
      <c r="R188" s="301"/>
      <c r="S188" s="301"/>
    </row>
    <row r="189" spans="1:19" x14ac:dyDescent="0.3">
      <c r="A189" s="301"/>
      <c r="B189" s="301"/>
      <c r="C189" s="301"/>
      <c r="D189" s="301"/>
      <c r="E189" s="301"/>
      <c r="F189" s="301"/>
      <c r="G189" s="301"/>
      <c r="H189" s="301"/>
      <c r="I189" s="301"/>
      <c r="J189" s="301"/>
      <c r="K189" s="301"/>
      <c r="L189" s="301"/>
      <c r="M189" s="301"/>
      <c r="N189" s="301"/>
      <c r="O189" s="301"/>
      <c r="P189" s="301"/>
      <c r="Q189" s="301"/>
      <c r="R189" s="301"/>
      <c r="S189" s="301"/>
    </row>
    <row r="190" spans="1:19" x14ac:dyDescent="0.3">
      <c r="A190" s="301"/>
      <c r="B190" s="301"/>
      <c r="C190" s="301"/>
      <c r="D190" s="301"/>
      <c r="E190" s="301"/>
      <c r="F190" s="301"/>
      <c r="G190" s="301"/>
      <c r="H190" s="301"/>
      <c r="I190" s="301"/>
      <c r="J190" s="301"/>
      <c r="K190" s="301"/>
      <c r="L190" s="301"/>
      <c r="M190" s="301"/>
      <c r="N190" s="301"/>
      <c r="O190" s="301"/>
      <c r="P190" s="301"/>
      <c r="Q190" s="301"/>
      <c r="R190" s="301"/>
      <c r="S190" s="301"/>
    </row>
    <row r="191" spans="1:19" x14ac:dyDescent="0.3">
      <c r="A191" s="301"/>
      <c r="B191" s="301"/>
      <c r="C191" s="301"/>
      <c r="D191" s="301"/>
      <c r="E191" s="301"/>
      <c r="F191" s="301"/>
      <c r="G191" s="301"/>
      <c r="H191" s="301"/>
      <c r="I191" s="301"/>
      <c r="J191" s="301"/>
      <c r="K191" s="301"/>
      <c r="L191" s="301"/>
      <c r="M191" s="301"/>
      <c r="N191" s="301"/>
      <c r="O191" s="301"/>
      <c r="P191" s="301"/>
      <c r="Q191" s="301"/>
      <c r="R191" s="301"/>
      <c r="S191" s="301"/>
    </row>
    <row r="192" spans="1:19" x14ac:dyDescent="0.3">
      <c r="A192" s="301"/>
      <c r="B192" s="301"/>
      <c r="C192" s="301"/>
      <c r="D192" s="301"/>
      <c r="E192" s="301"/>
      <c r="F192" s="301"/>
      <c r="G192" s="301"/>
      <c r="H192" s="301"/>
      <c r="I192" s="301"/>
      <c r="J192" s="301"/>
      <c r="K192" s="301"/>
      <c r="L192" s="301"/>
      <c r="M192" s="301"/>
      <c r="N192" s="301"/>
      <c r="O192" s="301"/>
      <c r="P192" s="301"/>
      <c r="Q192" s="301"/>
      <c r="R192" s="301"/>
      <c r="S192" s="301"/>
    </row>
    <row r="193" spans="1:19" x14ac:dyDescent="0.3">
      <c r="A193" s="301"/>
      <c r="B193" s="301"/>
      <c r="C193" s="301"/>
      <c r="D193" s="301"/>
      <c r="E193" s="301"/>
      <c r="F193" s="301"/>
      <c r="G193" s="301"/>
      <c r="H193" s="301"/>
      <c r="I193" s="301"/>
      <c r="J193" s="301"/>
      <c r="K193" s="301"/>
      <c r="L193" s="301"/>
      <c r="M193" s="301"/>
      <c r="N193" s="301"/>
      <c r="O193" s="301"/>
      <c r="P193" s="301"/>
      <c r="Q193" s="301"/>
      <c r="R193" s="301"/>
      <c r="S193" s="301"/>
    </row>
    <row r="194" spans="1:19" x14ac:dyDescent="0.3">
      <c r="A194" s="301"/>
      <c r="B194" s="301"/>
      <c r="C194" s="301"/>
      <c r="D194" s="301"/>
      <c r="E194" s="301"/>
      <c r="F194" s="301"/>
      <c r="G194" s="301"/>
      <c r="H194" s="301"/>
      <c r="I194" s="301"/>
      <c r="J194" s="301"/>
      <c r="K194" s="301"/>
      <c r="L194" s="301"/>
      <c r="M194" s="301"/>
      <c r="N194" s="301"/>
      <c r="O194" s="301"/>
      <c r="P194" s="301"/>
      <c r="Q194" s="301"/>
      <c r="R194" s="301"/>
      <c r="S194" s="301"/>
    </row>
    <row r="195" spans="1:19" x14ac:dyDescent="0.3">
      <c r="A195" s="301"/>
      <c r="B195" s="301"/>
      <c r="C195" s="301"/>
      <c r="D195" s="301"/>
      <c r="E195" s="301"/>
      <c r="F195" s="301"/>
      <c r="G195" s="301"/>
      <c r="H195" s="301"/>
      <c r="I195" s="301"/>
      <c r="J195" s="301"/>
      <c r="K195" s="301"/>
      <c r="L195" s="301"/>
      <c r="M195" s="301"/>
      <c r="N195" s="301"/>
      <c r="O195" s="301"/>
      <c r="P195" s="301"/>
      <c r="Q195" s="301"/>
      <c r="R195" s="301"/>
      <c r="S195" s="301"/>
    </row>
    <row r="196" spans="1:19" x14ac:dyDescent="0.3">
      <c r="A196" s="301"/>
      <c r="B196" s="301"/>
      <c r="C196" s="301"/>
      <c r="D196" s="301"/>
      <c r="E196" s="301"/>
      <c r="F196" s="301"/>
      <c r="G196" s="301"/>
      <c r="H196" s="301"/>
      <c r="I196" s="301"/>
      <c r="J196" s="301"/>
      <c r="K196" s="301"/>
      <c r="L196" s="301"/>
      <c r="M196" s="301"/>
      <c r="N196" s="301"/>
      <c r="O196" s="301"/>
      <c r="P196" s="301"/>
      <c r="Q196" s="301"/>
      <c r="R196" s="301"/>
      <c r="S196" s="301"/>
    </row>
    <row r="197" spans="1:19" x14ac:dyDescent="0.3">
      <c r="A197" s="301"/>
      <c r="B197" s="301"/>
      <c r="C197" s="301"/>
      <c r="D197" s="301"/>
      <c r="E197" s="301"/>
      <c r="F197" s="301"/>
      <c r="G197" s="301"/>
      <c r="H197" s="301"/>
      <c r="I197" s="301"/>
      <c r="J197" s="301"/>
      <c r="K197" s="301"/>
      <c r="L197" s="301"/>
      <c r="M197" s="301"/>
      <c r="N197" s="301"/>
      <c r="O197" s="301"/>
      <c r="P197" s="301"/>
      <c r="Q197" s="301"/>
      <c r="R197" s="301"/>
      <c r="S197" s="301"/>
    </row>
    <row r="198" spans="1:19" x14ac:dyDescent="0.3">
      <c r="A198" s="301"/>
      <c r="B198" s="301"/>
      <c r="C198" s="301"/>
      <c r="D198" s="301"/>
      <c r="E198" s="301"/>
      <c r="F198" s="301"/>
      <c r="G198" s="301"/>
      <c r="H198" s="301"/>
      <c r="I198" s="301"/>
      <c r="J198" s="301"/>
      <c r="K198" s="301"/>
      <c r="L198" s="301"/>
      <c r="M198" s="301"/>
      <c r="N198" s="301"/>
      <c r="O198" s="301"/>
      <c r="P198" s="301"/>
      <c r="Q198" s="301"/>
      <c r="R198" s="301"/>
      <c r="S198" s="301"/>
    </row>
    <row r="199" spans="1:19" x14ac:dyDescent="0.3">
      <c r="A199" s="301"/>
      <c r="B199" s="301"/>
      <c r="C199" s="301"/>
      <c r="D199" s="301"/>
      <c r="E199" s="301"/>
      <c r="F199" s="301"/>
      <c r="G199" s="301"/>
      <c r="H199" s="301"/>
      <c r="I199" s="301"/>
      <c r="J199" s="301"/>
      <c r="K199" s="301"/>
      <c r="L199" s="301"/>
      <c r="M199" s="301"/>
      <c r="N199" s="301"/>
      <c r="O199" s="301"/>
      <c r="P199" s="301"/>
      <c r="Q199" s="301"/>
      <c r="R199" s="301"/>
      <c r="S199" s="301"/>
    </row>
    <row r="200" spans="1:19" x14ac:dyDescent="0.3">
      <c r="A200" s="301"/>
      <c r="B200" s="301"/>
      <c r="C200" s="301"/>
      <c r="D200" s="301"/>
      <c r="E200" s="301"/>
      <c r="F200" s="301"/>
      <c r="G200" s="301"/>
      <c r="H200" s="301"/>
      <c r="I200" s="301"/>
      <c r="J200" s="301"/>
      <c r="K200" s="301"/>
      <c r="L200" s="301"/>
      <c r="M200" s="301"/>
      <c r="N200" s="301"/>
      <c r="O200" s="301"/>
      <c r="P200" s="301"/>
      <c r="Q200" s="301"/>
      <c r="R200" s="301"/>
      <c r="S200" s="301"/>
    </row>
    <row r="201" spans="1:19" x14ac:dyDescent="0.3">
      <c r="A201" s="301"/>
      <c r="B201" s="301"/>
      <c r="C201" s="301"/>
      <c r="D201" s="301"/>
      <c r="E201" s="301"/>
      <c r="F201" s="301"/>
      <c r="G201" s="301"/>
      <c r="H201" s="301"/>
      <c r="I201" s="301"/>
      <c r="J201" s="301"/>
      <c r="K201" s="301"/>
      <c r="L201" s="301"/>
      <c r="M201" s="301"/>
      <c r="N201" s="301"/>
      <c r="O201" s="301"/>
      <c r="P201" s="301"/>
      <c r="Q201" s="301"/>
      <c r="R201" s="301"/>
      <c r="S201" s="301"/>
    </row>
    <row r="202" spans="1:19" x14ac:dyDescent="0.3">
      <c r="A202" s="301"/>
      <c r="B202" s="301"/>
      <c r="C202" s="301"/>
      <c r="D202" s="301"/>
      <c r="E202" s="301"/>
      <c r="F202" s="301"/>
      <c r="G202" s="301"/>
      <c r="H202" s="301"/>
      <c r="I202" s="301"/>
      <c r="J202" s="301"/>
      <c r="K202" s="301"/>
      <c r="L202" s="301"/>
      <c r="M202" s="301"/>
      <c r="N202" s="301"/>
      <c r="O202" s="301"/>
      <c r="P202" s="301"/>
      <c r="Q202" s="301"/>
      <c r="R202" s="301"/>
      <c r="S202" s="301"/>
    </row>
    <row r="203" spans="1:19" x14ac:dyDescent="0.3">
      <c r="A203" s="301"/>
      <c r="B203" s="301"/>
      <c r="C203" s="301"/>
      <c r="D203" s="301"/>
      <c r="E203" s="301"/>
      <c r="F203" s="301"/>
      <c r="G203" s="301"/>
      <c r="H203" s="301"/>
      <c r="I203" s="301"/>
      <c r="J203" s="301"/>
      <c r="K203" s="301"/>
      <c r="L203" s="301"/>
      <c r="M203" s="301"/>
      <c r="N203" s="301"/>
      <c r="O203" s="301"/>
      <c r="P203" s="301"/>
      <c r="Q203" s="301"/>
      <c r="R203" s="301"/>
      <c r="S203" s="301"/>
    </row>
    <row r="204" spans="1:19" x14ac:dyDescent="0.3">
      <c r="A204" s="301"/>
      <c r="B204" s="301"/>
      <c r="C204" s="301"/>
      <c r="D204" s="301"/>
      <c r="E204" s="301"/>
      <c r="F204" s="301"/>
      <c r="G204" s="301"/>
      <c r="H204" s="301"/>
      <c r="I204" s="301"/>
      <c r="J204" s="301"/>
      <c r="K204" s="301"/>
      <c r="L204" s="301"/>
      <c r="M204" s="301"/>
      <c r="N204" s="301"/>
      <c r="O204" s="301"/>
      <c r="P204" s="301"/>
      <c r="Q204" s="301"/>
      <c r="R204" s="301"/>
      <c r="S204" s="301"/>
    </row>
    <row r="205" spans="1:19" x14ac:dyDescent="0.3">
      <c r="A205" s="301"/>
      <c r="B205" s="301"/>
      <c r="C205" s="301"/>
      <c r="D205" s="301"/>
      <c r="E205" s="301"/>
      <c r="F205" s="301"/>
      <c r="G205" s="301"/>
      <c r="H205" s="301"/>
      <c r="I205" s="301"/>
      <c r="J205" s="301"/>
      <c r="K205" s="301"/>
      <c r="L205" s="301"/>
      <c r="M205" s="301"/>
      <c r="N205" s="301"/>
      <c r="O205" s="301"/>
      <c r="P205" s="301"/>
      <c r="Q205" s="301"/>
      <c r="R205" s="301"/>
      <c r="S205" s="301"/>
    </row>
    <row r="206" spans="1:19" x14ac:dyDescent="0.3">
      <c r="A206" s="301"/>
      <c r="B206" s="301"/>
      <c r="C206" s="301"/>
      <c r="D206" s="301"/>
      <c r="E206" s="301"/>
      <c r="F206" s="301"/>
      <c r="G206" s="301"/>
      <c r="H206" s="301"/>
      <c r="I206" s="301"/>
      <c r="J206" s="301"/>
      <c r="K206" s="301"/>
      <c r="L206" s="301"/>
      <c r="M206" s="301"/>
      <c r="N206" s="301"/>
      <c r="O206" s="301"/>
      <c r="P206" s="301"/>
      <c r="Q206" s="301"/>
      <c r="R206" s="301"/>
      <c r="S206" s="301"/>
    </row>
    <row r="207" spans="1:19" x14ac:dyDescent="0.3">
      <c r="A207" s="301"/>
      <c r="B207" s="301"/>
      <c r="C207" s="301"/>
      <c r="D207" s="301"/>
      <c r="E207" s="301"/>
      <c r="F207" s="301"/>
      <c r="G207" s="301"/>
      <c r="H207" s="301"/>
      <c r="I207" s="301"/>
      <c r="J207" s="301"/>
      <c r="K207" s="301"/>
      <c r="L207" s="301"/>
      <c r="M207" s="301"/>
      <c r="N207" s="301"/>
      <c r="O207" s="301"/>
      <c r="P207" s="301"/>
      <c r="Q207" s="301"/>
      <c r="R207" s="301"/>
      <c r="S207" s="301"/>
    </row>
    <row r="208" spans="1:19" x14ac:dyDescent="0.3">
      <c r="A208" s="301"/>
      <c r="B208" s="301"/>
      <c r="C208" s="301"/>
      <c r="D208" s="301"/>
      <c r="E208" s="301"/>
      <c r="F208" s="301"/>
      <c r="G208" s="301"/>
      <c r="H208" s="301"/>
      <c r="I208" s="301"/>
      <c r="J208" s="301"/>
      <c r="K208" s="301"/>
      <c r="L208" s="301"/>
      <c r="M208" s="301"/>
      <c r="N208" s="301"/>
      <c r="O208" s="301"/>
      <c r="P208" s="301"/>
      <c r="Q208" s="301"/>
      <c r="R208" s="301"/>
      <c r="S208" s="301"/>
    </row>
    <row r="209" spans="1:19" x14ac:dyDescent="0.3">
      <c r="A209" s="301"/>
      <c r="B209" s="301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1"/>
      <c r="O209" s="301"/>
      <c r="P209" s="301"/>
      <c r="Q209" s="301"/>
      <c r="R209" s="301"/>
      <c r="S209" s="301"/>
    </row>
    <row r="210" spans="1:19" x14ac:dyDescent="0.3">
      <c r="A210" s="301"/>
      <c r="B210" s="301"/>
      <c r="C210" s="301"/>
      <c r="D210" s="301"/>
      <c r="E210" s="301"/>
      <c r="F210" s="301"/>
      <c r="G210" s="301"/>
      <c r="H210" s="301"/>
      <c r="I210" s="301"/>
      <c r="J210" s="301"/>
      <c r="K210" s="301"/>
      <c r="L210" s="301"/>
      <c r="M210" s="301"/>
      <c r="N210" s="301"/>
      <c r="O210" s="301"/>
      <c r="P210" s="301"/>
      <c r="Q210" s="301"/>
      <c r="R210" s="301"/>
      <c r="S210" s="301"/>
    </row>
    <row r="211" spans="1:19" x14ac:dyDescent="0.3">
      <c r="A211" s="301"/>
      <c r="B211" s="301"/>
      <c r="C211" s="301"/>
      <c r="D211" s="301"/>
      <c r="E211" s="301"/>
      <c r="F211" s="301"/>
      <c r="G211" s="301"/>
      <c r="H211" s="301"/>
      <c r="I211" s="301"/>
      <c r="J211" s="301"/>
      <c r="K211" s="301"/>
      <c r="L211" s="301"/>
      <c r="M211" s="301"/>
      <c r="N211" s="301"/>
      <c r="O211" s="301"/>
      <c r="P211" s="301"/>
      <c r="Q211" s="301"/>
      <c r="R211" s="301"/>
      <c r="S211" s="301"/>
    </row>
    <row r="212" spans="1:19" x14ac:dyDescent="0.3">
      <c r="A212" s="301"/>
      <c r="B212" s="301"/>
      <c r="C212" s="301"/>
      <c r="D212" s="301"/>
      <c r="E212" s="301"/>
      <c r="F212" s="301"/>
      <c r="G212" s="301"/>
      <c r="H212" s="301"/>
      <c r="I212" s="301"/>
      <c r="J212" s="301"/>
      <c r="K212" s="301"/>
      <c r="L212" s="301"/>
      <c r="M212" s="301"/>
      <c r="N212" s="301"/>
      <c r="O212" s="301"/>
      <c r="P212" s="301"/>
      <c r="Q212" s="301"/>
      <c r="R212" s="301"/>
      <c r="S212" s="301"/>
    </row>
    <row r="213" spans="1:19" x14ac:dyDescent="0.3">
      <c r="A213" s="301"/>
      <c r="B213" s="301"/>
      <c r="C213" s="301"/>
      <c r="D213" s="301"/>
      <c r="E213" s="301"/>
      <c r="F213" s="301"/>
      <c r="G213" s="301"/>
      <c r="H213" s="301"/>
      <c r="I213" s="301"/>
      <c r="J213" s="301"/>
      <c r="K213" s="301"/>
      <c r="L213" s="301"/>
      <c r="M213" s="301"/>
      <c r="N213" s="301"/>
      <c r="O213" s="301"/>
      <c r="P213" s="301"/>
      <c r="Q213" s="301"/>
      <c r="R213" s="301"/>
      <c r="S213" s="301"/>
    </row>
    <row r="214" spans="1:19" x14ac:dyDescent="0.3">
      <c r="A214" s="301"/>
      <c r="B214" s="301"/>
      <c r="C214" s="301"/>
      <c r="D214" s="301"/>
      <c r="E214" s="301"/>
      <c r="F214" s="301"/>
      <c r="G214" s="301"/>
      <c r="H214" s="301"/>
      <c r="I214" s="301"/>
      <c r="J214" s="301"/>
      <c r="K214" s="301"/>
      <c r="L214" s="301"/>
      <c r="M214" s="301"/>
      <c r="N214" s="301"/>
      <c r="O214" s="301"/>
      <c r="P214" s="301"/>
      <c r="Q214" s="301"/>
      <c r="R214" s="301"/>
      <c r="S214" s="301"/>
    </row>
    <row r="215" spans="1:19" x14ac:dyDescent="0.3">
      <c r="A215" s="301"/>
      <c r="B215" s="301"/>
      <c r="C215" s="301"/>
      <c r="D215" s="301"/>
      <c r="E215" s="301"/>
      <c r="F215" s="301"/>
      <c r="G215" s="301"/>
      <c r="H215" s="301"/>
      <c r="I215" s="301"/>
      <c r="J215" s="301"/>
      <c r="K215" s="301"/>
      <c r="L215" s="301"/>
      <c r="M215" s="301"/>
      <c r="N215" s="301"/>
      <c r="O215" s="301"/>
      <c r="P215" s="301"/>
      <c r="Q215" s="301"/>
      <c r="R215" s="301"/>
      <c r="S215" s="301"/>
    </row>
    <row r="216" spans="1:19" x14ac:dyDescent="0.3">
      <c r="A216" s="301"/>
      <c r="B216" s="301"/>
      <c r="C216" s="301"/>
      <c r="D216" s="301"/>
      <c r="E216" s="301"/>
      <c r="F216" s="301"/>
      <c r="G216" s="301"/>
      <c r="H216" s="301"/>
      <c r="I216" s="301"/>
      <c r="J216" s="301"/>
      <c r="K216" s="301"/>
      <c r="L216" s="301"/>
      <c r="M216" s="301"/>
      <c r="N216" s="301"/>
      <c r="O216" s="301"/>
      <c r="P216" s="301"/>
      <c r="Q216" s="301"/>
      <c r="R216" s="301"/>
      <c r="S216" s="301"/>
    </row>
    <row r="217" spans="1:19" x14ac:dyDescent="0.3">
      <c r="A217" s="301"/>
      <c r="B217" s="301"/>
      <c r="C217" s="301"/>
      <c r="D217" s="301"/>
      <c r="E217" s="301"/>
      <c r="F217" s="301"/>
      <c r="G217" s="301"/>
      <c r="H217" s="301"/>
      <c r="I217" s="301"/>
      <c r="J217" s="301"/>
      <c r="K217" s="301"/>
      <c r="L217" s="301"/>
      <c r="M217" s="301"/>
      <c r="N217" s="301"/>
      <c r="O217" s="301"/>
      <c r="P217" s="301"/>
      <c r="Q217" s="301"/>
      <c r="R217" s="301"/>
      <c r="S217" s="301"/>
    </row>
    <row r="218" spans="1:19" x14ac:dyDescent="0.3">
      <c r="A218" s="301"/>
      <c r="B218" s="301"/>
      <c r="C218" s="301"/>
      <c r="D218" s="301"/>
      <c r="E218" s="301"/>
      <c r="F218" s="301"/>
      <c r="G218" s="301"/>
      <c r="H218" s="301"/>
      <c r="I218" s="301"/>
      <c r="J218" s="301"/>
      <c r="K218" s="301"/>
      <c r="L218" s="301"/>
      <c r="M218" s="301"/>
      <c r="N218" s="301"/>
      <c r="O218" s="301"/>
      <c r="P218" s="301"/>
      <c r="Q218" s="301"/>
      <c r="R218" s="301"/>
      <c r="S218" s="301"/>
    </row>
    <row r="219" spans="1:19" x14ac:dyDescent="0.3">
      <c r="A219" s="301"/>
      <c r="B219" s="301"/>
      <c r="C219" s="301"/>
      <c r="D219" s="301"/>
      <c r="E219" s="301"/>
      <c r="F219" s="301"/>
      <c r="G219" s="301"/>
      <c r="H219" s="301"/>
      <c r="I219" s="301"/>
      <c r="J219" s="301"/>
      <c r="K219" s="301"/>
      <c r="L219" s="301"/>
      <c r="M219" s="301"/>
      <c r="N219" s="301"/>
      <c r="O219" s="301"/>
      <c r="P219" s="301"/>
      <c r="Q219" s="301"/>
      <c r="R219" s="301"/>
      <c r="S219" s="301"/>
    </row>
    <row r="220" spans="1:19" x14ac:dyDescent="0.3">
      <c r="A220" s="301"/>
      <c r="B220" s="301"/>
      <c r="C220" s="301"/>
      <c r="D220" s="301"/>
      <c r="E220" s="301"/>
      <c r="F220" s="301"/>
      <c r="G220" s="301"/>
      <c r="H220" s="301"/>
      <c r="I220" s="301"/>
      <c r="J220" s="301"/>
      <c r="K220" s="301"/>
      <c r="L220" s="301"/>
      <c r="M220" s="301"/>
      <c r="N220" s="301"/>
      <c r="O220" s="301"/>
      <c r="P220" s="301"/>
      <c r="Q220" s="301"/>
      <c r="R220" s="301"/>
      <c r="S220" s="301"/>
    </row>
    <row r="221" spans="1:19" x14ac:dyDescent="0.3">
      <c r="A221" s="301"/>
      <c r="B221" s="301"/>
      <c r="C221" s="301"/>
      <c r="D221" s="301"/>
      <c r="E221" s="301"/>
      <c r="F221" s="301"/>
      <c r="G221" s="301"/>
      <c r="H221" s="301"/>
      <c r="I221" s="301"/>
      <c r="J221" s="301"/>
      <c r="K221" s="301"/>
      <c r="L221" s="301"/>
      <c r="M221" s="301"/>
      <c r="N221" s="301"/>
      <c r="O221" s="301"/>
      <c r="P221" s="301"/>
      <c r="Q221" s="301"/>
      <c r="R221" s="301"/>
      <c r="S221" s="301"/>
    </row>
    <row r="222" spans="1:19" x14ac:dyDescent="0.3">
      <c r="A222" s="301"/>
      <c r="B222" s="301"/>
      <c r="C222" s="301"/>
      <c r="D222" s="301"/>
      <c r="E222" s="301"/>
      <c r="F222" s="301"/>
      <c r="G222" s="301"/>
      <c r="H222" s="301"/>
      <c r="I222" s="301"/>
      <c r="J222" s="301"/>
      <c r="K222" s="301"/>
      <c r="L222" s="301"/>
      <c r="M222" s="301"/>
      <c r="N222" s="301"/>
      <c r="O222" s="301"/>
      <c r="P222" s="301"/>
      <c r="Q222" s="301"/>
      <c r="R222" s="301"/>
      <c r="S222" s="301"/>
    </row>
    <row r="223" spans="1:19" x14ac:dyDescent="0.3">
      <c r="A223" s="301"/>
      <c r="B223" s="301"/>
      <c r="C223" s="301"/>
      <c r="D223" s="301"/>
      <c r="E223" s="301"/>
      <c r="F223" s="301"/>
      <c r="G223" s="301"/>
      <c r="H223" s="301"/>
      <c r="I223" s="301"/>
      <c r="J223" s="301"/>
      <c r="K223" s="301"/>
      <c r="L223" s="301"/>
      <c r="M223" s="301"/>
      <c r="N223" s="301"/>
      <c r="O223" s="301"/>
      <c r="P223" s="301"/>
      <c r="Q223" s="301"/>
      <c r="R223" s="301"/>
      <c r="S223" s="301"/>
    </row>
    <row r="224" spans="1:19" x14ac:dyDescent="0.3">
      <c r="A224" s="301"/>
      <c r="B224" s="301"/>
      <c r="C224" s="301"/>
      <c r="D224" s="301"/>
      <c r="E224" s="301"/>
      <c r="F224" s="301"/>
      <c r="G224" s="301"/>
      <c r="H224" s="301"/>
      <c r="I224" s="301"/>
      <c r="J224" s="301"/>
      <c r="K224" s="301"/>
      <c r="L224" s="301"/>
      <c r="M224" s="301"/>
      <c r="N224" s="301"/>
      <c r="O224" s="301"/>
      <c r="P224" s="301"/>
      <c r="Q224" s="301"/>
      <c r="R224" s="301"/>
      <c r="S224" s="301"/>
    </row>
    <row r="225" spans="1:19" x14ac:dyDescent="0.3">
      <c r="A225" s="301"/>
      <c r="B225" s="301"/>
      <c r="C225" s="301"/>
      <c r="D225" s="301"/>
      <c r="E225" s="301"/>
      <c r="F225" s="301"/>
      <c r="G225" s="301"/>
      <c r="H225" s="301"/>
      <c r="I225" s="301"/>
      <c r="J225" s="301"/>
      <c r="K225" s="301"/>
      <c r="L225" s="301"/>
      <c r="M225" s="301"/>
      <c r="N225" s="301"/>
      <c r="O225" s="301"/>
      <c r="P225" s="301"/>
      <c r="Q225" s="301"/>
      <c r="R225" s="301"/>
      <c r="S225" s="301"/>
    </row>
    <row r="226" spans="1:19" x14ac:dyDescent="0.3">
      <c r="A226" s="301"/>
      <c r="B226" s="301"/>
      <c r="C226" s="301"/>
      <c r="D226" s="301"/>
      <c r="E226" s="301"/>
      <c r="F226" s="301"/>
      <c r="G226" s="301"/>
      <c r="H226" s="301"/>
      <c r="I226" s="301"/>
      <c r="J226" s="301"/>
      <c r="K226" s="301"/>
      <c r="L226" s="301"/>
      <c r="M226" s="301"/>
      <c r="N226" s="301"/>
      <c r="O226" s="301"/>
      <c r="P226" s="301"/>
      <c r="Q226" s="301"/>
      <c r="R226" s="301"/>
      <c r="S226" s="301"/>
    </row>
    <row r="227" spans="1:19" x14ac:dyDescent="0.3">
      <c r="A227" s="301"/>
      <c r="B227" s="301"/>
      <c r="C227" s="301"/>
      <c r="D227" s="301"/>
      <c r="E227" s="301"/>
      <c r="F227" s="301"/>
      <c r="G227" s="301"/>
      <c r="H227" s="301"/>
      <c r="I227" s="301"/>
      <c r="J227" s="301"/>
      <c r="K227" s="301"/>
      <c r="L227" s="301"/>
      <c r="M227" s="301"/>
      <c r="N227" s="301"/>
      <c r="O227" s="301"/>
      <c r="P227" s="301"/>
      <c r="Q227" s="301"/>
      <c r="R227" s="301"/>
      <c r="S227" s="301"/>
    </row>
    <row r="228" spans="1:19" x14ac:dyDescent="0.3">
      <c r="A228" s="301"/>
      <c r="B228" s="301"/>
      <c r="C228" s="301"/>
      <c r="D228" s="301"/>
      <c r="E228" s="301"/>
      <c r="F228" s="301"/>
      <c r="G228" s="301"/>
      <c r="H228" s="301"/>
      <c r="I228" s="301"/>
      <c r="J228" s="301"/>
      <c r="K228" s="301"/>
      <c r="L228" s="301"/>
      <c r="M228" s="301"/>
      <c r="N228" s="301"/>
      <c r="O228" s="301"/>
      <c r="P228" s="301"/>
      <c r="Q228" s="301"/>
      <c r="R228" s="301"/>
      <c r="S228" s="301"/>
    </row>
    <row r="229" spans="1:19" x14ac:dyDescent="0.3">
      <c r="A229" s="301"/>
      <c r="B229" s="301"/>
      <c r="C229" s="301"/>
      <c r="D229" s="301"/>
      <c r="E229" s="301"/>
      <c r="F229" s="301"/>
      <c r="G229" s="301"/>
      <c r="H229" s="301"/>
      <c r="I229" s="301"/>
      <c r="J229" s="301"/>
      <c r="K229" s="301"/>
      <c r="L229" s="301"/>
      <c r="M229" s="301"/>
      <c r="N229" s="301"/>
      <c r="O229" s="301"/>
      <c r="P229" s="301"/>
      <c r="Q229" s="301"/>
      <c r="R229" s="301"/>
      <c r="S229" s="301"/>
    </row>
    <row r="230" spans="1:19" x14ac:dyDescent="0.3">
      <c r="A230" s="301"/>
      <c r="B230" s="301"/>
      <c r="C230" s="301"/>
      <c r="D230" s="301"/>
      <c r="E230" s="301"/>
      <c r="F230" s="301"/>
      <c r="G230" s="301"/>
      <c r="H230" s="301"/>
      <c r="I230" s="301"/>
      <c r="J230" s="301"/>
      <c r="K230" s="301"/>
      <c r="L230" s="301"/>
      <c r="M230" s="301"/>
      <c r="N230" s="301"/>
      <c r="O230" s="301"/>
      <c r="P230" s="301"/>
      <c r="Q230" s="301"/>
      <c r="R230" s="301"/>
      <c r="S230" s="301"/>
    </row>
    <row r="231" spans="1:19" x14ac:dyDescent="0.3">
      <c r="A231" s="301"/>
      <c r="B231" s="301"/>
      <c r="C231" s="301"/>
      <c r="D231" s="301"/>
      <c r="E231" s="301"/>
      <c r="F231" s="301"/>
      <c r="G231" s="301"/>
      <c r="H231" s="301"/>
      <c r="I231" s="301"/>
      <c r="J231" s="301"/>
      <c r="K231" s="301"/>
      <c r="L231" s="301"/>
      <c r="M231" s="301"/>
      <c r="N231" s="301"/>
      <c r="O231" s="301"/>
      <c r="P231" s="301"/>
      <c r="Q231" s="301"/>
      <c r="R231" s="301"/>
      <c r="S231" s="301"/>
    </row>
    <row r="232" spans="1:19" x14ac:dyDescent="0.3">
      <c r="A232" s="301"/>
      <c r="B232" s="301"/>
      <c r="C232" s="301"/>
      <c r="D232" s="301"/>
      <c r="E232" s="301"/>
      <c r="F232" s="301"/>
      <c r="G232" s="301"/>
      <c r="H232" s="301"/>
      <c r="I232" s="301"/>
      <c r="J232" s="301"/>
      <c r="K232" s="301"/>
      <c r="L232" s="301"/>
      <c r="M232" s="301"/>
      <c r="N232" s="301"/>
      <c r="O232" s="301"/>
      <c r="P232" s="301"/>
      <c r="Q232" s="301"/>
      <c r="R232" s="301"/>
      <c r="S232" s="301"/>
    </row>
    <row r="233" spans="1:19" x14ac:dyDescent="0.3">
      <c r="A233" s="301"/>
      <c r="B233" s="301"/>
      <c r="C233" s="301"/>
      <c r="D233" s="301"/>
      <c r="E233" s="301"/>
      <c r="F233" s="301"/>
      <c r="G233" s="301"/>
      <c r="H233" s="301"/>
      <c r="I233" s="301"/>
      <c r="J233" s="301"/>
      <c r="K233" s="301"/>
      <c r="L233" s="301"/>
      <c r="M233" s="301"/>
      <c r="N233" s="301"/>
      <c r="O233" s="301"/>
      <c r="P233" s="301"/>
      <c r="Q233" s="301"/>
      <c r="R233" s="301"/>
      <c r="S233" s="301"/>
    </row>
    <row r="234" spans="1:19" x14ac:dyDescent="0.3">
      <c r="A234" s="301"/>
      <c r="B234" s="301"/>
      <c r="C234" s="301"/>
      <c r="D234" s="301"/>
      <c r="E234" s="301"/>
      <c r="F234" s="301"/>
      <c r="G234" s="301"/>
      <c r="H234" s="301"/>
      <c r="I234" s="301"/>
      <c r="J234" s="301"/>
      <c r="K234" s="301"/>
      <c r="L234" s="301"/>
      <c r="M234" s="301"/>
      <c r="N234" s="301"/>
      <c r="O234" s="301"/>
      <c r="P234" s="301"/>
      <c r="Q234" s="301"/>
      <c r="R234" s="301"/>
      <c r="S234" s="301"/>
    </row>
    <row r="235" spans="1:19" x14ac:dyDescent="0.3">
      <c r="A235" s="301"/>
      <c r="B235" s="301"/>
      <c r="C235" s="301"/>
      <c r="D235" s="301"/>
      <c r="E235" s="301"/>
      <c r="F235" s="301"/>
      <c r="G235" s="301"/>
      <c r="H235" s="301"/>
      <c r="I235" s="301"/>
      <c r="J235" s="301"/>
      <c r="K235" s="301"/>
      <c r="L235" s="301"/>
      <c r="M235" s="301"/>
      <c r="N235" s="301"/>
      <c r="O235" s="301"/>
      <c r="P235" s="301"/>
      <c r="Q235" s="301"/>
      <c r="R235" s="301"/>
      <c r="S235" s="301"/>
    </row>
    <row r="236" spans="1:19" x14ac:dyDescent="0.3">
      <c r="A236" s="301"/>
      <c r="B236" s="301"/>
      <c r="C236" s="301"/>
      <c r="D236" s="301"/>
      <c r="E236" s="301"/>
      <c r="F236" s="301"/>
      <c r="G236" s="301"/>
      <c r="H236" s="301"/>
      <c r="I236" s="301"/>
      <c r="J236" s="301"/>
      <c r="K236" s="301"/>
      <c r="L236" s="301"/>
      <c r="M236" s="301"/>
      <c r="N236" s="301"/>
      <c r="O236" s="301"/>
      <c r="P236" s="301"/>
      <c r="Q236" s="301"/>
      <c r="R236" s="301"/>
      <c r="S236" s="301"/>
    </row>
    <row r="237" spans="1:19" x14ac:dyDescent="0.3">
      <c r="A237" s="301"/>
      <c r="B237" s="301"/>
      <c r="C237" s="301"/>
      <c r="D237" s="301"/>
      <c r="E237" s="301"/>
      <c r="F237" s="301"/>
      <c r="G237" s="301"/>
      <c r="H237" s="301"/>
      <c r="I237" s="301"/>
      <c r="J237" s="301"/>
      <c r="K237" s="301"/>
      <c r="L237" s="301"/>
      <c r="M237" s="301"/>
      <c r="N237" s="301"/>
      <c r="O237" s="301"/>
      <c r="P237" s="301"/>
      <c r="Q237" s="301"/>
      <c r="R237" s="301"/>
      <c r="S237" s="301"/>
    </row>
    <row r="238" spans="1:19" x14ac:dyDescent="0.3">
      <c r="A238" s="301"/>
      <c r="B238" s="301"/>
      <c r="C238" s="301"/>
      <c r="D238" s="301"/>
      <c r="E238" s="301"/>
      <c r="F238" s="301"/>
      <c r="G238" s="301"/>
      <c r="H238" s="301"/>
      <c r="I238" s="301"/>
      <c r="J238" s="301"/>
      <c r="K238" s="301"/>
      <c r="L238" s="301"/>
      <c r="M238" s="301"/>
      <c r="N238" s="301"/>
      <c r="O238" s="301"/>
      <c r="P238" s="301"/>
      <c r="Q238" s="301"/>
      <c r="R238" s="301"/>
      <c r="S238" s="301"/>
    </row>
    <row r="239" spans="1:19" x14ac:dyDescent="0.3">
      <c r="A239" s="301"/>
      <c r="B239" s="301"/>
      <c r="C239" s="301"/>
      <c r="D239" s="301"/>
      <c r="E239" s="301"/>
      <c r="F239" s="301"/>
      <c r="G239" s="301"/>
      <c r="H239" s="301"/>
      <c r="I239" s="301"/>
      <c r="J239" s="301"/>
      <c r="K239" s="301"/>
      <c r="L239" s="301"/>
      <c r="M239" s="301"/>
      <c r="N239" s="301"/>
      <c r="O239" s="301"/>
      <c r="P239" s="301"/>
      <c r="Q239" s="301"/>
      <c r="R239" s="301"/>
      <c r="S239" s="301"/>
    </row>
    <row r="240" spans="1:19" x14ac:dyDescent="0.3">
      <c r="A240" s="301"/>
      <c r="B240" s="301"/>
      <c r="C240" s="301"/>
      <c r="D240" s="301"/>
      <c r="E240" s="301"/>
      <c r="F240" s="301"/>
      <c r="G240" s="301"/>
      <c r="H240" s="301"/>
      <c r="I240" s="301"/>
      <c r="J240" s="301"/>
      <c r="K240" s="301"/>
      <c r="L240" s="301"/>
      <c r="M240" s="301"/>
      <c r="N240" s="301"/>
      <c r="O240" s="301"/>
      <c r="P240" s="301"/>
      <c r="Q240" s="301"/>
      <c r="R240" s="301"/>
      <c r="S240" s="301"/>
    </row>
    <row r="241" spans="1:19" x14ac:dyDescent="0.3">
      <c r="A241" s="301"/>
      <c r="B241" s="301"/>
      <c r="C241" s="301"/>
      <c r="D241" s="301"/>
      <c r="E241" s="301"/>
      <c r="F241" s="301"/>
      <c r="G241" s="301"/>
      <c r="H241" s="301"/>
      <c r="I241" s="301"/>
      <c r="J241" s="301"/>
      <c r="K241" s="301"/>
      <c r="L241" s="301"/>
      <c r="M241" s="301"/>
      <c r="N241" s="301"/>
      <c r="O241" s="301"/>
      <c r="P241" s="301"/>
      <c r="Q241" s="301"/>
      <c r="R241" s="301"/>
      <c r="S241" s="301"/>
    </row>
    <row r="242" spans="1:19" x14ac:dyDescent="0.3">
      <c r="A242" s="301"/>
      <c r="B242" s="301"/>
      <c r="C242" s="301"/>
      <c r="D242" s="301"/>
      <c r="E242" s="301"/>
      <c r="F242" s="301"/>
      <c r="G242" s="301"/>
      <c r="H242" s="301"/>
      <c r="I242" s="301"/>
      <c r="J242" s="301"/>
      <c r="K242" s="301"/>
      <c r="L242" s="301"/>
      <c r="M242" s="301"/>
      <c r="N242" s="301"/>
      <c r="O242" s="301"/>
      <c r="P242" s="301"/>
      <c r="Q242" s="301"/>
      <c r="R242" s="301"/>
      <c r="S242" s="301"/>
    </row>
    <row r="243" spans="1:19" x14ac:dyDescent="0.3">
      <c r="A243" s="301"/>
      <c r="B243" s="301"/>
      <c r="C243" s="301"/>
      <c r="D243" s="301"/>
      <c r="E243" s="301"/>
      <c r="F243" s="301"/>
      <c r="G243" s="301"/>
      <c r="H243" s="301"/>
      <c r="I243" s="301"/>
      <c r="J243" s="301"/>
      <c r="K243" s="301"/>
      <c r="L243" s="301"/>
      <c r="M243" s="301"/>
      <c r="N243" s="301"/>
      <c r="O243" s="301"/>
      <c r="P243" s="301"/>
      <c r="Q243" s="301"/>
      <c r="R243" s="301"/>
      <c r="S243" s="301"/>
    </row>
    <row r="244" spans="1:19" x14ac:dyDescent="0.3">
      <c r="A244" s="301"/>
      <c r="B244" s="301"/>
      <c r="C244" s="301"/>
      <c r="D244" s="301"/>
      <c r="E244" s="301"/>
      <c r="F244" s="301"/>
      <c r="G244" s="301"/>
      <c r="H244" s="301"/>
      <c r="I244" s="301"/>
      <c r="J244" s="301"/>
      <c r="K244" s="301"/>
      <c r="L244" s="301"/>
      <c r="M244" s="301"/>
      <c r="N244" s="301"/>
      <c r="O244" s="301"/>
      <c r="P244" s="301"/>
      <c r="Q244" s="301"/>
      <c r="R244" s="301"/>
      <c r="S244" s="301"/>
    </row>
    <row r="245" spans="1:19" x14ac:dyDescent="0.3">
      <c r="A245" s="301"/>
      <c r="B245" s="301"/>
      <c r="C245" s="301"/>
      <c r="D245" s="301"/>
      <c r="E245" s="301"/>
      <c r="F245" s="301"/>
      <c r="G245" s="301"/>
      <c r="H245" s="301"/>
      <c r="I245" s="301"/>
      <c r="J245" s="301"/>
      <c r="K245" s="301"/>
      <c r="L245" s="301"/>
      <c r="M245" s="301"/>
      <c r="N245" s="301"/>
      <c r="O245" s="301"/>
      <c r="P245" s="301"/>
      <c r="Q245" s="301"/>
      <c r="R245" s="301"/>
      <c r="S245" s="301"/>
    </row>
    <row r="246" spans="1:19" x14ac:dyDescent="0.3">
      <c r="A246" s="301"/>
      <c r="B246" s="301"/>
      <c r="C246" s="301"/>
      <c r="D246" s="301"/>
      <c r="E246" s="301"/>
      <c r="F246" s="301"/>
      <c r="G246" s="301"/>
      <c r="H246" s="301"/>
      <c r="I246" s="301"/>
      <c r="J246" s="301"/>
      <c r="K246" s="301"/>
      <c r="L246" s="301"/>
      <c r="M246" s="301"/>
      <c r="N246" s="301"/>
      <c r="O246" s="301"/>
      <c r="P246" s="301"/>
      <c r="Q246" s="301"/>
      <c r="R246" s="301"/>
      <c r="S246" s="301"/>
    </row>
    <row r="247" spans="1:19" x14ac:dyDescent="0.3">
      <c r="A247" s="301"/>
      <c r="B247" s="301"/>
      <c r="C247" s="301"/>
      <c r="D247" s="301"/>
      <c r="E247" s="301"/>
      <c r="F247" s="301"/>
      <c r="G247" s="301"/>
      <c r="H247" s="301"/>
      <c r="I247" s="301"/>
      <c r="J247" s="301"/>
      <c r="K247" s="301"/>
      <c r="L247" s="301"/>
      <c r="M247" s="301"/>
      <c r="N247" s="301"/>
      <c r="O247" s="301"/>
      <c r="P247" s="301"/>
      <c r="Q247" s="301"/>
      <c r="R247" s="301"/>
      <c r="S247" s="301"/>
    </row>
    <row r="248" spans="1:19" x14ac:dyDescent="0.3">
      <c r="A248" s="301"/>
      <c r="B248" s="301"/>
      <c r="C248" s="301"/>
      <c r="D248" s="301"/>
      <c r="E248" s="301"/>
      <c r="F248" s="301"/>
      <c r="G248" s="301"/>
      <c r="H248" s="301"/>
      <c r="I248" s="301"/>
      <c r="J248" s="301"/>
      <c r="K248" s="301"/>
      <c r="L248" s="301"/>
      <c r="M248" s="301"/>
      <c r="N248" s="301"/>
      <c r="O248" s="301"/>
      <c r="P248" s="301"/>
      <c r="Q248" s="301"/>
      <c r="R248" s="301"/>
      <c r="S248" s="301"/>
    </row>
    <row r="249" spans="1:19" x14ac:dyDescent="0.3">
      <c r="A249" s="301"/>
      <c r="B249" s="301"/>
      <c r="C249" s="301"/>
      <c r="D249" s="301"/>
      <c r="E249" s="301"/>
      <c r="F249" s="301"/>
      <c r="G249" s="301"/>
      <c r="H249" s="301"/>
      <c r="I249" s="301"/>
      <c r="J249" s="301"/>
      <c r="K249" s="301"/>
      <c r="L249" s="301"/>
      <c r="M249" s="301"/>
      <c r="N249" s="301"/>
      <c r="O249" s="301"/>
      <c r="P249" s="301"/>
      <c r="Q249" s="301"/>
      <c r="R249" s="301"/>
      <c r="S249" s="301"/>
    </row>
    <row r="250" spans="1:19" x14ac:dyDescent="0.3">
      <c r="A250" s="301"/>
      <c r="B250" s="301"/>
      <c r="C250" s="301"/>
      <c r="D250" s="301"/>
      <c r="E250" s="301"/>
      <c r="F250" s="301"/>
      <c r="G250" s="301"/>
      <c r="H250" s="301"/>
      <c r="I250" s="301"/>
      <c r="J250" s="301"/>
      <c r="K250" s="301"/>
      <c r="L250" s="301"/>
      <c r="M250" s="301"/>
      <c r="N250" s="301"/>
      <c r="O250" s="301"/>
      <c r="P250" s="301"/>
      <c r="Q250" s="301"/>
      <c r="R250" s="301"/>
      <c r="S250" s="301"/>
    </row>
    <row r="251" spans="1:19" x14ac:dyDescent="0.3">
      <c r="A251" s="301"/>
      <c r="B251" s="301"/>
      <c r="C251" s="301"/>
      <c r="D251" s="301"/>
      <c r="E251" s="301"/>
      <c r="F251" s="301"/>
      <c r="G251" s="301"/>
      <c r="H251" s="301"/>
      <c r="I251" s="301"/>
      <c r="J251" s="301"/>
      <c r="K251" s="301"/>
      <c r="L251" s="301"/>
      <c r="M251" s="301"/>
      <c r="N251" s="301"/>
      <c r="O251" s="301"/>
      <c r="P251" s="301"/>
      <c r="Q251" s="301"/>
      <c r="R251" s="301"/>
      <c r="S251" s="301"/>
    </row>
    <row r="252" spans="1:19" x14ac:dyDescent="0.3">
      <c r="A252" s="301"/>
      <c r="B252" s="301"/>
      <c r="C252" s="301"/>
      <c r="D252" s="301"/>
      <c r="E252" s="301"/>
      <c r="F252" s="301"/>
      <c r="G252" s="301"/>
      <c r="H252" s="301"/>
      <c r="I252" s="301"/>
      <c r="J252" s="301"/>
      <c r="K252" s="301"/>
      <c r="L252" s="301"/>
      <c r="M252" s="301"/>
      <c r="N252" s="301"/>
      <c r="O252" s="301"/>
      <c r="P252" s="301"/>
      <c r="Q252" s="301"/>
      <c r="R252" s="301"/>
      <c r="S252" s="301"/>
    </row>
    <row r="253" spans="1:19" x14ac:dyDescent="0.3">
      <c r="A253" s="301"/>
      <c r="B253" s="301"/>
      <c r="C253" s="301"/>
      <c r="D253" s="301"/>
      <c r="E253" s="301"/>
      <c r="F253" s="301"/>
      <c r="G253" s="301"/>
      <c r="H253" s="301"/>
      <c r="I253" s="301"/>
      <c r="J253" s="301"/>
      <c r="K253" s="301"/>
      <c r="L253" s="301"/>
      <c r="M253" s="301"/>
      <c r="N253" s="301"/>
      <c r="O253" s="301"/>
      <c r="P253" s="301"/>
      <c r="Q253" s="301"/>
      <c r="R253" s="301"/>
      <c r="S253" s="301"/>
    </row>
    <row r="254" spans="1:19" x14ac:dyDescent="0.3">
      <c r="A254" s="301"/>
      <c r="B254" s="301"/>
      <c r="C254" s="301"/>
      <c r="D254" s="301"/>
      <c r="E254" s="301"/>
      <c r="F254" s="301"/>
      <c r="G254" s="301"/>
      <c r="H254" s="301"/>
      <c r="I254" s="301"/>
      <c r="J254" s="301"/>
      <c r="K254" s="301"/>
      <c r="L254" s="301"/>
      <c r="M254" s="301"/>
      <c r="N254" s="301"/>
      <c r="O254" s="301"/>
      <c r="P254" s="301"/>
      <c r="Q254" s="301"/>
      <c r="R254" s="301"/>
      <c r="S254" s="301"/>
    </row>
    <row r="255" spans="1:19" x14ac:dyDescent="0.3">
      <c r="A255" s="301"/>
      <c r="B255" s="301"/>
      <c r="C255" s="301"/>
      <c r="D255" s="301"/>
      <c r="E255" s="301"/>
      <c r="F255" s="301"/>
      <c r="G255" s="301"/>
      <c r="H255" s="301"/>
      <c r="I255" s="301"/>
      <c r="J255" s="301"/>
      <c r="K255" s="301"/>
      <c r="L255" s="301"/>
      <c r="M255" s="301"/>
      <c r="N255" s="301"/>
      <c r="O255" s="301"/>
      <c r="P255" s="301"/>
      <c r="Q255" s="301"/>
      <c r="R255" s="301"/>
      <c r="S255" s="301"/>
    </row>
    <row r="256" spans="1:19" x14ac:dyDescent="0.3">
      <c r="A256" s="301"/>
      <c r="B256" s="301"/>
      <c r="C256" s="301"/>
      <c r="D256" s="301"/>
      <c r="E256" s="301"/>
      <c r="F256" s="301"/>
      <c r="G256" s="301"/>
      <c r="H256" s="301"/>
      <c r="I256" s="301"/>
      <c r="J256" s="301"/>
      <c r="K256" s="301"/>
      <c r="L256" s="301"/>
      <c r="M256" s="301"/>
      <c r="N256" s="301"/>
      <c r="O256" s="301"/>
      <c r="P256" s="301"/>
      <c r="Q256" s="301"/>
      <c r="R256" s="301"/>
      <c r="S256" s="301"/>
    </row>
    <row r="257" spans="1:19" x14ac:dyDescent="0.3">
      <c r="A257" s="301"/>
      <c r="B257" s="301"/>
      <c r="C257" s="301"/>
      <c r="D257" s="301"/>
      <c r="E257" s="301"/>
      <c r="F257" s="301"/>
      <c r="G257" s="301"/>
      <c r="H257" s="301"/>
      <c r="I257" s="301"/>
      <c r="J257" s="301"/>
      <c r="K257" s="301"/>
      <c r="L257" s="301"/>
      <c r="M257" s="301"/>
      <c r="N257" s="301"/>
      <c r="O257" s="301"/>
      <c r="P257" s="301"/>
      <c r="Q257" s="301"/>
      <c r="R257" s="301"/>
      <c r="S257" s="301"/>
    </row>
    <row r="258" spans="1:19" x14ac:dyDescent="0.3">
      <c r="A258" s="301"/>
      <c r="B258" s="301"/>
      <c r="C258" s="301"/>
      <c r="D258" s="301"/>
      <c r="E258" s="301"/>
      <c r="F258" s="301"/>
      <c r="G258" s="301"/>
      <c r="H258" s="301"/>
      <c r="I258" s="301"/>
      <c r="J258" s="301"/>
      <c r="K258" s="301"/>
      <c r="L258" s="301"/>
      <c r="M258" s="301"/>
      <c r="N258" s="301"/>
      <c r="O258" s="301"/>
      <c r="P258" s="301"/>
      <c r="Q258" s="301"/>
      <c r="R258" s="301"/>
      <c r="S258" s="301"/>
    </row>
    <row r="259" spans="1:19" x14ac:dyDescent="0.3">
      <c r="A259" s="301"/>
      <c r="B259" s="301"/>
      <c r="C259" s="301"/>
      <c r="D259" s="301"/>
      <c r="E259" s="301"/>
      <c r="F259" s="301"/>
      <c r="G259" s="301"/>
      <c r="H259" s="301"/>
      <c r="I259" s="301"/>
      <c r="J259" s="301"/>
      <c r="K259" s="301"/>
      <c r="L259" s="301"/>
      <c r="M259" s="301"/>
      <c r="N259" s="301"/>
      <c r="O259" s="301"/>
      <c r="P259" s="301"/>
      <c r="Q259" s="301"/>
      <c r="R259" s="301"/>
      <c r="S259" s="301"/>
    </row>
    <row r="260" spans="1:19" x14ac:dyDescent="0.3">
      <c r="A260" s="301"/>
      <c r="B260" s="301"/>
      <c r="C260" s="301"/>
      <c r="D260" s="301"/>
      <c r="E260" s="301"/>
      <c r="F260" s="301"/>
      <c r="G260" s="301"/>
      <c r="H260" s="301"/>
      <c r="I260" s="301"/>
      <c r="J260" s="301"/>
      <c r="K260" s="301"/>
      <c r="L260" s="301"/>
      <c r="M260" s="301"/>
      <c r="N260" s="301"/>
      <c r="O260" s="301"/>
      <c r="P260" s="301"/>
      <c r="Q260" s="301"/>
      <c r="R260" s="301"/>
      <c r="S260" s="301"/>
    </row>
    <row r="261" spans="1:19" x14ac:dyDescent="0.3">
      <c r="A261" s="301"/>
      <c r="B261" s="301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1"/>
      <c r="O261" s="301"/>
      <c r="P261" s="301"/>
      <c r="Q261" s="301"/>
      <c r="R261" s="301"/>
      <c r="S261" s="301"/>
    </row>
    <row r="262" spans="1:19" x14ac:dyDescent="0.3">
      <c r="A262" s="301"/>
      <c r="B262" s="301"/>
      <c r="C262" s="301"/>
      <c r="D262" s="301"/>
      <c r="E262" s="301"/>
      <c r="F262" s="301"/>
      <c r="G262" s="301"/>
      <c r="H262" s="301"/>
      <c r="I262" s="301"/>
      <c r="J262" s="301"/>
      <c r="K262" s="301"/>
      <c r="L262" s="301"/>
      <c r="M262" s="301"/>
      <c r="N262" s="301"/>
      <c r="O262" s="301"/>
      <c r="P262" s="301"/>
      <c r="Q262" s="301"/>
      <c r="R262" s="301"/>
      <c r="S262" s="301"/>
    </row>
    <row r="263" spans="1:19" x14ac:dyDescent="0.3">
      <c r="A263" s="301"/>
      <c r="B263" s="301"/>
      <c r="C263" s="301"/>
      <c r="D263" s="301"/>
      <c r="E263" s="301"/>
      <c r="F263" s="301"/>
      <c r="G263" s="301"/>
      <c r="H263" s="301"/>
      <c r="I263" s="301"/>
      <c r="J263" s="301"/>
      <c r="K263" s="301"/>
      <c r="L263" s="301"/>
      <c r="M263" s="301"/>
      <c r="N263" s="301"/>
      <c r="O263" s="301"/>
      <c r="P263" s="301"/>
      <c r="Q263" s="301"/>
      <c r="R263" s="301"/>
      <c r="S263" s="301"/>
    </row>
    <row r="264" spans="1:19" x14ac:dyDescent="0.3">
      <c r="A264" s="301"/>
      <c r="B264" s="301"/>
      <c r="C264" s="301"/>
      <c r="D264" s="301"/>
      <c r="E264" s="301"/>
      <c r="F264" s="301"/>
      <c r="G264" s="301"/>
      <c r="H264" s="301"/>
      <c r="I264" s="301"/>
      <c r="J264" s="301"/>
      <c r="K264" s="301"/>
      <c r="L264" s="301"/>
      <c r="M264" s="301"/>
      <c r="N264" s="301"/>
      <c r="O264" s="301"/>
      <c r="P264" s="301"/>
      <c r="Q264" s="301"/>
      <c r="R264" s="301"/>
      <c r="S264" s="301"/>
    </row>
    <row r="265" spans="1:19" x14ac:dyDescent="0.3">
      <c r="A265" s="301"/>
      <c r="B265" s="301"/>
      <c r="C265" s="301"/>
      <c r="D265" s="301"/>
      <c r="E265" s="301"/>
      <c r="F265" s="301"/>
      <c r="G265" s="301"/>
      <c r="H265" s="301"/>
      <c r="I265" s="301"/>
      <c r="J265" s="301"/>
      <c r="K265" s="301"/>
      <c r="L265" s="301"/>
      <c r="M265" s="301"/>
      <c r="N265" s="301"/>
      <c r="O265" s="301"/>
      <c r="P265" s="301"/>
      <c r="Q265" s="301"/>
      <c r="R265" s="301"/>
      <c r="S265" s="301"/>
    </row>
    <row r="266" spans="1:19" x14ac:dyDescent="0.3">
      <c r="A266" s="301"/>
      <c r="B266" s="301"/>
      <c r="C266" s="301"/>
      <c r="D266" s="301"/>
      <c r="E266" s="301"/>
      <c r="F266" s="301"/>
      <c r="G266" s="301"/>
      <c r="H266" s="301"/>
      <c r="I266" s="301"/>
      <c r="J266" s="301"/>
      <c r="K266" s="301"/>
      <c r="L266" s="301"/>
      <c r="M266" s="301"/>
      <c r="N266" s="301"/>
      <c r="O266" s="301"/>
      <c r="P266" s="301"/>
      <c r="Q266" s="301"/>
      <c r="R266" s="301"/>
      <c r="S266" s="301"/>
    </row>
    <row r="267" spans="1:19" x14ac:dyDescent="0.3">
      <c r="A267" s="301"/>
      <c r="B267" s="301"/>
      <c r="C267" s="301"/>
      <c r="D267" s="301"/>
      <c r="E267" s="301"/>
      <c r="F267" s="301"/>
      <c r="G267" s="301"/>
      <c r="H267" s="301"/>
      <c r="I267" s="301"/>
      <c r="J267" s="301"/>
      <c r="K267" s="301"/>
      <c r="L267" s="301"/>
      <c r="M267" s="301"/>
      <c r="N267" s="301"/>
      <c r="O267" s="301"/>
      <c r="P267" s="301"/>
      <c r="Q267" s="301"/>
      <c r="R267" s="301"/>
      <c r="S267" s="301"/>
    </row>
    <row r="268" spans="1:19" x14ac:dyDescent="0.3">
      <c r="A268" s="301"/>
      <c r="B268" s="301"/>
      <c r="C268" s="301"/>
      <c r="D268" s="301"/>
      <c r="E268" s="301"/>
      <c r="F268" s="301"/>
      <c r="G268" s="301"/>
      <c r="H268" s="301"/>
      <c r="I268" s="301"/>
      <c r="J268" s="301"/>
      <c r="K268" s="301"/>
      <c r="L268" s="301"/>
      <c r="M268" s="301"/>
      <c r="N268" s="301"/>
      <c r="O268" s="301"/>
      <c r="P268" s="301"/>
      <c r="Q268" s="301"/>
      <c r="R268" s="301"/>
      <c r="S268" s="301"/>
    </row>
    <row r="269" spans="1:19" x14ac:dyDescent="0.3">
      <c r="A269" s="301"/>
      <c r="B269" s="301"/>
      <c r="C269" s="301"/>
      <c r="D269" s="301"/>
      <c r="E269" s="301"/>
      <c r="F269" s="301"/>
      <c r="G269" s="301"/>
      <c r="H269" s="301"/>
      <c r="I269" s="301"/>
      <c r="J269" s="301"/>
      <c r="K269" s="301"/>
      <c r="L269" s="301"/>
      <c r="M269" s="301"/>
      <c r="N269" s="301"/>
      <c r="O269" s="301"/>
      <c r="P269" s="301"/>
      <c r="Q269" s="301"/>
      <c r="R269" s="301"/>
      <c r="S269" s="301"/>
    </row>
    <row r="270" spans="1:19" x14ac:dyDescent="0.3">
      <c r="A270" s="301"/>
      <c r="B270" s="301"/>
      <c r="C270" s="301"/>
      <c r="D270" s="301"/>
      <c r="E270" s="301"/>
      <c r="F270" s="301"/>
      <c r="G270" s="301"/>
      <c r="H270" s="301"/>
      <c r="I270" s="301"/>
      <c r="J270" s="301"/>
      <c r="K270" s="301"/>
      <c r="L270" s="301"/>
      <c r="M270" s="301"/>
      <c r="N270" s="301"/>
      <c r="O270" s="301"/>
      <c r="P270" s="301"/>
      <c r="Q270" s="301"/>
      <c r="R270" s="301"/>
      <c r="S270" s="301"/>
    </row>
    <row r="271" spans="1:19" x14ac:dyDescent="0.3">
      <c r="A271" s="301"/>
      <c r="B271" s="301"/>
      <c r="C271" s="301"/>
      <c r="D271" s="301"/>
      <c r="E271" s="301"/>
      <c r="F271" s="301"/>
      <c r="G271" s="301"/>
      <c r="H271" s="301"/>
      <c r="I271" s="301"/>
      <c r="J271" s="301"/>
      <c r="K271" s="301"/>
      <c r="L271" s="301"/>
      <c r="M271" s="301"/>
      <c r="N271" s="301"/>
      <c r="O271" s="301"/>
      <c r="P271" s="301"/>
      <c r="Q271" s="301"/>
      <c r="R271" s="301"/>
      <c r="S271" s="301"/>
    </row>
    <row r="272" spans="1:19" x14ac:dyDescent="0.3">
      <c r="A272" s="301"/>
      <c r="B272" s="301"/>
      <c r="C272" s="301"/>
      <c r="D272" s="301"/>
      <c r="E272" s="301"/>
      <c r="F272" s="301"/>
      <c r="G272" s="301"/>
      <c r="H272" s="301"/>
      <c r="I272" s="301"/>
      <c r="J272" s="301"/>
      <c r="K272" s="301"/>
      <c r="L272" s="301"/>
      <c r="M272" s="301"/>
      <c r="N272" s="301"/>
      <c r="O272" s="301"/>
      <c r="P272" s="301"/>
      <c r="Q272" s="301"/>
      <c r="R272" s="301"/>
      <c r="S272" s="301"/>
    </row>
    <row r="273" spans="1:19" x14ac:dyDescent="0.3">
      <c r="A273" s="301"/>
      <c r="B273" s="301"/>
      <c r="C273" s="301"/>
      <c r="D273" s="301"/>
      <c r="E273" s="301"/>
      <c r="F273" s="301"/>
      <c r="G273" s="301"/>
      <c r="H273" s="301"/>
      <c r="I273" s="301"/>
      <c r="J273" s="301"/>
      <c r="K273" s="301"/>
      <c r="L273" s="301"/>
      <c r="M273" s="301"/>
      <c r="N273" s="301"/>
      <c r="O273" s="301"/>
      <c r="P273" s="301"/>
      <c r="Q273" s="301"/>
      <c r="R273" s="301"/>
      <c r="S273" s="301"/>
    </row>
    <row r="274" spans="1:19" x14ac:dyDescent="0.3">
      <c r="A274" s="301"/>
      <c r="B274" s="301"/>
      <c r="C274" s="301"/>
      <c r="D274" s="301"/>
      <c r="E274" s="301"/>
      <c r="F274" s="301"/>
      <c r="G274" s="301"/>
      <c r="H274" s="301"/>
      <c r="I274" s="301"/>
      <c r="J274" s="301"/>
      <c r="K274" s="301"/>
      <c r="L274" s="301"/>
      <c r="M274" s="301"/>
      <c r="N274" s="301"/>
      <c r="O274" s="301"/>
      <c r="P274" s="301"/>
      <c r="Q274" s="301"/>
      <c r="R274" s="301"/>
      <c r="S274" s="301"/>
    </row>
    <row r="275" spans="1:19" x14ac:dyDescent="0.3">
      <c r="A275" s="301"/>
      <c r="B275" s="301"/>
      <c r="C275" s="301"/>
      <c r="D275" s="301"/>
      <c r="E275" s="301"/>
      <c r="F275" s="301"/>
      <c r="G275" s="301"/>
      <c r="H275" s="301"/>
      <c r="I275" s="301"/>
      <c r="J275" s="301"/>
      <c r="K275" s="301"/>
      <c r="L275" s="301"/>
      <c r="M275" s="301"/>
      <c r="N275" s="301"/>
      <c r="O275" s="301"/>
      <c r="P275" s="301"/>
      <c r="Q275" s="301"/>
      <c r="R275" s="301"/>
      <c r="S275" s="301"/>
    </row>
    <row r="276" spans="1:19" x14ac:dyDescent="0.3">
      <c r="A276" s="301"/>
      <c r="B276" s="301"/>
      <c r="C276" s="301"/>
      <c r="D276" s="301"/>
      <c r="E276" s="301"/>
      <c r="F276" s="301"/>
      <c r="G276" s="301"/>
      <c r="H276" s="301"/>
      <c r="I276" s="301"/>
      <c r="J276" s="301"/>
      <c r="K276" s="301"/>
      <c r="L276" s="301"/>
      <c r="M276" s="301"/>
      <c r="N276" s="301"/>
      <c r="O276" s="301"/>
      <c r="P276" s="301"/>
      <c r="Q276" s="301"/>
      <c r="R276" s="301"/>
      <c r="S276" s="301"/>
    </row>
    <row r="277" spans="1:19" x14ac:dyDescent="0.3">
      <c r="A277" s="301"/>
      <c r="B277" s="301"/>
      <c r="C277" s="301"/>
      <c r="D277" s="301"/>
      <c r="E277" s="301"/>
      <c r="F277" s="301"/>
      <c r="G277" s="301"/>
      <c r="H277" s="301"/>
      <c r="I277" s="301"/>
      <c r="J277" s="301"/>
      <c r="K277" s="301"/>
      <c r="L277" s="301"/>
      <c r="M277" s="301"/>
      <c r="N277" s="301"/>
      <c r="O277" s="301"/>
      <c r="P277" s="301"/>
      <c r="Q277" s="301"/>
      <c r="R277" s="301"/>
      <c r="S277" s="301"/>
    </row>
    <row r="278" spans="1:19" x14ac:dyDescent="0.3">
      <c r="A278" s="301"/>
      <c r="B278" s="301"/>
      <c r="C278" s="301"/>
      <c r="D278" s="301"/>
      <c r="E278" s="301"/>
      <c r="F278" s="301"/>
      <c r="G278" s="301"/>
      <c r="H278" s="301"/>
      <c r="I278" s="301"/>
      <c r="J278" s="301"/>
      <c r="K278" s="301"/>
      <c r="L278" s="301"/>
      <c r="M278" s="301"/>
      <c r="N278" s="301"/>
      <c r="O278" s="301"/>
      <c r="P278" s="301"/>
      <c r="Q278" s="301"/>
      <c r="R278" s="301"/>
      <c r="S278" s="301"/>
    </row>
    <row r="279" spans="1:19" x14ac:dyDescent="0.3">
      <c r="A279" s="301"/>
      <c r="B279" s="301"/>
      <c r="C279" s="301"/>
      <c r="D279" s="301"/>
      <c r="E279" s="301"/>
      <c r="F279" s="301"/>
      <c r="G279" s="301"/>
      <c r="H279" s="301"/>
      <c r="I279" s="301"/>
      <c r="J279" s="301"/>
      <c r="K279" s="301"/>
      <c r="L279" s="301"/>
      <c r="M279" s="301"/>
      <c r="N279" s="301"/>
      <c r="O279" s="301"/>
      <c r="P279" s="301"/>
      <c r="Q279" s="301"/>
      <c r="R279" s="301"/>
      <c r="S279" s="301"/>
    </row>
    <row r="280" spans="1:19" x14ac:dyDescent="0.3">
      <c r="A280" s="301"/>
      <c r="B280" s="301"/>
      <c r="C280" s="301"/>
      <c r="D280" s="301"/>
      <c r="E280" s="301"/>
      <c r="F280" s="301"/>
      <c r="G280" s="301"/>
      <c r="H280" s="301"/>
      <c r="I280" s="301"/>
      <c r="J280" s="301"/>
      <c r="K280" s="301"/>
      <c r="L280" s="301"/>
      <c r="M280" s="301"/>
      <c r="N280" s="301"/>
      <c r="O280" s="301"/>
      <c r="P280" s="301"/>
      <c r="Q280" s="301"/>
      <c r="R280" s="301"/>
      <c r="S280" s="301"/>
    </row>
    <row r="281" spans="1:19" x14ac:dyDescent="0.3">
      <c r="A281" s="301"/>
      <c r="B281" s="301"/>
      <c r="C281" s="301"/>
      <c r="D281" s="301"/>
      <c r="E281" s="301"/>
      <c r="F281" s="301"/>
      <c r="G281" s="301"/>
      <c r="H281" s="301"/>
      <c r="I281" s="301"/>
      <c r="J281" s="301"/>
      <c r="K281" s="301"/>
      <c r="L281" s="301"/>
      <c r="M281" s="301"/>
      <c r="N281" s="301"/>
      <c r="O281" s="301"/>
      <c r="P281" s="301"/>
      <c r="Q281" s="301"/>
      <c r="R281" s="301"/>
      <c r="S281" s="301"/>
    </row>
    <row r="282" spans="1:19" x14ac:dyDescent="0.3">
      <c r="A282" s="301"/>
      <c r="B282" s="301"/>
      <c r="C282" s="301"/>
      <c r="D282" s="301"/>
      <c r="E282" s="301"/>
      <c r="F282" s="301"/>
      <c r="G282" s="301"/>
      <c r="H282" s="301"/>
      <c r="I282" s="301"/>
      <c r="J282" s="301"/>
      <c r="K282" s="301"/>
      <c r="L282" s="301"/>
      <c r="M282" s="301"/>
      <c r="N282" s="301"/>
      <c r="O282" s="301"/>
      <c r="P282" s="301"/>
      <c r="Q282" s="301"/>
      <c r="R282" s="301"/>
      <c r="S282" s="301"/>
    </row>
    <row r="283" spans="1:19" x14ac:dyDescent="0.3">
      <c r="A283" s="301"/>
      <c r="B283" s="301"/>
      <c r="C283" s="301"/>
      <c r="D283" s="301"/>
      <c r="E283" s="301"/>
      <c r="F283" s="301"/>
      <c r="G283" s="301"/>
      <c r="H283" s="301"/>
      <c r="I283" s="301"/>
      <c r="J283" s="301"/>
      <c r="K283" s="301"/>
      <c r="L283" s="301"/>
      <c r="M283" s="301"/>
      <c r="N283" s="301"/>
      <c r="O283" s="301"/>
      <c r="P283" s="301"/>
      <c r="Q283" s="301"/>
      <c r="R283" s="301"/>
      <c r="S283" s="301"/>
    </row>
    <row r="284" spans="1:19" x14ac:dyDescent="0.3">
      <c r="A284" s="301"/>
      <c r="B284" s="301"/>
      <c r="C284" s="301"/>
      <c r="D284" s="301"/>
      <c r="E284" s="301"/>
      <c r="F284" s="301"/>
      <c r="G284" s="301"/>
      <c r="H284" s="301"/>
      <c r="I284" s="301"/>
      <c r="J284" s="301"/>
      <c r="K284" s="301"/>
      <c r="L284" s="301"/>
      <c r="M284" s="301"/>
      <c r="N284" s="301"/>
      <c r="O284" s="301"/>
      <c r="P284" s="301"/>
      <c r="Q284" s="301"/>
      <c r="R284" s="301"/>
      <c r="S284" s="301"/>
    </row>
    <row r="285" spans="1:19" x14ac:dyDescent="0.3">
      <c r="A285" s="301"/>
      <c r="B285" s="301"/>
      <c r="C285" s="301"/>
      <c r="D285" s="301"/>
      <c r="E285" s="301"/>
      <c r="F285" s="301"/>
      <c r="G285" s="301"/>
      <c r="H285" s="301"/>
      <c r="I285" s="301"/>
      <c r="J285" s="301"/>
      <c r="K285" s="301"/>
      <c r="L285" s="301"/>
      <c r="M285" s="301"/>
      <c r="N285" s="301"/>
      <c r="O285" s="301"/>
      <c r="P285" s="301"/>
      <c r="Q285" s="301"/>
      <c r="R285" s="301"/>
      <c r="S285" s="301"/>
    </row>
    <row r="286" spans="1:19" x14ac:dyDescent="0.3">
      <c r="A286" s="301"/>
      <c r="B286" s="301"/>
      <c r="C286" s="301"/>
      <c r="D286" s="301"/>
      <c r="E286" s="301"/>
      <c r="F286" s="301"/>
      <c r="G286" s="301"/>
      <c r="H286" s="301"/>
      <c r="I286" s="301"/>
      <c r="J286" s="301"/>
      <c r="K286" s="301"/>
      <c r="L286" s="301"/>
      <c r="M286" s="301"/>
      <c r="N286" s="301"/>
      <c r="O286" s="301"/>
      <c r="P286" s="301"/>
      <c r="Q286" s="301"/>
      <c r="R286" s="301"/>
      <c r="S286" s="301"/>
    </row>
    <row r="287" spans="1:19" x14ac:dyDescent="0.3">
      <c r="A287" s="301"/>
      <c r="B287" s="301"/>
      <c r="C287" s="301"/>
      <c r="D287" s="301"/>
      <c r="E287" s="301"/>
      <c r="F287" s="301"/>
      <c r="G287" s="301"/>
      <c r="H287" s="301"/>
      <c r="I287" s="301"/>
      <c r="J287" s="301"/>
      <c r="K287" s="301"/>
      <c r="L287" s="301"/>
      <c r="M287" s="301"/>
      <c r="N287" s="301"/>
      <c r="O287" s="301"/>
      <c r="P287" s="301"/>
      <c r="Q287" s="301"/>
      <c r="R287" s="301"/>
      <c r="S287" s="301"/>
    </row>
    <row r="288" spans="1:19" x14ac:dyDescent="0.3">
      <c r="A288" s="301"/>
      <c r="B288" s="301"/>
      <c r="C288" s="301"/>
      <c r="D288" s="301"/>
      <c r="E288" s="301"/>
      <c r="F288" s="301"/>
      <c r="G288" s="301"/>
      <c r="H288" s="301"/>
      <c r="I288" s="301"/>
      <c r="J288" s="301"/>
      <c r="K288" s="301"/>
      <c r="L288" s="301"/>
      <c r="M288" s="301"/>
      <c r="N288" s="301"/>
      <c r="O288" s="301"/>
      <c r="P288" s="301"/>
      <c r="Q288" s="301"/>
      <c r="R288" s="301"/>
      <c r="S288" s="301"/>
    </row>
    <row r="289" spans="1:19" x14ac:dyDescent="0.3">
      <c r="A289" s="301"/>
      <c r="B289" s="301"/>
      <c r="C289" s="301"/>
      <c r="D289" s="301"/>
      <c r="E289" s="301"/>
      <c r="F289" s="301"/>
      <c r="G289" s="301"/>
      <c r="H289" s="301"/>
      <c r="I289" s="301"/>
      <c r="J289" s="301"/>
      <c r="K289" s="301"/>
      <c r="L289" s="301"/>
      <c r="M289" s="301"/>
      <c r="N289" s="301"/>
      <c r="O289" s="301"/>
      <c r="P289" s="301"/>
      <c r="Q289" s="301"/>
      <c r="R289" s="301"/>
      <c r="S289" s="301"/>
    </row>
    <row r="290" spans="1:19" x14ac:dyDescent="0.3">
      <c r="A290" s="301"/>
      <c r="B290" s="301"/>
      <c r="C290" s="301"/>
      <c r="D290" s="301"/>
      <c r="E290" s="301"/>
      <c r="F290" s="301"/>
      <c r="G290" s="301"/>
      <c r="H290" s="301"/>
      <c r="I290" s="301"/>
      <c r="J290" s="301"/>
      <c r="K290" s="301"/>
      <c r="L290" s="301"/>
      <c r="M290" s="301"/>
      <c r="N290" s="301"/>
      <c r="O290" s="301"/>
      <c r="P290" s="301"/>
      <c r="Q290" s="301"/>
      <c r="R290" s="301"/>
      <c r="S290" s="301"/>
    </row>
    <row r="291" spans="1:19" x14ac:dyDescent="0.3">
      <c r="A291" s="301"/>
      <c r="B291" s="301"/>
      <c r="C291" s="301"/>
      <c r="D291" s="301"/>
      <c r="E291" s="301"/>
      <c r="F291" s="301"/>
      <c r="G291" s="301"/>
      <c r="H291" s="301"/>
      <c r="I291" s="301"/>
      <c r="J291" s="301"/>
      <c r="K291" s="301"/>
      <c r="L291" s="301"/>
      <c r="M291" s="301"/>
      <c r="N291" s="301"/>
      <c r="O291" s="301"/>
      <c r="P291" s="301"/>
      <c r="Q291" s="301"/>
      <c r="R291" s="301"/>
      <c r="S291" s="301"/>
    </row>
    <row r="292" spans="1:19" x14ac:dyDescent="0.3">
      <c r="A292" s="301"/>
    </row>
    <row r="293" spans="1:19" x14ac:dyDescent="0.3">
      <c r="A293" s="301"/>
    </row>
    <row r="294" spans="1:19" x14ac:dyDescent="0.3">
      <c r="A294" s="301"/>
    </row>
    <row r="295" spans="1:19" x14ac:dyDescent="0.3">
      <c r="A295" s="301"/>
    </row>
    <row r="296" spans="1:19" x14ac:dyDescent="0.3">
      <c r="A296" s="301"/>
    </row>
    <row r="297" spans="1:19" x14ac:dyDescent="0.3">
      <c r="A297" s="301"/>
    </row>
    <row r="298" spans="1:19" x14ac:dyDescent="0.3">
      <c r="A298" s="301"/>
    </row>
    <row r="299" spans="1:19" x14ac:dyDescent="0.3">
      <c r="A299" s="301"/>
    </row>
    <row r="300" spans="1:19" x14ac:dyDescent="0.3">
      <c r="A300" s="301"/>
    </row>
  </sheetData>
  <mergeCells count="26">
    <mergeCell ref="A35:A36"/>
    <mergeCell ref="B1:E1"/>
    <mergeCell ref="H1:M1"/>
    <mergeCell ref="N1:Q1"/>
    <mergeCell ref="A10:A11"/>
    <mergeCell ref="A24:A25"/>
    <mergeCell ref="A29:A30"/>
    <mergeCell ref="B30:E30"/>
    <mergeCell ref="N30:R30"/>
    <mergeCell ref="A31:A32"/>
    <mergeCell ref="A4:A5"/>
    <mergeCell ref="A7:A8"/>
    <mergeCell ref="B24:B25"/>
    <mergeCell ref="D24:D25"/>
    <mergeCell ref="H24:H25"/>
    <mergeCell ref="J24:J25"/>
    <mergeCell ref="A37:A38"/>
    <mergeCell ref="B39:E39"/>
    <mergeCell ref="N39:R39"/>
    <mergeCell ref="A41:A42"/>
    <mergeCell ref="A43:A44"/>
    <mergeCell ref="N24:N25"/>
    <mergeCell ref="P24:P25"/>
    <mergeCell ref="C57:G57"/>
    <mergeCell ref="B45:E45"/>
    <mergeCell ref="N45:Q45"/>
  </mergeCells>
  <pageMargins left="0.7" right="0.7" top="0.75" bottom="0.75" header="0.3" footer="0.3"/>
  <pageSetup paperSize="9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1"/>
  <sheetViews>
    <sheetView zoomScale="55" zoomScaleNormal="55" workbookViewId="0">
      <pane xSplit="1" topLeftCell="B1" activePane="topRight" state="frozen"/>
      <selection pane="topRight" activeCell="K45" sqref="K45"/>
    </sheetView>
  </sheetViews>
  <sheetFormatPr defaultColWidth="8.85546875" defaultRowHeight="18.75" x14ac:dyDescent="0.3"/>
  <cols>
    <col min="1" max="1" width="22.7109375" style="384" customWidth="1"/>
    <col min="2" max="2" width="33.7109375" style="296" customWidth="1"/>
    <col min="3" max="3" width="30.28515625" style="289" customWidth="1"/>
    <col min="4" max="4" width="32.42578125" style="289" customWidth="1"/>
    <col min="5" max="5" width="32.5703125" style="329" bestFit="1" customWidth="1"/>
    <col min="6" max="6" width="19" style="413" customWidth="1"/>
    <col min="7" max="7" width="17.140625" style="413" customWidth="1"/>
    <col min="8" max="8" width="11.5703125" style="296" bestFit="1" customWidth="1"/>
    <col min="9" max="9" width="16.7109375" style="289" customWidth="1"/>
    <col min="10" max="10" width="13.7109375" style="289" customWidth="1"/>
    <col min="11" max="11" width="12.28515625" style="353" bestFit="1" customWidth="1"/>
    <col min="12" max="12" width="9.85546875" style="353" customWidth="1"/>
    <col min="13" max="13" width="10.140625" style="329" bestFit="1" customWidth="1"/>
    <col min="14" max="14" width="11.85546875" style="296" bestFit="1" customWidth="1"/>
    <col min="15" max="15" width="12.28515625" style="289" bestFit="1" customWidth="1"/>
    <col min="16" max="16" width="11.85546875" style="289" bestFit="1" customWidth="1"/>
    <col min="17" max="17" width="12.28515625" style="329" bestFit="1" customWidth="1"/>
    <col min="18" max="19" width="10.140625" style="379" customWidth="1"/>
    <col min="20" max="16384" width="8.85546875" style="301"/>
  </cols>
  <sheetData>
    <row r="1" spans="1:22" ht="20.25" thickTop="1" thickBot="1" x14ac:dyDescent="0.35">
      <c r="A1" s="417"/>
      <c r="B1" s="2088" t="s">
        <v>3</v>
      </c>
      <c r="C1" s="2089"/>
      <c r="D1" s="2089"/>
      <c r="E1" s="2090"/>
      <c r="F1" s="298"/>
      <c r="G1" s="298"/>
      <c r="H1" s="2088" t="s">
        <v>6</v>
      </c>
      <c r="I1" s="2089"/>
      <c r="J1" s="2089"/>
      <c r="K1" s="2091"/>
      <c r="L1" s="2091"/>
      <c r="M1" s="2090"/>
      <c r="N1" s="2092" t="s">
        <v>13</v>
      </c>
      <c r="O1" s="2093"/>
      <c r="P1" s="2093"/>
      <c r="Q1" s="2094"/>
      <c r="R1" s="298"/>
      <c r="S1" s="299"/>
      <c r="T1" s="300"/>
    </row>
    <row r="2" spans="1:22" ht="20.25" thickTop="1" thickBot="1" x14ac:dyDescent="0.35">
      <c r="A2" s="418" t="s">
        <v>0</v>
      </c>
      <c r="B2" s="303" t="s">
        <v>1</v>
      </c>
      <c r="C2" s="304" t="s">
        <v>4</v>
      </c>
      <c r="D2" s="304" t="s">
        <v>2</v>
      </c>
      <c r="E2" s="305" t="s">
        <v>5</v>
      </c>
      <c r="F2" s="306" t="s">
        <v>26</v>
      </c>
      <c r="G2" s="306" t="s">
        <v>19</v>
      </c>
      <c r="H2" s="307" t="s">
        <v>1</v>
      </c>
      <c r="I2" s="308" t="s">
        <v>4</v>
      </c>
      <c r="J2" s="308" t="s">
        <v>2</v>
      </c>
      <c r="K2" s="308" t="s">
        <v>5</v>
      </c>
      <c r="L2" s="309" t="s">
        <v>26</v>
      </c>
      <c r="M2" s="310" t="s">
        <v>19</v>
      </c>
      <c r="N2" s="303" t="s">
        <v>1</v>
      </c>
      <c r="O2" s="304" t="s">
        <v>4</v>
      </c>
      <c r="P2" s="304" t="s">
        <v>2</v>
      </c>
      <c r="Q2" s="311" t="s">
        <v>5</v>
      </c>
      <c r="R2" s="312" t="s">
        <v>19</v>
      </c>
      <c r="S2" s="313" t="s">
        <v>26</v>
      </c>
    </row>
    <row r="3" spans="1:22" ht="20.100000000000001" customHeight="1" thickTop="1" x14ac:dyDescent="0.3">
      <c r="A3" s="314">
        <v>44378</v>
      </c>
      <c r="B3" s="430" t="s">
        <v>163</v>
      </c>
      <c r="C3" s="430" t="s">
        <v>163</v>
      </c>
      <c r="D3" s="430" t="s">
        <v>163</v>
      </c>
      <c r="E3" s="430" t="s">
        <v>163</v>
      </c>
      <c r="F3" s="431"/>
      <c r="G3" s="432"/>
      <c r="H3" s="430">
        <v>105</v>
      </c>
      <c r="I3" s="433">
        <v>92</v>
      </c>
      <c r="J3" s="433">
        <v>56</v>
      </c>
      <c r="K3" s="433">
        <v>55</v>
      </c>
      <c r="L3" s="434"/>
      <c r="M3" s="435"/>
      <c r="N3" s="436" t="s">
        <v>7</v>
      </c>
      <c r="O3" s="436" t="s">
        <v>7</v>
      </c>
      <c r="P3" s="436" t="s">
        <v>7</v>
      </c>
      <c r="Q3" s="436" t="s">
        <v>7</v>
      </c>
      <c r="R3" s="437"/>
      <c r="S3" s="323"/>
      <c r="U3" s="324" t="s">
        <v>8</v>
      </c>
      <c r="V3" s="301" t="s">
        <v>10</v>
      </c>
    </row>
    <row r="4" spans="1:22" ht="20.100000000000001" customHeight="1" x14ac:dyDescent="0.3">
      <c r="A4" s="2177">
        <v>44379</v>
      </c>
      <c r="B4" s="430" t="s">
        <v>163</v>
      </c>
      <c r="C4" s="430" t="s">
        <v>163</v>
      </c>
      <c r="D4" s="438"/>
      <c r="E4" s="432"/>
      <c r="F4" s="430"/>
      <c r="G4" s="432"/>
      <c r="H4" s="430">
        <v>84</v>
      </c>
      <c r="I4" s="433">
        <v>10</v>
      </c>
      <c r="J4" s="433"/>
      <c r="K4" s="433"/>
      <c r="L4" s="433"/>
      <c r="M4" s="435"/>
      <c r="N4" s="436" t="s">
        <v>7</v>
      </c>
      <c r="O4" s="436" t="s">
        <v>7</v>
      </c>
      <c r="P4" s="439"/>
      <c r="Q4" s="439"/>
      <c r="R4" s="440"/>
      <c r="S4" s="323"/>
      <c r="U4" s="324"/>
    </row>
    <row r="5" spans="1:22" ht="20.100000000000001" customHeight="1" x14ac:dyDescent="0.3">
      <c r="A5" s="2178"/>
      <c r="B5" s="430" t="s">
        <v>152</v>
      </c>
      <c r="C5" s="430"/>
      <c r="D5" s="433" t="s">
        <v>160</v>
      </c>
      <c r="E5" s="433" t="s">
        <v>160</v>
      </c>
      <c r="F5" s="430"/>
      <c r="G5" s="432"/>
      <c r="H5" s="430">
        <v>10</v>
      </c>
      <c r="I5" s="433"/>
      <c r="J5" s="433">
        <v>15</v>
      </c>
      <c r="K5" s="433">
        <v>10</v>
      </c>
      <c r="L5" s="433"/>
      <c r="M5" s="435"/>
      <c r="N5" s="441" t="s">
        <v>9</v>
      </c>
      <c r="O5" s="439"/>
      <c r="P5" s="441" t="s">
        <v>9</v>
      </c>
      <c r="Q5" s="441" t="s">
        <v>9</v>
      </c>
      <c r="R5" s="440"/>
      <c r="S5" s="323"/>
      <c r="U5" s="324"/>
    </row>
    <row r="6" spans="1:22" ht="20.100000000000001" customHeight="1" x14ac:dyDescent="0.3">
      <c r="A6" s="2177">
        <v>44380</v>
      </c>
      <c r="B6" s="430" t="s">
        <v>163</v>
      </c>
      <c r="C6" s="438" t="s">
        <v>164</v>
      </c>
      <c r="D6" s="433"/>
      <c r="E6" s="442"/>
      <c r="F6" s="430"/>
      <c r="G6" s="432"/>
      <c r="H6" s="430">
        <v>16</v>
      </c>
      <c r="I6" s="433">
        <v>120</v>
      </c>
      <c r="J6" s="433"/>
      <c r="K6" s="433"/>
      <c r="L6" s="433"/>
      <c r="M6" s="435"/>
      <c r="N6" s="436" t="s">
        <v>7</v>
      </c>
      <c r="O6" s="443" t="s">
        <v>8</v>
      </c>
      <c r="P6" s="439"/>
      <c r="Q6" s="439"/>
      <c r="R6" s="440"/>
      <c r="S6" s="323"/>
      <c r="U6" s="324"/>
    </row>
    <row r="7" spans="1:22" ht="20.100000000000001" customHeight="1" x14ac:dyDescent="0.3">
      <c r="A7" s="2178"/>
      <c r="B7" s="430"/>
      <c r="C7" s="430" t="s">
        <v>163</v>
      </c>
      <c r="D7" s="444"/>
      <c r="E7" s="445"/>
      <c r="F7" s="446"/>
      <c r="G7" s="447"/>
      <c r="H7" s="446"/>
      <c r="I7" s="444">
        <v>20</v>
      </c>
      <c r="J7" s="444"/>
      <c r="K7" s="444"/>
      <c r="L7" s="444"/>
      <c r="M7" s="448"/>
      <c r="N7" s="449"/>
      <c r="O7" s="436" t="s">
        <v>7</v>
      </c>
      <c r="P7" s="450"/>
      <c r="Q7" s="450"/>
      <c r="R7" s="451"/>
      <c r="S7" s="323"/>
      <c r="U7" s="335" t="s">
        <v>7</v>
      </c>
      <c r="V7" s="301" t="s">
        <v>11</v>
      </c>
    </row>
    <row r="8" spans="1:22" ht="20.100000000000001" customHeight="1" x14ac:dyDescent="0.3">
      <c r="A8" s="314">
        <v>44381</v>
      </c>
      <c r="B8" s="430" t="s">
        <v>152</v>
      </c>
      <c r="C8" s="450"/>
      <c r="D8" s="452"/>
      <c r="E8" s="438" t="s">
        <v>164</v>
      </c>
      <c r="F8" s="453"/>
      <c r="G8" s="454"/>
      <c r="H8" s="453">
        <v>10</v>
      </c>
      <c r="I8" s="450"/>
      <c r="J8" s="450"/>
      <c r="K8" s="450">
        <v>12</v>
      </c>
      <c r="L8" s="450"/>
      <c r="M8" s="455"/>
      <c r="N8" s="441" t="s">
        <v>9</v>
      </c>
      <c r="O8" s="456"/>
      <c r="P8" s="450"/>
      <c r="Q8" s="443" t="s">
        <v>8</v>
      </c>
      <c r="R8" s="451"/>
      <c r="S8" s="339"/>
      <c r="U8" s="340" t="s">
        <v>9</v>
      </c>
      <c r="V8" s="301" t="s">
        <v>12</v>
      </c>
    </row>
    <row r="9" spans="1:22" ht="20.100000000000001" customHeight="1" x14ac:dyDescent="0.3">
      <c r="A9" s="314">
        <v>44382</v>
      </c>
      <c r="B9" s="457"/>
      <c r="C9" s="450"/>
      <c r="D9" s="458"/>
      <c r="E9" s="459"/>
      <c r="F9" s="453"/>
      <c r="G9" s="454"/>
      <c r="H9" s="453"/>
      <c r="I9" s="450"/>
      <c r="J9" s="450"/>
      <c r="K9" s="450"/>
      <c r="L9" s="450"/>
      <c r="M9" s="455"/>
      <c r="N9" s="449"/>
      <c r="O9" s="456"/>
      <c r="P9" s="450"/>
      <c r="Q9" s="450"/>
      <c r="R9" s="451"/>
      <c r="S9" s="339"/>
      <c r="U9" s="343" t="s">
        <v>71</v>
      </c>
      <c r="V9" s="344" t="s">
        <v>51</v>
      </c>
    </row>
    <row r="10" spans="1:22" ht="20.100000000000001" customHeight="1" x14ac:dyDescent="0.3">
      <c r="A10" s="314">
        <v>44383</v>
      </c>
      <c r="B10" s="457" t="s">
        <v>159</v>
      </c>
      <c r="C10" s="450"/>
      <c r="D10" s="458"/>
      <c r="E10" s="455" t="s">
        <v>165</v>
      </c>
      <c r="F10" s="453"/>
      <c r="G10" s="454"/>
      <c r="H10" s="453">
        <v>80</v>
      </c>
      <c r="I10" s="450"/>
      <c r="J10" s="450"/>
      <c r="K10" s="450">
        <v>30</v>
      </c>
      <c r="L10" s="450"/>
      <c r="M10" s="455"/>
      <c r="N10" s="436" t="s">
        <v>7</v>
      </c>
      <c r="O10" s="456"/>
      <c r="P10" s="450"/>
      <c r="Q10" s="443" t="s">
        <v>8</v>
      </c>
      <c r="R10" s="451"/>
      <c r="S10" s="339"/>
      <c r="U10" s="343"/>
      <c r="V10" s="344"/>
    </row>
    <row r="11" spans="1:22" ht="20.100000000000001" customHeight="1" x14ac:dyDescent="0.3">
      <c r="A11" s="2177">
        <v>44384</v>
      </c>
      <c r="B11" s="430" t="s">
        <v>152</v>
      </c>
      <c r="C11" s="450"/>
      <c r="D11" s="458" t="s">
        <v>166</v>
      </c>
      <c r="E11" s="455"/>
      <c r="F11" s="453"/>
      <c r="G11" s="454"/>
      <c r="H11" s="453">
        <v>15</v>
      </c>
      <c r="I11" s="450"/>
      <c r="J11" s="450">
        <v>15</v>
      </c>
      <c r="K11" s="450"/>
      <c r="L11" s="450"/>
      <c r="M11" s="455"/>
      <c r="N11" s="441" t="s">
        <v>9</v>
      </c>
      <c r="O11" s="456"/>
      <c r="P11" s="443" t="s">
        <v>8</v>
      </c>
      <c r="Q11" s="439"/>
      <c r="R11" s="451"/>
      <c r="S11" s="339"/>
      <c r="U11" s="343"/>
      <c r="V11" s="344"/>
    </row>
    <row r="12" spans="1:22" ht="20.100000000000001" customHeight="1" x14ac:dyDescent="0.3">
      <c r="A12" s="2178"/>
      <c r="B12" s="430" t="s">
        <v>163</v>
      </c>
      <c r="C12" s="430" t="s">
        <v>163</v>
      </c>
      <c r="D12" s="430" t="s">
        <v>152</v>
      </c>
      <c r="E12" s="460" t="s">
        <v>167</v>
      </c>
      <c r="F12" s="457"/>
      <c r="G12" s="461"/>
      <c r="H12" s="453">
        <v>130</v>
      </c>
      <c r="I12" s="450">
        <v>270</v>
      </c>
      <c r="J12" s="450">
        <v>20</v>
      </c>
      <c r="K12" s="450">
        <v>58</v>
      </c>
      <c r="L12" s="450"/>
      <c r="M12" s="455"/>
      <c r="N12" s="436" t="s">
        <v>7</v>
      </c>
      <c r="O12" s="436" t="s">
        <v>7</v>
      </c>
      <c r="P12" s="441" t="s">
        <v>9</v>
      </c>
      <c r="Q12" s="441" t="s">
        <v>9</v>
      </c>
      <c r="R12" s="451"/>
      <c r="S12" s="339"/>
      <c r="T12" s="300"/>
    </row>
    <row r="13" spans="1:22" ht="20.100000000000001" customHeight="1" x14ac:dyDescent="0.3">
      <c r="A13" s="2177">
        <v>44385</v>
      </c>
      <c r="B13" s="430"/>
      <c r="C13" s="438"/>
      <c r="D13" s="430" t="s">
        <v>152</v>
      </c>
      <c r="E13" s="460"/>
      <c r="F13" s="457"/>
      <c r="G13" s="495"/>
      <c r="H13" s="453"/>
      <c r="I13" s="450"/>
      <c r="J13" s="450">
        <v>40</v>
      </c>
      <c r="K13" s="450"/>
      <c r="L13" s="450"/>
      <c r="M13" s="455"/>
      <c r="N13" s="439"/>
      <c r="O13" s="439"/>
      <c r="P13" s="441" t="s">
        <v>9</v>
      </c>
      <c r="Q13" s="439"/>
      <c r="R13" s="451"/>
      <c r="S13" s="339"/>
      <c r="T13" s="300"/>
    </row>
    <row r="14" spans="1:22" ht="20.100000000000001" customHeight="1" x14ac:dyDescent="0.3">
      <c r="A14" s="2178"/>
      <c r="B14" s="457"/>
      <c r="C14" s="444"/>
      <c r="D14" s="430" t="s">
        <v>163</v>
      </c>
      <c r="E14" s="463"/>
      <c r="F14" s="464"/>
      <c r="G14" s="447"/>
      <c r="H14" s="446"/>
      <c r="I14" s="444"/>
      <c r="J14" s="444">
        <v>25</v>
      </c>
      <c r="K14" s="444"/>
      <c r="L14" s="444"/>
      <c r="M14" s="448"/>
      <c r="N14" s="449"/>
      <c r="O14" s="456"/>
      <c r="P14" s="436" t="s">
        <v>7</v>
      </c>
      <c r="Q14" s="450"/>
      <c r="R14" s="451"/>
      <c r="S14" s="349"/>
      <c r="T14" s="300"/>
    </row>
    <row r="15" spans="1:22" ht="20.100000000000001" customHeight="1" x14ac:dyDescent="0.3">
      <c r="A15" s="314">
        <v>44386</v>
      </c>
      <c r="B15" s="465"/>
      <c r="C15" s="444"/>
      <c r="D15" s="462"/>
      <c r="E15" s="463"/>
      <c r="F15" s="446"/>
      <c r="G15" s="447"/>
      <c r="H15" s="2194"/>
      <c r="I15" s="2195"/>
      <c r="J15" s="2195"/>
      <c r="K15" s="2195"/>
      <c r="L15" s="2195"/>
      <c r="M15" s="2196"/>
      <c r="N15" s="449"/>
      <c r="O15" s="456"/>
      <c r="P15" s="450"/>
      <c r="Q15" s="450"/>
      <c r="R15" s="451"/>
      <c r="S15" s="349"/>
    </row>
    <row r="16" spans="1:22" ht="20.100000000000001" customHeight="1" x14ac:dyDescent="0.3">
      <c r="A16" s="314">
        <v>44387</v>
      </c>
      <c r="B16" s="465" t="s">
        <v>77</v>
      </c>
      <c r="C16" s="444"/>
      <c r="D16" s="430" t="s">
        <v>152</v>
      </c>
      <c r="E16" s="463"/>
      <c r="F16" s="466"/>
      <c r="G16" s="467"/>
      <c r="H16" s="446">
        <v>8</v>
      </c>
      <c r="I16" s="444"/>
      <c r="J16" s="444">
        <v>25</v>
      </c>
      <c r="K16" s="444"/>
      <c r="L16" s="444"/>
      <c r="M16" s="448"/>
      <c r="N16" s="441" t="s">
        <v>9</v>
      </c>
      <c r="O16" s="456"/>
      <c r="P16" s="441" t="s">
        <v>9</v>
      </c>
      <c r="Q16" s="450"/>
      <c r="R16" s="451"/>
      <c r="S16" s="349"/>
      <c r="T16" s="300"/>
    </row>
    <row r="17" spans="1:20" ht="20.100000000000001" customHeight="1" x14ac:dyDescent="0.3">
      <c r="A17" s="314">
        <v>44388</v>
      </c>
      <c r="B17" s="465"/>
      <c r="C17" s="444"/>
      <c r="D17" s="468" t="s">
        <v>169</v>
      </c>
      <c r="E17" s="463"/>
      <c r="F17" s="466"/>
      <c r="G17" s="467"/>
      <c r="H17" s="446"/>
      <c r="I17" s="444"/>
      <c r="J17" s="444">
        <v>10</v>
      </c>
      <c r="K17" s="469"/>
      <c r="L17" s="444"/>
      <c r="M17" s="448"/>
      <c r="N17" s="449"/>
      <c r="O17" s="456"/>
      <c r="P17" s="441" t="s">
        <v>9</v>
      </c>
      <c r="Q17" s="450"/>
      <c r="R17" s="451"/>
      <c r="S17" s="349"/>
      <c r="T17" s="300"/>
    </row>
    <row r="18" spans="1:20" ht="20.100000000000001" customHeight="1" x14ac:dyDescent="0.3">
      <c r="A18" s="314">
        <v>44389</v>
      </c>
      <c r="B18" s="470"/>
      <c r="C18" s="444"/>
      <c r="D18" s="468" t="s">
        <v>170</v>
      </c>
      <c r="E18" s="463"/>
      <c r="F18" s="471"/>
      <c r="G18" s="467"/>
      <c r="H18" s="446"/>
      <c r="I18" s="444"/>
      <c r="J18" s="444">
        <v>20</v>
      </c>
      <c r="K18" s="469"/>
      <c r="L18" s="444"/>
      <c r="M18" s="448"/>
      <c r="N18" s="449"/>
      <c r="O18" s="456"/>
      <c r="P18" s="441" t="s">
        <v>9</v>
      </c>
      <c r="Q18" s="450"/>
      <c r="R18" s="451"/>
      <c r="S18" s="349"/>
    </row>
    <row r="19" spans="1:20" ht="20.100000000000001" customHeight="1" x14ac:dyDescent="0.3">
      <c r="A19" s="314">
        <v>44390</v>
      </c>
      <c r="B19" s="465"/>
      <c r="C19" s="444"/>
      <c r="D19" s="444"/>
      <c r="E19" s="438" t="s">
        <v>164</v>
      </c>
      <c r="F19" s="471"/>
      <c r="G19" s="467"/>
      <c r="H19" s="446"/>
      <c r="I19" s="444"/>
      <c r="J19" s="444"/>
      <c r="K19" s="469">
        <v>198</v>
      </c>
      <c r="L19" s="444"/>
      <c r="M19" s="448"/>
      <c r="N19" s="449"/>
      <c r="O19" s="456"/>
      <c r="P19" s="450"/>
      <c r="Q19" s="443" t="s">
        <v>8</v>
      </c>
      <c r="R19" s="451"/>
      <c r="S19" s="349"/>
    </row>
    <row r="20" spans="1:20" ht="20.100000000000001" customHeight="1" x14ac:dyDescent="0.3">
      <c r="A20" s="314">
        <v>44391</v>
      </c>
      <c r="B20" s="446"/>
      <c r="C20" s="444"/>
      <c r="D20" s="444" t="s">
        <v>171</v>
      </c>
      <c r="E20" s="472" t="s">
        <v>163</v>
      </c>
      <c r="F20" s="446"/>
      <c r="G20" s="447"/>
      <c r="H20" s="446"/>
      <c r="I20" s="444"/>
      <c r="J20" s="444">
        <v>60</v>
      </c>
      <c r="K20" s="469">
        <v>40</v>
      </c>
      <c r="L20" s="444"/>
      <c r="M20" s="448"/>
      <c r="N20" s="449"/>
      <c r="O20" s="456"/>
      <c r="P20" s="443" t="s">
        <v>8</v>
      </c>
      <c r="Q20" s="436" t="s">
        <v>7</v>
      </c>
      <c r="R20" s="451"/>
      <c r="S20" s="349"/>
    </row>
    <row r="21" spans="1:20" ht="20.100000000000001" customHeight="1" x14ac:dyDescent="0.3">
      <c r="A21" s="314">
        <v>44392</v>
      </c>
      <c r="B21" s="453"/>
      <c r="C21" s="450"/>
      <c r="D21" s="473"/>
      <c r="E21" s="472" t="s">
        <v>163</v>
      </c>
      <c r="F21" s="453"/>
      <c r="G21" s="454"/>
      <c r="H21" s="453"/>
      <c r="I21" s="450"/>
      <c r="J21" s="450"/>
      <c r="K21" s="474">
        <v>60</v>
      </c>
      <c r="L21" s="474"/>
      <c r="M21" s="459"/>
      <c r="N21" s="449"/>
      <c r="O21" s="456"/>
      <c r="P21" s="450"/>
      <c r="Q21" s="436" t="s">
        <v>7</v>
      </c>
      <c r="R21" s="451"/>
      <c r="S21" s="349"/>
    </row>
    <row r="22" spans="1:20" ht="20.100000000000001" customHeight="1" x14ac:dyDescent="0.3">
      <c r="A22" s="314">
        <v>44393</v>
      </c>
      <c r="B22" s="2188" t="s">
        <v>172</v>
      </c>
      <c r="C22" s="2189"/>
      <c r="D22" s="2189"/>
      <c r="E22" s="2190"/>
      <c r="F22" s="453"/>
      <c r="G22" s="455"/>
      <c r="H22" s="449">
        <v>350</v>
      </c>
      <c r="I22" s="476">
        <v>350</v>
      </c>
      <c r="J22" s="476">
        <v>350</v>
      </c>
      <c r="K22" s="476">
        <v>350</v>
      </c>
      <c r="L22" s="476"/>
      <c r="M22" s="477"/>
      <c r="N22" s="2185" t="s">
        <v>7</v>
      </c>
      <c r="O22" s="2186"/>
      <c r="P22" s="2186"/>
      <c r="Q22" s="2187"/>
      <c r="R22" s="451"/>
      <c r="S22" s="358"/>
    </row>
    <row r="23" spans="1:20" ht="20.100000000000001" customHeight="1" x14ac:dyDescent="0.3">
      <c r="A23" s="314">
        <v>44394</v>
      </c>
      <c r="B23" s="430" t="s">
        <v>163</v>
      </c>
      <c r="C23" s="430" t="s">
        <v>163</v>
      </c>
      <c r="D23" s="454"/>
      <c r="E23" s="477"/>
      <c r="F23" s="453"/>
      <c r="G23" s="455"/>
      <c r="H23" s="475">
        <v>15</v>
      </c>
      <c r="I23" s="450">
        <v>27</v>
      </c>
      <c r="J23" s="450"/>
      <c r="K23" s="474"/>
      <c r="L23" s="474"/>
      <c r="M23" s="459"/>
      <c r="N23" s="436" t="s">
        <v>7</v>
      </c>
      <c r="O23" s="436" t="s">
        <v>7</v>
      </c>
      <c r="P23" s="450"/>
      <c r="Q23" s="450"/>
      <c r="R23" s="478"/>
      <c r="S23" s="358"/>
    </row>
    <row r="24" spans="1:20" ht="20.100000000000001" customHeight="1" x14ac:dyDescent="0.3">
      <c r="A24" s="314">
        <v>44395</v>
      </c>
      <c r="B24" s="449"/>
      <c r="C24" s="476"/>
      <c r="D24" s="430" t="s">
        <v>152</v>
      </c>
      <c r="E24" s="477"/>
      <c r="F24" s="453"/>
      <c r="G24" s="454"/>
      <c r="H24" s="449"/>
      <c r="I24" s="476"/>
      <c r="J24" s="454">
        <v>25</v>
      </c>
      <c r="K24" s="476"/>
      <c r="L24" s="476"/>
      <c r="M24" s="477"/>
      <c r="N24" s="449"/>
      <c r="O24" s="456"/>
      <c r="P24" s="441" t="s">
        <v>9</v>
      </c>
      <c r="Q24" s="450"/>
      <c r="R24" s="479"/>
      <c r="S24" s="349"/>
    </row>
    <row r="25" spans="1:20" ht="20.100000000000001" customHeight="1" x14ac:dyDescent="0.3">
      <c r="A25" s="314">
        <v>44396</v>
      </c>
      <c r="B25" s="2191" t="s">
        <v>173</v>
      </c>
      <c r="C25" s="2192"/>
      <c r="D25" s="2192"/>
      <c r="E25" s="2193"/>
      <c r="F25" s="453"/>
      <c r="G25" s="454"/>
      <c r="H25" s="453">
        <v>106</v>
      </c>
      <c r="I25" s="450">
        <v>113</v>
      </c>
      <c r="J25" s="450">
        <v>210</v>
      </c>
      <c r="K25" s="474">
        <v>211</v>
      </c>
      <c r="L25" s="474"/>
      <c r="M25" s="459"/>
      <c r="N25" s="2185" t="s">
        <v>7</v>
      </c>
      <c r="O25" s="2186"/>
      <c r="P25" s="2186"/>
      <c r="Q25" s="2187"/>
      <c r="R25" s="451"/>
      <c r="S25" s="349"/>
    </row>
    <row r="26" spans="1:20" ht="20.100000000000001" customHeight="1" x14ac:dyDescent="0.3">
      <c r="A26" s="314">
        <v>44397</v>
      </c>
      <c r="B26" s="453"/>
      <c r="C26" s="450"/>
      <c r="D26" s="430" t="s">
        <v>152</v>
      </c>
      <c r="E26" s="480"/>
      <c r="F26" s="453"/>
      <c r="G26" s="454"/>
      <c r="H26" s="453"/>
      <c r="I26" s="450"/>
      <c r="J26" s="481">
        <v>88</v>
      </c>
      <c r="K26" s="482"/>
      <c r="L26" s="482"/>
      <c r="M26" s="483"/>
      <c r="N26" s="449"/>
      <c r="O26" s="456"/>
      <c r="P26" s="441" t="s">
        <v>9</v>
      </c>
      <c r="Q26" s="450"/>
      <c r="R26" s="451"/>
      <c r="S26" s="349"/>
    </row>
    <row r="27" spans="1:20" ht="20.100000000000001" customHeight="1" x14ac:dyDescent="0.3">
      <c r="A27" s="314">
        <v>44398</v>
      </c>
      <c r="B27" s="453"/>
      <c r="C27" s="450"/>
      <c r="D27" s="473"/>
      <c r="E27" s="459"/>
      <c r="F27" s="453"/>
      <c r="G27" s="454"/>
      <c r="H27" s="453"/>
      <c r="I27" s="450"/>
      <c r="J27" s="481"/>
      <c r="K27" s="482"/>
      <c r="L27" s="482"/>
      <c r="M27" s="483"/>
      <c r="N27" s="449"/>
      <c r="O27" s="456"/>
      <c r="P27" s="450"/>
      <c r="Q27" s="450"/>
      <c r="R27" s="451"/>
      <c r="S27" s="349"/>
    </row>
    <row r="28" spans="1:20" ht="20.100000000000001" customHeight="1" x14ac:dyDescent="0.3">
      <c r="A28" s="314">
        <v>44399</v>
      </c>
      <c r="B28" s="430" t="s">
        <v>152</v>
      </c>
      <c r="C28" s="450"/>
      <c r="D28" s="430" t="s">
        <v>152</v>
      </c>
      <c r="E28" s="477"/>
      <c r="F28" s="453"/>
      <c r="G28" s="454"/>
      <c r="H28" s="496">
        <v>10</v>
      </c>
      <c r="I28" s="450"/>
      <c r="J28" s="498">
        <v>23</v>
      </c>
      <c r="K28" s="482"/>
      <c r="L28" s="482"/>
      <c r="M28" s="483"/>
      <c r="N28" s="441" t="s">
        <v>9</v>
      </c>
      <c r="O28" s="456"/>
      <c r="P28" s="441" t="s">
        <v>9</v>
      </c>
      <c r="Q28" s="450"/>
      <c r="R28" s="479"/>
      <c r="S28" s="349"/>
    </row>
    <row r="29" spans="1:20" ht="20.100000000000001" customHeight="1" x14ac:dyDescent="0.3">
      <c r="A29" s="314">
        <v>44400</v>
      </c>
      <c r="B29" s="484"/>
      <c r="C29" s="450"/>
      <c r="D29" s="473"/>
      <c r="E29" s="485"/>
      <c r="F29" s="453"/>
      <c r="G29" s="454"/>
      <c r="H29" s="497"/>
      <c r="I29" s="450"/>
      <c r="J29" s="499"/>
      <c r="K29" s="482"/>
      <c r="L29" s="482"/>
      <c r="M29" s="483"/>
      <c r="N29" s="449"/>
      <c r="O29" s="456"/>
      <c r="P29" s="450"/>
      <c r="Q29" s="450"/>
      <c r="R29" s="451"/>
      <c r="S29" s="349"/>
    </row>
    <row r="30" spans="1:20" ht="20.100000000000001" customHeight="1" x14ac:dyDescent="0.3">
      <c r="A30" s="314">
        <v>44401</v>
      </c>
      <c r="B30" s="430" t="s">
        <v>152</v>
      </c>
      <c r="C30" s="450"/>
      <c r="D30" s="430" t="s">
        <v>152</v>
      </c>
      <c r="E30" s="459"/>
      <c r="F30" s="453"/>
      <c r="G30" s="454"/>
      <c r="H30" s="453">
        <v>14</v>
      </c>
      <c r="I30" s="450"/>
      <c r="J30" s="481">
        <v>10</v>
      </c>
      <c r="K30" s="482"/>
      <c r="L30" s="482"/>
      <c r="M30" s="483"/>
      <c r="N30" s="441" t="s">
        <v>9</v>
      </c>
      <c r="O30" s="456"/>
      <c r="P30" s="441" t="s">
        <v>9</v>
      </c>
      <c r="Q30" s="450"/>
      <c r="R30" s="451"/>
      <c r="S30" s="349"/>
    </row>
    <row r="31" spans="1:20" ht="20.100000000000001" customHeight="1" x14ac:dyDescent="0.3">
      <c r="A31" s="314">
        <v>44402</v>
      </c>
      <c r="B31" s="453"/>
      <c r="C31" s="450"/>
      <c r="D31" s="473"/>
      <c r="E31" s="438" t="s">
        <v>164</v>
      </c>
      <c r="F31" s="453"/>
      <c r="G31" s="454"/>
      <c r="H31" s="453"/>
      <c r="I31" s="450"/>
      <c r="J31" s="481"/>
      <c r="K31" s="482">
        <v>75</v>
      </c>
      <c r="L31" s="482"/>
      <c r="M31" s="483"/>
      <c r="N31" s="449"/>
      <c r="O31" s="456"/>
      <c r="P31" s="439"/>
      <c r="Q31" s="443" t="s">
        <v>8</v>
      </c>
      <c r="R31" s="479"/>
      <c r="S31" s="349"/>
    </row>
    <row r="32" spans="1:20" ht="20.100000000000001" customHeight="1" x14ac:dyDescent="0.3">
      <c r="A32" s="314">
        <v>44403</v>
      </c>
      <c r="B32" s="457"/>
      <c r="C32" s="450"/>
      <c r="D32" s="473"/>
      <c r="E32" s="438"/>
      <c r="F32" s="453"/>
      <c r="G32" s="454"/>
      <c r="H32" s="453"/>
      <c r="I32" s="450"/>
      <c r="J32" s="481"/>
      <c r="K32" s="482"/>
      <c r="L32" s="482"/>
      <c r="M32" s="483"/>
      <c r="N32" s="449"/>
      <c r="O32" s="456"/>
      <c r="P32" s="450"/>
      <c r="Q32" s="450"/>
      <c r="R32" s="479"/>
      <c r="S32" s="349"/>
    </row>
    <row r="33" spans="1:23" ht="20.100000000000001" customHeight="1" x14ac:dyDescent="0.3">
      <c r="A33" s="314">
        <v>44404</v>
      </c>
      <c r="B33" s="457"/>
      <c r="C33" s="450"/>
      <c r="D33" s="473"/>
      <c r="E33" s="455"/>
      <c r="F33" s="453"/>
      <c r="G33" s="454"/>
      <c r="H33" s="453"/>
      <c r="I33" s="450"/>
      <c r="J33" s="450"/>
      <c r="K33" s="474"/>
      <c r="L33" s="474"/>
      <c r="M33" s="483"/>
      <c r="N33" s="449"/>
      <c r="O33" s="456"/>
      <c r="P33" s="450"/>
      <c r="Q33" s="450"/>
      <c r="R33" s="451"/>
      <c r="S33" s="349"/>
      <c r="V33" s="363"/>
      <c r="W33" s="363"/>
    </row>
    <row r="34" spans="1:23" ht="45.75" customHeight="1" x14ac:dyDescent="0.3">
      <c r="A34" s="314">
        <v>44405</v>
      </c>
      <c r="B34" s="449"/>
      <c r="C34" s="450"/>
      <c r="D34" s="500" t="s">
        <v>174</v>
      </c>
      <c r="E34" s="455"/>
      <c r="F34" s="453"/>
      <c r="G34" s="454"/>
      <c r="H34" s="453"/>
      <c r="I34" s="450"/>
      <c r="J34" s="450">
        <v>75</v>
      </c>
      <c r="K34" s="474"/>
      <c r="L34" s="474"/>
      <c r="M34" s="483"/>
      <c r="N34" s="449"/>
      <c r="O34" s="456"/>
      <c r="P34" s="501" t="s">
        <v>8</v>
      </c>
      <c r="Q34" s="450"/>
      <c r="R34" s="478"/>
      <c r="S34" s="349"/>
    </row>
    <row r="35" spans="1:23" ht="20.100000000000001" customHeight="1" x14ac:dyDescent="0.3">
      <c r="A35" s="314">
        <v>44406</v>
      </c>
      <c r="B35" s="2188" t="s">
        <v>172</v>
      </c>
      <c r="C35" s="2189"/>
      <c r="D35" s="2189"/>
      <c r="E35" s="2190"/>
      <c r="F35" s="453"/>
      <c r="G35" s="454"/>
      <c r="H35" s="453">
        <v>420</v>
      </c>
      <c r="I35" s="450">
        <v>420</v>
      </c>
      <c r="J35" s="450">
        <v>420</v>
      </c>
      <c r="K35" s="474">
        <v>420</v>
      </c>
      <c r="L35" s="474"/>
      <c r="M35" s="483"/>
      <c r="N35" s="2185" t="s">
        <v>7</v>
      </c>
      <c r="O35" s="2186"/>
      <c r="P35" s="2186"/>
      <c r="Q35" s="2187"/>
      <c r="R35" s="451"/>
      <c r="S35" s="349"/>
    </row>
    <row r="36" spans="1:23" ht="66.75" customHeight="1" x14ac:dyDescent="0.3">
      <c r="A36" s="314">
        <v>44407</v>
      </c>
      <c r="B36" s="453"/>
      <c r="C36" s="450"/>
      <c r="D36" s="473" t="s">
        <v>175</v>
      </c>
      <c r="E36" s="455"/>
      <c r="F36" s="453"/>
      <c r="G36" s="454"/>
      <c r="H36" s="453"/>
      <c r="I36" s="450"/>
      <c r="J36" s="450">
        <v>40</v>
      </c>
      <c r="K36" s="474"/>
      <c r="L36" s="474"/>
      <c r="M36" s="483"/>
      <c r="N36" s="449"/>
      <c r="O36" s="456"/>
      <c r="P36" s="501" t="s">
        <v>8</v>
      </c>
      <c r="Q36" s="450"/>
      <c r="R36" s="451"/>
      <c r="S36" s="349"/>
    </row>
    <row r="37" spans="1:23" ht="20.100000000000001" customHeight="1" x14ac:dyDescent="0.3">
      <c r="A37" s="314">
        <v>44408</v>
      </c>
      <c r="B37" s="449"/>
      <c r="C37" s="450"/>
      <c r="D37" s="473"/>
      <c r="E37" s="455"/>
      <c r="F37" s="457"/>
      <c r="G37" s="454"/>
      <c r="H37" s="453"/>
      <c r="I37" s="450"/>
      <c r="J37" s="450"/>
      <c r="K37" s="474"/>
      <c r="L37" s="474"/>
      <c r="M37" s="459"/>
      <c r="N37" s="449"/>
      <c r="O37" s="456"/>
      <c r="P37" s="450"/>
      <c r="Q37" s="450"/>
      <c r="R37" s="451"/>
      <c r="S37" s="349"/>
    </row>
    <row r="38" spans="1:23" ht="21" thickBot="1" x14ac:dyDescent="0.35">
      <c r="A38" s="368" t="s">
        <v>20</v>
      </c>
      <c r="B38" s="486"/>
      <c r="C38" s="487"/>
      <c r="D38" s="487"/>
      <c r="E38" s="488"/>
      <c r="F38" s="486">
        <f>SUM(F3:F37)</f>
        <v>0</v>
      </c>
      <c r="G38" s="489"/>
      <c r="H38" s="486">
        <f t="shared" ref="H38:M38" si="0">SUM(H3:H37)</f>
        <v>1373</v>
      </c>
      <c r="I38" s="487">
        <f t="shared" si="0"/>
        <v>1422</v>
      </c>
      <c r="J38" s="487">
        <f t="shared" si="0"/>
        <v>1527</v>
      </c>
      <c r="K38" s="490">
        <f t="shared" si="0"/>
        <v>1519</v>
      </c>
      <c r="L38" s="490">
        <f t="shared" si="0"/>
        <v>0</v>
      </c>
      <c r="M38" s="488">
        <f t="shared" si="0"/>
        <v>0</v>
      </c>
      <c r="N38" s="491"/>
      <c r="O38" s="492"/>
      <c r="P38" s="492"/>
      <c r="Q38" s="493"/>
      <c r="R38" s="494"/>
      <c r="S38" s="378"/>
    </row>
    <row r="39" spans="1:23" s="300" customFormat="1" ht="19.5" thickBot="1" x14ac:dyDescent="0.35">
      <c r="A39" s="368" t="s">
        <v>21</v>
      </c>
      <c r="B39" s="379"/>
      <c r="C39" s="379"/>
      <c r="D39" s="379"/>
      <c r="E39" s="379"/>
      <c r="F39" s="379">
        <f>F38/60</f>
        <v>0</v>
      </c>
      <c r="G39" s="379"/>
      <c r="H39" s="380">
        <f t="shared" ref="H39:M39" si="1">H38/60</f>
        <v>22.883333333333333</v>
      </c>
      <c r="I39" s="380">
        <f t="shared" si="1"/>
        <v>23.7</v>
      </c>
      <c r="J39" s="380">
        <f t="shared" si="1"/>
        <v>25.45</v>
      </c>
      <c r="K39" s="380">
        <f t="shared" si="1"/>
        <v>25.316666666666666</v>
      </c>
      <c r="L39" s="380">
        <f t="shared" si="1"/>
        <v>0</v>
      </c>
      <c r="M39" s="380">
        <f t="shared" si="1"/>
        <v>0</v>
      </c>
      <c r="N39" s="379"/>
      <c r="O39" s="379"/>
      <c r="P39" s="379"/>
      <c r="Q39" s="379"/>
      <c r="R39" s="379"/>
      <c r="S39" s="379"/>
    </row>
    <row r="40" spans="1:23" s="300" customFormat="1" x14ac:dyDescent="0.3">
      <c r="A40" s="379" t="s">
        <v>41</v>
      </c>
      <c r="B40" s="379"/>
      <c r="C40" s="379"/>
      <c r="D40" s="379"/>
      <c r="E40" s="379"/>
      <c r="F40" s="379"/>
      <c r="G40" s="379"/>
      <c r="H40" s="381">
        <f>(H7)/60</f>
        <v>0</v>
      </c>
      <c r="I40" s="381">
        <f>(I6)/60</f>
        <v>2</v>
      </c>
      <c r="J40" s="381">
        <f>(J11+J20+J34+J36)/60</f>
        <v>3.1666666666666665</v>
      </c>
      <c r="K40" s="381">
        <f>(K8+K10+K19+K31)/60</f>
        <v>5.25</v>
      </c>
      <c r="L40" s="382">
        <f t="shared" ref="L40:M42" si="2">L21/24</f>
        <v>0</v>
      </c>
      <c r="M40" s="382">
        <f t="shared" si="2"/>
        <v>0</v>
      </c>
      <c r="N40" s="379"/>
      <c r="O40" s="379"/>
      <c r="P40" s="379"/>
      <c r="Q40" s="379"/>
      <c r="R40" s="379"/>
      <c r="S40" s="379"/>
    </row>
    <row r="41" spans="1:23" s="300" customFormat="1" x14ac:dyDescent="0.3">
      <c r="A41" s="379" t="s">
        <v>42</v>
      </c>
      <c r="B41" s="379"/>
      <c r="C41" s="379"/>
      <c r="D41" s="379"/>
      <c r="E41" s="379"/>
      <c r="F41" s="379"/>
      <c r="G41" s="379"/>
      <c r="H41" s="381">
        <f>(H3+H4+H6+H22+H23+H25+H35+H10+H12)/60</f>
        <v>21.766666666666666</v>
      </c>
      <c r="I41" s="381">
        <f>(I3+I4+I7+I12+I22+I25+I35+I23)/60</f>
        <v>21.7</v>
      </c>
      <c r="J41" s="381">
        <f>(J3+J14+J22+J25+J35)/60</f>
        <v>17.683333333333334</v>
      </c>
      <c r="K41" s="381">
        <f>(K3+K20+K21+K22+K25+K35)/60</f>
        <v>18.933333333333334</v>
      </c>
      <c r="L41" s="382">
        <f t="shared" si="2"/>
        <v>0</v>
      </c>
      <c r="M41" s="382">
        <f t="shared" si="2"/>
        <v>0</v>
      </c>
      <c r="N41" s="379"/>
      <c r="O41" s="379"/>
      <c r="P41" s="379"/>
      <c r="Q41" s="379"/>
      <c r="R41" s="379"/>
      <c r="S41" s="379"/>
    </row>
    <row r="42" spans="1:23" s="300" customFormat="1" x14ac:dyDescent="0.3">
      <c r="A42" s="379" t="s">
        <v>43</v>
      </c>
      <c r="B42" s="379"/>
      <c r="C42" s="379"/>
      <c r="D42" s="379"/>
      <c r="E42" s="379"/>
      <c r="F42" s="379"/>
      <c r="G42" s="379"/>
      <c r="H42" s="381">
        <f>(H5+H11+H28+H30+H16+H8)/60</f>
        <v>1.1166666666666667</v>
      </c>
      <c r="I42" s="381">
        <v>0</v>
      </c>
      <c r="J42" s="381">
        <f>(J5+J13+J16+J17+J18+J24+J26+J28+J30+J12)/60</f>
        <v>4.5999999999999996</v>
      </c>
      <c r="K42" s="381">
        <f>(K5+K12)/60</f>
        <v>1.1333333333333333</v>
      </c>
      <c r="L42" s="382">
        <f t="shared" si="2"/>
        <v>0</v>
      </c>
      <c r="M42" s="382">
        <f t="shared" si="2"/>
        <v>0</v>
      </c>
      <c r="N42" s="379"/>
      <c r="O42" s="379"/>
      <c r="P42" s="379"/>
      <c r="Q42" s="379"/>
      <c r="R42" s="379"/>
      <c r="S42" s="379"/>
    </row>
    <row r="43" spans="1:23" x14ac:dyDescent="0.3">
      <c r="A43" s="412" t="s">
        <v>141</v>
      </c>
      <c r="B43" s="301"/>
      <c r="C43" s="301"/>
      <c r="D43" s="301"/>
      <c r="E43" s="301"/>
      <c r="F43" s="301"/>
      <c r="G43" s="301"/>
      <c r="H43" s="381"/>
      <c r="I43" s="381"/>
      <c r="J43" s="381"/>
      <c r="K43" s="381"/>
      <c r="L43" s="301"/>
      <c r="M43" s="301"/>
      <c r="N43" s="301"/>
      <c r="O43" s="301"/>
      <c r="P43" s="301"/>
      <c r="Q43" s="301"/>
      <c r="R43" s="301"/>
      <c r="S43" s="301"/>
    </row>
    <row r="44" spans="1:23" x14ac:dyDescent="0.3">
      <c r="A44" s="412"/>
      <c r="B44" s="301"/>
      <c r="C44" s="301"/>
      <c r="D44" s="301"/>
      <c r="E44" s="301"/>
      <c r="F44" s="301"/>
      <c r="G44" s="301"/>
      <c r="H44" s="301"/>
      <c r="I44" s="379"/>
      <c r="J44" s="300"/>
      <c r="K44" s="301"/>
      <c r="L44" s="301"/>
      <c r="M44" s="301"/>
      <c r="N44" s="301"/>
      <c r="O44" s="301"/>
      <c r="P44" s="301"/>
      <c r="Q44" s="301"/>
      <c r="R44" s="301"/>
      <c r="S44" s="301"/>
    </row>
    <row r="45" spans="1:23" x14ac:dyDescent="0.3">
      <c r="A45" s="379"/>
      <c r="B45" s="301"/>
      <c r="C45" s="301"/>
      <c r="D45" s="301"/>
      <c r="E45" s="301"/>
      <c r="F45" s="301"/>
      <c r="G45" s="301"/>
      <c r="H45" s="301"/>
      <c r="I45" s="301"/>
      <c r="J45" s="301"/>
      <c r="K45" s="300"/>
      <c r="L45" s="301"/>
      <c r="M45" s="301"/>
      <c r="N45" s="301"/>
      <c r="O45" s="301"/>
      <c r="P45" s="301"/>
      <c r="Q45" s="301"/>
      <c r="R45" s="301"/>
      <c r="S45" s="301"/>
    </row>
    <row r="46" spans="1:23" x14ac:dyDescent="0.3">
      <c r="A46" s="379"/>
      <c r="B46" s="301"/>
      <c r="C46" s="301"/>
      <c r="D46" s="301"/>
      <c r="E46" s="301"/>
      <c r="F46" s="301"/>
      <c r="G46" s="301"/>
      <c r="H46" s="301"/>
      <c r="I46" s="301"/>
      <c r="J46" s="301"/>
      <c r="K46" s="301"/>
      <c r="L46" s="301"/>
      <c r="M46" s="301"/>
      <c r="N46" s="301"/>
      <c r="O46" s="301"/>
      <c r="P46" s="301"/>
      <c r="Q46" s="301"/>
      <c r="R46" s="301"/>
      <c r="S46" s="301"/>
    </row>
    <row r="47" spans="1:23" x14ac:dyDescent="0.3">
      <c r="A47" s="379"/>
      <c r="B47" s="301"/>
      <c r="C47" s="301"/>
      <c r="D47" s="301"/>
      <c r="E47" s="383"/>
      <c r="F47" s="383"/>
      <c r="G47" s="363"/>
      <c r="H47" s="363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</row>
    <row r="48" spans="1:23" ht="19.5" x14ac:dyDescent="0.35">
      <c r="B48" s="301"/>
      <c r="C48" s="2085" t="s">
        <v>168</v>
      </c>
      <c r="D48" s="2086"/>
      <c r="E48" s="2086"/>
      <c r="F48" s="2086"/>
      <c r="G48" s="2087"/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</row>
    <row r="49" spans="1:19" ht="19.5" thickBot="1" x14ac:dyDescent="0.35">
      <c r="B49" s="301"/>
      <c r="C49" s="301"/>
      <c r="D49" s="301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</row>
    <row r="50" spans="1:19" ht="19.5" thickBot="1" x14ac:dyDescent="0.35">
      <c r="B50" s="301"/>
      <c r="C50" s="385"/>
      <c r="D50" s="385" t="s">
        <v>1</v>
      </c>
      <c r="E50" s="386" t="s">
        <v>101</v>
      </c>
      <c r="F50" s="386" t="s">
        <v>102</v>
      </c>
      <c r="G50" s="386" t="s">
        <v>103</v>
      </c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</row>
    <row r="51" spans="1:19" x14ac:dyDescent="0.3">
      <c r="B51" s="301"/>
      <c r="C51" s="387" t="s">
        <v>108</v>
      </c>
      <c r="D51" s="388">
        <f>H40</f>
        <v>0</v>
      </c>
      <c r="E51" s="388">
        <f t="shared" ref="E51:F54" si="3">J40</f>
        <v>3.1666666666666665</v>
      </c>
      <c r="F51" s="388">
        <f t="shared" si="3"/>
        <v>5.25</v>
      </c>
      <c r="G51" s="389">
        <f>I40</f>
        <v>2</v>
      </c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1:19" ht="20.25" x14ac:dyDescent="0.3">
      <c r="A52" s="412"/>
      <c r="B52" s="301"/>
      <c r="C52" s="390" t="s">
        <v>109</v>
      </c>
      <c r="D52" s="391">
        <f>H41</f>
        <v>21.766666666666666</v>
      </c>
      <c r="E52" s="391">
        <f t="shared" si="3"/>
        <v>17.683333333333334</v>
      </c>
      <c r="F52" s="391">
        <f t="shared" si="3"/>
        <v>18.933333333333334</v>
      </c>
      <c r="G52" s="392">
        <f>I41</f>
        <v>21.7</v>
      </c>
      <c r="H52" s="301"/>
      <c r="I52" s="502" t="s">
        <v>176</v>
      </c>
      <c r="J52" s="503"/>
      <c r="K52" s="503"/>
      <c r="L52" s="504"/>
      <c r="M52" s="301"/>
      <c r="N52" s="301"/>
      <c r="O52" s="301"/>
      <c r="P52" s="301"/>
      <c r="Q52" s="301"/>
      <c r="R52" s="301"/>
      <c r="S52" s="301"/>
    </row>
    <row r="53" spans="1:19" x14ac:dyDescent="0.3">
      <c r="A53" s="419"/>
      <c r="B53" s="301"/>
      <c r="C53" s="390" t="s">
        <v>110</v>
      </c>
      <c r="D53" s="391">
        <f>H42</f>
        <v>1.1166666666666667</v>
      </c>
      <c r="E53" s="391">
        <f t="shared" si="3"/>
        <v>4.5999999999999996</v>
      </c>
      <c r="F53" s="391">
        <f t="shared" si="3"/>
        <v>1.1333333333333333</v>
      </c>
      <c r="G53" s="392">
        <f>I42</f>
        <v>0</v>
      </c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19" ht="19.5" thickBot="1" x14ac:dyDescent="0.35">
      <c r="A54" s="419"/>
      <c r="B54" s="301"/>
      <c r="C54" s="393" t="s">
        <v>111</v>
      </c>
      <c r="D54" s="394">
        <f>H43</f>
        <v>0</v>
      </c>
      <c r="E54" s="394">
        <f t="shared" si="3"/>
        <v>0</v>
      </c>
      <c r="F54" s="394">
        <f t="shared" si="3"/>
        <v>0</v>
      </c>
      <c r="G54" s="394">
        <f>I43</f>
        <v>0</v>
      </c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19" ht="19.5" thickBot="1" x14ac:dyDescent="0.35">
      <c r="A55" s="419"/>
      <c r="B55" s="301"/>
      <c r="C55" s="395" t="s">
        <v>100</v>
      </c>
      <c r="D55" s="396">
        <f>D51+D52+D53+D54</f>
        <v>22.883333333333333</v>
      </c>
      <c r="E55" s="396">
        <f>E51+E52+E53+E54</f>
        <v>25.450000000000003</v>
      </c>
      <c r="F55" s="396">
        <f>F51+F52+F53+F54</f>
        <v>25.316666666666666</v>
      </c>
      <c r="G55" s="396">
        <f>G51+G52+G53+G54</f>
        <v>23.7</v>
      </c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19" x14ac:dyDescent="0.3">
      <c r="A56" s="419"/>
      <c r="B56" s="301"/>
      <c r="C56" s="301"/>
      <c r="D56" s="301"/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19" x14ac:dyDescent="0.3">
      <c r="A57" s="419"/>
      <c r="B57" s="301"/>
      <c r="C57" s="412" t="s">
        <v>106</v>
      </c>
      <c r="D57" s="397">
        <f>D51+D52+D53+E51+E52+E53+F51+F52+F53+G51+G52+G53</f>
        <v>97.350000000000009</v>
      </c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19" x14ac:dyDescent="0.3">
      <c r="A58" s="419"/>
      <c r="B58" s="301"/>
      <c r="C58" s="412" t="s">
        <v>107</v>
      </c>
      <c r="D58" s="397">
        <f>AVERAGE(D54:G54)</f>
        <v>0</v>
      </c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19" x14ac:dyDescent="0.3">
      <c r="A59" s="419"/>
      <c r="B59" s="301"/>
      <c r="C59" s="301"/>
      <c r="D59" s="301"/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19" x14ac:dyDescent="0.3">
      <c r="A60" s="419"/>
      <c r="B60" s="301"/>
      <c r="C60" s="301"/>
      <c r="D60" s="301"/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19" x14ac:dyDescent="0.3">
      <c r="A61" s="419"/>
      <c r="B61" s="301"/>
      <c r="C61" s="301"/>
      <c r="D61" s="301"/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19" x14ac:dyDescent="0.3">
      <c r="A62" s="419"/>
      <c r="B62" s="301"/>
      <c r="C62" s="301"/>
      <c r="D62" s="301"/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19" x14ac:dyDescent="0.3">
      <c r="A63" s="419"/>
      <c r="B63" s="301"/>
      <c r="C63" s="301"/>
      <c r="D63" s="301"/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19" x14ac:dyDescent="0.3">
      <c r="A64" s="419"/>
      <c r="B64" s="301"/>
      <c r="C64" s="301"/>
      <c r="D64" s="301"/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  <row r="65" spans="1:19" x14ac:dyDescent="0.3">
      <c r="A65" s="419"/>
      <c r="B65" s="301"/>
      <c r="C65" s="301"/>
      <c r="D65" s="301"/>
      <c r="E65" s="301"/>
      <c r="F65" s="301"/>
      <c r="G65" s="301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</row>
    <row r="66" spans="1:19" x14ac:dyDescent="0.3">
      <c r="A66" s="419"/>
      <c r="B66" s="301"/>
      <c r="C66" s="301"/>
      <c r="D66" s="301"/>
      <c r="E66" s="301"/>
      <c r="F66" s="301"/>
      <c r="G66" s="301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1"/>
      <c r="S66" s="301"/>
    </row>
    <row r="67" spans="1:19" x14ac:dyDescent="0.3">
      <c r="A67" s="419"/>
      <c r="B67" s="301"/>
      <c r="C67" s="301"/>
      <c r="D67" s="301"/>
      <c r="E67" s="301"/>
      <c r="F67" s="301"/>
      <c r="G67" s="301"/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</row>
    <row r="68" spans="1:19" x14ac:dyDescent="0.3">
      <c r="A68" s="419"/>
      <c r="B68" s="301"/>
      <c r="C68" s="301"/>
      <c r="D68" s="301"/>
      <c r="E68" s="301"/>
      <c r="F68" s="301"/>
      <c r="G68" s="301"/>
      <c r="H68" s="301"/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</row>
    <row r="69" spans="1:19" x14ac:dyDescent="0.3">
      <c r="A69" s="419"/>
      <c r="B69" s="301"/>
      <c r="C69" s="301"/>
      <c r="D69" s="301"/>
      <c r="E69" s="301"/>
      <c r="F69" s="301"/>
      <c r="G69" s="301"/>
      <c r="H69" s="301"/>
      <c r="I69" s="301"/>
      <c r="J69" s="301"/>
      <c r="K69" s="301"/>
      <c r="L69" s="301"/>
      <c r="M69" s="301"/>
      <c r="N69" s="301"/>
      <c r="O69" s="301"/>
      <c r="P69" s="301"/>
      <c r="Q69" s="301"/>
      <c r="R69" s="301"/>
      <c r="S69" s="301"/>
    </row>
    <row r="70" spans="1:19" x14ac:dyDescent="0.3">
      <c r="A70" s="419"/>
      <c r="B70" s="301"/>
      <c r="C70" s="301"/>
      <c r="D70" s="301"/>
      <c r="E70" s="301"/>
      <c r="F70" s="301"/>
      <c r="G70" s="301"/>
      <c r="H70" s="301"/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</row>
    <row r="71" spans="1:19" x14ac:dyDescent="0.3">
      <c r="A71" s="419"/>
      <c r="B71" s="301"/>
      <c r="C71" s="301"/>
      <c r="D71" s="301"/>
      <c r="E71" s="301"/>
      <c r="F71" s="301"/>
      <c r="G71" s="301"/>
      <c r="H71" s="301"/>
      <c r="I71" s="301"/>
      <c r="J71" s="301"/>
      <c r="K71" s="301"/>
      <c r="L71" s="301"/>
      <c r="M71" s="301"/>
      <c r="N71" s="301"/>
      <c r="O71" s="301"/>
      <c r="P71" s="301"/>
      <c r="Q71" s="301"/>
      <c r="R71" s="301"/>
      <c r="S71" s="301"/>
    </row>
    <row r="72" spans="1:19" x14ac:dyDescent="0.3">
      <c r="A72" s="419"/>
      <c r="B72" s="301"/>
      <c r="C72" s="301"/>
      <c r="D72" s="301"/>
      <c r="E72" s="301"/>
      <c r="F72" s="301"/>
      <c r="G72" s="301"/>
      <c r="H72" s="301"/>
      <c r="I72" s="301"/>
      <c r="J72" s="301"/>
      <c r="K72" s="301"/>
      <c r="L72" s="301"/>
      <c r="M72" s="301"/>
      <c r="N72" s="301"/>
      <c r="O72" s="301"/>
      <c r="P72" s="301"/>
      <c r="Q72" s="301"/>
      <c r="R72" s="301"/>
      <c r="S72" s="301"/>
    </row>
    <row r="73" spans="1:19" x14ac:dyDescent="0.3">
      <c r="A73" s="419"/>
      <c r="B73" s="301"/>
      <c r="C73" s="301"/>
      <c r="D73" s="301"/>
      <c r="E73" s="301"/>
      <c r="F73" s="301"/>
      <c r="G73" s="301"/>
      <c r="H73" s="301"/>
      <c r="I73" s="301"/>
      <c r="J73" s="301"/>
      <c r="K73" s="301"/>
      <c r="L73" s="301"/>
      <c r="M73" s="301"/>
      <c r="N73" s="301"/>
      <c r="O73" s="301"/>
      <c r="P73" s="301"/>
      <c r="Q73" s="301"/>
      <c r="R73" s="301"/>
      <c r="S73" s="301"/>
    </row>
    <row r="74" spans="1:19" x14ac:dyDescent="0.3">
      <c r="A74" s="419"/>
      <c r="B74" s="301"/>
      <c r="C74" s="301"/>
      <c r="D74" s="301"/>
      <c r="E74" s="301"/>
      <c r="F74" s="301"/>
      <c r="G74" s="301"/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</row>
    <row r="75" spans="1:19" x14ac:dyDescent="0.3">
      <c r="A75" s="419"/>
      <c r="B75" s="301"/>
      <c r="C75" s="301"/>
      <c r="D75" s="301"/>
      <c r="E75" s="301"/>
      <c r="F75" s="301"/>
      <c r="G75" s="301"/>
      <c r="H75" s="301"/>
      <c r="I75" s="301"/>
      <c r="J75" s="301"/>
      <c r="K75" s="301"/>
      <c r="L75" s="301"/>
      <c r="M75" s="301"/>
      <c r="N75" s="301"/>
      <c r="O75" s="301"/>
      <c r="P75" s="301"/>
      <c r="Q75" s="301"/>
      <c r="R75" s="301"/>
      <c r="S75" s="301"/>
    </row>
    <row r="76" spans="1:19" x14ac:dyDescent="0.3">
      <c r="A76" s="419"/>
      <c r="B76" s="301"/>
      <c r="C76" s="301"/>
      <c r="D76" s="301"/>
      <c r="E76" s="301"/>
      <c r="F76" s="301"/>
      <c r="G76" s="301"/>
      <c r="H76" s="301"/>
      <c r="I76" s="301"/>
      <c r="J76" s="301"/>
      <c r="K76" s="301"/>
      <c r="L76" s="301"/>
      <c r="M76" s="301"/>
      <c r="N76" s="301"/>
      <c r="O76" s="301"/>
      <c r="P76" s="301"/>
      <c r="Q76" s="301"/>
      <c r="R76" s="301"/>
      <c r="S76" s="301"/>
    </row>
    <row r="77" spans="1:19" x14ac:dyDescent="0.3">
      <c r="A77" s="419"/>
      <c r="B77" s="301"/>
      <c r="C77" s="301"/>
      <c r="D77" s="301"/>
      <c r="E77" s="301"/>
      <c r="F77" s="301"/>
      <c r="G77" s="301"/>
      <c r="H77" s="301"/>
      <c r="I77" s="301"/>
      <c r="J77" s="301"/>
      <c r="K77" s="301"/>
      <c r="L77" s="301"/>
      <c r="M77" s="301"/>
      <c r="N77" s="301"/>
      <c r="O77" s="301"/>
      <c r="P77" s="301"/>
      <c r="Q77" s="301"/>
      <c r="R77" s="301"/>
      <c r="S77" s="301"/>
    </row>
    <row r="78" spans="1:19" x14ac:dyDescent="0.3">
      <c r="A78" s="419"/>
      <c r="B78" s="301"/>
      <c r="C78" s="301"/>
      <c r="D78" s="301"/>
      <c r="E78" s="301"/>
      <c r="F78" s="301"/>
      <c r="G78" s="301"/>
      <c r="H78" s="301"/>
      <c r="I78" s="301"/>
      <c r="J78" s="301"/>
      <c r="K78" s="301"/>
      <c r="L78" s="301"/>
      <c r="M78" s="301"/>
      <c r="N78" s="301"/>
      <c r="O78" s="301"/>
      <c r="P78" s="301"/>
      <c r="Q78" s="301"/>
      <c r="R78" s="301"/>
      <c r="S78" s="301"/>
    </row>
    <row r="79" spans="1:19" x14ac:dyDescent="0.3">
      <c r="A79" s="419"/>
      <c r="B79" s="301"/>
      <c r="C79" s="301"/>
      <c r="D79" s="301"/>
      <c r="E79" s="301"/>
      <c r="F79" s="301"/>
      <c r="G79" s="301"/>
      <c r="H79" s="301"/>
      <c r="I79" s="301"/>
      <c r="J79" s="301"/>
      <c r="K79" s="301"/>
      <c r="L79" s="301"/>
      <c r="M79" s="301"/>
      <c r="N79" s="301"/>
      <c r="O79" s="301"/>
      <c r="P79" s="301"/>
      <c r="Q79" s="301"/>
      <c r="R79" s="301"/>
      <c r="S79" s="301"/>
    </row>
    <row r="80" spans="1:19" x14ac:dyDescent="0.3">
      <c r="A80" s="419"/>
      <c r="B80" s="301"/>
      <c r="C80" s="301"/>
      <c r="D80" s="301"/>
      <c r="E80" s="301"/>
      <c r="F80" s="301"/>
      <c r="G80" s="301"/>
      <c r="H80" s="301"/>
      <c r="I80" s="301"/>
      <c r="J80" s="301"/>
      <c r="K80" s="301"/>
      <c r="L80" s="301"/>
      <c r="M80" s="301"/>
      <c r="N80" s="301"/>
      <c r="O80" s="301"/>
      <c r="P80" s="301"/>
      <c r="Q80" s="301"/>
      <c r="R80" s="301"/>
      <c r="S80" s="301"/>
    </row>
    <row r="81" spans="1:19" x14ac:dyDescent="0.3">
      <c r="A81" s="419"/>
      <c r="B81" s="301"/>
      <c r="C81" s="301"/>
      <c r="D81" s="301"/>
      <c r="E81" s="301"/>
      <c r="F81" s="301"/>
      <c r="G81" s="301"/>
      <c r="H81" s="301"/>
      <c r="I81" s="301"/>
      <c r="J81" s="301"/>
      <c r="K81" s="301"/>
      <c r="L81" s="301"/>
      <c r="M81" s="301"/>
      <c r="N81" s="301"/>
      <c r="O81" s="301"/>
      <c r="P81" s="301"/>
      <c r="Q81" s="301"/>
      <c r="R81" s="301"/>
      <c r="S81" s="301"/>
    </row>
    <row r="82" spans="1:19" x14ac:dyDescent="0.3">
      <c r="A82" s="419"/>
      <c r="B82" s="301"/>
      <c r="C82" s="301"/>
      <c r="D82" s="301"/>
      <c r="E82" s="301"/>
      <c r="F82" s="301"/>
      <c r="G82" s="301"/>
      <c r="H82" s="301"/>
      <c r="I82" s="301"/>
      <c r="J82" s="301"/>
      <c r="K82" s="301"/>
      <c r="L82" s="301"/>
      <c r="M82" s="301"/>
      <c r="N82" s="301"/>
      <c r="O82" s="301"/>
      <c r="P82" s="301"/>
      <c r="Q82" s="301"/>
      <c r="R82" s="301"/>
      <c r="S82" s="301"/>
    </row>
    <row r="83" spans="1:19" x14ac:dyDescent="0.3">
      <c r="A83" s="419"/>
      <c r="B83" s="301"/>
      <c r="C83" s="301"/>
      <c r="D83" s="301"/>
      <c r="E83" s="301"/>
      <c r="F83" s="301"/>
      <c r="G83" s="301"/>
      <c r="H83" s="301"/>
      <c r="I83" s="301"/>
      <c r="J83" s="301"/>
      <c r="K83" s="301"/>
      <c r="L83" s="301"/>
      <c r="M83" s="301"/>
      <c r="N83" s="301"/>
      <c r="O83" s="301"/>
      <c r="P83" s="301"/>
      <c r="Q83" s="301"/>
      <c r="R83" s="301"/>
      <c r="S83" s="301"/>
    </row>
    <row r="84" spans="1:19" x14ac:dyDescent="0.3">
      <c r="A84" s="419"/>
      <c r="B84" s="301"/>
      <c r="C84" s="301"/>
      <c r="D84" s="301"/>
      <c r="E84" s="301"/>
      <c r="F84" s="301"/>
      <c r="G84" s="301"/>
      <c r="H84" s="301"/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1"/>
    </row>
    <row r="85" spans="1:19" x14ac:dyDescent="0.3">
      <c r="A85" s="419"/>
      <c r="B85" s="301"/>
      <c r="C85" s="301"/>
      <c r="D85" s="301"/>
      <c r="E85" s="301"/>
      <c r="F85" s="301"/>
      <c r="G85" s="301"/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</row>
    <row r="86" spans="1:19" x14ac:dyDescent="0.3">
      <c r="A86" s="419"/>
      <c r="B86" s="301"/>
      <c r="C86" s="301"/>
      <c r="D86" s="301"/>
      <c r="E86" s="301"/>
      <c r="F86" s="301"/>
      <c r="G86" s="301"/>
      <c r="H86" s="301"/>
      <c r="I86" s="301"/>
      <c r="J86" s="301"/>
      <c r="K86" s="301"/>
      <c r="L86" s="301"/>
      <c r="M86" s="301"/>
      <c r="N86" s="301"/>
      <c r="O86" s="301"/>
      <c r="P86" s="301"/>
      <c r="Q86" s="301"/>
      <c r="R86" s="301"/>
      <c r="S86" s="301"/>
    </row>
    <row r="87" spans="1:19" x14ac:dyDescent="0.3">
      <c r="A87" s="419"/>
      <c r="B87" s="301"/>
      <c r="C87" s="301"/>
      <c r="D87" s="301"/>
      <c r="E87" s="301"/>
      <c r="F87" s="301"/>
      <c r="G87" s="301"/>
      <c r="H87" s="301"/>
      <c r="I87" s="301"/>
      <c r="J87" s="301"/>
      <c r="K87" s="301"/>
      <c r="L87" s="301"/>
      <c r="M87" s="301"/>
      <c r="N87" s="301"/>
      <c r="O87" s="301"/>
      <c r="P87" s="301"/>
      <c r="Q87" s="301"/>
      <c r="R87" s="301"/>
      <c r="S87" s="301"/>
    </row>
    <row r="88" spans="1:19" x14ac:dyDescent="0.3">
      <c r="A88" s="419"/>
      <c r="B88" s="301"/>
      <c r="C88" s="301"/>
      <c r="D88" s="301"/>
      <c r="E88" s="301"/>
      <c r="F88" s="301"/>
      <c r="G88" s="301"/>
      <c r="H88" s="301"/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1"/>
    </row>
    <row r="89" spans="1:19" x14ac:dyDescent="0.3">
      <c r="A89" s="419"/>
      <c r="B89" s="301"/>
      <c r="C89" s="301"/>
      <c r="D89" s="301"/>
      <c r="E89" s="301"/>
      <c r="F89" s="301"/>
      <c r="G89" s="301"/>
      <c r="H89" s="301"/>
      <c r="I89" s="301"/>
      <c r="J89" s="301"/>
      <c r="K89" s="301"/>
      <c r="L89" s="301"/>
      <c r="M89" s="301"/>
      <c r="N89" s="301"/>
      <c r="O89" s="301"/>
      <c r="P89" s="301"/>
      <c r="Q89" s="301"/>
      <c r="R89" s="301"/>
      <c r="S89" s="301"/>
    </row>
    <row r="90" spans="1:19" x14ac:dyDescent="0.3">
      <c r="A90" s="419"/>
      <c r="B90" s="301"/>
      <c r="C90" s="301"/>
      <c r="D90" s="301"/>
      <c r="E90" s="301"/>
      <c r="F90" s="301"/>
      <c r="G90" s="301"/>
      <c r="H90" s="301"/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</row>
    <row r="91" spans="1:19" x14ac:dyDescent="0.3">
      <c r="A91" s="419"/>
      <c r="B91" s="301"/>
      <c r="C91" s="301"/>
      <c r="D91" s="301"/>
      <c r="E91" s="301"/>
      <c r="F91" s="301"/>
      <c r="G91" s="301"/>
      <c r="H91" s="301"/>
      <c r="I91" s="301"/>
      <c r="J91" s="301"/>
      <c r="K91" s="301"/>
      <c r="L91" s="301"/>
      <c r="M91" s="301"/>
      <c r="N91" s="301"/>
      <c r="O91" s="301"/>
      <c r="P91" s="301"/>
      <c r="Q91" s="301"/>
      <c r="R91" s="301"/>
      <c r="S91" s="301"/>
    </row>
    <row r="92" spans="1:19" x14ac:dyDescent="0.3">
      <c r="A92" s="419"/>
      <c r="B92" s="301"/>
      <c r="C92" s="301"/>
      <c r="D92" s="301"/>
      <c r="E92" s="301"/>
      <c r="F92" s="301"/>
      <c r="G92" s="301"/>
      <c r="H92" s="301"/>
      <c r="I92" s="301"/>
      <c r="J92" s="301"/>
      <c r="K92" s="301"/>
      <c r="L92" s="301"/>
      <c r="M92" s="301"/>
      <c r="N92" s="301"/>
      <c r="O92" s="301"/>
      <c r="P92" s="301"/>
      <c r="Q92" s="301"/>
      <c r="R92" s="301"/>
      <c r="S92" s="301"/>
    </row>
    <row r="93" spans="1:19" x14ac:dyDescent="0.3">
      <c r="A93" s="419"/>
      <c r="B93" s="301"/>
      <c r="C93" s="301"/>
      <c r="D93" s="301"/>
      <c r="E93" s="301"/>
      <c r="F93" s="301"/>
      <c r="G93" s="301"/>
      <c r="H93" s="301"/>
      <c r="I93" s="301"/>
      <c r="J93" s="301"/>
      <c r="K93" s="301"/>
      <c r="L93" s="301"/>
      <c r="M93" s="301"/>
      <c r="N93" s="301"/>
      <c r="O93" s="301"/>
      <c r="P93" s="301"/>
      <c r="Q93" s="301"/>
      <c r="R93" s="301"/>
      <c r="S93" s="301"/>
    </row>
    <row r="94" spans="1:19" x14ac:dyDescent="0.3">
      <c r="A94" s="419"/>
      <c r="B94" s="301"/>
      <c r="C94" s="301"/>
      <c r="D94" s="301"/>
      <c r="E94" s="301"/>
      <c r="F94" s="301"/>
      <c r="G94" s="301"/>
      <c r="H94" s="301"/>
      <c r="I94" s="301"/>
      <c r="J94" s="301"/>
      <c r="K94" s="301"/>
      <c r="L94" s="301"/>
      <c r="M94" s="301"/>
      <c r="N94" s="301"/>
      <c r="O94" s="301"/>
      <c r="P94" s="301"/>
      <c r="Q94" s="301"/>
      <c r="R94" s="301"/>
      <c r="S94" s="301"/>
    </row>
    <row r="95" spans="1:19" x14ac:dyDescent="0.3">
      <c r="A95" s="419"/>
      <c r="B95" s="301"/>
      <c r="C95" s="301"/>
      <c r="D95" s="301"/>
      <c r="E95" s="301"/>
      <c r="F95" s="301"/>
      <c r="G95" s="301"/>
      <c r="H95" s="301"/>
      <c r="I95" s="301"/>
      <c r="J95" s="301"/>
      <c r="K95" s="301"/>
      <c r="L95" s="301"/>
      <c r="M95" s="301"/>
      <c r="N95" s="301"/>
      <c r="O95" s="301"/>
      <c r="P95" s="301"/>
      <c r="Q95" s="301"/>
      <c r="R95" s="301"/>
      <c r="S95" s="301"/>
    </row>
    <row r="96" spans="1:19" x14ac:dyDescent="0.3">
      <c r="A96" s="419"/>
      <c r="B96" s="301"/>
      <c r="C96" s="301"/>
      <c r="D96" s="301"/>
      <c r="E96" s="301"/>
      <c r="F96" s="301"/>
      <c r="G96" s="301"/>
      <c r="H96" s="301"/>
      <c r="I96" s="301"/>
      <c r="J96" s="301"/>
      <c r="K96" s="301"/>
      <c r="L96" s="301"/>
      <c r="M96" s="301"/>
      <c r="N96" s="301"/>
      <c r="O96" s="301"/>
      <c r="P96" s="301"/>
      <c r="Q96" s="301"/>
      <c r="R96" s="301"/>
      <c r="S96" s="301"/>
    </row>
    <row r="97" spans="1:19" x14ac:dyDescent="0.3">
      <c r="A97" s="419"/>
      <c r="B97" s="301"/>
      <c r="C97" s="301"/>
      <c r="D97" s="301"/>
      <c r="E97" s="301"/>
      <c r="F97" s="301"/>
      <c r="G97" s="301"/>
      <c r="H97" s="301"/>
      <c r="I97" s="301"/>
      <c r="J97" s="301"/>
      <c r="K97" s="301"/>
      <c r="L97" s="301"/>
      <c r="M97" s="301"/>
      <c r="N97" s="301"/>
      <c r="O97" s="301"/>
      <c r="P97" s="301"/>
      <c r="Q97" s="301"/>
      <c r="R97" s="301"/>
      <c r="S97" s="301"/>
    </row>
    <row r="98" spans="1:19" x14ac:dyDescent="0.3">
      <c r="A98" s="419"/>
      <c r="B98" s="301"/>
      <c r="C98" s="301"/>
      <c r="D98" s="301"/>
      <c r="E98" s="301"/>
      <c r="F98" s="301"/>
      <c r="G98" s="301"/>
      <c r="H98" s="301"/>
      <c r="I98" s="301"/>
      <c r="J98" s="301"/>
      <c r="K98" s="301"/>
      <c r="L98" s="301"/>
      <c r="M98" s="301"/>
      <c r="N98" s="301"/>
      <c r="O98" s="301"/>
      <c r="P98" s="301"/>
      <c r="Q98" s="301"/>
      <c r="R98" s="301"/>
      <c r="S98" s="301"/>
    </row>
    <row r="99" spans="1:19" x14ac:dyDescent="0.3">
      <c r="A99" s="419"/>
      <c r="B99" s="301"/>
      <c r="C99" s="301"/>
      <c r="D99" s="301"/>
      <c r="E99" s="301"/>
      <c r="F99" s="301"/>
      <c r="G99" s="301"/>
      <c r="H99" s="301"/>
      <c r="I99" s="301"/>
      <c r="J99" s="301"/>
      <c r="K99" s="301"/>
      <c r="L99" s="301"/>
      <c r="M99" s="301"/>
      <c r="N99" s="301"/>
      <c r="O99" s="301"/>
      <c r="P99" s="301"/>
      <c r="Q99" s="301"/>
      <c r="R99" s="301"/>
      <c r="S99" s="301"/>
    </row>
    <row r="100" spans="1:19" x14ac:dyDescent="0.3">
      <c r="A100" s="419"/>
      <c r="B100" s="301"/>
      <c r="C100" s="301"/>
      <c r="D100" s="301"/>
      <c r="E100" s="301"/>
      <c r="F100" s="301"/>
      <c r="G100" s="301"/>
      <c r="H100" s="301"/>
      <c r="I100" s="301"/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</row>
    <row r="101" spans="1:19" x14ac:dyDescent="0.3">
      <c r="A101" s="419"/>
      <c r="B101" s="301"/>
      <c r="C101" s="301"/>
      <c r="D101" s="301"/>
      <c r="E101" s="301"/>
      <c r="F101" s="301"/>
      <c r="G101" s="301"/>
      <c r="H101" s="301"/>
      <c r="I101" s="301"/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</row>
    <row r="102" spans="1:19" x14ac:dyDescent="0.3">
      <c r="A102" s="419"/>
      <c r="B102" s="301"/>
      <c r="C102" s="301"/>
      <c r="D102" s="301"/>
      <c r="E102" s="301"/>
      <c r="F102" s="301"/>
      <c r="G102" s="301"/>
      <c r="H102" s="301"/>
      <c r="I102" s="301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</row>
    <row r="103" spans="1:19" x14ac:dyDescent="0.3">
      <c r="A103" s="419"/>
      <c r="B103" s="301"/>
      <c r="C103" s="301"/>
      <c r="D103" s="301"/>
      <c r="E103" s="301"/>
      <c r="F103" s="301"/>
      <c r="G103" s="301"/>
      <c r="H103" s="301"/>
      <c r="I103" s="301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</row>
    <row r="104" spans="1:19" x14ac:dyDescent="0.3">
      <c r="A104" s="419"/>
      <c r="B104" s="301"/>
      <c r="C104" s="301"/>
      <c r="D104" s="301"/>
      <c r="E104" s="301"/>
      <c r="F104" s="301"/>
      <c r="G104" s="301"/>
      <c r="H104" s="301"/>
      <c r="I104" s="301"/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</row>
    <row r="105" spans="1:19" x14ac:dyDescent="0.3">
      <c r="A105" s="419"/>
      <c r="B105" s="301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</row>
    <row r="106" spans="1:19" x14ac:dyDescent="0.3">
      <c r="A106" s="419"/>
      <c r="B106" s="301"/>
      <c r="C106" s="301"/>
      <c r="D106" s="301"/>
      <c r="E106" s="301"/>
      <c r="F106" s="301"/>
      <c r="G106" s="301"/>
      <c r="H106" s="301"/>
      <c r="I106" s="301"/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</row>
    <row r="107" spans="1:19" x14ac:dyDescent="0.3">
      <c r="A107" s="419"/>
      <c r="B107" s="301"/>
      <c r="C107" s="301"/>
      <c r="D107" s="301"/>
      <c r="E107" s="301"/>
      <c r="F107" s="301"/>
      <c r="G107" s="301"/>
      <c r="H107" s="301"/>
      <c r="I107" s="301"/>
      <c r="J107" s="301"/>
      <c r="K107" s="301"/>
      <c r="L107" s="301"/>
      <c r="M107" s="301"/>
      <c r="N107" s="301"/>
      <c r="O107" s="301"/>
      <c r="P107" s="301"/>
      <c r="Q107" s="301"/>
      <c r="R107" s="301"/>
      <c r="S107" s="301"/>
    </row>
    <row r="108" spans="1:19" x14ac:dyDescent="0.3">
      <c r="A108" s="419"/>
      <c r="B108" s="301"/>
      <c r="C108" s="301"/>
      <c r="D108" s="301"/>
      <c r="E108" s="301"/>
      <c r="F108" s="301"/>
      <c r="G108" s="301"/>
      <c r="H108" s="301"/>
      <c r="I108" s="301"/>
      <c r="J108" s="301"/>
      <c r="K108" s="301"/>
      <c r="L108" s="301"/>
      <c r="M108" s="301"/>
      <c r="N108" s="301"/>
      <c r="O108" s="301"/>
      <c r="P108" s="301"/>
      <c r="Q108" s="301"/>
      <c r="R108" s="301"/>
      <c r="S108" s="301"/>
    </row>
    <row r="109" spans="1:19" x14ac:dyDescent="0.3">
      <c r="A109" s="419"/>
      <c r="B109" s="301"/>
      <c r="C109" s="301"/>
      <c r="D109" s="301"/>
      <c r="E109" s="301"/>
      <c r="F109" s="301"/>
      <c r="G109" s="301"/>
      <c r="H109" s="301"/>
      <c r="I109" s="301"/>
      <c r="J109" s="301"/>
      <c r="K109" s="301"/>
      <c r="L109" s="301"/>
      <c r="M109" s="301"/>
      <c r="N109" s="301"/>
      <c r="O109" s="301"/>
      <c r="P109" s="301"/>
      <c r="Q109" s="301"/>
      <c r="R109" s="301"/>
      <c r="S109" s="301"/>
    </row>
    <row r="110" spans="1:19" x14ac:dyDescent="0.3">
      <c r="A110" s="419"/>
      <c r="B110" s="301"/>
      <c r="C110" s="301"/>
      <c r="D110" s="301"/>
      <c r="E110" s="301"/>
      <c r="F110" s="301"/>
      <c r="G110" s="301"/>
      <c r="H110" s="301"/>
      <c r="I110" s="301"/>
      <c r="J110" s="301"/>
      <c r="K110" s="301"/>
      <c r="L110" s="301"/>
      <c r="M110" s="301"/>
      <c r="N110" s="301"/>
      <c r="O110" s="301"/>
      <c r="P110" s="301"/>
      <c r="Q110" s="301"/>
      <c r="R110" s="301"/>
      <c r="S110" s="301"/>
    </row>
    <row r="111" spans="1:19" x14ac:dyDescent="0.3">
      <c r="A111" s="419"/>
      <c r="B111" s="301"/>
      <c r="C111" s="301"/>
      <c r="D111" s="301"/>
      <c r="E111" s="301"/>
      <c r="F111" s="301"/>
      <c r="G111" s="301"/>
      <c r="H111" s="301"/>
      <c r="I111" s="301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</row>
    <row r="112" spans="1:19" x14ac:dyDescent="0.3">
      <c r="A112" s="419"/>
      <c r="B112" s="301"/>
      <c r="C112" s="301"/>
      <c r="D112" s="301"/>
      <c r="E112" s="301"/>
      <c r="F112" s="301"/>
      <c r="G112" s="301"/>
      <c r="H112" s="301"/>
      <c r="I112" s="301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</row>
    <row r="113" spans="1:19" x14ac:dyDescent="0.3">
      <c r="A113" s="419"/>
      <c r="B113" s="301"/>
      <c r="C113" s="301"/>
      <c r="D113" s="301"/>
      <c r="E113" s="301"/>
      <c r="F113" s="301"/>
      <c r="G113" s="301"/>
      <c r="H113" s="301"/>
      <c r="I113" s="301"/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</row>
    <row r="114" spans="1:19" x14ac:dyDescent="0.3">
      <c r="A114" s="419"/>
      <c r="B114" s="301"/>
      <c r="C114" s="301"/>
      <c r="D114" s="301"/>
      <c r="E114" s="301"/>
      <c r="F114" s="301"/>
      <c r="G114" s="301"/>
      <c r="H114" s="301"/>
      <c r="I114" s="301"/>
      <c r="J114" s="301"/>
      <c r="K114" s="301"/>
      <c r="L114" s="301"/>
      <c r="M114" s="301"/>
      <c r="N114" s="301"/>
      <c r="O114" s="301"/>
      <c r="P114" s="301"/>
      <c r="Q114" s="301"/>
      <c r="R114" s="301"/>
      <c r="S114" s="301"/>
    </row>
    <row r="115" spans="1:19" x14ac:dyDescent="0.3">
      <c r="A115" s="419"/>
      <c r="B115" s="301"/>
      <c r="C115" s="301"/>
      <c r="D115" s="301"/>
      <c r="E115" s="301"/>
      <c r="F115" s="301"/>
      <c r="G115" s="301"/>
      <c r="H115" s="301"/>
      <c r="I115" s="301"/>
      <c r="J115" s="301"/>
      <c r="K115" s="301"/>
      <c r="L115" s="301"/>
      <c r="M115" s="301"/>
      <c r="N115" s="301"/>
      <c r="O115" s="301"/>
      <c r="P115" s="301"/>
      <c r="Q115" s="301"/>
      <c r="R115" s="301"/>
      <c r="S115" s="301"/>
    </row>
    <row r="116" spans="1:19" x14ac:dyDescent="0.3">
      <c r="A116" s="419"/>
      <c r="B116" s="301"/>
      <c r="C116" s="301"/>
      <c r="D116" s="301"/>
      <c r="E116" s="301"/>
      <c r="F116" s="301"/>
      <c r="G116" s="301"/>
      <c r="H116" s="301"/>
      <c r="I116" s="301"/>
      <c r="J116" s="301"/>
      <c r="K116" s="301"/>
      <c r="L116" s="301"/>
      <c r="M116" s="301"/>
      <c r="N116" s="301"/>
      <c r="O116" s="301"/>
      <c r="P116" s="301"/>
      <c r="Q116" s="301"/>
      <c r="R116" s="301"/>
      <c r="S116" s="301"/>
    </row>
    <row r="117" spans="1:19" x14ac:dyDescent="0.3">
      <c r="A117" s="419"/>
      <c r="B117" s="301"/>
      <c r="C117" s="301"/>
      <c r="D117" s="301"/>
      <c r="E117" s="301"/>
      <c r="F117" s="301"/>
      <c r="G117" s="301"/>
      <c r="H117" s="301"/>
      <c r="I117" s="301"/>
      <c r="J117" s="301"/>
      <c r="K117" s="301"/>
      <c r="L117" s="301"/>
      <c r="M117" s="301"/>
      <c r="N117" s="301"/>
      <c r="O117" s="301"/>
      <c r="P117" s="301"/>
      <c r="Q117" s="301"/>
      <c r="R117" s="301"/>
      <c r="S117" s="301"/>
    </row>
    <row r="118" spans="1:19" x14ac:dyDescent="0.3">
      <c r="A118" s="419"/>
      <c r="B118" s="301"/>
      <c r="C118" s="301"/>
      <c r="D118" s="301"/>
      <c r="E118" s="301"/>
      <c r="F118" s="301"/>
      <c r="G118" s="301"/>
      <c r="H118" s="301"/>
      <c r="I118" s="301"/>
      <c r="J118" s="301"/>
      <c r="K118" s="301"/>
      <c r="L118" s="301"/>
      <c r="M118" s="301"/>
      <c r="N118" s="301"/>
      <c r="O118" s="301"/>
      <c r="P118" s="301"/>
      <c r="Q118" s="301"/>
      <c r="R118" s="301"/>
      <c r="S118" s="301"/>
    </row>
    <row r="119" spans="1:19" x14ac:dyDescent="0.3">
      <c r="A119" s="419"/>
      <c r="B119" s="301"/>
      <c r="C119" s="301"/>
      <c r="D119" s="301"/>
      <c r="E119" s="301"/>
      <c r="F119" s="301"/>
      <c r="G119" s="301"/>
      <c r="H119" s="301"/>
      <c r="I119" s="301"/>
      <c r="J119" s="301"/>
      <c r="K119" s="301"/>
      <c r="L119" s="301"/>
      <c r="M119" s="301"/>
      <c r="N119" s="301"/>
      <c r="O119" s="301"/>
      <c r="P119" s="301"/>
      <c r="Q119" s="301"/>
      <c r="R119" s="301"/>
      <c r="S119" s="301"/>
    </row>
    <row r="120" spans="1:19" x14ac:dyDescent="0.3">
      <c r="A120" s="419"/>
      <c r="B120" s="301"/>
      <c r="C120" s="301"/>
      <c r="D120" s="301"/>
      <c r="E120" s="301"/>
      <c r="F120" s="301"/>
      <c r="G120" s="301"/>
      <c r="H120" s="301"/>
      <c r="I120" s="301"/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</row>
    <row r="121" spans="1:19" x14ac:dyDescent="0.3">
      <c r="A121" s="419"/>
      <c r="B121" s="301"/>
      <c r="C121" s="301"/>
      <c r="D121" s="301"/>
      <c r="E121" s="301"/>
      <c r="F121" s="301"/>
      <c r="G121" s="301"/>
      <c r="H121" s="301"/>
      <c r="I121" s="301"/>
      <c r="J121" s="301"/>
      <c r="K121" s="301"/>
      <c r="L121" s="301"/>
      <c r="M121" s="301"/>
      <c r="N121" s="301"/>
      <c r="O121" s="301"/>
      <c r="P121" s="301"/>
      <c r="Q121" s="301"/>
      <c r="R121" s="301"/>
      <c r="S121" s="301"/>
    </row>
    <row r="122" spans="1:19" x14ac:dyDescent="0.3">
      <c r="A122" s="419"/>
      <c r="B122" s="301"/>
      <c r="C122" s="301"/>
      <c r="D122" s="301"/>
      <c r="E122" s="301"/>
      <c r="F122" s="301"/>
      <c r="G122" s="301"/>
      <c r="H122" s="301"/>
      <c r="I122" s="301"/>
      <c r="J122" s="301"/>
      <c r="K122" s="301"/>
      <c r="L122" s="301"/>
      <c r="M122" s="301"/>
      <c r="N122" s="301"/>
      <c r="O122" s="301"/>
      <c r="P122" s="301"/>
      <c r="Q122" s="301"/>
      <c r="R122" s="301"/>
      <c r="S122" s="301"/>
    </row>
    <row r="123" spans="1:19" x14ac:dyDescent="0.3">
      <c r="A123" s="419"/>
      <c r="B123" s="301"/>
      <c r="C123" s="301"/>
      <c r="D123" s="301"/>
      <c r="E123" s="301"/>
      <c r="F123" s="301"/>
      <c r="G123" s="301"/>
      <c r="H123" s="301"/>
      <c r="I123" s="301"/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</row>
    <row r="124" spans="1:19" x14ac:dyDescent="0.3">
      <c r="A124" s="419"/>
      <c r="B124" s="301"/>
      <c r="C124" s="301"/>
      <c r="D124" s="301"/>
      <c r="E124" s="301"/>
      <c r="F124" s="301"/>
      <c r="G124" s="301"/>
      <c r="H124" s="301"/>
      <c r="I124" s="301"/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</row>
    <row r="125" spans="1:19" x14ac:dyDescent="0.3">
      <c r="A125" s="419"/>
      <c r="B125" s="301"/>
      <c r="C125" s="301"/>
      <c r="D125" s="301"/>
      <c r="E125" s="301"/>
      <c r="F125" s="301"/>
      <c r="G125" s="301"/>
      <c r="H125" s="301"/>
      <c r="I125" s="301"/>
      <c r="J125" s="301"/>
      <c r="K125" s="301"/>
      <c r="L125" s="301"/>
      <c r="M125" s="301"/>
      <c r="N125" s="301"/>
      <c r="O125" s="301"/>
      <c r="P125" s="301"/>
      <c r="Q125" s="301"/>
      <c r="R125" s="301"/>
      <c r="S125" s="301"/>
    </row>
    <row r="126" spans="1:19" x14ac:dyDescent="0.3">
      <c r="A126" s="419"/>
      <c r="B126" s="301"/>
      <c r="C126" s="301"/>
      <c r="D126" s="301"/>
      <c r="E126" s="301"/>
      <c r="F126" s="301"/>
      <c r="G126" s="301"/>
      <c r="H126" s="301"/>
      <c r="I126" s="301"/>
      <c r="J126" s="301"/>
      <c r="K126" s="301"/>
      <c r="L126" s="301"/>
      <c r="M126" s="301"/>
      <c r="N126" s="301"/>
      <c r="O126" s="301"/>
      <c r="P126" s="301"/>
      <c r="Q126" s="301"/>
      <c r="R126" s="301"/>
      <c r="S126" s="301"/>
    </row>
    <row r="127" spans="1:19" x14ac:dyDescent="0.3">
      <c r="A127" s="419"/>
      <c r="B127" s="301"/>
      <c r="C127" s="301"/>
      <c r="D127" s="301"/>
      <c r="E127" s="301"/>
      <c r="F127" s="301"/>
      <c r="G127" s="301"/>
      <c r="H127" s="301"/>
      <c r="I127" s="301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</row>
    <row r="128" spans="1:19" x14ac:dyDescent="0.3">
      <c r="A128" s="419"/>
      <c r="B128" s="301"/>
      <c r="C128" s="301"/>
      <c r="D128" s="301"/>
      <c r="E128" s="301"/>
      <c r="F128" s="301"/>
      <c r="G128" s="301"/>
      <c r="H128" s="301"/>
      <c r="I128" s="301"/>
      <c r="J128" s="301"/>
      <c r="K128" s="301"/>
      <c r="L128" s="301"/>
      <c r="M128" s="301"/>
      <c r="N128" s="301"/>
      <c r="O128" s="301"/>
      <c r="P128" s="301"/>
      <c r="Q128" s="301"/>
      <c r="R128" s="301"/>
      <c r="S128" s="301"/>
    </row>
    <row r="129" spans="1:19" x14ac:dyDescent="0.3">
      <c r="A129" s="419"/>
      <c r="B129" s="301"/>
      <c r="C129" s="301"/>
      <c r="D129" s="301"/>
      <c r="E129" s="301"/>
      <c r="F129" s="301"/>
      <c r="G129" s="301"/>
      <c r="H129" s="301"/>
      <c r="I129" s="301"/>
      <c r="J129" s="301"/>
      <c r="K129" s="301"/>
      <c r="L129" s="301"/>
      <c r="M129" s="301"/>
      <c r="N129" s="301"/>
      <c r="O129" s="301"/>
      <c r="P129" s="301"/>
      <c r="Q129" s="301"/>
      <c r="R129" s="301"/>
      <c r="S129" s="301"/>
    </row>
    <row r="130" spans="1:19" x14ac:dyDescent="0.3">
      <c r="A130" s="419"/>
      <c r="B130" s="301"/>
      <c r="C130" s="301"/>
      <c r="D130" s="301"/>
      <c r="E130" s="301"/>
      <c r="F130" s="301"/>
      <c r="G130" s="301"/>
      <c r="H130" s="301"/>
      <c r="I130" s="301"/>
      <c r="J130" s="301"/>
      <c r="K130" s="301"/>
      <c r="L130" s="301"/>
      <c r="M130" s="301"/>
      <c r="N130" s="301"/>
      <c r="O130" s="301"/>
      <c r="P130" s="301"/>
      <c r="Q130" s="301"/>
      <c r="R130" s="301"/>
      <c r="S130" s="301"/>
    </row>
    <row r="131" spans="1:19" x14ac:dyDescent="0.3">
      <c r="A131" s="419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01"/>
      <c r="M131" s="301"/>
      <c r="N131" s="301"/>
      <c r="O131" s="301"/>
      <c r="P131" s="301"/>
      <c r="Q131" s="301"/>
      <c r="R131" s="301"/>
      <c r="S131" s="301"/>
    </row>
    <row r="132" spans="1:19" x14ac:dyDescent="0.3">
      <c r="A132" s="419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01"/>
      <c r="M132" s="301"/>
      <c r="N132" s="301"/>
      <c r="O132" s="301"/>
      <c r="P132" s="301"/>
      <c r="Q132" s="301"/>
      <c r="R132" s="301"/>
      <c r="S132" s="301"/>
    </row>
    <row r="133" spans="1:19" x14ac:dyDescent="0.3">
      <c r="A133" s="419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01"/>
      <c r="M133" s="301"/>
      <c r="N133" s="301"/>
      <c r="O133" s="301"/>
      <c r="P133" s="301"/>
      <c r="Q133" s="301"/>
      <c r="R133" s="301"/>
      <c r="S133" s="301"/>
    </row>
    <row r="134" spans="1:19" x14ac:dyDescent="0.3">
      <c r="A134" s="419"/>
      <c r="B134" s="301"/>
      <c r="C134" s="301"/>
      <c r="D134" s="301"/>
      <c r="E134" s="301"/>
      <c r="F134" s="301"/>
      <c r="G134" s="301"/>
      <c r="H134" s="301"/>
      <c r="I134" s="301"/>
      <c r="J134" s="301"/>
      <c r="K134" s="301"/>
      <c r="L134" s="301"/>
      <c r="M134" s="301"/>
      <c r="N134" s="301"/>
      <c r="O134" s="301"/>
      <c r="P134" s="301"/>
      <c r="Q134" s="301"/>
      <c r="R134" s="301"/>
      <c r="S134" s="301"/>
    </row>
    <row r="135" spans="1:19" x14ac:dyDescent="0.3">
      <c r="A135" s="419"/>
      <c r="B135" s="301"/>
      <c r="C135" s="301"/>
      <c r="D135" s="301"/>
      <c r="E135" s="301"/>
      <c r="F135" s="301"/>
      <c r="G135" s="301"/>
      <c r="H135" s="301"/>
      <c r="I135" s="301"/>
      <c r="J135" s="301"/>
      <c r="K135" s="301"/>
      <c r="L135" s="301"/>
      <c r="M135" s="301"/>
      <c r="N135" s="301"/>
      <c r="O135" s="301"/>
      <c r="P135" s="301"/>
      <c r="Q135" s="301"/>
      <c r="R135" s="301"/>
      <c r="S135" s="301"/>
    </row>
    <row r="136" spans="1:19" x14ac:dyDescent="0.3">
      <c r="A136" s="419"/>
      <c r="B136" s="301"/>
      <c r="C136" s="301"/>
      <c r="D136" s="301"/>
      <c r="E136" s="301"/>
      <c r="F136" s="301"/>
      <c r="G136" s="301"/>
      <c r="H136" s="301"/>
      <c r="I136" s="301"/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</row>
    <row r="137" spans="1:19" x14ac:dyDescent="0.3">
      <c r="A137" s="419"/>
      <c r="B137" s="301"/>
      <c r="C137" s="301"/>
      <c r="D137" s="301"/>
      <c r="E137" s="301"/>
      <c r="F137" s="301"/>
      <c r="G137" s="301"/>
      <c r="H137" s="301"/>
      <c r="I137" s="301"/>
      <c r="J137" s="301"/>
      <c r="K137" s="301"/>
      <c r="L137" s="301"/>
      <c r="M137" s="301"/>
      <c r="N137" s="301"/>
      <c r="O137" s="301"/>
      <c r="P137" s="301"/>
      <c r="Q137" s="301"/>
      <c r="R137" s="301"/>
      <c r="S137" s="301"/>
    </row>
    <row r="138" spans="1:19" x14ac:dyDescent="0.3">
      <c r="A138" s="419"/>
      <c r="B138" s="301"/>
      <c r="C138" s="301"/>
      <c r="D138" s="301"/>
      <c r="E138" s="301"/>
      <c r="F138" s="301"/>
      <c r="G138" s="301"/>
      <c r="H138" s="301"/>
      <c r="I138" s="301"/>
      <c r="J138" s="301"/>
      <c r="K138" s="301"/>
      <c r="L138" s="301"/>
      <c r="M138" s="301"/>
      <c r="N138" s="301"/>
      <c r="O138" s="301"/>
      <c r="P138" s="301"/>
      <c r="Q138" s="301"/>
      <c r="R138" s="301"/>
      <c r="S138" s="301"/>
    </row>
    <row r="139" spans="1:19" x14ac:dyDescent="0.3">
      <c r="A139" s="419"/>
      <c r="B139" s="301"/>
      <c r="C139" s="301"/>
      <c r="D139" s="301"/>
      <c r="E139" s="301"/>
      <c r="F139" s="301"/>
      <c r="G139" s="301"/>
      <c r="H139" s="301"/>
      <c r="I139" s="301"/>
      <c r="J139" s="301"/>
      <c r="K139" s="301"/>
      <c r="L139" s="301"/>
      <c r="M139" s="301"/>
      <c r="N139" s="301"/>
      <c r="O139" s="301"/>
      <c r="P139" s="301"/>
      <c r="Q139" s="301"/>
      <c r="R139" s="301"/>
      <c r="S139" s="301"/>
    </row>
    <row r="140" spans="1:19" x14ac:dyDescent="0.3">
      <c r="A140" s="419"/>
      <c r="B140" s="301"/>
      <c r="C140" s="301"/>
      <c r="D140" s="301"/>
      <c r="E140" s="301"/>
      <c r="F140" s="301"/>
      <c r="G140" s="301"/>
      <c r="H140" s="301"/>
      <c r="I140" s="301"/>
      <c r="J140" s="301"/>
      <c r="K140" s="301"/>
      <c r="L140" s="301"/>
      <c r="M140" s="301"/>
      <c r="N140" s="301"/>
      <c r="O140" s="301"/>
      <c r="P140" s="301"/>
      <c r="Q140" s="301"/>
      <c r="R140" s="301"/>
      <c r="S140" s="301"/>
    </row>
    <row r="141" spans="1:19" x14ac:dyDescent="0.3">
      <c r="A141" s="419"/>
      <c r="B141" s="301"/>
      <c r="C141" s="301"/>
      <c r="D141" s="301"/>
      <c r="E141" s="301"/>
      <c r="F141" s="301"/>
      <c r="G141" s="301"/>
      <c r="H141" s="301"/>
      <c r="I141" s="301"/>
      <c r="J141" s="301"/>
      <c r="K141" s="301"/>
      <c r="L141" s="301"/>
      <c r="M141" s="301"/>
      <c r="N141" s="301"/>
      <c r="O141" s="301"/>
      <c r="P141" s="301"/>
      <c r="Q141" s="301"/>
      <c r="R141" s="301"/>
      <c r="S141" s="301"/>
    </row>
    <row r="142" spans="1:19" x14ac:dyDescent="0.3">
      <c r="A142" s="419"/>
      <c r="B142" s="301"/>
      <c r="C142" s="301"/>
      <c r="D142" s="301"/>
      <c r="E142" s="301"/>
      <c r="F142" s="301"/>
      <c r="G142" s="301"/>
      <c r="H142" s="301"/>
      <c r="I142" s="301"/>
      <c r="J142" s="301"/>
      <c r="K142" s="301"/>
      <c r="L142" s="301"/>
      <c r="M142" s="301"/>
      <c r="N142" s="301"/>
      <c r="O142" s="301"/>
      <c r="P142" s="301"/>
      <c r="Q142" s="301"/>
      <c r="R142" s="301"/>
      <c r="S142" s="301"/>
    </row>
    <row r="143" spans="1:19" x14ac:dyDescent="0.3">
      <c r="A143" s="419"/>
      <c r="B143" s="301"/>
      <c r="C143" s="301"/>
      <c r="D143" s="301"/>
      <c r="E143" s="301"/>
      <c r="F143" s="301"/>
      <c r="G143" s="301"/>
      <c r="H143" s="301"/>
      <c r="I143" s="301"/>
      <c r="J143" s="301"/>
      <c r="K143" s="301"/>
      <c r="L143" s="301"/>
      <c r="M143" s="301"/>
      <c r="N143" s="301"/>
      <c r="O143" s="301"/>
      <c r="P143" s="301"/>
      <c r="Q143" s="301"/>
      <c r="R143" s="301"/>
      <c r="S143" s="301"/>
    </row>
    <row r="144" spans="1:19" x14ac:dyDescent="0.3">
      <c r="A144" s="419"/>
      <c r="B144" s="301"/>
      <c r="C144" s="301"/>
      <c r="D144" s="301"/>
      <c r="E144" s="301"/>
      <c r="F144" s="301"/>
      <c r="G144" s="301"/>
      <c r="H144" s="301"/>
      <c r="I144" s="301"/>
      <c r="J144" s="301"/>
      <c r="K144" s="301"/>
      <c r="L144" s="301"/>
      <c r="M144" s="301"/>
      <c r="N144" s="301"/>
      <c r="O144" s="301"/>
      <c r="P144" s="301"/>
      <c r="Q144" s="301"/>
      <c r="R144" s="301"/>
      <c r="S144" s="301"/>
    </row>
    <row r="145" spans="1:19" x14ac:dyDescent="0.3">
      <c r="A145" s="419"/>
      <c r="B145" s="301"/>
      <c r="C145" s="301"/>
      <c r="D145" s="301"/>
      <c r="E145" s="301"/>
      <c r="F145" s="301"/>
      <c r="G145" s="301"/>
      <c r="H145" s="301"/>
      <c r="I145" s="301"/>
      <c r="J145" s="301"/>
      <c r="K145" s="301"/>
      <c r="L145" s="301"/>
      <c r="M145" s="301"/>
      <c r="N145" s="301"/>
      <c r="O145" s="301"/>
      <c r="P145" s="301"/>
      <c r="Q145" s="301"/>
      <c r="R145" s="301"/>
      <c r="S145" s="301"/>
    </row>
    <row r="146" spans="1:19" x14ac:dyDescent="0.3">
      <c r="A146" s="419"/>
      <c r="B146" s="301"/>
      <c r="C146" s="301"/>
      <c r="D146" s="301"/>
      <c r="E146" s="301"/>
      <c r="F146" s="301"/>
      <c r="G146" s="301"/>
      <c r="H146" s="301"/>
      <c r="I146" s="301"/>
      <c r="J146" s="301"/>
      <c r="K146" s="301"/>
      <c r="L146" s="301"/>
      <c r="M146" s="301"/>
      <c r="N146" s="301"/>
      <c r="O146" s="301"/>
      <c r="P146" s="301"/>
      <c r="Q146" s="301"/>
      <c r="R146" s="301"/>
      <c r="S146" s="301"/>
    </row>
    <row r="147" spans="1:19" x14ac:dyDescent="0.3">
      <c r="A147" s="419"/>
      <c r="B147" s="301"/>
      <c r="C147" s="301"/>
      <c r="D147" s="301"/>
      <c r="E147" s="301"/>
      <c r="F147" s="301"/>
      <c r="G147" s="301"/>
      <c r="H147" s="301"/>
      <c r="I147" s="301"/>
      <c r="J147" s="301"/>
      <c r="K147" s="301"/>
      <c r="L147" s="301"/>
      <c r="M147" s="301"/>
      <c r="N147" s="301"/>
      <c r="O147" s="301"/>
      <c r="P147" s="301"/>
      <c r="Q147" s="301"/>
      <c r="R147" s="301"/>
      <c r="S147" s="301"/>
    </row>
    <row r="148" spans="1:19" x14ac:dyDescent="0.3">
      <c r="A148" s="419"/>
      <c r="B148" s="301"/>
      <c r="C148" s="301"/>
      <c r="D148" s="301"/>
      <c r="E148" s="301"/>
      <c r="F148" s="301"/>
      <c r="G148" s="301"/>
      <c r="H148" s="301"/>
      <c r="I148" s="301"/>
      <c r="J148" s="301"/>
      <c r="K148" s="301"/>
      <c r="L148" s="301"/>
      <c r="M148" s="301"/>
      <c r="N148" s="301"/>
      <c r="O148" s="301"/>
      <c r="P148" s="301"/>
      <c r="Q148" s="301"/>
      <c r="R148" s="301"/>
      <c r="S148" s="301"/>
    </row>
    <row r="149" spans="1:19" x14ac:dyDescent="0.3">
      <c r="A149" s="419"/>
      <c r="B149" s="301"/>
      <c r="C149" s="301"/>
      <c r="D149" s="301"/>
      <c r="E149" s="301"/>
      <c r="F149" s="301"/>
      <c r="G149" s="301"/>
      <c r="H149" s="301"/>
      <c r="I149" s="301"/>
      <c r="J149" s="301"/>
      <c r="K149" s="301"/>
      <c r="L149" s="301"/>
      <c r="M149" s="301"/>
      <c r="N149" s="301"/>
      <c r="O149" s="301"/>
      <c r="P149" s="301"/>
      <c r="Q149" s="301"/>
      <c r="R149" s="301"/>
      <c r="S149" s="301"/>
    </row>
    <row r="150" spans="1:19" x14ac:dyDescent="0.3">
      <c r="A150" s="419"/>
      <c r="B150" s="301"/>
      <c r="C150" s="301"/>
      <c r="D150" s="301"/>
      <c r="E150" s="301"/>
      <c r="F150" s="301"/>
      <c r="G150" s="301"/>
      <c r="H150" s="301"/>
      <c r="I150" s="301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</row>
    <row r="151" spans="1:19" x14ac:dyDescent="0.3">
      <c r="A151" s="419"/>
      <c r="B151" s="301"/>
      <c r="C151" s="301"/>
      <c r="D151" s="301"/>
      <c r="E151" s="301"/>
      <c r="F151" s="301"/>
      <c r="G151" s="301"/>
      <c r="H151" s="301"/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</row>
    <row r="152" spans="1:19" x14ac:dyDescent="0.3">
      <c r="A152" s="419"/>
      <c r="B152" s="301"/>
      <c r="C152" s="301"/>
      <c r="D152" s="301"/>
      <c r="E152" s="301"/>
      <c r="F152" s="301"/>
      <c r="G152" s="301"/>
      <c r="H152" s="301"/>
      <c r="I152" s="301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</row>
    <row r="153" spans="1:19" x14ac:dyDescent="0.3">
      <c r="A153" s="419"/>
      <c r="B153" s="301"/>
      <c r="C153" s="301"/>
      <c r="D153" s="301"/>
      <c r="E153" s="301"/>
      <c r="F153" s="301"/>
      <c r="G153" s="301"/>
      <c r="H153" s="301"/>
      <c r="I153" s="301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</row>
    <row r="154" spans="1:19" x14ac:dyDescent="0.3">
      <c r="A154" s="419"/>
      <c r="B154" s="301"/>
      <c r="C154" s="301"/>
      <c r="D154" s="301"/>
      <c r="E154" s="301"/>
      <c r="F154" s="301"/>
      <c r="G154" s="301"/>
      <c r="H154" s="301"/>
      <c r="I154" s="301"/>
      <c r="J154" s="301"/>
      <c r="K154" s="301"/>
      <c r="L154" s="301"/>
      <c r="M154" s="301"/>
      <c r="N154" s="301"/>
      <c r="O154" s="301"/>
      <c r="P154" s="301"/>
      <c r="Q154" s="301"/>
      <c r="R154" s="301"/>
      <c r="S154" s="301"/>
    </row>
    <row r="155" spans="1:19" x14ac:dyDescent="0.3">
      <c r="A155" s="419"/>
      <c r="B155" s="301"/>
      <c r="C155" s="301"/>
      <c r="D155" s="301"/>
      <c r="E155" s="301"/>
      <c r="F155" s="301"/>
      <c r="G155" s="301"/>
      <c r="H155" s="301"/>
      <c r="I155" s="301"/>
      <c r="J155" s="301"/>
      <c r="K155" s="301"/>
      <c r="L155" s="301"/>
      <c r="M155" s="301"/>
      <c r="N155" s="301"/>
      <c r="O155" s="301"/>
      <c r="P155" s="301"/>
      <c r="Q155" s="301"/>
      <c r="R155" s="301"/>
      <c r="S155" s="301"/>
    </row>
    <row r="156" spans="1:19" x14ac:dyDescent="0.3">
      <c r="A156" s="419"/>
      <c r="B156" s="301"/>
      <c r="C156" s="301"/>
      <c r="D156" s="301"/>
      <c r="E156" s="301"/>
      <c r="F156" s="301"/>
      <c r="G156" s="301"/>
      <c r="H156" s="301"/>
      <c r="I156" s="301"/>
      <c r="J156" s="301"/>
      <c r="K156" s="301"/>
      <c r="L156" s="301"/>
      <c r="M156" s="301"/>
      <c r="N156" s="301"/>
      <c r="O156" s="301"/>
      <c r="P156" s="301"/>
      <c r="Q156" s="301"/>
      <c r="R156" s="301"/>
      <c r="S156" s="301"/>
    </row>
    <row r="157" spans="1:19" x14ac:dyDescent="0.3">
      <c r="A157" s="419"/>
      <c r="B157" s="301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</row>
    <row r="158" spans="1:19" x14ac:dyDescent="0.3">
      <c r="A158" s="419"/>
      <c r="B158" s="301"/>
      <c r="C158" s="301"/>
      <c r="D158" s="301"/>
      <c r="E158" s="301"/>
      <c r="F158" s="301"/>
      <c r="G158" s="301"/>
      <c r="H158" s="301"/>
      <c r="I158" s="301"/>
      <c r="J158" s="301"/>
      <c r="K158" s="301"/>
      <c r="L158" s="301"/>
      <c r="M158" s="301"/>
      <c r="N158" s="301"/>
      <c r="O158" s="301"/>
      <c r="P158" s="301"/>
      <c r="Q158" s="301"/>
      <c r="R158" s="301"/>
      <c r="S158" s="301"/>
    </row>
    <row r="159" spans="1:19" x14ac:dyDescent="0.3">
      <c r="A159" s="419"/>
      <c r="B159" s="301"/>
      <c r="C159" s="301"/>
      <c r="D159" s="301"/>
      <c r="E159" s="301"/>
      <c r="F159" s="301"/>
      <c r="G159" s="301"/>
      <c r="H159" s="301"/>
      <c r="I159" s="301"/>
      <c r="J159" s="301"/>
      <c r="K159" s="301"/>
      <c r="L159" s="301"/>
      <c r="M159" s="301"/>
      <c r="N159" s="301"/>
      <c r="O159" s="301"/>
      <c r="P159" s="301"/>
      <c r="Q159" s="301"/>
      <c r="R159" s="301"/>
      <c r="S159" s="301"/>
    </row>
    <row r="160" spans="1:19" x14ac:dyDescent="0.3">
      <c r="A160" s="419"/>
      <c r="B160" s="301"/>
      <c r="C160" s="301"/>
      <c r="D160" s="301"/>
      <c r="E160" s="301"/>
      <c r="F160" s="301"/>
      <c r="G160" s="301"/>
      <c r="H160" s="301"/>
      <c r="I160" s="301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</row>
    <row r="161" spans="1:19" x14ac:dyDescent="0.3">
      <c r="A161" s="419"/>
      <c r="B161" s="301"/>
      <c r="C161" s="301"/>
      <c r="D161" s="301"/>
      <c r="E161" s="301"/>
      <c r="F161" s="301"/>
      <c r="G161" s="301"/>
      <c r="H161" s="301"/>
      <c r="I161" s="301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</row>
    <row r="162" spans="1:19" x14ac:dyDescent="0.3">
      <c r="A162" s="419"/>
      <c r="B162" s="301"/>
      <c r="C162" s="301"/>
      <c r="D162" s="301"/>
      <c r="E162" s="301"/>
      <c r="F162" s="301"/>
      <c r="G162" s="301"/>
      <c r="H162" s="301"/>
      <c r="I162" s="301"/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</row>
    <row r="163" spans="1:19" x14ac:dyDescent="0.3">
      <c r="A163" s="419"/>
      <c r="B163" s="301"/>
      <c r="C163" s="301"/>
      <c r="D163" s="301"/>
      <c r="E163" s="301"/>
      <c r="F163" s="301"/>
      <c r="G163" s="301"/>
      <c r="H163" s="301"/>
      <c r="I163" s="301"/>
      <c r="J163" s="301"/>
      <c r="K163" s="301"/>
      <c r="L163" s="301"/>
      <c r="M163" s="301"/>
      <c r="N163" s="301"/>
      <c r="O163" s="301"/>
      <c r="P163" s="301"/>
      <c r="Q163" s="301"/>
      <c r="R163" s="301"/>
      <c r="S163" s="301"/>
    </row>
    <row r="164" spans="1:19" x14ac:dyDescent="0.3">
      <c r="A164" s="419"/>
      <c r="B164" s="301"/>
      <c r="C164" s="301"/>
      <c r="D164" s="301"/>
      <c r="E164" s="301"/>
      <c r="F164" s="301"/>
      <c r="G164" s="301"/>
      <c r="H164" s="301"/>
      <c r="I164" s="301"/>
      <c r="J164" s="301"/>
      <c r="K164" s="301"/>
      <c r="L164" s="301"/>
      <c r="M164" s="301"/>
      <c r="N164" s="301"/>
      <c r="O164" s="301"/>
      <c r="P164" s="301"/>
      <c r="Q164" s="301"/>
      <c r="R164" s="301"/>
      <c r="S164" s="301"/>
    </row>
    <row r="165" spans="1:19" x14ac:dyDescent="0.3">
      <c r="A165" s="419"/>
      <c r="B165" s="301"/>
      <c r="C165" s="301"/>
      <c r="D165" s="301"/>
      <c r="E165" s="301"/>
      <c r="F165" s="301"/>
      <c r="G165" s="301"/>
      <c r="H165" s="301"/>
      <c r="I165" s="301"/>
      <c r="J165" s="301"/>
      <c r="K165" s="301"/>
      <c r="L165" s="301"/>
      <c r="M165" s="301"/>
      <c r="N165" s="301"/>
      <c r="O165" s="301"/>
      <c r="P165" s="301"/>
      <c r="Q165" s="301"/>
      <c r="R165" s="301"/>
      <c r="S165" s="301"/>
    </row>
    <row r="166" spans="1:19" x14ac:dyDescent="0.3">
      <c r="A166" s="419"/>
      <c r="B166" s="301"/>
      <c r="C166" s="301"/>
      <c r="D166" s="301"/>
      <c r="E166" s="301"/>
      <c r="F166" s="301"/>
      <c r="G166" s="301"/>
      <c r="H166" s="301"/>
      <c r="I166" s="301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</row>
    <row r="167" spans="1:19" x14ac:dyDescent="0.3">
      <c r="A167" s="419"/>
      <c r="B167" s="301"/>
      <c r="C167" s="301"/>
      <c r="D167" s="301"/>
      <c r="E167" s="301"/>
      <c r="F167" s="301"/>
      <c r="G167" s="301"/>
      <c r="H167" s="301"/>
      <c r="I167" s="301"/>
      <c r="J167" s="301"/>
      <c r="K167" s="301"/>
      <c r="L167" s="301"/>
      <c r="M167" s="301"/>
      <c r="N167" s="301"/>
      <c r="O167" s="301"/>
      <c r="P167" s="301"/>
      <c r="Q167" s="301"/>
      <c r="R167" s="301"/>
      <c r="S167" s="301"/>
    </row>
    <row r="168" spans="1:19" x14ac:dyDescent="0.3">
      <c r="A168" s="419"/>
      <c r="B168" s="301"/>
      <c r="C168" s="301"/>
      <c r="D168" s="301"/>
      <c r="E168" s="301"/>
      <c r="F168" s="301"/>
      <c r="G168" s="301"/>
      <c r="H168" s="301"/>
      <c r="I168" s="301"/>
      <c r="J168" s="301"/>
      <c r="K168" s="301"/>
      <c r="L168" s="301"/>
      <c r="M168" s="301"/>
      <c r="N168" s="301"/>
      <c r="O168" s="301"/>
      <c r="P168" s="301"/>
      <c r="Q168" s="301"/>
      <c r="R168" s="301"/>
      <c r="S168" s="301"/>
    </row>
    <row r="169" spans="1:19" x14ac:dyDescent="0.3">
      <c r="A169" s="419"/>
      <c r="B169" s="301"/>
      <c r="C169" s="301"/>
      <c r="D169" s="301"/>
      <c r="E169" s="301"/>
      <c r="F169" s="301"/>
      <c r="G169" s="301"/>
      <c r="H169" s="301"/>
      <c r="I169" s="301"/>
      <c r="J169" s="301"/>
      <c r="K169" s="301"/>
      <c r="L169" s="301"/>
      <c r="M169" s="301"/>
      <c r="N169" s="301"/>
      <c r="O169" s="301"/>
      <c r="P169" s="301"/>
      <c r="Q169" s="301"/>
      <c r="R169" s="301"/>
      <c r="S169" s="301"/>
    </row>
    <row r="170" spans="1:19" x14ac:dyDescent="0.3">
      <c r="A170" s="419"/>
      <c r="B170" s="301"/>
      <c r="C170" s="301"/>
      <c r="D170" s="301"/>
      <c r="E170" s="301"/>
      <c r="F170" s="301"/>
      <c r="G170" s="301"/>
      <c r="H170" s="301"/>
      <c r="I170" s="301"/>
      <c r="J170" s="301"/>
      <c r="K170" s="301"/>
      <c r="L170" s="301"/>
      <c r="M170" s="301"/>
      <c r="N170" s="301"/>
      <c r="O170" s="301"/>
      <c r="P170" s="301"/>
      <c r="Q170" s="301"/>
      <c r="R170" s="301"/>
      <c r="S170" s="301"/>
    </row>
    <row r="171" spans="1:19" x14ac:dyDescent="0.3">
      <c r="A171" s="419"/>
      <c r="B171" s="301"/>
      <c r="C171" s="301"/>
      <c r="D171" s="301"/>
      <c r="E171" s="301"/>
      <c r="F171" s="301"/>
      <c r="G171" s="301"/>
      <c r="H171" s="301"/>
      <c r="I171" s="301"/>
      <c r="J171" s="301"/>
      <c r="K171" s="301"/>
      <c r="L171" s="301"/>
      <c r="M171" s="301"/>
      <c r="N171" s="301"/>
      <c r="O171" s="301"/>
      <c r="P171" s="301"/>
      <c r="Q171" s="301"/>
      <c r="R171" s="301"/>
      <c r="S171" s="301"/>
    </row>
    <row r="172" spans="1:19" x14ac:dyDescent="0.3">
      <c r="A172" s="419"/>
      <c r="B172" s="301"/>
      <c r="C172" s="301"/>
      <c r="D172" s="301"/>
      <c r="E172" s="301"/>
      <c r="F172" s="301"/>
      <c r="G172" s="301"/>
      <c r="H172" s="301"/>
      <c r="I172" s="301"/>
      <c r="J172" s="301"/>
      <c r="K172" s="301"/>
      <c r="L172" s="301"/>
      <c r="M172" s="301"/>
      <c r="N172" s="301"/>
      <c r="O172" s="301"/>
      <c r="P172" s="301"/>
      <c r="Q172" s="301"/>
      <c r="R172" s="301"/>
      <c r="S172" s="301"/>
    </row>
    <row r="173" spans="1:19" x14ac:dyDescent="0.3">
      <c r="A173" s="419"/>
      <c r="B173" s="301"/>
      <c r="C173" s="301"/>
      <c r="D173" s="301"/>
      <c r="E173" s="301"/>
      <c r="F173" s="301"/>
      <c r="G173" s="301"/>
      <c r="H173" s="301"/>
      <c r="I173" s="301"/>
      <c r="J173" s="301"/>
      <c r="K173" s="301"/>
      <c r="L173" s="301"/>
      <c r="M173" s="301"/>
      <c r="N173" s="301"/>
      <c r="O173" s="301"/>
      <c r="P173" s="301"/>
      <c r="Q173" s="301"/>
      <c r="R173" s="301"/>
      <c r="S173" s="301"/>
    </row>
    <row r="174" spans="1:19" x14ac:dyDescent="0.3">
      <c r="A174" s="419"/>
      <c r="B174" s="301"/>
      <c r="C174" s="301"/>
      <c r="D174" s="301"/>
      <c r="E174" s="301"/>
      <c r="F174" s="301"/>
      <c r="G174" s="301"/>
      <c r="H174" s="301"/>
      <c r="I174" s="301"/>
      <c r="J174" s="301"/>
      <c r="K174" s="301"/>
      <c r="L174" s="301"/>
      <c r="M174" s="301"/>
      <c r="N174" s="301"/>
      <c r="O174" s="301"/>
      <c r="P174" s="301"/>
      <c r="Q174" s="301"/>
      <c r="R174" s="301"/>
      <c r="S174" s="301"/>
    </row>
    <row r="175" spans="1:19" x14ac:dyDescent="0.3">
      <c r="A175" s="419"/>
      <c r="B175" s="301"/>
      <c r="C175" s="301"/>
      <c r="D175" s="301"/>
      <c r="E175" s="301"/>
      <c r="F175" s="301"/>
      <c r="G175" s="301"/>
      <c r="H175" s="301"/>
      <c r="I175" s="301"/>
      <c r="J175" s="301"/>
      <c r="K175" s="301"/>
      <c r="L175" s="301"/>
      <c r="M175" s="301"/>
      <c r="N175" s="301"/>
      <c r="O175" s="301"/>
      <c r="P175" s="301"/>
      <c r="Q175" s="301"/>
      <c r="R175" s="301"/>
      <c r="S175" s="301"/>
    </row>
    <row r="176" spans="1:19" x14ac:dyDescent="0.3">
      <c r="A176" s="419"/>
      <c r="B176" s="301"/>
      <c r="C176" s="301"/>
      <c r="D176" s="301"/>
      <c r="E176" s="301"/>
      <c r="F176" s="301"/>
      <c r="G176" s="301"/>
      <c r="H176" s="301"/>
      <c r="I176" s="301"/>
      <c r="J176" s="301"/>
      <c r="K176" s="301"/>
      <c r="L176" s="301"/>
      <c r="M176" s="301"/>
      <c r="N176" s="301"/>
      <c r="O176" s="301"/>
      <c r="P176" s="301"/>
      <c r="Q176" s="301"/>
      <c r="R176" s="301"/>
      <c r="S176" s="301"/>
    </row>
    <row r="177" spans="1:19" x14ac:dyDescent="0.3">
      <c r="A177" s="419"/>
      <c r="B177" s="301"/>
      <c r="C177" s="301"/>
      <c r="D177" s="301"/>
      <c r="E177" s="301"/>
      <c r="F177" s="301"/>
      <c r="G177" s="301"/>
      <c r="H177" s="301"/>
      <c r="I177" s="301"/>
      <c r="J177" s="301"/>
      <c r="K177" s="301"/>
      <c r="L177" s="301"/>
      <c r="M177" s="301"/>
      <c r="N177" s="301"/>
      <c r="O177" s="301"/>
      <c r="P177" s="301"/>
      <c r="Q177" s="301"/>
      <c r="R177" s="301"/>
      <c r="S177" s="301"/>
    </row>
    <row r="178" spans="1:19" x14ac:dyDescent="0.3">
      <c r="A178" s="419"/>
      <c r="B178" s="301"/>
      <c r="C178" s="301"/>
      <c r="D178" s="301"/>
      <c r="E178" s="301"/>
      <c r="F178" s="301"/>
      <c r="G178" s="301"/>
      <c r="H178" s="301"/>
      <c r="I178" s="301"/>
      <c r="J178" s="301"/>
      <c r="K178" s="301"/>
      <c r="L178" s="301"/>
      <c r="M178" s="301"/>
      <c r="N178" s="301"/>
      <c r="O178" s="301"/>
      <c r="P178" s="301"/>
      <c r="Q178" s="301"/>
      <c r="R178" s="301"/>
      <c r="S178" s="301"/>
    </row>
    <row r="179" spans="1:19" x14ac:dyDescent="0.3">
      <c r="A179" s="419"/>
      <c r="B179" s="301"/>
      <c r="C179" s="301"/>
      <c r="D179" s="301"/>
      <c r="E179" s="301"/>
      <c r="F179" s="301"/>
      <c r="G179" s="301"/>
      <c r="H179" s="301"/>
      <c r="I179" s="301"/>
      <c r="J179" s="301"/>
      <c r="K179" s="301"/>
      <c r="L179" s="301"/>
      <c r="M179" s="301"/>
      <c r="N179" s="301"/>
      <c r="O179" s="301"/>
      <c r="P179" s="301"/>
      <c r="Q179" s="301"/>
      <c r="R179" s="301"/>
      <c r="S179" s="301"/>
    </row>
    <row r="180" spans="1:19" x14ac:dyDescent="0.3">
      <c r="A180" s="419"/>
      <c r="B180" s="301"/>
      <c r="C180" s="301"/>
      <c r="D180" s="301"/>
      <c r="E180" s="301"/>
      <c r="F180" s="301"/>
      <c r="G180" s="301"/>
      <c r="H180" s="301"/>
      <c r="I180" s="301"/>
      <c r="J180" s="301"/>
      <c r="K180" s="301"/>
      <c r="L180" s="301"/>
      <c r="M180" s="301"/>
      <c r="N180" s="301"/>
      <c r="O180" s="301"/>
      <c r="P180" s="301"/>
      <c r="Q180" s="301"/>
      <c r="R180" s="301"/>
      <c r="S180" s="301"/>
    </row>
    <row r="181" spans="1:19" x14ac:dyDescent="0.3">
      <c r="A181" s="419"/>
      <c r="B181" s="301"/>
      <c r="C181" s="301"/>
      <c r="D181" s="301"/>
      <c r="E181" s="301"/>
      <c r="F181" s="301"/>
      <c r="G181" s="301"/>
      <c r="H181" s="301"/>
      <c r="I181" s="301"/>
      <c r="J181" s="301"/>
      <c r="K181" s="301"/>
      <c r="L181" s="301"/>
      <c r="M181" s="301"/>
      <c r="N181" s="301"/>
      <c r="O181" s="301"/>
      <c r="P181" s="301"/>
      <c r="Q181" s="301"/>
      <c r="R181" s="301"/>
      <c r="S181" s="301"/>
    </row>
    <row r="182" spans="1:19" x14ac:dyDescent="0.3">
      <c r="A182" s="419"/>
      <c r="B182" s="301"/>
      <c r="C182" s="301"/>
      <c r="D182" s="301"/>
      <c r="E182" s="301"/>
      <c r="F182" s="301"/>
      <c r="G182" s="301"/>
      <c r="H182" s="301"/>
      <c r="I182" s="301"/>
      <c r="J182" s="301"/>
      <c r="K182" s="301"/>
      <c r="L182" s="301"/>
      <c r="M182" s="301"/>
      <c r="N182" s="301"/>
      <c r="O182" s="301"/>
      <c r="P182" s="301"/>
      <c r="Q182" s="301"/>
      <c r="R182" s="301"/>
      <c r="S182" s="301"/>
    </row>
    <row r="183" spans="1:19" x14ac:dyDescent="0.3">
      <c r="A183" s="419"/>
      <c r="B183" s="301"/>
      <c r="C183" s="301"/>
      <c r="D183" s="301"/>
      <c r="E183" s="301"/>
      <c r="F183" s="301"/>
      <c r="G183" s="301"/>
      <c r="H183" s="301"/>
      <c r="I183" s="301"/>
      <c r="J183" s="301"/>
      <c r="K183" s="301"/>
      <c r="L183" s="301"/>
      <c r="M183" s="301"/>
      <c r="N183" s="301"/>
      <c r="O183" s="301"/>
      <c r="P183" s="301"/>
      <c r="Q183" s="301"/>
      <c r="R183" s="301"/>
      <c r="S183" s="301"/>
    </row>
    <row r="184" spans="1:19" x14ac:dyDescent="0.3">
      <c r="A184" s="419"/>
      <c r="B184" s="301"/>
      <c r="C184" s="301"/>
      <c r="D184" s="301"/>
      <c r="E184" s="301"/>
      <c r="F184" s="301"/>
      <c r="G184" s="301"/>
      <c r="H184" s="301"/>
      <c r="I184" s="301"/>
      <c r="J184" s="301"/>
      <c r="K184" s="301"/>
      <c r="L184" s="301"/>
      <c r="M184" s="301"/>
      <c r="N184" s="301"/>
      <c r="O184" s="301"/>
      <c r="P184" s="301"/>
      <c r="Q184" s="301"/>
      <c r="R184" s="301"/>
      <c r="S184" s="301"/>
    </row>
    <row r="185" spans="1:19" x14ac:dyDescent="0.3">
      <c r="A185" s="419"/>
      <c r="B185" s="301"/>
      <c r="C185" s="301"/>
      <c r="D185" s="301"/>
      <c r="E185" s="301"/>
      <c r="F185" s="301"/>
      <c r="G185" s="301"/>
      <c r="H185" s="301"/>
      <c r="I185" s="301"/>
      <c r="J185" s="301"/>
      <c r="K185" s="301"/>
      <c r="L185" s="301"/>
      <c r="M185" s="301"/>
      <c r="N185" s="301"/>
      <c r="O185" s="301"/>
      <c r="P185" s="301"/>
      <c r="Q185" s="301"/>
      <c r="R185" s="301"/>
      <c r="S185" s="301"/>
    </row>
    <row r="186" spans="1:19" x14ac:dyDescent="0.3">
      <c r="A186" s="419"/>
      <c r="B186" s="301"/>
      <c r="C186" s="301"/>
      <c r="D186" s="301"/>
      <c r="E186" s="301"/>
      <c r="F186" s="301"/>
      <c r="G186" s="301"/>
      <c r="H186" s="301"/>
      <c r="I186" s="301"/>
      <c r="J186" s="301"/>
      <c r="K186" s="301"/>
      <c r="L186" s="301"/>
      <c r="M186" s="301"/>
      <c r="N186" s="301"/>
      <c r="O186" s="301"/>
      <c r="P186" s="301"/>
      <c r="Q186" s="301"/>
      <c r="R186" s="301"/>
      <c r="S186" s="301"/>
    </row>
    <row r="187" spans="1:19" x14ac:dyDescent="0.3">
      <c r="A187" s="419"/>
      <c r="B187" s="301"/>
      <c r="C187" s="301"/>
      <c r="D187" s="301"/>
      <c r="E187" s="301"/>
      <c r="F187" s="301"/>
      <c r="G187" s="301"/>
      <c r="H187" s="301"/>
      <c r="I187" s="301"/>
      <c r="J187" s="301"/>
      <c r="K187" s="301"/>
      <c r="L187" s="301"/>
      <c r="M187" s="301"/>
      <c r="N187" s="301"/>
      <c r="O187" s="301"/>
      <c r="P187" s="301"/>
      <c r="Q187" s="301"/>
      <c r="R187" s="301"/>
      <c r="S187" s="301"/>
    </row>
    <row r="188" spans="1:19" x14ac:dyDescent="0.3">
      <c r="A188" s="419"/>
      <c r="B188" s="301"/>
      <c r="C188" s="301"/>
      <c r="D188" s="301"/>
      <c r="E188" s="301"/>
      <c r="F188" s="301"/>
      <c r="G188" s="301"/>
      <c r="H188" s="301"/>
      <c r="I188" s="301"/>
      <c r="J188" s="301"/>
      <c r="K188" s="301"/>
      <c r="L188" s="301"/>
      <c r="M188" s="301"/>
      <c r="N188" s="301"/>
      <c r="O188" s="301"/>
      <c r="P188" s="301"/>
      <c r="Q188" s="301"/>
      <c r="R188" s="301"/>
      <c r="S188" s="301"/>
    </row>
    <row r="189" spans="1:19" x14ac:dyDescent="0.3">
      <c r="A189" s="419"/>
      <c r="B189" s="301"/>
      <c r="C189" s="301"/>
      <c r="D189" s="301"/>
      <c r="E189" s="301"/>
      <c r="F189" s="301"/>
      <c r="G189" s="301"/>
      <c r="H189" s="301"/>
      <c r="I189" s="301"/>
      <c r="J189" s="301"/>
      <c r="K189" s="301"/>
      <c r="L189" s="301"/>
      <c r="M189" s="301"/>
      <c r="N189" s="301"/>
      <c r="O189" s="301"/>
      <c r="P189" s="301"/>
      <c r="Q189" s="301"/>
      <c r="R189" s="301"/>
      <c r="S189" s="301"/>
    </row>
    <row r="190" spans="1:19" x14ac:dyDescent="0.3">
      <c r="A190" s="419"/>
      <c r="B190" s="301"/>
      <c r="C190" s="301"/>
      <c r="D190" s="301"/>
      <c r="E190" s="301"/>
      <c r="F190" s="301"/>
      <c r="G190" s="301"/>
      <c r="H190" s="301"/>
      <c r="I190" s="301"/>
      <c r="J190" s="301"/>
      <c r="K190" s="301"/>
      <c r="L190" s="301"/>
      <c r="M190" s="301"/>
      <c r="N190" s="301"/>
      <c r="O190" s="301"/>
      <c r="P190" s="301"/>
      <c r="Q190" s="301"/>
      <c r="R190" s="301"/>
      <c r="S190" s="301"/>
    </row>
    <row r="191" spans="1:19" x14ac:dyDescent="0.3">
      <c r="A191" s="419"/>
      <c r="B191" s="301"/>
      <c r="C191" s="301"/>
      <c r="D191" s="301"/>
      <c r="E191" s="301"/>
      <c r="F191" s="301"/>
      <c r="G191" s="301"/>
      <c r="H191" s="301"/>
      <c r="I191" s="301"/>
      <c r="J191" s="301"/>
      <c r="K191" s="301"/>
      <c r="L191" s="301"/>
      <c r="M191" s="301"/>
      <c r="N191" s="301"/>
      <c r="O191" s="301"/>
      <c r="P191" s="301"/>
      <c r="Q191" s="301"/>
      <c r="R191" s="301"/>
      <c r="S191" s="301"/>
    </row>
    <row r="192" spans="1:19" x14ac:dyDescent="0.3">
      <c r="A192" s="419"/>
      <c r="B192" s="301"/>
      <c r="C192" s="301"/>
      <c r="D192" s="301"/>
      <c r="E192" s="301"/>
      <c r="F192" s="301"/>
      <c r="G192" s="301"/>
      <c r="H192" s="301"/>
      <c r="I192" s="301"/>
      <c r="J192" s="301"/>
      <c r="K192" s="301"/>
      <c r="L192" s="301"/>
      <c r="M192" s="301"/>
      <c r="N192" s="301"/>
      <c r="O192" s="301"/>
      <c r="P192" s="301"/>
      <c r="Q192" s="301"/>
      <c r="R192" s="301"/>
      <c r="S192" s="301"/>
    </row>
    <row r="193" spans="1:19" x14ac:dyDescent="0.3">
      <c r="A193" s="419"/>
      <c r="B193" s="301"/>
      <c r="C193" s="301"/>
      <c r="D193" s="301"/>
      <c r="E193" s="301"/>
      <c r="F193" s="301"/>
      <c r="G193" s="301"/>
      <c r="H193" s="301"/>
      <c r="I193" s="301"/>
      <c r="J193" s="301"/>
      <c r="K193" s="301"/>
      <c r="L193" s="301"/>
      <c r="M193" s="301"/>
      <c r="N193" s="301"/>
      <c r="O193" s="301"/>
      <c r="P193" s="301"/>
      <c r="Q193" s="301"/>
      <c r="R193" s="301"/>
      <c r="S193" s="301"/>
    </row>
    <row r="194" spans="1:19" x14ac:dyDescent="0.3">
      <c r="A194" s="419"/>
      <c r="B194" s="301"/>
      <c r="C194" s="301"/>
      <c r="D194" s="301"/>
      <c r="E194" s="301"/>
      <c r="F194" s="301"/>
      <c r="G194" s="301"/>
      <c r="H194" s="301"/>
      <c r="I194" s="301"/>
      <c r="J194" s="301"/>
      <c r="K194" s="301"/>
      <c r="L194" s="301"/>
      <c r="M194" s="301"/>
      <c r="N194" s="301"/>
      <c r="O194" s="301"/>
      <c r="P194" s="301"/>
      <c r="Q194" s="301"/>
      <c r="R194" s="301"/>
      <c r="S194" s="301"/>
    </row>
    <row r="195" spans="1:19" x14ac:dyDescent="0.3">
      <c r="A195" s="419"/>
      <c r="B195" s="301"/>
      <c r="C195" s="301"/>
      <c r="D195" s="301"/>
      <c r="E195" s="301"/>
      <c r="F195" s="301"/>
      <c r="G195" s="301"/>
      <c r="H195" s="301"/>
      <c r="I195" s="301"/>
      <c r="J195" s="301"/>
      <c r="K195" s="301"/>
      <c r="L195" s="301"/>
      <c r="M195" s="301"/>
      <c r="N195" s="301"/>
      <c r="O195" s="301"/>
      <c r="P195" s="301"/>
      <c r="Q195" s="301"/>
      <c r="R195" s="301"/>
      <c r="S195" s="301"/>
    </row>
    <row r="196" spans="1:19" x14ac:dyDescent="0.3">
      <c r="A196" s="419"/>
      <c r="B196" s="301"/>
      <c r="C196" s="301"/>
      <c r="D196" s="301"/>
      <c r="E196" s="301"/>
      <c r="F196" s="301"/>
      <c r="G196" s="301"/>
      <c r="H196" s="301"/>
      <c r="I196" s="301"/>
      <c r="J196" s="301"/>
      <c r="K196" s="301"/>
      <c r="L196" s="301"/>
      <c r="M196" s="301"/>
      <c r="N196" s="301"/>
      <c r="O196" s="301"/>
      <c r="P196" s="301"/>
      <c r="Q196" s="301"/>
      <c r="R196" s="301"/>
      <c r="S196" s="301"/>
    </row>
    <row r="197" spans="1:19" x14ac:dyDescent="0.3">
      <c r="A197" s="419"/>
      <c r="B197" s="301"/>
      <c r="C197" s="301"/>
      <c r="D197" s="301"/>
      <c r="E197" s="301"/>
      <c r="F197" s="301"/>
      <c r="G197" s="301"/>
      <c r="H197" s="301"/>
      <c r="I197" s="301"/>
      <c r="J197" s="301"/>
      <c r="K197" s="301"/>
      <c r="L197" s="301"/>
      <c r="M197" s="301"/>
      <c r="N197" s="301"/>
      <c r="O197" s="301"/>
      <c r="P197" s="301"/>
      <c r="Q197" s="301"/>
      <c r="R197" s="301"/>
      <c r="S197" s="301"/>
    </row>
    <row r="198" spans="1:19" x14ac:dyDescent="0.3">
      <c r="A198" s="419"/>
      <c r="B198" s="301"/>
      <c r="C198" s="301"/>
      <c r="D198" s="301"/>
      <c r="E198" s="301"/>
      <c r="F198" s="301"/>
      <c r="G198" s="301"/>
      <c r="H198" s="301"/>
      <c r="I198" s="301"/>
      <c r="J198" s="301"/>
      <c r="K198" s="301"/>
      <c r="L198" s="301"/>
      <c r="M198" s="301"/>
      <c r="N198" s="301"/>
      <c r="O198" s="301"/>
      <c r="P198" s="301"/>
      <c r="Q198" s="301"/>
      <c r="R198" s="301"/>
      <c r="S198" s="301"/>
    </row>
    <row r="199" spans="1:19" x14ac:dyDescent="0.3">
      <c r="A199" s="419"/>
      <c r="B199" s="301"/>
      <c r="C199" s="301"/>
      <c r="D199" s="301"/>
      <c r="E199" s="301"/>
      <c r="F199" s="301"/>
      <c r="G199" s="301"/>
      <c r="H199" s="301"/>
      <c r="I199" s="301"/>
      <c r="J199" s="301"/>
      <c r="K199" s="301"/>
      <c r="L199" s="301"/>
      <c r="M199" s="301"/>
      <c r="N199" s="301"/>
      <c r="O199" s="301"/>
      <c r="P199" s="301"/>
      <c r="Q199" s="301"/>
      <c r="R199" s="301"/>
      <c r="S199" s="301"/>
    </row>
    <row r="200" spans="1:19" x14ac:dyDescent="0.3">
      <c r="A200" s="419"/>
      <c r="B200" s="301"/>
      <c r="C200" s="301"/>
      <c r="D200" s="301"/>
      <c r="E200" s="301"/>
      <c r="F200" s="301"/>
      <c r="G200" s="301"/>
      <c r="H200" s="301"/>
      <c r="I200" s="301"/>
      <c r="J200" s="301"/>
      <c r="K200" s="301"/>
      <c r="L200" s="301"/>
      <c r="M200" s="301"/>
      <c r="N200" s="301"/>
      <c r="O200" s="301"/>
      <c r="P200" s="301"/>
      <c r="Q200" s="301"/>
      <c r="R200" s="301"/>
      <c r="S200" s="301"/>
    </row>
    <row r="201" spans="1:19" x14ac:dyDescent="0.3">
      <c r="A201" s="419"/>
      <c r="B201" s="301"/>
      <c r="C201" s="301"/>
      <c r="D201" s="301"/>
      <c r="E201" s="301"/>
      <c r="F201" s="301"/>
      <c r="G201" s="301"/>
      <c r="H201" s="301"/>
      <c r="I201" s="301"/>
      <c r="J201" s="301"/>
      <c r="K201" s="301"/>
      <c r="L201" s="301"/>
      <c r="M201" s="301"/>
      <c r="N201" s="301"/>
      <c r="O201" s="301"/>
      <c r="P201" s="301"/>
      <c r="Q201" s="301"/>
      <c r="R201" s="301"/>
      <c r="S201" s="301"/>
    </row>
    <row r="202" spans="1:19" x14ac:dyDescent="0.3">
      <c r="A202" s="419"/>
      <c r="B202" s="301"/>
      <c r="C202" s="301"/>
      <c r="D202" s="301"/>
      <c r="E202" s="301"/>
      <c r="F202" s="301"/>
      <c r="G202" s="301"/>
      <c r="H202" s="301"/>
      <c r="I202" s="301"/>
      <c r="J202" s="301"/>
      <c r="K202" s="301"/>
      <c r="L202" s="301"/>
      <c r="M202" s="301"/>
      <c r="N202" s="301"/>
      <c r="O202" s="301"/>
      <c r="P202" s="301"/>
      <c r="Q202" s="301"/>
      <c r="R202" s="301"/>
      <c r="S202" s="301"/>
    </row>
    <row r="203" spans="1:19" x14ac:dyDescent="0.3">
      <c r="A203" s="419"/>
      <c r="B203" s="301"/>
      <c r="C203" s="301"/>
      <c r="D203" s="301"/>
      <c r="E203" s="301"/>
      <c r="F203" s="301"/>
      <c r="G203" s="301"/>
      <c r="H203" s="301"/>
      <c r="I203" s="301"/>
      <c r="J203" s="301"/>
      <c r="K203" s="301"/>
      <c r="L203" s="301"/>
      <c r="M203" s="301"/>
      <c r="N203" s="301"/>
      <c r="O203" s="301"/>
      <c r="P203" s="301"/>
      <c r="Q203" s="301"/>
      <c r="R203" s="301"/>
      <c r="S203" s="301"/>
    </row>
    <row r="204" spans="1:19" x14ac:dyDescent="0.3">
      <c r="A204" s="419"/>
      <c r="B204" s="301"/>
      <c r="C204" s="301"/>
      <c r="D204" s="301"/>
      <c r="E204" s="301"/>
      <c r="F204" s="301"/>
      <c r="G204" s="301"/>
      <c r="H204" s="301"/>
      <c r="I204" s="301"/>
      <c r="J204" s="301"/>
      <c r="K204" s="301"/>
      <c r="L204" s="301"/>
      <c r="M204" s="301"/>
      <c r="N204" s="301"/>
      <c r="O204" s="301"/>
      <c r="P204" s="301"/>
      <c r="Q204" s="301"/>
      <c r="R204" s="301"/>
      <c r="S204" s="301"/>
    </row>
    <row r="205" spans="1:19" x14ac:dyDescent="0.3">
      <c r="A205" s="419"/>
      <c r="B205" s="301"/>
      <c r="C205" s="301"/>
      <c r="D205" s="301"/>
      <c r="E205" s="301"/>
      <c r="F205" s="301"/>
      <c r="G205" s="301"/>
      <c r="H205" s="301"/>
      <c r="I205" s="301"/>
      <c r="J205" s="301"/>
      <c r="K205" s="301"/>
      <c r="L205" s="301"/>
      <c r="M205" s="301"/>
      <c r="N205" s="301"/>
      <c r="O205" s="301"/>
      <c r="P205" s="301"/>
      <c r="Q205" s="301"/>
      <c r="R205" s="301"/>
      <c r="S205" s="301"/>
    </row>
    <row r="206" spans="1:19" x14ac:dyDescent="0.3">
      <c r="A206" s="419"/>
      <c r="B206" s="301"/>
      <c r="C206" s="301"/>
      <c r="D206" s="301"/>
      <c r="E206" s="301"/>
      <c r="F206" s="301"/>
      <c r="G206" s="301"/>
      <c r="H206" s="301"/>
      <c r="I206" s="301"/>
      <c r="J206" s="301"/>
      <c r="K206" s="301"/>
      <c r="L206" s="301"/>
      <c r="M206" s="301"/>
      <c r="N206" s="301"/>
      <c r="O206" s="301"/>
      <c r="P206" s="301"/>
      <c r="Q206" s="301"/>
      <c r="R206" s="301"/>
      <c r="S206" s="301"/>
    </row>
    <row r="207" spans="1:19" x14ac:dyDescent="0.3">
      <c r="A207" s="419"/>
      <c r="B207" s="301"/>
      <c r="C207" s="301"/>
      <c r="D207" s="301"/>
      <c r="E207" s="301"/>
      <c r="F207" s="301"/>
      <c r="G207" s="301"/>
      <c r="H207" s="301"/>
      <c r="I207" s="301"/>
      <c r="J207" s="301"/>
      <c r="K207" s="301"/>
      <c r="L207" s="301"/>
      <c r="M207" s="301"/>
      <c r="N207" s="301"/>
      <c r="O207" s="301"/>
      <c r="P207" s="301"/>
      <c r="Q207" s="301"/>
      <c r="R207" s="301"/>
      <c r="S207" s="301"/>
    </row>
    <row r="208" spans="1:19" x14ac:dyDescent="0.3">
      <c r="A208" s="419"/>
      <c r="B208" s="301"/>
      <c r="C208" s="301"/>
      <c r="D208" s="301"/>
      <c r="E208" s="301"/>
      <c r="F208" s="301"/>
      <c r="G208" s="301"/>
      <c r="H208" s="301"/>
      <c r="I208" s="301"/>
      <c r="J208" s="301"/>
      <c r="K208" s="301"/>
      <c r="L208" s="301"/>
      <c r="M208" s="301"/>
      <c r="N208" s="301"/>
      <c r="O208" s="301"/>
      <c r="P208" s="301"/>
      <c r="Q208" s="301"/>
      <c r="R208" s="301"/>
      <c r="S208" s="301"/>
    </row>
    <row r="209" spans="1:19" x14ac:dyDescent="0.3">
      <c r="A209" s="419"/>
      <c r="B209" s="301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1"/>
      <c r="O209" s="301"/>
      <c r="P209" s="301"/>
      <c r="Q209" s="301"/>
      <c r="R209" s="301"/>
      <c r="S209" s="301"/>
    </row>
    <row r="210" spans="1:19" x14ac:dyDescent="0.3">
      <c r="A210" s="419"/>
      <c r="B210" s="301"/>
      <c r="C210" s="301"/>
      <c r="D210" s="301"/>
      <c r="E210" s="301"/>
      <c r="F210" s="301"/>
      <c r="G210" s="301"/>
      <c r="H210" s="301"/>
      <c r="I210" s="301"/>
      <c r="J210" s="301"/>
      <c r="K210" s="301"/>
      <c r="L210" s="301"/>
      <c r="M210" s="301"/>
      <c r="N210" s="301"/>
      <c r="O210" s="301"/>
      <c r="P210" s="301"/>
      <c r="Q210" s="301"/>
      <c r="R210" s="301"/>
      <c r="S210" s="301"/>
    </row>
    <row r="211" spans="1:19" x14ac:dyDescent="0.3">
      <c r="A211" s="419"/>
      <c r="B211" s="301"/>
      <c r="C211" s="301"/>
      <c r="D211" s="301"/>
      <c r="E211" s="301"/>
      <c r="F211" s="301"/>
      <c r="G211" s="301"/>
      <c r="H211" s="301"/>
      <c r="I211" s="301"/>
      <c r="J211" s="301"/>
      <c r="K211" s="301"/>
      <c r="L211" s="301"/>
      <c r="M211" s="301"/>
      <c r="N211" s="301"/>
      <c r="O211" s="301"/>
      <c r="P211" s="301"/>
      <c r="Q211" s="301"/>
      <c r="R211" s="301"/>
      <c r="S211" s="301"/>
    </row>
    <row r="212" spans="1:19" x14ac:dyDescent="0.3">
      <c r="A212" s="419"/>
      <c r="B212" s="301"/>
      <c r="C212" s="301"/>
      <c r="D212" s="301"/>
      <c r="E212" s="301"/>
      <c r="F212" s="301"/>
      <c r="G212" s="301"/>
      <c r="H212" s="301"/>
      <c r="I212" s="301"/>
      <c r="J212" s="301"/>
      <c r="K212" s="301"/>
      <c r="L212" s="301"/>
      <c r="M212" s="301"/>
      <c r="N212" s="301"/>
      <c r="O212" s="301"/>
      <c r="P212" s="301"/>
      <c r="Q212" s="301"/>
      <c r="R212" s="301"/>
      <c r="S212" s="301"/>
    </row>
    <row r="213" spans="1:19" x14ac:dyDescent="0.3">
      <c r="A213" s="419"/>
      <c r="B213" s="301"/>
      <c r="C213" s="301"/>
      <c r="D213" s="301"/>
      <c r="E213" s="301"/>
      <c r="F213" s="301"/>
      <c r="G213" s="301"/>
      <c r="H213" s="301"/>
      <c r="I213" s="301"/>
      <c r="J213" s="301"/>
      <c r="K213" s="301"/>
      <c r="L213" s="301"/>
      <c r="M213" s="301"/>
      <c r="N213" s="301"/>
      <c r="O213" s="301"/>
      <c r="P213" s="301"/>
      <c r="Q213" s="301"/>
      <c r="R213" s="301"/>
      <c r="S213" s="301"/>
    </row>
    <row r="214" spans="1:19" x14ac:dyDescent="0.3">
      <c r="A214" s="419"/>
      <c r="B214" s="301"/>
      <c r="C214" s="301"/>
      <c r="D214" s="301"/>
      <c r="E214" s="301"/>
      <c r="F214" s="301"/>
      <c r="G214" s="301"/>
      <c r="H214" s="301"/>
      <c r="I214" s="301"/>
      <c r="J214" s="301"/>
      <c r="K214" s="301"/>
      <c r="L214" s="301"/>
      <c r="M214" s="301"/>
      <c r="N214" s="301"/>
      <c r="O214" s="301"/>
      <c r="P214" s="301"/>
      <c r="Q214" s="301"/>
      <c r="R214" s="301"/>
      <c r="S214" s="301"/>
    </row>
    <row r="215" spans="1:19" x14ac:dyDescent="0.3">
      <c r="A215" s="419"/>
      <c r="B215" s="301"/>
      <c r="C215" s="301"/>
      <c r="D215" s="301"/>
      <c r="E215" s="301"/>
      <c r="F215" s="301"/>
      <c r="G215" s="301"/>
      <c r="H215" s="301"/>
      <c r="I215" s="301"/>
      <c r="J215" s="301"/>
      <c r="K215" s="301"/>
      <c r="L215" s="301"/>
      <c r="M215" s="301"/>
      <c r="N215" s="301"/>
      <c r="O215" s="301"/>
      <c r="P215" s="301"/>
      <c r="Q215" s="301"/>
      <c r="R215" s="301"/>
      <c r="S215" s="301"/>
    </row>
    <row r="216" spans="1:19" x14ac:dyDescent="0.3">
      <c r="A216" s="419"/>
      <c r="B216" s="301"/>
      <c r="C216" s="301"/>
      <c r="D216" s="301"/>
      <c r="E216" s="301"/>
      <c r="F216" s="301"/>
      <c r="G216" s="301"/>
      <c r="H216" s="301"/>
      <c r="I216" s="301"/>
      <c r="J216" s="301"/>
      <c r="K216" s="301"/>
      <c r="L216" s="301"/>
      <c r="M216" s="301"/>
      <c r="N216" s="301"/>
      <c r="O216" s="301"/>
      <c r="P216" s="301"/>
      <c r="Q216" s="301"/>
      <c r="R216" s="301"/>
      <c r="S216" s="301"/>
    </row>
    <row r="217" spans="1:19" x14ac:dyDescent="0.3">
      <c r="A217" s="419"/>
      <c r="B217" s="301"/>
      <c r="C217" s="301"/>
      <c r="D217" s="301"/>
      <c r="E217" s="301"/>
      <c r="F217" s="301"/>
      <c r="G217" s="301"/>
      <c r="H217" s="301"/>
      <c r="I217" s="301"/>
      <c r="J217" s="301"/>
      <c r="K217" s="301"/>
      <c r="L217" s="301"/>
      <c r="M217" s="301"/>
      <c r="N217" s="301"/>
      <c r="O217" s="301"/>
      <c r="P217" s="301"/>
      <c r="Q217" s="301"/>
      <c r="R217" s="301"/>
      <c r="S217" s="301"/>
    </row>
    <row r="218" spans="1:19" x14ac:dyDescent="0.3">
      <c r="A218" s="419"/>
      <c r="B218" s="301"/>
      <c r="C218" s="301"/>
      <c r="D218" s="301"/>
      <c r="E218" s="301"/>
      <c r="F218" s="301"/>
      <c r="G218" s="301"/>
      <c r="H218" s="301"/>
      <c r="I218" s="301"/>
      <c r="J218" s="301"/>
      <c r="K218" s="301"/>
      <c r="L218" s="301"/>
      <c r="M218" s="301"/>
      <c r="N218" s="301"/>
      <c r="O218" s="301"/>
      <c r="P218" s="301"/>
      <c r="Q218" s="301"/>
      <c r="R218" s="301"/>
      <c r="S218" s="301"/>
    </row>
    <row r="219" spans="1:19" x14ac:dyDescent="0.3">
      <c r="A219" s="419"/>
      <c r="B219" s="301"/>
      <c r="C219" s="301"/>
      <c r="D219" s="301"/>
      <c r="E219" s="301"/>
      <c r="F219" s="301"/>
      <c r="G219" s="301"/>
      <c r="H219" s="301"/>
      <c r="I219" s="301"/>
      <c r="J219" s="301"/>
      <c r="K219" s="301"/>
      <c r="L219" s="301"/>
      <c r="M219" s="301"/>
      <c r="N219" s="301"/>
      <c r="O219" s="301"/>
      <c r="P219" s="301"/>
      <c r="Q219" s="301"/>
      <c r="R219" s="301"/>
      <c r="S219" s="301"/>
    </row>
    <row r="220" spans="1:19" x14ac:dyDescent="0.3">
      <c r="A220" s="419"/>
      <c r="B220" s="301"/>
      <c r="C220" s="301"/>
      <c r="D220" s="301"/>
      <c r="E220" s="301"/>
      <c r="F220" s="301"/>
      <c r="G220" s="301"/>
      <c r="H220" s="301"/>
      <c r="I220" s="301"/>
      <c r="J220" s="301"/>
      <c r="K220" s="301"/>
      <c r="L220" s="301"/>
      <c r="M220" s="301"/>
      <c r="N220" s="301"/>
      <c r="O220" s="301"/>
      <c r="P220" s="301"/>
      <c r="Q220" s="301"/>
      <c r="R220" s="301"/>
      <c r="S220" s="301"/>
    </row>
    <row r="221" spans="1:19" x14ac:dyDescent="0.3">
      <c r="A221" s="419"/>
      <c r="B221" s="301"/>
      <c r="C221" s="301"/>
      <c r="D221" s="301"/>
      <c r="E221" s="301"/>
      <c r="F221" s="301"/>
      <c r="G221" s="301"/>
      <c r="H221" s="301"/>
      <c r="I221" s="301"/>
      <c r="J221" s="301"/>
      <c r="K221" s="301"/>
      <c r="L221" s="301"/>
      <c r="M221" s="301"/>
      <c r="N221" s="301"/>
      <c r="O221" s="301"/>
      <c r="P221" s="301"/>
      <c r="Q221" s="301"/>
      <c r="R221" s="301"/>
      <c r="S221" s="301"/>
    </row>
    <row r="222" spans="1:19" x14ac:dyDescent="0.3">
      <c r="A222" s="419"/>
      <c r="B222" s="301"/>
      <c r="C222" s="301"/>
      <c r="D222" s="301"/>
      <c r="E222" s="301"/>
      <c r="F222" s="301"/>
      <c r="G222" s="301"/>
      <c r="H222" s="301"/>
      <c r="I222" s="301"/>
      <c r="J222" s="301"/>
      <c r="K222" s="301"/>
      <c r="L222" s="301"/>
      <c r="M222" s="301"/>
      <c r="N222" s="301"/>
      <c r="O222" s="301"/>
      <c r="P222" s="301"/>
      <c r="Q222" s="301"/>
      <c r="R222" s="301"/>
      <c r="S222" s="301"/>
    </row>
    <row r="223" spans="1:19" x14ac:dyDescent="0.3">
      <c r="A223" s="419"/>
      <c r="B223" s="301"/>
      <c r="C223" s="301"/>
      <c r="D223" s="301"/>
      <c r="E223" s="301"/>
      <c r="F223" s="301"/>
      <c r="G223" s="301"/>
      <c r="H223" s="301"/>
      <c r="I223" s="301"/>
      <c r="J223" s="301"/>
      <c r="K223" s="301"/>
      <c r="L223" s="301"/>
      <c r="M223" s="301"/>
      <c r="N223" s="301"/>
      <c r="O223" s="301"/>
      <c r="P223" s="301"/>
      <c r="Q223" s="301"/>
      <c r="R223" s="301"/>
      <c r="S223" s="301"/>
    </row>
    <row r="224" spans="1:19" x14ac:dyDescent="0.3">
      <c r="A224" s="419"/>
      <c r="B224" s="301"/>
      <c r="C224" s="301"/>
      <c r="D224" s="301"/>
      <c r="E224" s="301"/>
      <c r="F224" s="301"/>
      <c r="G224" s="301"/>
      <c r="H224" s="301"/>
      <c r="I224" s="301"/>
      <c r="J224" s="301"/>
      <c r="K224" s="301"/>
      <c r="L224" s="301"/>
      <c r="M224" s="301"/>
      <c r="N224" s="301"/>
      <c r="O224" s="301"/>
      <c r="P224" s="301"/>
      <c r="Q224" s="301"/>
      <c r="R224" s="301"/>
      <c r="S224" s="301"/>
    </row>
    <row r="225" spans="1:19" x14ac:dyDescent="0.3">
      <c r="A225" s="419"/>
      <c r="B225" s="301"/>
      <c r="C225" s="301"/>
      <c r="D225" s="301"/>
      <c r="E225" s="301"/>
      <c r="F225" s="301"/>
      <c r="G225" s="301"/>
      <c r="H225" s="301"/>
      <c r="I225" s="301"/>
      <c r="J225" s="301"/>
      <c r="K225" s="301"/>
      <c r="L225" s="301"/>
      <c r="M225" s="301"/>
      <c r="N225" s="301"/>
      <c r="O225" s="301"/>
      <c r="P225" s="301"/>
      <c r="Q225" s="301"/>
      <c r="R225" s="301"/>
      <c r="S225" s="301"/>
    </row>
    <row r="226" spans="1:19" x14ac:dyDescent="0.3">
      <c r="A226" s="419"/>
      <c r="B226" s="301"/>
      <c r="C226" s="301"/>
      <c r="D226" s="301"/>
      <c r="E226" s="301"/>
      <c r="F226" s="301"/>
      <c r="G226" s="301"/>
      <c r="H226" s="301"/>
      <c r="I226" s="301"/>
      <c r="J226" s="301"/>
      <c r="K226" s="301"/>
      <c r="L226" s="301"/>
      <c r="M226" s="301"/>
      <c r="N226" s="301"/>
      <c r="O226" s="301"/>
      <c r="P226" s="301"/>
      <c r="Q226" s="301"/>
      <c r="R226" s="301"/>
      <c r="S226" s="301"/>
    </row>
    <row r="227" spans="1:19" x14ac:dyDescent="0.3">
      <c r="A227" s="419"/>
      <c r="B227" s="301"/>
      <c r="C227" s="301"/>
      <c r="D227" s="301"/>
      <c r="E227" s="301"/>
      <c r="F227" s="301"/>
      <c r="G227" s="301"/>
      <c r="H227" s="301"/>
      <c r="I227" s="301"/>
      <c r="J227" s="301"/>
      <c r="K227" s="301"/>
      <c r="L227" s="301"/>
      <c r="M227" s="301"/>
      <c r="N227" s="301"/>
      <c r="O227" s="301"/>
      <c r="P227" s="301"/>
      <c r="Q227" s="301"/>
      <c r="R227" s="301"/>
      <c r="S227" s="301"/>
    </row>
    <row r="228" spans="1:19" x14ac:dyDescent="0.3">
      <c r="A228" s="419"/>
      <c r="B228" s="301"/>
      <c r="C228" s="301"/>
      <c r="D228" s="301"/>
      <c r="E228" s="301"/>
      <c r="F228" s="301"/>
      <c r="G228" s="301"/>
      <c r="H228" s="301"/>
      <c r="I228" s="301"/>
      <c r="J228" s="301"/>
      <c r="K228" s="301"/>
      <c r="L228" s="301"/>
      <c r="M228" s="301"/>
      <c r="N228" s="301"/>
      <c r="O228" s="301"/>
      <c r="P228" s="301"/>
      <c r="Q228" s="301"/>
      <c r="R228" s="301"/>
      <c r="S228" s="301"/>
    </row>
    <row r="229" spans="1:19" x14ac:dyDescent="0.3">
      <c r="A229" s="419"/>
      <c r="B229" s="301"/>
      <c r="C229" s="301"/>
      <c r="D229" s="301"/>
      <c r="E229" s="301"/>
      <c r="F229" s="301"/>
      <c r="G229" s="301"/>
      <c r="H229" s="301"/>
      <c r="I229" s="301"/>
      <c r="J229" s="301"/>
      <c r="K229" s="301"/>
      <c r="L229" s="301"/>
      <c r="M229" s="301"/>
      <c r="N229" s="301"/>
      <c r="O229" s="301"/>
      <c r="P229" s="301"/>
      <c r="Q229" s="301"/>
      <c r="R229" s="301"/>
      <c r="S229" s="301"/>
    </row>
    <row r="230" spans="1:19" x14ac:dyDescent="0.3">
      <c r="A230" s="419"/>
      <c r="B230" s="301"/>
      <c r="C230" s="301"/>
      <c r="D230" s="301"/>
      <c r="E230" s="301"/>
      <c r="F230" s="301"/>
      <c r="G230" s="301"/>
      <c r="H230" s="301"/>
      <c r="I230" s="301"/>
      <c r="J230" s="301"/>
      <c r="K230" s="301"/>
      <c r="L230" s="301"/>
      <c r="M230" s="301"/>
      <c r="N230" s="301"/>
      <c r="O230" s="301"/>
      <c r="P230" s="301"/>
      <c r="Q230" s="301"/>
      <c r="R230" s="301"/>
      <c r="S230" s="301"/>
    </row>
    <row r="231" spans="1:19" x14ac:dyDescent="0.3">
      <c r="A231" s="419"/>
      <c r="B231" s="301"/>
      <c r="C231" s="301"/>
      <c r="D231" s="301"/>
      <c r="E231" s="301"/>
      <c r="F231" s="301"/>
      <c r="G231" s="301"/>
      <c r="H231" s="301"/>
      <c r="I231" s="301"/>
      <c r="J231" s="301"/>
      <c r="K231" s="301"/>
      <c r="L231" s="301"/>
      <c r="M231" s="301"/>
      <c r="N231" s="301"/>
      <c r="O231" s="301"/>
      <c r="P231" s="301"/>
      <c r="Q231" s="301"/>
      <c r="R231" s="301"/>
      <c r="S231" s="301"/>
    </row>
    <row r="232" spans="1:19" x14ac:dyDescent="0.3">
      <c r="A232" s="419"/>
      <c r="B232" s="301"/>
      <c r="C232" s="301"/>
      <c r="D232" s="301"/>
      <c r="E232" s="301"/>
      <c r="F232" s="301"/>
      <c r="G232" s="301"/>
      <c r="H232" s="301"/>
      <c r="I232" s="301"/>
      <c r="J232" s="301"/>
      <c r="K232" s="301"/>
      <c r="L232" s="301"/>
      <c r="M232" s="301"/>
      <c r="N232" s="301"/>
      <c r="O232" s="301"/>
      <c r="P232" s="301"/>
      <c r="Q232" s="301"/>
      <c r="R232" s="301"/>
      <c r="S232" s="301"/>
    </row>
    <row r="233" spans="1:19" x14ac:dyDescent="0.3">
      <c r="A233" s="419"/>
      <c r="B233" s="301"/>
      <c r="C233" s="301"/>
      <c r="D233" s="301"/>
      <c r="E233" s="301"/>
      <c r="F233" s="301"/>
      <c r="G233" s="301"/>
      <c r="H233" s="301"/>
      <c r="I233" s="301"/>
      <c r="J233" s="301"/>
      <c r="K233" s="301"/>
      <c r="L233" s="301"/>
      <c r="M233" s="301"/>
      <c r="N233" s="301"/>
      <c r="O233" s="301"/>
      <c r="P233" s="301"/>
      <c r="Q233" s="301"/>
      <c r="R233" s="301"/>
      <c r="S233" s="301"/>
    </row>
    <row r="234" spans="1:19" x14ac:dyDescent="0.3">
      <c r="A234" s="419"/>
      <c r="B234" s="301"/>
      <c r="C234" s="301"/>
      <c r="D234" s="301"/>
      <c r="E234" s="301"/>
      <c r="F234" s="301"/>
      <c r="G234" s="301"/>
      <c r="H234" s="301"/>
      <c r="I234" s="301"/>
      <c r="J234" s="301"/>
      <c r="K234" s="301"/>
      <c r="L234" s="301"/>
      <c r="M234" s="301"/>
      <c r="N234" s="301"/>
      <c r="O234" s="301"/>
      <c r="P234" s="301"/>
      <c r="Q234" s="301"/>
      <c r="R234" s="301"/>
      <c r="S234" s="301"/>
    </row>
    <row r="235" spans="1:19" x14ac:dyDescent="0.3">
      <c r="A235" s="419"/>
      <c r="B235" s="301"/>
      <c r="C235" s="301"/>
      <c r="D235" s="301"/>
      <c r="E235" s="301"/>
      <c r="F235" s="301"/>
      <c r="G235" s="301"/>
      <c r="H235" s="301"/>
      <c r="I235" s="301"/>
      <c r="J235" s="301"/>
      <c r="K235" s="301"/>
      <c r="L235" s="301"/>
      <c r="M235" s="301"/>
      <c r="N235" s="301"/>
      <c r="O235" s="301"/>
      <c r="P235" s="301"/>
      <c r="Q235" s="301"/>
      <c r="R235" s="301"/>
      <c r="S235" s="301"/>
    </row>
    <row r="236" spans="1:19" x14ac:dyDescent="0.3">
      <c r="A236" s="419"/>
      <c r="B236" s="301"/>
      <c r="C236" s="301"/>
      <c r="D236" s="301"/>
      <c r="E236" s="301"/>
      <c r="F236" s="301"/>
      <c r="G236" s="301"/>
      <c r="H236" s="301"/>
      <c r="I236" s="301"/>
      <c r="J236" s="301"/>
      <c r="K236" s="301"/>
      <c r="L236" s="301"/>
      <c r="M236" s="301"/>
      <c r="N236" s="301"/>
      <c r="O236" s="301"/>
      <c r="P236" s="301"/>
      <c r="Q236" s="301"/>
      <c r="R236" s="301"/>
      <c r="S236" s="301"/>
    </row>
    <row r="237" spans="1:19" x14ac:dyDescent="0.3">
      <c r="A237" s="419"/>
      <c r="B237" s="301"/>
      <c r="C237" s="301"/>
      <c r="D237" s="301"/>
      <c r="E237" s="301"/>
      <c r="F237" s="301"/>
      <c r="G237" s="301"/>
      <c r="H237" s="301"/>
      <c r="I237" s="301"/>
      <c r="J237" s="301"/>
      <c r="K237" s="301"/>
      <c r="L237" s="301"/>
      <c r="M237" s="301"/>
      <c r="N237" s="301"/>
      <c r="O237" s="301"/>
      <c r="P237" s="301"/>
      <c r="Q237" s="301"/>
      <c r="R237" s="301"/>
      <c r="S237" s="301"/>
    </row>
    <row r="238" spans="1:19" x14ac:dyDescent="0.3">
      <c r="A238" s="419"/>
      <c r="B238" s="301"/>
      <c r="C238" s="301"/>
      <c r="D238" s="301"/>
      <c r="E238" s="301"/>
      <c r="F238" s="301"/>
      <c r="G238" s="301"/>
      <c r="H238" s="301"/>
      <c r="I238" s="301"/>
      <c r="J238" s="301"/>
      <c r="K238" s="301"/>
      <c r="L238" s="301"/>
      <c r="M238" s="301"/>
      <c r="N238" s="301"/>
      <c r="O238" s="301"/>
      <c r="P238" s="301"/>
      <c r="Q238" s="301"/>
      <c r="R238" s="301"/>
      <c r="S238" s="301"/>
    </row>
    <row r="239" spans="1:19" x14ac:dyDescent="0.3">
      <c r="A239" s="419"/>
      <c r="B239" s="301"/>
      <c r="C239" s="301"/>
      <c r="D239" s="301"/>
      <c r="E239" s="301"/>
      <c r="F239" s="301"/>
      <c r="G239" s="301"/>
      <c r="H239" s="301"/>
      <c r="I239" s="301"/>
      <c r="J239" s="301"/>
      <c r="K239" s="301"/>
      <c r="L239" s="301"/>
      <c r="M239" s="301"/>
      <c r="N239" s="301"/>
      <c r="O239" s="301"/>
      <c r="P239" s="301"/>
      <c r="Q239" s="301"/>
      <c r="R239" s="301"/>
      <c r="S239" s="301"/>
    </row>
    <row r="240" spans="1:19" x14ac:dyDescent="0.3">
      <c r="A240" s="419"/>
      <c r="B240" s="301"/>
      <c r="C240" s="301"/>
      <c r="D240" s="301"/>
      <c r="E240" s="301"/>
      <c r="F240" s="301"/>
      <c r="G240" s="301"/>
      <c r="H240" s="301"/>
      <c r="I240" s="301"/>
      <c r="J240" s="301"/>
      <c r="K240" s="301"/>
      <c r="L240" s="301"/>
      <c r="M240" s="301"/>
      <c r="N240" s="301"/>
      <c r="O240" s="301"/>
      <c r="P240" s="301"/>
      <c r="Q240" s="301"/>
      <c r="R240" s="301"/>
      <c r="S240" s="301"/>
    </row>
    <row r="241" spans="1:19" x14ac:dyDescent="0.3">
      <c r="A241" s="419"/>
      <c r="B241" s="301"/>
      <c r="C241" s="301"/>
      <c r="D241" s="301"/>
      <c r="E241" s="301"/>
      <c r="F241" s="301"/>
      <c r="G241" s="301"/>
      <c r="H241" s="301"/>
      <c r="I241" s="301"/>
      <c r="J241" s="301"/>
      <c r="K241" s="301"/>
      <c r="L241" s="301"/>
      <c r="M241" s="301"/>
      <c r="N241" s="301"/>
      <c r="O241" s="301"/>
      <c r="P241" s="301"/>
      <c r="Q241" s="301"/>
      <c r="R241" s="301"/>
      <c r="S241" s="301"/>
    </row>
    <row r="242" spans="1:19" x14ac:dyDescent="0.3">
      <c r="A242" s="419"/>
      <c r="B242" s="301"/>
      <c r="C242" s="301"/>
      <c r="D242" s="301"/>
      <c r="E242" s="301"/>
      <c r="F242" s="301"/>
      <c r="G242" s="301"/>
      <c r="H242" s="301"/>
      <c r="I242" s="301"/>
      <c r="J242" s="301"/>
      <c r="K242" s="301"/>
      <c r="L242" s="301"/>
      <c r="M242" s="301"/>
      <c r="N242" s="301"/>
      <c r="O242" s="301"/>
      <c r="P242" s="301"/>
      <c r="Q242" s="301"/>
      <c r="R242" s="301"/>
      <c r="S242" s="301"/>
    </row>
    <row r="243" spans="1:19" x14ac:dyDescent="0.3">
      <c r="A243" s="419"/>
      <c r="B243" s="301"/>
      <c r="C243" s="301"/>
      <c r="D243" s="301"/>
      <c r="E243" s="301"/>
      <c r="F243" s="301"/>
      <c r="G243" s="301"/>
      <c r="H243" s="301"/>
      <c r="I243" s="301"/>
      <c r="J243" s="301"/>
      <c r="K243" s="301"/>
      <c r="L243" s="301"/>
      <c r="M243" s="301"/>
      <c r="N243" s="301"/>
      <c r="O243" s="301"/>
      <c r="P243" s="301"/>
      <c r="Q243" s="301"/>
      <c r="R243" s="301"/>
      <c r="S243" s="301"/>
    </row>
    <row r="244" spans="1:19" x14ac:dyDescent="0.3">
      <c r="A244" s="419"/>
      <c r="B244" s="301"/>
      <c r="C244" s="301"/>
      <c r="D244" s="301"/>
      <c r="E244" s="301"/>
      <c r="F244" s="301"/>
      <c r="G244" s="301"/>
      <c r="H244" s="301"/>
      <c r="I244" s="301"/>
      <c r="J244" s="301"/>
      <c r="K244" s="301"/>
      <c r="L244" s="301"/>
      <c r="M244" s="301"/>
      <c r="N244" s="301"/>
      <c r="O244" s="301"/>
      <c r="P244" s="301"/>
      <c r="Q244" s="301"/>
      <c r="R244" s="301"/>
      <c r="S244" s="301"/>
    </row>
    <row r="245" spans="1:19" x14ac:dyDescent="0.3">
      <c r="A245" s="419"/>
      <c r="B245" s="301"/>
      <c r="C245" s="301"/>
      <c r="D245" s="301"/>
      <c r="E245" s="301"/>
      <c r="F245" s="301"/>
      <c r="G245" s="301"/>
      <c r="H245" s="301"/>
      <c r="I245" s="301"/>
      <c r="J245" s="301"/>
      <c r="K245" s="301"/>
      <c r="L245" s="301"/>
      <c r="M245" s="301"/>
      <c r="N245" s="301"/>
      <c r="O245" s="301"/>
      <c r="P245" s="301"/>
      <c r="Q245" s="301"/>
      <c r="R245" s="301"/>
      <c r="S245" s="301"/>
    </row>
    <row r="246" spans="1:19" x14ac:dyDescent="0.3">
      <c r="A246" s="419"/>
      <c r="B246" s="301"/>
      <c r="C246" s="301"/>
      <c r="D246" s="301"/>
      <c r="E246" s="301"/>
      <c r="F246" s="301"/>
      <c r="G246" s="301"/>
      <c r="H246" s="301"/>
      <c r="I246" s="301"/>
      <c r="J246" s="301"/>
      <c r="K246" s="301"/>
      <c r="L246" s="301"/>
      <c r="M246" s="301"/>
      <c r="N246" s="301"/>
      <c r="O246" s="301"/>
      <c r="P246" s="301"/>
      <c r="Q246" s="301"/>
      <c r="R246" s="301"/>
      <c r="S246" s="301"/>
    </row>
    <row r="247" spans="1:19" x14ac:dyDescent="0.3">
      <c r="A247" s="419"/>
      <c r="B247" s="301"/>
      <c r="C247" s="301"/>
      <c r="D247" s="301"/>
      <c r="E247" s="301"/>
      <c r="F247" s="301"/>
      <c r="G247" s="301"/>
      <c r="H247" s="301"/>
      <c r="I247" s="301"/>
      <c r="J247" s="301"/>
      <c r="K247" s="301"/>
      <c r="L247" s="301"/>
      <c r="M247" s="301"/>
      <c r="N247" s="301"/>
      <c r="O247" s="301"/>
      <c r="P247" s="301"/>
      <c r="Q247" s="301"/>
      <c r="R247" s="301"/>
      <c r="S247" s="301"/>
    </row>
    <row r="248" spans="1:19" x14ac:dyDescent="0.3">
      <c r="A248" s="419"/>
      <c r="B248" s="301"/>
      <c r="C248" s="301"/>
      <c r="D248" s="301"/>
      <c r="E248" s="301"/>
      <c r="F248" s="301"/>
      <c r="G248" s="301"/>
      <c r="H248" s="301"/>
      <c r="I248" s="301"/>
      <c r="J248" s="301"/>
      <c r="K248" s="301"/>
      <c r="L248" s="301"/>
      <c r="M248" s="301"/>
      <c r="N248" s="301"/>
      <c r="O248" s="301"/>
      <c r="P248" s="301"/>
      <c r="Q248" s="301"/>
      <c r="R248" s="301"/>
      <c r="S248" s="301"/>
    </row>
    <row r="249" spans="1:19" x14ac:dyDescent="0.3">
      <c r="A249" s="419"/>
      <c r="B249" s="301"/>
      <c r="C249" s="301"/>
      <c r="D249" s="301"/>
      <c r="E249" s="301"/>
      <c r="F249" s="301"/>
      <c r="G249" s="301"/>
      <c r="H249" s="301"/>
      <c r="I249" s="301"/>
      <c r="J249" s="301"/>
      <c r="K249" s="301"/>
      <c r="L249" s="301"/>
      <c r="M249" s="301"/>
      <c r="N249" s="301"/>
      <c r="O249" s="301"/>
      <c r="P249" s="301"/>
      <c r="Q249" s="301"/>
      <c r="R249" s="301"/>
      <c r="S249" s="301"/>
    </row>
    <row r="250" spans="1:19" x14ac:dyDescent="0.3">
      <c r="A250" s="419"/>
      <c r="B250" s="301"/>
      <c r="C250" s="301"/>
      <c r="D250" s="301"/>
      <c r="E250" s="301"/>
      <c r="F250" s="301"/>
      <c r="G250" s="301"/>
      <c r="H250" s="301"/>
      <c r="I250" s="301"/>
      <c r="J250" s="301"/>
      <c r="K250" s="301"/>
      <c r="L250" s="301"/>
      <c r="M250" s="301"/>
      <c r="N250" s="301"/>
      <c r="O250" s="301"/>
      <c r="P250" s="301"/>
      <c r="Q250" s="301"/>
      <c r="R250" s="301"/>
      <c r="S250" s="301"/>
    </row>
    <row r="251" spans="1:19" x14ac:dyDescent="0.3">
      <c r="A251" s="419"/>
      <c r="B251" s="301"/>
      <c r="C251" s="301"/>
      <c r="D251" s="301"/>
      <c r="E251" s="301"/>
      <c r="F251" s="301"/>
      <c r="G251" s="301"/>
      <c r="H251" s="301"/>
      <c r="I251" s="301"/>
      <c r="J251" s="301"/>
      <c r="K251" s="301"/>
      <c r="L251" s="301"/>
      <c r="M251" s="301"/>
      <c r="N251" s="301"/>
      <c r="O251" s="301"/>
      <c r="P251" s="301"/>
      <c r="Q251" s="301"/>
      <c r="R251" s="301"/>
      <c r="S251" s="301"/>
    </row>
    <row r="252" spans="1:19" x14ac:dyDescent="0.3">
      <c r="A252" s="419"/>
      <c r="B252" s="301"/>
      <c r="C252" s="301"/>
      <c r="D252" s="301"/>
      <c r="E252" s="301"/>
      <c r="F252" s="301"/>
      <c r="G252" s="301"/>
      <c r="H252" s="301"/>
      <c r="I252" s="301"/>
      <c r="J252" s="301"/>
      <c r="K252" s="301"/>
      <c r="L252" s="301"/>
      <c r="M252" s="301"/>
      <c r="N252" s="301"/>
      <c r="O252" s="301"/>
      <c r="P252" s="301"/>
      <c r="Q252" s="301"/>
      <c r="R252" s="301"/>
      <c r="S252" s="301"/>
    </row>
    <row r="253" spans="1:19" x14ac:dyDescent="0.3">
      <c r="A253" s="419"/>
      <c r="B253" s="301"/>
      <c r="C253" s="301"/>
      <c r="D253" s="301"/>
      <c r="E253" s="301"/>
      <c r="F253" s="301"/>
      <c r="G253" s="301"/>
      <c r="H253" s="301"/>
      <c r="I253" s="301"/>
      <c r="J253" s="301"/>
      <c r="K253" s="301"/>
      <c r="L253" s="301"/>
      <c r="M253" s="301"/>
      <c r="N253" s="301"/>
      <c r="O253" s="301"/>
      <c r="P253" s="301"/>
      <c r="Q253" s="301"/>
      <c r="R253" s="301"/>
      <c r="S253" s="301"/>
    </row>
    <row r="254" spans="1:19" x14ac:dyDescent="0.3">
      <c r="A254" s="419"/>
      <c r="B254" s="301"/>
      <c r="C254" s="301"/>
      <c r="D254" s="301"/>
      <c r="E254" s="301"/>
      <c r="F254" s="301"/>
      <c r="G254" s="301"/>
      <c r="H254" s="301"/>
      <c r="I254" s="301"/>
      <c r="J254" s="301"/>
      <c r="K254" s="301"/>
      <c r="L254" s="301"/>
      <c r="M254" s="301"/>
      <c r="N254" s="301"/>
      <c r="O254" s="301"/>
      <c r="P254" s="301"/>
      <c r="Q254" s="301"/>
      <c r="R254" s="301"/>
      <c r="S254" s="301"/>
    </row>
    <row r="255" spans="1:19" x14ac:dyDescent="0.3">
      <c r="A255" s="419"/>
      <c r="B255" s="301"/>
      <c r="C255" s="301"/>
      <c r="D255" s="301"/>
      <c r="E255" s="301"/>
      <c r="F255" s="301"/>
      <c r="G255" s="301"/>
      <c r="H255" s="301"/>
      <c r="I255" s="301"/>
      <c r="J255" s="301"/>
      <c r="K255" s="301"/>
      <c r="L255" s="301"/>
      <c r="M255" s="301"/>
      <c r="N255" s="301"/>
      <c r="O255" s="301"/>
      <c r="P255" s="301"/>
      <c r="Q255" s="301"/>
      <c r="R255" s="301"/>
      <c r="S255" s="301"/>
    </row>
    <row r="256" spans="1:19" x14ac:dyDescent="0.3">
      <c r="A256" s="419"/>
      <c r="B256" s="301"/>
      <c r="C256" s="301"/>
      <c r="D256" s="301"/>
      <c r="E256" s="301"/>
      <c r="F256" s="301"/>
      <c r="G256" s="301"/>
      <c r="H256" s="301"/>
      <c r="I256" s="301"/>
      <c r="J256" s="301"/>
      <c r="K256" s="301"/>
      <c r="L256" s="301"/>
      <c r="M256" s="301"/>
      <c r="N256" s="301"/>
      <c r="O256" s="301"/>
      <c r="P256" s="301"/>
      <c r="Q256" s="301"/>
      <c r="R256" s="301"/>
      <c r="S256" s="301"/>
    </row>
    <row r="257" spans="1:19" x14ac:dyDescent="0.3">
      <c r="A257" s="419"/>
      <c r="B257" s="301"/>
      <c r="C257" s="301"/>
      <c r="D257" s="301"/>
      <c r="E257" s="301"/>
      <c r="F257" s="301"/>
      <c r="G257" s="301"/>
      <c r="H257" s="301"/>
      <c r="I257" s="301"/>
      <c r="J257" s="301"/>
      <c r="K257" s="301"/>
      <c r="L257" s="301"/>
      <c r="M257" s="301"/>
      <c r="N257" s="301"/>
      <c r="O257" s="301"/>
      <c r="P257" s="301"/>
      <c r="Q257" s="301"/>
      <c r="R257" s="301"/>
      <c r="S257" s="301"/>
    </row>
    <row r="258" spans="1:19" x14ac:dyDescent="0.3">
      <c r="A258" s="419"/>
      <c r="B258" s="301"/>
      <c r="C258" s="301"/>
      <c r="D258" s="301"/>
      <c r="E258" s="301"/>
      <c r="F258" s="301"/>
      <c r="G258" s="301"/>
      <c r="H258" s="301"/>
      <c r="I258" s="301"/>
      <c r="J258" s="301"/>
      <c r="K258" s="301"/>
      <c r="L258" s="301"/>
      <c r="M258" s="301"/>
      <c r="N258" s="301"/>
      <c r="O258" s="301"/>
      <c r="P258" s="301"/>
      <c r="Q258" s="301"/>
      <c r="R258" s="301"/>
      <c r="S258" s="301"/>
    </row>
    <row r="259" spans="1:19" x14ac:dyDescent="0.3">
      <c r="A259" s="419"/>
      <c r="B259" s="301"/>
      <c r="C259" s="301"/>
      <c r="D259" s="301"/>
      <c r="E259" s="301"/>
      <c r="F259" s="301"/>
      <c r="G259" s="301"/>
      <c r="H259" s="301"/>
      <c r="I259" s="301"/>
      <c r="J259" s="301"/>
      <c r="K259" s="301"/>
      <c r="L259" s="301"/>
      <c r="M259" s="301"/>
      <c r="N259" s="301"/>
      <c r="O259" s="301"/>
      <c r="P259" s="301"/>
      <c r="Q259" s="301"/>
      <c r="R259" s="301"/>
      <c r="S259" s="301"/>
    </row>
    <row r="260" spans="1:19" x14ac:dyDescent="0.3">
      <c r="A260" s="419"/>
      <c r="B260" s="301"/>
      <c r="C260" s="301"/>
      <c r="D260" s="301"/>
      <c r="E260" s="301"/>
      <c r="F260" s="301"/>
      <c r="G260" s="301"/>
      <c r="H260" s="301"/>
      <c r="I260" s="301"/>
      <c r="J260" s="301"/>
      <c r="K260" s="301"/>
      <c r="L260" s="301"/>
      <c r="M260" s="301"/>
      <c r="N260" s="301"/>
      <c r="O260" s="301"/>
      <c r="P260" s="301"/>
      <c r="Q260" s="301"/>
      <c r="R260" s="301"/>
      <c r="S260" s="301"/>
    </row>
    <row r="261" spans="1:19" x14ac:dyDescent="0.3">
      <c r="A261" s="419"/>
      <c r="B261" s="301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1"/>
      <c r="O261" s="301"/>
      <c r="P261" s="301"/>
      <c r="Q261" s="301"/>
      <c r="R261" s="301"/>
      <c r="S261" s="301"/>
    </row>
    <row r="262" spans="1:19" x14ac:dyDescent="0.3">
      <c r="A262" s="419"/>
      <c r="B262" s="301"/>
      <c r="C262" s="301"/>
      <c r="D262" s="301"/>
      <c r="E262" s="301"/>
      <c r="F262" s="301"/>
      <c r="G262" s="301"/>
      <c r="H262" s="301"/>
      <c r="I262" s="301"/>
      <c r="J262" s="301"/>
      <c r="K262" s="301"/>
      <c r="L262" s="301"/>
      <c r="M262" s="301"/>
      <c r="N262" s="301"/>
      <c r="O262" s="301"/>
      <c r="P262" s="301"/>
      <c r="Q262" s="301"/>
      <c r="R262" s="301"/>
      <c r="S262" s="301"/>
    </row>
    <row r="263" spans="1:19" x14ac:dyDescent="0.3">
      <c r="A263" s="419"/>
      <c r="B263" s="301"/>
      <c r="C263" s="301"/>
      <c r="D263" s="301"/>
      <c r="E263" s="301"/>
      <c r="F263" s="301"/>
      <c r="G263" s="301"/>
      <c r="H263" s="301"/>
      <c r="I263" s="301"/>
      <c r="J263" s="301"/>
      <c r="K263" s="301"/>
      <c r="L263" s="301"/>
      <c r="M263" s="301"/>
      <c r="N263" s="301"/>
      <c r="O263" s="301"/>
      <c r="P263" s="301"/>
      <c r="Q263" s="301"/>
      <c r="R263" s="301"/>
      <c r="S263" s="301"/>
    </row>
    <row r="264" spans="1:19" x14ac:dyDescent="0.3">
      <c r="A264" s="419"/>
      <c r="B264" s="301"/>
      <c r="C264" s="301"/>
      <c r="D264" s="301"/>
      <c r="E264" s="301"/>
      <c r="F264" s="301"/>
      <c r="G264" s="301"/>
      <c r="H264" s="301"/>
      <c r="I264" s="301"/>
      <c r="J264" s="301"/>
      <c r="K264" s="301"/>
      <c r="L264" s="301"/>
      <c r="M264" s="301"/>
      <c r="N264" s="301"/>
      <c r="O264" s="301"/>
      <c r="P264" s="301"/>
      <c r="Q264" s="301"/>
      <c r="R264" s="301"/>
      <c r="S264" s="301"/>
    </row>
    <row r="265" spans="1:19" x14ac:dyDescent="0.3">
      <c r="A265" s="419"/>
      <c r="B265" s="301"/>
      <c r="C265" s="301"/>
      <c r="D265" s="301"/>
      <c r="E265" s="301"/>
      <c r="F265" s="301"/>
      <c r="G265" s="301"/>
      <c r="H265" s="301"/>
      <c r="I265" s="301"/>
      <c r="J265" s="301"/>
      <c r="K265" s="301"/>
      <c r="L265" s="301"/>
      <c r="M265" s="301"/>
      <c r="N265" s="301"/>
      <c r="O265" s="301"/>
      <c r="P265" s="301"/>
      <c r="Q265" s="301"/>
      <c r="R265" s="301"/>
      <c r="S265" s="301"/>
    </row>
    <row r="266" spans="1:19" x14ac:dyDescent="0.3">
      <c r="A266" s="419"/>
      <c r="B266" s="301"/>
      <c r="C266" s="301"/>
      <c r="D266" s="301"/>
      <c r="E266" s="301"/>
      <c r="F266" s="301"/>
      <c r="G266" s="301"/>
      <c r="H266" s="301"/>
      <c r="I266" s="301"/>
      <c r="J266" s="301"/>
      <c r="K266" s="301"/>
      <c r="L266" s="301"/>
      <c r="M266" s="301"/>
      <c r="N266" s="301"/>
      <c r="O266" s="301"/>
      <c r="P266" s="301"/>
      <c r="Q266" s="301"/>
      <c r="R266" s="301"/>
      <c r="S266" s="301"/>
    </row>
    <row r="267" spans="1:19" x14ac:dyDescent="0.3">
      <c r="A267" s="419"/>
      <c r="B267" s="301"/>
      <c r="C267" s="301"/>
      <c r="D267" s="301"/>
      <c r="E267" s="301"/>
      <c r="F267" s="301"/>
      <c r="G267" s="301"/>
      <c r="H267" s="301"/>
      <c r="I267" s="301"/>
      <c r="J267" s="301"/>
      <c r="K267" s="301"/>
      <c r="L267" s="301"/>
      <c r="M267" s="301"/>
      <c r="N267" s="301"/>
      <c r="O267" s="301"/>
      <c r="P267" s="301"/>
      <c r="Q267" s="301"/>
      <c r="R267" s="301"/>
      <c r="S267" s="301"/>
    </row>
    <row r="268" spans="1:19" x14ac:dyDescent="0.3">
      <c r="A268" s="419"/>
      <c r="B268" s="301"/>
      <c r="C268" s="301"/>
      <c r="D268" s="301"/>
      <c r="E268" s="301"/>
      <c r="F268" s="301"/>
      <c r="G268" s="301"/>
      <c r="H268" s="301"/>
      <c r="I268" s="301"/>
      <c r="J268" s="301"/>
      <c r="K268" s="301"/>
      <c r="L268" s="301"/>
      <c r="M268" s="301"/>
      <c r="N268" s="301"/>
      <c r="O268" s="301"/>
      <c r="P268" s="301"/>
      <c r="Q268" s="301"/>
      <c r="R268" s="301"/>
      <c r="S268" s="301"/>
    </row>
    <row r="269" spans="1:19" x14ac:dyDescent="0.3">
      <c r="A269" s="419"/>
      <c r="B269" s="301"/>
      <c r="C269" s="301"/>
      <c r="D269" s="301"/>
      <c r="E269" s="301"/>
      <c r="F269" s="301"/>
      <c r="G269" s="301"/>
      <c r="H269" s="301"/>
      <c r="I269" s="301"/>
      <c r="J269" s="301"/>
      <c r="K269" s="301"/>
      <c r="L269" s="301"/>
      <c r="M269" s="301"/>
      <c r="N269" s="301"/>
      <c r="O269" s="301"/>
      <c r="P269" s="301"/>
      <c r="Q269" s="301"/>
      <c r="R269" s="301"/>
      <c r="S269" s="301"/>
    </row>
    <row r="270" spans="1:19" x14ac:dyDescent="0.3">
      <c r="A270" s="419"/>
      <c r="B270" s="301"/>
      <c r="C270" s="301"/>
      <c r="D270" s="301"/>
      <c r="E270" s="301"/>
      <c r="F270" s="301"/>
      <c r="G270" s="301"/>
      <c r="H270" s="301"/>
      <c r="I270" s="301"/>
      <c r="J270" s="301"/>
      <c r="K270" s="301"/>
      <c r="L270" s="301"/>
      <c r="M270" s="301"/>
      <c r="N270" s="301"/>
      <c r="O270" s="301"/>
      <c r="P270" s="301"/>
      <c r="Q270" s="301"/>
      <c r="R270" s="301"/>
      <c r="S270" s="301"/>
    </row>
    <row r="271" spans="1:19" x14ac:dyDescent="0.3">
      <c r="A271" s="419"/>
      <c r="B271" s="301"/>
      <c r="C271" s="301"/>
      <c r="D271" s="301"/>
      <c r="E271" s="301"/>
      <c r="F271" s="301"/>
      <c r="G271" s="301"/>
      <c r="H271" s="301"/>
      <c r="I271" s="301"/>
      <c r="J271" s="301"/>
      <c r="K271" s="301"/>
      <c r="L271" s="301"/>
      <c r="M271" s="301"/>
      <c r="N271" s="301"/>
      <c r="O271" s="301"/>
      <c r="P271" s="301"/>
      <c r="Q271" s="301"/>
      <c r="R271" s="301"/>
      <c r="S271" s="301"/>
    </row>
    <row r="272" spans="1:19" x14ac:dyDescent="0.3">
      <c r="A272" s="419"/>
      <c r="B272" s="301"/>
      <c r="C272" s="301"/>
      <c r="D272" s="301"/>
      <c r="E272" s="301"/>
      <c r="F272" s="301"/>
      <c r="G272" s="301"/>
      <c r="H272" s="301"/>
      <c r="I272" s="301"/>
      <c r="J272" s="301"/>
      <c r="K272" s="301"/>
      <c r="L272" s="301"/>
      <c r="M272" s="301"/>
      <c r="N272" s="301"/>
      <c r="O272" s="301"/>
      <c r="P272" s="301"/>
      <c r="Q272" s="301"/>
      <c r="R272" s="301"/>
      <c r="S272" s="301"/>
    </row>
    <row r="273" spans="1:19" x14ac:dyDescent="0.3">
      <c r="A273" s="419"/>
      <c r="B273" s="301"/>
      <c r="C273" s="301"/>
      <c r="D273" s="301"/>
      <c r="E273" s="301"/>
      <c r="F273" s="301"/>
      <c r="G273" s="301"/>
      <c r="H273" s="301"/>
      <c r="I273" s="301"/>
      <c r="J273" s="301"/>
      <c r="K273" s="301"/>
      <c r="L273" s="301"/>
      <c r="M273" s="301"/>
      <c r="N273" s="301"/>
      <c r="O273" s="301"/>
      <c r="P273" s="301"/>
      <c r="Q273" s="301"/>
      <c r="R273" s="301"/>
      <c r="S273" s="301"/>
    </row>
    <row r="274" spans="1:19" x14ac:dyDescent="0.3">
      <c r="A274" s="419"/>
      <c r="B274" s="301"/>
      <c r="C274" s="301"/>
      <c r="D274" s="301"/>
      <c r="E274" s="301"/>
      <c r="F274" s="301"/>
      <c r="G274" s="301"/>
      <c r="H274" s="301"/>
      <c r="I274" s="301"/>
      <c r="J274" s="301"/>
      <c r="K274" s="301"/>
      <c r="L274" s="301"/>
      <c r="M274" s="301"/>
      <c r="N274" s="301"/>
      <c r="O274" s="301"/>
      <c r="P274" s="301"/>
      <c r="Q274" s="301"/>
      <c r="R274" s="301"/>
      <c r="S274" s="301"/>
    </row>
    <row r="275" spans="1:19" x14ac:dyDescent="0.3">
      <c r="A275" s="419"/>
      <c r="B275" s="301"/>
      <c r="C275" s="301"/>
      <c r="D275" s="301"/>
      <c r="E275" s="301"/>
      <c r="F275" s="301"/>
      <c r="G275" s="301"/>
      <c r="H275" s="301"/>
      <c r="I275" s="301"/>
      <c r="J275" s="301"/>
      <c r="K275" s="301"/>
      <c r="L275" s="301"/>
      <c r="M275" s="301"/>
      <c r="N275" s="301"/>
      <c r="O275" s="301"/>
      <c r="P275" s="301"/>
      <c r="Q275" s="301"/>
      <c r="R275" s="301"/>
      <c r="S275" s="301"/>
    </row>
    <row r="276" spans="1:19" x14ac:dyDescent="0.3">
      <c r="A276" s="419"/>
      <c r="B276" s="301"/>
      <c r="C276" s="301"/>
      <c r="D276" s="301"/>
      <c r="E276" s="301"/>
      <c r="F276" s="301"/>
      <c r="G276" s="301"/>
      <c r="H276" s="301"/>
      <c r="I276" s="301"/>
      <c r="J276" s="301"/>
      <c r="K276" s="301"/>
      <c r="L276" s="301"/>
      <c r="M276" s="301"/>
      <c r="N276" s="301"/>
      <c r="O276" s="301"/>
      <c r="P276" s="301"/>
      <c r="Q276" s="301"/>
      <c r="R276" s="301"/>
      <c r="S276" s="301"/>
    </row>
    <row r="277" spans="1:19" x14ac:dyDescent="0.3">
      <c r="A277" s="419"/>
      <c r="B277" s="301"/>
      <c r="C277" s="301"/>
      <c r="D277" s="301"/>
      <c r="E277" s="301"/>
      <c r="F277" s="301"/>
      <c r="G277" s="301"/>
      <c r="H277" s="301"/>
      <c r="I277" s="301"/>
      <c r="J277" s="301"/>
      <c r="K277" s="301"/>
      <c r="L277" s="301"/>
      <c r="M277" s="301"/>
      <c r="N277" s="301"/>
      <c r="O277" s="301"/>
      <c r="P277" s="301"/>
      <c r="Q277" s="301"/>
      <c r="R277" s="301"/>
      <c r="S277" s="301"/>
    </row>
    <row r="278" spans="1:19" x14ac:dyDescent="0.3">
      <c r="A278" s="419"/>
      <c r="B278" s="301"/>
      <c r="C278" s="301"/>
      <c r="D278" s="301"/>
      <c r="E278" s="301"/>
      <c r="F278" s="301"/>
      <c r="G278" s="301"/>
      <c r="H278" s="301"/>
      <c r="I278" s="301"/>
      <c r="J278" s="301"/>
      <c r="K278" s="301"/>
      <c r="L278" s="301"/>
      <c r="M278" s="301"/>
      <c r="N278" s="301"/>
      <c r="O278" s="301"/>
      <c r="P278" s="301"/>
      <c r="Q278" s="301"/>
      <c r="R278" s="301"/>
      <c r="S278" s="301"/>
    </row>
    <row r="279" spans="1:19" x14ac:dyDescent="0.3">
      <c r="A279" s="419"/>
      <c r="B279" s="301"/>
      <c r="C279" s="301"/>
      <c r="D279" s="301"/>
      <c r="E279" s="301"/>
      <c r="F279" s="301"/>
      <c r="G279" s="301"/>
      <c r="H279" s="301"/>
      <c r="I279" s="301"/>
      <c r="J279" s="301"/>
      <c r="K279" s="301"/>
      <c r="L279" s="301"/>
      <c r="M279" s="301"/>
      <c r="N279" s="301"/>
      <c r="O279" s="301"/>
      <c r="P279" s="301"/>
      <c r="Q279" s="301"/>
      <c r="R279" s="301"/>
      <c r="S279" s="301"/>
    </row>
    <row r="280" spans="1:19" x14ac:dyDescent="0.3">
      <c r="A280" s="419"/>
      <c r="B280" s="301"/>
      <c r="C280" s="301"/>
      <c r="D280" s="301"/>
      <c r="E280" s="301"/>
      <c r="F280" s="301"/>
      <c r="G280" s="301"/>
      <c r="H280" s="301"/>
      <c r="I280" s="301"/>
      <c r="J280" s="301"/>
      <c r="K280" s="301"/>
      <c r="L280" s="301"/>
      <c r="M280" s="301"/>
      <c r="N280" s="301"/>
      <c r="O280" s="301"/>
      <c r="P280" s="301"/>
      <c r="Q280" s="301"/>
      <c r="R280" s="301"/>
      <c r="S280" s="301"/>
    </row>
    <row r="281" spans="1:19" x14ac:dyDescent="0.3">
      <c r="A281" s="419"/>
      <c r="B281" s="301"/>
      <c r="C281" s="301"/>
      <c r="D281" s="301"/>
      <c r="E281" s="301"/>
      <c r="F281" s="301"/>
      <c r="G281" s="301"/>
      <c r="H281" s="301"/>
      <c r="I281" s="301"/>
      <c r="J281" s="301"/>
      <c r="K281" s="301"/>
      <c r="L281" s="301"/>
      <c r="M281" s="301"/>
      <c r="N281" s="301"/>
      <c r="O281" s="301"/>
      <c r="P281" s="301"/>
      <c r="Q281" s="301"/>
      <c r="R281" s="301"/>
      <c r="S281" s="301"/>
    </row>
    <row r="282" spans="1:19" x14ac:dyDescent="0.3">
      <c r="A282" s="419"/>
      <c r="B282" s="301"/>
      <c r="C282" s="301"/>
      <c r="D282" s="301"/>
      <c r="E282" s="301"/>
      <c r="F282" s="301"/>
      <c r="G282" s="301"/>
      <c r="H282" s="301"/>
      <c r="I282" s="301"/>
      <c r="J282" s="301"/>
      <c r="K282" s="301"/>
      <c r="L282" s="301"/>
      <c r="M282" s="301"/>
      <c r="N282" s="301"/>
      <c r="O282" s="301"/>
      <c r="P282" s="301"/>
      <c r="Q282" s="301"/>
      <c r="R282" s="301"/>
      <c r="S282" s="301"/>
    </row>
    <row r="283" spans="1:19" x14ac:dyDescent="0.3">
      <c r="A283" s="419"/>
    </row>
    <row r="284" spans="1:19" x14ac:dyDescent="0.3">
      <c r="A284" s="419"/>
    </row>
    <row r="285" spans="1:19" x14ac:dyDescent="0.3">
      <c r="A285" s="419"/>
    </row>
    <row r="286" spans="1:19" x14ac:dyDescent="0.3">
      <c r="A286" s="419"/>
    </row>
    <row r="287" spans="1:19" x14ac:dyDescent="0.3">
      <c r="A287" s="419"/>
    </row>
    <row r="288" spans="1:19" x14ac:dyDescent="0.3">
      <c r="A288" s="419"/>
    </row>
    <row r="289" spans="1:1" x14ac:dyDescent="0.3">
      <c r="A289" s="419"/>
    </row>
    <row r="290" spans="1:1" x14ac:dyDescent="0.3">
      <c r="A290" s="419"/>
    </row>
    <row r="291" spans="1:1" x14ac:dyDescent="0.3">
      <c r="A291" s="419"/>
    </row>
  </sheetData>
  <mergeCells count="15">
    <mergeCell ref="B1:E1"/>
    <mergeCell ref="H1:M1"/>
    <mergeCell ref="N1:Q1"/>
    <mergeCell ref="H15:M15"/>
    <mergeCell ref="N22:Q22"/>
    <mergeCell ref="N35:Q35"/>
    <mergeCell ref="C48:G48"/>
    <mergeCell ref="A4:A5"/>
    <mergeCell ref="A6:A7"/>
    <mergeCell ref="A11:A12"/>
    <mergeCell ref="A13:A14"/>
    <mergeCell ref="B22:E22"/>
    <mergeCell ref="B25:E25"/>
    <mergeCell ref="B35:E35"/>
    <mergeCell ref="N25:Q25"/>
  </mergeCells>
  <pageMargins left="0.7" right="0.7" top="0.75" bottom="0.75" header="0.3" footer="0.3"/>
  <pageSetup paperSize="9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6"/>
  <sheetViews>
    <sheetView topLeftCell="A29" zoomScale="55" zoomScaleNormal="55" workbookViewId="0">
      <pane xSplit="1" topLeftCell="B1" activePane="topRight" state="frozen"/>
      <selection pane="topRight" activeCell="B55" sqref="B55"/>
    </sheetView>
  </sheetViews>
  <sheetFormatPr defaultColWidth="8.85546875" defaultRowHeight="18.75" x14ac:dyDescent="0.3"/>
  <cols>
    <col min="1" max="1" width="22.7109375" style="384" customWidth="1"/>
    <col min="2" max="2" width="33.7109375" style="296" customWidth="1"/>
    <col min="3" max="3" width="30.28515625" style="289" customWidth="1"/>
    <col min="4" max="4" width="32.42578125" style="289" customWidth="1"/>
    <col min="5" max="5" width="32.5703125" style="329" bestFit="1" customWidth="1"/>
    <col min="6" max="6" width="19" style="421" customWidth="1"/>
    <col min="7" max="7" width="17.140625" style="421" customWidth="1"/>
    <col min="8" max="8" width="11.5703125" style="296" bestFit="1" customWidth="1"/>
    <col min="9" max="9" width="16.7109375" style="289" customWidth="1"/>
    <col min="10" max="10" width="17.5703125" style="289" customWidth="1"/>
    <col min="11" max="11" width="12.28515625" style="353" bestFit="1" customWidth="1"/>
    <col min="12" max="12" width="9.85546875" style="353" customWidth="1"/>
    <col min="13" max="13" width="10.140625" style="329" bestFit="1" customWidth="1"/>
    <col min="14" max="14" width="11.85546875" style="296" bestFit="1" customWidth="1"/>
    <col min="15" max="15" width="12.28515625" style="289" bestFit="1" customWidth="1"/>
    <col min="16" max="16" width="11.85546875" style="289" bestFit="1" customWidth="1"/>
    <col min="17" max="17" width="12.28515625" style="329" bestFit="1" customWidth="1"/>
    <col min="18" max="19" width="10.140625" style="379" customWidth="1"/>
    <col min="20" max="16384" width="8.85546875" style="301"/>
  </cols>
  <sheetData>
    <row r="1" spans="1:22" ht="20.25" thickTop="1" thickBot="1" x14ac:dyDescent="0.35">
      <c r="A1" s="417"/>
      <c r="B1" s="2088" t="s">
        <v>3</v>
      </c>
      <c r="C1" s="2089"/>
      <c r="D1" s="2089"/>
      <c r="E1" s="2090"/>
      <c r="F1" s="298"/>
      <c r="G1" s="298"/>
      <c r="H1" s="2088" t="s">
        <v>6</v>
      </c>
      <c r="I1" s="2089"/>
      <c r="J1" s="2089"/>
      <c r="K1" s="2091"/>
      <c r="L1" s="2091"/>
      <c r="M1" s="2090"/>
      <c r="N1" s="2092" t="s">
        <v>13</v>
      </c>
      <c r="O1" s="2093"/>
      <c r="P1" s="2093"/>
      <c r="Q1" s="2094"/>
      <c r="R1" s="298"/>
      <c r="S1" s="299"/>
      <c r="T1" s="300"/>
    </row>
    <row r="2" spans="1:22" ht="20.25" thickTop="1" thickBot="1" x14ac:dyDescent="0.35">
      <c r="A2" s="418" t="s">
        <v>0</v>
      </c>
      <c r="B2" s="303" t="s">
        <v>1</v>
      </c>
      <c r="C2" s="304" t="s">
        <v>4</v>
      </c>
      <c r="D2" s="304" t="s">
        <v>2</v>
      </c>
      <c r="E2" s="305" t="s">
        <v>5</v>
      </c>
      <c r="F2" s="306" t="s">
        <v>26</v>
      </c>
      <c r="G2" s="306" t="s">
        <v>19</v>
      </c>
      <c r="H2" s="307" t="s">
        <v>1</v>
      </c>
      <c r="I2" s="308" t="s">
        <v>4</v>
      </c>
      <c r="J2" s="308" t="s">
        <v>2</v>
      </c>
      <c r="K2" s="308" t="s">
        <v>5</v>
      </c>
      <c r="L2" s="309" t="s">
        <v>26</v>
      </c>
      <c r="M2" s="310" t="s">
        <v>19</v>
      </c>
      <c r="N2" s="303" t="s">
        <v>1</v>
      </c>
      <c r="O2" s="304" t="s">
        <v>4</v>
      </c>
      <c r="P2" s="304" t="s">
        <v>2</v>
      </c>
      <c r="Q2" s="311" t="s">
        <v>5</v>
      </c>
      <c r="R2" s="312" t="s">
        <v>19</v>
      </c>
      <c r="S2" s="313" t="s">
        <v>26</v>
      </c>
    </row>
    <row r="3" spans="1:22" ht="20.100000000000001" customHeight="1" thickTop="1" x14ac:dyDescent="0.3">
      <c r="A3" s="2200">
        <v>44409</v>
      </c>
      <c r="B3" s="315"/>
      <c r="C3" s="263" t="s">
        <v>178</v>
      </c>
      <c r="D3" s="263" t="s">
        <v>152</v>
      </c>
      <c r="E3" s="316"/>
      <c r="F3" s="317"/>
      <c r="G3" s="318"/>
      <c r="H3" s="315"/>
      <c r="I3" s="263">
        <v>30</v>
      </c>
      <c r="J3" s="263">
        <v>50</v>
      </c>
      <c r="K3" s="263"/>
      <c r="L3" s="319"/>
      <c r="M3" s="320"/>
      <c r="N3" s="326"/>
      <c r="O3" s="335" t="s">
        <v>7</v>
      </c>
      <c r="P3" s="340" t="s">
        <v>9</v>
      </c>
      <c r="Q3" s="290"/>
      <c r="R3" s="322"/>
      <c r="S3" s="323"/>
      <c r="U3" s="324" t="s">
        <v>8</v>
      </c>
      <c r="V3" s="301" t="s">
        <v>10</v>
      </c>
    </row>
    <row r="4" spans="1:22" ht="20.100000000000001" customHeight="1" x14ac:dyDescent="0.3">
      <c r="A4" s="2178"/>
      <c r="B4" s="315"/>
      <c r="C4" s="263"/>
      <c r="D4" s="263" t="s">
        <v>97</v>
      </c>
      <c r="E4" s="316"/>
      <c r="F4" s="315"/>
      <c r="G4" s="318"/>
      <c r="H4" s="315"/>
      <c r="I4" s="263"/>
      <c r="J4" s="263">
        <v>22</v>
      </c>
      <c r="K4" s="263"/>
      <c r="L4" s="263"/>
      <c r="M4" s="320"/>
      <c r="N4" s="326"/>
      <c r="O4" s="514"/>
      <c r="P4" s="324" t="s">
        <v>8</v>
      </c>
      <c r="Q4" s="290"/>
      <c r="R4" s="327"/>
      <c r="S4" s="323"/>
      <c r="U4" s="324"/>
    </row>
    <row r="5" spans="1:22" ht="20.100000000000001" customHeight="1" x14ac:dyDescent="0.3">
      <c r="A5" s="2177">
        <v>44410</v>
      </c>
      <c r="B5" s="315"/>
      <c r="C5" s="263" t="s">
        <v>179</v>
      </c>
      <c r="D5" s="263" t="s">
        <v>152</v>
      </c>
      <c r="E5" s="316" t="s">
        <v>180</v>
      </c>
      <c r="F5" s="315"/>
      <c r="G5" s="318"/>
      <c r="H5" s="315"/>
      <c r="I5" s="263">
        <v>72</v>
      </c>
      <c r="J5" s="263">
        <v>30</v>
      </c>
      <c r="K5" s="263">
        <v>70</v>
      </c>
      <c r="L5" s="263"/>
      <c r="M5" s="320"/>
      <c r="N5" s="291"/>
      <c r="O5" s="335" t="s">
        <v>7</v>
      </c>
      <c r="P5" s="340" t="s">
        <v>9</v>
      </c>
      <c r="Q5" s="340" t="s">
        <v>9</v>
      </c>
      <c r="R5" s="327"/>
      <c r="S5" s="323"/>
      <c r="U5" s="324"/>
    </row>
    <row r="6" spans="1:22" ht="20.100000000000001" customHeight="1" x14ac:dyDescent="0.3">
      <c r="A6" s="2178"/>
      <c r="B6" s="315"/>
      <c r="C6" s="263"/>
      <c r="D6" s="263"/>
      <c r="E6" s="316" t="s">
        <v>169</v>
      </c>
      <c r="F6" s="315"/>
      <c r="G6" s="318"/>
      <c r="H6" s="315"/>
      <c r="I6" s="263"/>
      <c r="J6" s="263">
        <v>10</v>
      </c>
      <c r="K6" s="263"/>
      <c r="L6" s="263"/>
      <c r="M6" s="320"/>
      <c r="N6" s="291"/>
      <c r="O6" s="514"/>
      <c r="P6" s="340" t="s">
        <v>9</v>
      </c>
      <c r="Q6" s="290"/>
      <c r="R6" s="327"/>
      <c r="S6" s="323"/>
      <c r="U6" s="324"/>
    </row>
    <row r="7" spans="1:22" ht="20.100000000000001" customHeight="1" x14ac:dyDescent="0.3">
      <c r="A7" s="2177">
        <v>44411</v>
      </c>
      <c r="B7" s="315" t="s">
        <v>152</v>
      </c>
      <c r="D7" s="289" t="s">
        <v>152</v>
      </c>
      <c r="E7" s="329" t="s">
        <v>181</v>
      </c>
      <c r="F7" s="296"/>
      <c r="H7" s="296">
        <v>50</v>
      </c>
      <c r="J7" s="289">
        <v>70</v>
      </c>
      <c r="K7" s="289">
        <v>30</v>
      </c>
      <c r="L7" s="289"/>
      <c r="M7" s="422"/>
      <c r="N7" s="340" t="s">
        <v>9</v>
      </c>
      <c r="O7" s="321"/>
      <c r="P7" s="340" t="s">
        <v>9</v>
      </c>
      <c r="Q7" s="324" t="s">
        <v>8</v>
      </c>
      <c r="R7" s="334"/>
      <c r="S7" s="323"/>
      <c r="U7" s="335" t="s">
        <v>7</v>
      </c>
      <c r="V7" s="301" t="s">
        <v>11</v>
      </c>
    </row>
    <row r="8" spans="1:22" ht="20.100000000000001" customHeight="1" x14ac:dyDescent="0.3">
      <c r="A8" s="2178"/>
      <c r="B8" s="316" t="s">
        <v>169</v>
      </c>
      <c r="F8" s="296"/>
      <c r="G8" s="506"/>
      <c r="H8" s="296">
        <v>10</v>
      </c>
      <c r="K8" s="289"/>
      <c r="L8" s="289"/>
      <c r="M8" s="507"/>
      <c r="N8" s="340" t="s">
        <v>9</v>
      </c>
      <c r="O8" s="321"/>
      <c r="P8" s="290"/>
      <c r="Q8" s="290"/>
      <c r="R8" s="334"/>
      <c r="S8" s="323"/>
      <c r="U8" s="335"/>
    </row>
    <row r="9" spans="1:22" ht="20.100000000000001" customHeight="1" x14ac:dyDescent="0.3">
      <c r="A9" s="2177">
        <v>44412</v>
      </c>
      <c r="B9" s="2168" t="s">
        <v>182</v>
      </c>
      <c r="C9" s="2169"/>
      <c r="D9" s="2169"/>
      <c r="E9" s="2173"/>
      <c r="F9" s="294"/>
      <c r="G9" s="423"/>
      <c r="H9" s="294">
        <v>114</v>
      </c>
      <c r="I9" s="290">
        <v>108</v>
      </c>
      <c r="J9" s="290">
        <v>100</v>
      </c>
      <c r="K9" s="290">
        <v>97</v>
      </c>
      <c r="L9" s="290"/>
      <c r="M9" s="425"/>
      <c r="N9" s="2197" t="s">
        <v>7</v>
      </c>
      <c r="O9" s="2198"/>
      <c r="P9" s="2198"/>
      <c r="Q9" s="2199"/>
      <c r="R9" s="334"/>
      <c r="S9" s="339"/>
      <c r="U9" s="340" t="s">
        <v>9</v>
      </c>
      <c r="V9" s="301" t="s">
        <v>12</v>
      </c>
    </row>
    <row r="10" spans="1:22" ht="20.100000000000001" customHeight="1" x14ac:dyDescent="0.3">
      <c r="A10" s="2178"/>
      <c r="B10" s="315" t="s">
        <v>152</v>
      </c>
      <c r="C10" s="290"/>
      <c r="D10" s="315" t="s">
        <v>152</v>
      </c>
      <c r="E10" s="336"/>
      <c r="F10" s="294"/>
      <c r="G10" s="509"/>
      <c r="H10" s="294">
        <v>50</v>
      </c>
      <c r="I10" s="290"/>
      <c r="J10" s="290">
        <v>40</v>
      </c>
      <c r="K10" s="290"/>
      <c r="L10" s="290"/>
      <c r="M10" s="510"/>
      <c r="N10" s="340" t="s">
        <v>9</v>
      </c>
      <c r="O10" s="321"/>
      <c r="P10" s="340" t="s">
        <v>9</v>
      </c>
      <c r="Q10" s="290"/>
      <c r="R10" s="334"/>
      <c r="S10" s="339"/>
      <c r="U10" s="340"/>
    </row>
    <row r="11" spans="1:22" ht="20.100000000000001" customHeight="1" x14ac:dyDescent="0.3">
      <c r="A11" s="314">
        <v>44413</v>
      </c>
      <c r="B11" s="315" t="s">
        <v>152</v>
      </c>
      <c r="C11" s="290"/>
      <c r="D11" s="315" t="s">
        <v>152</v>
      </c>
      <c r="E11" s="342"/>
      <c r="F11" s="294"/>
      <c r="G11" s="423"/>
      <c r="H11" s="294">
        <v>45</v>
      </c>
      <c r="I11" s="290"/>
      <c r="J11" s="290">
        <v>135</v>
      </c>
      <c r="K11" s="290"/>
      <c r="L11" s="290"/>
      <c r="M11" s="425"/>
      <c r="N11" s="340" t="s">
        <v>9</v>
      </c>
      <c r="O11" s="321"/>
      <c r="P11" s="340" t="s">
        <v>9</v>
      </c>
      <c r="Q11" s="290"/>
      <c r="R11" s="334"/>
      <c r="S11" s="339"/>
      <c r="U11" s="343" t="s">
        <v>71</v>
      </c>
      <c r="V11" s="344" t="s">
        <v>51</v>
      </c>
    </row>
    <row r="12" spans="1:22" ht="44.25" customHeight="1" x14ac:dyDescent="0.3">
      <c r="A12" s="2177">
        <v>44414</v>
      </c>
      <c r="B12" s="341"/>
      <c r="C12" s="290"/>
      <c r="D12" s="288" t="s">
        <v>183</v>
      </c>
      <c r="E12" s="425"/>
      <c r="F12" s="294"/>
      <c r="G12" s="423"/>
      <c r="H12" s="294"/>
      <c r="I12" s="290"/>
      <c r="J12" s="290">
        <v>65</v>
      </c>
      <c r="K12" s="290"/>
      <c r="L12" s="290"/>
      <c r="M12" s="425"/>
      <c r="N12" s="291"/>
      <c r="O12" s="321"/>
      <c r="P12" s="325" t="s">
        <v>8</v>
      </c>
      <c r="Q12" s="290"/>
      <c r="R12" s="334"/>
      <c r="S12" s="339"/>
      <c r="U12" s="343"/>
      <c r="V12" s="344"/>
    </row>
    <row r="13" spans="1:22" ht="20.100000000000001" customHeight="1" x14ac:dyDescent="0.3">
      <c r="A13" s="2178"/>
      <c r="B13" s="341"/>
      <c r="C13" s="290"/>
      <c r="D13" s="290" t="s">
        <v>184</v>
      </c>
      <c r="E13" s="510"/>
      <c r="F13" s="294"/>
      <c r="G13" s="509"/>
      <c r="H13" s="294"/>
      <c r="I13" s="290"/>
      <c r="J13" s="290">
        <v>143</v>
      </c>
      <c r="K13" s="290"/>
      <c r="L13" s="290"/>
      <c r="M13" s="510"/>
      <c r="N13" s="291"/>
      <c r="O13" s="321"/>
      <c r="P13" s="340" t="s">
        <v>9</v>
      </c>
      <c r="Q13" s="290"/>
      <c r="R13" s="334"/>
      <c r="S13" s="339"/>
      <c r="U13" s="343"/>
      <c r="V13" s="344"/>
    </row>
    <row r="14" spans="1:22" ht="20.100000000000001" customHeight="1" x14ac:dyDescent="0.3">
      <c r="A14" s="314">
        <v>44415</v>
      </c>
      <c r="B14" s="2201" t="s">
        <v>182</v>
      </c>
      <c r="C14" s="2202"/>
      <c r="D14" s="2202"/>
      <c r="E14" s="2203"/>
      <c r="F14" s="341"/>
      <c r="G14" s="345"/>
      <c r="H14" s="294">
        <v>145</v>
      </c>
      <c r="I14" s="290">
        <v>150</v>
      </c>
      <c r="J14" s="290">
        <v>147</v>
      </c>
      <c r="K14" s="290">
        <v>170</v>
      </c>
      <c r="L14" s="290"/>
      <c r="M14" s="425"/>
      <c r="N14" s="2197" t="s">
        <v>7</v>
      </c>
      <c r="O14" s="2198"/>
      <c r="P14" s="2198"/>
      <c r="Q14" s="2199"/>
      <c r="R14" s="334"/>
      <c r="S14" s="339"/>
      <c r="T14" s="300"/>
    </row>
    <row r="15" spans="1:22" ht="20.100000000000001" customHeight="1" x14ac:dyDescent="0.3">
      <c r="A15" s="314">
        <v>44416</v>
      </c>
      <c r="B15" s="341" t="s">
        <v>185</v>
      </c>
      <c r="D15" s="406"/>
      <c r="E15" s="347"/>
      <c r="F15" s="348"/>
      <c r="H15" s="296">
        <v>15</v>
      </c>
      <c r="K15" s="289"/>
      <c r="L15" s="289"/>
      <c r="M15" s="422"/>
      <c r="N15" s="324" t="s">
        <v>8</v>
      </c>
      <c r="O15" s="321"/>
      <c r="P15" s="290"/>
      <c r="Q15" s="290"/>
      <c r="R15" s="334"/>
      <c r="S15" s="349"/>
      <c r="T15" s="300"/>
    </row>
    <row r="16" spans="1:22" ht="20.100000000000001" customHeight="1" x14ac:dyDescent="0.3">
      <c r="A16" s="2177">
        <v>44417</v>
      </c>
      <c r="B16" s="515"/>
      <c r="D16" s="406" t="s">
        <v>186</v>
      </c>
      <c r="E16" s="347"/>
      <c r="F16" s="348"/>
      <c r="G16" s="506"/>
      <c r="H16" s="505"/>
      <c r="I16" s="506"/>
      <c r="J16" s="506">
        <v>245</v>
      </c>
      <c r="K16" s="506"/>
      <c r="L16" s="506"/>
      <c r="M16" s="507"/>
      <c r="N16" s="291"/>
      <c r="O16" s="321"/>
      <c r="P16" s="324" t="s">
        <v>8</v>
      </c>
      <c r="Q16" s="290"/>
      <c r="R16" s="334"/>
      <c r="S16" s="349"/>
      <c r="T16" s="300"/>
    </row>
    <row r="17" spans="1:20" ht="20.100000000000001" customHeight="1" x14ac:dyDescent="0.3">
      <c r="A17" s="2178"/>
      <c r="B17" s="2095" t="s">
        <v>189</v>
      </c>
      <c r="C17" s="2096"/>
      <c r="D17" s="2096"/>
      <c r="E17" s="2097"/>
      <c r="F17" s="296"/>
      <c r="H17" s="354">
        <v>16114</v>
      </c>
      <c r="I17" s="513">
        <v>23615</v>
      </c>
      <c r="J17" s="513">
        <v>21829</v>
      </c>
      <c r="K17" s="513">
        <v>23700</v>
      </c>
      <c r="L17" s="513"/>
      <c r="M17" s="347"/>
      <c r="N17" s="2197" t="s">
        <v>7</v>
      </c>
      <c r="O17" s="2198"/>
      <c r="P17" s="2198"/>
      <c r="Q17" s="2199"/>
      <c r="R17" s="334"/>
      <c r="S17" s="349"/>
    </row>
    <row r="18" spans="1:20" ht="20.100000000000001" customHeight="1" x14ac:dyDescent="0.3">
      <c r="A18" s="314">
        <v>44418</v>
      </c>
      <c r="B18" s="420"/>
      <c r="D18" s="406"/>
      <c r="E18" s="347"/>
      <c r="F18" s="351"/>
      <c r="G18" s="352"/>
      <c r="K18" s="289"/>
      <c r="L18" s="289"/>
      <c r="M18" s="422"/>
      <c r="N18" s="291"/>
      <c r="O18" s="321"/>
      <c r="P18" s="290"/>
      <c r="Q18" s="290"/>
      <c r="R18" s="334"/>
      <c r="S18" s="349"/>
      <c r="T18" s="300"/>
    </row>
    <row r="19" spans="1:20" ht="20.100000000000001" customHeight="1" x14ac:dyDescent="0.3">
      <c r="A19" s="314">
        <v>44419</v>
      </c>
      <c r="B19" s="420"/>
      <c r="D19" s="403"/>
      <c r="E19" s="347"/>
      <c r="F19" s="351"/>
      <c r="G19" s="352"/>
      <c r="L19" s="289"/>
      <c r="M19" s="422"/>
      <c r="N19" s="291"/>
      <c r="O19" s="321"/>
      <c r="P19" s="290"/>
      <c r="Q19" s="290"/>
      <c r="R19" s="334"/>
      <c r="S19" s="349"/>
      <c r="T19" s="300"/>
    </row>
    <row r="20" spans="1:20" ht="20.100000000000001" customHeight="1" x14ac:dyDescent="0.3">
      <c r="A20" s="314">
        <v>44420</v>
      </c>
      <c r="B20" s="354"/>
      <c r="D20" s="403"/>
      <c r="E20" s="347"/>
      <c r="F20" s="346"/>
      <c r="G20" s="352"/>
      <c r="L20" s="289"/>
      <c r="M20" s="422"/>
      <c r="N20" s="291"/>
      <c r="O20" s="321"/>
      <c r="P20" s="290"/>
      <c r="Q20" s="290"/>
      <c r="R20" s="334"/>
      <c r="S20" s="349"/>
    </row>
    <row r="21" spans="1:20" ht="20.100000000000001" customHeight="1" x14ac:dyDescent="0.3">
      <c r="A21" s="314">
        <v>44421</v>
      </c>
      <c r="B21" s="420"/>
      <c r="E21" s="407"/>
      <c r="F21" s="346"/>
      <c r="G21" s="352"/>
      <c r="L21" s="289"/>
      <c r="M21" s="422"/>
      <c r="N21" s="291"/>
      <c r="O21" s="321"/>
      <c r="P21" s="290"/>
      <c r="Q21" s="290"/>
      <c r="R21" s="334"/>
      <c r="S21" s="349"/>
    </row>
    <row r="22" spans="1:20" ht="20.100000000000001" customHeight="1" x14ac:dyDescent="0.3">
      <c r="A22" s="314">
        <v>44422</v>
      </c>
      <c r="E22" s="355"/>
      <c r="F22" s="296"/>
      <c r="L22" s="289"/>
      <c r="M22" s="422"/>
      <c r="N22" s="291"/>
      <c r="O22" s="321"/>
      <c r="P22" s="290"/>
      <c r="Q22" s="290"/>
      <c r="R22" s="334"/>
      <c r="S22" s="349"/>
    </row>
    <row r="23" spans="1:20" ht="20.100000000000001" customHeight="1" x14ac:dyDescent="0.3">
      <c r="A23" s="314">
        <v>44423</v>
      </c>
      <c r="B23" s="294"/>
      <c r="C23" s="290"/>
      <c r="D23" s="288"/>
      <c r="E23" s="342"/>
      <c r="F23" s="294"/>
      <c r="G23" s="423"/>
      <c r="H23" s="294"/>
      <c r="I23" s="290"/>
      <c r="J23" s="290"/>
      <c r="K23" s="357"/>
      <c r="L23" s="357"/>
      <c r="M23" s="342"/>
      <c r="N23" s="291"/>
      <c r="O23" s="321"/>
      <c r="P23" s="290"/>
      <c r="Q23" s="290"/>
      <c r="R23" s="334"/>
      <c r="S23" s="349"/>
    </row>
    <row r="24" spans="1:20" ht="20.100000000000001" customHeight="1" x14ac:dyDescent="0.3">
      <c r="A24" s="314">
        <v>44424</v>
      </c>
      <c r="B24" s="294"/>
      <c r="C24" s="290"/>
      <c r="D24" s="290"/>
      <c r="E24" s="290"/>
      <c r="F24" s="294"/>
      <c r="G24" s="425"/>
      <c r="H24" s="424"/>
      <c r="I24" s="290"/>
      <c r="J24" s="290"/>
      <c r="K24" s="357"/>
      <c r="L24" s="357"/>
      <c r="M24" s="342"/>
      <c r="N24" s="291"/>
      <c r="O24" s="321"/>
      <c r="P24" s="290"/>
      <c r="Q24" s="290"/>
      <c r="R24" s="334"/>
      <c r="S24" s="358"/>
    </row>
    <row r="25" spans="1:20" ht="20.100000000000001" customHeight="1" x14ac:dyDescent="0.3">
      <c r="A25" s="314">
        <v>44425</v>
      </c>
      <c r="B25" s="291"/>
      <c r="C25" s="292"/>
      <c r="D25" s="423"/>
      <c r="E25" s="293"/>
      <c r="F25" s="294"/>
      <c r="G25" s="425"/>
      <c r="H25" s="424"/>
      <c r="I25" s="290"/>
      <c r="J25" s="290"/>
      <c r="K25" s="357"/>
      <c r="L25" s="357"/>
      <c r="M25" s="342"/>
      <c r="N25" s="291"/>
      <c r="O25" s="321"/>
      <c r="P25" s="290"/>
      <c r="Q25" s="290"/>
      <c r="R25" s="410"/>
      <c r="S25" s="358"/>
    </row>
    <row r="26" spans="1:20" ht="20.100000000000001" customHeight="1" x14ac:dyDescent="0.3">
      <c r="A26" s="314">
        <v>44426</v>
      </c>
      <c r="B26" s="291"/>
      <c r="C26" s="292"/>
      <c r="D26" s="288"/>
      <c r="E26" s="293"/>
      <c r="F26" s="294"/>
      <c r="G26" s="423"/>
      <c r="H26" s="291"/>
      <c r="I26" s="292"/>
      <c r="J26" s="423"/>
      <c r="K26" s="292"/>
      <c r="L26" s="292"/>
      <c r="M26" s="293"/>
      <c r="N26" s="291"/>
      <c r="O26" s="321"/>
      <c r="P26" s="290"/>
      <c r="Q26" s="290"/>
      <c r="R26" s="427"/>
      <c r="S26" s="349"/>
    </row>
    <row r="27" spans="1:20" ht="20.100000000000001" customHeight="1" x14ac:dyDescent="0.3">
      <c r="A27" s="314">
        <v>44427</v>
      </c>
      <c r="B27" s="294"/>
      <c r="C27" s="290"/>
      <c r="D27" s="290"/>
      <c r="E27" s="429"/>
      <c r="F27" s="294"/>
      <c r="G27" s="423"/>
      <c r="H27" s="294"/>
      <c r="I27" s="290"/>
      <c r="J27" s="290"/>
      <c r="K27" s="357"/>
      <c r="L27" s="357"/>
      <c r="M27" s="342"/>
      <c r="N27" s="291"/>
      <c r="O27" s="321"/>
      <c r="P27" s="290"/>
      <c r="Q27" s="290"/>
      <c r="R27" s="334"/>
      <c r="S27" s="349"/>
    </row>
    <row r="28" spans="1:20" ht="20.100000000000001" customHeight="1" x14ac:dyDescent="0.3">
      <c r="A28" s="314">
        <v>44428</v>
      </c>
      <c r="B28" s="294"/>
      <c r="C28" s="290"/>
      <c r="D28" s="288"/>
      <c r="E28" s="359"/>
      <c r="F28" s="294"/>
      <c r="G28" s="423"/>
      <c r="H28" s="294"/>
      <c r="I28" s="290"/>
      <c r="J28" s="428"/>
      <c r="K28" s="361"/>
      <c r="L28" s="361"/>
      <c r="M28" s="362"/>
      <c r="N28" s="291"/>
      <c r="O28" s="321"/>
      <c r="P28" s="290"/>
      <c r="Q28" s="290"/>
      <c r="R28" s="334"/>
      <c r="S28" s="349"/>
    </row>
    <row r="29" spans="1:20" ht="20.100000000000001" customHeight="1" x14ac:dyDescent="0.3">
      <c r="A29" s="314">
        <v>44429</v>
      </c>
      <c r="B29" s="294"/>
      <c r="C29" s="290"/>
      <c r="D29" s="288" t="s">
        <v>164</v>
      </c>
      <c r="E29" s="342"/>
      <c r="F29" s="294"/>
      <c r="G29" s="423"/>
      <c r="H29" s="294"/>
      <c r="I29" s="290"/>
      <c r="J29" s="428">
        <v>165</v>
      </c>
      <c r="K29" s="361"/>
      <c r="L29" s="361"/>
      <c r="M29" s="362"/>
      <c r="N29" s="291"/>
      <c r="O29" s="321"/>
      <c r="P29" s="324" t="s">
        <v>8</v>
      </c>
      <c r="Q29" s="290"/>
      <c r="R29" s="334"/>
      <c r="S29" s="349"/>
    </row>
    <row r="30" spans="1:20" ht="20.100000000000001" customHeight="1" x14ac:dyDescent="0.3">
      <c r="A30" s="314">
        <v>44430</v>
      </c>
      <c r="B30" s="415"/>
      <c r="C30" s="290"/>
      <c r="D30" s="288"/>
      <c r="E30" s="293"/>
      <c r="F30" s="294"/>
      <c r="G30" s="423"/>
      <c r="H30" s="2098"/>
      <c r="I30" s="290"/>
      <c r="J30" s="2100"/>
      <c r="K30" s="361"/>
      <c r="L30" s="361"/>
      <c r="M30" s="362"/>
      <c r="N30" s="291"/>
      <c r="O30" s="321"/>
      <c r="P30" s="290"/>
      <c r="Q30" s="290"/>
      <c r="R30" s="427"/>
      <c r="S30" s="349"/>
    </row>
    <row r="31" spans="1:20" ht="20.100000000000001" customHeight="1" x14ac:dyDescent="0.3">
      <c r="A31" s="314">
        <v>44431</v>
      </c>
      <c r="B31" s="416"/>
      <c r="C31" s="290"/>
      <c r="D31" s="288"/>
      <c r="E31" s="336"/>
      <c r="F31" s="294"/>
      <c r="G31" s="423"/>
      <c r="H31" s="2099"/>
      <c r="I31" s="290"/>
      <c r="J31" s="2101"/>
      <c r="K31" s="361"/>
      <c r="L31" s="361"/>
      <c r="M31" s="362"/>
      <c r="N31" s="291"/>
      <c r="O31" s="321"/>
      <c r="P31" s="290"/>
      <c r="Q31" s="290"/>
      <c r="R31" s="334"/>
      <c r="S31" s="349"/>
    </row>
    <row r="32" spans="1:20" ht="20.100000000000001" customHeight="1" x14ac:dyDescent="0.3">
      <c r="A32" s="314">
        <v>44432</v>
      </c>
      <c r="B32" s="294"/>
      <c r="C32" s="290"/>
      <c r="D32" s="288"/>
      <c r="E32" s="342"/>
      <c r="F32" s="294"/>
      <c r="G32" s="423"/>
      <c r="H32" s="294"/>
      <c r="I32" s="290"/>
      <c r="J32" s="508">
        <v>260</v>
      </c>
      <c r="K32" s="361"/>
      <c r="L32" s="361"/>
      <c r="M32" s="362"/>
      <c r="N32" s="291"/>
      <c r="O32" s="321"/>
      <c r="P32" s="324" t="s">
        <v>8</v>
      </c>
      <c r="Q32" s="290"/>
      <c r="R32" s="334"/>
      <c r="S32" s="349"/>
    </row>
    <row r="33" spans="1:23" ht="20.100000000000001" customHeight="1" x14ac:dyDescent="0.3">
      <c r="A33" s="314">
        <v>44433</v>
      </c>
      <c r="B33" s="294"/>
      <c r="C33" s="290"/>
      <c r="D33" s="288" t="s">
        <v>187</v>
      </c>
      <c r="E33" s="288" t="s">
        <v>187</v>
      </c>
      <c r="F33" s="294"/>
      <c r="G33" s="423"/>
      <c r="H33" s="294"/>
      <c r="I33" s="290"/>
      <c r="J33" s="508">
        <v>10</v>
      </c>
      <c r="K33" s="361">
        <v>15</v>
      </c>
      <c r="L33" s="361"/>
      <c r="M33" s="362"/>
      <c r="N33" s="291"/>
      <c r="O33" s="321"/>
      <c r="P33" s="335" t="s">
        <v>7</v>
      </c>
      <c r="Q33" s="335" t="s">
        <v>7</v>
      </c>
      <c r="R33" s="427"/>
      <c r="S33" s="349"/>
    </row>
    <row r="34" spans="1:23" ht="41.25" customHeight="1" x14ac:dyDescent="0.3">
      <c r="A34" s="2177">
        <v>44434</v>
      </c>
      <c r="B34" s="294"/>
      <c r="C34" s="290"/>
      <c r="D34" s="288" t="s">
        <v>188</v>
      </c>
      <c r="E34" s="288"/>
      <c r="F34" s="294"/>
      <c r="G34" s="509"/>
      <c r="H34" s="294"/>
      <c r="I34" s="290"/>
      <c r="J34" s="508">
        <v>35</v>
      </c>
      <c r="K34" s="361"/>
      <c r="L34" s="361"/>
      <c r="M34" s="362"/>
      <c r="N34" s="291"/>
      <c r="O34" s="321"/>
      <c r="P34" s="325" t="s">
        <v>8</v>
      </c>
      <c r="Q34" s="514"/>
      <c r="R34" s="511"/>
      <c r="S34" s="349"/>
    </row>
    <row r="35" spans="1:23" ht="20.100000000000001" customHeight="1" x14ac:dyDescent="0.3">
      <c r="A35" s="2178"/>
      <c r="B35" s="341"/>
      <c r="C35" s="290"/>
      <c r="D35" s="288" t="s">
        <v>152</v>
      </c>
      <c r="E35" s="288"/>
      <c r="F35" s="294"/>
      <c r="G35" s="423"/>
      <c r="H35" s="294"/>
      <c r="I35" s="290"/>
      <c r="J35" s="428">
        <v>10</v>
      </c>
      <c r="K35" s="361"/>
      <c r="L35" s="361"/>
      <c r="M35" s="362"/>
      <c r="N35" s="291"/>
      <c r="O35" s="321"/>
      <c r="P35" s="340" t="s">
        <v>9</v>
      </c>
      <c r="Q35" s="514"/>
      <c r="R35" s="427"/>
      <c r="S35" s="349"/>
    </row>
    <row r="36" spans="1:23" ht="42.75" customHeight="1" x14ac:dyDescent="0.3">
      <c r="A36" s="2177">
        <v>44435</v>
      </c>
      <c r="B36" s="515" t="s">
        <v>191</v>
      </c>
      <c r="C36" s="290"/>
      <c r="D36" s="288" t="s">
        <v>190</v>
      </c>
      <c r="E36" s="425"/>
      <c r="F36" s="294"/>
      <c r="G36" s="423"/>
      <c r="H36" s="294">
        <v>60</v>
      </c>
      <c r="I36" s="290"/>
      <c r="J36" s="290">
        <v>57</v>
      </c>
      <c r="K36" s="357"/>
      <c r="L36" s="357"/>
      <c r="M36" s="362"/>
      <c r="N36" s="512" t="s">
        <v>9</v>
      </c>
      <c r="O36" s="321"/>
      <c r="P36" s="325" t="s">
        <v>8</v>
      </c>
      <c r="Q36" s="290"/>
      <c r="R36" s="334"/>
      <c r="S36" s="349"/>
      <c r="V36" s="363"/>
      <c r="W36" s="363"/>
    </row>
    <row r="37" spans="1:23" ht="20.100000000000001" customHeight="1" x14ac:dyDescent="0.3">
      <c r="A37" s="2178"/>
      <c r="B37" s="515" t="s">
        <v>192</v>
      </c>
      <c r="C37" s="290"/>
      <c r="D37" s="288"/>
      <c r="E37" s="510"/>
      <c r="F37" s="294"/>
      <c r="G37" s="509"/>
      <c r="H37" s="294">
        <v>25</v>
      </c>
      <c r="I37" s="290"/>
      <c r="J37" s="290"/>
      <c r="K37" s="357"/>
      <c r="L37" s="357"/>
      <c r="M37" s="362"/>
      <c r="N37" s="335" t="s">
        <v>7</v>
      </c>
      <c r="O37" s="321"/>
      <c r="P37" s="290"/>
      <c r="Q37" s="290"/>
      <c r="R37" s="511"/>
      <c r="S37" s="349"/>
      <c r="V37" s="363"/>
      <c r="W37" s="363"/>
    </row>
    <row r="38" spans="1:23" ht="20.100000000000001" customHeight="1" x14ac:dyDescent="0.3">
      <c r="A38" s="314">
        <v>44436</v>
      </c>
      <c r="B38" s="291"/>
      <c r="C38" s="290"/>
      <c r="D38" s="288"/>
      <c r="E38" s="425"/>
      <c r="F38" s="294"/>
      <c r="G38" s="423"/>
      <c r="H38" s="294"/>
      <c r="I38" s="290"/>
      <c r="J38" s="290"/>
      <c r="K38" s="357"/>
      <c r="L38" s="357"/>
      <c r="M38" s="362"/>
      <c r="N38" s="291"/>
      <c r="O38" s="321"/>
      <c r="P38" s="290"/>
      <c r="Q38" s="290"/>
      <c r="R38" s="410"/>
      <c r="S38" s="349"/>
    </row>
    <row r="39" spans="1:23" ht="47.25" customHeight="1" x14ac:dyDescent="0.3">
      <c r="A39" s="2177">
        <v>44437</v>
      </c>
      <c r="B39" s="341" t="s">
        <v>152</v>
      </c>
      <c r="C39" s="290"/>
      <c r="D39" s="288" t="s">
        <v>193</v>
      </c>
      <c r="E39" s="425"/>
      <c r="F39" s="294"/>
      <c r="G39" s="423"/>
      <c r="H39" s="294">
        <v>10</v>
      </c>
      <c r="I39" s="290"/>
      <c r="J39" s="290">
        <v>42</v>
      </c>
      <c r="K39" s="357"/>
      <c r="L39" s="357"/>
      <c r="M39" s="362"/>
      <c r="N39" s="512" t="s">
        <v>9</v>
      </c>
      <c r="O39" s="321"/>
      <c r="P39" s="325" t="s">
        <v>8</v>
      </c>
      <c r="Q39" s="290"/>
      <c r="R39" s="334"/>
      <c r="S39" s="349"/>
    </row>
    <row r="40" spans="1:23" ht="20.100000000000001" customHeight="1" x14ac:dyDescent="0.3">
      <c r="A40" s="2178"/>
      <c r="B40" s="341"/>
      <c r="C40" s="290"/>
      <c r="D40" s="288"/>
      <c r="E40" s="510"/>
      <c r="F40" s="294"/>
      <c r="G40" s="509"/>
      <c r="H40" s="294"/>
      <c r="I40" s="290"/>
      <c r="J40" s="290">
        <v>60</v>
      </c>
      <c r="K40" s="357"/>
      <c r="L40" s="357"/>
      <c r="M40" s="362"/>
      <c r="N40" s="291"/>
      <c r="O40" s="321"/>
      <c r="P40" s="325" t="s">
        <v>8</v>
      </c>
      <c r="Q40" s="290"/>
      <c r="R40" s="334"/>
      <c r="S40" s="349"/>
    </row>
    <row r="41" spans="1:23" ht="39.75" customHeight="1" x14ac:dyDescent="0.3">
      <c r="A41" s="314">
        <v>44438</v>
      </c>
      <c r="B41" s="294"/>
      <c r="C41" s="290"/>
      <c r="D41" s="288" t="s">
        <v>193</v>
      </c>
      <c r="E41" s="425"/>
      <c r="F41" s="294"/>
      <c r="G41" s="423"/>
      <c r="H41" s="294"/>
      <c r="I41" s="290"/>
      <c r="J41" s="290"/>
      <c r="K41" s="357"/>
      <c r="L41" s="357"/>
      <c r="M41" s="362"/>
      <c r="N41" s="291"/>
      <c r="O41" s="321"/>
      <c r="P41" s="290"/>
      <c r="Q41" s="290"/>
      <c r="R41" s="334"/>
      <c r="S41" s="349"/>
    </row>
    <row r="42" spans="1:23" ht="41.25" customHeight="1" x14ac:dyDescent="0.3">
      <c r="A42" s="314">
        <v>44439</v>
      </c>
      <c r="B42" s="291"/>
      <c r="C42" s="290"/>
      <c r="D42" s="288" t="s">
        <v>197</v>
      </c>
      <c r="E42" s="425"/>
      <c r="F42" s="341"/>
      <c r="G42" s="423"/>
      <c r="H42" s="294">
        <v>20</v>
      </c>
      <c r="I42" s="290"/>
      <c r="J42" s="290"/>
      <c r="K42" s="357"/>
      <c r="L42" s="357"/>
      <c r="M42" s="342"/>
      <c r="N42" s="291"/>
      <c r="O42" s="321"/>
      <c r="P42" s="332" t="s">
        <v>7</v>
      </c>
      <c r="Q42" s="290"/>
      <c r="R42" s="334"/>
      <c r="S42" s="349"/>
    </row>
    <row r="43" spans="1:23" ht="19.5" thickBot="1" x14ac:dyDescent="0.35">
      <c r="A43" s="368" t="s">
        <v>20</v>
      </c>
      <c r="B43" s="369"/>
      <c r="C43" s="370"/>
      <c r="D43" s="370"/>
      <c r="E43" s="371"/>
      <c r="F43" s="369">
        <f>SUM(F3:F42)</f>
        <v>0</v>
      </c>
      <c r="G43" s="372"/>
      <c r="H43" s="369">
        <f t="shared" ref="H43:M43" si="0">SUM(H3:H42)</f>
        <v>16658</v>
      </c>
      <c r="I43" s="370">
        <f t="shared" si="0"/>
        <v>23975</v>
      </c>
      <c r="J43" s="370">
        <f t="shared" si="0"/>
        <v>23525</v>
      </c>
      <c r="K43" s="373">
        <f t="shared" si="0"/>
        <v>24082</v>
      </c>
      <c r="L43" s="373">
        <f t="shared" si="0"/>
        <v>0</v>
      </c>
      <c r="M43" s="371">
        <f t="shared" si="0"/>
        <v>0</v>
      </c>
      <c r="N43" s="374"/>
      <c r="O43" s="375"/>
      <c r="P43" s="375"/>
      <c r="Q43" s="376"/>
      <c r="R43" s="377"/>
      <c r="S43" s="378"/>
    </row>
    <row r="44" spans="1:23" s="300" customFormat="1" ht="19.5" thickBot="1" x14ac:dyDescent="0.35">
      <c r="A44" s="368" t="s">
        <v>21</v>
      </c>
      <c r="B44" s="379"/>
      <c r="C44" s="379"/>
      <c r="D44" s="379"/>
      <c r="E44" s="379"/>
      <c r="F44" s="379">
        <f>F43/60</f>
        <v>0</v>
      </c>
      <c r="G44" s="379"/>
      <c r="H44" s="380">
        <f t="shared" ref="H44:M44" si="1">H43/60</f>
        <v>277.63333333333333</v>
      </c>
      <c r="I44" s="380">
        <f t="shared" si="1"/>
        <v>399.58333333333331</v>
      </c>
      <c r="J44" s="380">
        <f t="shared" si="1"/>
        <v>392.08333333333331</v>
      </c>
      <c r="K44" s="380">
        <f t="shared" si="1"/>
        <v>401.36666666666667</v>
      </c>
      <c r="L44" s="380">
        <f t="shared" si="1"/>
        <v>0</v>
      </c>
      <c r="M44" s="380">
        <f t="shared" si="1"/>
        <v>0</v>
      </c>
      <c r="N44" s="379"/>
      <c r="O44" s="379"/>
      <c r="P44" s="379"/>
      <c r="Q44" s="379"/>
      <c r="R44" s="379"/>
      <c r="S44" s="379"/>
    </row>
    <row r="45" spans="1:23" s="300" customFormat="1" x14ac:dyDescent="0.3">
      <c r="A45" s="379" t="s">
        <v>41</v>
      </c>
      <c r="B45" s="379"/>
      <c r="C45" s="379"/>
      <c r="D45" s="379"/>
      <c r="E45" s="379"/>
      <c r="F45" s="379"/>
      <c r="G45" s="379"/>
      <c r="H45" s="381">
        <f>(H15)/60</f>
        <v>0.25</v>
      </c>
      <c r="I45" s="381">
        <f>(I34)/60</f>
        <v>0</v>
      </c>
      <c r="J45" s="381">
        <f>(J4+J12+J16+J29+J34+J39+J40+J36+J32)/60</f>
        <v>15.85</v>
      </c>
      <c r="K45" s="381">
        <f>(K7)/60</f>
        <v>0.5</v>
      </c>
      <c r="L45" s="382">
        <f t="shared" ref="L45:M47" si="2">L23/24</f>
        <v>0</v>
      </c>
      <c r="M45" s="382">
        <f t="shared" si="2"/>
        <v>0</v>
      </c>
      <c r="N45" s="379"/>
      <c r="O45" s="379"/>
      <c r="P45" s="379"/>
      <c r="Q45" s="379"/>
      <c r="R45" s="379"/>
      <c r="S45" s="379"/>
    </row>
    <row r="46" spans="1:23" s="300" customFormat="1" x14ac:dyDescent="0.3">
      <c r="A46" s="379" t="s">
        <v>42</v>
      </c>
      <c r="B46" s="379"/>
      <c r="C46" s="379"/>
      <c r="D46" s="379"/>
      <c r="E46" s="379"/>
      <c r="F46" s="379"/>
      <c r="G46" s="379"/>
      <c r="H46" s="381">
        <f>(H9+H14+H17+H37)/60</f>
        <v>273.3</v>
      </c>
      <c r="I46" s="381">
        <f>(I3+I5+I9+I14+I17)/60</f>
        <v>399.58333333333331</v>
      </c>
      <c r="J46" s="381">
        <f>(J9+J14+J17+J33+J42)/60</f>
        <v>368.1</v>
      </c>
      <c r="K46" s="381">
        <f>(K9+K14+K17+K33)/60</f>
        <v>399.7</v>
      </c>
      <c r="L46" s="382">
        <f t="shared" si="2"/>
        <v>0</v>
      </c>
      <c r="M46" s="382">
        <f t="shared" si="2"/>
        <v>0</v>
      </c>
      <c r="N46" s="379"/>
      <c r="O46" s="379"/>
      <c r="P46" s="379"/>
      <c r="Q46" s="379"/>
      <c r="R46" s="379"/>
      <c r="S46" s="379"/>
    </row>
    <row r="47" spans="1:23" s="300" customFormat="1" x14ac:dyDescent="0.3">
      <c r="A47" s="379" t="s">
        <v>43</v>
      </c>
      <c r="B47" s="379"/>
      <c r="C47" s="379"/>
      <c r="D47" s="379"/>
      <c r="E47" s="379"/>
      <c r="F47" s="379"/>
      <c r="G47" s="379"/>
      <c r="H47" s="381">
        <f>(H7+H8+H10+H11+H36+H39)/60</f>
        <v>3.75</v>
      </c>
      <c r="I47" s="381">
        <v>0</v>
      </c>
      <c r="J47" s="381">
        <f>(J3+J5+J6+J7+J10+J11+J35+J13)/60</f>
        <v>8.1333333333333329</v>
      </c>
      <c r="K47" s="381">
        <f>(K5)/60</f>
        <v>1.1666666666666667</v>
      </c>
      <c r="L47" s="382">
        <f t="shared" si="2"/>
        <v>0</v>
      </c>
      <c r="M47" s="382">
        <f t="shared" si="2"/>
        <v>0</v>
      </c>
      <c r="N47" s="379"/>
      <c r="O47" s="379"/>
      <c r="P47" s="379"/>
      <c r="Q47" s="379"/>
      <c r="R47" s="379"/>
      <c r="S47" s="379"/>
    </row>
    <row r="48" spans="1:23" x14ac:dyDescent="0.3">
      <c r="A48" s="426" t="s">
        <v>141</v>
      </c>
      <c r="B48" s="301"/>
      <c r="C48" s="301"/>
      <c r="D48" s="301"/>
      <c r="E48" s="301"/>
      <c r="F48" s="301"/>
      <c r="G48" s="301"/>
      <c r="H48" s="381">
        <f>(H41)/60</f>
        <v>0</v>
      </c>
      <c r="I48" s="381">
        <f>(I41)/60</f>
        <v>0</v>
      </c>
      <c r="J48" s="381">
        <f>(J41)/60</f>
        <v>0</v>
      </c>
      <c r="K48" s="381">
        <f>(K41)/60</f>
        <v>0</v>
      </c>
      <c r="L48" s="301"/>
      <c r="M48" s="301"/>
      <c r="N48" s="301"/>
      <c r="O48" s="301"/>
      <c r="P48" s="301"/>
      <c r="Q48" s="301"/>
      <c r="R48" s="301"/>
      <c r="S48" s="301"/>
    </row>
    <row r="49" spans="1:19" x14ac:dyDescent="0.3">
      <c r="A49" s="426"/>
      <c r="B49" s="301"/>
      <c r="C49" s="301"/>
      <c r="D49" s="301"/>
      <c r="E49" s="301"/>
      <c r="F49" s="301"/>
      <c r="G49" s="301"/>
      <c r="H49" s="301"/>
      <c r="I49" s="379"/>
      <c r="J49" s="300"/>
      <c r="K49" s="301"/>
      <c r="L49" s="301"/>
      <c r="M49" s="301"/>
      <c r="N49" s="301"/>
      <c r="O49" s="301"/>
      <c r="P49" s="301"/>
      <c r="Q49" s="301"/>
      <c r="R49" s="301"/>
      <c r="S49" s="301"/>
    </row>
    <row r="50" spans="1:19" x14ac:dyDescent="0.3">
      <c r="A50" s="379"/>
      <c r="B50" s="301"/>
      <c r="C50" s="301"/>
      <c r="D50" s="301"/>
      <c r="E50" s="301"/>
      <c r="F50" s="301"/>
      <c r="G50" s="301"/>
      <c r="H50" s="301"/>
      <c r="I50" s="301"/>
      <c r="J50" s="301"/>
      <c r="K50" s="300"/>
      <c r="L50" s="301"/>
      <c r="M50" s="301"/>
      <c r="N50" s="301"/>
      <c r="O50" s="301"/>
      <c r="P50" s="301"/>
      <c r="Q50" s="301"/>
      <c r="R50" s="301"/>
      <c r="S50" s="301"/>
    </row>
    <row r="51" spans="1:19" x14ac:dyDescent="0.3">
      <c r="A51" s="379"/>
      <c r="B51" s="301"/>
      <c r="C51" s="301"/>
      <c r="D51" s="301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1:19" x14ac:dyDescent="0.3">
      <c r="A52" s="379"/>
      <c r="B52" s="301"/>
      <c r="C52" s="301"/>
      <c r="D52" s="301"/>
      <c r="E52" s="383"/>
      <c r="F52" s="383"/>
      <c r="G52" s="363"/>
      <c r="H52" s="363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19" ht="19.5" x14ac:dyDescent="0.35">
      <c r="B53" s="301"/>
      <c r="C53" s="2085" t="s">
        <v>177</v>
      </c>
      <c r="D53" s="2086"/>
      <c r="E53" s="2086"/>
      <c r="F53" s="2086"/>
      <c r="G53" s="2087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19" ht="19.5" thickBot="1" x14ac:dyDescent="0.35">
      <c r="B54" s="301"/>
      <c r="C54" s="301"/>
      <c r="D54" s="301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19" ht="19.5" thickBot="1" x14ac:dyDescent="0.35">
      <c r="B55" s="301"/>
      <c r="C55" s="385"/>
      <c r="D55" s="385" t="s">
        <v>1</v>
      </c>
      <c r="E55" s="386" t="s">
        <v>101</v>
      </c>
      <c r="F55" s="386" t="s">
        <v>102</v>
      </c>
      <c r="G55" s="386" t="s">
        <v>103</v>
      </c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19" x14ac:dyDescent="0.3">
      <c r="B56" s="301"/>
      <c r="C56" s="387" t="s">
        <v>108</v>
      </c>
      <c r="D56" s="388">
        <f>H45</f>
        <v>0.25</v>
      </c>
      <c r="E56" s="388">
        <f t="shared" ref="E56:F59" si="3">J45</f>
        <v>15.85</v>
      </c>
      <c r="F56" s="388">
        <f t="shared" si="3"/>
        <v>0.5</v>
      </c>
      <c r="G56" s="389">
        <f>I45</f>
        <v>0</v>
      </c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19" x14ac:dyDescent="0.3">
      <c r="A57" s="426"/>
      <c r="B57" s="301"/>
      <c r="C57" s="390" t="s">
        <v>109</v>
      </c>
      <c r="D57" s="391">
        <f>H46</f>
        <v>273.3</v>
      </c>
      <c r="E57" s="391">
        <f t="shared" si="3"/>
        <v>368.1</v>
      </c>
      <c r="F57" s="391">
        <f t="shared" si="3"/>
        <v>399.7</v>
      </c>
      <c r="G57" s="392">
        <f>I46</f>
        <v>399.58333333333331</v>
      </c>
      <c r="H57" s="301"/>
      <c r="I57" s="516"/>
      <c r="J57" s="516"/>
      <c r="K57" s="516"/>
      <c r="L57" s="516"/>
      <c r="M57" s="301"/>
      <c r="N57" s="301"/>
      <c r="O57" s="301"/>
      <c r="P57" s="301"/>
      <c r="Q57" s="301"/>
      <c r="R57" s="301"/>
      <c r="S57" s="301"/>
    </row>
    <row r="58" spans="1:19" x14ac:dyDescent="0.3">
      <c r="A58" s="419"/>
      <c r="B58" s="301"/>
      <c r="C58" s="390" t="s">
        <v>110</v>
      </c>
      <c r="D58" s="391">
        <f>H47</f>
        <v>3.75</v>
      </c>
      <c r="E58" s="391">
        <f t="shared" si="3"/>
        <v>8.1333333333333329</v>
      </c>
      <c r="F58" s="391">
        <f t="shared" si="3"/>
        <v>1.1666666666666667</v>
      </c>
      <c r="G58" s="392">
        <f>I47</f>
        <v>0</v>
      </c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19" ht="19.5" thickBot="1" x14ac:dyDescent="0.35">
      <c r="A59" s="419"/>
      <c r="B59" s="301"/>
      <c r="C59" s="393" t="s">
        <v>111</v>
      </c>
      <c r="D59" s="394">
        <f>H48</f>
        <v>0</v>
      </c>
      <c r="E59" s="394">
        <f t="shared" si="3"/>
        <v>0</v>
      </c>
      <c r="F59" s="394">
        <f t="shared" si="3"/>
        <v>0</v>
      </c>
      <c r="G59" s="394">
        <f>I48</f>
        <v>0</v>
      </c>
      <c r="H59" s="301"/>
      <c r="I59" s="301"/>
      <c r="J59" s="301" t="s">
        <v>196</v>
      </c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19" ht="19.5" thickBot="1" x14ac:dyDescent="0.35">
      <c r="A60" s="419"/>
      <c r="B60" s="301"/>
      <c r="C60" s="395" t="s">
        <v>100</v>
      </c>
      <c r="D60" s="396">
        <f>D56+D57+D58+D59</f>
        <v>277.3</v>
      </c>
      <c r="E60" s="396">
        <f>E56+E57+E58+E59</f>
        <v>392.08333333333337</v>
      </c>
      <c r="F60" s="396">
        <f>F56+F57+F58+F59</f>
        <v>401.36666666666667</v>
      </c>
      <c r="G60" s="396">
        <f>G56+G57+G58+G59</f>
        <v>399.58333333333331</v>
      </c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19" x14ac:dyDescent="0.3">
      <c r="A61" s="419"/>
      <c r="B61" s="301"/>
      <c r="C61" s="301"/>
      <c r="D61" s="301"/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19" x14ac:dyDescent="0.3">
      <c r="A62" s="419"/>
      <c r="B62" s="301"/>
      <c r="C62" s="523" t="s">
        <v>106</v>
      </c>
      <c r="D62" s="521">
        <f>D56+D57+D58+E56+E57+E58+F56+F57+F58+G56+G57+G58</f>
        <v>1470.3333333333333</v>
      </c>
      <c r="E62" s="522"/>
      <c r="F62" s="522"/>
      <c r="G62" s="522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19" ht="40.5" customHeight="1" x14ac:dyDescent="0.3">
      <c r="A63" s="419"/>
      <c r="B63" s="301"/>
      <c r="C63" s="520" t="s">
        <v>195</v>
      </c>
      <c r="D63" s="521">
        <f>AVERAGE(D59:G59)</f>
        <v>0</v>
      </c>
      <c r="E63" s="522"/>
      <c r="F63" s="522"/>
      <c r="G63" s="522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19" ht="90.75" customHeight="1" x14ac:dyDescent="0.3">
      <c r="A64" s="419"/>
      <c r="B64" s="301"/>
      <c r="C64" s="517" t="s">
        <v>194</v>
      </c>
      <c r="D64" s="518">
        <f>H17/60</f>
        <v>268.56666666666666</v>
      </c>
      <c r="E64" s="518">
        <f>J17/60</f>
        <v>363.81666666666666</v>
      </c>
      <c r="F64" s="519">
        <f>K17/60</f>
        <v>395</v>
      </c>
      <c r="G64" s="518">
        <f>I17/60</f>
        <v>393.58333333333331</v>
      </c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  <row r="65" spans="1:19" x14ac:dyDescent="0.3">
      <c r="A65" s="419"/>
      <c r="B65" s="301"/>
      <c r="C65" s="301"/>
      <c r="D65" s="301"/>
      <c r="E65" s="301"/>
      <c r="F65" s="301"/>
      <c r="G65" s="301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</row>
    <row r="66" spans="1:19" x14ac:dyDescent="0.3">
      <c r="A66" s="419"/>
      <c r="B66" s="301"/>
      <c r="C66" s="301"/>
      <c r="D66" s="301"/>
      <c r="E66" s="301"/>
      <c r="F66" s="301"/>
      <c r="G66" s="301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1"/>
      <c r="S66" s="301"/>
    </row>
    <row r="67" spans="1:19" x14ac:dyDescent="0.3">
      <c r="A67" s="419"/>
      <c r="B67" s="301"/>
      <c r="C67" s="301"/>
      <c r="D67" s="301"/>
      <c r="E67" s="301"/>
      <c r="F67" s="301"/>
      <c r="G67" s="301"/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</row>
    <row r="68" spans="1:19" x14ac:dyDescent="0.3">
      <c r="A68" s="419"/>
      <c r="B68" s="301"/>
      <c r="C68" s="301"/>
      <c r="D68" s="301"/>
      <c r="E68" s="301"/>
      <c r="F68" s="301"/>
      <c r="G68" s="301"/>
      <c r="H68" s="301"/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</row>
    <row r="69" spans="1:19" x14ac:dyDescent="0.3">
      <c r="A69" s="419"/>
      <c r="B69" s="301"/>
      <c r="C69" s="301"/>
      <c r="D69" s="301"/>
      <c r="E69" s="301"/>
      <c r="F69" s="301"/>
      <c r="G69" s="301"/>
      <c r="H69" s="301"/>
      <c r="I69" s="301"/>
      <c r="J69" s="301"/>
      <c r="K69" s="301"/>
      <c r="L69" s="301"/>
      <c r="M69" s="301"/>
      <c r="N69" s="301"/>
      <c r="O69" s="301"/>
      <c r="P69" s="301"/>
      <c r="Q69" s="301"/>
      <c r="R69" s="301"/>
      <c r="S69" s="301"/>
    </row>
    <row r="70" spans="1:19" x14ac:dyDescent="0.3">
      <c r="A70" s="419"/>
      <c r="B70" s="301"/>
      <c r="C70" s="301"/>
      <c r="D70" s="301"/>
      <c r="E70" s="301"/>
      <c r="F70" s="301"/>
      <c r="G70" s="301"/>
      <c r="H70" s="301"/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</row>
    <row r="71" spans="1:19" x14ac:dyDescent="0.3">
      <c r="A71" s="419"/>
      <c r="B71" s="301"/>
      <c r="C71" s="301"/>
      <c r="D71" s="301"/>
      <c r="E71" s="301"/>
      <c r="F71" s="301"/>
      <c r="G71" s="301"/>
      <c r="H71" s="301"/>
      <c r="I71" s="301"/>
      <c r="J71" s="301"/>
      <c r="K71" s="301"/>
      <c r="L71" s="301"/>
      <c r="M71" s="301"/>
      <c r="N71" s="301"/>
      <c r="O71" s="301"/>
      <c r="P71" s="301"/>
      <c r="Q71" s="301"/>
      <c r="R71" s="301"/>
      <c r="S71" s="301"/>
    </row>
    <row r="72" spans="1:19" x14ac:dyDescent="0.3">
      <c r="A72" s="419"/>
      <c r="B72" s="301"/>
      <c r="C72" s="301"/>
      <c r="D72" s="301"/>
      <c r="E72" s="301"/>
      <c r="F72" s="301"/>
      <c r="G72" s="301"/>
      <c r="H72" s="301"/>
      <c r="I72" s="301"/>
      <c r="J72" s="301"/>
      <c r="K72" s="301"/>
      <c r="L72" s="301"/>
      <c r="M72" s="301"/>
      <c r="N72" s="301"/>
      <c r="O72" s="301"/>
      <c r="P72" s="301"/>
      <c r="Q72" s="301"/>
      <c r="R72" s="301"/>
      <c r="S72" s="301"/>
    </row>
    <row r="73" spans="1:19" x14ac:dyDescent="0.3">
      <c r="A73" s="419"/>
      <c r="B73" s="301"/>
      <c r="C73" s="301"/>
      <c r="D73" s="301"/>
      <c r="E73" s="301"/>
      <c r="F73" s="301"/>
      <c r="G73" s="301"/>
      <c r="H73" s="301"/>
      <c r="I73" s="301"/>
      <c r="J73" s="301"/>
      <c r="K73" s="301"/>
      <c r="L73" s="301"/>
      <c r="M73" s="301"/>
      <c r="N73" s="301"/>
      <c r="O73" s="301"/>
      <c r="P73" s="301"/>
      <c r="Q73" s="301"/>
      <c r="R73" s="301"/>
      <c r="S73" s="301"/>
    </row>
    <row r="74" spans="1:19" x14ac:dyDescent="0.3">
      <c r="A74" s="419"/>
      <c r="B74" s="301"/>
      <c r="C74" s="301"/>
      <c r="D74" s="301"/>
      <c r="E74" s="301"/>
      <c r="F74" s="301"/>
      <c r="G74" s="301"/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</row>
    <row r="75" spans="1:19" x14ac:dyDescent="0.3">
      <c r="A75" s="419"/>
      <c r="B75" s="301"/>
      <c r="C75" s="301"/>
      <c r="D75" s="301"/>
      <c r="E75" s="301"/>
      <c r="F75" s="301"/>
      <c r="G75" s="301"/>
      <c r="H75" s="301"/>
      <c r="I75" s="301"/>
      <c r="J75" s="301"/>
      <c r="K75" s="301"/>
      <c r="L75" s="301"/>
      <c r="M75" s="301"/>
      <c r="N75" s="301"/>
      <c r="O75" s="301"/>
      <c r="P75" s="301"/>
      <c r="Q75" s="301"/>
      <c r="R75" s="301"/>
      <c r="S75" s="301"/>
    </row>
    <row r="76" spans="1:19" x14ac:dyDescent="0.3">
      <c r="A76" s="419"/>
      <c r="B76" s="301"/>
      <c r="C76" s="301"/>
      <c r="D76" s="301"/>
      <c r="E76" s="301"/>
      <c r="F76" s="301"/>
      <c r="G76" s="301"/>
      <c r="H76" s="301"/>
      <c r="I76" s="301"/>
      <c r="J76" s="301"/>
      <c r="K76" s="301"/>
      <c r="L76" s="301"/>
      <c r="M76" s="301"/>
      <c r="N76" s="301"/>
      <c r="O76" s="301"/>
      <c r="P76" s="301"/>
      <c r="Q76" s="301"/>
      <c r="R76" s="301"/>
      <c r="S76" s="301"/>
    </row>
    <row r="77" spans="1:19" x14ac:dyDescent="0.3">
      <c r="A77" s="419"/>
      <c r="B77" s="301"/>
      <c r="C77" s="301"/>
      <c r="D77" s="301"/>
      <c r="E77" s="301"/>
      <c r="F77" s="301"/>
      <c r="G77" s="301"/>
      <c r="H77" s="301"/>
      <c r="I77" s="301"/>
      <c r="J77" s="301"/>
      <c r="K77" s="301"/>
      <c r="L77" s="301"/>
      <c r="M77" s="301"/>
      <c r="N77" s="301"/>
      <c r="O77" s="301"/>
      <c r="P77" s="301"/>
      <c r="Q77" s="301"/>
      <c r="R77" s="301"/>
      <c r="S77" s="301"/>
    </row>
    <row r="78" spans="1:19" x14ac:dyDescent="0.3">
      <c r="A78" s="419"/>
      <c r="B78" s="301"/>
      <c r="C78" s="301"/>
      <c r="D78" s="301"/>
      <c r="E78" s="301"/>
      <c r="F78" s="301"/>
      <c r="G78" s="301"/>
      <c r="H78" s="301"/>
      <c r="I78" s="301"/>
      <c r="J78" s="301"/>
      <c r="K78" s="301"/>
      <c r="L78" s="301"/>
      <c r="M78" s="301"/>
      <c r="N78" s="301"/>
      <c r="O78" s="301"/>
      <c r="P78" s="301"/>
      <c r="Q78" s="301"/>
      <c r="R78" s="301"/>
      <c r="S78" s="301"/>
    </row>
    <row r="79" spans="1:19" x14ac:dyDescent="0.3">
      <c r="A79" s="419"/>
      <c r="B79" s="301"/>
      <c r="C79" s="301"/>
      <c r="D79" s="301"/>
      <c r="E79" s="301"/>
      <c r="F79" s="301"/>
      <c r="G79" s="301"/>
      <c r="H79" s="301"/>
      <c r="I79" s="301"/>
      <c r="J79" s="301"/>
      <c r="K79" s="301"/>
      <c r="L79" s="301"/>
      <c r="M79" s="301"/>
      <c r="N79" s="301"/>
      <c r="O79" s="301"/>
      <c r="P79" s="301"/>
      <c r="Q79" s="301"/>
      <c r="R79" s="301"/>
      <c r="S79" s="301"/>
    </row>
    <row r="80" spans="1:19" x14ac:dyDescent="0.3">
      <c r="A80" s="419"/>
      <c r="B80" s="301"/>
      <c r="C80" s="301"/>
      <c r="D80" s="301"/>
      <c r="E80" s="301"/>
      <c r="F80" s="301"/>
      <c r="G80" s="301"/>
      <c r="H80" s="301"/>
      <c r="I80" s="301"/>
      <c r="J80" s="301"/>
      <c r="K80" s="301"/>
      <c r="L80" s="301"/>
      <c r="M80" s="301"/>
      <c r="N80" s="301"/>
      <c r="O80" s="301"/>
      <c r="P80" s="301"/>
      <c r="Q80" s="301"/>
      <c r="R80" s="301"/>
      <c r="S80" s="301"/>
    </row>
    <row r="81" spans="1:19" x14ac:dyDescent="0.3">
      <c r="A81" s="419"/>
      <c r="B81" s="301"/>
      <c r="C81" s="301"/>
      <c r="D81" s="301"/>
      <c r="E81" s="301"/>
      <c r="F81" s="301"/>
      <c r="G81" s="301"/>
      <c r="H81" s="301"/>
      <c r="I81" s="301"/>
      <c r="J81" s="301"/>
      <c r="K81" s="301"/>
      <c r="L81" s="301"/>
      <c r="M81" s="301"/>
      <c r="N81" s="301"/>
      <c r="O81" s="301"/>
      <c r="P81" s="301"/>
      <c r="Q81" s="301"/>
      <c r="R81" s="301"/>
      <c r="S81" s="301"/>
    </row>
    <row r="82" spans="1:19" x14ac:dyDescent="0.3">
      <c r="A82" s="419"/>
      <c r="B82" s="301"/>
      <c r="C82" s="301"/>
      <c r="D82" s="301"/>
      <c r="E82" s="301"/>
      <c r="F82" s="301"/>
      <c r="G82" s="301"/>
      <c r="H82" s="301"/>
      <c r="I82" s="301"/>
      <c r="J82" s="301"/>
      <c r="K82" s="301"/>
      <c r="L82" s="301"/>
      <c r="M82" s="301"/>
      <c r="N82" s="301"/>
      <c r="O82" s="301"/>
      <c r="P82" s="301"/>
      <c r="Q82" s="301"/>
      <c r="R82" s="301"/>
      <c r="S82" s="301"/>
    </row>
    <row r="83" spans="1:19" x14ac:dyDescent="0.3">
      <c r="A83" s="419"/>
      <c r="B83" s="301"/>
      <c r="C83" s="301"/>
      <c r="D83" s="301"/>
      <c r="E83" s="301"/>
      <c r="F83" s="301"/>
      <c r="G83" s="301"/>
      <c r="H83" s="301"/>
      <c r="I83" s="301"/>
      <c r="J83" s="301"/>
      <c r="K83" s="301"/>
      <c r="L83" s="301"/>
      <c r="M83" s="301"/>
      <c r="N83" s="301"/>
      <c r="O83" s="301"/>
      <c r="P83" s="301"/>
      <c r="Q83" s="301"/>
      <c r="R83" s="301"/>
      <c r="S83" s="301"/>
    </row>
    <row r="84" spans="1:19" x14ac:dyDescent="0.3">
      <c r="A84" s="419"/>
      <c r="B84" s="301"/>
      <c r="C84" s="301"/>
      <c r="D84" s="301"/>
      <c r="E84" s="301"/>
      <c r="F84" s="301"/>
      <c r="G84" s="301"/>
      <c r="H84" s="301"/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1"/>
    </row>
    <row r="85" spans="1:19" x14ac:dyDescent="0.3">
      <c r="A85" s="419"/>
      <c r="B85" s="301"/>
      <c r="C85" s="301"/>
      <c r="D85" s="301"/>
      <c r="E85" s="301"/>
      <c r="F85" s="301"/>
      <c r="G85" s="301"/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</row>
    <row r="86" spans="1:19" x14ac:dyDescent="0.3">
      <c r="A86" s="419"/>
      <c r="B86" s="301"/>
      <c r="C86" s="301"/>
      <c r="D86" s="301"/>
      <c r="E86" s="301"/>
      <c r="F86" s="301"/>
      <c r="G86" s="301"/>
      <c r="H86" s="301"/>
      <c r="I86" s="301"/>
      <c r="J86" s="301"/>
      <c r="K86" s="301"/>
      <c r="L86" s="301"/>
      <c r="M86" s="301"/>
      <c r="N86" s="301"/>
      <c r="O86" s="301"/>
      <c r="P86" s="301"/>
      <c r="Q86" s="301"/>
      <c r="R86" s="301"/>
      <c r="S86" s="301"/>
    </row>
    <row r="87" spans="1:19" x14ac:dyDescent="0.3">
      <c r="A87" s="419"/>
      <c r="B87" s="301"/>
      <c r="C87" s="301"/>
      <c r="D87" s="301"/>
      <c r="E87" s="301"/>
      <c r="F87" s="301"/>
      <c r="G87" s="301"/>
      <c r="H87" s="301"/>
      <c r="I87" s="301"/>
      <c r="J87" s="301"/>
      <c r="K87" s="301"/>
      <c r="L87" s="301"/>
      <c r="M87" s="301"/>
      <c r="N87" s="301"/>
      <c r="O87" s="301"/>
      <c r="P87" s="301"/>
      <c r="Q87" s="301"/>
      <c r="R87" s="301"/>
      <c r="S87" s="301"/>
    </row>
    <row r="88" spans="1:19" x14ac:dyDescent="0.3">
      <c r="A88" s="419"/>
      <c r="B88" s="301"/>
      <c r="C88" s="301"/>
      <c r="D88" s="301"/>
      <c r="E88" s="301"/>
      <c r="F88" s="301"/>
      <c r="G88" s="301"/>
      <c r="H88" s="301"/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1"/>
    </row>
    <row r="89" spans="1:19" x14ac:dyDescent="0.3">
      <c r="A89" s="419"/>
      <c r="B89" s="301"/>
      <c r="C89" s="301"/>
      <c r="D89" s="301"/>
      <c r="E89" s="301"/>
      <c r="F89" s="301"/>
      <c r="G89" s="301"/>
      <c r="H89" s="301"/>
      <c r="I89" s="301"/>
      <c r="J89" s="301"/>
      <c r="K89" s="301"/>
      <c r="L89" s="301"/>
      <c r="M89" s="301"/>
      <c r="N89" s="301"/>
      <c r="O89" s="301"/>
      <c r="P89" s="301"/>
      <c r="Q89" s="301"/>
      <c r="R89" s="301"/>
      <c r="S89" s="301"/>
    </row>
    <row r="90" spans="1:19" x14ac:dyDescent="0.3">
      <c r="A90" s="419"/>
      <c r="B90" s="301"/>
      <c r="C90" s="301"/>
      <c r="D90" s="301"/>
      <c r="E90" s="301"/>
      <c r="F90" s="301"/>
      <c r="G90" s="301"/>
      <c r="H90" s="301"/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</row>
    <row r="91" spans="1:19" x14ac:dyDescent="0.3">
      <c r="A91" s="419"/>
      <c r="B91" s="301"/>
      <c r="C91" s="301"/>
      <c r="D91" s="301"/>
      <c r="E91" s="301"/>
      <c r="F91" s="301"/>
      <c r="G91" s="301"/>
      <c r="H91" s="301"/>
      <c r="I91" s="301"/>
      <c r="J91" s="301"/>
      <c r="K91" s="301"/>
      <c r="L91" s="301"/>
      <c r="M91" s="301"/>
      <c r="N91" s="301"/>
      <c r="O91" s="301"/>
      <c r="P91" s="301"/>
      <c r="Q91" s="301"/>
      <c r="R91" s="301"/>
      <c r="S91" s="301"/>
    </row>
    <row r="92" spans="1:19" x14ac:dyDescent="0.3">
      <c r="A92" s="419"/>
      <c r="B92" s="301"/>
      <c r="C92" s="301"/>
      <c r="D92" s="301"/>
      <c r="E92" s="301"/>
      <c r="F92" s="301"/>
      <c r="G92" s="301"/>
      <c r="H92" s="301"/>
      <c r="I92" s="301"/>
      <c r="J92" s="301"/>
      <c r="K92" s="301"/>
      <c r="L92" s="301"/>
      <c r="M92" s="301"/>
      <c r="N92" s="301"/>
      <c r="O92" s="301"/>
      <c r="P92" s="301"/>
      <c r="Q92" s="301"/>
      <c r="R92" s="301"/>
      <c r="S92" s="301"/>
    </row>
    <row r="93" spans="1:19" x14ac:dyDescent="0.3">
      <c r="A93" s="419"/>
      <c r="B93" s="301"/>
      <c r="C93" s="301"/>
      <c r="D93" s="301"/>
      <c r="E93" s="301"/>
      <c r="F93" s="301"/>
      <c r="G93" s="301"/>
      <c r="H93" s="301"/>
      <c r="I93" s="301"/>
      <c r="J93" s="301"/>
      <c r="K93" s="301"/>
      <c r="L93" s="301"/>
      <c r="M93" s="301"/>
      <c r="N93" s="301"/>
      <c r="O93" s="301"/>
      <c r="P93" s="301"/>
      <c r="Q93" s="301"/>
      <c r="R93" s="301"/>
      <c r="S93" s="301"/>
    </row>
    <row r="94" spans="1:19" x14ac:dyDescent="0.3">
      <c r="A94" s="419"/>
      <c r="B94" s="301"/>
      <c r="C94" s="301"/>
      <c r="D94" s="301"/>
      <c r="E94" s="301"/>
      <c r="F94" s="301"/>
      <c r="G94" s="301"/>
      <c r="H94" s="301"/>
      <c r="I94" s="301"/>
      <c r="J94" s="301"/>
      <c r="K94" s="301"/>
      <c r="L94" s="301"/>
      <c r="M94" s="301"/>
      <c r="N94" s="301"/>
      <c r="O94" s="301"/>
      <c r="P94" s="301"/>
      <c r="Q94" s="301"/>
      <c r="R94" s="301"/>
      <c r="S94" s="301"/>
    </row>
    <row r="95" spans="1:19" x14ac:dyDescent="0.3">
      <c r="A95" s="419"/>
      <c r="B95" s="301"/>
      <c r="C95" s="301"/>
      <c r="D95" s="301"/>
      <c r="E95" s="301"/>
      <c r="F95" s="301"/>
      <c r="G95" s="301"/>
      <c r="H95" s="301"/>
      <c r="I95" s="301"/>
      <c r="J95" s="301"/>
      <c r="K95" s="301"/>
      <c r="L95" s="301"/>
      <c r="M95" s="301"/>
      <c r="N95" s="301"/>
      <c r="O95" s="301"/>
      <c r="P95" s="301"/>
      <c r="Q95" s="301"/>
      <c r="R95" s="301"/>
      <c r="S95" s="301"/>
    </row>
    <row r="96" spans="1:19" x14ac:dyDescent="0.3">
      <c r="A96" s="419"/>
      <c r="B96" s="301"/>
      <c r="C96" s="301"/>
      <c r="D96" s="301"/>
      <c r="E96" s="301"/>
      <c r="F96" s="301"/>
      <c r="G96" s="301"/>
      <c r="H96" s="301"/>
      <c r="I96" s="301"/>
      <c r="J96" s="301"/>
      <c r="K96" s="301"/>
      <c r="L96" s="301"/>
      <c r="M96" s="301"/>
      <c r="N96" s="301"/>
      <c r="O96" s="301"/>
      <c r="P96" s="301"/>
      <c r="Q96" s="301"/>
      <c r="R96" s="301"/>
      <c r="S96" s="301"/>
    </row>
    <row r="97" spans="1:19" x14ac:dyDescent="0.3">
      <c r="A97" s="419"/>
      <c r="B97" s="301"/>
      <c r="C97" s="301"/>
      <c r="D97" s="301"/>
      <c r="E97" s="301"/>
      <c r="F97" s="301"/>
      <c r="G97" s="301"/>
      <c r="H97" s="301"/>
      <c r="I97" s="301"/>
      <c r="J97" s="301"/>
      <c r="K97" s="301"/>
      <c r="L97" s="301"/>
      <c r="M97" s="301"/>
      <c r="N97" s="301"/>
      <c r="O97" s="301"/>
      <c r="P97" s="301"/>
      <c r="Q97" s="301"/>
      <c r="R97" s="301"/>
      <c r="S97" s="301"/>
    </row>
    <row r="98" spans="1:19" x14ac:dyDescent="0.3">
      <c r="A98" s="419"/>
      <c r="B98" s="301"/>
      <c r="C98" s="301"/>
      <c r="D98" s="301"/>
      <c r="E98" s="301"/>
      <c r="F98" s="301"/>
      <c r="G98" s="301"/>
      <c r="H98" s="301"/>
      <c r="I98" s="301"/>
      <c r="J98" s="301"/>
      <c r="K98" s="301"/>
      <c r="L98" s="301"/>
      <c r="M98" s="301"/>
      <c r="N98" s="301"/>
      <c r="O98" s="301"/>
      <c r="P98" s="301"/>
      <c r="Q98" s="301"/>
      <c r="R98" s="301"/>
      <c r="S98" s="301"/>
    </row>
    <row r="99" spans="1:19" x14ac:dyDescent="0.3">
      <c r="A99" s="419"/>
      <c r="B99" s="301"/>
      <c r="C99" s="301"/>
      <c r="D99" s="301"/>
      <c r="E99" s="301"/>
      <c r="F99" s="301"/>
      <c r="G99" s="301"/>
      <c r="H99" s="301"/>
      <c r="I99" s="301"/>
      <c r="J99" s="301"/>
      <c r="K99" s="301"/>
      <c r="L99" s="301"/>
      <c r="M99" s="301"/>
      <c r="N99" s="301"/>
      <c r="O99" s="301"/>
      <c r="P99" s="301"/>
      <c r="Q99" s="301"/>
      <c r="R99" s="301"/>
      <c r="S99" s="301"/>
    </row>
    <row r="100" spans="1:19" x14ac:dyDescent="0.3">
      <c r="A100" s="419"/>
      <c r="B100" s="301"/>
      <c r="C100" s="301"/>
      <c r="D100" s="301"/>
      <c r="E100" s="301"/>
      <c r="F100" s="301"/>
      <c r="G100" s="301"/>
      <c r="H100" s="301"/>
      <c r="I100" s="301"/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</row>
    <row r="101" spans="1:19" x14ac:dyDescent="0.3">
      <c r="A101" s="419"/>
      <c r="B101" s="301"/>
      <c r="C101" s="301"/>
      <c r="D101" s="301"/>
      <c r="E101" s="301"/>
      <c r="F101" s="301"/>
      <c r="G101" s="301"/>
      <c r="H101" s="301"/>
      <c r="I101" s="301"/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</row>
    <row r="102" spans="1:19" x14ac:dyDescent="0.3">
      <c r="A102" s="419"/>
      <c r="B102" s="301"/>
      <c r="C102" s="301"/>
      <c r="D102" s="301"/>
      <c r="E102" s="301"/>
      <c r="F102" s="301"/>
      <c r="G102" s="301"/>
      <c r="H102" s="301"/>
      <c r="I102" s="301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</row>
    <row r="103" spans="1:19" x14ac:dyDescent="0.3">
      <c r="A103" s="419"/>
      <c r="B103" s="301"/>
      <c r="C103" s="301"/>
      <c r="D103" s="301"/>
      <c r="E103" s="301"/>
      <c r="F103" s="301"/>
      <c r="G103" s="301"/>
      <c r="H103" s="301"/>
      <c r="I103" s="301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</row>
    <row r="104" spans="1:19" x14ac:dyDescent="0.3">
      <c r="A104" s="419"/>
      <c r="B104" s="301"/>
      <c r="C104" s="301"/>
      <c r="D104" s="301"/>
      <c r="E104" s="301"/>
      <c r="F104" s="301"/>
      <c r="G104" s="301"/>
      <c r="H104" s="301"/>
      <c r="I104" s="301"/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</row>
    <row r="105" spans="1:19" x14ac:dyDescent="0.3">
      <c r="A105" s="419"/>
      <c r="B105" s="301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</row>
    <row r="106" spans="1:19" x14ac:dyDescent="0.3">
      <c r="A106" s="419"/>
      <c r="B106" s="301"/>
      <c r="C106" s="301"/>
      <c r="D106" s="301"/>
      <c r="E106" s="301"/>
      <c r="F106" s="301"/>
      <c r="G106" s="301"/>
      <c r="H106" s="301"/>
      <c r="I106" s="301"/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</row>
    <row r="107" spans="1:19" x14ac:dyDescent="0.3">
      <c r="A107" s="419"/>
      <c r="B107" s="301"/>
      <c r="C107" s="301"/>
      <c r="D107" s="301"/>
      <c r="E107" s="301"/>
      <c r="F107" s="301"/>
      <c r="G107" s="301"/>
      <c r="H107" s="301"/>
      <c r="I107" s="301"/>
      <c r="J107" s="301"/>
      <c r="K107" s="301"/>
      <c r="L107" s="301"/>
      <c r="M107" s="301"/>
      <c r="N107" s="301"/>
      <c r="O107" s="301"/>
      <c r="P107" s="301"/>
      <c r="Q107" s="301"/>
      <c r="R107" s="301"/>
      <c r="S107" s="301"/>
    </row>
    <row r="108" spans="1:19" x14ac:dyDescent="0.3">
      <c r="A108" s="419"/>
      <c r="B108" s="301"/>
      <c r="C108" s="301"/>
      <c r="D108" s="301"/>
      <c r="E108" s="301"/>
      <c r="F108" s="301"/>
      <c r="G108" s="301"/>
      <c r="H108" s="301"/>
      <c r="I108" s="301"/>
      <c r="J108" s="301"/>
      <c r="K108" s="301"/>
      <c r="L108" s="301"/>
      <c r="M108" s="301"/>
      <c r="N108" s="301"/>
      <c r="O108" s="301"/>
      <c r="P108" s="301"/>
      <c r="Q108" s="301"/>
      <c r="R108" s="301"/>
      <c r="S108" s="301"/>
    </row>
    <row r="109" spans="1:19" x14ac:dyDescent="0.3">
      <c r="A109" s="419"/>
      <c r="B109" s="301"/>
      <c r="C109" s="301"/>
      <c r="D109" s="301"/>
      <c r="E109" s="301"/>
      <c r="F109" s="301"/>
      <c r="G109" s="301"/>
      <c r="H109" s="301"/>
      <c r="I109" s="301"/>
      <c r="J109" s="301"/>
      <c r="K109" s="301"/>
      <c r="L109" s="301"/>
      <c r="M109" s="301"/>
      <c r="N109" s="301"/>
      <c r="O109" s="301"/>
      <c r="P109" s="301"/>
      <c r="Q109" s="301"/>
      <c r="R109" s="301"/>
      <c r="S109" s="301"/>
    </row>
    <row r="110" spans="1:19" x14ac:dyDescent="0.3">
      <c r="A110" s="419"/>
      <c r="B110" s="301"/>
      <c r="C110" s="301"/>
      <c r="D110" s="301"/>
      <c r="E110" s="301"/>
      <c r="F110" s="301"/>
      <c r="G110" s="301"/>
      <c r="H110" s="301"/>
      <c r="I110" s="301"/>
      <c r="J110" s="301"/>
      <c r="K110" s="301"/>
      <c r="L110" s="301"/>
      <c r="M110" s="301"/>
      <c r="N110" s="301"/>
      <c r="O110" s="301"/>
      <c r="P110" s="301"/>
      <c r="Q110" s="301"/>
      <c r="R110" s="301"/>
      <c r="S110" s="301"/>
    </row>
    <row r="111" spans="1:19" x14ac:dyDescent="0.3">
      <c r="A111" s="419"/>
      <c r="B111" s="301"/>
      <c r="C111" s="301"/>
      <c r="D111" s="301"/>
      <c r="E111" s="301"/>
      <c r="F111" s="301"/>
      <c r="G111" s="301"/>
      <c r="H111" s="301"/>
      <c r="I111" s="301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</row>
    <row r="112" spans="1:19" x14ac:dyDescent="0.3">
      <c r="A112" s="419"/>
      <c r="B112" s="301"/>
      <c r="C112" s="301"/>
      <c r="D112" s="301"/>
      <c r="E112" s="301"/>
      <c r="F112" s="301"/>
      <c r="G112" s="301"/>
      <c r="H112" s="301"/>
      <c r="I112" s="301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</row>
    <row r="113" spans="1:19" x14ac:dyDescent="0.3">
      <c r="A113" s="419"/>
      <c r="B113" s="301"/>
      <c r="C113" s="301"/>
      <c r="D113" s="301"/>
      <c r="E113" s="301"/>
      <c r="F113" s="301"/>
      <c r="G113" s="301"/>
      <c r="H113" s="301"/>
      <c r="I113" s="301"/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</row>
    <row r="114" spans="1:19" x14ac:dyDescent="0.3">
      <c r="A114" s="419"/>
      <c r="B114" s="301"/>
      <c r="C114" s="301"/>
      <c r="D114" s="301"/>
      <c r="E114" s="301"/>
      <c r="F114" s="301"/>
      <c r="G114" s="301"/>
      <c r="H114" s="301"/>
      <c r="I114" s="301"/>
      <c r="J114" s="301"/>
      <c r="K114" s="301"/>
      <c r="L114" s="301"/>
      <c r="M114" s="301"/>
      <c r="N114" s="301"/>
      <c r="O114" s="301"/>
      <c r="P114" s="301"/>
      <c r="Q114" s="301"/>
      <c r="R114" s="301"/>
      <c r="S114" s="301"/>
    </row>
    <row r="115" spans="1:19" x14ac:dyDescent="0.3">
      <c r="A115" s="419"/>
      <c r="B115" s="301"/>
      <c r="C115" s="301"/>
      <c r="D115" s="301"/>
      <c r="E115" s="301"/>
      <c r="F115" s="301"/>
      <c r="G115" s="301"/>
      <c r="H115" s="301"/>
      <c r="I115" s="301"/>
      <c r="J115" s="301"/>
      <c r="K115" s="301"/>
      <c r="L115" s="301"/>
      <c r="M115" s="301"/>
      <c r="N115" s="301"/>
      <c r="O115" s="301"/>
      <c r="P115" s="301"/>
      <c r="Q115" s="301"/>
      <c r="R115" s="301"/>
      <c r="S115" s="301"/>
    </row>
    <row r="116" spans="1:19" x14ac:dyDescent="0.3">
      <c r="A116" s="419"/>
      <c r="B116" s="301"/>
      <c r="C116" s="301"/>
      <c r="D116" s="301"/>
      <c r="E116" s="301"/>
      <c r="F116" s="301"/>
      <c r="G116" s="301"/>
      <c r="H116" s="301"/>
      <c r="I116" s="301"/>
      <c r="J116" s="301"/>
      <c r="K116" s="301"/>
      <c r="L116" s="301"/>
      <c r="M116" s="301"/>
      <c r="N116" s="301"/>
      <c r="O116" s="301"/>
      <c r="P116" s="301"/>
      <c r="Q116" s="301"/>
      <c r="R116" s="301"/>
      <c r="S116" s="301"/>
    </row>
    <row r="117" spans="1:19" x14ac:dyDescent="0.3">
      <c r="A117" s="419"/>
      <c r="B117" s="301"/>
      <c r="C117" s="301"/>
      <c r="D117" s="301"/>
      <c r="E117" s="301"/>
      <c r="F117" s="301"/>
      <c r="G117" s="301"/>
      <c r="H117" s="301"/>
      <c r="I117" s="301"/>
      <c r="J117" s="301"/>
      <c r="K117" s="301"/>
      <c r="L117" s="301"/>
      <c r="M117" s="301"/>
      <c r="N117" s="301"/>
      <c r="O117" s="301"/>
      <c r="P117" s="301"/>
      <c r="Q117" s="301"/>
      <c r="R117" s="301"/>
      <c r="S117" s="301"/>
    </row>
    <row r="118" spans="1:19" x14ac:dyDescent="0.3">
      <c r="A118" s="419"/>
      <c r="B118" s="301"/>
      <c r="C118" s="301"/>
      <c r="D118" s="301"/>
      <c r="E118" s="301"/>
      <c r="F118" s="301"/>
      <c r="G118" s="301"/>
      <c r="H118" s="301"/>
      <c r="I118" s="301"/>
      <c r="J118" s="301"/>
      <c r="K118" s="301"/>
      <c r="L118" s="301"/>
      <c r="M118" s="301"/>
      <c r="N118" s="301"/>
      <c r="O118" s="301"/>
      <c r="P118" s="301"/>
      <c r="Q118" s="301"/>
      <c r="R118" s="301"/>
      <c r="S118" s="301"/>
    </row>
    <row r="119" spans="1:19" x14ac:dyDescent="0.3">
      <c r="A119" s="419"/>
      <c r="B119" s="301"/>
      <c r="C119" s="301"/>
      <c r="D119" s="301"/>
      <c r="E119" s="301"/>
      <c r="F119" s="301"/>
      <c r="G119" s="301"/>
      <c r="H119" s="301"/>
      <c r="I119" s="301"/>
      <c r="J119" s="301"/>
      <c r="K119" s="301"/>
      <c r="L119" s="301"/>
      <c r="M119" s="301"/>
      <c r="N119" s="301"/>
      <c r="O119" s="301"/>
      <c r="P119" s="301"/>
      <c r="Q119" s="301"/>
      <c r="R119" s="301"/>
      <c r="S119" s="301"/>
    </row>
    <row r="120" spans="1:19" x14ac:dyDescent="0.3">
      <c r="A120" s="419"/>
      <c r="B120" s="301"/>
      <c r="C120" s="301"/>
      <c r="D120" s="301"/>
      <c r="E120" s="301"/>
      <c r="F120" s="301"/>
      <c r="G120" s="301"/>
      <c r="H120" s="301"/>
      <c r="I120" s="301"/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</row>
    <row r="121" spans="1:19" x14ac:dyDescent="0.3">
      <c r="A121" s="419"/>
      <c r="B121" s="301"/>
      <c r="C121" s="301"/>
      <c r="D121" s="301"/>
      <c r="E121" s="301"/>
      <c r="F121" s="301"/>
      <c r="G121" s="301"/>
      <c r="H121" s="301"/>
      <c r="I121" s="301"/>
      <c r="J121" s="301"/>
      <c r="K121" s="301"/>
      <c r="L121" s="301"/>
      <c r="M121" s="301"/>
      <c r="N121" s="301"/>
      <c r="O121" s="301"/>
      <c r="P121" s="301"/>
      <c r="Q121" s="301"/>
      <c r="R121" s="301"/>
      <c r="S121" s="301"/>
    </row>
    <row r="122" spans="1:19" x14ac:dyDescent="0.3">
      <c r="A122" s="419"/>
      <c r="B122" s="301"/>
      <c r="C122" s="301"/>
      <c r="D122" s="301"/>
      <c r="E122" s="301"/>
      <c r="F122" s="301"/>
      <c r="G122" s="301"/>
      <c r="H122" s="301"/>
      <c r="I122" s="301"/>
      <c r="J122" s="301"/>
      <c r="K122" s="301"/>
      <c r="L122" s="301"/>
      <c r="M122" s="301"/>
      <c r="N122" s="301"/>
      <c r="O122" s="301"/>
      <c r="P122" s="301"/>
      <c r="Q122" s="301"/>
      <c r="R122" s="301"/>
      <c r="S122" s="301"/>
    </row>
    <row r="123" spans="1:19" x14ac:dyDescent="0.3">
      <c r="A123" s="419"/>
      <c r="B123" s="301"/>
      <c r="C123" s="301"/>
      <c r="D123" s="301"/>
      <c r="E123" s="301"/>
      <c r="F123" s="301"/>
      <c r="G123" s="301"/>
      <c r="H123" s="301"/>
      <c r="I123" s="301"/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</row>
    <row r="124" spans="1:19" x14ac:dyDescent="0.3">
      <c r="A124" s="419"/>
      <c r="B124" s="301"/>
      <c r="C124" s="301"/>
      <c r="D124" s="301"/>
      <c r="E124" s="301"/>
      <c r="F124" s="301"/>
      <c r="G124" s="301"/>
      <c r="H124" s="301"/>
      <c r="I124" s="301"/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</row>
    <row r="125" spans="1:19" x14ac:dyDescent="0.3">
      <c r="A125" s="419"/>
      <c r="B125" s="301"/>
      <c r="C125" s="301"/>
      <c r="D125" s="301"/>
      <c r="E125" s="301"/>
      <c r="F125" s="301"/>
      <c r="G125" s="301"/>
      <c r="H125" s="301"/>
      <c r="I125" s="301"/>
      <c r="J125" s="301"/>
      <c r="K125" s="301"/>
      <c r="L125" s="301"/>
      <c r="M125" s="301"/>
      <c r="N125" s="301"/>
      <c r="O125" s="301"/>
      <c r="P125" s="301"/>
      <c r="Q125" s="301"/>
      <c r="R125" s="301"/>
      <c r="S125" s="301"/>
    </row>
    <row r="126" spans="1:19" x14ac:dyDescent="0.3">
      <c r="A126" s="419"/>
      <c r="B126" s="301"/>
      <c r="C126" s="301"/>
      <c r="D126" s="301"/>
      <c r="E126" s="301"/>
      <c r="F126" s="301"/>
      <c r="G126" s="301"/>
      <c r="H126" s="301"/>
      <c r="I126" s="301"/>
      <c r="J126" s="301"/>
      <c r="K126" s="301"/>
      <c r="L126" s="301"/>
      <c r="M126" s="301"/>
      <c r="N126" s="301"/>
      <c r="O126" s="301"/>
      <c r="P126" s="301"/>
      <c r="Q126" s="301"/>
      <c r="R126" s="301"/>
      <c r="S126" s="301"/>
    </row>
    <row r="127" spans="1:19" x14ac:dyDescent="0.3">
      <c r="A127" s="419"/>
      <c r="B127" s="301"/>
      <c r="C127" s="301"/>
      <c r="D127" s="301"/>
      <c r="E127" s="301"/>
      <c r="F127" s="301"/>
      <c r="G127" s="301"/>
      <c r="H127" s="301"/>
      <c r="I127" s="301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</row>
    <row r="128" spans="1:19" x14ac:dyDescent="0.3">
      <c r="A128" s="419"/>
      <c r="B128" s="301"/>
      <c r="C128" s="301"/>
      <c r="D128" s="301"/>
      <c r="E128" s="301"/>
      <c r="F128" s="301"/>
      <c r="G128" s="301"/>
      <c r="H128" s="301"/>
      <c r="I128" s="301"/>
      <c r="J128" s="301"/>
      <c r="K128" s="301"/>
      <c r="L128" s="301"/>
      <c r="M128" s="301"/>
      <c r="N128" s="301"/>
      <c r="O128" s="301"/>
      <c r="P128" s="301"/>
      <c r="Q128" s="301"/>
      <c r="R128" s="301"/>
      <c r="S128" s="301"/>
    </row>
    <row r="129" spans="1:19" x14ac:dyDescent="0.3">
      <c r="A129" s="419"/>
      <c r="B129" s="301"/>
      <c r="C129" s="301"/>
      <c r="D129" s="301"/>
      <c r="E129" s="301"/>
      <c r="F129" s="301"/>
      <c r="G129" s="301"/>
      <c r="H129" s="301"/>
      <c r="I129" s="301"/>
      <c r="J129" s="301"/>
      <c r="K129" s="301"/>
      <c r="L129" s="301"/>
      <c r="M129" s="301"/>
      <c r="N129" s="301"/>
      <c r="O129" s="301"/>
      <c r="P129" s="301"/>
      <c r="Q129" s="301"/>
      <c r="R129" s="301"/>
      <c r="S129" s="301"/>
    </row>
    <row r="130" spans="1:19" x14ac:dyDescent="0.3">
      <c r="A130" s="419"/>
      <c r="B130" s="301"/>
      <c r="C130" s="301"/>
      <c r="D130" s="301"/>
      <c r="E130" s="301"/>
      <c r="F130" s="301"/>
      <c r="G130" s="301"/>
      <c r="H130" s="301"/>
      <c r="I130" s="301"/>
      <c r="J130" s="301"/>
      <c r="K130" s="301"/>
      <c r="L130" s="301"/>
      <c r="M130" s="301"/>
      <c r="N130" s="301"/>
      <c r="O130" s="301"/>
      <c r="P130" s="301"/>
      <c r="Q130" s="301"/>
      <c r="R130" s="301"/>
      <c r="S130" s="301"/>
    </row>
    <row r="131" spans="1:19" x14ac:dyDescent="0.3">
      <c r="A131" s="419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01"/>
      <c r="M131" s="301"/>
      <c r="N131" s="301"/>
      <c r="O131" s="301"/>
      <c r="P131" s="301"/>
      <c r="Q131" s="301"/>
      <c r="R131" s="301"/>
      <c r="S131" s="301"/>
    </row>
    <row r="132" spans="1:19" x14ac:dyDescent="0.3">
      <c r="A132" s="419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01"/>
      <c r="M132" s="301"/>
      <c r="N132" s="301"/>
      <c r="O132" s="301"/>
      <c r="P132" s="301"/>
      <c r="Q132" s="301"/>
      <c r="R132" s="301"/>
      <c r="S132" s="301"/>
    </row>
    <row r="133" spans="1:19" x14ac:dyDescent="0.3">
      <c r="A133" s="419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01"/>
      <c r="M133" s="301"/>
      <c r="N133" s="301"/>
      <c r="O133" s="301"/>
      <c r="P133" s="301"/>
      <c r="Q133" s="301"/>
      <c r="R133" s="301"/>
      <c r="S133" s="301"/>
    </row>
    <row r="134" spans="1:19" x14ac:dyDescent="0.3">
      <c r="A134" s="419"/>
      <c r="B134" s="301"/>
      <c r="C134" s="301"/>
      <c r="D134" s="301"/>
      <c r="E134" s="301"/>
      <c r="F134" s="301"/>
      <c r="G134" s="301"/>
      <c r="H134" s="301"/>
      <c r="I134" s="301"/>
      <c r="J134" s="301"/>
      <c r="K134" s="301"/>
      <c r="L134" s="301"/>
      <c r="M134" s="301"/>
      <c r="N134" s="301"/>
      <c r="O134" s="301"/>
      <c r="P134" s="301"/>
      <c r="Q134" s="301"/>
      <c r="R134" s="301"/>
      <c r="S134" s="301"/>
    </row>
    <row r="135" spans="1:19" x14ac:dyDescent="0.3">
      <c r="A135" s="419"/>
      <c r="B135" s="301"/>
      <c r="C135" s="301"/>
      <c r="D135" s="301"/>
      <c r="E135" s="301"/>
      <c r="F135" s="301"/>
      <c r="G135" s="301"/>
      <c r="H135" s="301"/>
      <c r="I135" s="301"/>
      <c r="J135" s="301"/>
      <c r="K135" s="301"/>
      <c r="L135" s="301"/>
      <c r="M135" s="301"/>
      <c r="N135" s="301"/>
      <c r="O135" s="301"/>
      <c r="P135" s="301"/>
      <c r="Q135" s="301"/>
      <c r="R135" s="301"/>
      <c r="S135" s="301"/>
    </row>
    <row r="136" spans="1:19" x14ac:dyDescent="0.3">
      <c r="A136" s="419"/>
      <c r="B136" s="301"/>
      <c r="C136" s="301"/>
      <c r="D136" s="301"/>
      <c r="E136" s="301"/>
      <c r="F136" s="301"/>
      <c r="G136" s="301"/>
      <c r="H136" s="301"/>
      <c r="I136" s="301"/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</row>
    <row r="137" spans="1:19" x14ac:dyDescent="0.3">
      <c r="A137" s="419"/>
      <c r="B137" s="301"/>
      <c r="C137" s="301"/>
      <c r="D137" s="301"/>
      <c r="E137" s="301"/>
      <c r="F137" s="301"/>
      <c r="G137" s="301"/>
      <c r="H137" s="301"/>
      <c r="I137" s="301"/>
      <c r="J137" s="301"/>
      <c r="K137" s="301"/>
      <c r="L137" s="301"/>
      <c r="M137" s="301"/>
      <c r="N137" s="301"/>
      <c r="O137" s="301"/>
      <c r="P137" s="301"/>
      <c r="Q137" s="301"/>
      <c r="R137" s="301"/>
      <c r="S137" s="301"/>
    </row>
    <row r="138" spans="1:19" x14ac:dyDescent="0.3">
      <c r="A138" s="419"/>
      <c r="B138" s="301"/>
      <c r="C138" s="301"/>
      <c r="D138" s="301"/>
      <c r="E138" s="301"/>
      <c r="F138" s="301"/>
      <c r="G138" s="301"/>
      <c r="H138" s="301"/>
      <c r="I138" s="301"/>
      <c r="J138" s="301"/>
      <c r="K138" s="301"/>
      <c r="L138" s="301"/>
      <c r="M138" s="301"/>
      <c r="N138" s="301"/>
      <c r="O138" s="301"/>
      <c r="P138" s="301"/>
      <c r="Q138" s="301"/>
      <c r="R138" s="301"/>
      <c r="S138" s="301"/>
    </row>
    <row r="139" spans="1:19" x14ac:dyDescent="0.3">
      <c r="A139" s="419"/>
      <c r="B139" s="301"/>
      <c r="C139" s="301"/>
      <c r="D139" s="301"/>
      <c r="E139" s="301"/>
      <c r="F139" s="301"/>
      <c r="G139" s="301"/>
      <c r="H139" s="301"/>
      <c r="I139" s="301"/>
      <c r="J139" s="301"/>
      <c r="K139" s="301"/>
      <c r="L139" s="301"/>
      <c r="M139" s="301"/>
      <c r="N139" s="301"/>
      <c r="O139" s="301"/>
      <c r="P139" s="301"/>
      <c r="Q139" s="301"/>
      <c r="R139" s="301"/>
      <c r="S139" s="301"/>
    </row>
    <row r="140" spans="1:19" x14ac:dyDescent="0.3">
      <c r="A140" s="419"/>
      <c r="B140" s="301"/>
      <c r="C140" s="301"/>
      <c r="D140" s="301"/>
      <c r="E140" s="301"/>
      <c r="F140" s="301"/>
      <c r="G140" s="301"/>
      <c r="H140" s="301"/>
      <c r="I140" s="301"/>
      <c r="J140" s="301"/>
      <c r="K140" s="301"/>
      <c r="L140" s="301"/>
      <c r="M140" s="301"/>
      <c r="N140" s="301"/>
      <c r="O140" s="301"/>
      <c r="P140" s="301"/>
      <c r="Q140" s="301"/>
      <c r="R140" s="301"/>
      <c r="S140" s="301"/>
    </row>
    <row r="141" spans="1:19" x14ac:dyDescent="0.3">
      <c r="A141" s="419"/>
      <c r="B141" s="301"/>
      <c r="C141" s="301"/>
      <c r="D141" s="301"/>
      <c r="E141" s="301"/>
      <c r="F141" s="301"/>
      <c r="G141" s="301"/>
      <c r="H141" s="301"/>
      <c r="I141" s="301"/>
      <c r="J141" s="301"/>
      <c r="K141" s="301"/>
      <c r="L141" s="301"/>
      <c r="M141" s="301"/>
      <c r="N141" s="301"/>
      <c r="O141" s="301"/>
      <c r="P141" s="301"/>
      <c r="Q141" s="301"/>
      <c r="R141" s="301"/>
      <c r="S141" s="301"/>
    </row>
    <row r="142" spans="1:19" x14ac:dyDescent="0.3">
      <c r="A142" s="419"/>
      <c r="B142" s="301"/>
      <c r="C142" s="301"/>
      <c r="D142" s="301"/>
      <c r="E142" s="301"/>
      <c r="F142" s="301"/>
      <c r="G142" s="301"/>
      <c r="H142" s="301"/>
      <c r="I142" s="301"/>
      <c r="J142" s="301"/>
      <c r="K142" s="301"/>
      <c r="L142" s="301"/>
      <c r="M142" s="301"/>
      <c r="N142" s="301"/>
      <c r="O142" s="301"/>
      <c r="P142" s="301"/>
      <c r="Q142" s="301"/>
      <c r="R142" s="301"/>
      <c r="S142" s="301"/>
    </row>
    <row r="143" spans="1:19" x14ac:dyDescent="0.3">
      <c r="A143" s="419"/>
      <c r="B143" s="301"/>
      <c r="C143" s="301"/>
      <c r="D143" s="301"/>
      <c r="E143" s="301"/>
      <c r="F143" s="301"/>
      <c r="G143" s="301"/>
      <c r="H143" s="301"/>
      <c r="I143" s="301"/>
      <c r="J143" s="301"/>
      <c r="K143" s="301"/>
      <c r="L143" s="301"/>
      <c r="M143" s="301"/>
      <c r="N143" s="301"/>
      <c r="O143" s="301"/>
      <c r="P143" s="301"/>
      <c r="Q143" s="301"/>
      <c r="R143" s="301"/>
      <c r="S143" s="301"/>
    </row>
    <row r="144" spans="1:19" x14ac:dyDescent="0.3">
      <c r="A144" s="419"/>
      <c r="B144" s="301"/>
      <c r="C144" s="301"/>
      <c r="D144" s="301"/>
      <c r="E144" s="301"/>
      <c r="F144" s="301"/>
      <c r="G144" s="301"/>
      <c r="H144" s="301"/>
      <c r="I144" s="301"/>
      <c r="J144" s="301"/>
      <c r="K144" s="301"/>
      <c r="L144" s="301"/>
      <c r="M144" s="301"/>
      <c r="N144" s="301"/>
      <c r="O144" s="301"/>
      <c r="P144" s="301"/>
      <c r="Q144" s="301"/>
      <c r="R144" s="301"/>
      <c r="S144" s="301"/>
    </row>
    <row r="145" spans="1:19" x14ac:dyDescent="0.3">
      <c r="A145" s="419"/>
      <c r="B145" s="301"/>
      <c r="C145" s="301"/>
      <c r="D145" s="301"/>
      <c r="E145" s="301"/>
      <c r="F145" s="301"/>
      <c r="G145" s="301"/>
      <c r="H145" s="301"/>
      <c r="I145" s="301"/>
      <c r="J145" s="301"/>
      <c r="K145" s="301"/>
      <c r="L145" s="301"/>
      <c r="M145" s="301"/>
      <c r="N145" s="301"/>
      <c r="O145" s="301"/>
      <c r="P145" s="301"/>
      <c r="Q145" s="301"/>
      <c r="R145" s="301"/>
      <c r="S145" s="301"/>
    </row>
    <row r="146" spans="1:19" x14ac:dyDescent="0.3">
      <c r="A146" s="419"/>
      <c r="B146" s="301"/>
      <c r="C146" s="301"/>
      <c r="D146" s="301"/>
      <c r="E146" s="301"/>
      <c r="F146" s="301"/>
      <c r="G146" s="301"/>
      <c r="H146" s="301"/>
      <c r="I146" s="301"/>
      <c r="J146" s="301"/>
      <c r="K146" s="301"/>
      <c r="L146" s="301"/>
      <c r="M146" s="301"/>
      <c r="N146" s="301"/>
      <c r="O146" s="301"/>
      <c r="P146" s="301"/>
      <c r="Q146" s="301"/>
      <c r="R146" s="301"/>
      <c r="S146" s="301"/>
    </row>
    <row r="147" spans="1:19" x14ac:dyDescent="0.3">
      <c r="A147" s="419"/>
      <c r="B147" s="301"/>
      <c r="C147" s="301"/>
      <c r="D147" s="301"/>
      <c r="E147" s="301"/>
      <c r="F147" s="301"/>
      <c r="G147" s="301"/>
      <c r="H147" s="301"/>
      <c r="I147" s="301"/>
      <c r="J147" s="301"/>
      <c r="K147" s="301"/>
      <c r="L147" s="301"/>
      <c r="M147" s="301"/>
      <c r="N147" s="301"/>
      <c r="O147" s="301"/>
      <c r="P147" s="301"/>
      <c r="Q147" s="301"/>
      <c r="R147" s="301"/>
      <c r="S147" s="301"/>
    </row>
    <row r="148" spans="1:19" x14ac:dyDescent="0.3">
      <c r="A148" s="419"/>
      <c r="B148" s="301"/>
      <c r="C148" s="301"/>
      <c r="D148" s="301"/>
      <c r="E148" s="301"/>
      <c r="F148" s="301"/>
      <c r="G148" s="301"/>
      <c r="H148" s="301"/>
      <c r="I148" s="301"/>
      <c r="J148" s="301"/>
      <c r="K148" s="301"/>
      <c r="L148" s="301"/>
      <c r="M148" s="301"/>
      <c r="N148" s="301"/>
      <c r="O148" s="301"/>
      <c r="P148" s="301"/>
      <c r="Q148" s="301"/>
      <c r="R148" s="301"/>
      <c r="S148" s="301"/>
    </row>
    <row r="149" spans="1:19" x14ac:dyDescent="0.3">
      <c r="A149" s="419"/>
      <c r="B149" s="301"/>
      <c r="C149" s="301"/>
      <c r="D149" s="301"/>
      <c r="E149" s="301"/>
      <c r="F149" s="301"/>
      <c r="G149" s="301"/>
      <c r="H149" s="301"/>
      <c r="I149" s="301"/>
      <c r="J149" s="301"/>
      <c r="K149" s="301"/>
      <c r="L149" s="301"/>
      <c r="M149" s="301"/>
      <c r="N149" s="301"/>
      <c r="O149" s="301"/>
      <c r="P149" s="301"/>
      <c r="Q149" s="301"/>
      <c r="R149" s="301"/>
      <c r="S149" s="301"/>
    </row>
    <row r="150" spans="1:19" x14ac:dyDescent="0.3">
      <c r="A150" s="419"/>
      <c r="B150" s="301"/>
      <c r="C150" s="301"/>
      <c r="D150" s="301"/>
      <c r="E150" s="301"/>
      <c r="F150" s="301"/>
      <c r="G150" s="301"/>
      <c r="H150" s="301"/>
      <c r="I150" s="301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</row>
    <row r="151" spans="1:19" x14ac:dyDescent="0.3">
      <c r="A151" s="419"/>
      <c r="B151" s="301"/>
      <c r="C151" s="301"/>
      <c r="D151" s="301"/>
      <c r="E151" s="301"/>
      <c r="F151" s="301"/>
      <c r="G151" s="301"/>
      <c r="H151" s="301"/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</row>
    <row r="152" spans="1:19" x14ac:dyDescent="0.3">
      <c r="A152" s="419"/>
      <c r="B152" s="301"/>
      <c r="C152" s="301"/>
      <c r="D152" s="301"/>
      <c r="E152" s="301"/>
      <c r="F152" s="301"/>
      <c r="G152" s="301"/>
      <c r="H152" s="301"/>
      <c r="I152" s="301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</row>
    <row r="153" spans="1:19" x14ac:dyDescent="0.3">
      <c r="A153" s="419"/>
      <c r="B153" s="301"/>
      <c r="C153" s="301"/>
      <c r="D153" s="301"/>
      <c r="E153" s="301"/>
      <c r="F153" s="301"/>
      <c r="G153" s="301"/>
      <c r="H153" s="301"/>
      <c r="I153" s="301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</row>
    <row r="154" spans="1:19" x14ac:dyDescent="0.3">
      <c r="A154" s="419"/>
      <c r="B154" s="301"/>
      <c r="C154" s="301"/>
      <c r="D154" s="301"/>
      <c r="E154" s="301"/>
      <c r="F154" s="301"/>
      <c r="G154" s="301"/>
      <c r="H154" s="301"/>
      <c r="I154" s="301"/>
      <c r="J154" s="301"/>
      <c r="K154" s="301"/>
      <c r="L154" s="301"/>
      <c r="M154" s="301"/>
      <c r="N154" s="301"/>
      <c r="O154" s="301"/>
      <c r="P154" s="301"/>
      <c r="Q154" s="301"/>
      <c r="R154" s="301"/>
      <c r="S154" s="301"/>
    </row>
    <row r="155" spans="1:19" x14ac:dyDescent="0.3">
      <c r="A155" s="419"/>
      <c r="B155" s="301"/>
      <c r="C155" s="301"/>
      <c r="D155" s="301"/>
      <c r="E155" s="301"/>
      <c r="F155" s="301"/>
      <c r="G155" s="301"/>
      <c r="H155" s="301"/>
      <c r="I155" s="301"/>
      <c r="J155" s="301"/>
      <c r="K155" s="301"/>
      <c r="L155" s="301"/>
      <c r="M155" s="301"/>
      <c r="N155" s="301"/>
      <c r="O155" s="301"/>
      <c r="P155" s="301"/>
      <c r="Q155" s="301"/>
      <c r="R155" s="301"/>
      <c r="S155" s="301"/>
    </row>
    <row r="156" spans="1:19" x14ac:dyDescent="0.3">
      <c r="A156" s="419"/>
      <c r="B156" s="301"/>
      <c r="C156" s="301"/>
      <c r="D156" s="301"/>
      <c r="E156" s="301"/>
      <c r="F156" s="301"/>
      <c r="G156" s="301"/>
      <c r="H156" s="301"/>
      <c r="I156" s="301"/>
      <c r="J156" s="301"/>
      <c r="K156" s="301"/>
      <c r="L156" s="301"/>
      <c r="M156" s="301"/>
      <c r="N156" s="301"/>
      <c r="O156" s="301"/>
      <c r="P156" s="301"/>
      <c r="Q156" s="301"/>
      <c r="R156" s="301"/>
      <c r="S156" s="301"/>
    </row>
    <row r="157" spans="1:19" x14ac:dyDescent="0.3">
      <c r="A157" s="419"/>
      <c r="B157" s="301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</row>
    <row r="158" spans="1:19" x14ac:dyDescent="0.3">
      <c r="A158" s="419"/>
      <c r="B158" s="301"/>
      <c r="C158" s="301"/>
      <c r="D158" s="301"/>
      <c r="E158" s="301"/>
      <c r="F158" s="301"/>
      <c r="G158" s="301"/>
      <c r="H158" s="301"/>
      <c r="I158" s="301"/>
      <c r="J158" s="301"/>
      <c r="K158" s="301"/>
      <c r="L158" s="301"/>
      <c r="M158" s="301"/>
      <c r="N158" s="301"/>
      <c r="O158" s="301"/>
      <c r="P158" s="301"/>
      <c r="Q158" s="301"/>
      <c r="R158" s="301"/>
      <c r="S158" s="301"/>
    </row>
    <row r="159" spans="1:19" x14ac:dyDescent="0.3">
      <c r="A159" s="419"/>
      <c r="B159" s="301"/>
      <c r="C159" s="301"/>
      <c r="D159" s="301"/>
      <c r="E159" s="301"/>
      <c r="F159" s="301"/>
      <c r="G159" s="301"/>
      <c r="H159" s="301"/>
      <c r="I159" s="301"/>
      <c r="J159" s="301"/>
      <c r="K159" s="301"/>
      <c r="L159" s="301"/>
      <c r="M159" s="301"/>
      <c r="N159" s="301"/>
      <c r="O159" s="301"/>
      <c r="P159" s="301"/>
      <c r="Q159" s="301"/>
      <c r="R159" s="301"/>
      <c r="S159" s="301"/>
    </row>
    <row r="160" spans="1:19" x14ac:dyDescent="0.3">
      <c r="A160" s="419"/>
      <c r="B160" s="301"/>
      <c r="C160" s="301"/>
      <c r="D160" s="301"/>
      <c r="E160" s="301"/>
      <c r="F160" s="301"/>
      <c r="G160" s="301"/>
      <c r="H160" s="301"/>
      <c r="I160" s="301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</row>
    <row r="161" spans="1:19" x14ac:dyDescent="0.3">
      <c r="A161" s="419"/>
      <c r="B161" s="301"/>
      <c r="C161" s="301"/>
      <c r="D161" s="301"/>
      <c r="E161" s="301"/>
      <c r="F161" s="301"/>
      <c r="G161" s="301"/>
      <c r="H161" s="301"/>
      <c r="I161" s="301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</row>
    <row r="162" spans="1:19" x14ac:dyDescent="0.3">
      <c r="A162" s="419"/>
      <c r="B162" s="301"/>
      <c r="C162" s="301"/>
      <c r="D162" s="301"/>
      <c r="E162" s="301"/>
      <c r="F162" s="301"/>
      <c r="G162" s="301"/>
      <c r="H162" s="301"/>
      <c r="I162" s="301"/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</row>
    <row r="163" spans="1:19" x14ac:dyDescent="0.3">
      <c r="A163" s="419"/>
      <c r="B163" s="301"/>
      <c r="C163" s="301"/>
      <c r="D163" s="301"/>
      <c r="E163" s="301"/>
      <c r="F163" s="301"/>
      <c r="G163" s="301"/>
      <c r="H163" s="301"/>
      <c r="I163" s="301"/>
      <c r="J163" s="301"/>
      <c r="K163" s="301"/>
      <c r="L163" s="301"/>
      <c r="M163" s="301"/>
      <c r="N163" s="301"/>
      <c r="O163" s="301"/>
      <c r="P163" s="301"/>
      <c r="Q163" s="301"/>
      <c r="R163" s="301"/>
      <c r="S163" s="301"/>
    </row>
    <row r="164" spans="1:19" x14ac:dyDescent="0.3">
      <c r="A164" s="419"/>
      <c r="B164" s="301"/>
      <c r="C164" s="301"/>
      <c r="D164" s="301"/>
      <c r="E164" s="301"/>
      <c r="F164" s="301"/>
      <c r="G164" s="301"/>
      <c r="H164" s="301"/>
      <c r="I164" s="301"/>
      <c r="J164" s="301"/>
      <c r="K164" s="301"/>
      <c r="L164" s="301"/>
      <c r="M164" s="301"/>
      <c r="N164" s="301"/>
      <c r="O164" s="301"/>
      <c r="P164" s="301"/>
      <c r="Q164" s="301"/>
      <c r="R164" s="301"/>
      <c r="S164" s="301"/>
    </row>
    <row r="165" spans="1:19" x14ac:dyDescent="0.3">
      <c r="A165" s="419"/>
      <c r="B165" s="301"/>
      <c r="C165" s="301"/>
      <c r="D165" s="301"/>
      <c r="E165" s="301"/>
      <c r="F165" s="301"/>
      <c r="G165" s="301"/>
      <c r="H165" s="301"/>
      <c r="I165" s="301"/>
      <c r="J165" s="301"/>
      <c r="K165" s="301"/>
      <c r="L165" s="301"/>
      <c r="M165" s="301"/>
      <c r="N165" s="301"/>
      <c r="O165" s="301"/>
      <c r="P165" s="301"/>
      <c r="Q165" s="301"/>
      <c r="R165" s="301"/>
      <c r="S165" s="301"/>
    </row>
    <row r="166" spans="1:19" x14ac:dyDescent="0.3">
      <c r="A166" s="419"/>
      <c r="B166" s="301"/>
      <c r="C166" s="301"/>
      <c r="D166" s="301"/>
      <c r="E166" s="301"/>
      <c r="F166" s="301"/>
      <c r="G166" s="301"/>
      <c r="H166" s="301"/>
      <c r="I166" s="301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</row>
    <row r="167" spans="1:19" x14ac:dyDescent="0.3">
      <c r="A167" s="419"/>
      <c r="B167" s="301"/>
      <c r="C167" s="301"/>
      <c r="D167" s="301"/>
      <c r="E167" s="301"/>
      <c r="F167" s="301"/>
      <c r="G167" s="301"/>
      <c r="H167" s="301"/>
      <c r="I167" s="301"/>
      <c r="J167" s="301"/>
      <c r="K167" s="301"/>
      <c r="L167" s="301"/>
      <c r="M167" s="301"/>
      <c r="N167" s="301"/>
      <c r="O167" s="301"/>
      <c r="P167" s="301"/>
      <c r="Q167" s="301"/>
      <c r="R167" s="301"/>
      <c r="S167" s="301"/>
    </row>
    <row r="168" spans="1:19" x14ac:dyDescent="0.3">
      <c r="A168" s="419"/>
      <c r="B168" s="301"/>
      <c r="C168" s="301"/>
      <c r="D168" s="301"/>
      <c r="E168" s="301"/>
      <c r="F168" s="301"/>
      <c r="G168" s="301"/>
      <c r="H168" s="301"/>
      <c r="I168" s="301"/>
      <c r="J168" s="301"/>
      <c r="K168" s="301"/>
      <c r="L168" s="301"/>
      <c r="M168" s="301"/>
      <c r="N168" s="301"/>
      <c r="O168" s="301"/>
      <c r="P168" s="301"/>
      <c r="Q168" s="301"/>
      <c r="R168" s="301"/>
      <c r="S168" s="301"/>
    </row>
    <row r="169" spans="1:19" x14ac:dyDescent="0.3">
      <c r="A169" s="419"/>
      <c r="B169" s="301"/>
      <c r="C169" s="301"/>
      <c r="D169" s="301"/>
      <c r="E169" s="301"/>
      <c r="F169" s="301"/>
      <c r="G169" s="301"/>
      <c r="H169" s="301"/>
      <c r="I169" s="301"/>
      <c r="J169" s="301"/>
      <c r="K169" s="301"/>
      <c r="L169" s="301"/>
      <c r="M169" s="301"/>
      <c r="N169" s="301"/>
      <c r="O169" s="301"/>
      <c r="P169" s="301"/>
      <c r="Q169" s="301"/>
      <c r="R169" s="301"/>
      <c r="S169" s="301"/>
    </row>
    <row r="170" spans="1:19" x14ac:dyDescent="0.3">
      <c r="A170" s="419"/>
      <c r="B170" s="301"/>
      <c r="C170" s="301"/>
      <c r="D170" s="301"/>
      <c r="E170" s="301"/>
      <c r="F170" s="301"/>
      <c r="G170" s="301"/>
      <c r="H170" s="301"/>
      <c r="I170" s="301"/>
      <c r="J170" s="301"/>
      <c r="K170" s="301"/>
      <c r="L170" s="301"/>
      <c r="M170" s="301"/>
      <c r="N170" s="301"/>
      <c r="O170" s="301"/>
      <c r="P170" s="301"/>
      <c r="Q170" s="301"/>
      <c r="R170" s="301"/>
      <c r="S170" s="301"/>
    </row>
    <row r="171" spans="1:19" x14ac:dyDescent="0.3">
      <c r="A171" s="419"/>
      <c r="B171" s="301"/>
      <c r="C171" s="301"/>
      <c r="D171" s="301"/>
      <c r="E171" s="301"/>
      <c r="F171" s="301"/>
      <c r="G171" s="301"/>
      <c r="H171" s="301"/>
      <c r="I171" s="301"/>
      <c r="J171" s="301"/>
      <c r="K171" s="301"/>
      <c r="L171" s="301"/>
      <c r="M171" s="301"/>
      <c r="N171" s="301"/>
      <c r="O171" s="301"/>
      <c r="P171" s="301"/>
      <c r="Q171" s="301"/>
      <c r="R171" s="301"/>
      <c r="S171" s="301"/>
    </row>
    <row r="172" spans="1:19" x14ac:dyDescent="0.3">
      <c r="A172" s="419"/>
      <c r="B172" s="301"/>
      <c r="C172" s="301"/>
      <c r="D172" s="301"/>
      <c r="E172" s="301"/>
      <c r="F172" s="301"/>
      <c r="G172" s="301"/>
      <c r="H172" s="301"/>
      <c r="I172" s="301"/>
      <c r="J172" s="301"/>
      <c r="K172" s="301"/>
      <c r="L172" s="301"/>
      <c r="M172" s="301"/>
      <c r="N172" s="301"/>
      <c r="O172" s="301"/>
      <c r="P172" s="301"/>
      <c r="Q172" s="301"/>
      <c r="R172" s="301"/>
      <c r="S172" s="301"/>
    </row>
    <row r="173" spans="1:19" x14ac:dyDescent="0.3">
      <c r="A173" s="419"/>
      <c r="B173" s="301"/>
      <c r="C173" s="301"/>
      <c r="D173" s="301"/>
      <c r="E173" s="301"/>
      <c r="F173" s="301"/>
      <c r="G173" s="301"/>
      <c r="H173" s="301"/>
      <c r="I173" s="301"/>
      <c r="J173" s="301"/>
      <c r="K173" s="301"/>
      <c r="L173" s="301"/>
      <c r="M173" s="301"/>
      <c r="N173" s="301"/>
      <c r="O173" s="301"/>
      <c r="P173" s="301"/>
      <c r="Q173" s="301"/>
      <c r="R173" s="301"/>
      <c r="S173" s="301"/>
    </row>
    <row r="174" spans="1:19" x14ac:dyDescent="0.3">
      <c r="A174" s="419"/>
      <c r="B174" s="301"/>
      <c r="C174" s="301"/>
      <c r="D174" s="301"/>
      <c r="E174" s="301"/>
      <c r="F174" s="301"/>
      <c r="G174" s="301"/>
      <c r="H174" s="301"/>
      <c r="I174" s="301"/>
      <c r="J174" s="301"/>
      <c r="K174" s="301"/>
      <c r="L174" s="301"/>
      <c r="M174" s="301"/>
      <c r="N174" s="301"/>
      <c r="O174" s="301"/>
      <c r="P174" s="301"/>
      <c r="Q174" s="301"/>
      <c r="R174" s="301"/>
      <c r="S174" s="301"/>
    </row>
    <row r="175" spans="1:19" x14ac:dyDescent="0.3">
      <c r="A175" s="419"/>
      <c r="B175" s="301"/>
      <c r="C175" s="301"/>
      <c r="D175" s="301"/>
      <c r="E175" s="301"/>
      <c r="F175" s="301"/>
      <c r="G175" s="301"/>
      <c r="H175" s="301"/>
      <c r="I175" s="301"/>
      <c r="J175" s="301"/>
      <c r="K175" s="301"/>
      <c r="L175" s="301"/>
      <c r="M175" s="301"/>
      <c r="N175" s="301"/>
      <c r="O175" s="301"/>
      <c r="P175" s="301"/>
      <c r="Q175" s="301"/>
      <c r="R175" s="301"/>
      <c r="S175" s="301"/>
    </row>
    <row r="176" spans="1:19" x14ac:dyDescent="0.3">
      <c r="A176" s="419"/>
      <c r="B176" s="301"/>
      <c r="C176" s="301"/>
      <c r="D176" s="301"/>
      <c r="E176" s="301"/>
      <c r="F176" s="301"/>
      <c r="G176" s="301"/>
      <c r="H176" s="301"/>
      <c r="I176" s="301"/>
      <c r="J176" s="301"/>
      <c r="K176" s="301"/>
      <c r="L176" s="301"/>
      <c r="M176" s="301"/>
      <c r="N176" s="301"/>
      <c r="O176" s="301"/>
      <c r="P176" s="301"/>
      <c r="Q176" s="301"/>
      <c r="R176" s="301"/>
      <c r="S176" s="301"/>
    </row>
    <row r="177" spans="1:19" x14ac:dyDescent="0.3">
      <c r="A177" s="419"/>
      <c r="B177" s="301"/>
      <c r="C177" s="301"/>
      <c r="D177" s="301"/>
      <c r="E177" s="301"/>
      <c r="F177" s="301"/>
      <c r="G177" s="301"/>
      <c r="H177" s="301"/>
      <c r="I177" s="301"/>
      <c r="J177" s="301"/>
      <c r="K177" s="301"/>
      <c r="L177" s="301"/>
      <c r="M177" s="301"/>
      <c r="N177" s="301"/>
      <c r="O177" s="301"/>
      <c r="P177" s="301"/>
      <c r="Q177" s="301"/>
      <c r="R177" s="301"/>
      <c r="S177" s="301"/>
    </row>
    <row r="178" spans="1:19" x14ac:dyDescent="0.3">
      <c r="A178" s="419"/>
      <c r="B178" s="301"/>
      <c r="C178" s="301"/>
      <c r="D178" s="301"/>
      <c r="E178" s="301"/>
      <c r="F178" s="301"/>
      <c r="G178" s="301"/>
      <c r="H178" s="301"/>
      <c r="I178" s="301"/>
      <c r="J178" s="301"/>
      <c r="K178" s="301"/>
      <c r="L178" s="301"/>
      <c r="M178" s="301"/>
      <c r="N178" s="301"/>
      <c r="O178" s="301"/>
      <c r="P178" s="301"/>
      <c r="Q178" s="301"/>
      <c r="R178" s="301"/>
      <c r="S178" s="301"/>
    </row>
    <row r="179" spans="1:19" x14ac:dyDescent="0.3">
      <c r="A179" s="419"/>
      <c r="B179" s="301"/>
      <c r="C179" s="301"/>
      <c r="D179" s="301"/>
      <c r="E179" s="301"/>
      <c r="F179" s="301"/>
      <c r="G179" s="301"/>
      <c r="H179" s="301"/>
      <c r="I179" s="301"/>
      <c r="J179" s="301"/>
      <c r="K179" s="301"/>
      <c r="L179" s="301"/>
      <c r="M179" s="301"/>
      <c r="N179" s="301"/>
      <c r="O179" s="301"/>
      <c r="P179" s="301"/>
      <c r="Q179" s="301"/>
      <c r="R179" s="301"/>
      <c r="S179" s="301"/>
    </row>
    <row r="180" spans="1:19" x14ac:dyDescent="0.3">
      <c r="A180" s="419"/>
      <c r="B180" s="301"/>
      <c r="C180" s="301"/>
      <c r="D180" s="301"/>
      <c r="E180" s="301"/>
      <c r="F180" s="301"/>
      <c r="G180" s="301"/>
      <c r="H180" s="301"/>
      <c r="I180" s="301"/>
      <c r="J180" s="301"/>
      <c r="K180" s="301"/>
      <c r="L180" s="301"/>
      <c r="M180" s="301"/>
      <c r="N180" s="301"/>
      <c r="O180" s="301"/>
      <c r="P180" s="301"/>
      <c r="Q180" s="301"/>
      <c r="R180" s="301"/>
      <c r="S180" s="301"/>
    </row>
    <row r="181" spans="1:19" x14ac:dyDescent="0.3">
      <c r="A181" s="419"/>
      <c r="B181" s="301"/>
      <c r="C181" s="301"/>
      <c r="D181" s="301"/>
      <c r="E181" s="301"/>
      <c r="F181" s="301"/>
      <c r="G181" s="301"/>
      <c r="H181" s="301"/>
      <c r="I181" s="301"/>
      <c r="J181" s="301"/>
      <c r="K181" s="301"/>
      <c r="L181" s="301"/>
      <c r="M181" s="301"/>
      <c r="N181" s="301"/>
      <c r="O181" s="301"/>
      <c r="P181" s="301"/>
      <c r="Q181" s="301"/>
      <c r="R181" s="301"/>
      <c r="S181" s="301"/>
    </row>
    <row r="182" spans="1:19" x14ac:dyDescent="0.3">
      <c r="A182" s="419"/>
      <c r="B182" s="301"/>
      <c r="C182" s="301"/>
      <c r="D182" s="301"/>
      <c r="E182" s="301"/>
      <c r="F182" s="301"/>
      <c r="G182" s="301"/>
      <c r="H182" s="301"/>
      <c r="I182" s="301"/>
      <c r="J182" s="301"/>
      <c r="K182" s="301"/>
      <c r="L182" s="301"/>
      <c r="M182" s="301"/>
      <c r="N182" s="301"/>
      <c r="O182" s="301"/>
      <c r="P182" s="301"/>
      <c r="Q182" s="301"/>
      <c r="R182" s="301"/>
      <c r="S182" s="301"/>
    </row>
    <row r="183" spans="1:19" x14ac:dyDescent="0.3">
      <c r="A183" s="419"/>
      <c r="B183" s="301"/>
      <c r="C183" s="301"/>
      <c r="D183" s="301"/>
      <c r="E183" s="301"/>
      <c r="F183" s="301"/>
      <c r="G183" s="301"/>
      <c r="H183" s="301"/>
      <c r="I183" s="301"/>
      <c r="J183" s="301"/>
      <c r="K183" s="301"/>
      <c r="L183" s="301"/>
      <c r="M183" s="301"/>
      <c r="N183" s="301"/>
      <c r="O183" s="301"/>
      <c r="P183" s="301"/>
      <c r="Q183" s="301"/>
      <c r="R183" s="301"/>
      <c r="S183" s="301"/>
    </row>
    <row r="184" spans="1:19" x14ac:dyDescent="0.3">
      <c r="A184" s="419"/>
      <c r="B184" s="301"/>
      <c r="C184" s="301"/>
      <c r="D184" s="301"/>
      <c r="E184" s="301"/>
      <c r="F184" s="301"/>
      <c r="G184" s="301"/>
      <c r="H184" s="301"/>
      <c r="I184" s="301"/>
      <c r="J184" s="301"/>
      <c r="K184" s="301"/>
      <c r="L184" s="301"/>
      <c r="M184" s="301"/>
      <c r="N184" s="301"/>
      <c r="O184" s="301"/>
      <c r="P184" s="301"/>
      <c r="Q184" s="301"/>
      <c r="R184" s="301"/>
      <c r="S184" s="301"/>
    </row>
    <row r="185" spans="1:19" x14ac:dyDescent="0.3">
      <c r="A185" s="419"/>
      <c r="B185" s="301"/>
      <c r="C185" s="301"/>
      <c r="D185" s="301"/>
      <c r="E185" s="301"/>
      <c r="F185" s="301"/>
      <c r="G185" s="301"/>
      <c r="H185" s="301"/>
      <c r="I185" s="301"/>
      <c r="J185" s="301"/>
      <c r="K185" s="301"/>
      <c r="L185" s="301"/>
      <c r="M185" s="301"/>
      <c r="N185" s="301"/>
      <c r="O185" s="301"/>
      <c r="P185" s="301"/>
      <c r="Q185" s="301"/>
      <c r="R185" s="301"/>
      <c r="S185" s="301"/>
    </row>
    <row r="186" spans="1:19" x14ac:dyDescent="0.3">
      <c r="A186" s="419"/>
      <c r="B186" s="301"/>
      <c r="C186" s="301"/>
      <c r="D186" s="301"/>
      <c r="E186" s="301"/>
      <c r="F186" s="301"/>
      <c r="G186" s="301"/>
      <c r="H186" s="301"/>
      <c r="I186" s="301"/>
      <c r="J186" s="301"/>
      <c r="K186" s="301"/>
      <c r="L186" s="301"/>
      <c r="M186" s="301"/>
      <c r="N186" s="301"/>
      <c r="O186" s="301"/>
      <c r="P186" s="301"/>
      <c r="Q186" s="301"/>
      <c r="R186" s="301"/>
      <c r="S186" s="301"/>
    </row>
    <row r="187" spans="1:19" x14ac:dyDescent="0.3">
      <c r="A187" s="419"/>
      <c r="B187" s="301"/>
      <c r="C187" s="301"/>
      <c r="D187" s="301"/>
      <c r="E187" s="301"/>
      <c r="F187" s="301"/>
      <c r="G187" s="301"/>
      <c r="H187" s="301"/>
      <c r="I187" s="301"/>
      <c r="J187" s="301"/>
      <c r="K187" s="301"/>
      <c r="L187" s="301"/>
      <c r="M187" s="301"/>
      <c r="N187" s="301"/>
      <c r="O187" s="301"/>
      <c r="P187" s="301"/>
      <c r="Q187" s="301"/>
      <c r="R187" s="301"/>
      <c r="S187" s="301"/>
    </row>
    <row r="188" spans="1:19" x14ac:dyDescent="0.3">
      <c r="A188" s="419"/>
      <c r="B188" s="301"/>
      <c r="C188" s="301"/>
      <c r="D188" s="301"/>
      <c r="E188" s="301"/>
      <c r="F188" s="301"/>
      <c r="G188" s="301"/>
      <c r="H188" s="301"/>
      <c r="I188" s="301"/>
      <c r="J188" s="301"/>
      <c r="K188" s="301"/>
      <c r="L188" s="301"/>
      <c r="M188" s="301"/>
      <c r="N188" s="301"/>
      <c r="O188" s="301"/>
      <c r="P188" s="301"/>
      <c r="Q188" s="301"/>
      <c r="R188" s="301"/>
      <c r="S188" s="301"/>
    </row>
    <row r="189" spans="1:19" x14ac:dyDescent="0.3">
      <c r="A189" s="419"/>
      <c r="B189" s="301"/>
      <c r="C189" s="301"/>
      <c r="D189" s="301"/>
      <c r="E189" s="301"/>
      <c r="F189" s="301"/>
      <c r="G189" s="301"/>
      <c r="H189" s="301"/>
      <c r="I189" s="301"/>
      <c r="J189" s="301"/>
      <c r="K189" s="301"/>
      <c r="L189" s="301"/>
      <c r="M189" s="301"/>
      <c r="N189" s="301"/>
      <c r="O189" s="301"/>
      <c r="P189" s="301"/>
      <c r="Q189" s="301"/>
      <c r="R189" s="301"/>
      <c r="S189" s="301"/>
    </row>
    <row r="190" spans="1:19" x14ac:dyDescent="0.3">
      <c r="A190" s="419"/>
      <c r="B190" s="301"/>
      <c r="C190" s="301"/>
      <c r="D190" s="301"/>
      <c r="E190" s="301"/>
      <c r="F190" s="301"/>
      <c r="G190" s="301"/>
      <c r="H190" s="301"/>
      <c r="I190" s="301"/>
      <c r="J190" s="301"/>
      <c r="K190" s="301"/>
      <c r="L190" s="301"/>
      <c r="M190" s="301"/>
      <c r="N190" s="301"/>
      <c r="O190" s="301"/>
      <c r="P190" s="301"/>
      <c r="Q190" s="301"/>
      <c r="R190" s="301"/>
      <c r="S190" s="301"/>
    </row>
    <row r="191" spans="1:19" x14ac:dyDescent="0.3">
      <c r="A191" s="419"/>
      <c r="B191" s="301"/>
      <c r="C191" s="301"/>
      <c r="D191" s="301"/>
      <c r="E191" s="301"/>
      <c r="F191" s="301"/>
      <c r="G191" s="301"/>
      <c r="H191" s="301"/>
      <c r="I191" s="301"/>
      <c r="J191" s="301"/>
      <c r="K191" s="301"/>
      <c r="L191" s="301"/>
      <c r="M191" s="301"/>
      <c r="N191" s="301"/>
      <c r="O191" s="301"/>
      <c r="P191" s="301"/>
      <c r="Q191" s="301"/>
      <c r="R191" s="301"/>
      <c r="S191" s="301"/>
    </row>
    <row r="192" spans="1:19" x14ac:dyDescent="0.3">
      <c r="A192" s="419"/>
      <c r="B192" s="301"/>
      <c r="C192" s="301"/>
      <c r="D192" s="301"/>
      <c r="E192" s="301"/>
      <c r="F192" s="301"/>
      <c r="G192" s="301"/>
      <c r="H192" s="301"/>
      <c r="I192" s="301"/>
      <c r="J192" s="301"/>
      <c r="K192" s="301"/>
      <c r="L192" s="301"/>
      <c r="M192" s="301"/>
      <c r="N192" s="301"/>
      <c r="O192" s="301"/>
      <c r="P192" s="301"/>
      <c r="Q192" s="301"/>
      <c r="R192" s="301"/>
      <c r="S192" s="301"/>
    </row>
    <row r="193" spans="1:19" x14ac:dyDescent="0.3">
      <c r="A193" s="419"/>
      <c r="B193" s="301"/>
      <c r="C193" s="301"/>
      <c r="D193" s="301"/>
      <c r="E193" s="301"/>
      <c r="F193" s="301"/>
      <c r="G193" s="301"/>
      <c r="H193" s="301"/>
      <c r="I193" s="301"/>
      <c r="J193" s="301"/>
      <c r="K193" s="301"/>
      <c r="L193" s="301"/>
      <c r="M193" s="301"/>
      <c r="N193" s="301"/>
      <c r="O193" s="301"/>
      <c r="P193" s="301"/>
      <c r="Q193" s="301"/>
      <c r="R193" s="301"/>
      <c r="S193" s="301"/>
    </row>
    <row r="194" spans="1:19" x14ac:dyDescent="0.3">
      <c r="A194" s="419"/>
      <c r="B194" s="301"/>
      <c r="C194" s="301"/>
      <c r="D194" s="301"/>
      <c r="E194" s="301"/>
      <c r="F194" s="301"/>
      <c r="G194" s="301"/>
      <c r="H194" s="301"/>
      <c r="I194" s="301"/>
      <c r="J194" s="301"/>
      <c r="K194" s="301"/>
      <c r="L194" s="301"/>
      <c r="M194" s="301"/>
      <c r="N194" s="301"/>
      <c r="O194" s="301"/>
      <c r="P194" s="301"/>
      <c r="Q194" s="301"/>
      <c r="R194" s="301"/>
      <c r="S194" s="301"/>
    </row>
    <row r="195" spans="1:19" x14ac:dyDescent="0.3">
      <c r="A195" s="419"/>
      <c r="B195" s="301"/>
      <c r="C195" s="301"/>
      <c r="D195" s="301"/>
      <c r="E195" s="301"/>
      <c r="F195" s="301"/>
      <c r="G195" s="301"/>
      <c r="H195" s="301"/>
      <c r="I195" s="301"/>
      <c r="J195" s="301"/>
      <c r="K195" s="301"/>
      <c r="L195" s="301"/>
      <c r="M195" s="301"/>
      <c r="N195" s="301"/>
      <c r="O195" s="301"/>
      <c r="P195" s="301"/>
      <c r="Q195" s="301"/>
      <c r="R195" s="301"/>
      <c r="S195" s="301"/>
    </row>
    <row r="196" spans="1:19" x14ac:dyDescent="0.3">
      <c r="A196" s="419"/>
      <c r="B196" s="301"/>
      <c r="C196" s="301"/>
      <c r="D196" s="301"/>
      <c r="E196" s="301"/>
      <c r="F196" s="301"/>
      <c r="G196" s="301"/>
      <c r="H196" s="301"/>
      <c r="I196" s="301"/>
      <c r="J196" s="301"/>
      <c r="K196" s="301"/>
      <c r="L196" s="301"/>
      <c r="M196" s="301"/>
      <c r="N196" s="301"/>
      <c r="O196" s="301"/>
      <c r="P196" s="301"/>
      <c r="Q196" s="301"/>
      <c r="R196" s="301"/>
      <c r="S196" s="301"/>
    </row>
    <row r="197" spans="1:19" x14ac:dyDescent="0.3">
      <c r="A197" s="419"/>
      <c r="B197" s="301"/>
      <c r="C197" s="301"/>
      <c r="D197" s="301"/>
      <c r="E197" s="301"/>
      <c r="F197" s="301"/>
      <c r="G197" s="301"/>
      <c r="H197" s="301"/>
      <c r="I197" s="301"/>
      <c r="J197" s="301"/>
      <c r="K197" s="301"/>
      <c r="L197" s="301"/>
      <c r="M197" s="301"/>
      <c r="N197" s="301"/>
      <c r="O197" s="301"/>
      <c r="P197" s="301"/>
      <c r="Q197" s="301"/>
      <c r="R197" s="301"/>
      <c r="S197" s="301"/>
    </row>
    <row r="198" spans="1:19" x14ac:dyDescent="0.3">
      <c r="A198" s="419"/>
      <c r="B198" s="301"/>
      <c r="C198" s="301"/>
      <c r="D198" s="301"/>
      <c r="E198" s="301"/>
      <c r="F198" s="301"/>
      <c r="G198" s="301"/>
      <c r="H198" s="301"/>
      <c r="I198" s="301"/>
      <c r="J198" s="301"/>
      <c r="K198" s="301"/>
      <c r="L198" s="301"/>
      <c r="M198" s="301"/>
      <c r="N198" s="301"/>
      <c r="O198" s="301"/>
      <c r="P198" s="301"/>
      <c r="Q198" s="301"/>
      <c r="R198" s="301"/>
      <c r="S198" s="301"/>
    </row>
    <row r="199" spans="1:19" x14ac:dyDescent="0.3">
      <c r="A199" s="419"/>
      <c r="B199" s="301"/>
      <c r="C199" s="301"/>
      <c r="D199" s="301"/>
      <c r="E199" s="301"/>
      <c r="F199" s="301"/>
      <c r="G199" s="301"/>
      <c r="H199" s="301"/>
      <c r="I199" s="301"/>
      <c r="J199" s="301"/>
      <c r="K199" s="301"/>
      <c r="L199" s="301"/>
      <c r="M199" s="301"/>
      <c r="N199" s="301"/>
      <c r="O199" s="301"/>
      <c r="P199" s="301"/>
      <c r="Q199" s="301"/>
      <c r="R199" s="301"/>
      <c r="S199" s="301"/>
    </row>
    <row r="200" spans="1:19" x14ac:dyDescent="0.3">
      <c r="A200" s="419"/>
      <c r="B200" s="301"/>
      <c r="C200" s="301"/>
      <c r="D200" s="301"/>
      <c r="E200" s="301"/>
      <c r="F200" s="301"/>
      <c r="G200" s="301"/>
      <c r="H200" s="301"/>
      <c r="I200" s="301"/>
      <c r="J200" s="301"/>
      <c r="K200" s="301"/>
      <c r="L200" s="301"/>
      <c r="M200" s="301"/>
      <c r="N200" s="301"/>
      <c r="O200" s="301"/>
      <c r="P200" s="301"/>
      <c r="Q200" s="301"/>
      <c r="R200" s="301"/>
      <c r="S200" s="301"/>
    </row>
    <row r="201" spans="1:19" x14ac:dyDescent="0.3">
      <c r="A201" s="419"/>
      <c r="B201" s="301"/>
      <c r="C201" s="301"/>
      <c r="D201" s="301"/>
      <c r="E201" s="301"/>
      <c r="F201" s="301"/>
      <c r="G201" s="301"/>
      <c r="H201" s="301"/>
      <c r="I201" s="301"/>
      <c r="J201" s="301"/>
      <c r="K201" s="301"/>
      <c r="L201" s="301"/>
      <c r="M201" s="301"/>
      <c r="N201" s="301"/>
      <c r="O201" s="301"/>
      <c r="P201" s="301"/>
      <c r="Q201" s="301"/>
      <c r="R201" s="301"/>
      <c r="S201" s="301"/>
    </row>
    <row r="202" spans="1:19" x14ac:dyDescent="0.3">
      <c r="A202" s="419"/>
      <c r="B202" s="301"/>
      <c r="C202" s="301"/>
      <c r="D202" s="301"/>
      <c r="E202" s="301"/>
      <c r="F202" s="301"/>
      <c r="G202" s="301"/>
      <c r="H202" s="301"/>
      <c r="I202" s="301"/>
      <c r="J202" s="301"/>
      <c r="K202" s="301"/>
      <c r="L202" s="301"/>
      <c r="M202" s="301"/>
      <c r="N202" s="301"/>
      <c r="O202" s="301"/>
      <c r="P202" s="301"/>
      <c r="Q202" s="301"/>
      <c r="R202" s="301"/>
      <c r="S202" s="301"/>
    </row>
    <row r="203" spans="1:19" x14ac:dyDescent="0.3">
      <c r="A203" s="419"/>
      <c r="B203" s="301"/>
      <c r="C203" s="301"/>
      <c r="D203" s="301"/>
      <c r="E203" s="301"/>
      <c r="F203" s="301"/>
      <c r="G203" s="301"/>
      <c r="H203" s="301"/>
      <c r="I203" s="301"/>
      <c r="J203" s="301"/>
      <c r="K203" s="301"/>
      <c r="L203" s="301"/>
      <c r="M203" s="301"/>
      <c r="N203" s="301"/>
      <c r="O203" s="301"/>
      <c r="P203" s="301"/>
      <c r="Q203" s="301"/>
      <c r="R203" s="301"/>
      <c r="S203" s="301"/>
    </row>
    <row r="204" spans="1:19" x14ac:dyDescent="0.3">
      <c r="A204" s="419"/>
      <c r="B204" s="301"/>
      <c r="C204" s="301"/>
      <c r="D204" s="301"/>
      <c r="E204" s="301"/>
      <c r="F204" s="301"/>
      <c r="G204" s="301"/>
      <c r="H204" s="301"/>
      <c r="I204" s="301"/>
      <c r="J204" s="301"/>
      <c r="K204" s="301"/>
      <c r="L204" s="301"/>
      <c r="M204" s="301"/>
      <c r="N204" s="301"/>
      <c r="O204" s="301"/>
      <c r="P204" s="301"/>
      <c r="Q204" s="301"/>
      <c r="R204" s="301"/>
      <c r="S204" s="301"/>
    </row>
    <row r="205" spans="1:19" x14ac:dyDescent="0.3">
      <c r="A205" s="419"/>
      <c r="B205" s="301"/>
      <c r="C205" s="301"/>
      <c r="D205" s="301"/>
      <c r="E205" s="301"/>
      <c r="F205" s="301"/>
      <c r="G205" s="301"/>
      <c r="H205" s="301"/>
      <c r="I205" s="301"/>
      <c r="J205" s="301"/>
      <c r="K205" s="301"/>
      <c r="L205" s="301"/>
      <c r="M205" s="301"/>
      <c r="N205" s="301"/>
      <c r="O205" s="301"/>
      <c r="P205" s="301"/>
      <c r="Q205" s="301"/>
      <c r="R205" s="301"/>
      <c r="S205" s="301"/>
    </row>
    <row r="206" spans="1:19" x14ac:dyDescent="0.3">
      <c r="A206" s="419"/>
      <c r="B206" s="301"/>
      <c r="C206" s="301"/>
      <c r="D206" s="301"/>
      <c r="E206" s="301"/>
      <c r="F206" s="301"/>
      <c r="G206" s="301"/>
      <c r="H206" s="301"/>
      <c r="I206" s="301"/>
      <c r="J206" s="301"/>
      <c r="K206" s="301"/>
      <c r="L206" s="301"/>
      <c r="M206" s="301"/>
      <c r="N206" s="301"/>
      <c r="O206" s="301"/>
      <c r="P206" s="301"/>
      <c r="Q206" s="301"/>
      <c r="R206" s="301"/>
      <c r="S206" s="301"/>
    </row>
    <row r="207" spans="1:19" x14ac:dyDescent="0.3">
      <c r="A207" s="419"/>
      <c r="B207" s="301"/>
      <c r="C207" s="301"/>
      <c r="D207" s="301"/>
      <c r="E207" s="301"/>
      <c r="F207" s="301"/>
      <c r="G207" s="301"/>
      <c r="H207" s="301"/>
      <c r="I207" s="301"/>
      <c r="J207" s="301"/>
      <c r="K207" s="301"/>
      <c r="L207" s="301"/>
      <c r="M207" s="301"/>
      <c r="N207" s="301"/>
      <c r="O207" s="301"/>
      <c r="P207" s="301"/>
      <c r="Q207" s="301"/>
      <c r="R207" s="301"/>
      <c r="S207" s="301"/>
    </row>
    <row r="208" spans="1:19" x14ac:dyDescent="0.3">
      <c r="A208" s="419"/>
      <c r="B208" s="301"/>
      <c r="C208" s="301"/>
      <c r="D208" s="301"/>
      <c r="E208" s="301"/>
      <c r="F208" s="301"/>
      <c r="G208" s="301"/>
      <c r="H208" s="301"/>
      <c r="I208" s="301"/>
      <c r="J208" s="301"/>
      <c r="K208" s="301"/>
      <c r="L208" s="301"/>
      <c r="M208" s="301"/>
      <c r="N208" s="301"/>
      <c r="O208" s="301"/>
      <c r="P208" s="301"/>
      <c r="Q208" s="301"/>
      <c r="R208" s="301"/>
      <c r="S208" s="301"/>
    </row>
    <row r="209" spans="1:19" x14ac:dyDescent="0.3">
      <c r="A209" s="419"/>
      <c r="B209" s="301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1"/>
      <c r="O209" s="301"/>
      <c r="P209" s="301"/>
      <c r="Q209" s="301"/>
      <c r="R209" s="301"/>
      <c r="S209" s="301"/>
    </row>
    <row r="210" spans="1:19" x14ac:dyDescent="0.3">
      <c r="A210" s="419"/>
      <c r="B210" s="301"/>
      <c r="C210" s="301"/>
      <c r="D210" s="301"/>
      <c r="E210" s="301"/>
      <c r="F210" s="301"/>
      <c r="G210" s="301"/>
      <c r="H210" s="301"/>
      <c r="I210" s="301"/>
      <c r="J210" s="301"/>
      <c r="K210" s="301"/>
      <c r="L210" s="301"/>
      <c r="M210" s="301"/>
      <c r="N210" s="301"/>
      <c r="O210" s="301"/>
      <c r="P210" s="301"/>
      <c r="Q210" s="301"/>
      <c r="R210" s="301"/>
      <c r="S210" s="301"/>
    </row>
    <row r="211" spans="1:19" x14ac:dyDescent="0.3">
      <c r="A211" s="419"/>
      <c r="B211" s="301"/>
      <c r="C211" s="301"/>
      <c r="D211" s="301"/>
      <c r="E211" s="301"/>
      <c r="F211" s="301"/>
      <c r="G211" s="301"/>
      <c r="H211" s="301"/>
      <c r="I211" s="301"/>
      <c r="J211" s="301"/>
      <c r="K211" s="301"/>
      <c r="L211" s="301"/>
      <c r="M211" s="301"/>
      <c r="N211" s="301"/>
      <c r="O211" s="301"/>
      <c r="P211" s="301"/>
      <c r="Q211" s="301"/>
      <c r="R211" s="301"/>
      <c r="S211" s="301"/>
    </row>
    <row r="212" spans="1:19" x14ac:dyDescent="0.3">
      <c r="A212" s="419"/>
      <c r="B212" s="301"/>
      <c r="C212" s="301"/>
      <c r="D212" s="301"/>
      <c r="E212" s="301"/>
      <c r="F212" s="301"/>
      <c r="G212" s="301"/>
      <c r="H212" s="301"/>
      <c r="I212" s="301"/>
      <c r="J212" s="301"/>
      <c r="K212" s="301"/>
      <c r="L212" s="301"/>
      <c r="M212" s="301"/>
      <c r="N212" s="301"/>
      <c r="O212" s="301"/>
      <c r="P212" s="301"/>
      <c r="Q212" s="301"/>
      <c r="R212" s="301"/>
      <c r="S212" s="301"/>
    </row>
    <row r="213" spans="1:19" x14ac:dyDescent="0.3">
      <c r="A213" s="419"/>
      <c r="B213" s="301"/>
      <c r="C213" s="301"/>
      <c r="D213" s="301"/>
      <c r="E213" s="301"/>
      <c r="F213" s="301"/>
      <c r="G213" s="301"/>
      <c r="H213" s="301"/>
      <c r="I213" s="301"/>
      <c r="J213" s="301"/>
      <c r="K213" s="301"/>
      <c r="L213" s="301"/>
      <c r="M213" s="301"/>
      <c r="N213" s="301"/>
      <c r="O213" s="301"/>
      <c r="P213" s="301"/>
      <c r="Q213" s="301"/>
      <c r="R213" s="301"/>
      <c r="S213" s="301"/>
    </row>
    <row r="214" spans="1:19" x14ac:dyDescent="0.3">
      <c r="A214" s="419"/>
      <c r="B214" s="301"/>
      <c r="C214" s="301"/>
      <c r="D214" s="301"/>
      <c r="E214" s="301"/>
      <c r="F214" s="301"/>
      <c r="G214" s="301"/>
      <c r="H214" s="301"/>
      <c r="I214" s="301"/>
      <c r="J214" s="301"/>
      <c r="K214" s="301"/>
      <c r="L214" s="301"/>
      <c r="M214" s="301"/>
      <c r="N214" s="301"/>
      <c r="O214" s="301"/>
      <c r="P214" s="301"/>
      <c r="Q214" s="301"/>
      <c r="R214" s="301"/>
      <c r="S214" s="301"/>
    </row>
    <row r="215" spans="1:19" x14ac:dyDescent="0.3">
      <c r="A215" s="419"/>
      <c r="B215" s="301"/>
      <c r="C215" s="301"/>
      <c r="D215" s="301"/>
      <c r="E215" s="301"/>
      <c r="F215" s="301"/>
      <c r="G215" s="301"/>
      <c r="H215" s="301"/>
      <c r="I215" s="301"/>
      <c r="J215" s="301"/>
      <c r="K215" s="301"/>
      <c r="L215" s="301"/>
      <c r="M215" s="301"/>
      <c r="N215" s="301"/>
      <c r="O215" s="301"/>
      <c r="P215" s="301"/>
      <c r="Q215" s="301"/>
      <c r="R215" s="301"/>
      <c r="S215" s="301"/>
    </row>
    <row r="216" spans="1:19" x14ac:dyDescent="0.3">
      <c r="A216" s="419"/>
      <c r="B216" s="301"/>
      <c r="C216" s="301"/>
      <c r="D216" s="301"/>
      <c r="E216" s="301"/>
      <c r="F216" s="301"/>
      <c r="G216" s="301"/>
      <c r="H216" s="301"/>
      <c r="I216" s="301"/>
      <c r="J216" s="301"/>
      <c r="K216" s="301"/>
      <c r="L216" s="301"/>
      <c r="M216" s="301"/>
      <c r="N216" s="301"/>
      <c r="O216" s="301"/>
      <c r="P216" s="301"/>
      <c r="Q216" s="301"/>
      <c r="R216" s="301"/>
      <c r="S216" s="301"/>
    </row>
    <row r="217" spans="1:19" x14ac:dyDescent="0.3">
      <c r="A217" s="419"/>
      <c r="B217" s="301"/>
      <c r="C217" s="301"/>
      <c r="D217" s="301"/>
      <c r="E217" s="301"/>
      <c r="F217" s="301"/>
      <c r="G217" s="301"/>
      <c r="H217" s="301"/>
      <c r="I217" s="301"/>
      <c r="J217" s="301"/>
      <c r="K217" s="301"/>
      <c r="L217" s="301"/>
      <c r="M217" s="301"/>
      <c r="N217" s="301"/>
      <c r="O217" s="301"/>
      <c r="P217" s="301"/>
      <c r="Q217" s="301"/>
      <c r="R217" s="301"/>
      <c r="S217" s="301"/>
    </row>
    <row r="218" spans="1:19" x14ac:dyDescent="0.3">
      <c r="A218" s="419"/>
      <c r="B218" s="301"/>
      <c r="C218" s="301"/>
      <c r="D218" s="301"/>
      <c r="E218" s="301"/>
      <c r="F218" s="301"/>
      <c r="G218" s="301"/>
      <c r="H218" s="301"/>
      <c r="I218" s="301"/>
      <c r="J218" s="301"/>
      <c r="K218" s="301"/>
      <c r="L218" s="301"/>
      <c r="M218" s="301"/>
      <c r="N218" s="301"/>
      <c r="O218" s="301"/>
      <c r="P218" s="301"/>
      <c r="Q218" s="301"/>
      <c r="R218" s="301"/>
      <c r="S218" s="301"/>
    </row>
    <row r="219" spans="1:19" x14ac:dyDescent="0.3">
      <c r="A219" s="419"/>
      <c r="B219" s="301"/>
      <c r="C219" s="301"/>
      <c r="D219" s="301"/>
      <c r="E219" s="301"/>
      <c r="F219" s="301"/>
      <c r="G219" s="301"/>
      <c r="H219" s="301"/>
      <c r="I219" s="301"/>
      <c r="J219" s="301"/>
      <c r="K219" s="301"/>
      <c r="L219" s="301"/>
      <c r="M219" s="301"/>
      <c r="N219" s="301"/>
      <c r="O219" s="301"/>
      <c r="P219" s="301"/>
      <c r="Q219" s="301"/>
      <c r="R219" s="301"/>
      <c r="S219" s="301"/>
    </row>
    <row r="220" spans="1:19" x14ac:dyDescent="0.3">
      <c r="A220" s="419"/>
      <c r="B220" s="301"/>
      <c r="C220" s="301"/>
      <c r="D220" s="301"/>
      <c r="E220" s="301"/>
      <c r="F220" s="301"/>
      <c r="G220" s="301"/>
      <c r="H220" s="301"/>
      <c r="I220" s="301"/>
      <c r="J220" s="301"/>
      <c r="K220" s="301"/>
      <c r="L220" s="301"/>
      <c r="M220" s="301"/>
      <c r="N220" s="301"/>
      <c r="O220" s="301"/>
      <c r="P220" s="301"/>
      <c r="Q220" s="301"/>
      <c r="R220" s="301"/>
      <c r="S220" s="301"/>
    </row>
    <row r="221" spans="1:19" x14ac:dyDescent="0.3">
      <c r="A221" s="419"/>
      <c r="B221" s="301"/>
      <c r="C221" s="301"/>
      <c r="D221" s="301"/>
      <c r="E221" s="301"/>
      <c r="F221" s="301"/>
      <c r="G221" s="301"/>
      <c r="H221" s="301"/>
      <c r="I221" s="301"/>
      <c r="J221" s="301"/>
      <c r="K221" s="301"/>
      <c r="L221" s="301"/>
      <c r="M221" s="301"/>
      <c r="N221" s="301"/>
      <c r="O221" s="301"/>
      <c r="P221" s="301"/>
      <c r="Q221" s="301"/>
      <c r="R221" s="301"/>
      <c r="S221" s="301"/>
    </row>
    <row r="222" spans="1:19" x14ac:dyDescent="0.3">
      <c r="A222" s="419"/>
      <c r="B222" s="301"/>
      <c r="C222" s="301"/>
      <c r="D222" s="301"/>
      <c r="E222" s="301"/>
      <c r="F222" s="301"/>
      <c r="G222" s="301"/>
      <c r="H222" s="301"/>
      <c r="I222" s="301"/>
      <c r="J222" s="301"/>
      <c r="K222" s="301"/>
      <c r="L222" s="301"/>
      <c r="M222" s="301"/>
      <c r="N222" s="301"/>
      <c r="O222" s="301"/>
      <c r="P222" s="301"/>
      <c r="Q222" s="301"/>
      <c r="R222" s="301"/>
      <c r="S222" s="301"/>
    </row>
    <row r="223" spans="1:19" x14ac:dyDescent="0.3">
      <c r="A223" s="419"/>
      <c r="B223" s="301"/>
      <c r="C223" s="301"/>
      <c r="D223" s="301"/>
      <c r="E223" s="301"/>
      <c r="F223" s="301"/>
      <c r="G223" s="301"/>
      <c r="H223" s="301"/>
      <c r="I223" s="301"/>
      <c r="J223" s="301"/>
      <c r="K223" s="301"/>
      <c r="L223" s="301"/>
      <c r="M223" s="301"/>
      <c r="N223" s="301"/>
      <c r="O223" s="301"/>
      <c r="P223" s="301"/>
      <c r="Q223" s="301"/>
      <c r="R223" s="301"/>
      <c r="S223" s="301"/>
    </row>
    <row r="224" spans="1:19" x14ac:dyDescent="0.3">
      <c r="A224" s="419"/>
      <c r="B224" s="301"/>
      <c r="C224" s="301"/>
      <c r="D224" s="301"/>
      <c r="E224" s="301"/>
      <c r="F224" s="301"/>
      <c r="G224" s="301"/>
      <c r="H224" s="301"/>
      <c r="I224" s="301"/>
      <c r="J224" s="301"/>
      <c r="K224" s="301"/>
      <c r="L224" s="301"/>
      <c r="M224" s="301"/>
      <c r="N224" s="301"/>
      <c r="O224" s="301"/>
      <c r="P224" s="301"/>
      <c r="Q224" s="301"/>
      <c r="R224" s="301"/>
      <c r="S224" s="301"/>
    </row>
    <row r="225" spans="1:19" x14ac:dyDescent="0.3">
      <c r="A225" s="419"/>
      <c r="B225" s="301"/>
      <c r="C225" s="301"/>
      <c r="D225" s="301"/>
      <c r="E225" s="301"/>
      <c r="F225" s="301"/>
      <c r="G225" s="301"/>
      <c r="H225" s="301"/>
      <c r="I225" s="301"/>
      <c r="J225" s="301"/>
      <c r="K225" s="301"/>
      <c r="L225" s="301"/>
      <c r="M225" s="301"/>
      <c r="N225" s="301"/>
      <c r="O225" s="301"/>
      <c r="P225" s="301"/>
      <c r="Q225" s="301"/>
      <c r="R225" s="301"/>
      <c r="S225" s="301"/>
    </row>
    <row r="226" spans="1:19" x14ac:dyDescent="0.3">
      <c r="A226" s="419"/>
      <c r="B226" s="301"/>
      <c r="C226" s="301"/>
      <c r="D226" s="301"/>
      <c r="E226" s="301"/>
      <c r="F226" s="301"/>
      <c r="G226" s="301"/>
      <c r="H226" s="301"/>
      <c r="I226" s="301"/>
      <c r="J226" s="301"/>
      <c r="K226" s="301"/>
      <c r="L226" s="301"/>
      <c r="M226" s="301"/>
      <c r="N226" s="301"/>
      <c r="O226" s="301"/>
      <c r="P226" s="301"/>
      <c r="Q226" s="301"/>
      <c r="R226" s="301"/>
      <c r="S226" s="301"/>
    </row>
    <row r="227" spans="1:19" x14ac:dyDescent="0.3">
      <c r="A227" s="419"/>
      <c r="B227" s="301"/>
      <c r="C227" s="301"/>
      <c r="D227" s="301"/>
      <c r="E227" s="301"/>
      <c r="F227" s="301"/>
      <c r="G227" s="301"/>
      <c r="H227" s="301"/>
      <c r="I227" s="301"/>
      <c r="J227" s="301"/>
      <c r="K227" s="301"/>
      <c r="L227" s="301"/>
      <c r="M227" s="301"/>
      <c r="N227" s="301"/>
      <c r="O227" s="301"/>
      <c r="P227" s="301"/>
      <c r="Q227" s="301"/>
      <c r="R227" s="301"/>
      <c r="S227" s="301"/>
    </row>
    <row r="228" spans="1:19" x14ac:dyDescent="0.3">
      <c r="A228" s="419"/>
      <c r="B228" s="301"/>
      <c r="C228" s="301"/>
      <c r="D228" s="301"/>
      <c r="E228" s="301"/>
      <c r="F228" s="301"/>
      <c r="G228" s="301"/>
      <c r="H228" s="301"/>
      <c r="I228" s="301"/>
      <c r="J228" s="301"/>
      <c r="K228" s="301"/>
      <c r="L228" s="301"/>
      <c r="M228" s="301"/>
      <c r="N228" s="301"/>
      <c r="O228" s="301"/>
      <c r="P228" s="301"/>
      <c r="Q228" s="301"/>
      <c r="R228" s="301"/>
      <c r="S228" s="301"/>
    </row>
    <row r="229" spans="1:19" x14ac:dyDescent="0.3">
      <c r="A229" s="419"/>
      <c r="B229" s="301"/>
      <c r="C229" s="301"/>
      <c r="D229" s="301"/>
      <c r="E229" s="301"/>
      <c r="F229" s="301"/>
      <c r="G229" s="301"/>
      <c r="H229" s="301"/>
      <c r="I229" s="301"/>
      <c r="J229" s="301"/>
      <c r="K229" s="301"/>
      <c r="L229" s="301"/>
      <c r="M229" s="301"/>
      <c r="N229" s="301"/>
      <c r="O229" s="301"/>
      <c r="P229" s="301"/>
      <c r="Q229" s="301"/>
      <c r="R229" s="301"/>
      <c r="S229" s="301"/>
    </row>
    <row r="230" spans="1:19" x14ac:dyDescent="0.3">
      <c r="A230" s="419"/>
      <c r="B230" s="301"/>
      <c r="C230" s="301"/>
      <c r="D230" s="301"/>
      <c r="E230" s="301"/>
      <c r="F230" s="301"/>
      <c r="G230" s="301"/>
      <c r="H230" s="301"/>
      <c r="I230" s="301"/>
      <c r="J230" s="301"/>
      <c r="K230" s="301"/>
      <c r="L230" s="301"/>
      <c r="M230" s="301"/>
      <c r="N230" s="301"/>
      <c r="O230" s="301"/>
      <c r="P230" s="301"/>
      <c r="Q230" s="301"/>
      <c r="R230" s="301"/>
      <c r="S230" s="301"/>
    </row>
    <row r="231" spans="1:19" x14ac:dyDescent="0.3">
      <c r="A231" s="419"/>
      <c r="B231" s="301"/>
      <c r="C231" s="301"/>
      <c r="D231" s="301"/>
      <c r="E231" s="301"/>
      <c r="F231" s="301"/>
      <c r="G231" s="301"/>
      <c r="H231" s="301"/>
      <c r="I231" s="301"/>
      <c r="J231" s="301"/>
      <c r="K231" s="301"/>
      <c r="L231" s="301"/>
      <c r="M231" s="301"/>
      <c r="N231" s="301"/>
      <c r="O231" s="301"/>
      <c r="P231" s="301"/>
      <c r="Q231" s="301"/>
      <c r="R231" s="301"/>
      <c r="S231" s="301"/>
    </row>
    <row r="232" spans="1:19" x14ac:dyDescent="0.3">
      <c r="A232" s="419"/>
      <c r="B232" s="301"/>
      <c r="C232" s="301"/>
      <c r="D232" s="301"/>
      <c r="E232" s="301"/>
      <c r="F232" s="301"/>
      <c r="G232" s="301"/>
      <c r="H232" s="301"/>
      <c r="I232" s="301"/>
      <c r="J232" s="301"/>
      <c r="K232" s="301"/>
      <c r="L232" s="301"/>
      <c r="M232" s="301"/>
      <c r="N232" s="301"/>
      <c r="O232" s="301"/>
      <c r="P232" s="301"/>
      <c r="Q232" s="301"/>
      <c r="R232" s="301"/>
      <c r="S232" s="301"/>
    </row>
    <row r="233" spans="1:19" x14ac:dyDescent="0.3">
      <c r="A233" s="419"/>
      <c r="B233" s="301"/>
      <c r="C233" s="301"/>
      <c r="D233" s="301"/>
      <c r="E233" s="301"/>
      <c r="F233" s="301"/>
      <c r="G233" s="301"/>
      <c r="H233" s="301"/>
      <c r="I233" s="301"/>
      <c r="J233" s="301"/>
      <c r="K233" s="301"/>
      <c r="L233" s="301"/>
      <c r="M233" s="301"/>
      <c r="N233" s="301"/>
      <c r="O233" s="301"/>
      <c r="P233" s="301"/>
      <c r="Q233" s="301"/>
      <c r="R233" s="301"/>
      <c r="S233" s="301"/>
    </row>
    <row r="234" spans="1:19" x14ac:dyDescent="0.3">
      <c r="A234" s="419"/>
      <c r="B234" s="301"/>
      <c r="C234" s="301"/>
      <c r="D234" s="301"/>
      <c r="E234" s="301"/>
      <c r="F234" s="301"/>
      <c r="G234" s="301"/>
      <c r="H234" s="301"/>
      <c r="I234" s="301"/>
      <c r="J234" s="301"/>
      <c r="K234" s="301"/>
      <c r="L234" s="301"/>
      <c r="M234" s="301"/>
      <c r="N234" s="301"/>
      <c r="O234" s="301"/>
      <c r="P234" s="301"/>
      <c r="Q234" s="301"/>
      <c r="R234" s="301"/>
      <c r="S234" s="301"/>
    </row>
    <row r="235" spans="1:19" x14ac:dyDescent="0.3">
      <c r="A235" s="419"/>
      <c r="B235" s="301"/>
      <c r="C235" s="301"/>
      <c r="D235" s="301"/>
      <c r="E235" s="301"/>
      <c r="F235" s="301"/>
      <c r="G235" s="301"/>
      <c r="H235" s="301"/>
      <c r="I235" s="301"/>
      <c r="J235" s="301"/>
      <c r="K235" s="301"/>
      <c r="L235" s="301"/>
      <c r="M235" s="301"/>
      <c r="N235" s="301"/>
      <c r="O235" s="301"/>
      <c r="P235" s="301"/>
      <c r="Q235" s="301"/>
      <c r="R235" s="301"/>
      <c r="S235" s="301"/>
    </row>
    <row r="236" spans="1:19" x14ac:dyDescent="0.3">
      <c r="A236" s="419"/>
      <c r="B236" s="301"/>
      <c r="C236" s="301"/>
      <c r="D236" s="301"/>
      <c r="E236" s="301"/>
      <c r="F236" s="301"/>
      <c r="G236" s="301"/>
      <c r="H236" s="301"/>
      <c r="I236" s="301"/>
      <c r="J236" s="301"/>
      <c r="K236" s="301"/>
      <c r="L236" s="301"/>
      <c r="M236" s="301"/>
      <c r="N236" s="301"/>
      <c r="O236" s="301"/>
      <c r="P236" s="301"/>
      <c r="Q236" s="301"/>
      <c r="R236" s="301"/>
      <c r="S236" s="301"/>
    </row>
    <row r="237" spans="1:19" x14ac:dyDescent="0.3">
      <c r="A237" s="419"/>
      <c r="B237" s="301"/>
      <c r="C237" s="301"/>
      <c r="D237" s="301"/>
      <c r="E237" s="301"/>
      <c r="F237" s="301"/>
      <c r="G237" s="301"/>
      <c r="H237" s="301"/>
      <c r="I237" s="301"/>
      <c r="J237" s="301"/>
      <c r="K237" s="301"/>
      <c r="L237" s="301"/>
      <c r="M237" s="301"/>
      <c r="N237" s="301"/>
      <c r="O237" s="301"/>
      <c r="P237" s="301"/>
      <c r="Q237" s="301"/>
      <c r="R237" s="301"/>
      <c r="S237" s="301"/>
    </row>
    <row r="238" spans="1:19" x14ac:dyDescent="0.3">
      <c r="A238" s="419"/>
      <c r="B238" s="301"/>
      <c r="C238" s="301"/>
      <c r="D238" s="301"/>
      <c r="E238" s="301"/>
      <c r="F238" s="301"/>
      <c r="G238" s="301"/>
      <c r="H238" s="301"/>
      <c r="I238" s="301"/>
      <c r="J238" s="301"/>
      <c r="K238" s="301"/>
      <c r="L238" s="301"/>
      <c r="M238" s="301"/>
      <c r="N238" s="301"/>
      <c r="O238" s="301"/>
      <c r="P238" s="301"/>
      <c r="Q238" s="301"/>
      <c r="R238" s="301"/>
      <c r="S238" s="301"/>
    </row>
    <row r="239" spans="1:19" x14ac:dyDescent="0.3">
      <c r="A239" s="419"/>
      <c r="B239" s="301"/>
      <c r="C239" s="301"/>
      <c r="D239" s="301"/>
      <c r="E239" s="301"/>
      <c r="F239" s="301"/>
      <c r="G239" s="301"/>
      <c r="H239" s="301"/>
      <c r="I239" s="301"/>
      <c r="J239" s="301"/>
      <c r="K239" s="301"/>
      <c r="L239" s="301"/>
      <c r="M239" s="301"/>
      <c r="N239" s="301"/>
      <c r="O239" s="301"/>
      <c r="P239" s="301"/>
      <c r="Q239" s="301"/>
      <c r="R239" s="301"/>
      <c r="S239" s="301"/>
    </row>
    <row r="240" spans="1:19" x14ac:dyDescent="0.3">
      <c r="A240" s="419"/>
      <c r="B240" s="301"/>
      <c r="C240" s="301"/>
      <c r="D240" s="301"/>
      <c r="E240" s="301"/>
      <c r="F240" s="301"/>
      <c r="G240" s="301"/>
      <c r="H240" s="301"/>
      <c r="I240" s="301"/>
      <c r="J240" s="301"/>
      <c r="K240" s="301"/>
      <c r="L240" s="301"/>
      <c r="M240" s="301"/>
      <c r="N240" s="301"/>
      <c r="O240" s="301"/>
      <c r="P240" s="301"/>
      <c r="Q240" s="301"/>
      <c r="R240" s="301"/>
      <c r="S240" s="301"/>
    </row>
    <row r="241" spans="1:19" x14ac:dyDescent="0.3">
      <c r="A241" s="419"/>
      <c r="B241" s="301"/>
      <c r="C241" s="301"/>
      <c r="D241" s="301"/>
      <c r="E241" s="301"/>
      <c r="F241" s="301"/>
      <c r="G241" s="301"/>
      <c r="H241" s="301"/>
      <c r="I241" s="301"/>
      <c r="J241" s="301"/>
      <c r="K241" s="301"/>
      <c r="L241" s="301"/>
      <c r="M241" s="301"/>
      <c r="N241" s="301"/>
      <c r="O241" s="301"/>
      <c r="P241" s="301"/>
      <c r="Q241" s="301"/>
      <c r="R241" s="301"/>
      <c r="S241" s="301"/>
    </row>
    <row r="242" spans="1:19" x14ac:dyDescent="0.3">
      <c r="A242" s="419"/>
      <c r="B242" s="301"/>
      <c r="C242" s="301"/>
      <c r="D242" s="301"/>
      <c r="E242" s="301"/>
      <c r="F242" s="301"/>
      <c r="G242" s="301"/>
      <c r="H242" s="301"/>
      <c r="I242" s="301"/>
      <c r="J242" s="301"/>
      <c r="K242" s="301"/>
      <c r="L242" s="301"/>
      <c r="M242" s="301"/>
      <c r="N242" s="301"/>
      <c r="O242" s="301"/>
      <c r="P242" s="301"/>
      <c r="Q242" s="301"/>
      <c r="R242" s="301"/>
      <c r="S242" s="301"/>
    </row>
    <row r="243" spans="1:19" x14ac:dyDescent="0.3">
      <c r="A243" s="419"/>
      <c r="B243" s="301"/>
      <c r="C243" s="301"/>
      <c r="D243" s="301"/>
      <c r="E243" s="301"/>
      <c r="F243" s="301"/>
      <c r="G243" s="301"/>
      <c r="H243" s="301"/>
      <c r="I243" s="301"/>
      <c r="J243" s="301"/>
      <c r="K243" s="301"/>
      <c r="L243" s="301"/>
      <c r="M243" s="301"/>
      <c r="N243" s="301"/>
      <c r="O243" s="301"/>
      <c r="P243" s="301"/>
      <c r="Q243" s="301"/>
      <c r="R243" s="301"/>
      <c r="S243" s="301"/>
    </row>
    <row r="244" spans="1:19" x14ac:dyDescent="0.3">
      <c r="A244" s="419"/>
      <c r="B244" s="301"/>
      <c r="C244" s="301"/>
      <c r="D244" s="301"/>
      <c r="E244" s="301"/>
      <c r="F244" s="301"/>
      <c r="G244" s="301"/>
      <c r="H244" s="301"/>
      <c r="I244" s="301"/>
      <c r="J244" s="301"/>
      <c r="K244" s="301"/>
      <c r="L244" s="301"/>
      <c r="M244" s="301"/>
      <c r="N244" s="301"/>
      <c r="O244" s="301"/>
      <c r="P244" s="301"/>
      <c r="Q244" s="301"/>
      <c r="R244" s="301"/>
      <c r="S244" s="301"/>
    </row>
    <row r="245" spans="1:19" x14ac:dyDescent="0.3">
      <c r="A245" s="419"/>
      <c r="B245" s="301"/>
      <c r="C245" s="301"/>
      <c r="D245" s="301"/>
      <c r="E245" s="301"/>
      <c r="F245" s="301"/>
      <c r="G245" s="301"/>
      <c r="H245" s="301"/>
      <c r="I245" s="301"/>
      <c r="J245" s="301"/>
      <c r="K245" s="301"/>
      <c r="L245" s="301"/>
      <c r="M245" s="301"/>
      <c r="N245" s="301"/>
      <c r="O245" s="301"/>
      <c r="P245" s="301"/>
      <c r="Q245" s="301"/>
      <c r="R245" s="301"/>
      <c r="S245" s="301"/>
    </row>
    <row r="246" spans="1:19" x14ac:dyDescent="0.3">
      <c r="A246" s="419"/>
      <c r="B246" s="301"/>
      <c r="C246" s="301"/>
      <c r="D246" s="301"/>
      <c r="E246" s="301"/>
      <c r="F246" s="301"/>
      <c r="G246" s="301"/>
      <c r="H246" s="301"/>
      <c r="I246" s="301"/>
      <c r="J246" s="301"/>
      <c r="K246" s="301"/>
      <c r="L246" s="301"/>
      <c r="M246" s="301"/>
      <c r="N246" s="301"/>
      <c r="O246" s="301"/>
      <c r="P246" s="301"/>
      <c r="Q246" s="301"/>
      <c r="R246" s="301"/>
      <c r="S246" s="301"/>
    </row>
    <row r="247" spans="1:19" x14ac:dyDescent="0.3">
      <c r="A247" s="419"/>
      <c r="B247" s="301"/>
      <c r="C247" s="301"/>
      <c r="D247" s="301"/>
      <c r="E247" s="301"/>
      <c r="F247" s="301"/>
      <c r="G247" s="301"/>
      <c r="H247" s="301"/>
      <c r="I247" s="301"/>
      <c r="J247" s="301"/>
      <c r="K247" s="301"/>
      <c r="L247" s="301"/>
      <c r="M247" s="301"/>
      <c r="N247" s="301"/>
      <c r="O247" s="301"/>
      <c r="P247" s="301"/>
      <c r="Q247" s="301"/>
      <c r="R247" s="301"/>
      <c r="S247" s="301"/>
    </row>
    <row r="248" spans="1:19" x14ac:dyDescent="0.3">
      <c r="A248" s="419"/>
      <c r="B248" s="301"/>
      <c r="C248" s="301"/>
      <c r="D248" s="301"/>
      <c r="E248" s="301"/>
      <c r="F248" s="301"/>
      <c r="G248" s="301"/>
      <c r="H248" s="301"/>
      <c r="I248" s="301"/>
      <c r="J248" s="301"/>
      <c r="K248" s="301"/>
      <c r="L248" s="301"/>
      <c r="M248" s="301"/>
      <c r="N248" s="301"/>
      <c r="O248" s="301"/>
      <c r="P248" s="301"/>
      <c r="Q248" s="301"/>
      <c r="R248" s="301"/>
      <c r="S248" s="301"/>
    </row>
    <row r="249" spans="1:19" x14ac:dyDescent="0.3">
      <c r="A249" s="419"/>
      <c r="B249" s="301"/>
      <c r="C249" s="301"/>
      <c r="D249" s="301"/>
      <c r="E249" s="301"/>
      <c r="F249" s="301"/>
      <c r="G249" s="301"/>
      <c r="H249" s="301"/>
      <c r="I249" s="301"/>
      <c r="J249" s="301"/>
      <c r="K249" s="301"/>
      <c r="L249" s="301"/>
      <c r="M249" s="301"/>
      <c r="N249" s="301"/>
      <c r="O249" s="301"/>
      <c r="P249" s="301"/>
      <c r="Q249" s="301"/>
      <c r="R249" s="301"/>
      <c r="S249" s="301"/>
    </row>
    <row r="250" spans="1:19" x14ac:dyDescent="0.3">
      <c r="A250" s="419"/>
      <c r="B250" s="301"/>
      <c r="C250" s="301"/>
      <c r="D250" s="301"/>
      <c r="E250" s="301"/>
      <c r="F250" s="301"/>
      <c r="G250" s="301"/>
      <c r="H250" s="301"/>
      <c r="I250" s="301"/>
      <c r="J250" s="301"/>
      <c r="K250" s="301"/>
      <c r="L250" s="301"/>
      <c r="M250" s="301"/>
      <c r="N250" s="301"/>
      <c r="O250" s="301"/>
      <c r="P250" s="301"/>
      <c r="Q250" s="301"/>
      <c r="R250" s="301"/>
      <c r="S250" s="301"/>
    </row>
    <row r="251" spans="1:19" x14ac:dyDescent="0.3">
      <c r="A251" s="419"/>
      <c r="B251" s="301"/>
      <c r="C251" s="301"/>
      <c r="D251" s="301"/>
      <c r="E251" s="301"/>
      <c r="F251" s="301"/>
      <c r="G251" s="301"/>
      <c r="H251" s="301"/>
      <c r="I251" s="301"/>
      <c r="J251" s="301"/>
      <c r="K251" s="301"/>
      <c r="L251" s="301"/>
      <c r="M251" s="301"/>
      <c r="N251" s="301"/>
      <c r="O251" s="301"/>
      <c r="P251" s="301"/>
      <c r="Q251" s="301"/>
      <c r="R251" s="301"/>
      <c r="S251" s="301"/>
    </row>
    <row r="252" spans="1:19" x14ac:dyDescent="0.3">
      <c r="A252" s="419"/>
      <c r="B252" s="301"/>
      <c r="C252" s="301"/>
      <c r="D252" s="301"/>
      <c r="E252" s="301"/>
      <c r="F252" s="301"/>
      <c r="G252" s="301"/>
      <c r="H252" s="301"/>
      <c r="I252" s="301"/>
      <c r="J252" s="301"/>
      <c r="K252" s="301"/>
      <c r="L252" s="301"/>
      <c r="M252" s="301"/>
      <c r="N252" s="301"/>
      <c r="O252" s="301"/>
      <c r="P252" s="301"/>
      <c r="Q252" s="301"/>
      <c r="R252" s="301"/>
      <c r="S252" s="301"/>
    </row>
    <row r="253" spans="1:19" x14ac:dyDescent="0.3">
      <c r="A253" s="419"/>
      <c r="B253" s="301"/>
      <c r="C253" s="301"/>
      <c r="D253" s="301"/>
      <c r="E253" s="301"/>
      <c r="F253" s="301"/>
      <c r="G253" s="301"/>
      <c r="H253" s="301"/>
      <c r="I253" s="301"/>
      <c r="J253" s="301"/>
      <c r="K253" s="301"/>
      <c r="L253" s="301"/>
      <c r="M253" s="301"/>
      <c r="N253" s="301"/>
      <c r="O253" s="301"/>
      <c r="P253" s="301"/>
      <c r="Q253" s="301"/>
      <c r="R253" s="301"/>
      <c r="S253" s="301"/>
    </row>
    <row r="254" spans="1:19" x14ac:dyDescent="0.3">
      <c r="A254" s="419"/>
      <c r="B254" s="301"/>
      <c r="C254" s="301"/>
      <c r="D254" s="301"/>
      <c r="E254" s="301"/>
      <c r="F254" s="301"/>
      <c r="G254" s="301"/>
      <c r="H254" s="301"/>
      <c r="I254" s="301"/>
      <c r="J254" s="301"/>
      <c r="K254" s="301"/>
      <c r="L254" s="301"/>
      <c r="M254" s="301"/>
      <c r="N254" s="301"/>
      <c r="O254" s="301"/>
      <c r="P254" s="301"/>
      <c r="Q254" s="301"/>
      <c r="R254" s="301"/>
      <c r="S254" s="301"/>
    </row>
    <row r="255" spans="1:19" x14ac:dyDescent="0.3">
      <c r="A255" s="419"/>
      <c r="B255" s="301"/>
      <c r="C255" s="301"/>
      <c r="D255" s="301"/>
      <c r="E255" s="301"/>
      <c r="F255" s="301"/>
      <c r="G255" s="301"/>
      <c r="H255" s="301"/>
      <c r="I255" s="301"/>
      <c r="J255" s="301"/>
      <c r="K255" s="301"/>
      <c r="L255" s="301"/>
      <c r="M255" s="301"/>
      <c r="N255" s="301"/>
      <c r="O255" s="301"/>
      <c r="P255" s="301"/>
      <c r="Q255" s="301"/>
      <c r="R255" s="301"/>
      <c r="S255" s="301"/>
    </row>
    <row r="256" spans="1:19" x14ac:dyDescent="0.3">
      <c r="A256" s="419"/>
      <c r="B256" s="301"/>
      <c r="C256" s="301"/>
      <c r="D256" s="301"/>
      <c r="E256" s="301"/>
      <c r="F256" s="301"/>
      <c r="G256" s="301"/>
      <c r="H256" s="301"/>
      <c r="I256" s="301"/>
      <c r="J256" s="301"/>
      <c r="K256" s="301"/>
      <c r="L256" s="301"/>
      <c r="M256" s="301"/>
      <c r="N256" s="301"/>
      <c r="O256" s="301"/>
      <c r="P256" s="301"/>
      <c r="Q256" s="301"/>
      <c r="R256" s="301"/>
      <c r="S256" s="301"/>
    </row>
    <row r="257" spans="1:19" x14ac:dyDescent="0.3">
      <c r="A257" s="419"/>
      <c r="B257" s="301"/>
      <c r="C257" s="301"/>
      <c r="D257" s="301"/>
      <c r="E257" s="301"/>
      <c r="F257" s="301"/>
      <c r="G257" s="301"/>
      <c r="H257" s="301"/>
      <c r="I257" s="301"/>
      <c r="J257" s="301"/>
      <c r="K257" s="301"/>
      <c r="L257" s="301"/>
      <c r="M257" s="301"/>
      <c r="N257" s="301"/>
      <c r="O257" s="301"/>
      <c r="P257" s="301"/>
      <c r="Q257" s="301"/>
      <c r="R257" s="301"/>
      <c r="S257" s="301"/>
    </row>
    <row r="258" spans="1:19" x14ac:dyDescent="0.3">
      <c r="A258" s="419"/>
      <c r="B258" s="301"/>
      <c r="C258" s="301"/>
      <c r="D258" s="301"/>
      <c r="E258" s="301"/>
      <c r="F258" s="301"/>
      <c r="G258" s="301"/>
      <c r="H258" s="301"/>
      <c r="I258" s="301"/>
      <c r="J258" s="301"/>
      <c r="K258" s="301"/>
      <c r="L258" s="301"/>
      <c r="M258" s="301"/>
      <c r="N258" s="301"/>
      <c r="O258" s="301"/>
      <c r="P258" s="301"/>
      <c r="Q258" s="301"/>
      <c r="R258" s="301"/>
      <c r="S258" s="301"/>
    </row>
    <row r="259" spans="1:19" x14ac:dyDescent="0.3">
      <c r="A259" s="419"/>
      <c r="B259" s="301"/>
      <c r="C259" s="301"/>
      <c r="D259" s="301"/>
      <c r="E259" s="301"/>
      <c r="F259" s="301"/>
      <c r="G259" s="301"/>
      <c r="H259" s="301"/>
      <c r="I259" s="301"/>
      <c r="J259" s="301"/>
      <c r="K259" s="301"/>
      <c r="L259" s="301"/>
      <c r="M259" s="301"/>
      <c r="N259" s="301"/>
      <c r="O259" s="301"/>
      <c r="P259" s="301"/>
      <c r="Q259" s="301"/>
      <c r="R259" s="301"/>
      <c r="S259" s="301"/>
    </row>
    <row r="260" spans="1:19" x14ac:dyDescent="0.3">
      <c r="A260" s="419"/>
      <c r="B260" s="301"/>
      <c r="C260" s="301"/>
      <c r="D260" s="301"/>
      <c r="E260" s="301"/>
      <c r="F260" s="301"/>
      <c r="G260" s="301"/>
      <c r="H260" s="301"/>
      <c r="I260" s="301"/>
      <c r="J260" s="301"/>
      <c r="K260" s="301"/>
      <c r="L260" s="301"/>
      <c r="M260" s="301"/>
      <c r="N260" s="301"/>
      <c r="O260" s="301"/>
      <c r="P260" s="301"/>
      <c r="Q260" s="301"/>
      <c r="R260" s="301"/>
      <c r="S260" s="301"/>
    </row>
    <row r="261" spans="1:19" x14ac:dyDescent="0.3">
      <c r="A261" s="419"/>
      <c r="B261" s="301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1"/>
      <c r="O261" s="301"/>
      <c r="P261" s="301"/>
      <c r="Q261" s="301"/>
      <c r="R261" s="301"/>
      <c r="S261" s="301"/>
    </row>
    <row r="262" spans="1:19" x14ac:dyDescent="0.3">
      <c r="A262" s="419"/>
      <c r="B262" s="301"/>
      <c r="C262" s="301"/>
      <c r="D262" s="301"/>
      <c r="E262" s="301"/>
      <c r="F262" s="301"/>
      <c r="G262" s="301"/>
      <c r="H262" s="301"/>
      <c r="I262" s="301"/>
      <c r="J262" s="301"/>
      <c r="K262" s="301"/>
      <c r="L262" s="301"/>
      <c r="M262" s="301"/>
      <c r="N262" s="301"/>
      <c r="O262" s="301"/>
      <c r="P262" s="301"/>
      <c r="Q262" s="301"/>
      <c r="R262" s="301"/>
      <c r="S262" s="301"/>
    </row>
    <row r="263" spans="1:19" x14ac:dyDescent="0.3">
      <c r="A263" s="419"/>
      <c r="B263" s="301"/>
      <c r="C263" s="301"/>
      <c r="D263" s="301"/>
      <c r="E263" s="301"/>
      <c r="F263" s="301"/>
      <c r="G263" s="301"/>
      <c r="H263" s="301"/>
      <c r="I263" s="301"/>
      <c r="J263" s="301"/>
      <c r="K263" s="301"/>
      <c r="L263" s="301"/>
      <c r="M263" s="301"/>
      <c r="N263" s="301"/>
      <c r="O263" s="301"/>
      <c r="P263" s="301"/>
      <c r="Q263" s="301"/>
      <c r="R263" s="301"/>
      <c r="S263" s="301"/>
    </row>
    <row r="264" spans="1:19" x14ac:dyDescent="0.3">
      <c r="A264" s="419"/>
      <c r="B264" s="301"/>
      <c r="C264" s="301"/>
      <c r="D264" s="301"/>
      <c r="E264" s="301"/>
      <c r="F264" s="301"/>
      <c r="G264" s="301"/>
      <c r="H264" s="301"/>
      <c r="I264" s="301"/>
      <c r="J264" s="301"/>
      <c r="K264" s="301"/>
      <c r="L264" s="301"/>
      <c r="M264" s="301"/>
      <c r="N264" s="301"/>
      <c r="O264" s="301"/>
      <c r="P264" s="301"/>
      <c r="Q264" s="301"/>
      <c r="R264" s="301"/>
      <c r="S264" s="301"/>
    </row>
    <row r="265" spans="1:19" x14ac:dyDescent="0.3">
      <c r="A265" s="419"/>
      <c r="B265" s="301"/>
      <c r="C265" s="301"/>
      <c r="D265" s="301"/>
      <c r="E265" s="301"/>
      <c r="F265" s="301"/>
      <c r="G265" s="301"/>
      <c r="H265" s="301"/>
      <c r="I265" s="301"/>
      <c r="J265" s="301"/>
      <c r="K265" s="301"/>
      <c r="L265" s="301"/>
      <c r="M265" s="301"/>
      <c r="N265" s="301"/>
      <c r="O265" s="301"/>
      <c r="P265" s="301"/>
      <c r="Q265" s="301"/>
      <c r="R265" s="301"/>
      <c r="S265" s="301"/>
    </row>
    <row r="266" spans="1:19" x14ac:dyDescent="0.3">
      <c r="A266" s="419"/>
      <c r="B266" s="301"/>
      <c r="C266" s="301"/>
      <c r="D266" s="301"/>
      <c r="E266" s="301"/>
      <c r="F266" s="301"/>
      <c r="G266" s="301"/>
      <c r="H266" s="301"/>
      <c r="I266" s="301"/>
      <c r="J266" s="301"/>
      <c r="K266" s="301"/>
      <c r="L266" s="301"/>
      <c r="M266" s="301"/>
      <c r="N266" s="301"/>
      <c r="O266" s="301"/>
      <c r="P266" s="301"/>
      <c r="Q266" s="301"/>
      <c r="R266" s="301"/>
      <c r="S266" s="301"/>
    </row>
    <row r="267" spans="1:19" x14ac:dyDescent="0.3">
      <c r="A267" s="419"/>
      <c r="B267" s="301"/>
      <c r="C267" s="301"/>
      <c r="D267" s="301"/>
      <c r="E267" s="301"/>
      <c r="F267" s="301"/>
      <c r="G267" s="301"/>
      <c r="H267" s="301"/>
      <c r="I267" s="301"/>
      <c r="J267" s="301"/>
      <c r="K267" s="301"/>
      <c r="L267" s="301"/>
      <c r="M267" s="301"/>
      <c r="N267" s="301"/>
      <c r="O267" s="301"/>
      <c r="P267" s="301"/>
      <c r="Q267" s="301"/>
      <c r="R267" s="301"/>
      <c r="S267" s="301"/>
    </row>
    <row r="268" spans="1:19" x14ac:dyDescent="0.3">
      <c r="A268" s="419"/>
      <c r="B268" s="301"/>
      <c r="C268" s="301"/>
      <c r="D268" s="301"/>
      <c r="E268" s="301"/>
      <c r="F268" s="301"/>
      <c r="G268" s="301"/>
      <c r="H268" s="301"/>
      <c r="I268" s="301"/>
      <c r="J268" s="301"/>
      <c r="K268" s="301"/>
      <c r="L268" s="301"/>
      <c r="M268" s="301"/>
      <c r="N268" s="301"/>
      <c r="O268" s="301"/>
      <c r="P268" s="301"/>
      <c r="Q268" s="301"/>
      <c r="R268" s="301"/>
      <c r="S268" s="301"/>
    </row>
    <row r="269" spans="1:19" x14ac:dyDescent="0.3">
      <c r="A269" s="419"/>
      <c r="B269" s="301"/>
      <c r="C269" s="301"/>
      <c r="D269" s="301"/>
      <c r="E269" s="301"/>
      <c r="F269" s="301"/>
      <c r="G269" s="301"/>
      <c r="H269" s="301"/>
      <c r="I269" s="301"/>
      <c r="J269" s="301"/>
      <c r="K269" s="301"/>
      <c r="L269" s="301"/>
      <c r="M269" s="301"/>
      <c r="N269" s="301"/>
      <c r="O269" s="301"/>
      <c r="P269" s="301"/>
      <c r="Q269" s="301"/>
      <c r="R269" s="301"/>
      <c r="S269" s="301"/>
    </row>
    <row r="270" spans="1:19" x14ac:dyDescent="0.3">
      <c r="A270" s="419"/>
      <c r="B270" s="301"/>
      <c r="C270" s="301"/>
      <c r="D270" s="301"/>
      <c r="E270" s="301"/>
      <c r="F270" s="301"/>
      <c r="G270" s="301"/>
      <c r="H270" s="301"/>
      <c r="I270" s="301"/>
      <c r="J270" s="301"/>
      <c r="K270" s="301"/>
      <c r="L270" s="301"/>
      <c r="M270" s="301"/>
      <c r="N270" s="301"/>
      <c r="O270" s="301"/>
      <c r="P270" s="301"/>
      <c r="Q270" s="301"/>
      <c r="R270" s="301"/>
      <c r="S270" s="301"/>
    </row>
    <row r="271" spans="1:19" x14ac:dyDescent="0.3">
      <c r="A271" s="419"/>
      <c r="B271" s="301"/>
      <c r="C271" s="301"/>
      <c r="D271" s="301"/>
      <c r="E271" s="301"/>
      <c r="F271" s="301"/>
      <c r="G271" s="301"/>
      <c r="H271" s="301"/>
      <c r="I271" s="301"/>
      <c r="J271" s="301"/>
      <c r="K271" s="301"/>
      <c r="L271" s="301"/>
      <c r="M271" s="301"/>
      <c r="N271" s="301"/>
      <c r="O271" s="301"/>
      <c r="P271" s="301"/>
      <c r="Q271" s="301"/>
      <c r="R271" s="301"/>
      <c r="S271" s="301"/>
    </row>
    <row r="272" spans="1:19" x14ac:dyDescent="0.3">
      <c r="A272" s="419"/>
      <c r="B272" s="301"/>
      <c r="C272" s="301"/>
      <c r="D272" s="301"/>
      <c r="E272" s="301"/>
      <c r="F272" s="301"/>
      <c r="G272" s="301"/>
      <c r="H272" s="301"/>
      <c r="I272" s="301"/>
      <c r="J272" s="301"/>
      <c r="K272" s="301"/>
      <c r="L272" s="301"/>
      <c r="M272" s="301"/>
      <c r="N272" s="301"/>
      <c r="O272" s="301"/>
      <c r="P272" s="301"/>
      <c r="Q272" s="301"/>
      <c r="R272" s="301"/>
      <c r="S272" s="301"/>
    </row>
    <row r="273" spans="1:19" x14ac:dyDescent="0.3">
      <c r="A273" s="419"/>
      <c r="B273" s="301"/>
      <c r="C273" s="301"/>
      <c r="D273" s="301"/>
      <c r="E273" s="301"/>
      <c r="F273" s="301"/>
      <c r="G273" s="301"/>
      <c r="H273" s="301"/>
      <c r="I273" s="301"/>
      <c r="J273" s="301"/>
      <c r="K273" s="301"/>
      <c r="L273" s="301"/>
      <c r="M273" s="301"/>
      <c r="N273" s="301"/>
      <c r="O273" s="301"/>
      <c r="P273" s="301"/>
      <c r="Q273" s="301"/>
      <c r="R273" s="301"/>
      <c r="S273" s="301"/>
    </row>
    <row r="274" spans="1:19" x14ac:dyDescent="0.3">
      <c r="A274" s="419"/>
      <c r="B274" s="301"/>
      <c r="C274" s="301"/>
      <c r="D274" s="301"/>
      <c r="E274" s="301"/>
      <c r="F274" s="301"/>
      <c r="G274" s="301"/>
      <c r="H274" s="301"/>
      <c r="I274" s="301"/>
      <c r="J274" s="301"/>
      <c r="K274" s="301"/>
      <c r="L274" s="301"/>
      <c r="M274" s="301"/>
      <c r="N274" s="301"/>
      <c r="O274" s="301"/>
      <c r="P274" s="301"/>
      <c r="Q274" s="301"/>
      <c r="R274" s="301"/>
      <c r="S274" s="301"/>
    </row>
    <row r="275" spans="1:19" x14ac:dyDescent="0.3">
      <c r="A275" s="419"/>
      <c r="B275" s="301"/>
      <c r="C275" s="301"/>
      <c r="D275" s="301"/>
      <c r="E275" s="301"/>
      <c r="F275" s="301"/>
      <c r="G275" s="301"/>
      <c r="H275" s="301"/>
      <c r="I275" s="301"/>
      <c r="J275" s="301"/>
      <c r="K275" s="301"/>
      <c r="L275" s="301"/>
      <c r="M275" s="301"/>
      <c r="N275" s="301"/>
      <c r="O275" s="301"/>
      <c r="P275" s="301"/>
      <c r="Q275" s="301"/>
      <c r="R275" s="301"/>
      <c r="S275" s="301"/>
    </row>
    <row r="276" spans="1:19" x14ac:dyDescent="0.3">
      <c r="A276" s="419"/>
      <c r="B276" s="301"/>
      <c r="C276" s="301"/>
      <c r="D276" s="301"/>
      <c r="E276" s="301"/>
      <c r="F276" s="301"/>
      <c r="G276" s="301"/>
      <c r="H276" s="301"/>
      <c r="I276" s="301"/>
      <c r="J276" s="301"/>
      <c r="K276" s="301"/>
      <c r="L276" s="301"/>
      <c r="M276" s="301"/>
      <c r="N276" s="301"/>
      <c r="O276" s="301"/>
      <c r="P276" s="301"/>
      <c r="Q276" s="301"/>
      <c r="R276" s="301"/>
      <c r="S276" s="301"/>
    </row>
    <row r="277" spans="1:19" x14ac:dyDescent="0.3">
      <c r="A277" s="419"/>
      <c r="B277" s="301"/>
      <c r="C277" s="301"/>
      <c r="D277" s="301"/>
      <c r="E277" s="301"/>
      <c r="F277" s="301"/>
      <c r="G277" s="301"/>
      <c r="H277" s="301"/>
      <c r="I277" s="301"/>
      <c r="J277" s="301"/>
      <c r="K277" s="301"/>
      <c r="L277" s="301"/>
      <c r="M277" s="301"/>
      <c r="N277" s="301"/>
      <c r="O277" s="301"/>
      <c r="P277" s="301"/>
      <c r="Q277" s="301"/>
      <c r="R277" s="301"/>
      <c r="S277" s="301"/>
    </row>
    <row r="278" spans="1:19" x14ac:dyDescent="0.3">
      <c r="A278" s="419"/>
      <c r="B278" s="301"/>
      <c r="C278" s="301"/>
      <c r="D278" s="301"/>
      <c r="E278" s="301"/>
      <c r="F278" s="301"/>
      <c r="G278" s="301"/>
      <c r="H278" s="301"/>
      <c r="I278" s="301"/>
      <c r="J278" s="301"/>
      <c r="K278" s="301"/>
      <c r="L278" s="301"/>
      <c r="M278" s="301"/>
      <c r="N278" s="301"/>
      <c r="O278" s="301"/>
      <c r="P278" s="301"/>
      <c r="Q278" s="301"/>
      <c r="R278" s="301"/>
      <c r="S278" s="301"/>
    </row>
    <row r="279" spans="1:19" x14ac:dyDescent="0.3">
      <c r="A279" s="419"/>
      <c r="B279" s="301"/>
      <c r="C279" s="301"/>
      <c r="D279" s="301"/>
      <c r="E279" s="301"/>
      <c r="F279" s="301"/>
      <c r="G279" s="301"/>
      <c r="H279" s="301"/>
      <c r="I279" s="301"/>
      <c r="J279" s="301"/>
      <c r="K279" s="301"/>
      <c r="L279" s="301"/>
      <c r="M279" s="301"/>
      <c r="N279" s="301"/>
      <c r="O279" s="301"/>
      <c r="P279" s="301"/>
      <c r="Q279" s="301"/>
      <c r="R279" s="301"/>
      <c r="S279" s="301"/>
    </row>
    <row r="280" spans="1:19" x14ac:dyDescent="0.3">
      <c r="A280" s="419"/>
      <c r="B280" s="301"/>
      <c r="C280" s="301"/>
      <c r="D280" s="301"/>
      <c r="E280" s="301"/>
      <c r="F280" s="301"/>
      <c r="G280" s="301"/>
      <c r="H280" s="301"/>
      <c r="I280" s="301"/>
      <c r="J280" s="301"/>
      <c r="K280" s="301"/>
      <c r="L280" s="301"/>
      <c r="M280" s="301"/>
      <c r="N280" s="301"/>
      <c r="O280" s="301"/>
      <c r="P280" s="301"/>
      <c r="Q280" s="301"/>
      <c r="R280" s="301"/>
      <c r="S280" s="301"/>
    </row>
    <row r="281" spans="1:19" x14ac:dyDescent="0.3">
      <c r="A281" s="419"/>
      <c r="B281" s="301"/>
      <c r="C281" s="301"/>
      <c r="D281" s="301"/>
      <c r="E281" s="301"/>
      <c r="F281" s="301"/>
      <c r="G281" s="301"/>
      <c r="H281" s="301"/>
      <c r="I281" s="301"/>
      <c r="J281" s="301"/>
      <c r="K281" s="301"/>
      <c r="L281" s="301"/>
      <c r="M281" s="301"/>
      <c r="N281" s="301"/>
      <c r="O281" s="301"/>
      <c r="P281" s="301"/>
      <c r="Q281" s="301"/>
      <c r="R281" s="301"/>
      <c r="S281" s="301"/>
    </row>
    <row r="282" spans="1:19" x14ac:dyDescent="0.3">
      <c r="A282" s="419"/>
      <c r="B282" s="301"/>
      <c r="C282" s="301"/>
      <c r="D282" s="301"/>
      <c r="E282" s="301"/>
      <c r="F282" s="301"/>
      <c r="G282" s="301"/>
      <c r="H282" s="301"/>
      <c r="I282" s="301"/>
      <c r="J282" s="301"/>
      <c r="K282" s="301"/>
      <c r="L282" s="301"/>
      <c r="M282" s="301"/>
      <c r="N282" s="301"/>
      <c r="O282" s="301"/>
      <c r="P282" s="301"/>
      <c r="Q282" s="301"/>
      <c r="R282" s="301"/>
      <c r="S282" s="301"/>
    </row>
    <row r="283" spans="1:19" x14ac:dyDescent="0.3">
      <c r="A283" s="419"/>
      <c r="B283" s="301"/>
      <c r="C283" s="301"/>
      <c r="D283" s="301"/>
      <c r="E283" s="301"/>
      <c r="F283" s="301"/>
      <c r="G283" s="301"/>
      <c r="H283" s="301"/>
      <c r="I283" s="301"/>
      <c r="J283" s="301"/>
      <c r="K283" s="301"/>
      <c r="L283" s="301"/>
      <c r="M283" s="301"/>
      <c r="N283" s="301"/>
      <c r="O283" s="301"/>
      <c r="P283" s="301"/>
      <c r="Q283" s="301"/>
      <c r="R283" s="301"/>
      <c r="S283" s="301"/>
    </row>
    <row r="284" spans="1:19" x14ac:dyDescent="0.3">
      <c r="A284" s="419"/>
      <c r="B284" s="301"/>
      <c r="C284" s="301"/>
      <c r="D284" s="301"/>
      <c r="E284" s="301"/>
      <c r="F284" s="301"/>
      <c r="G284" s="301"/>
      <c r="H284" s="301"/>
      <c r="I284" s="301"/>
      <c r="J284" s="301"/>
      <c r="K284" s="301"/>
      <c r="L284" s="301"/>
      <c r="M284" s="301"/>
      <c r="N284" s="301"/>
      <c r="O284" s="301"/>
      <c r="P284" s="301"/>
      <c r="Q284" s="301"/>
      <c r="R284" s="301"/>
      <c r="S284" s="301"/>
    </row>
    <row r="285" spans="1:19" x14ac:dyDescent="0.3">
      <c r="A285" s="419"/>
      <c r="B285" s="301"/>
      <c r="C285" s="301"/>
      <c r="D285" s="301"/>
      <c r="E285" s="301"/>
      <c r="F285" s="301"/>
      <c r="G285" s="301"/>
      <c r="H285" s="301"/>
      <c r="I285" s="301"/>
      <c r="J285" s="301"/>
      <c r="K285" s="301"/>
      <c r="L285" s="301"/>
      <c r="M285" s="301"/>
      <c r="N285" s="301"/>
      <c r="O285" s="301"/>
      <c r="P285" s="301"/>
      <c r="Q285" s="301"/>
      <c r="R285" s="301"/>
      <c r="S285" s="301"/>
    </row>
    <row r="286" spans="1:19" x14ac:dyDescent="0.3">
      <c r="A286" s="419"/>
      <c r="B286" s="301"/>
      <c r="C286" s="301"/>
      <c r="D286" s="301"/>
      <c r="E286" s="301"/>
      <c r="F286" s="301"/>
      <c r="G286" s="301"/>
      <c r="H286" s="301"/>
      <c r="I286" s="301"/>
      <c r="J286" s="301"/>
      <c r="K286" s="301"/>
      <c r="L286" s="301"/>
      <c r="M286" s="301"/>
      <c r="N286" s="301"/>
      <c r="O286" s="301"/>
      <c r="P286" s="301"/>
      <c r="Q286" s="301"/>
      <c r="R286" s="301"/>
      <c r="S286" s="301"/>
    </row>
    <row r="287" spans="1:19" x14ac:dyDescent="0.3">
      <c r="A287" s="419"/>
      <c r="B287" s="301"/>
      <c r="C287" s="301"/>
      <c r="D287" s="301"/>
      <c r="E287" s="301"/>
      <c r="F287" s="301"/>
      <c r="G287" s="301"/>
      <c r="H287" s="301"/>
      <c r="I287" s="301"/>
      <c r="J287" s="301"/>
      <c r="K287" s="301"/>
      <c r="L287" s="301"/>
      <c r="M287" s="301"/>
      <c r="N287" s="301"/>
      <c r="O287" s="301"/>
      <c r="P287" s="301"/>
      <c r="Q287" s="301"/>
      <c r="R287" s="301"/>
      <c r="S287" s="301"/>
    </row>
    <row r="288" spans="1:19" x14ac:dyDescent="0.3">
      <c r="A288" s="419"/>
    </row>
    <row r="289" spans="1:1" x14ac:dyDescent="0.3">
      <c r="A289" s="419"/>
    </row>
    <row r="290" spans="1:1" x14ac:dyDescent="0.3">
      <c r="A290" s="419"/>
    </row>
    <row r="291" spans="1:1" x14ac:dyDescent="0.3">
      <c r="A291" s="419"/>
    </row>
    <row r="292" spans="1:1" x14ac:dyDescent="0.3">
      <c r="A292" s="419"/>
    </row>
    <row r="293" spans="1:1" x14ac:dyDescent="0.3">
      <c r="A293" s="419"/>
    </row>
    <row r="294" spans="1:1" x14ac:dyDescent="0.3">
      <c r="A294" s="419"/>
    </row>
    <row r="295" spans="1:1" x14ac:dyDescent="0.3">
      <c r="A295" s="419"/>
    </row>
    <row r="296" spans="1:1" x14ac:dyDescent="0.3">
      <c r="A296" s="419"/>
    </row>
  </sheetData>
  <mergeCells count="21">
    <mergeCell ref="A3:A4"/>
    <mergeCell ref="A5:A6"/>
    <mergeCell ref="A7:A8"/>
    <mergeCell ref="B9:E9"/>
    <mergeCell ref="C53:G53"/>
    <mergeCell ref="B14:E14"/>
    <mergeCell ref="A16:A17"/>
    <mergeCell ref="B17:E17"/>
    <mergeCell ref="A34:A35"/>
    <mergeCell ref="A36:A37"/>
    <mergeCell ref="A39:A40"/>
    <mergeCell ref="A12:A13"/>
    <mergeCell ref="A9:A10"/>
    <mergeCell ref="B1:E1"/>
    <mergeCell ref="H1:M1"/>
    <mergeCell ref="N1:Q1"/>
    <mergeCell ref="H30:H31"/>
    <mergeCell ref="J30:J31"/>
    <mergeCell ref="N9:Q9"/>
    <mergeCell ref="N14:Q14"/>
    <mergeCell ref="N17:Q17"/>
  </mergeCells>
  <pageMargins left="0.7" right="0.7" top="0.75" bottom="0.75" header="0.3" footer="0.3"/>
  <pageSetup paperSize="9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0"/>
  <sheetViews>
    <sheetView zoomScale="85" zoomScaleNormal="85" workbookViewId="0">
      <pane xSplit="2" ySplit="2" topLeftCell="C27" activePane="bottomRight" state="frozen"/>
      <selection pane="topRight" activeCell="C1" sqref="C1"/>
      <selection pane="bottomLeft" activeCell="A3" sqref="A3"/>
      <selection pane="bottomRight" activeCell="J46" sqref="J46"/>
    </sheetView>
  </sheetViews>
  <sheetFormatPr defaultColWidth="8.85546875" defaultRowHeight="15" x14ac:dyDescent="0.25"/>
  <cols>
    <col min="1" max="1" width="10.140625" style="524" bestFit="1" customWidth="1"/>
    <col min="2" max="2" width="10.5703125" style="525" customWidth="1"/>
    <col min="3" max="6" width="8.85546875" style="524"/>
    <col min="7" max="7" width="12.85546875" style="524" customWidth="1"/>
    <col min="8" max="8" width="8.85546875" style="524"/>
    <col min="9" max="9" width="9.7109375" style="524" customWidth="1"/>
    <col min="10" max="10" width="17.28515625" style="524" bestFit="1" customWidth="1"/>
    <col min="11" max="17" width="8.85546875" style="524"/>
    <col min="18" max="18" width="12.42578125" style="524" customWidth="1"/>
    <col min="19" max="19" width="15.28515625" style="524" bestFit="1" customWidth="1"/>
    <col min="20" max="24" width="8.85546875" style="524"/>
    <col min="25" max="25" width="14.28515625" style="524" customWidth="1"/>
    <col min="26" max="27" width="8.85546875" style="524"/>
    <col min="28" max="28" width="15.28515625" style="524" customWidth="1"/>
    <col min="29" max="36" width="8.85546875" style="524"/>
    <col min="37" max="37" width="15.28515625" style="524" customWidth="1"/>
    <col min="38" max="16384" width="8.85546875" style="524"/>
  </cols>
  <sheetData>
    <row r="1" spans="1:37" x14ac:dyDescent="0.25">
      <c r="C1" s="2217" t="s">
        <v>1</v>
      </c>
      <c r="D1" s="2212"/>
      <c r="E1" s="2212"/>
      <c r="F1" s="2212"/>
      <c r="G1" s="2211" t="s">
        <v>206</v>
      </c>
      <c r="H1" s="2209"/>
      <c r="I1" s="2209"/>
      <c r="J1" s="2210"/>
      <c r="L1" s="2212" t="s">
        <v>202</v>
      </c>
      <c r="M1" s="2212"/>
      <c r="N1" s="2212"/>
      <c r="O1" s="2212"/>
      <c r="P1" s="2209" t="s">
        <v>206</v>
      </c>
      <c r="Q1" s="2209"/>
      <c r="R1" s="2209"/>
      <c r="S1" s="2210"/>
      <c r="U1" s="2212" t="s">
        <v>2</v>
      </c>
      <c r="V1" s="2212"/>
      <c r="W1" s="2212"/>
      <c r="X1" s="2212"/>
      <c r="Y1" s="2209" t="s">
        <v>206</v>
      </c>
      <c r="Z1" s="2209"/>
      <c r="AA1" s="2209"/>
      <c r="AB1" s="2210"/>
      <c r="AD1" s="2212" t="s">
        <v>203</v>
      </c>
      <c r="AE1" s="2212"/>
      <c r="AF1" s="2212"/>
      <c r="AG1" s="2212"/>
      <c r="AH1" s="2209" t="s">
        <v>206</v>
      </c>
      <c r="AI1" s="2209"/>
      <c r="AJ1" s="2209"/>
      <c r="AK1" s="2210"/>
    </row>
    <row r="2" spans="1:37" ht="15.75" thickBot="1" x14ac:dyDescent="0.3">
      <c r="A2" s="531" t="s">
        <v>0</v>
      </c>
      <c r="B2" s="532" t="s">
        <v>198</v>
      </c>
      <c r="C2" s="529" t="s">
        <v>199</v>
      </c>
      <c r="D2" s="526" t="s">
        <v>200</v>
      </c>
      <c r="E2" s="526" t="s">
        <v>201</v>
      </c>
      <c r="F2" s="526" t="s">
        <v>204</v>
      </c>
      <c r="G2" s="526" t="s">
        <v>199</v>
      </c>
      <c r="H2" s="526" t="s">
        <v>200</v>
      </c>
      <c r="I2" s="526" t="s">
        <v>201</v>
      </c>
      <c r="J2" s="526" t="s">
        <v>204</v>
      </c>
      <c r="L2" s="526" t="s">
        <v>199</v>
      </c>
      <c r="M2" s="526" t="s">
        <v>200</v>
      </c>
      <c r="N2" s="526" t="s">
        <v>201</v>
      </c>
      <c r="O2" s="526" t="s">
        <v>204</v>
      </c>
      <c r="P2" s="527" t="s">
        <v>199</v>
      </c>
      <c r="Q2" s="526" t="s">
        <v>200</v>
      </c>
      <c r="R2" s="526" t="s">
        <v>201</v>
      </c>
      <c r="S2" s="526" t="s">
        <v>204</v>
      </c>
      <c r="U2" s="526" t="s">
        <v>199</v>
      </c>
      <c r="V2" s="526" t="s">
        <v>200</v>
      </c>
      <c r="W2" s="526" t="s">
        <v>201</v>
      </c>
      <c r="X2" s="526" t="s">
        <v>204</v>
      </c>
      <c r="Y2" s="527" t="s">
        <v>199</v>
      </c>
      <c r="Z2" s="526" t="s">
        <v>200</v>
      </c>
      <c r="AA2" s="526" t="s">
        <v>201</v>
      </c>
      <c r="AB2" s="526" t="s">
        <v>204</v>
      </c>
      <c r="AD2" s="526" t="s">
        <v>199</v>
      </c>
      <c r="AE2" s="526" t="s">
        <v>200</v>
      </c>
      <c r="AF2" s="526" t="s">
        <v>201</v>
      </c>
      <c r="AG2" s="526" t="s">
        <v>204</v>
      </c>
      <c r="AH2" s="527" t="s">
        <v>199</v>
      </c>
      <c r="AI2" s="526" t="s">
        <v>200</v>
      </c>
      <c r="AJ2" s="526" t="s">
        <v>201</v>
      </c>
      <c r="AK2" s="526" t="s">
        <v>204</v>
      </c>
    </row>
    <row r="3" spans="1:37" ht="15.75" thickTop="1" x14ac:dyDescent="0.25">
      <c r="A3" s="2206">
        <v>44440</v>
      </c>
      <c r="B3" s="530">
        <v>1</v>
      </c>
      <c r="C3" s="11"/>
      <c r="D3" s="12"/>
      <c r="E3" s="12"/>
      <c r="F3" s="533">
        <v>10</v>
      </c>
      <c r="G3" s="540"/>
      <c r="H3" s="12"/>
      <c r="I3" s="12"/>
      <c r="J3" s="533" t="s">
        <v>205</v>
      </c>
      <c r="L3" s="543"/>
      <c r="M3" s="544"/>
      <c r="N3" s="544"/>
      <c r="O3" s="533">
        <v>10</v>
      </c>
      <c r="P3" s="545"/>
      <c r="Q3" s="12"/>
      <c r="R3" s="12"/>
      <c r="S3" s="533" t="s">
        <v>205</v>
      </c>
      <c r="U3" s="543"/>
      <c r="V3" s="544"/>
      <c r="W3" s="544"/>
      <c r="X3" s="533">
        <v>10</v>
      </c>
      <c r="Y3" s="545"/>
      <c r="Z3" s="12"/>
      <c r="AA3" s="12"/>
      <c r="AB3" s="533" t="s">
        <v>208</v>
      </c>
      <c r="AD3" s="543"/>
      <c r="AE3" s="544"/>
      <c r="AF3" s="544"/>
      <c r="AG3" s="533">
        <v>10</v>
      </c>
      <c r="AH3" s="545"/>
      <c r="AI3" s="12"/>
      <c r="AJ3" s="12"/>
      <c r="AK3" s="533" t="s">
        <v>205</v>
      </c>
    </row>
    <row r="4" spans="1:37" x14ac:dyDescent="0.25">
      <c r="A4" s="2205"/>
      <c r="B4" s="528">
        <v>2</v>
      </c>
      <c r="C4" s="534"/>
      <c r="D4" s="535"/>
      <c r="E4" s="535"/>
      <c r="F4" s="536"/>
      <c r="G4" s="541"/>
      <c r="H4" s="535"/>
      <c r="I4" s="535"/>
      <c r="J4" s="536"/>
      <c r="L4" s="541"/>
      <c r="M4" s="535"/>
      <c r="N4" s="535"/>
      <c r="O4" s="536"/>
      <c r="P4" s="546"/>
      <c r="Q4" s="535"/>
      <c r="R4" s="535"/>
      <c r="S4" s="536"/>
      <c r="U4" s="541">
        <v>13</v>
      </c>
      <c r="V4" s="535"/>
      <c r="W4" s="535">
        <v>120</v>
      </c>
      <c r="X4" s="536"/>
      <c r="Y4" s="546" t="s">
        <v>207</v>
      </c>
      <c r="Z4" s="535"/>
      <c r="AA4" s="535" t="s">
        <v>152</v>
      </c>
      <c r="AB4" s="536"/>
      <c r="AD4" s="541"/>
      <c r="AE4" s="535"/>
      <c r="AF4" s="535"/>
      <c r="AG4" s="536"/>
      <c r="AH4" s="546"/>
      <c r="AI4" s="535"/>
      <c r="AJ4" s="535"/>
      <c r="AK4" s="536"/>
    </row>
    <row r="5" spans="1:37" x14ac:dyDescent="0.25">
      <c r="A5" s="2204">
        <v>44441</v>
      </c>
      <c r="B5" s="528">
        <v>1</v>
      </c>
      <c r="C5" s="534"/>
      <c r="D5" s="535"/>
      <c r="E5" s="535"/>
      <c r="F5" s="536"/>
      <c r="G5" s="541"/>
      <c r="H5" s="535"/>
      <c r="I5" s="535"/>
      <c r="J5" s="536"/>
      <c r="L5" s="541"/>
      <c r="M5" s="535"/>
      <c r="N5" s="535"/>
      <c r="O5" s="536"/>
      <c r="P5" s="546"/>
      <c r="Q5" s="535"/>
      <c r="R5" s="535"/>
      <c r="S5" s="536"/>
      <c r="U5" s="541"/>
      <c r="V5" s="535"/>
      <c r="W5" s="535"/>
      <c r="X5" s="536"/>
      <c r="Y5" s="546"/>
      <c r="Z5" s="535"/>
      <c r="AA5" s="535"/>
      <c r="AB5" s="536"/>
      <c r="AD5" s="541"/>
      <c r="AE5" s="535"/>
      <c r="AF5" s="535"/>
      <c r="AG5" s="536"/>
      <c r="AH5" s="546"/>
      <c r="AI5" s="535"/>
      <c r="AJ5" s="535"/>
      <c r="AK5" s="536"/>
    </row>
    <row r="6" spans="1:37" x14ac:dyDescent="0.25">
      <c r="A6" s="2205"/>
      <c r="B6" s="528">
        <v>2</v>
      </c>
      <c r="C6" s="534"/>
      <c r="D6" s="535"/>
      <c r="E6" s="535"/>
      <c r="F6" s="536"/>
      <c r="G6" s="541"/>
      <c r="H6" s="535"/>
      <c r="I6" s="535"/>
      <c r="J6" s="536"/>
      <c r="L6" s="541"/>
      <c r="M6" s="535">
        <v>87</v>
      </c>
      <c r="N6" s="535"/>
      <c r="O6" s="536"/>
      <c r="P6" s="546"/>
      <c r="Q6" s="535" t="s">
        <v>209</v>
      </c>
      <c r="R6" s="535"/>
      <c r="S6" s="536"/>
      <c r="U6" s="541"/>
      <c r="V6" s="535"/>
      <c r="W6" s="535"/>
      <c r="X6" s="536"/>
      <c r="Y6" s="546"/>
      <c r="Z6" s="535"/>
      <c r="AA6" s="535"/>
      <c r="AB6" s="536"/>
      <c r="AD6" s="541"/>
      <c r="AE6" s="535"/>
      <c r="AF6" s="535"/>
      <c r="AG6" s="536"/>
      <c r="AH6" s="546"/>
      <c r="AI6" s="535"/>
      <c r="AJ6" s="535"/>
      <c r="AK6" s="536"/>
    </row>
    <row r="7" spans="1:37" x14ac:dyDescent="0.25">
      <c r="A7" s="2204">
        <v>44442</v>
      </c>
      <c r="B7" s="528">
        <v>1</v>
      </c>
      <c r="C7" s="534"/>
      <c r="D7" s="535"/>
      <c r="E7" s="535"/>
      <c r="F7" s="536"/>
      <c r="G7" s="541"/>
      <c r="H7" s="535"/>
      <c r="I7" s="535"/>
      <c r="J7" s="536"/>
      <c r="L7" s="541"/>
      <c r="M7" s="535"/>
      <c r="N7" s="535"/>
      <c r="O7" s="536"/>
      <c r="P7" s="546"/>
      <c r="Q7" s="535"/>
      <c r="R7" s="535"/>
      <c r="S7" s="536"/>
      <c r="U7" s="541"/>
      <c r="V7" s="535"/>
      <c r="W7" s="535"/>
      <c r="X7" s="536"/>
      <c r="Y7" s="546"/>
      <c r="Z7" s="535"/>
      <c r="AA7" s="535"/>
      <c r="AB7" s="536"/>
      <c r="AD7" s="541"/>
      <c r="AE7" s="535"/>
      <c r="AF7" s="535"/>
      <c r="AG7" s="536"/>
      <c r="AH7" s="546"/>
      <c r="AI7" s="535"/>
      <c r="AJ7" s="535"/>
      <c r="AK7" s="536"/>
    </row>
    <row r="8" spans="1:37" x14ac:dyDescent="0.25">
      <c r="A8" s="2205"/>
      <c r="B8" s="528">
        <v>2</v>
      </c>
      <c r="C8" s="534"/>
      <c r="D8" s="535"/>
      <c r="E8" s="535"/>
      <c r="F8" s="536"/>
      <c r="G8" s="541"/>
      <c r="H8" s="535"/>
      <c r="I8" s="535"/>
      <c r="J8" s="536"/>
      <c r="L8" s="541"/>
      <c r="M8" s="535"/>
      <c r="N8" s="535"/>
      <c r="O8" s="536"/>
      <c r="P8" s="546"/>
      <c r="Q8" s="535"/>
      <c r="R8" s="535"/>
      <c r="S8" s="536"/>
      <c r="U8" s="541"/>
      <c r="V8" s="535"/>
      <c r="W8" s="535"/>
      <c r="X8" s="536"/>
      <c r="Y8" s="546"/>
      <c r="Z8" s="535"/>
      <c r="AA8" s="535"/>
      <c r="AB8" s="536"/>
      <c r="AD8" s="541"/>
      <c r="AE8" s="535"/>
      <c r="AF8" s="535"/>
      <c r="AG8" s="536"/>
      <c r="AH8" s="546"/>
      <c r="AI8" s="535"/>
      <c r="AJ8" s="535"/>
      <c r="AK8" s="536"/>
    </row>
    <row r="9" spans="1:37" x14ac:dyDescent="0.25">
      <c r="A9" s="2204">
        <v>44443</v>
      </c>
      <c r="B9" s="528">
        <v>1</v>
      </c>
      <c r="C9" s="534"/>
      <c r="D9" s="535"/>
      <c r="E9" s="535"/>
      <c r="F9" s="536"/>
      <c r="G9" s="541"/>
      <c r="H9" s="535"/>
      <c r="I9" s="535"/>
      <c r="J9" s="536"/>
      <c r="L9" s="541"/>
      <c r="M9" s="535"/>
      <c r="N9" s="535"/>
      <c r="O9" s="536"/>
      <c r="P9" s="546"/>
      <c r="Q9" s="535"/>
      <c r="R9" s="535"/>
      <c r="S9" s="536"/>
      <c r="U9" s="541"/>
      <c r="V9" s="535"/>
      <c r="W9" s="535">
        <v>20</v>
      </c>
      <c r="X9" s="536"/>
      <c r="Y9" s="546"/>
      <c r="Z9" s="535"/>
      <c r="AA9" s="535" t="s">
        <v>152</v>
      </c>
      <c r="AB9" s="536"/>
      <c r="AD9" s="541"/>
      <c r="AE9" s="535"/>
      <c r="AF9" s="535"/>
      <c r="AG9" s="536"/>
      <c r="AH9" s="546"/>
      <c r="AI9" s="535"/>
      <c r="AJ9" s="535"/>
      <c r="AK9" s="536"/>
    </row>
    <row r="10" spans="1:37" x14ac:dyDescent="0.25">
      <c r="A10" s="2205"/>
      <c r="B10" s="528">
        <v>2</v>
      </c>
      <c r="C10" s="534"/>
      <c r="D10" s="535"/>
      <c r="E10" s="535">
        <v>10</v>
      </c>
      <c r="F10" s="536"/>
      <c r="G10" s="541"/>
      <c r="H10" s="535"/>
      <c r="I10" s="535" t="s">
        <v>152</v>
      </c>
      <c r="J10" s="536"/>
      <c r="L10" s="541"/>
      <c r="M10" s="535"/>
      <c r="N10" s="535"/>
      <c r="O10" s="536"/>
      <c r="P10" s="546"/>
      <c r="Q10" s="535"/>
      <c r="R10" s="535"/>
      <c r="S10" s="536"/>
      <c r="U10" s="541"/>
      <c r="V10" s="535"/>
      <c r="W10" s="535">
        <v>10</v>
      </c>
      <c r="X10" s="536"/>
      <c r="Y10" s="546"/>
      <c r="Z10" s="535"/>
      <c r="AA10" s="535" t="s">
        <v>152</v>
      </c>
      <c r="AB10" s="536"/>
      <c r="AD10" s="541"/>
      <c r="AE10" s="535"/>
      <c r="AF10" s="535"/>
      <c r="AG10" s="536"/>
      <c r="AH10" s="546"/>
      <c r="AI10" s="535"/>
      <c r="AJ10" s="535"/>
      <c r="AK10" s="536"/>
    </row>
    <row r="11" spans="1:37" x14ac:dyDescent="0.25">
      <c r="A11" s="2204">
        <v>44444</v>
      </c>
      <c r="B11" s="528">
        <v>1</v>
      </c>
      <c r="C11" s="534"/>
      <c r="D11" s="535"/>
      <c r="E11" s="535"/>
      <c r="F11" s="536"/>
      <c r="G11" s="541"/>
      <c r="H11" s="535"/>
      <c r="I11" s="535"/>
      <c r="J11" s="536"/>
      <c r="L11" s="541"/>
      <c r="M11" s="535"/>
      <c r="N11" s="535"/>
      <c r="O11" s="536"/>
      <c r="P11" s="546"/>
      <c r="Q11" s="535"/>
      <c r="R11" s="535"/>
      <c r="S11" s="536"/>
      <c r="U11" s="541"/>
      <c r="V11" s="535"/>
      <c r="W11" s="535"/>
      <c r="X11" s="536"/>
      <c r="Y11" s="546"/>
      <c r="Z11" s="535"/>
      <c r="AA11" s="535"/>
      <c r="AB11" s="536"/>
      <c r="AD11" s="541"/>
      <c r="AE11" s="535"/>
      <c r="AF11" s="535"/>
      <c r="AG11" s="536"/>
      <c r="AH11" s="546"/>
      <c r="AI11" s="535"/>
      <c r="AJ11" s="535"/>
      <c r="AK11" s="536"/>
    </row>
    <row r="12" spans="1:37" x14ac:dyDescent="0.25">
      <c r="A12" s="2205"/>
      <c r="B12" s="528">
        <v>2</v>
      </c>
      <c r="C12" s="534"/>
      <c r="D12" s="535"/>
      <c r="E12" s="535"/>
      <c r="F12" s="536"/>
      <c r="G12" s="541"/>
      <c r="H12" s="535"/>
      <c r="I12" s="535"/>
      <c r="J12" s="536"/>
      <c r="L12" s="541"/>
      <c r="M12" s="535"/>
      <c r="N12" s="535"/>
      <c r="O12" s="536"/>
      <c r="P12" s="546"/>
      <c r="Q12" s="535"/>
      <c r="R12" s="535"/>
      <c r="S12" s="536"/>
      <c r="U12" s="541"/>
      <c r="V12" s="535"/>
      <c r="W12" s="535"/>
      <c r="X12" s="536"/>
      <c r="Y12" s="546"/>
      <c r="Z12" s="535"/>
      <c r="AA12" s="535"/>
      <c r="AB12" s="536"/>
      <c r="AD12" s="541"/>
      <c r="AE12" s="535"/>
      <c r="AF12" s="535"/>
      <c r="AG12" s="536"/>
      <c r="AH12" s="546"/>
      <c r="AI12" s="535"/>
      <c r="AJ12" s="535"/>
      <c r="AK12" s="536"/>
    </row>
    <row r="13" spans="1:37" x14ac:dyDescent="0.25">
      <c r="A13" s="2204">
        <v>44445</v>
      </c>
      <c r="B13" s="528">
        <v>1</v>
      </c>
      <c r="C13" s="534"/>
      <c r="D13" s="535"/>
      <c r="E13" s="535"/>
      <c r="F13" s="536"/>
      <c r="G13" s="541"/>
      <c r="H13" s="535"/>
      <c r="I13" s="535"/>
      <c r="J13" s="536"/>
      <c r="L13" s="541"/>
      <c r="M13" s="535"/>
      <c r="N13" s="535"/>
      <c r="O13" s="536"/>
      <c r="P13" s="546"/>
      <c r="Q13" s="535"/>
      <c r="R13" s="535"/>
      <c r="S13" s="536"/>
      <c r="U13" s="541"/>
      <c r="V13" s="535"/>
      <c r="W13" s="535"/>
      <c r="X13" s="536"/>
      <c r="Y13" s="546"/>
      <c r="Z13" s="535"/>
      <c r="AA13" s="535"/>
      <c r="AB13" s="536"/>
      <c r="AD13" s="541"/>
      <c r="AE13" s="535"/>
      <c r="AF13" s="535"/>
      <c r="AG13" s="536"/>
      <c r="AH13" s="546"/>
      <c r="AI13" s="535"/>
      <c r="AJ13" s="535"/>
      <c r="AK13" s="536"/>
    </row>
    <row r="14" spans="1:37" x14ac:dyDescent="0.25">
      <c r="A14" s="2205"/>
      <c r="B14" s="528">
        <v>2</v>
      </c>
      <c r="C14" s="534"/>
      <c r="D14" s="535"/>
      <c r="E14" s="535"/>
      <c r="F14" s="536">
        <v>720</v>
      </c>
      <c r="G14" s="541"/>
      <c r="H14" s="535"/>
      <c r="I14" s="535"/>
      <c r="J14" s="536" t="s">
        <v>210</v>
      </c>
      <c r="L14" s="541"/>
      <c r="M14" s="535"/>
      <c r="N14" s="535"/>
      <c r="O14" s="536">
        <v>720</v>
      </c>
      <c r="P14" s="546"/>
      <c r="Q14" s="535"/>
      <c r="R14" s="535"/>
      <c r="S14" s="536" t="s">
        <v>210</v>
      </c>
      <c r="U14" s="541"/>
      <c r="V14" s="535"/>
      <c r="W14" s="535"/>
      <c r="X14" s="536">
        <v>720</v>
      </c>
      <c r="Y14" s="546"/>
      <c r="Z14" s="535"/>
      <c r="AA14" s="535"/>
      <c r="AB14" s="536" t="s">
        <v>210</v>
      </c>
      <c r="AD14" s="541"/>
      <c r="AE14" s="535"/>
      <c r="AF14" s="535"/>
      <c r="AG14" s="536">
        <v>720</v>
      </c>
      <c r="AH14" s="546"/>
      <c r="AI14" s="535"/>
      <c r="AJ14" s="535"/>
      <c r="AK14" s="536" t="s">
        <v>210</v>
      </c>
    </row>
    <row r="15" spans="1:37" x14ac:dyDescent="0.25">
      <c r="A15" s="2204">
        <v>44446</v>
      </c>
      <c r="B15" s="528">
        <v>1</v>
      </c>
      <c r="C15" s="534"/>
      <c r="D15" s="535"/>
      <c r="E15" s="535"/>
      <c r="F15" s="536">
        <v>720</v>
      </c>
      <c r="G15" s="541"/>
      <c r="H15" s="535"/>
      <c r="I15" s="535"/>
      <c r="J15" s="536" t="s">
        <v>210</v>
      </c>
      <c r="L15" s="541"/>
      <c r="M15" s="535"/>
      <c r="N15" s="535"/>
      <c r="O15" s="536">
        <v>720</v>
      </c>
      <c r="P15" s="541"/>
      <c r="Q15" s="535"/>
      <c r="R15" s="535"/>
      <c r="S15" s="536" t="s">
        <v>210</v>
      </c>
      <c r="U15" s="541"/>
      <c r="V15" s="535"/>
      <c r="W15" s="535"/>
      <c r="X15" s="536">
        <v>720</v>
      </c>
      <c r="Y15" s="541"/>
      <c r="Z15" s="535"/>
      <c r="AA15" s="535"/>
      <c r="AB15" s="536" t="s">
        <v>210</v>
      </c>
      <c r="AD15" s="541"/>
      <c r="AE15" s="535"/>
      <c r="AF15" s="535"/>
      <c r="AG15" s="536">
        <v>720</v>
      </c>
      <c r="AH15" s="541"/>
      <c r="AI15" s="535"/>
      <c r="AJ15" s="535"/>
      <c r="AK15" s="536" t="s">
        <v>210</v>
      </c>
    </row>
    <row r="16" spans="1:37" x14ac:dyDescent="0.25">
      <c r="A16" s="2205"/>
      <c r="B16" s="528">
        <v>2</v>
      </c>
      <c r="C16" s="534"/>
      <c r="D16" s="535"/>
      <c r="E16" s="535"/>
      <c r="F16" s="536">
        <v>720</v>
      </c>
      <c r="G16" s="541"/>
      <c r="H16" s="535"/>
      <c r="I16" s="535"/>
      <c r="J16" s="536" t="s">
        <v>210</v>
      </c>
      <c r="L16" s="541"/>
      <c r="M16" s="535"/>
      <c r="N16" s="535"/>
      <c r="O16" s="536">
        <v>720</v>
      </c>
      <c r="P16" s="541"/>
      <c r="Q16" s="535"/>
      <c r="R16" s="535"/>
      <c r="S16" s="536" t="s">
        <v>210</v>
      </c>
      <c r="U16" s="541"/>
      <c r="V16" s="535"/>
      <c r="W16" s="535"/>
      <c r="X16" s="536">
        <v>720</v>
      </c>
      <c r="Y16" s="541"/>
      <c r="Z16" s="535"/>
      <c r="AA16" s="535"/>
      <c r="AB16" s="536" t="s">
        <v>210</v>
      </c>
      <c r="AD16" s="541"/>
      <c r="AE16" s="535"/>
      <c r="AF16" s="535"/>
      <c r="AG16" s="536">
        <v>720</v>
      </c>
      <c r="AH16" s="541"/>
      <c r="AI16" s="535"/>
      <c r="AJ16" s="535"/>
      <c r="AK16" s="536" t="s">
        <v>210</v>
      </c>
    </row>
    <row r="17" spans="1:37" x14ac:dyDescent="0.25">
      <c r="A17" s="2204">
        <v>44447</v>
      </c>
      <c r="B17" s="528">
        <v>1</v>
      </c>
      <c r="C17" s="534"/>
      <c r="D17" s="535"/>
      <c r="E17" s="535"/>
      <c r="F17" s="536"/>
      <c r="G17" s="541"/>
      <c r="H17" s="535"/>
      <c r="I17" s="535"/>
      <c r="J17" s="536"/>
      <c r="L17" s="541"/>
      <c r="M17" s="535"/>
      <c r="N17" s="535"/>
      <c r="O17" s="536">
        <v>720</v>
      </c>
      <c r="P17" s="541"/>
      <c r="Q17" s="535"/>
      <c r="R17" s="535"/>
      <c r="S17" s="536" t="s">
        <v>210</v>
      </c>
      <c r="U17" s="541"/>
      <c r="V17" s="535"/>
      <c r="W17" s="535"/>
      <c r="X17" s="536">
        <v>720</v>
      </c>
      <c r="Y17" s="541"/>
      <c r="Z17" s="535"/>
      <c r="AA17" s="535"/>
      <c r="AB17" s="536" t="s">
        <v>210</v>
      </c>
      <c r="AD17" s="541"/>
      <c r="AE17" s="535"/>
      <c r="AF17" s="535"/>
      <c r="AG17" s="536">
        <v>720</v>
      </c>
      <c r="AH17" s="541"/>
      <c r="AI17" s="535"/>
      <c r="AJ17" s="535"/>
      <c r="AK17" s="536" t="s">
        <v>210</v>
      </c>
    </row>
    <row r="18" spans="1:37" x14ac:dyDescent="0.25">
      <c r="A18" s="2205"/>
      <c r="B18" s="528">
        <v>2</v>
      </c>
      <c r="C18" s="534"/>
      <c r="D18" s="535">
        <v>35</v>
      </c>
      <c r="E18" s="535"/>
      <c r="F18" s="536"/>
      <c r="G18" s="541"/>
      <c r="H18" s="535" t="s">
        <v>211</v>
      </c>
      <c r="I18" s="535"/>
      <c r="J18" s="536"/>
      <c r="L18" s="541"/>
      <c r="M18" s="535"/>
      <c r="N18" s="535"/>
      <c r="O18" s="536">
        <v>720</v>
      </c>
      <c r="P18" s="541"/>
      <c r="Q18" s="535"/>
      <c r="R18" s="535"/>
      <c r="S18" s="536" t="s">
        <v>210</v>
      </c>
      <c r="U18" s="541"/>
      <c r="V18" s="535"/>
      <c r="W18" s="535"/>
      <c r="X18" s="536">
        <v>720</v>
      </c>
      <c r="Y18" s="541"/>
      <c r="Z18" s="535"/>
      <c r="AA18" s="535"/>
      <c r="AB18" s="536" t="s">
        <v>210</v>
      </c>
      <c r="AD18" s="541"/>
      <c r="AE18" s="535"/>
      <c r="AF18" s="535"/>
      <c r="AG18" s="536">
        <v>720</v>
      </c>
      <c r="AH18" s="541"/>
      <c r="AI18" s="535"/>
      <c r="AJ18" s="535"/>
      <c r="AK18" s="536" t="s">
        <v>210</v>
      </c>
    </row>
    <row r="19" spans="1:37" x14ac:dyDescent="0.25">
      <c r="A19" s="2204">
        <v>44448</v>
      </c>
      <c r="B19" s="528">
        <v>1</v>
      </c>
      <c r="C19" s="534"/>
      <c r="D19" s="535"/>
      <c r="E19" s="535">
        <v>25</v>
      </c>
      <c r="F19" s="536"/>
      <c r="G19" s="541"/>
      <c r="H19" s="535"/>
      <c r="I19" s="535" t="s">
        <v>152</v>
      </c>
      <c r="J19" s="536"/>
      <c r="L19" s="541"/>
      <c r="M19" s="535"/>
      <c r="N19" s="535"/>
      <c r="O19" s="536">
        <v>720</v>
      </c>
      <c r="P19" s="541"/>
      <c r="Q19" s="535"/>
      <c r="R19" s="535"/>
      <c r="S19" s="536" t="s">
        <v>210</v>
      </c>
      <c r="U19" s="541"/>
      <c r="V19" s="535"/>
      <c r="W19" s="535"/>
      <c r="X19" s="536">
        <v>720</v>
      </c>
      <c r="Y19" s="541"/>
      <c r="Z19" s="535"/>
      <c r="AA19" s="535"/>
      <c r="AB19" s="536" t="s">
        <v>210</v>
      </c>
      <c r="AD19" s="541"/>
      <c r="AE19" s="535"/>
      <c r="AF19" s="535"/>
      <c r="AG19" s="536">
        <v>720</v>
      </c>
      <c r="AH19" s="541"/>
      <c r="AI19" s="535"/>
      <c r="AJ19" s="535"/>
      <c r="AK19" s="536" t="s">
        <v>210</v>
      </c>
    </row>
    <row r="20" spans="1:37" x14ac:dyDescent="0.25">
      <c r="A20" s="2205"/>
      <c r="B20" s="528">
        <v>2</v>
      </c>
      <c r="C20" s="534">
        <v>15</v>
      </c>
      <c r="D20" s="535"/>
      <c r="E20" s="535">
        <v>15</v>
      </c>
      <c r="F20" s="536"/>
      <c r="G20" s="548" t="s">
        <v>212</v>
      </c>
      <c r="H20" s="535"/>
      <c r="I20" s="535" t="s">
        <v>152</v>
      </c>
      <c r="J20" s="536"/>
      <c r="L20" s="541"/>
      <c r="M20" s="535"/>
      <c r="N20" s="535"/>
      <c r="O20" s="536">
        <v>720</v>
      </c>
      <c r="P20" s="541"/>
      <c r="Q20" s="535"/>
      <c r="R20" s="535"/>
      <c r="S20" s="536" t="s">
        <v>210</v>
      </c>
      <c r="U20" s="541"/>
      <c r="V20" s="535"/>
      <c r="W20" s="535"/>
      <c r="X20" s="536">
        <v>720</v>
      </c>
      <c r="Y20" s="541"/>
      <c r="Z20" s="535"/>
      <c r="AA20" s="535"/>
      <c r="AB20" s="536" t="s">
        <v>210</v>
      </c>
      <c r="AD20" s="541"/>
      <c r="AE20" s="535"/>
      <c r="AF20" s="535"/>
      <c r="AG20" s="536">
        <v>720</v>
      </c>
      <c r="AH20" s="541"/>
      <c r="AI20" s="535"/>
      <c r="AJ20" s="535"/>
      <c r="AK20" s="536" t="s">
        <v>210</v>
      </c>
    </row>
    <row r="21" spans="1:37" x14ac:dyDescent="0.25">
      <c r="A21" s="2204">
        <v>44449</v>
      </c>
      <c r="B21" s="528">
        <v>1</v>
      </c>
      <c r="C21" s="534"/>
      <c r="D21" s="535"/>
      <c r="E21" s="535"/>
      <c r="F21" s="536"/>
      <c r="G21" s="541"/>
      <c r="H21" s="535"/>
      <c r="I21" s="535"/>
      <c r="J21" s="536"/>
      <c r="L21" s="541"/>
      <c r="M21" s="535"/>
      <c r="N21" s="535"/>
      <c r="O21" s="536">
        <v>720</v>
      </c>
      <c r="P21" s="541"/>
      <c r="Q21" s="535"/>
      <c r="R21" s="535"/>
      <c r="S21" s="536" t="s">
        <v>210</v>
      </c>
      <c r="U21" s="541"/>
      <c r="V21" s="535"/>
      <c r="W21" s="535"/>
      <c r="X21" s="536">
        <v>720</v>
      </c>
      <c r="Y21" s="541"/>
      <c r="Z21" s="535"/>
      <c r="AA21" s="535"/>
      <c r="AB21" s="536" t="s">
        <v>210</v>
      </c>
      <c r="AD21" s="541"/>
      <c r="AE21" s="535"/>
      <c r="AF21" s="535"/>
      <c r="AG21" s="536">
        <v>720</v>
      </c>
      <c r="AH21" s="541"/>
      <c r="AI21" s="535"/>
      <c r="AJ21" s="535"/>
      <c r="AK21" s="536" t="s">
        <v>210</v>
      </c>
    </row>
    <row r="22" spans="1:37" x14ac:dyDescent="0.25">
      <c r="A22" s="2205"/>
      <c r="B22" s="528">
        <v>2</v>
      </c>
      <c r="C22" s="534"/>
      <c r="D22" s="535"/>
      <c r="E22" s="535">
        <v>15</v>
      </c>
      <c r="F22" s="536"/>
      <c r="G22" s="541"/>
      <c r="H22" s="535"/>
      <c r="I22" s="535" t="s">
        <v>152</v>
      </c>
      <c r="J22" s="536"/>
      <c r="L22" s="541"/>
      <c r="M22" s="535"/>
      <c r="N22" s="535"/>
      <c r="O22" s="536">
        <v>720</v>
      </c>
      <c r="P22" s="541"/>
      <c r="Q22" s="535"/>
      <c r="R22" s="535"/>
      <c r="S22" s="536" t="s">
        <v>210</v>
      </c>
      <c r="U22" s="541"/>
      <c r="V22" s="535"/>
      <c r="W22" s="535"/>
      <c r="X22" s="536">
        <v>720</v>
      </c>
      <c r="Y22" s="541"/>
      <c r="Z22" s="535"/>
      <c r="AA22" s="535"/>
      <c r="AB22" s="536" t="s">
        <v>210</v>
      </c>
      <c r="AD22" s="541"/>
      <c r="AE22" s="535"/>
      <c r="AF22" s="535"/>
      <c r="AG22" s="536">
        <v>720</v>
      </c>
      <c r="AH22" s="541"/>
      <c r="AI22" s="535"/>
      <c r="AJ22" s="535"/>
      <c r="AK22" s="536" t="s">
        <v>210</v>
      </c>
    </row>
    <row r="23" spans="1:37" x14ac:dyDescent="0.25">
      <c r="A23" s="2204">
        <v>44450</v>
      </c>
      <c r="B23" s="528">
        <v>1</v>
      </c>
      <c r="C23" s="534"/>
      <c r="D23" s="535">
        <v>7</v>
      </c>
      <c r="E23" s="535"/>
      <c r="F23" s="536"/>
      <c r="G23" s="541"/>
      <c r="H23" s="535" t="s">
        <v>213</v>
      </c>
      <c r="I23" s="535"/>
      <c r="J23" s="536"/>
      <c r="L23" s="541"/>
      <c r="M23" s="535"/>
      <c r="N23" s="535"/>
      <c r="O23" s="536">
        <v>720</v>
      </c>
      <c r="P23" s="541"/>
      <c r="Q23" s="535"/>
      <c r="R23" s="535"/>
      <c r="S23" s="536" t="s">
        <v>210</v>
      </c>
      <c r="U23" s="541"/>
      <c r="V23" s="535"/>
      <c r="W23" s="535"/>
      <c r="X23" s="536">
        <v>720</v>
      </c>
      <c r="Y23" s="541"/>
      <c r="Z23" s="535"/>
      <c r="AA23" s="535"/>
      <c r="AB23" s="536" t="s">
        <v>210</v>
      </c>
      <c r="AD23" s="541"/>
      <c r="AE23" s="535"/>
      <c r="AF23" s="535"/>
      <c r="AG23" s="536">
        <v>720</v>
      </c>
      <c r="AH23" s="541"/>
      <c r="AI23" s="535"/>
      <c r="AJ23" s="535"/>
      <c r="AK23" s="536" t="s">
        <v>210</v>
      </c>
    </row>
    <row r="24" spans="1:37" x14ac:dyDescent="0.25">
      <c r="A24" s="2205"/>
      <c r="B24" s="528">
        <v>2</v>
      </c>
      <c r="C24" s="534"/>
      <c r="D24" s="535"/>
      <c r="E24" s="535"/>
      <c r="F24" s="536"/>
      <c r="G24" s="541"/>
      <c r="H24" s="535"/>
      <c r="I24" s="535"/>
      <c r="J24" s="536"/>
      <c r="L24" s="541"/>
      <c r="M24" s="535"/>
      <c r="N24" s="535"/>
      <c r="O24" s="536">
        <v>720</v>
      </c>
      <c r="P24" s="541"/>
      <c r="Q24" s="535"/>
      <c r="R24" s="535"/>
      <c r="S24" s="536" t="s">
        <v>210</v>
      </c>
      <c r="U24" s="541"/>
      <c r="V24" s="535"/>
      <c r="W24" s="535"/>
      <c r="X24" s="536">
        <v>720</v>
      </c>
      <c r="Y24" s="541"/>
      <c r="Z24" s="535"/>
      <c r="AA24" s="535"/>
      <c r="AB24" s="536" t="s">
        <v>210</v>
      </c>
      <c r="AD24" s="541"/>
      <c r="AE24" s="535"/>
      <c r="AF24" s="535"/>
      <c r="AG24" s="536">
        <v>720</v>
      </c>
      <c r="AH24" s="541"/>
      <c r="AI24" s="535"/>
      <c r="AJ24" s="535"/>
      <c r="AK24" s="536" t="s">
        <v>210</v>
      </c>
    </row>
    <row r="25" spans="1:37" x14ac:dyDescent="0.25">
      <c r="A25" s="2204">
        <v>44451</v>
      </c>
      <c r="B25" s="528">
        <v>1</v>
      </c>
      <c r="C25" s="534"/>
      <c r="D25" s="535"/>
      <c r="E25" s="535"/>
      <c r="F25" s="536"/>
      <c r="G25" s="541"/>
      <c r="H25" s="535"/>
      <c r="I25" s="535"/>
      <c r="J25" s="536"/>
      <c r="L25" s="541"/>
      <c r="M25" s="535"/>
      <c r="N25" s="535"/>
      <c r="O25" s="536">
        <v>720</v>
      </c>
      <c r="P25" s="541"/>
      <c r="Q25" s="535"/>
      <c r="R25" s="535"/>
      <c r="S25" s="536" t="s">
        <v>210</v>
      </c>
      <c r="U25" s="541"/>
      <c r="V25" s="535"/>
      <c r="W25" s="535"/>
      <c r="X25" s="536">
        <v>720</v>
      </c>
      <c r="Y25" s="541"/>
      <c r="Z25" s="535"/>
      <c r="AA25" s="535"/>
      <c r="AB25" s="536" t="s">
        <v>210</v>
      </c>
      <c r="AD25" s="541"/>
      <c r="AE25" s="535"/>
      <c r="AF25" s="535"/>
      <c r="AG25" s="536">
        <v>720</v>
      </c>
      <c r="AH25" s="541"/>
      <c r="AI25" s="535"/>
      <c r="AJ25" s="535"/>
      <c r="AK25" s="536" t="s">
        <v>210</v>
      </c>
    </row>
    <row r="26" spans="1:37" x14ac:dyDescent="0.25">
      <c r="A26" s="2205"/>
      <c r="B26" s="528">
        <v>2</v>
      </c>
      <c r="C26" s="534"/>
      <c r="D26" s="535"/>
      <c r="E26" s="535"/>
      <c r="F26" s="536">
        <v>540</v>
      </c>
      <c r="G26" s="541"/>
      <c r="H26" s="535"/>
      <c r="I26" s="535"/>
      <c r="J26" s="536" t="s">
        <v>210</v>
      </c>
      <c r="L26" s="541"/>
      <c r="M26" s="535"/>
      <c r="N26" s="535"/>
      <c r="O26" s="536">
        <v>720</v>
      </c>
      <c r="P26" s="541"/>
      <c r="Q26" s="535"/>
      <c r="R26" s="535"/>
      <c r="S26" s="536" t="s">
        <v>210</v>
      </c>
      <c r="U26" s="541"/>
      <c r="V26" s="535"/>
      <c r="W26" s="535"/>
      <c r="X26" s="536">
        <v>420</v>
      </c>
      <c r="Y26" s="541"/>
      <c r="Z26" s="535"/>
      <c r="AA26" s="535"/>
      <c r="AB26" s="536" t="s">
        <v>210</v>
      </c>
      <c r="AD26" s="541"/>
      <c r="AE26" s="535"/>
      <c r="AF26" s="535"/>
      <c r="AG26" s="536">
        <v>720</v>
      </c>
      <c r="AH26" s="541"/>
      <c r="AI26" s="535"/>
      <c r="AJ26" s="535"/>
      <c r="AK26" s="536" t="s">
        <v>210</v>
      </c>
    </row>
    <row r="27" spans="1:37" x14ac:dyDescent="0.25">
      <c r="A27" s="2204">
        <v>44452</v>
      </c>
      <c r="B27" s="528">
        <v>1</v>
      </c>
      <c r="C27" s="534"/>
      <c r="D27" s="535"/>
      <c r="E27" s="535"/>
      <c r="F27" s="536">
        <v>720</v>
      </c>
      <c r="G27" s="541"/>
      <c r="H27" s="535"/>
      <c r="I27" s="535"/>
      <c r="J27" s="536" t="s">
        <v>210</v>
      </c>
      <c r="L27" s="541"/>
      <c r="M27" s="535"/>
      <c r="N27" s="535"/>
      <c r="O27" s="536">
        <v>720</v>
      </c>
      <c r="P27" s="541"/>
      <c r="Q27" s="535"/>
      <c r="R27" s="535"/>
      <c r="S27" s="536" t="s">
        <v>210</v>
      </c>
      <c r="U27" s="541"/>
      <c r="V27" s="535"/>
      <c r="W27" s="535"/>
      <c r="X27" s="536">
        <v>240</v>
      </c>
      <c r="Y27" s="546"/>
      <c r="Z27" s="535"/>
      <c r="AA27" s="535"/>
      <c r="AB27" s="536" t="s">
        <v>210</v>
      </c>
      <c r="AD27" s="541"/>
      <c r="AE27" s="535"/>
      <c r="AF27" s="535"/>
      <c r="AG27" s="536">
        <v>720</v>
      </c>
      <c r="AH27" s="541"/>
      <c r="AI27" s="535"/>
      <c r="AJ27" s="535"/>
      <c r="AK27" s="536" t="s">
        <v>210</v>
      </c>
    </row>
    <row r="28" spans="1:37" x14ac:dyDescent="0.25">
      <c r="A28" s="2205"/>
      <c r="B28" s="528">
        <v>2</v>
      </c>
      <c r="C28" s="534"/>
      <c r="D28" s="535"/>
      <c r="E28" s="535"/>
      <c r="F28" s="536">
        <v>360</v>
      </c>
      <c r="G28" s="541"/>
      <c r="H28" s="535"/>
      <c r="I28" s="535"/>
      <c r="J28" s="536" t="s">
        <v>210</v>
      </c>
      <c r="L28" s="541"/>
      <c r="M28" s="535">
        <v>60</v>
      </c>
      <c r="N28" s="535"/>
      <c r="O28" s="536">
        <v>360</v>
      </c>
      <c r="P28" s="546"/>
      <c r="Q28" s="535" t="s">
        <v>214</v>
      </c>
      <c r="R28" s="535"/>
      <c r="S28" s="536" t="s">
        <v>210</v>
      </c>
      <c r="U28" s="541"/>
      <c r="V28" s="535"/>
      <c r="W28" s="535"/>
      <c r="X28" s="536">
        <v>120</v>
      </c>
      <c r="Y28" s="546"/>
      <c r="Z28" s="535"/>
      <c r="AA28" s="535"/>
      <c r="AB28" s="536" t="s">
        <v>210</v>
      </c>
      <c r="AD28" s="541"/>
      <c r="AE28" s="535"/>
      <c r="AF28" s="535"/>
      <c r="AG28" s="536">
        <v>360</v>
      </c>
      <c r="AH28" s="546"/>
      <c r="AI28" s="535"/>
      <c r="AJ28" s="535"/>
      <c r="AK28" s="536" t="s">
        <v>210</v>
      </c>
    </row>
    <row r="29" spans="1:37" x14ac:dyDescent="0.25">
      <c r="A29" s="2204">
        <v>44453</v>
      </c>
      <c r="B29" s="528">
        <v>1</v>
      </c>
      <c r="C29" s="534"/>
      <c r="D29" s="535">
        <v>10</v>
      </c>
      <c r="E29" s="535">
        <v>35</v>
      </c>
      <c r="F29" s="536"/>
      <c r="G29" s="541"/>
      <c r="H29" s="535" t="s">
        <v>213</v>
      </c>
      <c r="I29" s="535" t="s">
        <v>152</v>
      </c>
      <c r="J29" s="536"/>
      <c r="L29" s="541"/>
      <c r="M29" s="535">
        <v>10</v>
      </c>
      <c r="N29" s="535"/>
      <c r="O29" s="536"/>
      <c r="P29" s="546"/>
      <c r="Q29" s="535" t="s">
        <v>213</v>
      </c>
      <c r="R29" s="535"/>
      <c r="S29" s="536"/>
      <c r="U29" s="541"/>
      <c r="V29" s="535"/>
      <c r="W29" s="535"/>
      <c r="X29" s="536"/>
      <c r="Y29" s="546"/>
      <c r="Z29" s="535"/>
      <c r="AA29" s="535"/>
      <c r="AB29" s="536"/>
      <c r="AD29" s="541"/>
      <c r="AE29" s="535"/>
      <c r="AF29" s="535"/>
      <c r="AG29" s="536"/>
      <c r="AH29" s="546"/>
      <c r="AI29" s="535"/>
      <c r="AJ29" s="535"/>
      <c r="AK29" s="536"/>
    </row>
    <row r="30" spans="1:37" x14ac:dyDescent="0.25">
      <c r="A30" s="2205"/>
      <c r="B30" s="528">
        <v>2</v>
      </c>
      <c r="C30" s="534"/>
      <c r="D30" s="535"/>
      <c r="E30" s="535"/>
      <c r="F30" s="536"/>
      <c r="G30" s="541"/>
      <c r="H30" s="535"/>
      <c r="I30" s="535"/>
      <c r="J30" s="536"/>
      <c r="L30" s="541"/>
      <c r="M30" s="535"/>
      <c r="N30" s="535"/>
      <c r="O30" s="536"/>
      <c r="P30" s="546"/>
      <c r="Q30" s="535"/>
      <c r="R30" s="535"/>
      <c r="S30" s="536"/>
      <c r="U30" s="541"/>
      <c r="V30" s="535"/>
      <c r="W30" s="535">
        <v>10</v>
      </c>
      <c r="X30" s="536"/>
      <c r="Y30" s="546"/>
      <c r="Z30" s="535"/>
      <c r="AA30" s="535" t="s">
        <v>152</v>
      </c>
      <c r="AB30" s="536"/>
      <c r="AD30" s="541"/>
      <c r="AE30" s="535">
        <v>15</v>
      </c>
      <c r="AF30" s="535"/>
      <c r="AG30" s="536"/>
      <c r="AH30" s="546"/>
      <c r="AJ30" s="535"/>
      <c r="AK30" s="536"/>
    </row>
    <row r="31" spans="1:37" x14ac:dyDescent="0.25">
      <c r="A31" s="2204">
        <v>44454</v>
      </c>
      <c r="B31" s="528">
        <v>1</v>
      </c>
      <c r="C31" s="534">
        <v>30</v>
      </c>
      <c r="D31" s="535"/>
      <c r="E31" s="535"/>
      <c r="F31" s="536"/>
      <c r="G31" s="541" t="s">
        <v>215</v>
      </c>
      <c r="H31" s="535"/>
      <c r="I31" s="535"/>
      <c r="J31" s="536"/>
      <c r="L31" s="541"/>
      <c r="M31" s="535"/>
      <c r="N31" s="535"/>
      <c r="O31" s="536"/>
      <c r="P31" s="546"/>
      <c r="Q31" s="535"/>
      <c r="R31" s="535"/>
      <c r="S31" s="536"/>
      <c r="U31" s="541"/>
      <c r="V31" s="535"/>
      <c r="W31" s="535"/>
      <c r="X31" s="536"/>
      <c r="Y31" s="546"/>
      <c r="Z31" s="535"/>
      <c r="AA31" s="535"/>
      <c r="AB31" s="536"/>
      <c r="AD31" s="541"/>
      <c r="AE31" s="535"/>
      <c r="AF31" s="535"/>
      <c r="AG31" s="536"/>
      <c r="AH31" s="546"/>
      <c r="AI31" s="535" t="s">
        <v>224</v>
      </c>
      <c r="AJ31" s="535"/>
      <c r="AK31" s="536"/>
    </row>
    <row r="32" spans="1:37" x14ac:dyDescent="0.25">
      <c r="A32" s="2205"/>
      <c r="B32" s="528">
        <v>2</v>
      </c>
      <c r="C32" s="534"/>
      <c r="D32" s="535"/>
      <c r="E32" s="535">
        <v>30</v>
      </c>
      <c r="F32" s="536"/>
      <c r="G32" s="541"/>
      <c r="H32" s="535"/>
      <c r="I32" s="535" t="s">
        <v>152</v>
      </c>
      <c r="J32" s="536"/>
      <c r="L32" s="541"/>
      <c r="M32" s="535"/>
      <c r="N32" s="535"/>
      <c r="O32" s="536"/>
      <c r="P32" s="546"/>
      <c r="Q32" s="535"/>
      <c r="R32" s="535"/>
      <c r="S32" s="536"/>
      <c r="U32" s="541"/>
      <c r="V32" s="535"/>
      <c r="W32" s="535">
        <v>15</v>
      </c>
      <c r="X32" s="536"/>
      <c r="Y32" s="546"/>
      <c r="Z32" s="535"/>
      <c r="AA32" s="535" t="s">
        <v>152</v>
      </c>
      <c r="AB32" s="536"/>
      <c r="AD32" s="541">
        <v>30</v>
      </c>
      <c r="AE32" s="535"/>
      <c r="AF32" s="535"/>
      <c r="AG32" s="536"/>
      <c r="AH32" s="546" t="s">
        <v>216</v>
      </c>
      <c r="AI32" s="535"/>
      <c r="AJ32" s="535"/>
      <c r="AK32" s="536"/>
    </row>
    <row r="33" spans="1:37" x14ac:dyDescent="0.25">
      <c r="A33" s="2204">
        <v>44455</v>
      </c>
      <c r="B33" s="528">
        <v>1</v>
      </c>
      <c r="C33" s="534"/>
      <c r="D33" s="535"/>
      <c r="E33" s="535">
        <v>15</v>
      </c>
      <c r="F33" s="536"/>
      <c r="G33" s="541"/>
      <c r="H33" s="535"/>
      <c r="I33" s="535" t="s">
        <v>152</v>
      </c>
      <c r="J33" s="536"/>
      <c r="L33" s="541"/>
      <c r="M33" s="535"/>
      <c r="N33" s="535"/>
      <c r="O33" s="536"/>
      <c r="P33" s="546"/>
      <c r="Q33" s="535"/>
      <c r="R33" s="535"/>
      <c r="S33" s="536"/>
      <c r="U33" s="541"/>
      <c r="V33" s="535"/>
      <c r="W33" s="535"/>
      <c r="X33" s="536"/>
      <c r="Y33" s="546"/>
      <c r="Z33" s="535"/>
      <c r="AA33" s="535"/>
      <c r="AB33" s="536"/>
      <c r="AD33" s="541"/>
      <c r="AE33" s="535"/>
      <c r="AF33" s="535"/>
      <c r="AG33" s="536"/>
      <c r="AH33" s="546"/>
      <c r="AI33" s="535"/>
      <c r="AJ33" s="535"/>
      <c r="AK33" s="536"/>
    </row>
    <row r="34" spans="1:37" x14ac:dyDescent="0.25">
      <c r="A34" s="2205"/>
      <c r="B34" s="528">
        <v>2</v>
      </c>
      <c r="C34" s="534"/>
      <c r="D34" s="535"/>
      <c r="E34" s="535"/>
      <c r="F34" s="536"/>
      <c r="G34" s="541"/>
      <c r="H34" s="535"/>
      <c r="I34" s="535"/>
      <c r="J34" s="536"/>
      <c r="L34" s="541"/>
      <c r="M34" s="535"/>
      <c r="N34" s="535"/>
      <c r="O34" s="536"/>
      <c r="P34" s="546"/>
      <c r="Q34" s="535"/>
      <c r="R34" s="535"/>
      <c r="S34" s="536"/>
      <c r="U34" s="541"/>
      <c r="V34" s="535"/>
      <c r="W34" s="535"/>
      <c r="X34" s="536"/>
      <c r="Y34" s="546"/>
      <c r="Z34" s="535"/>
      <c r="AA34" s="535"/>
      <c r="AB34" s="536"/>
      <c r="AD34" s="541"/>
      <c r="AE34" s="535"/>
      <c r="AF34" s="535"/>
      <c r="AG34" s="536"/>
      <c r="AH34" s="546"/>
      <c r="AI34" s="535"/>
      <c r="AJ34" s="535"/>
      <c r="AK34" s="536"/>
    </row>
    <row r="35" spans="1:37" x14ac:dyDescent="0.25">
      <c r="A35" s="2204">
        <v>44456</v>
      </c>
      <c r="B35" s="528">
        <v>1</v>
      </c>
      <c r="C35" s="534"/>
      <c r="D35" s="535"/>
      <c r="E35" s="535"/>
      <c r="F35" s="536"/>
      <c r="G35" s="541"/>
      <c r="H35" s="535"/>
      <c r="I35" s="535"/>
      <c r="J35" s="536"/>
      <c r="L35" s="541"/>
      <c r="M35" s="535"/>
      <c r="N35" s="535"/>
      <c r="O35" s="536"/>
      <c r="P35" s="546"/>
      <c r="Q35" s="535"/>
      <c r="R35" s="535"/>
      <c r="S35" s="536"/>
      <c r="U35" s="541"/>
      <c r="V35" s="535"/>
      <c r="W35" s="535"/>
      <c r="X35" s="536"/>
      <c r="Y35" s="546"/>
      <c r="Z35" s="535"/>
      <c r="AA35" s="535"/>
      <c r="AB35" s="536"/>
      <c r="AD35" s="541"/>
      <c r="AE35" s="535"/>
      <c r="AF35" s="535"/>
      <c r="AG35" s="536"/>
      <c r="AH35" s="546"/>
      <c r="AI35" s="535"/>
      <c r="AJ35" s="535"/>
      <c r="AK35" s="536"/>
    </row>
    <row r="36" spans="1:37" x14ac:dyDescent="0.25">
      <c r="A36" s="2205"/>
      <c r="B36" s="528">
        <v>2</v>
      </c>
      <c r="C36" s="534"/>
      <c r="D36" s="535"/>
      <c r="E36" s="535"/>
      <c r="F36" s="536"/>
      <c r="G36" s="541"/>
      <c r="H36" s="535"/>
      <c r="I36" s="535"/>
      <c r="J36" s="536"/>
      <c r="L36" s="541"/>
      <c r="M36" s="535"/>
      <c r="N36" s="535"/>
      <c r="O36" s="536"/>
      <c r="P36" s="546"/>
      <c r="Q36" s="535"/>
      <c r="R36" s="535"/>
      <c r="S36" s="536"/>
      <c r="U36" s="541"/>
      <c r="V36" s="535"/>
      <c r="W36" s="535"/>
      <c r="X36" s="536"/>
      <c r="Y36" s="546"/>
      <c r="Z36" s="535"/>
      <c r="AA36" s="535"/>
      <c r="AB36" s="536"/>
      <c r="AD36" s="541"/>
      <c r="AE36" s="535"/>
      <c r="AF36" s="535"/>
      <c r="AG36" s="536"/>
      <c r="AH36" s="546"/>
      <c r="AI36" s="535"/>
      <c r="AJ36" s="535"/>
      <c r="AK36" s="536"/>
    </row>
    <row r="37" spans="1:37" x14ac:dyDescent="0.25">
      <c r="A37" s="2204">
        <v>44457</v>
      </c>
      <c r="B37" s="528">
        <v>1</v>
      </c>
      <c r="C37" s="534"/>
      <c r="D37" s="535"/>
      <c r="E37" s="535"/>
      <c r="F37" s="536"/>
      <c r="G37" s="541"/>
      <c r="H37" s="535"/>
      <c r="I37" s="535"/>
      <c r="J37" s="536"/>
      <c r="L37" s="541"/>
      <c r="M37" s="535"/>
      <c r="N37" s="535"/>
      <c r="O37" s="536"/>
      <c r="P37" s="546"/>
      <c r="Q37" s="535"/>
      <c r="R37" s="535"/>
      <c r="S37" s="536"/>
      <c r="U37" s="541"/>
      <c r="V37" s="535"/>
      <c r="W37" s="535">
        <v>20</v>
      </c>
      <c r="X37" s="536"/>
      <c r="Y37" s="546"/>
      <c r="Z37" s="535"/>
      <c r="AA37" s="535" t="s">
        <v>152</v>
      </c>
      <c r="AB37" s="536"/>
      <c r="AD37" s="541"/>
      <c r="AE37" s="535"/>
      <c r="AF37" s="535"/>
      <c r="AG37" s="536"/>
      <c r="AH37" s="546"/>
      <c r="AI37" s="535"/>
      <c r="AJ37" s="535"/>
      <c r="AK37" s="536"/>
    </row>
    <row r="38" spans="1:37" x14ac:dyDescent="0.25">
      <c r="A38" s="2205"/>
      <c r="B38" s="528">
        <v>2</v>
      </c>
      <c r="C38" s="534"/>
      <c r="D38" s="535"/>
      <c r="E38" s="535"/>
      <c r="F38" s="536"/>
      <c r="G38" s="541"/>
      <c r="H38" s="535"/>
      <c r="I38" s="535"/>
      <c r="J38" s="536"/>
      <c r="L38" s="541"/>
      <c r="M38" s="535"/>
      <c r="N38" s="535"/>
      <c r="O38" s="536"/>
      <c r="P38" s="546"/>
      <c r="Q38" s="535"/>
      <c r="R38" s="535"/>
      <c r="S38" s="536"/>
      <c r="U38" s="541"/>
      <c r="V38" s="535"/>
      <c r="W38" s="535"/>
      <c r="X38" s="536"/>
      <c r="Y38" s="546"/>
      <c r="Z38" s="535"/>
      <c r="AA38" s="535"/>
      <c r="AB38" s="536"/>
      <c r="AD38" s="541"/>
      <c r="AE38" s="535"/>
      <c r="AF38" s="535"/>
      <c r="AG38" s="536"/>
      <c r="AH38" s="546"/>
      <c r="AI38" s="535"/>
      <c r="AJ38" s="535"/>
      <c r="AK38" s="536"/>
    </row>
    <row r="39" spans="1:37" x14ac:dyDescent="0.25">
      <c r="A39" s="2204">
        <v>44458</v>
      </c>
      <c r="B39" s="528">
        <v>1</v>
      </c>
      <c r="C39" s="534"/>
      <c r="D39" s="535"/>
      <c r="E39" s="535"/>
      <c r="F39" s="536"/>
      <c r="G39" s="541"/>
      <c r="H39" s="535"/>
      <c r="I39" s="535"/>
      <c r="J39" s="536"/>
      <c r="L39" s="541"/>
      <c r="M39" s="535"/>
      <c r="N39" s="535"/>
      <c r="O39" s="536"/>
      <c r="P39" s="546"/>
      <c r="Q39" s="535"/>
      <c r="R39" s="535"/>
      <c r="S39" s="536"/>
      <c r="U39" s="541"/>
      <c r="V39" s="535"/>
      <c r="W39" s="535"/>
      <c r="X39" s="536"/>
      <c r="Y39" s="546"/>
      <c r="Z39" s="535"/>
      <c r="AA39" s="535"/>
      <c r="AB39" s="536"/>
      <c r="AD39" s="541"/>
      <c r="AE39" s="535"/>
      <c r="AF39" s="535"/>
      <c r="AG39" s="536"/>
      <c r="AH39" s="546"/>
      <c r="AI39" s="535"/>
      <c r="AJ39" s="535"/>
      <c r="AK39" s="536"/>
    </row>
    <row r="40" spans="1:37" x14ac:dyDescent="0.25">
      <c r="A40" s="2205"/>
      <c r="B40" s="528">
        <v>2</v>
      </c>
      <c r="C40" s="534"/>
      <c r="D40" s="535"/>
      <c r="E40" s="535"/>
      <c r="F40" s="536"/>
      <c r="G40" s="541"/>
      <c r="H40" s="535"/>
      <c r="I40" s="535"/>
      <c r="J40" s="536"/>
      <c r="L40" s="541"/>
      <c r="M40" s="535"/>
      <c r="N40" s="535"/>
      <c r="O40" s="536"/>
      <c r="P40" s="546"/>
      <c r="Q40" s="535"/>
      <c r="R40" s="535"/>
      <c r="S40" s="536"/>
      <c r="U40" s="541"/>
      <c r="V40" s="535"/>
      <c r="W40" s="535"/>
      <c r="X40" s="536"/>
      <c r="Y40" s="546"/>
      <c r="Z40" s="535"/>
      <c r="AA40" s="535"/>
      <c r="AB40" s="536"/>
      <c r="AD40" s="541"/>
      <c r="AE40" s="535"/>
      <c r="AF40" s="535"/>
      <c r="AG40" s="536"/>
      <c r="AH40" s="546"/>
      <c r="AI40" s="535"/>
      <c r="AJ40" s="535"/>
      <c r="AK40" s="536"/>
    </row>
    <row r="41" spans="1:37" x14ac:dyDescent="0.25">
      <c r="A41" s="2204">
        <v>44459</v>
      </c>
      <c r="B41" s="528">
        <v>1</v>
      </c>
      <c r="C41" s="534"/>
      <c r="D41" s="535">
        <v>15</v>
      </c>
      <c r="E41" s="535"/>
      <c r="F41" s="536">
        <v>83</v>
      </c>
      <c r="G41" s="541"/>
      <c r="H41" s="535" t="s">
        <v>213</v>
      </c>
      <c r="I41" s="535"/>
      <c r="J41" s="536" t="s">
        <v>210</v>
      </c>
      <c r="L41" s="541"/>
      <c r="M41" s="535">
        <v>20</v>
      </c>
      <c r="N41" s="535"/>
      <c r="O41" s="536">
        <v>85</v>
      </c>
      <c r="P41" s="546"/>
      <c r="Q41" s="535" t="s">
        <v>213</v>
      </c>
      <c r="R41" s="535"/>
      <c r="S41" s="536" t="s">
        <v>210</v>
      </c>
      <c r="U41" s="541"/>
      <c r="V41" s="535"/>
      <c r="W41" s="535"/>
      <c r="X41" s="536">
        <v>90</v>
      </c>
      <c r="Y41" s="546"/>
      <c r="Z41" s="535"/>
      <c r="AA41" s="535"/>
      <c r="AB41" s="536" t="s">
        <v>210</v>
      </c>
      <c r="AD41" s="541">
        <v>25</v>
      </c>
      <c r="AE41" s="535"/>
      <c r="AF41" s="535"/>
      <c r="AG41" s="536">
        <v>90</v>
      </c>
      <c r="AH41" s="546" t="s">
        <v>226</v>
      </c>
      <c r="AI41" s="535"/>
      <c r="AJ41" s="535"/>
      <c r="AK41" s="536" t="s">
        <v>210</v>
      </c>
    </row>
    <row r="42" spans="1:37" x14ac:dyDescent="0.25">
      <c r="A42" s="2205"/>
      <c r="B42" s="528">
        <v>2</v>
      </c>
      <c r="C42" s="534"/>
      <c r="D42" s="535"/>
      <c r="E42" s="535"/>
      <c r="F42" s="536"/>
      <c r="G42" s="541"/>
      <c r="H42" s="535"/>
      <c r="I42" s="535"/>
      <c r="J42" s="536"/>
      <c r="L42" s="541"/>
      <c r="M42" s="535"/>
      <c r="N42" s="535"/>
      <c r="O42" s="536"/>
      <c r="P42" s="546"/>
      <c r="Q42" s="535"/>
      <c r="R42" s="535"/>
      <c r="S42" s="536"/>
      <c r="U42" s="541"/>
      <c r="V42" s="535"/>
      <c r="W42" s="535"/>
      <c r="X42" s="536"/>
      <c r="Y42" s="546"/>
      <c r="Z42" s="535"/>
      <c r="AA42" s="535"/>
      <c r="AB42" s="536"/>
      <c r="AD42" s="541"/>
      <c r="AE42" s="535"/>
      <c r="AF42" s="535"/>
      <c r="AG42" s="536"/>
      <c r="AH42" s="546"/>
      <c r="AI42" s="535"/>
      <c r="AJ42" s="535"/>
      <c r="AK42" s="536"/>
    </row>
    <row r="43" spans="1:37" x14ac:dyDescent="0.25">
      <c r="A43" s="2204">
        <v>44460</v>
      </c>
      <c r="B43" s="528">
        <v>1</v>
      </c>
      <c r="C43" s="534"/>
      <c r="D43" s="535"/>
      <c r="E43" s="535"/>
      <c r="F43" s="536"/>
      <c r="G43" s="541"/>
      <c r="H43" s="535"/>
      <c r="I43" s="535"/>
      <c r="J43" s="536"/>
      <c r="L43" s="541"/>
      <c r="M43" s="535"/>
      <c r="N43" s="535"/>
      <c r="O43" s="536"/>
      <c r="P43" s="546"/>
      <c r="Q43" s="535"/>
      <c r="R43" s="535"/>
      <c r="S43" s="536"/>
      <c r="U43" s="541"/>
      <c r="V43" s="535"/>
      <c r="W43" s="535"/>
      <c r="X43" s="536"/>
      <c r="Y43" s="546"/>
      <c r="Z43" s="535"/>
      <c r="AA43" s="535"/>
      <c r="AB43" s="536"/>
      <c r="AD43" s="541"/>
      <c r="AE43" s="535"/>
      <c r="AF43" s="535"/>
      <c r="AG43" s="536"/>
      <c r="AH43" s="546"/>
      <c r="AI43" s="535"/>
      <c r="AJ43" s="535"/>
      <c r="AK43" s="536"/>
    </row>
    <row r="44" spans="1:37" ht="30" x14ac:dyDescent="0.25">
      <c r="A44" s="2205"/>
      <c r="B44" s="528">
        <v>2</v>
      </c>
      <c r="C44" s="534">
        <v>50</v>
      </c>
      <c r="D44" s="535"/>
      <c r="E44" s="535"/>
      <c r="F44" s="536"/>
      <c r="G44" s="567" t="s">
        <v>227</v>
      </c>
      <c r="H44" s="535"/>
      <c r="I44" s="535"/>
      <c r="J44" s="536"/>
      <c r="L44" s="541"/>
      <c r="M44" s="535"/>
      <c r="N44" s="535"/>
      <c r="O44" s="536"/>
      <c r="P44" s="546"/>
      <c r="Q44" s="535"/>
      <c r="R44" s="535"/>
      <c r="S44" s="536"/>
      <c r="U44" s="541"/>
      <c r="V44" s="535"/>
      <c r="W44" s="535"/>
      <c r="X44" s="536"/>
      <c r="Y44" s="546"/>
      <c r="Z44" s="535"/>
      <c r="AA44" s="535"/>
      <c r="AB44" s="536"/>
      <c r="AD44" s="541"/>
      <c r="AE44" s="535"/>
      <c r="AF44" s="535"/>
      <c r="AG44" s="536"/>
      <c r="AH44" s="546"/>
      <c r="AI44" s="535"/>
      <c r="AJ44" s="535"/>
      <c r="AK44" s="536"/>
    </row>
    <row r="45" spans="1:37" x14ac:dyDescent="0.25">
      <c r="A45" s="2204">
        <v>44461</v>
      </c>
      <c r="B45" s="528">
        <v>1</v>
      </c>
      <c r="C45" s="534"/>
      <c r="D45" s="535">
        <v>10</v>
      </c>
      <c r="E45" s="535"/>
      <c r="F45" s="536"/>
      <c r="G45" s="541"/>
      <c r="H45" s="535" t="s">
        <v>163</v>
      </c>
      <c r="I45" s="535"/>
      <c r="J45" s="536"/>
      <c r="L45" s="541"/>
      <c r="M45" s="535"/>
      <c r="N45" s="535"/>
      <c r="O45" s="536"/>
      <c r="P45" s="546"/>
      <c r="Q45" s="535"/>
      <c r="R45" s="535"/>
      <c r="S45" s="536"/>
      <c r="U45" s="541"/>
      <c r="V45" s="535"/>
      <c r="W45" s="535">
        <v>10</v>
      </c>
      <c r="X45" s="536"/>
      <c r="Y45" s="546"/>
      <c r="Z45" s="535"/>
      <c r="AA45" s="535" t="s">
        <v>152</v>
      </c>
      <c r="AB45" s="536"/>
      <c r="AD45" s="541"/>
      <c r="AE45" s="535"/>
      <c r="AF45" s="535"/>
      <c r="AG45" s="536"/>
      <c r="AH45" s="546"/>
      <c r="AI45" s="535"/>
      <c r="AJ45" s="535"/>
      <c r="AK45" s="536"/>
    </row>
    <row r="46" spans="1:37" x14ac:dyDescent="0.25">
      <c r="A46" s="2205"/>
      <c r="B46" s="528">
        <v>2</v>
      </c>
      <c r="C46" s="534"/>
      <c r="D46" s="535"/>
      <c r="E46" s="535">
        <v>37</v>
      </c>
      <c r="F46" s="536"/>
      <c r="G46" s="541"/>
      <c r="H46" s="535"/>
      <c r="I46" s="535" t="s">
        <v>152</v>
      </c>
      <c r="J46" s="536"/>
      <c r="L46" s="541"/>
      <c r="M46" s="535"/>
      <c r="N46" s="535"/>
      <c r="O46" s="536"/>
      <c r="P46" s="546"/>
      <c r="Q46" s="535"/>
      <c r="R46" s="535"/>
      <c r="S46" s="536"/>
      <c r="U46" s="541"/>
      <c r="V46" s="535"/>
      <c r="W46" s="535">
        <v>65</v>
      </c>
      <c r="X46" s="536"/>
      <c r="Y46" s="546"/>
      <c r="Z46" s="535"/>
      <c r="AA46" s="535" t="s">
        <v>152</v>
      </c>
      <c r="AB46" s="536"/>
      <c r="AD46" s="541"/>
      <c r="AE46" s="535"/>
      <c r="AF46" s="535"/>
      <c r="AG46" s="536"/>
      <c r="AH46" s="546"/>
      <c r="AI46" s="535"/>
      <c r="AJ46" s="535"/>
      <c r="AK46" s="536"/>
    </row>
    <row r="47" spans="1:37" x14ac:dyDescent="0.25">
      <c r="A47" s="2204">
        <v>44462</v>
      </c>
      <c r="B47" s="528">
        <v>1</v>
      </c>
      <c r="C47" s="534"/>
      <c r="D47" s="535"/>
      <c r="E47" s="535"/>
      <c r="F47" s="536"/>
      <c r="G47" s="541"/>
      <c r="H47" s="535"/>
      <c r="I47" s="535"/>
      <c r="J47" s="536"/>
      <c r="L47" s="541"/>
      <c r="M47" s="535"/>
      <c r="N47" s="535"/>
      <c r="O47" s="536"/>
      <c r="P47" s="546"/>
      <c r="Q47" s="535"/>
      <c r="R47" s="535"/>
      <c r="S47" s="536"/>
      <c r="U47" s="541"/>
      <c r="V47" s="535"/>
      <c r="W47" s="535"/>
      <c r="X47" s="536"/>
      <c r="Y47" s="546"/>
      <c r="Z47" s="535"/>
      <c r="AA47" s="535"/>
      <c r="AB47" s="536"/>
      <c r="AD47" s="541"/>
      <c r="AE47" s="535"/>
      <c r="AF47" s="535"/>
      <c r="AG47" s="536"/>
      <c r="AH47" s="546"/>
      <c r="AI47" s="535"/>
      <c r="AJ47" s="535"/>
      <c r="AK47" s="536"/>
    </row>
    <row r="48" spans="1:37" x14ac:dyDescent="0.25">
      <c r="A48" s="2205"/>
      <c r="B48" s="528">
        <v>2</v>
      </c>
      <c r="C48" s="534"/>
      <c r="D48" s="535"/>
      <c r="E48" s="535"/>
      <c r="F48" s="536"/>
      <c r="G48" s="541"/>
      <c r="H48" s="535"/>
      <c r="I48" s="535"/>
      <c r="J48" s="536"/>
      <c r="L48" s="541"/>
      <c r="M48" s="535"/>
      <c r="N48" s="535"/>
      <c r="O48" s="536"/>
      <c r="P48" s="546"/>
      <c r="Q48" s="535"/>
      <c r="R48" s="535"/>
      <c r="S48" s="536"/>
      <c r="U48" s="541"/>
      <c r="V48" s="535"/>
      <c r="W48" s="535">
        <v>10</v>
      </c>
      <c r="X48" s="536"/>
      <c r="Y48" s="546"/>
      <c r="Z48" s="535"/>
      <c r="AA48" s="535" t="s">
        <v>152</v>
      </c>
      <c r="AB48" s="536"/>
      <c r="AD48" s="541"/>
      <c r="AE48" s="535"/>
      <c r="AF48" s="535"/>
      <c r="AG48" s="536"/>
      <c r="AH48" s="546"/>
      <c r="AI48" s="535"/>
      <c r="AJ48" s="535"/>
      <c r="AK48" s="536"/>
    </row>
    <row r="49" spans="1:37" ht="45" x14ac:dyDescent="0.25">
      <c r="A49" s="2204">
        <v>44463</v>
      </c>
      <c r="B49" s="528">
        <v>1</v>
      </c>
      <c r="C49" s="534"/>
      <c r="D49" s="535"/>
      <c r="E49" s="535"/>
      <c r="F49" s="536">
        <v>139</v>
      </c>
      <c r="G49" s="541"/>
      <c r="H49" s="535"/>
      <c r="I49" s="535"/>
      <c r="J49" s="568" t="s">
        <v>228</v>
      </c>
      <c r="L49" s="541"/>
      <c r="M49" s="535"/>
      <c r="N49" s="535"/>
      <c r="O49" s="536">
        <v>97</v>
      </c>
      <c r="P49" s="546"/>
      <c r="Q49" s="535"/>
      <c r="R49" s="535"/>
      <c r="S49" s="568" t="s">
        <v>228</v>
      </c>
      <c r="U49" s="541"/>
      <c r="V49" s="535"/>
      <c r="W49" s="535">
        <v>144</v>
      </c>
      <c r="X49" s="536"/>
      <c r="Y49" s="546"/>
      <c r="Z49" s="535"/>
      <c r="AA49" s="535"/>
      <c r="AB49" s="568" t="s">
        <v>228</v>
      </c>
      <c r="AD49" s="541"/>
      <c r="AE49" s="535"/>
      <c r="AF49" s="535"/>
      <c r="AG49" s="536">
        <v>98</v>
      </c>
      <c r="AH49" s="546"/>
      <c r="AI49" s="535"/>
      <c r="AJ49" s="535"/>
      <c r="AK49" s="568" t="s">
        <v>228</v>
      </c>
    </row>
    <row r="50" spans="1:37" x14ac:dyDescent="0.25">
      <c r="A50" s="2205"/>
      <c r="B50" s="528">
        <v>2</v>
      </c>
      <c r="C50" s="534"/>
      <c r="D50" s="535"/>
      <c r="E50" s="535"/>
      <c r="F50" s="536"/>
      <c r="G50" s="541"/>
      <c r="H50" s="535"/>
      <c r="I50" s="535"/>
      <c r="J50" s="536"/>
      <c r="L50" s="541"/>
      <c r="M50" s="535"/>
      <c r="N50" s="535"/>
      <c r="O50" s="536"/>
      <c r="P50" s="546"/>
      <c r="Q50" s="535"/>
      <c r="R50" s="535"/>
      <c r="S50" s="536"/>
      <c r="U50" s="541"/>
      <c r="V50" s="535"/>
      <c r="W50" s="535">
        <v>30</v>
      </c>
      <c r="X50" s="536"/>
      <c r="Y50" s="546"/>
      <c r="Z50" s="535"/>
      <c r="AA50" s="535" t="s">
        <v>152</v>
      </c>
      <c r="AB50" s="536"/>
      <c r="AD50" s="541"/>
      <c r="AE50" s="535"/>
      <c r="AF50" s="535"/>
      <c r="AG50" s="536"/>
      <c r="AH50" s="546"/>
      <c r="AI50" s="535"/>
      <c r="AJ50" s="535"/>
      <c r="AK50" s="536"/>
    </row>
    <row r="51" spans="1:37" x14ac:dyDescent="0.25">
      <c r="A51" s="2204">
        <v>44464</v>
      </c>
      <c r="B51" s="528">
        <v>1</v>
      </c>
      <c r="C51" s="534"/>
      <c r="D51" s="535"/>
      <c r="E51" s="535">
        <v>26</v>
      </c>
      <c r="F51" s="536"/>
      <c r="G51" s="541"/>
      <c r="H51" s="535"/>
      <c r="I51" s="535" t="s">
        <v>152</v>
      </c>
      <c r="J51" s="536"/>
      <c r="L51" s="541"/>
      <c r="M51" s="535"/>
      <c r="N51" s="535"/>
      <c r="O51" s="536"/>
      <c r="P51" s="546"/>
      <c r="Q51" s="535"/>
      <c r="R51" s="535"/>
      <c r="S51" s="536"/>
      <c r="U51" s="541"/>
      <c r="V51" s="535"/>
      <c r="W51" s="535">
        <v>34</v>
      </c>
      <c r="X51" s="536"/>
      <c r="Y51" s="546"/>
      <c r="Z51" s="535"/>
      <c r="AA51" s="535" t="s">
        <v>152</v>
      </c>
      <c r="AB51" s="536"/>
      <c r="AD51" s="541"/>
      <c r="AE51" s="535"/>
      <c r="AF51" s="535"/>
      <c r="AG51" s="536"/>
      <c r="AH51" s="546"/>
      <c r="AI51" s="535"/>
      <c r="AJ51" s="535"/>
      <c r="AK51" s="536"/>
    </row>
    <row r="52" spans="1:37" x14ac:dyDescent="0.25">
      <c r="A52" s="2205"/>
      <c r="B52" s="528">
        <v>2</v>
      </c>
      <c r="C52" s="534"/>
      <c r="D52" s="535"/>
      <c r="E52" s="535">
        <v>20</v>
      </c>
      <c r="F52" s="536"/>
      <c r="G52" s="541"/>
      <c r="H52" s="535"/>
      <c r="I52" s="535" t="s">
        <v>152</v>
      </c>
      <c r="J52" s="536"/>
      <c r="L52" s="541"/>
      <c r="M52" s="535"/>
      <c r="N52" s="535"/>
      <c r="O52" s="536"/>
      <c r="P52" s="546"/>
      <c r="Q52" s="535"/>
      <c r="R52" s="535"/>
      <c r="S52" s="536"/>
      <c r="U52" s="541"/>
      <c r="V52" s="535"/>
      <c r="W52" s="535">
        <v>15</v>
      </c>
      <c r="X52" s="536"/>
      <c r="Y52" s="546"/>
      <c r="Z52" s="535"/>
      <c r="AA52" s="535" t="s">
        <v>152</v>
      </c>
      <c r="AB52" s="536"/>
      <c r="AD52" s="541"/>
      <c r="AE52" s="535"/>
      <c r="AF52" s="535">
        <v>10</v>
      </c>
      <c r="AG52" s="536"/>
      <c r="AH52" s="546"/>
      <c r="AI52" s="535"/>
      <c r="AJ52" s="535" t="s">
        <v>152</v>
      </c>
      <c r="AK52" s="536"/>
    </row>
    <row r="53" spans="1:37" x14ac:dyDescent="0.25">
      <c r="A53" s="2204">
        <v>44465</v>
      </c>
      <c r="B53" s="528">
        <v>1</v>
      </c>
      <c r="C53" s="534"/>
      <c r="D53" s="535"/>
      <c r="E53" s="535"/>
      <c r="F53" s="536"/>
      <c r="G53" s="541"/>
      <c r="H53" s="535"/>
      <c r="I53" s="535"/>
      <c r="J53" s="536"/>
      <c r="L53" s="541"/>
      <c r="M53" s="535"/>
      <c r="N53" s="535"/>
      <c r="O53" s="536"/>
      <c r="P53" s="546"/>
      <c r="Q53" s="535"/>
      <c r="R53" s="535"/>
      <c r="S53" s="536"/>
      <c r="U53" s="541"/>
      <c r="V53" s="535"/>
      <c r="W53" s="535"/>
      <c r="X53" s="536"/>
      <c r="Y53" s="546"/>
      <c r="Z53" s="535"/>
      <c r="AA53" s="535"/>
      <c r="AB53" s="536"/>
      <c r="AD53" s="541"/>
      <c r="AE53" s="535"/>
      <c r="AF53" s="535"/>
      <c r="AG53" s="536"/>
      <c r="AH53" s="546"/>
      <c r="AI53" s="535"/>
      <c r="AJ53" s="535"/>
      <c r="AK53" s="536"/>
    </row>
    <row r="54" spans="1:37" ht="14.45" customHeight="1" x14ac:dyDescent="0.25">
      <c r="A54" s="2204"/>
      <c r="B54" s="2207">
        <v>2</v>
      </c>
      <c r="C54" s="534"/>
      <c r="D54" s="535"/>
      <c r="E54" s="535">
        <v>50</v>
      </c>
      <c r="F54" s="536"/>
      <c r="G54" s="541"/>
      <c r="H54" s="535"/>
      <c r="I54" s="535" t="s">
        <v>152</v>
      </c>
      <c r="J54" s="536"/>
      <c r="L54" s="541"/>
      <c r="M54" s="535"/>
      <c r="N54" s="535"/>
      <c r="O54" s="536"/>
      <c r="P54" s="546"/>
      <c r="Q54" s="535"/>
      <c r="R54" s="535"/>
      <c r="S54" s="536"/>
      <c r="U54" s="541"/>
      <c r="V54" s="535"/>
      <c r="W54" s="535"/>
      <c r="X54" s="536"/>
      <c r="Y54" s="546"/>
      <c r="Z54" s="535"/>
      <c r="AA54" s="535"/>
      <c r="AB54" s="536"/>
      <c r="AD54" s="541"/>
      <c r="AE54" s="535"/>
      <c r="AF54" s="535"/>
      <c r="AG54" s="536"/>
      <c r="AH54" s="546"/>
      <c r="AI54" s="535"/>
      <c r="AJ54" s="535"/>
      <c r="AK54" s="536"/>
    </row>
    <row r="55" spans="1:37" ht="30" x14ac:dyDescent="0.25">
      <c r="A55" s="2205"/>
      <c r="B55" s="2208"/>
      <c r="C55" s="534"/>
      <c r="D55" s="535">
        <v>7</v>
      </c>
      <c r="E55" s="535">
        <v>20</v>
      </c>
      <c r="F55" s="536"/>
      <c r="G55" s="541"/>
      <c r="H55" s="6" t="s">
        <v>213</v>
      </c>
      <c r="I55" s="569" t="s">
        <v>97</v>
      </c>
      <c r="J55" s="536"/>
      <c r="L55" s="541"/>
      <c r="M55" s="535">
        <v>10</v>
      </c>
      <c r="N55" s="535"/>
      <c r="O55" s="536"/>
      <c r="P55" s="546"/>
      <c r="Q55" s="6" t="s">
        <v>213</v>
      </c>
      <c r="R55" s="535"/>
      <c r="S55" s="536"/>
      <c r="U55" s="541"/>
      <c r="V55" s="535"/>
      <c r="W55" s="535"/>
      <c r="X55" s="536"/>
      <c r="Y55" s="546"/>
      <c r="Z55" s="535"/>
      <c r="AA55" s="535"/>
      <c r="AB55" s="536"/>
      <c r="AD55" s="541"/>
      <c r="AE55" s="535"/>
      <c r="AF55" s="535">
        <v>20</v>
      </c>
      <c r="AG55" s="536"/>
      <c r="AH55" s="546"/>
      <c r="AI55" s="535"/>
      <c r="AJ55" s="535" t="s">
        <v>152</v>
      </c>
      <c r="AK55" s="536"/>
    </row>
    <row r="56" spans="1:37" x14ac:dyDescent="0.25">
      <c r="A56" s="2204">
        <v>44466</v>
      </c>
      <c r="B56" s="528">
        <v>1</v>
      </c>
      <c r="C56" s="534"/>
      <c r="D56" s="535"/>
      <c r="E56" s="535"/>
      <c r="F56" s="536"/>
      <c r="G56" s="541"/>
      <c r="H56" s="535"/>
      <c r="I56" s="535"/>
      <c r="J56" s="536"/>
      <c r="L56" s="541"/>
      <c r="M56" s="535"/>
      <c r="N56" s="535"/>
      <c r="O56" s="536"/>
      <c r="P56" s="546"/>
      <c r="Q56" s="535"/>
      <c r="R56" s="535"/>
      <c r="S56" s="536"/>
      <c r="U56" s="541"/>
      <c r="V56" s="535"/>
      <c r="W56" s="535"/>
      <c r="X56" s="536"/>
      <c r="Y56" s="546"/>
      <c r="Z56" s="535"/>
      <c r="AA56" s="535"/>
      <c r="AB56" s="536"/>
      <c r="AD56" s="541"/>
      <c r="AE56" s="535"/>
      <c r="AF56" s="535"/>
      <c r="AG56" s="536"/>
      <c r="AH56" s="546"/>
      <c r="AI56" s="535"/>
      <c r="AJ56" s="535"/>
      <c r="AK56" s="536"/>
    </row>
    <row r="57" spans="1:37" ht="105" x14ac:dyDescent="0.25">
      <c r="A57" s="2205"/>
      <c r="B57" s="528">
        <v>2</v>
      </c>
      <c r="C57" s="534"/>
      <c r="D57" s="535"/>
      <c r="E57" s="570">
        <v>43</v>
      </c>
      <c r="F57" s="536"/>
      <c r="G57" s="541"/>
      <c r="H57" s="535"/>
      <c r="I57" s="569" t="s">
        <v>230</v>
      </c>
      <c r="J57" s="536"/>
      <c r="L57" s="541"/>
      <c r="M57" s="535"/>
      <c r="N57" s="535">
        <v>150</v>
      </c>
      <c r="O57" s="536"/>
      <c r="P57" s="546"/>
      <c r="Q57" s="535"/>
      <c r="R57" s="573" t="s">
        <v>231</v>
      </c>
      <c r="S57" s="536"/>
      <c r="U57" s="572">
        <v>145</v>
      </c>
      <c r="V57" s="535"/>
      <c r="W57" s="535"/>
      <c r="X57" s="536"/>
      <c r="Y57" s="571" t="s">
        <v>229</v>
      </c>
      <c r="Z57" s="535"/>
      <c r="AA57" s="535"/>
      <c r="AB57" s="536"/>
      <c r="AD57" s="541"/>
      <c r="AE57" s="535"/>
      <c r="AF57" s="535"/>
      <c r="AG57" s="536"/>
      <c r="AH57" s="546"/>
      <c r="AI57" s="535"/>
      <c r="AJ57" s="535"/>
      <c r="AK57" s="536"/>
    </row>
    <row r="58" spans="1:37" x14ac:dyDescent="0.25">
      <c r="A58" s="2204">
        <v>44467</v>
      </c>
      <c r="B58" s="528">
        <v>1</v>
      </c>
      <c r="C58" s="534"/>
      <c r="D58" s="535"/>
      <c r="E58" s="535">
        <v>14</v>
      </c>
      <c r="F58" s="536"/>
      <c r="G58" s="541"/>
      <c r="H58" s="535"/>
      <c r="I58" s="535" t="s">
        <v>152</v>
      </c>
      <c r="J58" s="536"/>
      <c r="L58" s="541"/>
      <c r="M58" s="535"/>
      <c r="N58" s="535"/>
      <c r="O58" s="536"/>
      <c r="P58" s="546"/>
      <c r="Q58" s="535"/>
      <c r="R58" s="535"/>
      <c r="S58" s="536"/>
      <c r="U58" s="541"/>
      <c r="V58" s="535"/>
      <c r="W58" s="535"/>
      <c r="X58" s="536"/>
      <c r="Y58" s="546"/>
      <c r="Z58" s="535"/>
      <c r="AA58" s="535"/>
      <c r="AB58" s="536"/>
      <c r="AD58" s="541"/>
      <c r="AE58" s="535"/>
      <c r="AF58" s="535"/>
      <c r="AG58" s="536"/>
      <c r="AH58" s="546"/>
      <c r="AI58" s="535"/>
      <c r="AJ58" s="535"/>
      <c r="AK58" s="536"/>
    </row>
    <row r="59" spans="1:37" x14ac:dyDescent="0.25">
      <c r="A59" s="2205"/>
      <c r="B59" s="528">
        <v>2</v>
      </c>
      <c r="C59" s="534"/>
      <c r="D59" s="535"/>
      <c r="E59" s="535">
        <v>30</v>
      </c>
      <c r="F59" s="536"/>
      <c r="G59" s="541"/>
      <c r="H59" s="535"/>
      <c r="I59" s="535" t="s">
        <v>152</v>
      </c>
      <c r="J59" s="536"/>
      <c r="L59" s="541"/>
      <c r="M59" s="535"/>
      <c r="N59" s="535"/>
      <c r="O59" s="536"/>
      <c r="P59" s="546"/>
      <c r="Q59" s="535"/>
      <c r="R59" s="535"/>
      <c r="S59" s="536"/>
      <c r="U59" s="541"/>
      <c r="V59" s="535"/>
      <c r="W59" s="535">
        <v>10</v>
      </c>
      <c r="X59" s="536"/>
      <c r="Y59" s="546"/>
      <c r="Z59" s="535"/>
      <c r="AA59" s="535" t="s">
        <v>152</v>
      </c>
      <c r="AB59" s="536"/>
      <c r="AD59" s="541"/>
      <c r="AE59" s="535"/>
      <c r="AF59" s="535"/>
      <c r="AG59" s="536"/>
      <c r="AH59" s="546"/>
      <c r="AI59" s="535"/>
      <c r="AJ59" s="535"/>
      <c r="AK59" s="536"/>
    </row>
    <row r="60" spans="1:37" x14ac:dyDescent="0.25">
      <c r="A60" s="2204">
        <v>44468</v>
      </c>
      <c r="B60" s="528">
        <v>1</v>
      </c>
      <c r="C60" s="534"/>
      <c r="D60" s="535"/>
      <c r="E60" s="535">
        <v>47</v>
      </c>
      <c r="F60" s="536"/>
      <c r="G60" s="541"/>
      <c r="H60" s="535"/>
      <c r="I60" s="535" t="s">
        <v>152</v>
      </c>
      <c r="J60" s="536"/>
      <c r="L60" s="541"/>
      <c r="M60" s="535"/>
      <c r="N60" s="535"/>
      <c r="O60" s="536"/>
      <c r="P60" s="546"/>
      <c r="Q60" s="535"/>
      <c r="R60" s="535"/>
      <c r="S60" s="536"/>
      <c r="U60" s="541"/>
      <c r="V60" s="535"/>
      <c r="W60" s="535">
        <v>65</v>
      </c>
      <c r="X60" s="536"/>
      <c r="Y60" s="546"/>
      <c r="Z60" s="535"/>
      <c r="AA60" s="535" t="s">
        <v>152</v>
      </c>
      <c r="AB60" s="536"/>
      <c r="AD60" s="541"/>
      <c r="AE60" s="535"/>
      <c r="AF60" s="535">
        <v>20</v>
      </c>
      <c r="AG60" s="536"/>
      <c r="AH60" s="546"/>
      <c r="AI60" s="535"/>
      <c r="AJ60" s="535" t="s">
        <v>152</v>
      </c>
      <c r="AK60" s="536"/>
    </row>
    <row r="61" spans="1:37" x14ac:dyDescent="0.25">
      <c r="A61" s="2205"/>
      <c r="B61" s="528">
        <v>2</v>
      </c>
      <c r="C61" s="534"/>
      <c r="D61" s="535"/>
      <c r="E61" s="535">
        <v>40</v>
      </c>
      <c r="F61" s="536"/>
      <c r="G61" s="541"/>
      <c r="H61" s="535"/>
      <c r="I61" s="535" t="s">
        <v>152</v>
      </c>
      <c r="J61" s="536"/>
      <c r="L61" s="541"/>
      <c r="M61" s="535"/>
      <c r="N61" s="535"/>
      <c r="O61" s="536"/>
      <c r="P61" s="546"/>
      <c r="Q61" s="535"/>
      <c r="R61" s="535"/>
      <c r="S61" s="536"/>
      <c r="U61" s="541"/>
      <c r="V61" s="535"/>
      <c r="W61" s="535"/>
      <c r="X61" s="536"/>
      <c r="Y61" s="546"/>
      <c r="Z61" s="535"/>
      <c r="AA61" s="535"/>
      <c r="AB61" s="536"/>
      <c r="AD61" s="541"/>
      <c r="AE61" s="535"/>
      <c r="AF61" s="535"/>
      <c r="AG61" s="536"/>
      <c r="AH61" s="546"/>
      <c r="AI61" s="535"/>
      <c r="AJ61" s="535"/>
      <c r="AK61" s="536"/>
    </row>
    <row r="62" spans="1:37" x14ac:dyDescent="0.25">
      <c r="A62" s="2204">
        <v>44469</v>
      </c>
      <c r="B62" s="528">
        <v>1</v>
      </c>
      <c r="C62" s="534"/>
      <c r="D62" s="535"/>
      <c r="E62" s="535"/>
      <c r="F62" s="536"/>
      <c r="G62" s="541"/>
      <c r="H62" s="535"/>
      <c r="I62" s="535"/>
      <c r="J62" s="536"/>
      <c r="L62" s="541"/>
      <c r="M62" s="535"/>
      <c r="N62" s="535"/>
      <c r="O62" s="536"/>
      <c r="P62" s="546"/>
      <c r="Q62" s="535"/>
      <c r="R62" s="535"/>
      <c r="S62" s="536"/>
      <c r="U62" s="541"/>
      <c r="V62" s="535"/>
      <c r="W62" s="535"/>
      <c r="X62" s="536"/>
      <c r="Y62" s="546"/>
      <c r="Z62" s="535"/>
      <c r="AA62" s="535"/>
      <c r="AB62" s="536"/>
      <c r="AD62" s="541"/>
      <c r="AE62" s="535"/>
      <c r="AF62" s="535"/>
      <c r="AG62" s="536"/>
      <c r="AH62" s="546"/>
      <c r="AI62" s="535"/>
      <c r="AJ62" s="535"/>
      <c r="AK62" s="536"/>
    </row>
    <row r="63" spans="1:37" x14ac:dyDescent="0.25">
      <c r="A63" s="2205"/>
      <c r="B63" s="528">
        <v>2</v>
      </c>
      <c r="C63" s="537"/>
      <c r="D63" s="538"/>
      <c r="E63" s="538">
        <v>50</v>
      </c>
      <c r="F63" s="539"/>
      <c r="G63" s="542"/>
      <c r="H63" s="538"/>
      <c r="I63" s="535" t="s">
        <v>152</v>
      </c>
      <c r="J63" s="539"/>
      <c r="L63" s="542"/>
      <c r="M63" s="538"/>
      <c r="N63" s="538"/>
      <c r="O63" s="539"/>
      <c r="P63" s="547"/>
      <c r="Q63" s="538"/>
      <c r="R63" s="538"/>
      <c r="S63" s="539"/>
      <c r="U63" s="542"/>
      <c r="V63" s="538"/>
      <c r="W63" s="538"/>
      <c r="X63" s="539"/>
      <c r="Y63" s="547"/>
      <c r="Z63" s="538"/>
      <c r="AA63" s="538"/>
      <c r="AB63" s="539"/>
      <c r="AD63" s="542"/>
      <c r="AE63" s="538"/>
      <c r="AF63" s="538"/>
      <c r="AG63" s="539"/>
      <c r="AH63" s="547"/>
      <c r="AI63" s="538"/>
      <c r="AJ63" s="538"/>
      <c r="AK63" s="539"/>
    </row>
    <row r="64" spans="1:37" x14ac:dyDescent="0.25">
      <c r="A64" s="524" t="s">
        <v>225</v>
      </c>
      <c r="C64" s="524">
        <f>SUM(C3:C63)</f>
        <v>95</v>
      </c>
      <c r="D64" s="524">
        <f>SUM(D3:D63)</f>
        <v>84</v>
      </c>
      <c r="E64" s="524">
        <f>SUM(E3:E63)</f>
        <v>522</v>
      </c>
      <c r="F64" s="524">
        <f>SUM(F3:F63)</f>
        <v>4012</v>
      </c>
      <c r="L64" s="524">
        <f>SUM(L3:L63)</f>
        <v>0</v>
      </c>
      <c r="M64" s="524">
        <f>SUM(M3:M63)</f>
        <v>187</v>
      </c>
      <c r="N64" s="524">
        <f>SUM(N3:N63)</f>
        <v>150</v>
      </c>
      <c r="O64" s="524">
        <f>SUM(O3:O63)</f>
        <v>10632</v>
      </c>
      <c r="U64" s="524">
        <f>SUM(U3:U63)</f>
        <v>158</v>
      </c>
      <c r="V64" s="524">
        <f>SUM(V3:V63)</f>
        <v>0</v>
      </c>
      <c r="W64" s="524">
        <f>SUM(W3:W63)</f>
        <v>578</v>
      </c>
      <c r="X64" s="524">
        <f>SUM(X3:X63)</f>
        <v>9520</v>
      </c>
      <c r="AD64" s="524">
        <f>SUM(AD3:AD63)</f>
        <v>55</v>
      </c>
      <c r="AE64" s="524">
        <f>SUM(AE3:AE63)</f>
        <v>15</v>
      </c>
      <c r="AF64" s="524">
        <f>SUM(AF3:AF63)</f>
        <v>50</v>
      </c>
      <c r="AG64" s="524">
        <f>SUM(AG3:AG63)</f>
        <v>10638</v>
      </c>
    </row>
    <row r="72" spans="2:10" ht="15.75" thickBot="1" x14ac:dyDescent="0.3"/>
    <row r="73" spans="2:10" ht="15.75" thickBot="1" x14ac:dyDescent="0.3">
      <c r="C73" s="2213" t="s">
        <v>199</v>
      </c>
      <c r="D73" s="2214"/>
      <c r="E73" s="2215" t="s">
        <v>200</v>
      </c>
      <c r="F73" s="2216"/>
      <c r="G73" s="2213" t="s">
        <v>201</v>
      </c>
      <c r="H73" s="2214"/>
      <c r="I73" s="2213" t="s">
        <v>204</v>
      </c>
      <c r="J73" s="2214"/>
    </row>
    <row r="74" spans="2:10" ht="15.75" thickBot="1" x14ac:dyDescent="0.3">
      <c r="C74" s="557" t="s">
        <v>222</v>
      </c>
      <c r="D74" s="549" t="s">
        <v>223</v>
      </c>
      <c r="E74" s="561" t="s">
        <v>222</v>
      </c>
      <c r="F74" s="553" t="s">
        <v>223</v>
      </c>
      <c r="G74" s="557" t="s">
        <v>222</v>
      </c>
      <c r="H74" s="549" t="s">
        <v>223</v>
      </c>
      <c r="I74" s="557" t="s">
        <v>222</v>
      </c>
      <c r="J74" s="549" t="s">
        <v>223</v>
      </c>
    </row>
    <row r="75" spans="2:10" x14ac:dyDescent="0.25">
      <c r="B75" s="562" t="s">
        <v>218</v>
      </c>
      <c r="C75" s="558">
        <f>C64</f>
        <v>95</v>
      </c>
      <c r="D75" s="550">
        <f>C75/60</f>
        <v>1.5833333333333333</v>
      </c>
      <c r="E75" s="558">
        <f>D64</f>
        <v>84</v>
      </c>
      <c r="F75" s="554">
        <f>E75/60</f>
        <v>1.4</v>
      </c>
      <c r="G75" s="558">
        <f>E64</f>
        <v>522</v>
      </c>
      <c r="H75" s="550">
        <f>G75/60</f>
        <v>8.6999999999999993</v>
      </c>
      <c r="I75" s="558">
        <f>F64</f>
        <v>4012</v>
      </c>
      <c r="J75" s="550">
        <f>I75/60</f>
        <v>66.86666666666666</v>
      </c>
    </row>
    <row r="76" spans="2:10" x14ac:dyDescent="0.25">
      <c r="B76" s="562" t="s">
        <v>219</v>
      </c>
      <c r="C76" s="559">
        <f>L64</f>
        <v>0</v>
      </c>
      <c r="D76" s="551">
        <f t="shared" ref="D76:F78" si="0">C76/60</f>
        <v>0</v>
      </c>
      <c r="E76" s="559">
        <f>M64</f>
        <v>187</v>
      </c>
      <c r="F76" s="555">
        <f t="shared" si="0"/>
        <v>3.1166666666666667</v>
      </c>
      <c r="G76" s="559">
        <f>N64</f>
        <v>150</v>
      </c>
      <c r="H76" s="551">
        <f>G76/60</f>
        <v>2.5</v>
      </c>
      <c r="I76" s="559">
        <f>O64</f>
        <v>10632</v>
      </c>
      <c r="J76" s="551">
        <f>I76/60</f>
        <v>177.2</v>
      </c>
    </row>
    <row r="77" spans="2:10" x14ac:dyDescent="0.25">
      <c r="B77" s="562" t="s">
        <v>220</v>
      </c>
      <c r="C77" s="559">
        <f>U64</f>
        <v>158</v>
      </c>
      <c r="D77" s="551">
        <f t="shared" si="0"/>
        <v>2.6333333333333333</v>
      </c>
      <c r="E77" s="559">
        <f>V64</f>
        <v>0</v>
      </c>
      <c r="F77" s="555">
        <f t="shared" si="0"/>
        <v>0</v>
      </c>
      <c r="G77" s="559">
        <f>W64</f>
        <v>578</v>
      </c>
      <c r="H77" s="551">
        <f>G77/60</f>
        <v>9.6333333333333329</v>
      </c>
      <c r="I77" s="559">
        <f>X64</f>
        <v>9520</v>
      </c>
      <c r="J77" s="551">
        <f>I77/60</f>
        <v>158.66666666666666</v>
      </c>
    </row>
    <row r="78" spans="2:10" ht="15.75" thickBot="1" x14ac:dyDescent="0.3">
      <c r="B78" s="562" t="s">
        <v>221</v>
      </c>
      <c r="C78" s="560">
        <f>AD64</f>
        <v>55</v>
      </c>
      <c r="D78" s="552">
        <f t="shared" si="0"/>
        <v>0.91666666666666663</v>
      </c>
      <c r="E78" s="560">
        <f>AE64</f>
        <v>15</v>
      </c>
      <c r="F78" s="556">
        <f t="shared" si="0"/>
        <v>0.25</v>
      </c>
      <c r="G78" s="560">
        <f>AF64</f>
        <v>50</v>
      </c>
      <c r="H78" s="552">
        <f>G78/60</f>
        <v>0.83333333333333337</v>
      </c>
      <c r="I78" s="560">
        <f>AG64</f>
        <v>10638</v>
      </c>
      <c r="J78" s="552">
        <f>I78/60</f>
        <v>177.3</v>
      </c>
    </row>
    <row r="79" spans="2:10" ht="15.75" thickBot="1" x14ac:dyDescent="0.3"/>
    <row r="80" spans="2:10" ht="15.75" thickBot="1" x14ac:dyDescent="0.3">
      <c r="B80" s="563" t="s">
        <v>217</v>
      </c>
      <c r="C80" s="564"/>
      <c r="D80" s="565">
        <f>SUM(D75:D79)</f>
        <v>5.1333333333333337</v>
      </c>
      <c r="E80" s="564"/>
      <c r="F80" s="565">
        <f>SUM(F75:F79)</f>
        <v>4.7666666666666666</v>
      </c>
      <c r="G80" s="564"/>
      <c r="H80" s="565">
        <f>SUM(H75:H79)</f>
        <v>21.666666666666664</v>
      </c>
      <c r="I80" s="564"/>
      <c r="J80" s="566">
        <f>SUM(J75:J79)</f>
        <v>580.0333333333333</v>
      </c>
    </row>
  </sheetData>
  <mergeCells count="43">
    <mergeCell ref="C73:D73"/>
    <mergeCell ref="E73:F73"/>
    <mergeCell ref="G73:H73"/>
    <mergeCell ref="I73:J73"/>
    <mergeCell ref="AD1:AG1"/>
    <mergeCell ref="C1:F1"/>
    <mergeCell ref="AH1:AK1"/>
    <mergeCell ref="G1:J1"/>
    <mergeCell ref="L1:O1"/>
    <mergeCell ref="P1:S1"/>
    <mergeCell ref="U1:X1"/>
    <mergeCell ref="Y1:AB1"/>
    <mergeCell ref="A41:A42"/>
    <mergeCell ref="A43:A44"/>
    <mergeCell ref="A45:A46"/>
    <mergeCell ref="A62:A63"/>
    <mergeCell ref="A49:A50"/>
    <mergeCell ref="A51:A52"/>
    <mergeCell ref="A53:A55"/>
    <mergeCell ref="A56:A57"/>
    <mergeCell ref="A58:A59"/>
    <mergeCell ref="A60:A61"/>
    <mergeCell ref="A29:A30"/>
    <mergeCell ref="A31:A32"/>
    <mergeCell ref="A33:A34"/>
    <mergeCell ref="A35:A36"/>
    <mergeCell ref="A37:A38"/>
    <mergeCell ref="A9:A10"/>
    <mergeCell ref="A3:A4"/>
    <mergeCell ref="A5:A6"/>
    <mergeCell ref="A7:A8"/>
    <mergeCell ref="B54:B55"/>
    <mergeCell ref="A47:A48"/>
    <mergeCell ref="A39:A4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</mergeCells>
  <pageMargins left="0.7" right="0.7" top="0.75" bottom="0.75" header="0.3" footer="0.3"/>
  <pageSetup paperSize="9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B76" sqref="AB76"/>
    </sheetView>
  </sheetViews>
  <sheetFormatPr defaultColWidth="8.85546875" defaultRowHeight="15" x14ac:dyDescent="0.25"/>
  <cols>
    <col min="1" max="1" width="10.28515625" style="524" bestFit="1" customWidth="1"/>
    <col min="2" max="2" width="10.5703125" style="525" customWidth="1"/>
    <col min="3" max="6" width="8.85546875" style="524"/>
    <col min="7" max="7" width="12.85546875" style="524" customWidth="1"/>
    <col min="8" max="8" width="8.85546875" style="524"/>
    <col min="9" max="9" width="9.7109375" style="524" customWidth="1"/>
    <col min="10" max="10" width="17.28515625" style="524" bestFit="1" customWidth="1"/>
    <col min="11" max="17" width="8.85546875" style="524"/>
    <col min="18" max="18" width="12.42578125" style="524" customWidth="1"/>
    <col min="19" max="19" width="15.28515625" style="524" bestFit="1" customWidth="1"/>
    <col min="20" max="23" width="8.85546875" style="524"/>
    <col min="24" max="24" width="9.42578125" style="524" bestFit="1" customWidth="1"/>
    <col min="25" max="25" width="14.28515625" style="524" customWidth="1"/>
    <col min="26" max="26" width="12.85546875" style="524" customWidth="1"/>
    <col min="27" max="27" width="12.42578125" style="524" customWidth="1"/>
    <col min="28" max="28" width="15.28515625" style="524" customWidth="1"/>
    <col min="29" max="33" width="8.85546875" style="524"/>
    <col min="34" max="34" width="11.7109375" style="524" customWidth="1"/>
    <col min="35" max="35" width="8.85546875" style="524"/>
    <col min="36" max="36" width="10.5703125" style="524" customWidth="1"/>
    <col min="37" max="37" width="15.28515625" style="524" customWidth="1"/>
    <col min="38" max="16384" width="8.85546875" style="524"/>
  </cols>
  <sheetData>
    <row r="1" spans="1:37" x14ac:dyDescent="0.25">
      <c r="C1" s="2217" t="s">
        <v>1</v>
      </c>
      <c r="D1" s="2212"/>
      <c r="E1" s="2212"/>
      <c r="F1" s="2212"/>
      <c r="G1" s="2211" t="s">
        <v>206</v>
      </c>
      <c r="H1" s="2209"/>
      <c r="I1" s="2209"/>
      <c r="J1" s="2210"/>
      <c r="L1" s="2212" t="s">
        <v>202</v>
      </c>
      <c r="M1" s="2212"/>
      <c r="N1" s="2212"/>
      <c r="O1" s="2212"/>
      <c r="P1" s="2209" t="s">
        <v>206</v>
      </c>
      <c r="Q1" s="2209"/>
      <c r="R1" s="2209"/>
      <c r="S1" s="2210"/>
      <c r="U1" s="2212" t="s">
        <v>2</v>
      </c>
      <c r="V1" s="2212"/>
      <c r="W1" s="2212"/>
      <c r="X1" s="2212"/>
      <c r="Y1" s="2209" t="s">
        <v>206</v>
      </c>
      <c r="Z1" s="2209"/>
      <c r="AA1" s="2209"/>
      <c r="AB1" s="2210"/>
      <c r="AD1" s="2212" t="s">
        <v>203</v>
      </c>
      <c r="AE1" s="2212"/>
      <c r="AF1" s="2212"/>
      <c r="AG1" s="2212"/>
      <c r="AH1" s="2209" t="s">
        <v>206</v>
      </c>
      <c r="AI1" s="2209"/>
      <c r="AJ1" s="2209"/>
      <c r="AK1" s="2210"/>
    </row>
    <row r="2" spans="1:37" ht="15.75" thickBot="1" x14ac:dyDescent="0.3">
      <c r="A2" s="531" t="s">
        <v>0</v>
      </c>
      <c r="B2" s="532" t="s">
        <v>198</v>
      </c>
      <c r="C2" s="529" t="s">
        <v>199</v>
      </c>
      <c r="D2" s="526" t="s">
        <v>200</v>
      </c>
      <c r="E2" s="526" t="s">
        <v>201</v>
      </c>
      <c r="F2" s="526" t="s">
        <v>204</v>
      </c>
      <c r="G2" s="575" t="s">
        <v>199</v>
      </c>
      <c r="H2" s="575" t="s">
        <v>200</v>
      </c>
      <c r="I2" s="575" t="s">
        <v>201</v>
      </c>
      <c r="J2" s="575" t="s">
        <v>204</v>
      </c>
      <c r="L2" s="526" t="s">
        <v>199</v>
      </c>
      <c r="M2" s="526" t="s">
        <v>200</v>
      </c>
      <c r="N2" s="526" t="s">
        <v>201</v>
      </c>
      <c r="O2" s="526" t="s">
        <v>204</v>
      </c>
      <c r="P2" s="527" t="s">
        <v>199</v>
      </c>
      <c r="Q2" s="526" t="s">
        <v>200</v>
      </c>
      <c r="R2" s="526" t="s">
        <v>201</v>
      </c>
      <c r="S2" s="526" t="s">
        <v>204</v>
      </c>
      <c r="U2" s="526" t="s">
        <v>199</v>
      </c>
      <c r="V2" s="526" t="s">
        <v>200</v>
      </c>
      <c r="W2" s="526" t="s">
        <v>201</v>
      </c>
      <c r="X2" s="526" t="s">
        <v>204</v>
      </c>
      <c r="Y2" s="527" t="s">
        <v>199</v>
      </c>
      <c r="Z2" s="526" t="s">
        <v>200</v>
      </c>
      <c r="AA2" s="526" t="s">
        <v>201</v>
      </c>
      <c r="AB2" s="526" t="s">
        <v>204</v>
      </c>
      <c r="AD2" s="526" t="s">
        <v>199</v>
      </c>
      <c r="AE2" s="526" t="s">
        <v>200</v>
      </c>
      <c r="AF2" s="526" t="s">
        <v>201</v>
      </c>
      <c r="AG2" s="526" t="s">
        <v>204</v>
      </c>
      <c r="AH2" s="527" t="s">
        <v>199</v>
      </c>
      <c r="AI2" s="526" t="s">
        <v>200</v>
      </c>
      <c r="AJ2" s="526" t="s">
        <v>201</v>
      </c>
      <c r="AK2" s="526" t="s">
        <v>204</v>
      </c>
    </row>
    <row r="3" spans="1:37" ht="15.75" thickTop="1" x14ac:dyDescent="0.25">
      <c r="A3" s="2206">
        <v>44470</v>
      </c>
      <c r="B3" s="603">
        <v>1</v>
      </c>
      <c r="C3" s="592"/>
      <c r="D3" s="593"/>
      <c r="E3" s="593">
        <v>20</v>
      </c>
      <c r="F3" s="594"/>
      <c r="G3" s="577"/>
      <c r="H3" s="578"/>
      <c r="I3" s="589" t="s">
        <v>152</v>
      </c>
      <c r="J3" s="579"/>
      <c r="L3" s="543"/>
      <c r="M3" s="544"/>
      <c r="N3" s="544"/>
      <c r="O3" s="533"/>
      <c r="P3" s="545"/>
      <c r="Q3" s="12"/>
      <c r="R3" s="12"/>
      <c r="S3" s="533"/>
      <c r="U3" s="543"/>
      <c r="V3" s="544"/>
      <c r="W3" s="544"/>
      <c r="X3" s="533"/>
      <c r="Y3" s="545"/>
      <c r="Z3" s="12"/>
      <c r="AA3" s="12"/>
      <c r="AB3" s="533"/>
      <c r="AD3" s="543"/>
      <c r="AE3" s="544"/>
      <c r="AF3" s="544"/>
      <c r="AG3" s="533"/>
      <c r="AH3" s="545"/>
      <c r="AI3" s="12"/>
      <c r="AJ3" s="12"/>
      <c r="AK3" s="533"/>
    </row>
    <row r="4" spans="1:37" ht="45" x14ac:dyDescent="0.25">
      <c r="A4" s="2205"/>
      <c r="B4" s="574">
        <v>2</v>
      </c>
      <c r="C4" s="595"/>
      <c r="D4" s="596"/>
      <c r="E4" s="596">
        <v>25</v>
      </c>
      <c r="F4" s="597"/>
      <c r="G4" s="580"/>
      <c r="H4" s="581"/>
      <c r="I4" s="576" t="s">
        <v>232</v>
      </c>
      <c r="J4" s="582"/>
      <c r="L4" s="541"/>
      <c r="M4" s="535"/>
      <c r="N4" s="535"/>
      <c r="O4" s="536"/>
      <c r="P4" s="546"/>
      <c r="Q4" s="535"/>
      <c r="R4" s="535"/>
      <c r="S4" s="536"/>
      <c r="U4" s="541"/>
      <c r="V4" s="535"/>
      <c r="W4" s="6">
        <v>35</v>
      </c>
      <c r="X4" s="536"/>
      <c r="Y4" s="546"/>
      <c r="Z4" s="535"/>
      <c r="AA4" s="590" t="s">
        <v>152</v>
      </c>
      <c r="AB4" s="591"/>
      <c r="AD4" s="541"/>
      <c r="AE4" s="535"/>
      <c r="AF4" s="535"/>
      <c r="AG4" s="536"/>
      <c r="AH4" s="546"/>
      <c r="AI4" s="535"/>
      <c r="AJ4" s="535"/>
      <c r="AK4" s="536"/>
    </row>
    <row r="5" spans="1:37" x14ac:dyDescent="0.25">
      <c r="A5" s="2206">
        <v>44471</v>
      </c>
      <c r="B5" s="574">
        <v>1</v>
      </c>
      <c r="C5" s="595"/>
      <c r="D5" s="596"/>
      <c r="E5" s="596">
        <v>10</v>
      </c>
      <c r="F5" s="597"/>
      <c r="G5" s="580"/>
      <c r="H5" s="581"/>
      <c r="I5" s="581" t="s">
        <v>152</v>
      </c>
      <c r="J5" s="582"/>
      <c r="L5" s="541"/>
      <c r="M5" s="535"/>
      <c r="N5" s="535"/>
      <c r="O5" s="536"/>
      <c r="P5" s="546"/>
      <c r="Q5" s="535"/>
      <c r="R5" s="535"/>
      <c r="S5" s="536"/>
      <c r="U5" s="541"/>
      <c r="V5" s="535"/>
      <c r="W5" s="15"/>
      <c r="X5" s="536"/>
      <c r="Y5" s="546"/>
      <c r="Z5" s="535"/>
      <c r="AA5" s="590"/>
      <c r="AB5" s="591"/>
      <c r="AD5" s="541"/>
      <c r="AE5" s="535"/>
      <c r="AF5" s="535"/>
      <c r="AG5" s="536"/>
      <c r="AH5" s="546"/>
      <c r="AI5" s="535"/>
      <c r="AJ5" s="535"/>
      <c r="AK5" s="536"/>
    </row>
    <row r="6" spans="1:37" ht="45" x14ac:dyDescent="0.25">
      <c r="A6" s="2205"/>
      <c r="B6" s="574">
        <v>2</v>
      </c>
      <c r="C6" s="595"/>
      <c r="D6" s="596"/>
      <c r="E6" s="596"/>
      <c r="F6" s="597"/>
      <c r="G6" s="580"/>
      <c r="H6" s="581"/>
      <c r="I6" s="581"/>
      <c r="J6" s="582"/>
      <c r="L6" s="541"/>
      <c r="M6" s="535"/>
      <c r="N6" s="535"/>
      <c r="O6" s="536"/>
      <c r="P6" s="546"/>
      <c r="Q6" s="535"/>
      <c r="R6" s="535"/>
      <c r="S6" s="536"/>
      <c r="U6" s="541"/>
      <c r="V6" s="535"/>
      <c r="W6" s="15">
        <v>10</v>
      </c>
      <c r="X6" s="536"/>
      <c r="Y6" s="546"/>
      <c r="Z6" s="535"/>
      <c r="AA6" s="590" t="s">
        <v>152</v>
      </c>
      <c r="AB6" s="591"/>
      <c r="AD6" s="541"/>
      <c r="AE6" s="535"/>
      <c r="AF6" s="6">
        <v>10</v>
      </c>
      <c r="AG6" s="536"/>
      <c r="AH6" s="546"/>
      <c r="AI6" s="535"/>
      <c r="AJ6" s="569" t="s">
        <v>233</v>
      </c>
      <c r="AK6" s="536"/>
    </row>
    <row r="7" spans="1:37" x14ac:dyDescent="0.25">
      <c r="A7" s="2206">
        <v>44472</v>
      </c>
      <c r="B7" s="574">
        <v>1</v>
      </c>
      <c r="C7" s="595"/>
      <c r="D7" s="596"/>
      <c r="E7" s="596"/>
      <c r="F7" s="597"/>
      <c r="G7" s="580"/>
      <c r="H7" s="581"/>
      <c r="I7" s="581"/>
      <c r="J7" s="582"/>
      <c r="L7" s="541"/>
      <c r="M7" s="535"/>
      <c r="N7" s="535"/>
      <c r="O7" s="536"/>
      <c r="P7" s="546"/>
      <c r="Q7" s="535"/>
      <c r="R7" s="535"/>
      <c r="S7" s="536"/>
      <c r="U7" s="541"/>
      <c r="V7" s="535"/>
      <c r="W7" s="15"/>
      <c r="X7" s="536"/>
      <c r="Y7" s="546"/>
      <c r="Z7" s="535"/>
      <c r="AA7" s="535"/>
      <c r="AB7" s="536"/>
      <c r="AD7" s="541"/>
      <c r="AE7" s="535"/>
      <c r="AF7" s="535"/>
      <c r="AG7" s="536"/>
      <c r="AH7" s="546"/>
      <c r="AI7" s="535"/>
      <c r="AJ7" s="535"/>
      <c r="AK7" s="536"/>
    </row>
    <row r="8" spans="1:37" ht="45" x14ac:dyDescent="0.25">
      <c r="A8" s="2205"/>
      <c r="B8" s="574">
        <v>2</v>
      </c>
      <c r="C8" s="595"/>
      <c r="D8" s="596"/>
      <c r="E8" s="596">
        <v>15</v>
      </c>
      <c r="F8" s="597"/>
      <c r="G8" s="580"/>
      <c r="H8" s="581"/>
      <c r="I8" s="585" t="s">
        <v>232</v>
      </c>
      <c r="J8" s="582"/>
      <c r="L8" s="541"/>
      <c r="M8" s="535"/>
      <c r="N8" s="535"/>
      <c r="O8" s="536"/>
      <c r="P8" s="546"/>
      <c r="Q8" s="535"/>
      <c r="R8" s="535"/>
      <c r="S8" s="536"/>
      <c r="U8" s="541"/>
      <c r="V8" s="535"/>
      <c r="W8" s="15"/>
      <c r="X8" s="536"/>
      <c r="Y8" s="546"/>
      <c r="Z8" s="535"/>
      <c r="AA8" s="535"/>
      <c r="AB8" s="536"/>
      <c r="AD8" s="541"/>
      <c r="AE8" s="535"/>
      <c r="AF8" s="535"/>
      <c r="AG8" s="536"/>
      <c r="AH8" s="546"/>
      <c r="AI8" s="535"/>
      <c r="AJ8" s="535"/>
      <c r="AK8" s="536"/>
    </row>
    <row r="9" spans="1:37" x14ac:dyDescent="0.25">
      <c r="A9" s="2206">
        <v>44473</v>
      </c>
      <c r="B9" s="574">
        <v>1</v>
      </c>
      <c r="C9" s="595"/>
      <c r="D9" s="596"/>
      <c r="E9" s="596">
        <v>15</v>
      </c>
      <c r="F9" s="597"/>
      <c r="G9" s="580"/>
      <c r="H9" s="581"/>
      <c r="I9" s="581" t="s">
        <v>152</v>
      </c>
      <c r="J9" s="582"/>
      <c r="L9" s="541"/>
      <c r="M9" s="15">
        <v>120</v>
      </c>
      <c r="N9" s="535"/>
      <c r="O9" s="536"/>
      <c r="P9" s="546"/>
      <c r="Q9" s="535" t="s">
        <v>96</v>
      </c>
      <c r="R9" s="535"/>
      <c r="S9" s="536"/>
      <c r="U9" s="541"/>
      <c r="V9" s="535"/>
      <c r="W9" s="15"/>
      <c r="X9" s="536"/>
      <c r="Y9" s="546"/>
      <c r="Z9" s="535"/>
      <c r="AA9" s="535"/>
      <c r="AB9" s="536"/>
      <c r="AD9" s="541"/>
      <c r="AE9" s="535"/>
      <c r="AF9" s="535"/>
      <c r="AG9" s="536"/>
      <c r="AH9" s="546"/>
      <c r="AI9" s="535"/>
      <c r="AJ9" s="535"/>
      <c r="AK9" s="536"/>
    </row>
    <row r="10" spans="1:37" x14ac:dyDescent="0.25">
      <c r="A10" s="2205"/>
      <c r="B10" s="574">
        <v>2</v>
      </c>
      <c r="C10" s="595"/>
      <c r="D10" s="596"/>
      <c r="E10" s="596">
        <v>20</v>
      </c>
      <c r="F10" s="597"/>
      <c r="G10" s="580"/>
      <c r="H10" s="581"/>
      <c r="I10" s="581" t="s">
        <v>152</v>
      </c>
      <c r="J10" s="582"/>
      <c r="L10" s="541"/>
      <c r="M10" s="535"/>
      <c r="N10" s="535"/>
      <c r="O10" s="536"/>
      <c r="P10" s="546"/>
      <c r="Q10" s="535"/>
      <c r="R10" s="535"/>
      <c r="S10" s="536"/>
      <c r="U10" s="541"/>
      <c r="V10" s="535"/>
      <c r="W10" s="15"/>
      <c r="X10" s="536"/>
      <c r="Y10" s="546"/>
      <c r="Z10" s="535"/>
      <c r="AA10" s="535"/>
      <c r="AB10" s="536"/>
      <c r="AD10" s="541"/>
      <c r="AE10" s="535"/>
      <c r="AF10" s="535"/>
      <c r="AG10" s="536"/>
      <c r="AH10" s="546"/>
      <c r="AI10" s="535"/>
      <c r="AJ10" s="535"/>
      <c r="AK10" s="536"/>
    </row>
    <row r="11" spans="1:37" x14ac:dyDescent="0.25">
      <c r="A11" s="2206">
        <v>44474</v>
      </c>
      <c r="B11" s="574">
        <v>1</v>
      </c>
      <c r="C11" s="595"/>
      <c r="D11" s="596"/>
      <c r="E11" s="596"/>
      <c r="F11" s="597"/>
      <c r="G11" s="580"/>
      <c r="H11" s="581"/>
      <c r="I11" s="581"/>
      <c r="J11" s="582"/>
      <c r="L11" s="541"/>
      <c r="M11" s="535"/>
      <c r="N11" s="535"/>
      <c r="O11" s="536"/>
      <c r="P11" s="546"/>
      <c r="Q11" s="535"/>
      <c r="R11" s="535"/>
      <c r="S11" s="536"/>
      <c r="U11" s="541"/>
      <c r="V11" s="535"/>
      <c r="W11" s="15"/>
      <c r="X11" s="536"/>
      <c r="Y11" s="546"/>
      <c r="Z11" s="535"/>
      <c r="AA11" s="535"/>
      <c r="AB11" s="536"/>
      <c r="AD11" s="541"/>
      <c r="AE11" s="535"/>
      <c r="AF11" s="535"/>
      <c r="AG11" s="536"/>
      <c r="AH11" s="546"/>
      <c r="AI11" s="535"/>
      <c r="AJ11" s="535"/>
      <c r="AK11" s="536"/>
    </row>
    <row r="12" spans="1:37" x14ac:dyDescent="0.25">
      <c r="A12" s="2205"/>
      <c r="B12" s="574">
        <v>2</v>
      </c>
      <c r="C12" s="595"/>
      <c r="D12" s="596"/>
      <c r="E12" s="596"/>
      <c r="F12" s="597"/>
      <c r="G12" s="580"/>
      <c r="H12" s="581"/>
      <c r="I12" s="581"/>
      <c r="J12" s="582"/>
      <c r="L12" s="541"/>
      <c r="M12" s="535"/>
      <c r="N12" s="535"/>
      <c r="O12" s="536"/>
      <c r="P12" s="546"/>
      <c r="Q12" s="535"/>
      <c r="R12" s="535"/>
      <c r="S12" s="536"/>
      <c r="U12" s="541"/>
      <c r="V12" s="535"/>
      <c r="W12" s="15"/>
      <c r="X12" s="536"/>
      <c r="Y12" s="546"/>
      <c r="Z12" s="535"/>
      <c r="AA12" s="535"/>
      <c r="AB12" s="536"/>
      <c r="AD12" s="541"/>
      <c r="AE12" s="535"/>
      <c r="AF12" s="535"/>
      <c r="AG12" s="536"/>
      <c r="AH12" s="546"/>
      <c r="AI12" s="535"/>
      <c r="AJ12" s="535"/>
      <c r="AK12" s="536"/>
    </row>
    <row r="13" spans="1:37" ht="45" x14ac:dyDescent="0.25">
      <c r="A13" s="2206">
        <v>44475</v>
      </c>
      <c r="B13" s="574">
        <v>1</v>
      </c>
      <c r="C13" s="595"/>
      <c r="D13" s="596"/>
      <c r="E13" s="596">
        <v>20</v>
      </c>
      <c r="F13" s="597"/>
      <c r="G13" s="580"/>
      <c r="H13" s="581"/>
      <c r="I13" s="585" t="s">
        <v>232</v>
      </c>
      <c r="J13" s="582"/>
      <c r="L13" s="541"/>
      <c r="M13" s="535"/>
      <c r="N13" s="535"/>
      <c r="O13" s="536"/>
      <c r="P13" s="546"/>
      <c r="Q13" s="535"/>
      <c r="R13" s="535"/>
      <c r="S13" s="536"/>
      <c r="U13" s="541"/>
      <c r="V13" s="535"/>
      <c r="W13" s="15">
        <v>15</v>
      </c>
      <c r="X13" s="536" t="s">
        <v>234</v>
      </c>
      <c r="Y13" s="546"/>
      <c r="Z13" s="535"/>
      <c r="AA13" s="601" t="s">
        <v>97</v>
      </c>
      <c r="AB13" s="568" t="s">
        <v>235</v>
      </c>
      <c r="AD13" s="541"/>
      <c r="AE13" s="535"/>
      <c r="AF13" s="535"/>
      <c r="AG13" s="536"/>
      <c r="AH13" s="546"/>
      <c r="AI13" s="535"/>
      <c r="AJ13" s="535"/>
      <c r="AK13" s="536"/>
    </row>
    <row r="14" spans="1:37" x14ac:dyDescent="0.25">
      <c r="A14" s="2205"/>
      <c r="B14" s="574">
        <v>2</v>
      </c>
      <c r="C14" s="595"/>
      <c r="D14" s="596"/>
      <c r="E14" s="596">
        <v>12</v>
      </c>
      <c r="F14" s="597"/>
      <c r="G14" s="580"/>
      <c r="H14" s="581"/>
      <c r="I14" s="581" t="s">
        <v>160</v>
      </c>
      <c r="J14" s="582"/>
      <c r="L14" s="541"/>
      <c r="M14" s="535"/>
      <c r="N14" s="535"/>
      <c r="O14" s="536"/>
      <c r="P14" s="546"/>
      <c r="Q14" s="535"/>
      <c r="R14" s="535"/>
      <c r="S14" s="536"/>
      <c r="U14" s="541"/>
      <c r="V14" s="535"/>
      <c r="W14" s="535"/>
      <c r="X14" s="536" t="s">
        <v>236</v>
      </c>
      <c r="Y14" s="546"/>
      <c r="Z14" s="535"/>
      <c r="AA14" s="535"/>
      <c r="AB14" s="536" t="s">
        <v>237</v>
      </c>
      <c r="AD14" s="541"/>
      <c r="AE14" s="535"/>
      <c r="AF14" s="535">
        <v>10</v>
      </c>
      <c r="AG14" s="536"/>
      <c r="AH14" s="546"/>
      <c r="AI14" s="535"/>
      <c r="AJ14" s="535" t="s">
        <v>152</v>
      </c>
      <c r="AK14" s="536"/>
    </row>
    <row r="15" spans="1:37" x14ac:dyDescent="0.25">
      <c r="A15" s="2206">
        <v>44476</v>
      </c>
      <c r="B15" s="574">
        <v>1</v>
      </c>
      <c r="C15" s="595"/>
      <c r="D15" s="596"/>
      <c r="E15" s="596">
        <v>10</v>
      </c>
      <c r="F15" s="597"/>
      <c r="G15" s="580"/>
      <c r="H15" s="581"/>
      <c r="I15" s="581" t="s">
        <v>160</v>
      </c>
      <c r="J15" s="582"/>
      <c r="L15" s="541"/>
      <c r="M15" s="535"/>
      <c r="N15" s="535"/>
      <c r="O15" s="536"/>
      <c r="P15" s="541"/>
      <c r="Q15" s="535"/>
      <c r="R15" s="535"/>
      <c r="S15" s="536"/>
      <c r="U15" s="541"/>
      <c r="V15" s="535"/>
      <c r="W15" s="535">
        <v>10</v>
      </c>
      <c r="X15" s="536"/>
      <c r="Y15" s="541"/>
      <c r="Z15" s="535"/>
      <c r="AA15" s="535" t="s">
        <v>152</v>
      </c>
      <c r="AB15" s="536"/>
      <c r="AD15" s="541"/>
      <c r="AE15" s="535"/>
      <c r="AF15" s="535"/>
      <c r="AG15" s="536"/>
      <c r="AH15" s="541"/>
      <c r="AI15" s="535"/>
      <c r="AJ15" s="535"/>
      <c r="AK15" s="536"/>
    </row>
    <row r="16" spans="1:37" x14ac:dyDescent="0.25">
      <c r="A16" s="2205"/>
      <c r="B16" s="574">
        <v>2</v>
      </c>
      <c r="C16" s="595">
        <v>240</v>
      </c>
      <c r="D16" s="596"/>
      <c r="E16" s="596">
        <v>10</v>
      </c>
      <c r="F16" s="597"/>
      <c r="G16" s="580" t="s">
        <v>238</v>
      </c>
      <c r="H16" s="581"/>
      <c r="I16" s="581" t="s">
        <v>160</v>
      </c>
      <c r="J16" s="582"/>
      <c r="L16" s="541"/>
      <c r="M16" s="535"/>
      <c r="N16" s="535"/>
      <c r="O16" s="536"/>
      <c r="P16" s="541"/>
      <c r="Q16" s="535"/>
      <c r="R16" s="535"/>
      <c r="S16" s="536"/>
      <c r="U16" s="541"/>
      <c r="V16" s="535">
        <v>60</v>
      </c>
      <c r="W16" s="535">
        <v>10</v>
      </c>
      <c r="X16" s="536"/>
      <c r="Y16" s="541"/>
      <c r="Z16" s="535"/>
      <c r="AA16" s="535" t="s">
        <v>152</v>
      </c>
      <c r="AB16" s="536"/>
      <c r="AD16" s="541"/>
      <c r="AE16" s="535"/>
      <c r="AF16" s="535"/>
      <c r="AG16" s="536"/>
      <c r="AH16" s="541"/>
      <c r="AI16" s="535"/>
      <c r="AJ16" s="535"/>
      <c r="AK16" s="536"/>
    </row>
    <row r="17" spans="1:37" x14ac:dyDescent="0.25">
      <c r="A17" s="2206">
        <v>44477</v>
      </c>
      <c r="B17" s="574">
        <v>1</v>
      </c>
      <c r="C17" s="595">
        <v>720</v>
      </c>
      <c r="D17" s="596"/>
      <c r="E17" s="596"/>
      <c r="F17" s="597"/>
      <c r="G17" s="580" t="s">
        <v>238</v>
      </c>
      <c r="H17" s="581"/>
      <c r="I17" s="581"/>
      <c r="J17" s="582"/>
      <c r="L17" s="541"/>
      <c r="M17" s="535"/>
      <c r="N17" s="535"/>
      <c r="O17" s="536"/>
      <c r="P17" s="541"/>
      <c r="Q17" s="535"/>
      <c r="R17" s="535"/>
      <c r="S17" s="536"/>
      <c r="U17" s="541"/>
      <c r="V17" s="535"/>
      <c r="W17" s="535"/>
      <c r="X17" s="536"/>
      <c r="Y17" s="541"/>
      <c r="Z17" s="535"/>
      <c r="AA17" s="535"/>
      <c r="AB17" s="536"/>
      <c r="AD17" s="541"/>
      <c r="AE17" s="535"/>
      <c r="AF17" s="535"/>
      <c r="AG17" s="536"/>
      <c r="AH17" s="541"/>
      <c r="AI17" s="535"/>
      <c r="AJ17" s="535"/>
      <c r="AK17" s="536"/>
    </row>
    <row r="18" spans="1:37" x14ac:dyDescent="0.25">
      <c r="A18" s="2205"/>
      <c r="B18" s="574">
        <v>2</v>
      </c>
      <c r="C18" s="595">
        <v>720</v>
      </c>
      <c r="D18" s="596"/>
      <c r="E18" s="596"/>
      <c r="F18" s="597"/>
      <c r="G18" s="580" t="s">
        <v>238</v>
      </c>
      <c r="H18" s="581"/>
      <c r="I18" s="581"/>
      <c r="J18" s="582"/>
      <c r="L18" s="541"/>
      <c r="M18" s="535"/>
      <c r="N18" s="535"/>
      <c r="O18" s="536"/>
      <c r="P18" s="541"/>
      <c r="Q18" s="535"/>
      <c r="R18" s="535"/>
      <c r="S18" s="536"/>
      <c r="U18" s="541"/>
      <c r="V18" s="535"/>
      <c r="W18" s="535"/>
      <c r="X18" s="536"/>
      <c r="Y18" s="541"/>
      <c r="Z18" s="535"/>
      <c r="AA18" s="535"/>
      <c r="AB18" s="536"/>
      <c r="AD18" s="541"/>
      <c r="AE18" s="535"/>
      <c r="AF18" s="535"/>
      <c r="AG18" s="536"/>
      <c r="AH18" s="541"/>
      <c r="AI18" s="535"/>
      <c r="AJ18" s="535"/>
      <c r="AK18" s="536"/>
    </row>
    <row r="19" spans="1:37" x14ac:dyDescent="0.25">
      <c r="A19" s="2206">
        <v>44478</v>
      </c>
      <c r="B19" s="574">
        <v>1</v>
      </c>
      <c r="D19" s="596"/>
      <c r="E19" s="595">
        <v>155</v>
      </c>
      <c r="F19" s="597"/>
      <c r="G19" s="580"/>
      <c r="H19" s="581"/>
      <c r="I19" s="581" t="s">
        <v>239</v>
      </c>
      <c r="J19" s="582"/>
      <c r="L19" s="541"/>
      <c r="M19" s="535"/>
      <c r="N19" s="535"/>
      <c r="O19" s="536"/>
      <c r="P19" s="541"/>
      <c r="Q19" s="535"/>
      <c r="R19" s="535"/>
      <c r="S19" s="536"/>
      <c r="U19" s="541">
        <v>25</v>
      </c>
      <c r="V19" s="535"/>
      <c r="W19" s="535">
        <v>30</v>
      </c>
      <c r="X19" s="536"/>
      <c r="Y19" s="541" t="s">
        <v>240</v>
      </c>
      <c r="Z19" s="535"/>
      <c r="AA19" s="535" t="s">
        <v>152</v>
      </c>
      <c r="AB19" s="536"/>
      <c r="AD19" s="541"/>
      <c r="AE19" s="535"/>
      <c r="AF19" s="535"/>
      <c r="AG19" s="536"/>
      <c r="AH19" s="541"/>
      <c r="AI19" s="535"/>
      <c r="AJ19" s="535"/>
      <c r="AK19" s="536"/>
    </row>
    <row r="20" spans="1:37" x14ac:dyDescent="0.25">
      <c r="A20" s="2205"/>
      <c r="B20" s="574">
        <v>2</v>
      </c>
      <c r="C20" s="595"/>
      <c r="D20" s="596"/>
      <c r="E20" s="596"/>
      <c r="F20" s="597"/>
      <c r="G20" s="580"/>
      <c r="H20" s="581"/>
      <c r="I20" s="581"/>
      <c r="J20" s="582"/>
      <c r="L20" s="541">
        <v>90</v>
      </c>
      <c r="M20" s="535"/>
      <c r="N20" s="535"/>
      <c r="O20" s="536"/>
      <c r="P20" s="604" t="s">
        <v>241</v>
      </c>
      <c r="Q20" s="535"/>
      <c r="R20" s="535"/>
      <c r="S20" s="536"/>
      <c r="U20" s="541"/>
      <c r="V20" s="535">
        <v>15</v>
      </c>
      <c r="W20" s="535">
        <v>10</v>
      </c>
      <c r="X20" s="536"/>
      <c r="Y20" s="541"/>
      <c r="Z20" s="535"/>
      <c r="AA20" s="535" t="s">
        <v>242</v>
      </c>
      <c r="AB20" s="536" t="s">
        <v>152</v>
      </c>
      <c r="AD20" s="541"/>
      <c r="AE20" s="535"/>
      <c r="AF20" s="535"/>
      <c r="AG20" s="536"/>
      <c r="AH20" s="541"/>
      <c r="AI20" s="535"/>
      <c r="AJ20" s="535"/>
      <c r="AK20" s="536"/>
    </row>
    <row r="21" spans="1:37" x14ac:dyDescent="0.25">
      <c r="A21" s="2206">
        <v>44479</v>
      </c>
      <c r="B21" s="574">
        <v>1</v>
      </c>
      <c r="C21" s="595"/>
      <c r="D21" s="596"/>
      <c r="E21" s="596">
        <v>25</v>
      </c>
      <c r="F21" s="597"/>
      <c r="G21" s="580"/>
      <c r="H21" s="581"/>
      <c r="I21" s="581" t="s">
        <v>152</v>
      </c>
      <c r="J21" s="582"/>
      <c r="L21" s="541"/>
      <c r="M21" s="535"/>
      <c r="N21" s="535"/>
      <c r="O21" s="536"/>
      <c r="P21" s="541"/>
      <c r="Q21" s="535"/>
      <c r="R21" s="535"/>
      <c r="S21" s="536"/>
      <c r="U21" s="541"/>
      <c r="V21" s="535"/>
      <c r="W21" s="535">
        <v>10</v>
      </c>
      <c r="X21" s="536"/>
      <c r="Y21" s="541"/>
      <c r="Z21" s="535"/>
      <c r="AA21" s="535" t="s">
        <v>152</v>
      </c>
      <c r="AB21" s="536"/>
      <c r="AD21" s="541"/>
      <c r="AE21" s="535"/>
      <c r="AF21" s="535"/>
      <c r="AG21" s="536"/>
      <c r="AH21" s="541"/>
      <c r="AI21" s="535"/>
      <c r="AJ21" s="535"/>
      <c r="AK21" s="536"/>
    </row>
    <row r="22" spans="1:37" x14ac:dyDescent="0.25">
      <c r="A22" s="2205"/>
      <c r="B22" s="574">
        <v>2</v>
      </c>
      <c r="C22" s="595">
        <v>30</v>
      </c>
      <c r="D22" s="596"/>
      <c r="E22" s="596"/>
      <c r="F22" s="597"/>
      <c r="G22" s="580" t="s">
        <v>243</v>
      </c>
      <c r="H22" s="581"/>
      <c r="I22" s="581"/>
      <c r="J22" s="582"/>
      <c r="L22" s="541">
        <v>150</v>
      </c>
      <c r="M22" s="535"/>
      <c r="N22" s="535"/>
      <c r="O22" s="536"/>
      <c r="P22" s="541" t="s">
        <v>244</v>
      </c>
      <c r="Q22" s="535"/>
      <c r="R22" s="535"/>
      <c r="S22" s="536"/>
      <c r="U22" s="541"/>
      <c r="V22" s="535"/>
      <c r="W22" s="535"/>
      <c r="X22" s="536"/>
      <c r="Y22" s="541"/>
      <c r="Z22" s="535"/>
      <c r="AA22" s="535"/>
      <c r="AB22" s="536"/>
      <c r="AD22" s="541"/>
      <c r="AE22" s="535"/>
      <c r="AF22" s="535"/>
      <c r="AG22" s="536"/>
      <c r="AH22" s="541"/>
      <c r="AI22" s="535"/>
      <c r="AJ22" s="535"/>
      <c r="AK22" s="536"/>
    </row>
    <row r="23" spans="1:37" x14ac:dyDescent="0.25">
      <c r="A23" s="2206">
        <v>44480</v>
      </c>
      <c r="B23" s="574">
        <v>1</v>
      </c>
      <c r="C23" s="595"/>
      <c r="D23" s="596"/>
      <c r="E23" s="596">
        <v>15</v>
      </c>
      <c r="F23" s="597"/>
      <c r="G23" s="580"/>
      <c r="H23" s="581"/>
      <c r="I23" s="581" t="s">
        <v>152</v>
      </c>
      <c r="J23" s="582"/>
      <c r="L23" s="541"/>
      <c r="M23" s="535"/>
      <c r="N23" s="535"/>
      <c r="O23" s="536"/>
      <c r="P23" s="541"/>
      <c r="Q23" s="535"/>
      <c r="R23" s="535"/>
      <c r="S23" s="536"/>
      <c r="U23" s="541"/>
      <c r="V23" s="535"/>
      <c r="W23" s="535"/>
      <c r="X23" s="536"/>
      <c r="Y23" s="541"/>
      <c r="Z23" s="535"/>
      <c r="AA23" s="535"/>
      <c r="AB23" s="536"/>
      <c r="AD23" s="541"/>
      <c r="AE23" s="535"/>
      <c r="AF23" s="535"/>
      <c r="AG23" s="536"/>
      <c r="AH23" s="541"/>
      <c r="AI23" s="535"/>
      <c r="AJ23" s="535"/>
      <c r="AK23" s="536"/>
    </row>
    <row r="24" spans="1:37" x14ac:dyDescent="0.25">
      <c r="A24" s="2205"/>
      <c r="B24" s="574">
        <v>2</v>
      </c>
      <c r="C24" s="595"/>
      <c r="D24" s="596"/>
      <c r="E24" s="596"/>
      <c r="F24" s="597"/>
      <c r="G24" s="580"/>
      <c r="H24" s="581"/>
      <c r="I24" s="581"/>
      <c r="J24" s="582"/>
      <c r="L24" s="541"/>
      <c r="M24" s="535"/>
      <c r="N24" s="535"/>
      <c r="O24" s="536"/>
      <c r="P24" s="541"/>
      <c r="Q24" s="535"/>
      <c r="R24" s="535"/>
      <c r="S24" s="536"/>
      <c r="U24" s="541"/>
      <c r="V24" s="535"/>
      <c r="W24" s="535"/>
      <c r="X24" s="536"/>
      <c r="Y24" s="541"/>
      <c r="Z24" s="535"/>
      <c r="AA24" s="535"/>
      <c r="AB24" s="536"/>
      <c r="AD24" s="541"/>
      <c r="AE24" s="535"/>
      <c r="AF24" s="535"/>
      <c r="AG24" s="536"/>
      <c r="AH24" s="541"/>
      <c r="AI24" s="535"/>
      <c r="AJ24" s="535"/>
      <c r="AK24" s="536"/>
    </row>
    <row r="25" spans="1:37" x14ac:dyDescent="0.25">
      <c r="A25" s="2206">
        <v>44481</v>
      </c>
      <c r="B25" s="574">
        <v>1</v>
      </c>
      <c r="C25" s="595"/>
      <c r="D25" s="596"/>
      <c r="E25" s="596">
        <v>20</v>
      </c>
      <c r="F25" s="597"/>
      <c r="G25" s="580"/>
      <c r="H25" s="581"/>
      <c r="I25" s="581" t="s">
        <v>152</v>
      </c>
      <c r="J25" s="582"/>
      <c r="L25" s="541">
        <v>80</v>
      </c>
      <c r="M25" s="535"/>
      <c r="N25" s="535"/>
      <c r="O25" s="536"/>
      <c r="P25" s="541" t="s">
        <v>245</v>
      </c>
      <c r="Q25" s="535"/>
      <c r="R25" s="535"/>
      <c r="S25" s="536"/>
      <c r="U25" s="541"/>
      <c r="V25" s="535"/>
      <c r="W25" s="535"/>
      <c r="X25" s="536"/>
      <c r="Y25" s="541"/>
      <c r="Z25" s="535"/>
      <c r="AA25" s="535"/>
      <c r="AB25" s="536"/>
      <c r="AD25" s="541"/>
      <c r="AE25" s="535"/>
      <c r="AF25" s="535"/>
      <c r="AG25" s="536"/>
      <c r="AH25" s="541"/>
      <c r="AI25" s="535"/>
      <c r="AJ25" s="535"/>
      <c r="AK25" s="536"/>
    </row>
    <row r="26" spans="1:37" x14ac:dyDescent="0.25">
      <c r="A26" s="2205"/>
      <c r="B26" s="574">
        <v>2</v>
      </c>
      <c r="C26" s="595"/>
      <c r="D26" s="596"/>
      <c r="E26" s="596"/>
      <c r="F26" s="597"/>
      <c r="G26" s="580"/>
      <c r="H26" s="581"/>
      <c r="I26" s="581"/>
      <c r="J26" s="582"/>
      <c r="L26" s="541"/>
      <c r="M26" s="535"/>
      <c r="N26" s="535"/>
      <c r="O26" s="536"/>
      <c r="P26" s="541"/>
      <c r="Q26" s="535"/>
      <c r="R26" s="535"/>
      <c r="S26" s="536"/>
      <c r="U26" s="541"/>
      <c r="V26" s="535"/>
      <c r="W26" s="535"/>
      <c r="X26" s="536"/>
      <c r="Y26" s="541"/>
      <c r="Z26" s="535"/>
      <c r="AA26" s="535"/>
      <c r="AB26" s="536"/>
      <c r="AD26" s="541"/>
      <c r="AE26" s="535"/>
      <c r="AF26" s="535"/>
      <c r="AG26" s="536"/>
      <c r="AH26" s="541"/>
      <c r="AI26" s="535"/>
      <c r="AJ26" s="535"/>
      <c r="AK26" s="536"/>
    </row>
    <row r="27" spans="1:37" x14ac:dyDescent="0.25">
      <c r="A27" s="2206">
        <v>44482</v>
      </c>
      <c r="B27" s="574">
        <v>1</v>
      </c>
      <c r="C27" s="595"/>
      <c r="D27" s="596"/>
      <c r="E27" s="596"/>
      <c r="F27" s="597"/>
      <c r="G27" s="580"/>
      <c r="H27" s="581"/>
      <c r="I27" s="581"/>
      <c r="J27" s="582"/>
      <c r="L27" s="541"/>
      <c r="M27" s="535"/>
      <c r="N27" s="535"/>
      <c r="O27" s="536"/>
      <c r="P27" s="541"/>
      <c r="Q27" s="535"/>
      <c r="R27" s="535"/>
      <c r="S27" s="536"/>
      <c r="U27" s="541"/>
      <c r="V27" s="535"/>
      <c r="W27" s="535"/>
      <c r="X27" s="536"/>
      <c r="Y27" s="546"/>
      <c r="Z27" s="535"/>
      <c r="AA27" s="535"/>
      <c r="AB27" s="536"/>
      <c r="AD27" s="541"/>
      <c r="AE27" s="535"/>
      <c r="AF27" s="535"/>
      <c r="AG27" s="536"/>
      <c r="AH27" s="541"/>
      <c r="AI27" s="535"/>
      <c r="AJ27" s="535"/>
      <c r="AK27" s="536"/>
    </row>
    <row r="28" spans="1:37" x14ac:dyDescent="0.25">
      <c r="A28" s="2205"/>
      <c r="B28" s="574">
        <v>2</v>
      </c>
      <c r="C28" s="595"/>
      <c r="D28" s="596"/>
      <c r="E28" s="596"/>
      <c r="F28" s="597"/>
      <c r="G28" s="580"/>
      <c r="H28" s="581"/>
      <c r="I28" s="581"/>
      <c r="J28" s="582"/>
      <c r="L28" s="541"/>
      <c r="M28" s="535"/>
      <c r="N28" s="535"/>
      <c r="O28" s="536"/>
      <c r="P28" s="546"/>
      <c r="Q28" s="535"/>
      <c r="R28" s="535"/>
      <c r="S28" s="536"/>
      <c r="U28" s="541"/>
      <c r="V28" s="535"/>
      <c r="W28" s="535"/>
      <c r="X28" s="536"/>
      <c r="Y28" s="546"/>
      <c r="Z28" s="535"/>
      <c r="AA28" s="535"/>
      <c r="AB28" s="536"/>
      <c r="AD28" s="541"/>
      <c r="AE28" s="535"/>
      <c r="AF28" s="535"/>
      <c r="AG28" s="536"/>
      <c r="AH28" s="546"/>
      <c r="AI28" s="535"/>
      <c r="AJ28" s="535"/>
      <c r="AK28" s="536"/>
    </row>
    <row r="29" spans="1:37" x14ac:dyDescent="0.25">
      <c r="A29" s="2206">
        <v>44483</v>
      </c>
      <c r="B29" s="574">
        <v>1</v>
      </c>
      <c r="C29" s="595"/>
      <c r="D29" s="596"/>
      <c r="E29" s="596"/>
      <c r="F29" s="597"/>
      <c r="G29" s="580"/>
      <c r="H29" s="581"/>
      <c r="I29" s="581"/>
      <c r="J29" s="582"/>
      <c r="L29" s="541"/>
      <c r="M29" s="535"/>
      <c r="N29" s="535"/>
      <c r="O29" s="536"/>
      <c r="P29" s="546"/>
      <c r="Q29" s="535"/>
      <c r="R29" s="535"/>
      <c r="S29" s="536"/>
      <c r="U29" s="541"/>
      <c r="V29" s="535"/>
      <c r="W29" s="535">
        <v>20</v>
      </c>
      <c r="X29" s="536"/>
      <c r="Y29" s="546"/>
      <c r="Z29" s="535"/>
      <c r="AA29" s="535" t="s">
        <v>152</v>
      </c>
      <c r="AB29" s="536"/>
      <c r="AD29" s="541"/>
      <c r="AE29" s="535"/>
      <c r="AF29" s="535">
        <v>20</v>
      </c>
      <c r="AG29" s="536"/>
      <c r="AH29" s="546"/>
      <c r="AI29" s="535"/>
      <c r="AJ29" s="535" t="s">
        <v>152</v>
      </c>
      <c r="AK29" s="536"/>
    </row>
    <row r="30" spans="1:37" x14ac:dyDescent="0.25">
      <c r="A30" s="2205"/>
      <c r="B30" s="574">
        <v>2</v>
      </c>
      <c r="C30" s="595"/>
      <c r="D30" s="596"/>
      <c r="E30" s="596"/>
      <c r="F30" s="597"/>
      <c r="G30" s="580"/>
      <c r="H30" s="581"/>
      <c r="I30" s="581"/>
      <c r="J30" s="582"/>
      <c r="L30" s="541"/>
      <c r="M30" s="535"/>
      <c r="N30" s="535"/>
      <c r="O30" s="536"/>
      <c r="P30" s="546"/>
      <c r="Q30" s="535"/>
      <c r="R30" s="535"/>
      <c r="S30" s="536"/>
      <c r="U30" s="541"/>
      <c r="V30" s="535"/>
      <c r="W30" s="535"/>
      <c r="X30" s="536"/>
      <c r="Y30" s="546"/>
      <c r="Z30" s="535"/>
      <c r="AA30" s="535"/>
      <c r="AB30" s="536"/>
      <c r="AD30" s="541"/>
      <c r="AE30" s="535"/>
      <c r="AF30" s="535"/>
      <c r="AG30" s="536"/>
      <c r="AH30" s="546"/>
      <c r="AJ30" s="535"/>
      <c r="AK30" s="536"/>
    </row>
    <row r="31" spans="1:37" x14ac:dyDescent="0.25">
      <c r="A31" s="2206">
        <v>44484</v>
      </c>
      <c r="B31" s="574">
        <v>1</v>
      </c>
      <c r="C31" s="595"/>
      <c r="D31" s="596"/>
      <c r="E31" s="596">
        <v>10</v>
      </c>
      <c r="F31" s="597"/>
      <c r="G31" s="580"/>
      <c r="H31" s="581"/>
      <c r="I31" s="581" t="s">
        <v>152</v>
      </c>
      <c r="J31" s="582"/>
      <c r="L31" s="541"/>
      <c r="M31" s="535"/>
      <c r="N31" s="535"/>
      <c r="O31" s="536"/>
      <c r="P31" s="546"/>
      <c r="Q31" s="535"/>
      <c r="R31" s="535"/>
      <c r="S31" s="536"/>
      <c r="U31" s="541"/>
      <c r="V31" s="535"/>
      <c r="W31" s="535">
        <v>37</v>
      </c>
      <c r="X31" s="536"/>
      <c r="Y31" s="546"/>
      <c r="Z31" s="535"/>
      <c r="AA31" s="535" t="s">
        <v>152</v>
      </c>
      <c r="AB31" s="536"/>
      <c r="AD31" s="541"/>
      <c r="AE31" s="535"/>
      <c r="AF31" s="535"/>
      <c r="AG31" s="536"/>
      <c r="AH31" s="546"/>
      <c r="AI31" s="535"/>
      <c r="AJ31" s="535"/>
      <c r="AK31" s="536"/>
    </row>
    <row r="32" spans="1:37" x14ac:dyDescent="0.25">
      <c r="A32" s="2205"/>
      <c r="B32" s="574">
        <v>2</v>
      </c>
      <c r="C32" s="595"/>
      <c r="D32" s="596"/>
      <c r="E32" s="596">
        <v>5</v>
      </c>
      <c r="F32" s="597"/>
      <c r="G32" s="580"/>
      <c r="H32" s="581"/>
      <c r="I32" s="581" t="s">
        <v>152</v>
      </c>
      <c r="J32" s="582"/>
      <c r="L32" s="541"/>
      <c r="M32" s="535"/>
      <c r="N32" s="535"/>
      <c r="O32" s="536"/>
      <c r="P32" s="546"/>
      <c r="Q32" s="535"/>
      <c r="R32" s="535"/>
      <c r="S32" s="536"/>
      <c r="U32" s="541"/>
      <c r="V32" s="535"/>
      <c r="W32" s="535"/>
      <c r="X32" s="536"/>
      <c r="Y32" s="546"/>
      <c r="Z32" s="535"/>
      <c r="AA32" s="535"/>
      <c r="AB32" s="536"/>
      <c r="AD32" s="541"/>
      <c r="AE32" s="535"/>
      <c r="AF32" s="535"/>
      <c r="AG32" s="536"/>
      <c r="AH32" s="546"/>
      <c r="AI32" s="535"/>
      <c r="AJ32" s="535"/>
      <c r="AK32" s="536"/>
    </row>
    <row r="33" spans="1:37" x14ac:dyDescent="0.25">
      <c r="A33" s="2206">
        <v>44485</v>
      </c>
      <c r="B33" s="574">
        <v>1</v>
      </c>
      <c r="C33" s="595"/>
      <c r="D33" s="596"/>
      <c r="E33" s="596">
        <v>20</v>
      </c>
      <c r="F33" s="597"/>
      <c r="G33" s="580"/>
      <c r="H33" s="581"/>
      <c r="I33" s="581" t="s">
        <v>152</v>
      </c>
      <c r="J33" s="582"/>
      <c r="L33" s="541"/>
      <c r="M33" s="535"/>
      <c r="N33" s="535"/>
      <c r="O33" s="536"/>
      <c r="P33" s="546"/>
      <c r="Q33" s="535"/>
      <c r="R33" s="535"/>
      <c r="S33" s="536"/>
      <c r="U33" s="541"/>
      <c r="V33" s="535"/>
      <c r="W33" s="535"/>
      <c r="X33" s="536"/>
      <c r="Y33" s="546"/>
      <c r="Z33" s="535"/>
      <c r="AA33" s="535"/>
      <c r="AB33" s="536"/>
      <c r="AD33" s="541"/>
      <c r="AE33" s="535"/>
      <c r="AF33" s="535"/>
      <c r="AG33" s="536"/>
      <c r="AH33" s="546"/>
      <c r="AI33" s="535"/>
      <c r="AJ33" s="535"/>
      <c r="AK33" s="536"/>
    </row>
    <row r="34" spans="1:37" x14ac:dyDescent="0.25">
      <c r="A34" s="2205"/>
      <c r="B34" s="574">
        <v>2</v>
      </c>
      <c r="C34" s="595"/>
      <c r="D34" s="596"/>
      <c r="E34" s="596"/>
      <c r="F34" s="597"/>
      <c r="G34" s="580"/>
      <c r="H34" s="581"/>
      <c r="I34" s="581"/>
      <c r="J34" s="582"/>
      <c r="L34" s="541"/>
      <c r="M34" s="535"/>
      <c r="N34" s="535"/>
      <c r="O34" s="536"/>
      <c r="P34" s="546"/>
      <c r="Q34" s="535"/>
      <c r="R34" s="535"/>
      <c r="S34" s="536"/>
      <c r="U34" s="541"/>
      <c r="V34" s="535"/>
      <c r="W34" s="535"/>
      <c r="X34" s="536"/>
      <c r="Y34" s="546"/>
      <c r="Z34" s="535"/>
      <c r="AA34" s="535"/>
      <c r="AB34" s="536"/>
      <c r="AD34" s="541"/>
      <c r="AE34" s="535"/>
      <c r="AF34" s="535"/>
      <c r="AG34" s="536"/>
      <c r="AH34" s="546"/>
      <c r="AI34" s="535"/>
      <c r="AJ34" s="535"/>
      <c r="AK34" s="536"/>
    </row>
    <row r="35" spans="1:37" x14ac:dyDescent="0.25">
      <c r="A35" s="2206">
        <v>44486</v>
      </c>
      <c r="B35" s="574">
        <v>1</v>
      </c>
      <c r="C35" s="595"/>
      <c r="D35" s="596"/>
      <c r="E35" s="596"/>
      <c r="F35" s="597"/>
      <c r="G35" s="580"/>
      <c r="H35" s="581"/>
      <c r="I35" s="581"/>
      <c r="J35" s="582"/>
      <c r="L35" s="541"/>
      <c r="M35" s="535"/>
      <c r="N35" s="535"/>
      <c r="O35" s="536"/>
      <c r="P35" s="546"/>
      <c r="Q35" s="535"/>
      <c r="R35" s="535"/>
      <c r="S35" s="536"/>
      <c r="U35" s="541"/>
      <c r="V35" s="535"/>
      <c r="W35" s="535"/>
      <c r="X35" s="536"/>
      <c r="Y35" s="546"/>
      <c r="Z35" s="535"/>
      <c r="AA35" s="535"/>
      <c r="AB35" s="536"/>
      <c r="AD35" s="541"/>
      <c r="AE35" s="535"/>
      <c r="AF35" s="535"/>
      <c r="AG35" s="536"/>
      <c r="AH35" s="546"/>
      <c r="AI35" s="535"/>
      <c r="AJ35" s="535"/>
      <c r="AK35" s="536"/>
    </row>
    <row r="36" spans="1:37" ht="60" x14ac:dyDescent="0.25">
      <c r="A36" s="2205"/>
      <c r="B36" s="574">
        <v>2</v>
      </c>
      <c r="C36" s="595"/>
      <c r="D36" s="596"/>
      <c r="E36" s="596"/>
      <c r="F36" s="597"/>
      <c r="G36" s="580"/>
      <c r="H36" s="581"/>
      <c r="I36" s="581"/>
      <c r="J36" s="582"/>
      <c r="L36" s="541"/>
      <c r="M36" s="535"/>
      <c r="N36" s="535"/>
      <c r="O36" s="536"/>
      <c r="P36" s="546"/>
      <c r="Q36" s="535"/>
      <c r="R36" s="535"/>
      <c r="S36" s="536"/>
      <c r="U36" s="541"/>
      <c r="V36" s="6">
        <v>85</v>
      </c>
      <c r="W36" s="6"/>
      <c r="X36" s="536"/>
      <c r="Y36" s="546"/>
      <c r="Z36" s="605" t="s">
        <v>246</v>
      </c>
      <c r="AA36" s="605"/>
      <c r="AB36" s="536"/>
      <c r="AD36" s="541"/>
      <c r="AE36" s="535"/>
      <c r="AF36" s="535"/>
      <c r="AG36" s="536"/>
      <c r="AH36" s="546"/>
      <c r="AI36" s="535"/>
      <c r="AJ36" s="535"/>
      <c r="AK36" s="536"/>
    </row>
    <row r="37" spans="1:37" ht="60" x14ac:dyDescent="0.25">
      <c r="A37" s="2206">
        <v>44487</v>
      </c>
      <c r="B37" s="574">
        <v>1</v>
      </c>
      <c r="C37" s="595"/>
      <c r="D37" s="596"/>
      <c r="E37" s="596"/>
      <c r="F37" s="597"/>
      <c r="G37" s="580"/>
      <c r="H37" s="581"/>
      <c r="I37" s="581"/>
      <c r="J37" s="582"/>
      <c r="L37" s="541"/>
      <c r="M37" s="535"/>
      <c r="N37" s="535"/>
      <c r="O37" s="536"/>
      <c r="P37" s="546"/>
      <c r="Q37" s="535"/>
      <c r="R37" s="535"/>
      <c r="S37" s="536"/>
      <c r="U37" s="541"/>
      <c r="V37" s="6">
        <v>20</v>
      </c>
      <c r="W37" s="6"/>
      <c r="X37" s="536"/>
      <c r="Y37" s="546"/>
      <c r="Z37" s="605" t="s">
        <v>246</v>
      </c>
      <c r="AA37" s="605"/>
      <c r="AB37" s="536"/>
      <c r="AD37" s="541"/>
      <c r="AE37" s="535"/>
      <c r="AF37" s="535"/>
      <c r="AG37" s="536"/>
      <c r="AH37" s="546"/>
      <c r="AI37" s="535"/>
      <c r="AJ37" s="535"/>
      <c r="AK37" s="536"/>
    </row>
    <row r="38" spans="1:37" x14ac:dyDescent="0.25">
      <c r="A38" s="2205"/>
      <c r="B38" s="574">
        <v>2</v>
      </c>
      <c r="C38" s="595"/>
      <c r="D38" s="596"/>
      <c r="E38" s="596"/>
      <c r="F38" s="597"/>
      <c r="G38" s="580"/>
      <c r="H38" s="581"/>
      <c r="I38" s="581"/>
      <c r="J38" s="582"/>
      <c r="L38" s="541"/>
      <c r="M38" s="535"/>
      <c r="N38" s="535"/>
      <c r="O38" s="536"/>
      <c r="P38" s="546"/>
      <c r="Q38" s="535"/>
      <c r="R38" s="535"/>
      <c r="S38" s="536"/>
      <c r="U38" s="541"/>
      <c r="V38" s="6"/>
      <c r="W38" s="6"/>
      <c r="X38" s="536"/>
      <c r="Y38" s="546"/>
      <c r="Z38" s="535"/>
      <c r="AA38" s="535"/>
      <c r="AB38" s="536"/>
      <c r="AD38" s="541"/>
      <c r="AE38" s="535"/>
      <c r="AF38" s="535"/>
      <c r="AG38" s="536"/>
      <c r="AH38" s="546"/>
      <c r="AI38" s="535"/>
      <c r="AJ38" s="535"/>
      <c r="AK38" s="536"/>
    </row>
    <row r="39" spans="1:37" x14ac:dyDescent="0.25">
      <c r="A39" s="2206">
        <v>44488</v>
      </c>
      <c r="B39" s="574">
        <v>1</v>
      </c>
      <c r="C39" s="595"/>
      <c r="D39" s="596"/>
      <c r="E39" s="596"/>
      <c r="F39" s="597"/>
      <c r="G39" s="580"/>
      <c r="H39" s="581"/>
      <c r="I39" s="581"/>
      <c r="J39" s="582"/>
      <c r="L39" s="541"/>
      <c r="M39" s="535"/>
      <c r="N39" s="535"/>
      <c r="O39" s="536"/>
      <c r="P39" s="546"/>
      <c r="Q39" s="535"/>
      <c r="R39" s="535"/>
      <c r="S39" s="536"/>
      <c r="U39" s="541"/>
      <c r="V39" s="535"/>
      <c r="W39" s="535">
        <v>20</v>
      </c>
      <c r="X39" s="536"/>
      <c r="Y39" s="546"/>
      <c r="Z39" s="535"/>
      <c r="AA39" s="6" t="s">
        <v>152</v>
      </c>
      <c r="AB39" s="536"/>
      <c r="AD39" s="541"/>
      <c r="AE39" s="535"/>
      <c r="AF39" s="535"/>
      <c r="AG39" s="536"/>
      <c r="AH39" s="546"/>
      <c r="AI39" s="535"/>
      <c r="AJ39" s="535"/>
      <c r="AK39" s="536"/>
    </row>
    <row r="40" spans="1:37" ht="30" x14ac:dyDescent="0.25">
      <c r="A40" s="2205"/>
      <c r="B40" s="574">
        <v>2</v>
      </c>
      <c r="C40" s="595"/>
      <c r="D40" s="596"/>
      <c r="E40" s="596">
        <v>20</v>
      </c>
      <c r="F40" s="597"/>
      <c r="G40" s="580"/>
      <c r="H40" s="581"/>
      <c r="I40" s="585" t="s">
        <v>97</v>
      </c>
      <c r="J40" s="582"/>
      <c r="L40" s="541"/>
      <c r="M40" s="535"/>
      <c r="N40" s="535"/>
      <c r="O40" s="536"/>
      <c r="P40" s="546"/>
      <c r="Q40" s="535"/>
      <c r="R40" s="535"/>
      <c r="S40" s="536"/>
      <c r="U40" s="541"/>
      <c r="V40" s="535"/>
      <c r="W40" s="535"/>
      <c r="X40" s="536"/>
      <c r="Y40" s="546"/>
      <c r="Z40" s="535"/>
      <c r="AA40" s="535"/>
      <c r="AB40" s="536"/>
      <c r="AD40" s="541"/>
      <c r="AE40" s="535"/>
      <c r="AF40" s="535"/>
      <c r="AG40" s="536"/>
      <c r="AH40" s="546"/>
      <c r="AI40" s="535"/>
      <c r="AJ40" s="535"/>
      <c r="AK40" s="536"/>
    </row>
    <row r="41" spans="1:37" ht="60" x14ac:dyDescent="0.25">
      <c r="A41" s="2206">
        <v>44489</v>
      </c>
      <c r="B41" s="574">
        <v>1</v>
      </c>
      <c r="C41" s="595"/>
      <c r="D41" s="596"/>
      <c r="E41" s="596"/>
      <c r="F41" s="597"/>
      <c r="G41" s="580"/>
      <c r="H41" s="581"/>
      <c r="I41" s="581"/>
      <c r="J41" s="582"/>
      <c r="L41" s="541"/>
      <c r="M41" s="535"/>
      <c r="N41" s="535"/>
      <c r="O41" s="536"/>
      <c r="P41" s="546"/>
      <c r="Q41" s="535"/>
      <c r="R41" s="535"/>
      <c r="S41" s="536"/>
      <c r="U41" s="541"/>
      <c r="V41" s="6">
        <v>18</v>
      </c>
      <c r="W41" s="6">
        <v>24</v>
      </c>
      <c r="X41" s="536"/>
      <c r="Y41" s="546"/>
      <c r="Z41" s="605" t="s">
        <v>246</v>
      </c>
      <c r="AA41" s="6" t="s">
        <v>152</v>
      </c>
      <c r="AB41" s="536"/>
      <c r="AD41" s="541"/>
      <c r="AE41" s="535"/>
      <c r="AF41" s="535"/>
      <c r="AG41" s="536"/>
      <c r="AH41" s="546"/>
      <c r="AI41" s="535"/>
      <c r="AJ41" s="535"/>
      <c r="AK41" s="536"/>
    </row>
    <row r="42" spans="1:37" x14ac:dyDescent="0.25">
      <c r="A42" s="2205"/>
      <c r="B42" s="574">
        <v>2</v>
      </c>
      <c r="C42" s="595"/>
      <c r="D42" s="596"/>
      <c r="E42" s="596"/>
      <c r="F42" s="597">
        <v>322</v>
      </c>
      <c r="G42" s="580"/>
      <c r="H42" s="581"/>
      <c r="I42" s="581"/>
      <c r="J42" s="536" t="s">
        <v>210</v>
      </c>
      <c r="L42" s="541"/>
      <c r="M42" s="535"/>
      <c r="N42" s="535"/>
      <c r="O42" s="536">
        <v>348</v>
      </c>
      <c r="P42" s="546"/>
      <c r="Q42" s="535"/>
      <c r="R42" s="535"/>
      <c r="S42" s="536" t="s">
        <v>210</v>
      </c>
      <c r="U42" s="541"/>
      <c r="V42" s="535"/>
      <c r="W42" s="535"/>
      <c r="X42" s="536">
        <v>334</v>
      </c>
      <c r="Y42" s="546"/>
      <c r="Z42" s="535"/>
      <c r="AA42" s="535"/>
      <c r="AB42" s="536" t="s">
        <v>210</v>
      </c>
      <c r="AD42" s="541"/>
      <c r="AE42" s="535"/>
      <c r="AF42" s="535"/>
      <c r="AG42" s="536">
        <v>330</v>
      </c>
      <c r="AH42" s="546"/>
      <c r="AI42" s="535"/>
      <c r="AJ42" s="535"/>
      <c r="AK42" s="536" t="s">
        <v>210</v>
      </c>
    </row>
    <row r="43" spans="1:37" ht="30" x14ac:dyDescent="0.25">
      <c r="A43" s="2206">
        <v>44490</v>
      </c>
      <c r="B43" s="574">
        <v>1</v>
      </c>
      <c r="C43" s="595"/>
      <c r="D43" s="596"/>
      <c r="E43" s="596">
        <v>15</v>
      </c>
      <c r="F43" s="597"/>
      <c r="G43" s="580"/>
      <c r="H43" s="581"/>
      <c r="I43" s="585" t="s">
        <v>97</v>
      </c>
      <c r="J43" s="582"/>
      <c r="L43" s="541"/>
      <c r="M43" s="535"/>
      <c r="N43" s="535"/>
      <c r="O43" s="536"/>
      <c r="P43" s="546"/>
      <c r="Q43" s="535"/>
      <c r="R43" s="535"/>
      <c r="S43" s="536"/>
      <c r="U43" s="541"/>
      <c r="V43" s="535"/>
      <c r="W43" s="535"/>
      <c r="X43" s="536"/>
      <c r="Y43" s="546"/>
      <c r="Z43" s="535"/>
      <c r="AA43" s="535"/>
      <c r="AB43" s="536"/>
      <c r="AD43" s="541"/>
      <c r="AE43" s="535"/>
      <c r="AF43" s="535"/>
      <c r="AG43" s="536"/>
      <c r="AH43" s="546"/>
      <c r="AI43" s="535"/>
      <c r="AJ43" s="535"/>
      <c r="AK43" s="536"/>
    </row>
    <row r="44" spans="1:37" x14ac:dyDescent="0.25">
      <c r="A44" s="2205"/>
      <c r="B44" s="574">
        <v>2</v>
      </c>
      <c r="C44" s="595"/>
      <c r="D44" s="596"/>
      <c r="E44" s="596"/>
      <c r="F44" s="597"/>
      <c r="G44" s="583"/>
      <c r="H44" s="581"/>
      <c r="I44" s="581"/>
      <c r="J44" s="582"/>
      <c r="L44" s="541"/>
      <c r="M44" s="535"/>
      <c r="N44" s="535"/>
      <c r="O44" s="536"/>
      <c r="P44" s="546"/>
      <c r="Q44" s="535"/>
      <c r="R44" s="535"/>
      <c r="S44" s="536"/>
      <c r="U44" s="541"/>
      <c r="V44" s="535"/>
      <c r="W44" s="535"/>
      <c r="X44" s="536"/>
      <c r="Y44" s="546"/>
      <c r="Z44" s="535"/>
      <c r="AA44" s="535"/>
      <c r="AB44" s="536"/>
      <c r="AD44" s="541"/>
      <c r="AE44" s="535"/>
      <c r="AF44" s="535"/>
      <c r="AG44" s="536"/>
      <c r="AH44" s="546"/>
      <c r="AI44" s="535"/>
      <c r="AJ44" s="535"/>
      <c r="AK44" s="536"/>
    </row>
    <row r="45" spans="1:37" x14ac:dyDescent="0.25">
      <c r="A45" s="2206">
        <v>44491</v>
      </c>
      <c r="B45" s="574">
        <v>1</v>
      </c>
      <c r="C45" s="595"/>
      <c r="D45" s="596"/>
      <c r="E45" s="596">
        <v>15</v>
      </c>
      <c r="F45" s="597"/>
      <c r="G45" s="580"/>
      <c r="H45" s="581"/>
      <c r="I45" s="581" t="s">
        <v>152</v>
      </c>
      <c r="J45" s="582"/>
      <c r="L45" s="541"/>
      <c r="M45" s="535"/>
      <c r="N45" s="535"/>
      <c r="O45" s="536"/>
      <c r="P45" s="546"/>
      <c r="Q45" s="535"/>
      <c r="R45" s="535"/>
      <c r="S45" s="536"/>
      <c r="U45" s="541"/>
      <c r="V45" s="535"/>
      <c r="W45" s="535"/>
      <c r="X45" s="536"/>
      <c r="Y45" s="546"/>
      <c r="Z45" s="535"/>
      <c r="AA45" s="535"/>
      <c r="AB45" s="536"/>
      <c r="AD45" s="541"/>
      <c r="AE45" s="535"/>
      <c r="AF45" s="535"/>
      <c r="AG45" s="536"/>
      <c r="AH45" s="546"/>
      <c r="AI45" s="535"/>
      <c r="AJ45" s="535"/>
      <c r="AK45" s="536"/>
    </row>
    <row r="46" spans="1:37" x14ac:dyDescent="0.25">
      <c r="A46" s="2205"/>
      <c r="B46" s="574">
        <v>2</v>
      </c>
      <c r="C46" s="595"/>
      <c r="D46" s="596"/>
      <c r="E46" s="596"/>
      <c r="F46" s="597"/>
      <c r="G46" s="580"/>
      <c r="H46" s="581"/>
      <c r="I46" s="581"/>
      <c r="J46" s="582"/>
      <c r="L46" s="541"/>
      <c r="M46" s="535"/>
      <c r="N46" s="535"/>
      <c r="O46" s="536"/>
      <c r="P46" s="546"/>
      <c r="Q46" s="535"/>
      <c r="R46" s="535"/>
      <c r="S46" s="536"/>
      <c r="U46" s="541"/>
      <c r="V46" s="535"/>
      <c r="W46" s="535"/>
      <c r="X46" s="536"/>
      <c r="Y46" s="546"/>
      <c r="Z46" s="535"/>
      <c r="AA46" s="535"/>
      <c r="AB46" s="536"/>
      <c r="AD46" s="541"/>
      <c r="AE46" s="535"/>
      <c r="AF46" s="535"/>
      <c r="AG46" s="536"/>
      <c r="AH46" s="546"/>
      <c r="AI46" s="535"/>
      <c r="AJ46" s="535"/>
      <c r="AK46" s="536"/>
    </row>
    <row r="47" spans="1:37" x14ac:dyDescent="0.25">
      <c r="A47" s="2206">
        <v>44492</v>
      </c>
      <c r="B47" s="574">
        <v>1</v>
      </c>
      <c r="C47" s="595"/>
      <c r="D47" s="596"/>
      <c r="E47" s="596"/>
      <c r="F47" s="597"/>
      <c r="G47" s="580"/>
      <c r="H47" s="581"/>
      <c r="I47" s="581"/>
      <c r="J47" s="582"/>
      <c r="L47" s="541"/>
      <c r="M47" s="535"/>
      <c r="N47" s="535"/>
      <c r="O47" s="536"/>
      <c r="P47" s="546"/>
      <c r="Q47" s="535"/>
      <c r="R47" s="535"/>
      <c r="S47" s="536"/>
      <c r="U47" s="541"/>
      <c r="V47" s="535"/>
      <c r="W47" s="535"/>
      <c r="X47" s="536"/>
      <c r="Y47" s="546"/>
      <c r="Z47" s="535"/>
      <c r="AA47" s="535"/>
      <c r="AB47" s="536"/>
      <c r="AD47" s="541"/>
      <c r="AE47" s="535"/>
      <c r="AF47" s="535"/>
      <c r="AG47" s="536"/>
      <c r="AH47" s="546"/>
      <c r="AI47" s="535"/>
      <c r="AJ47" s="535"/>
      <c r="AK47" s="536"/>
    </row>
    <row r="48" spans="1:37" x14ac:dyDescent="0.25">
      <c r="A48" s="2205"/>
      <c r="B48" s="574">
        <v>2</v>
      </c>
      <c r="C48" s="595"/>
      <c r="D48" s="596"/>
      <c r="E48" s="596"/>
      <c r="F48" s="597"/>
      <c r="G48" s="580"/>
      <c r="H48" s="581"/>
      <c r="I48" s="581"/>
      <c r="J48" s="582"/>
      <c r="L48" s="541"/>
      <c r="M48" s="535"/>
      <c r="N48" s="535"/>
      <c r="O48" s="536"/>
      <c r="P48" s="546"/>
      <c r="Q48" s="535"/>
      <c r="R48" s="535"/>
      <c r="S48" s="536"/>
      <c r="U48" s="541"/>
      <c r="V48" s="535"/>
      <c r="W48" s="535"/>
      <c r="X48" s="536"/>
      <c r="Y48" s="546"/>
      <c r="Z48" s="535"/>
      <c r="AA48" s="535"/>
      <c r="AB48" s="536"/>
      <c r="AD48" s="541"/>
      <c r="AE48" s="535"/>
      <c r="AF48" s="535"/>
      <c r="AG48" s="536"/>
      <c r="AH48" s="546"/>
      <c r="AI48" s="535"/>
      <c r="AJ48" s="535"/>
      <c r="AK48" s="536"/>
    </row>
    <row r="49" spans="1:37" x14ac:dyDescent="0.25">
      <c r="A49" s="2206">
        <v>44493</v>
      </c>
      <c r="B49" s="574">
        <v>1</v>
      </c>
      <c r="C49" s="595"/>
      <c r="D49" s="596"/>
      <c r="E49" s="596"/>
      <c r="F49" s="597"/>
      <c r="G49" s="580"/>
      <c r="H49" s="581"/>
      <c r="I49" s="581"/>
      <c r="J49" s="584"/>
      <c r="L49" s="541"/>
      <c r="M49" s="535"/>
      <c r="N49" s="535"/>
      <c r="O49" s="536"/>
      <c r="P49" s="546"/>
      <c r="Q49" s="535"/>
      <c r="R49" s="535"/>
      <c r="S49" s="568"/>
      <c r="U49" s="541"/>
      <c r="V49" s="535"/>
      <c r="W49" s="535"/>
      <c r="X49" s="536"/>
      <c r="Y49" s="546"/>
      <c r="Z49" s="535"/>
      <c r="AA49" s="535"/>
      <c r="AB49" s="568"/>
      <c r="AD49" s="541"/>
      <c r="AE49" s="535"/>
      <c r="AF49" s="535"/>
      <c r="AG49" s="536"/>
      <c r="AH49" s="546"/>
      <c r="AI49" s="535"/>
      <c r="AJ49" s="535"/>
      <c r="AK49" s="568"/>
    </row>
    <row r="50" spans="1:37" ht="105" x14ac:dyDescent="0.25">
      <c r="A50" s="2205"/>
      <c r="B50" s="574">
        <v>2</v>
      </c>
      <c r="C50" s="595"/>
      <c r="D50" s="596"/>
      <c r="E50" s="596"/>
      <c r="F50" s="597"/>
      <c r="G50" s="580"/>
      <c r="H50" s="581"/>
      <c r="I50" s="581"/>
      <c r="J50" s="582"/>
      <c r="L50" s="541"/>
      <c r="M50" s="535"/>
      <c r="N50" s="535"/>
      <c r="O50" s="536"/>
      <c r="P50" s="546"/>
      <c r="Q50" s="535"/>
      <c r="R50" s="535"/>
      <c r="S50" s="536"/>
      <c r="U50" s="572">
        <v>283</v>
      </c>
      <c r="V50" s="535"/>
      <c r="W50" s="535"/>
      <c r="X50" s="536"/>
      <c r="Y50" s="571" t="s">
        <v>247</v>
      </c>
      <c r="Z50" s="535"/>
      <c r="AA50" s="535"/>
      <c r="AB50" s="536"/>
      <c r="AD50" s="541"/>
      <c r="AE50" s="535"/>
      <c r="AF50" s="535"/>
      <c r="AG50" s="536"/>
      <c r="AH50" s="546"/>
      <c r="AI50" s="535"/>
      <c r="AJ50" s="535"/>
      <c r="AK50" s="536"/>
    </row>
    <row r="51" spans="1:37" x14ac:dyDescent="0.25">
      <c r="A51" s="2206">
        <v>44494</v>
      </c>
      <c r="B51" s="574">
        <v>1</v>
      </c>
      <c r="C51" s="595"/>
      <c r="D51" s="596"/>
      <c r="E51" s="596"/>
      <c r="F51" s="597"/>
      <c r="G51" s="580"/>
      <c r="H51" s="581"/>
      <c r="I51" s="581"/>
      <c r="J51" s="582"/>
      <c r="L51" s="541"/>
      <c r="M51" s="535"/>
      <c r="N51" s="535"/>
      <c r="O51" s="536"/>
      <c r="P51" s="546"/>
      <c r="Q51" s="535"/>
      <c r="R51" s="535"/>
      <c r="S51" s="536"/>
      <c r="U51" s="541"/>
      <c r="V51" s="535"/>
      <c r="W51" s="535"/>
      <c r="X51" s="536"/>
      <c r="Y51" s="546"/>
      <c r="Z51" s="535"/>
      <c r="AA51" s="535"/>
      <c r="AB51" s="536"/>
      <c r="AD51" s="541"/>
      <c r="AE51" s="535"/>
      <c r="AF51" s="535"/>
      <c r="AG51" s="536"/>
      <c r="AH51" s="546"/>
      <c r="AI51" s="535"/>
      <c r="AJ51" s="535"/>
      <c r="AK51" s="536"/>
    </row>
    <row r="52" spans="1:37" ht="75" x14ac:dyDescent="0.25">
      <c r="A52" s="2205"/>
      <c r="B52" s="574">
        <v>2</v>
      </c>
      <c r="C52" s="595"/>
      <c r="D52" s="596"/>
      <c r="E52" s="596"/>
      <c r="F52" s="597"/>
      <c r="G52" s="580"/>
      <c r="H52" s="581"/>
      <c r="I52" s="581"/>
      <c r="J52" s="582"/>
      <c r="L52" s="541"/>
      <c r="M52" s="535"/>
      <c r="N52" s="535"/>
      <c r="O52" s="536"/>
      <c r="P52" s="546"/>
      <c r="Q52" s="535"/>
      <c r="R52" s="535"/>
      <c r="S52" s="536"/>
      <c r="U52" s="572">
        <v>58</v>
      </c>
      <c r="V52" s="6">
        <v>7</v>
      </c>
      <c r="W52" s="535"/>
      <c r="X52" s="536"/>
      <c r="Y52" s="571" t="s">
        <v>175</v>
      </c>
      <c r="Z52" s="605" t="s">
        <v>246</v>
      </c>
      <c r="AA52" s="535"/>
      <c r="AB52" s="536"/>
      <c r="AD52" s="541"/>
      <c r="AE52" s="535"/>
      <c r="AF52" s="535"/>
      <c r="AG52" s="536"/>
      <c r="AH52" s="546"/>
      <c r="AI52" s="535"/>
      <c r="AJ52" s="535"/>
      <c r="AK52" s="536"/>
    </row>
    <row r="53" spans="1:37" x14ac:dyDescent="0.25">
      <c r="A53" s="2218">
        <v>44495</v>
      </c>
      <c r="B53" s="574">
        <v>1</v>
      </c>
      <c r="C53" s="595"/>
      <c r="D53" s="596"/>
      <c r="E53" s="596"/>
      <c r="F53" s="597"/>
      <c r="G53" s="580"/>
      <c r="H53" s="581"/>
      <c r="I53" s="581"/>
      <c r="J53" s="582"/>
      <c r="L53" s="541"/>
      <c r="M53" s="535"/>
      <c r="N53" s="535"/>
      <c r="O53" s="536"/>
      <c r="P53" s="546"/>
      <c r="Q53" s="535"/>
      <c r="R53" s="535"/>
      <c r="S53" s="536"/>
      <c r="U53" s="541"/>
      <c r="V53" s="535"/>
      <c r="W53" s="535">
        <v>15</v>
      </c>
      <c r="X53" s="536"/>
      <c r="Y53" s="546"/>
      <c r="Z53" s="535"/>
      <c r="AA53" s="6" t="s">
        <v>152</v>
      </c>
      <c r="AB53" s="536"/>
      <c r="AD53" s="541"/>
      <c r="AE53" s="535"/>
      <c r="AF53" s="535">
        <v>26</v>
      </c>
      <c r="AG53" s="536"/>
      <c r="AH53" s="546"/>
      <c r="AI53" s="535"/>
      <c r="AJ53" s="6" t="s">
        <v>152</v>
      </c>
      <c r="AK53" s="536"/>
    </row>
    <row r="54" spans="1:37" ht="60" customHeight="1" x14ac:dyDescent="0.25">
      <c r="A54" s="2219"/>
      <c r="B54" s="602">
        <v>2</v>
      </c>
      <c r="C54" s="595"/>
      <c r="D54" s="596"/>
      <c r="E54" s="596"/>
      <c r="F54" s="597"/>
      <c r="G54" s="580"/>
      <c r="H54" s="581"/>
      <c r="I54" s="581"/>
      <c r="J54" s="582"/>
      <c r="L54" s="541"/>
      <c r="M54" s="535"/>
      <c r="N54" s="535"/>
      <c r="O54" s="536"/>
      <c r="P54" s="546"/>
      <c r="Q54" s="535"/>
      <c r="R54" s="535"/>
      <c r="S54" s="536"/>
      <c r="U54" s="541"/>
      <c r="V54" s="535">
        <v>15</v>
      </c>
      <c r="W54" s="535">
        <v>36</v>
      </c>
      <c r="X54" s="536"/>
      <c r="Y54" s="546"/>
      <c r="Z54" s="605" t="s">
        <v>246</v>
      </c>
      <c r="AA54" s="6" t="s">
        <v>152</v>
      </c>
      <c r="AB54" s="536"/>
      <c r="AD54" s="541"/>
      <c r="AE54" s="535"/>
      <c r="AF54" s="535"/>
      <c r="AG54" s="536"/>
      <c r="AH54" s="546"/>
      <c r="AI54" s="535"/>
      <c r="AJ54" s="535"/>
      <c r="AK54" s="536"/>
    </row>
    <row r="55" spans="1:37" x14ac:dyDescent="0.25">
      <c r="A55" s="2218">
        <v>44496</v>
      </c>
      <c r="B55" s="574">
        <v>1</v>
      </c>
      <c r="C55" s="595"/>
      <c r="D55" s="596"/>
      <c r="E55" s="596"/>
      <c r="F55" s="597"/>
      <c r="G55" s="580"/>
      <c r="H55" s="581"/>
      <c r="I55" s="585"/>
      <c r="J55" s="582"/>
      <c r="L55" s="541"/>
      <c r="M55" s="535"/>
      <c r="N55" s="535"/>
      <c r="O55" s="536"/>
      <c r="P55" s="546"/>
      <c r="Q55" s="6"/>
      <c r="R55" s="535"/>
      <c r="S55" s="536"/>
      <c r="U55" s="541"/>
      <c r="V55" s="535"/>
      <c r="W55" s="535"/>
      <c r="X55" s="536"/>
      <c r="Y55" s="546"/>
      <c r="Z55" s="535"/>
      <c r="AA55" s="535"/>
      <c r="AB55" s="536"/>
      <c r="AD55" s="541"/>
      <c r="AE55" s="535"/>
      <c r="AF55" s="535"/>
      <c r="AG55" s="536"/>
      <c r="AH55" s="546"/>
      <c r="AI55" s="535"/>
      <c r="AJ55" s="535"/>
      <c r="AK55" s="536"/>
    </row>
    <row r="56" spans="1:37" ht="75" x14ac:dyDescent="0.25">
      <c r="A56" s="2219"/>
      <c r="B56" s="602">
        <v>2</v>
      </c>
      <c r="C56" s="595"/>
      <c r="D56" s="596"/>
      <c r="E56" s="596"/>
      <c r="F56" s="597"/>
      <c r="G56" s="580"/>
      <c r="H56" s="581"/>
      <c r="I56" s="581"/>
      <c r="J56" s="582"/>
      <c r="L56" s="541"/>
      <c r="M56" s="535"/>
      <c r="N56" s="535"/>
      <c r="O56" s="536"/>
      <c r="P56" s="546"/>
      <c r="Q56" s="535"/>
      <c r="R56" s="535"/>
      <c r="S56" s="536"/>
      <c r="U56" s="541">
        <v>32</v>
      </c>
      <c r="V56" s="535">
        <v>68</v>
      </c>
      <c r="W56" s="535">
        <v>30</v>
      </c>
      <c r="X56" s="536"/>
      <c r="Y56" s="608" t="s">
        <v>248</v>
      </c>
      <c r="Z56" s="605" t="s">
        <v>246</v>
      </c>
      <c r="AA56" s="569" t="s">
        <v>249</v>
      </c>
      <c r="AB56" s="536"/>
      <c r="AD56" s="541"/>
      <c r="AE56" s="535"/>
      <c r="AF56" s="535"/>
      <c r="AG56" s="536"/>
      <c r="AH56" s="546"/>
      <c r="AI56" s="535"/>
      <c r="AJ56" s="535"/>
      <c r="AK56" s="536"/>
    </row>
    <row r="57" spans="1:37" ht="52.5" customHeight="1" x14ac:dyDescent="0.25">
      <c r="A57" s="2220">
        <v>44467</v>
      </c>
      <c r="B57" s="574">
        <v>1</v>
      </c>
      <c r="C57" s="595"/>
      <c r="D57" s="596"/>
      <c r="E57" s="596"/>
      <c r="F57" s="597"/>
      <c r="G57" s="580"/>
      <c r="H57" s="581"/>
      <c r="I57" s="585"/>
      <c r="J57" s="582"/>
      <c r="L57" s="541"/>
      <c r="M57" s="535"/>
      <c r="N57" s="535"/>
      <c r="O57" s="536"/>
      <c r="P57" s="546"/>
      <c r="Q57" s="535"/>
      <c r="R57" s="573"/>
      <c r="S57" s="536"/>
      <c r="U57" s="572"/>
      <c r="V57" s="535">
        <v>10</v>
      </c>
      <c r="W57" s="535"/>
      <c r="X57" s="536"/>
      <c r="Y57" s="571"/>
      <c r="Z57" s="605" t="s">
        <v>246</v>
      </c>
      <c r="AA57" s="535"/>
      <c r="AB57" s="536"/>
      <c r="AD57" s="541"/>
      <c r="AE57" s="535"/>
      <c r="AF57" s="535"/>
      <c r="AG57" s="536"/>
      <c r="AH57" s="546"/>
      <c r="AI57" s="535"/>
      <c r="AJ57" s="535"/>
      <c r="AK57" s="536"/>
    </row>
    <row r="58" spans="1:37" ht="60" x14ac:dyDescent="0.25">
      <c r="A58" s="2221"/>
      <c r="B58" s="602">
        <v>2</v>
      </c>
      <c r="C58" s="595"/>
      <c r="D58" s="596"/>
      <c r="E58" s="596"/>
      <c r="F58" s="597"/>
      <c r="G58" s="580"/>
      <c r="H58" s="581"/>
      <c r="I58" s="581"/>
      <c r="J58" s="582"/>
      <c r="L58" s="541"/>
      <c r="M58" s="535"/>
      <c r="N58" s="535"/>
      <c r="O58" s="536"/>
      <c r="P58" s="546"/>
      <c r="Q58" s="535"/>
      <c r="R58" s="535"/>
      <c r="S58" s="536"/>
      <c r="U58" s="541"/>
      <c r="V58" s="535">
        <v>67</v>
      </c>
      <c r="W58" s="535"/>
      <c r="X58" s="536"/>
      <c r="Y58" s="546"/>
      <c r="Z58" s="605" t="s">
        <v>246</v>
      </c>
      <c r="AA58" s="535"/>
      <c r="AB58" s="536"/>
      <c r="AD58" s="541"/>
      <c r="AE58" s="535"/>
      <c r="AF58" s="535"/>
      <c r="AG58" s="536"/>
      <c r="AH58" s="546"/>
      <c r="AI58" s="535"/>
      <c r="AJ58" s="535"/>
      <c r="AK58" s="536"/>
    </row>
    <row r="59" spans="1:37" ht="60" x14ac:dyDescent="0.25">
      <c r="A59" s="2220">
        <v>44468</v>
      </c>
      <c r="B59" s="574">
        <v>1</v>
      </c>
      <c r="C59" s="595"/>
      <c r="D59" s="596"/>
      <c r="E59" s="596"/>
      <c r="F59" s="597"/>
      <c r="G59" s="580"/>
      <c r="H59" s="581"/>
      <c r="I59" s="581"/>
      <c r="J59" s="582"/>
      <c r="L59" s="541"/>
      <c r="M59" s="535"/>
      <c r="N59" s="535"/>
      <c r="O59" s="536"/>
      <c r="P59" s="546"/>
      <c r="Q59" s="535"/>
      <c r="R59" s="535"/>
      <c r="S59" s="536"/>
      <c r="U59" s="541"/>
      <c r="V59" s="535"/>
      <c r="W59" s="535"/>
      <c r="X59" s="536"/>
      <c r="Y59" s="546"/>
      <c r="Z59" s="535"/>
      <c r="AA59" s="535"/>
      <c r="AB59" s="536"/>
      <c r="AD59" s="541">
        <v>20</v>
      </c>
      <c r="AE59" s="535"/>
      <c r="AF59" s="535"/>
      <c r="AG59" s="536"/>
      <c r="AH59" s="609" t="s">
        <v>250</v>
      </c>
      <c r="AI59" s="535"/>
      <c r="AJ59" s="535"/>
      <c r="AK59" s="536"/>
    </row>
    <row r="60" spans="1:37" ht="60" x14ac:dyDescent="0.25">
      <c r="A60" s="2221"/>
      <c r="B60" s="602">
        <v>2</v>
      </c>
      <c r="C60" s="595"/>
      <c r="D60" s="596"/>
      <c r="E60" s="596"/>
      <c r="F60" s="597"/>
      <c r="G60" s="580"/>
      <c r="H60" s="581"/>
      <c r="I60" s="581"/>
      <c r="J60" s="582"/>
      <c r="L60" s="541"/>
      <c r="M60" s="535"/>
      <c r="N60" s="535"/>
      <c r="O60" s="536"/>
      <c r="P60" s="546"/>
      <c r="Q60" s="535"/>
      <c r="R60" s="535"/>
      <c r="S60" s="536"/>
      <c r="U60" s="541"/>
      <c r="V60" s="535">
        <v>15</v>
      </c>
      <c r="W60" s="535"/>
      <c r="X60" s="536"/>
      <c r="Y60" s="546"/>
      <c r="Z60" s="605" t="s">
        <v>246</v>
      </c>
      <c r="AA60" s="535"/>
      <c r="AB60" s="536"/>
      <c r="AD60" s="541"/>
      <c r="AE60" s="535"/>
      <c r="AF60" s="535"/>
      <c r="AG60" s="536"/>
      <c r="AH60" s="546"/>
      <c r="AI60" s="535"/>
      <c r="AJ60" s="535"/>
      <c r="AK60" s="536"/>
    </row>
    <row r="61" spans="1:37" x14ac:dyDescent="0.25">
      <c r="A61" s="2220">
        <v>44499</v>
      </c>
      <c r="B61" s="574">
        <v>1</v>
      </c>
      <c r="C61" s="595"/>
      <c r="D61" s="596"/>
      <c r="E61" s="596"/>
      <c r="F61" s="597"/>
      <c r="G61" s="580"/>
      <c r="H61" s="581"/>
      <c r="I61" s="581"/>
      <c r="J61" s="582"/>
      <c r="L61" s="541"/>
      <c r="M61" s="535"/>
      <c r="N61" s="535"/>
      <c r="O61" s="536"/>
      <c r="P61" s="546"/>
      <c r="Q61" s="535"/>
      <c r="R61" s="535"/>
      <c r="S61" s="536"/>
      <c r="U61" s="541"/>
      <c r="V61" s="535"/>
      <c r="W61" s="535"/>
      <c r="X61" s="536"/>
      <c r="Y61" s="546"/>
      <c r="Z61" s="535"/>
      <c r="AA61" s="535"/>
      <c r="AB61" s="536"/>
      <c r="AD61" s="541"/>
      <c r="AE61" s="535"/>
      <c r="AF61" s="535"/>
      <c r="AG61" s="536"/>
      <c r="AH61" s="546"/>
      <c r="AI61" s="535"/>
      <c r="AJ61" s="535"/>
      <c r="AK61" s="536"/>
    </row>
    <row r="62" spans="1:37" x14ac:dyDescent="0.25">
      <c r="A62" s="2221"/>
      <c r="B62" s="602">
        <v>2</v>
      </c>
      <c r="C62" s="595"/>
      <c r="D62" s="596"/>
      <c r="E62" s="596"/>
      <c r="F62" s="597"/>
      <c r="G62" s="580"/>
      <c r="H62" s="581"/>
      <c r="I62" s="581"/>
      <c r="J62" s="582"/>
      <c r="L62" s="541"/>
      <c r="M62" s="535"/>
      <c r="N62" s="535"/>
      <c r="O62" s="536"/>
      <c r="P62" s="546"/>
      <c r="Q62" s="535"/>
      <c r="R62" s="535"/>
      <c r="S62" s="536"/>
      <c r="U62" s="541"/>
      <c r="V62" s="535"/>
      <c r="W62" s="535"/>
      <c r="X62" s="536"/>
      <c r="Y62" s="546"/>
      <c r="Z62" s="535"/>
      <c r="AA62" s="535"/>
      <c r="AB62" s="536"/>
      <c r="AD62" s="541"/>
      <c r="AE62" s="535"/>
      <c r="AF62" s="535"/>
      <c r="AG62" s="536"/>
      <c r="AH62" s="546"/>
      <c r="AI62" s="535"/>
      <c r="AJ62" s="535"/>
      <c r="AK62" s="536"/>
    </row>
    <row r="63" spans="1:37" x14ac:dyDescent="0.25">
      <c r="A63" s="2218">
        <v>44500</v>
      </c>
      <c r="B63" s="574">
        <v>1</v>
      </c>
      <c r="C63" s="595"/>
      <c r="D63" s="596"/>
      <c r="E63" s="596"/>
      <c r="F63" s="597"/>
      <c r="G63" s="580"/>
      <c r="H63" s="581"/>
      <c r="I63" s="581"/>
      <c r="J63" s="582"/>
      <c r="L63" s="541"/>
      <c r="M63" s="535"/>
      <c r="N63" s="535"/>
      <c r="O63" s="536"/>
      <c r="P63" s="546"/>
      <c r="Q63" s="535"/>
      <c r="R63" s="535"/>
      <c r="S63" s="536"/>
      <c r="U63" s="541"/>
      <c r="V63" s="535"/>
      <c r="W63" s="535"/>
      <c r="X63" s="536"/>
      <c r="Y63" s="546"/>
      <c r="Z63" s="535"/>
      <c r="AA63" s="535"/>
      <c r="AB63" s="536"/>
      <c r="AD63" s="541"/>
      <c r="AE63" s="535"/>
      <c r="AF63" s="535"/>
      <c r="AG63" s="536"/>
      <c r="AH63" s="546"/>
      <c r="AI63" s="535"/>
      <c r="AJ63" s="535"/>
      <c r="AK63" s="536"/>
    </row>
    <row r="64" spans="1:37" ht="45" x14ac:dyDescent="0.25">
      <c r="A64" s="2206"/>
      <c r="B64" s="574">
        <v>2</v>
      </c>
      <c r="C64" s="598"/>
      <c r="D64" s="599"/>
      <c r="E64" s="599"/>
      <c r="F64" s="600"/>
      <c r="G64" s="586"/>
      <c r="H64" s="587"/>
      <c r="I64" s="587"/>
      <c r="J64" s="588"/>
      <c r="L64" s="542"/>
      <c r="M64" s="538"/>
      <c r="N64" s="538"/>
      <c r="O64" s="539"/>
      <c r="P64" s="547"/>
      <c r="Q64" s="538"/>
      <c r="R64" s="538"/>
      <c r="S64" s="539"/>
      <c r="U64" s="542">
        <v>693</v>
      </c>
      <c r="V64" s="538"/>
      <c r="W64" s="538"/>
      <c r="X64" s="539"/>
      <c r="Y64" s="610" t="s">
        <v>251</v>
      </c>
      <c r="Z64" s="538"/>
      <c r="AA64" s="538"/>
      <c r="AB64" s="539"/>
      <c r="AD64" s="542"/>
      <c r="AE64" s="538"/>
      <c r="AF64" s="538"/>
      <c r="AG64" s="539"/>
      <c r="AH64" s="547"/>
      <c r="AI64" s="538"/>
      <c r="AJ64" s="538"/>
      <c r="AK64" s="539"/>
    </row>
    <row r="65" spans="1:33" x14ac:dyDescent="0.25">
      <c r="A65" s="524" t="s">
        <v>225</v>
      </c>
      <c r="C65" s="524">
        <f>SUM(C3:C64)</f>
        <v>1710</v>
      </c>
      <c r="D65" s="524">
        <f>SUM(D3:D64)</f>
        <v>0</v>
      </c>
      <c r="E65" s="524">
        <f>SUM(E3:E64)</f>
        <v>457</v>
      </c>
      <c r="F65" s="524">
        <f>SUM(F3:F64)</f>
        <v>322</v>
      </c>
      <c r="L65" s="524">
        <f>SUM(L3:L64)</f>
        <v>320</v>
      </c>
      <c r="M65" s="524">
        <f>SUM(M3:M64)</f>
        <v>120</v>
      </c>
      <c r="N65" s="524">
        <f>SUM(N3:N64)</f>
        <v>0</v>
      </c>
      <c r="O65" s="524">
        <f>SUM(O3:O64)</f>
        <v>348</v>
      </c>
      <c r="U65" s="524">
        <f>SUM(U3:U64)</f>
        <v>1091</v>
      </c>
      <c r="V65" s="524">
        <f>SUM(V3:V64)</f>
        <v>380</v>
      </c>
      <c r="W65" s="524">
        <f>SUM(W3:W64)</f>
        <v>312</v>
      </c>
      <c r="X65" s="524">
        <f>SUM(X3:X64)</f>
        <v>334</v>
      </c>
      <c r="AD65" s="524">
        <f>SUM(AD3:AD64)</f>
        <v>20</v>
      </c>
      <c r="AE65" s="524">
        <f>SUM(AE3:AE64)</f>
        <v>0</v>
      </c>
      <c r="AF65" s="524">
        <f>SUM(AF3:AF64)</f>
        <v>66</v>
      </c>
      <c r="AG65" s="524">
        <f>SUM(AG3:AG64)</f>
        <v>330</v>
      </c>
    </row>
    <row r="73" spans="1:33" ht="15.75" thickBot="1" x14ac:dyDescent="0.3"/>
    <row r="74" spans="1:33" ht="15.75" thickBot="1" x14ac:dyDescent="0.3">
      <c r="C74" s="2213" t="s">
        <v>199</v>
      </c>
      <c r="D74" s="2214"/>
      <c r="E74" s="2215" t="s">
        <v>200</v>
      </c>
      <c r="F74" s="2216"/>
      <c r="G74" s="2213" t="s">
        <v>201</v>
      </c>
      <c r="H74" s="2214"/>
      <c r="I74" s="2213" t="s">
        <v>204</v>
      </c>
      <c r="J74" s="2214"/>
    </row>
    <row r="75" spans="1:33" ht="15.75" thickBot="1" x14ac:dyDescent="0.3">
      <c r="C75" s="557" t="s">
        <v>222</v>
      </c>
      <c r="D75" s="549" t="s">
        <v>223</v>
      </c>
      <c r="E75" s="561" t="s">
        <v>222</v>
      </c>
      <c r="F75" s="553" t="s">
        <v>223</v>
      </c>
      <c r="G75" s="557" t="s">
        <v>222</v>
      </c>
      <c r="H75" s="549" t="s">
        <v>223</v>
      </c>
      <c r="I75" s="557" t="s">
        <v>222</v>
      </c>
      <c r="J75" s="549" t="s">
        <v>223</v>
      </c>
    </row>
    <row r="76" spans="1:33" x14ac:dyDescent="0.25">
      <c r="B76" s="562" t="s">
        <v>218</v>
      </c>
      <c r="C76" s="558">
        <f>C65</f>
        <v>1710</v>
      </c>
      <c r="D76" s="550">
        <f>C76/60</f>
        <v>28.5</v>
      </c>
      <c r="E76" s="558">
        <f>D65</f>
        <v>0</v>
      </c>
      <c r="F76" s="554">
        <f>E76/60</f>
        <v>0</v>
      </c>
      <c r="G76" s="558">
        <f>E65</f>
        <v>457</v>
      </c>
      <c r="H76" s="550">
        <f>G76/60</f>
        <v>7.6166666666666663</v>
      </c>
      <c r="I76" s="558">
        <f>F65</f>
        <v>322</v>
      </c>
      <c r="J76" s="550">
        <f>I76/60</f>
        <v>5.3666666666666663</v>
      </c>
    </row>
    <row r="77" spans="1:33" x14ac:dyDescent="0.25">
      <c r="B77" s="562" t="s">
        <v>219</v>
      </c>
      <c r="C77" s="559">
        <f>L65</f>
        <v>320</v>
      </c>
      <c r="D77" s="551">
        <f t="shared" ref="D77:F79" si="0">C77/60</f>
        <v>5.333333333333333</v>
      </c>
      <c r="E77" s="559">
        <f>M65</f>
        <v>120</v>
      </c>
      <c r="F77" s="555">
        <f t="shared" si="0"/>
        <v>2</v>
      </c>
      <c r="G77" s="559">
        <f>N65</f>
        <v>0</v>
      </c>
      <c r="H77" s="551">
        <f t="shared" ref="H77:J79" si="1">G77/60</f>
        <v>0</v>
      </c>
      <c r="I77" s="559">
        <f>O65</f>
        <v>348</v>
      </c>
      <c r="J77" s="551">
        <f t="shared" si="1"/>
        <v>5.8</v>
      </c>
    </row>
    <row r="78" spans="1:33" x14ac:dyDescent="0.25">
      <c r="B78" s="562" t="s">
        <v>220</v>
      </c>
      <c r="C78" s="559">
        <f>U65</f>
        <v>1091</v>
      </c>
      <c r="D78" s="551">
        <f t="shared" si="0"/>
        <v>18.183333333333334</v>
      </c>
      <c r="E78" s="559">
        <f>V65</f>
        <v>380</v>
      </c>
      <c r="F78" s="555">
        <f t="shared" si="0"/>
        <v>6.333333333333333</v>
      </c>
      <c r="G78" s="559">
        <f>W65</f>
        <v>312</v>
      </c>
      <c r="H78" s="551">
        <f t="shared" si="1"/>
        <v>5.2</v>
      </c>
      <c r="I78" s="559">
        <f>X65</f>
        <v>334</v>
      </c>
      <c r="J78" s="551">
        <f t="shared" si="1"/>
        <v>5.5666666666666664</v>
      </c>
    </row>
    <row r="79" spans="1:33" ht="15.75" thickBot="1" x14ac:dyDescent="0.3">
      <c r="B79" s="562" t="s">
        <v>221</v>
      </c>
      <c r="C79" s="560">
        <f>AD65</f>
        <v>20</v>
      </c>
      <c r="D79" s="552">
        <f t="shared" si="0"/>
        <v>0.33333333333333331</v>
      </c>
      <c r="E79" s="560">
        <f>AE65</f>
        <v>0</v>
      </c>
      <c r="F79" s="556">
        <f t="shared" si="0"/>
        <v>0</v>
      </c>
      <c r="G79" s="560">
        <f>AF65</f>
        <v>66</v>
      </c>
      <c r="H79" s="552">
        <f t="shared" si="1"/>
        <v>1.1000000000000001</v>
      </c>
      <c r="I79" s="560">
        <f>AG65</f>
        <v>330</v>
      </c>
      <c r="J79" s="552">
        <f t="shared" si="1"/>
        <v>5.5</v>
      </c>
    </row>
    <row r="80" spans="1:33" ht="15.75" thickBot="1" x14ac:dyDescent="0.3"/>
    <row r="81" spans="2:10" ht="15.75" thickBot="1" x14ac:dyDescent="0.3">
      <c r="B81" s="563" t="s">
        <v>217</v>
      </c>
      <c r="C81" s="564"/>
      <c r="D81" s="565">
        <f>SUM(D76:D80)</f>
        <v>52.35</v>
      </c>
      <c r="E81" s="564"/>
      <c r="F81" s="565">
        <f>SUM(F76:F80)</f>
        <v>8.3333333333333321</v>
      </c>
      <c r="G81" s="564"/>
      <c r="H81" s="565">
        <f>SUM(H76:H80)</f>
        <v>13.916666666666666</v>
      </c>
      <c r="I81" s="564"/>
      <c r="J81" s="566">
        <f>SUM(J76:J80)</f>
        <v>22.233333333333334</v>
      </c>
    </row>
  </sheetData>
  <mergeCells count="43">
    <mergeCell ref="A9:A10"/>
    <mergeCell ref="C1:F1"/>
    <mergeCell ref="G1:J1"/>
    <mergeCell ref="L1:O1"/>
    <mergeCell ref="P1:S1"/>
    <mergeCell ref="AD1:AG1"/>
    <mergeCell ref="AH1:AK1"/>
    <mergeCell ref="A3:A4"/>
    <mergeCell ref="A5:A6"/>
    <mergeCell ref="A7:A8"/>
    <mergeCell ref="U1:X1"/>
    <mergeCell ref="Y1:AB1"/>
    <mergeCell ref="A33:A34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47:A48"/>
    <mergeCell ref="A49:A50"/>
    <mergeCell ref="A51:A52"/>
    <mergeCell ref="A35:A36"/>
    <mergeCell ref="A37:A38"/>
    <mergeCell ref="A39:A40"/>
    <mergeCell ref="A41:A42"/>
    <mergeCell ref="A43:A44"/>
    <mergeCell ref="A45:A46"/>
    <mergeCell ref="I74:J74"/>
    <mergeCell ref="A53:A54"/>
    <mergeCell ref="A55:A56"/>
    <mergeCell ref="A57:A58"/>
    <mergeCell ref="A61:A62"/>
    <mergeCell ref="A63:A64"/>
    <mergeCell ref="C74:D74"/>
    <mergeCell ref="E74:F74"/>
    <mergeCell ref="G74:H74"/>
    <mergeCell ref="A59:A60"/>
  </mergeCells>
  <pageMargins left="0.7" right="0.7" top="0.75" bottom="0.75" header="0.3" footer="0.3"/>
  <pageSetup paperSize="9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"/>
  <sheetViews>
    <sheetView zoomScale="70" zoomScaleNormal="70" workbookViewId="0">
      <pane xSplit="2" ySplit="2" topLeftCell="C60" activePane="bottomRight" state="frozen"/>
      <selection pane="topRight" activeCell="C1" sqref="C1"/>
      <selection pane="bottomLeft" activeCell="A3" sqref="A3"/>
      <selection pane="bottomRight" activeCell="V53" sqref="V53"/>
    </sheetView>
  </sheetViews>
  <sheetFormatPr defaultColWidth="8.85546875" defaultRowHeight="15" x14ac:dyDescent="0.25"/>
  <cols>
    <col min="1" max="1" width="14.5703125" style="524" customWidth="1"/>
    <col min="2" max="2" width="15.7109375" style="525" customWidth="1"/>
    <col min="3" max="6" width="8.85546875" style="524"/>
    <col min="7" max="7" width="17.7109375" style="524" bestFit="1" customWidth="1"/>
    <col min="8" max="8" width="10.5703125" style="524" customWidth="1"/>
    <col min="9" max="9" width="14.5703125" style="524" customWidth="1"/>
    <col min="10" max="10" width="17.28515625" style="524" bestFit="1" customWidth="1"/>
    <col min="11" max="15" width="8.85546875" style="524"/>
    <col min="16" max="16" width="15.28515625" style="524" bestFit="1" customWidth="1"/>
    <col min="17" max="17" width="14.85546875" style="524" customWidth="1"/>
    <col min="18" max="18" width="12.42578125" style="524" customWidth="1"/>
    <col min="19" max="19" width="15.28515625" style="524" bestFit="1" customWidth="1"/>
    <col min="20" max="23" width="8.85546875" style="524"/>
    <col min="24" max="24" width="9.42578125" style="524" bestFit="1" customWidth="1"/>
    <col min="25" max="25" width="17.140625" style="524" customWidth="1"/>
    <col min="26" max="26" width="12.85546875" style="524" customWidth="1"/>
    <col min="27" max="27" width="12.42578125" style="524" customWidth="1"/>
    <col min="28" max="28" width="15.28515625" style="524" customWidth="1"/>
    <col min="29" max="33" width="8.85546875" style="524"/>
    <col min="34" max="34" width="11.7109375" style="524" customWidth="1"/>
    <col min="35" max="35" width="12.140625" style="524" customWidth="1"/>
    <col min="36" max="36" width="10.5703125" style="524" customWidth="1"/>
    <col min="37" max="37" width="15.28515625" style="524" customWidth="1"/>
    <col min="38" max="16384" width="8.85546875" style="524"/>
  </cols>
  <sheetData>
    <row r="1" spans="1:37" x14ac:dyDescent="0.25">
      <c r="C1" s="2217" t="s">
        <v>1</v>
      </c>
      <c r="D1" s="2212"/>
      <c r="E1" s="2212"/>
      <c r="F1" s="2212"/>
      <c r="G1" s="2211" t="s">
        <v>206</v>
      </c>
      <c r="H1" s="2209"/>
      <c r="I1" s="2209"/>
      <c r="J1" s="2210"/>
      <c r="L1" s="2212" t="s">
        <v>202</v>
      </c>
      <c r="M1" s="2212"/>
      <c r="N1" s="2212"/>
      <c r="O1" s="2212"/>
      <c r="P1" s="2209" t="s">
        <v>206</v>
      </c>
      <c r="Q1" s="2209"/>
      <c r="R1" s="2209"/>
      <c r="S1" s="2210"/>
      <c r="U1" s="2212" t="s">
        <v>2</v>
      </c>
      <c r="V1" s="2212"/>
      <c r="W1" s="2212"/>
      <c r="X1" s="2212"/>
      <c r="Y1" s="2209" t="s">
        <v>206</v>
      </c>
      <c r="Z1" s="2209"/>
      <c r="AA1" s="2209"/>
      <c r="AB1" s="2210"/>
      <c r="AD1" s="2212" t="s">
        <v>203</v>
      </c>
      <c r="AE1" s="2212"/>
      <c r="AF1" s="2212"/>
      <c r="AG1" s="2212"/>
      <c r="AH1" s="2209" t="s">
        <v>206</v>
      </c>
      <c r="AI1" s="2209"/>
      <c r="AJ1" s="2209"/>
      <c r="AK1" s="2210"/>
    </row>
    <row r="2" spans="1:37" ht="15.75" thickBot="1" x14ac:dyDescent="0.3">
      <c r="A2" s="531" t="s">
        <v>0</v>
      </c>
      <c r="B2" s="532" t="s">
        <v>198</v>
      </c>
      <c r="C2" s="529" t="s">
        <v>199</v>
      </c>
      <c r="D2" s="526" t="s">
        <v>200</v>
      </c>
      <c r="E2" s="526" t="s">
        <v>201</v>
      </c>
      <c r="F2" s="526" t="s">
        <v>204</v>
      </c>
      <c r="G2" s="575" t="s">
        <v>199</v>
      </c>
      <c r="H2" s="575" t="s">
        <v>200</v>
      </c>
      <c r="I2" s="575" t="s">
        <v>201</v>
      </c>
      <c r="J2" s="575" t="s">
        <v>204</v>
      </c>
      <c r="K2" s="524" t="s">
        <v>269</v>
      </c>
      <c r="L2" s="526" t="s">
        <v>199</v>
      </c>
      <c r="M2" s="526" t="s">
        <v>200</v>
      </c>
      <c r="N2" s="526" t="s">
        <v>201</v>
      </c>
      <c r="O2" s="526" t="s">
        <v>204</v>
      </c>
      <c r="P2" s="527" t="s">
        <v>199</v>
      </c>
      <c r="Q2" s="526" t="s">
        <v>200</v>
      </c>
      <c r="R2" s="526" t="s">
        <v>201</v>
      </c>
      <c r="S2" s="526" t="s">
        <v>204</v>
      </c>
      <c r="U2" s="526" t="s">
        <v>199</v>
      </c>
      <c r="V2" s="526" t="s">
        <v>200</v>
      </c>
      <c r="W2" s="526" t="s">
        <v>201</v>
      </c>
      <c r="X2" s="526" t="s">
        <v>204</v>
      </c>
      <c r="Y2" s="527" t="s">
        <v>199</v>
      </c>
      <c r="Z2" s="526" t="s">
        <v>200</v>
      </c>
      <c r="AA2" s="526" t="s">
        <v>201</v>
      </c>
      <c r="AB2" s="526" t="s">
        <v>204</v>
      </c>
      <c r="AD2" s="526" t="s">
        <v>199</v>
      </c>
      <c r="AE2" s="526" t="s">
        <v>200</v>
      </c>
      <c r="AF2" s="526" t="s">
        <v>201</v>
      </c>
      <c r="AG2" s="526" t="s">
        <v>204</v>
      </c>
      <c r="AH2" s="527" t="s">
        <v>199</v>
      </c>
      <c r="AI2" s="526" t="s">
        <v>200</v>
      </c>
      <c r="AJ2" s="526" t="s">
        <v>201</v>
      </c>
      <c r="AK2" s="526" t="s">
        <v>204</v>
      </c>
    </row>
    <row r="3" spans="1:37" ht="45.75" thickTop="1" x14ac:dyDescent="0.25">
      <c r="A3" s="2206">
        <v>44470</v>
      </c>
      <c r="B3" s="607">
        <v>1</v>
      </c>
      <c r="C3" s="592"/>
      <c r="D3" s="593"/>
      <c r="E3" s="593"/>
      <c r="F3" s="594"/>
      <c r="G3" s="577"/>
      <c r="H3" s="578"/>
      <c r="I3" s="589"/>
      <c r="J3" s="579"/>
      <c r="L3" s="543"/>
      <c r="M3" s="544"/>
      <c r="N3" s="544"/>
      <c r="O3" s="533"/>
      <c r="P3" s="545"/>
      <c r="Q3" s="12"/>
      <c r="R3" s="12"/>
      <c r="S3" s="533"/>
      <c r="U3" s="612">
        <v>720</v>
      </c>
      <c r="V3" s="544"/>
      <c r="W3" s="544"/>
      <c r="X3" s="533"/>
      <c r="Y3" s="611" t="s">
        <v>252</v>
      </c>
      <c r="Z3" s="12"/>
      <c r="AA3" s="12"/>
      <c r="AB3" s="533"/>
      <c r="AD3" s="543"/>
      <c r="AE3" s="544"/>
      <c r="AF3" s="544"/>
      <c r="AG3" s="533"/>
      <c r="AH3" s="545"/>
      <c r="AI3" s="12"/>
      <c r="AJ3" s="12"/>
      <c r="AK3" s="533"/>
    </row>
    <row r="4" spans="1:37" ht="45" x14ac:dyDescent="0.25">
      <c r="A4" s="2205"/>
      <c r="B4" s="574">
        <v>2</v>
      </c>
      <c r="C4" s="595"/>
      <c r="D4" s="596"/>
      <c r="E4" s="596"/>
      <c r="F4" s="597"/>
      <c r="G4" s="580"/>
      <c r="H4" s="581"/>
      <c r="I4" s="576"/>
      <c r="J4" s="582"/>
      <c r="L4" s="541"/>
      <c r="M4" s="535"/>
      <c r="N4" s="535"/>
      <c r="O4" s="536"/>
      <c r="P4" s="546"/>
      <c r="Q4" s="535"/>
      <c r="R4" s="535"/>
      <c r="S4" s="536"/>
      <c r="U4" s="572">
        <v>580</v>
      </c>
      <c r="V4" s="535"/>
      <c r="W4" s="6">
        <v>140</v>
      </c>
      <c r="X4" s="536"/>
      <c r="Y4" s="611" t="s">
        <v>252</v>
      </c>
      <c r="Z4" s="535"/>
      <c r="AA4" s="571" t="s">
        <v>253</v>
      </c>
      <c r="AB4" s="591"/>
      <c r="AD4" s="541"/>
      <c r="AE4" s="535"/>
      <c r="AF4" s="535"/>
      <c r="AG4" s="536"/>
      <c r="AH4" s="546"/>
      <c r="AI4" s="535"/>
      <c r="AJ4" s="535"/>
      <c r="AK4" s="536"/>
    </row>
    <row r="5" spans="1:37" ht="45" x14ac:dyDescent="0.25">
      <c r="A5" s="2206">
        <v>44471</v>
      </c>
      <c r="B5" s="574">
        <v>1</v>
      </c>
      <c r="C5" s="595"/>
      <c r="D5" s="596"/>
      <c r="E5" s="596"/>
      <c r="F5" s="597"/>
      <c r="G5" s="580"/>
      <c r="H5" s="581"/>
      <c r="I5" s="581"/>
      <c r="J5" s="582"/>
      <c r="L5" s="541"/>
      <c r="M5" s="535"/>
      <c r="N5" s="535"/>
      <c r="O5" s="536"/>
      <c r="P5" s="546"/>
      <c r="Q5" s="535"/>
      <c r="R5" s="535"/>
      <c r="S5" s="536"/>
      <c r="U5" s="541"/>
      <c r="V5" s="535"/>
      <c r="W5" s="6">
        <v>720</v>
      </c>
      <c r="X5" s="536"/>
      <c r="Y5" s="571"/>
      <c r="Z5" s="535"/>
      <c r="AA5" s="571" t="s">
        <v>253</v>
      </c>
      <c r="AB5" s="591"/>
      <c r="AD5" s="541"/>
      <c r="AE5" s="535"/>
      <c r="AF5" s="535"/>
      <c r="AG5" s="536"/>
      <c r="AH5" s="546"/>
      <c r="AI5" s="535"/>
      <c r="AJ5" s="535"/>
      <c r="AK5" s="536"/>
    </row>
    <row r="6" spans="1:37" ht="75" x14ac:dyDescent="0.25">
      <c r="A6" s="2205"/>
      <c r="B6" s="574">
        <v>2</v>
      </c>
      <c r="C6" s="595"/>
      <c r="D6" s="596"/>
      <c r="E6" s="596"/>
      <c r="F6" s="597"/>
      <c r="G6" s="580"/>
      <c r="H6" s="581"/>
      <c r="I6" s="581"/>
      <c r="J6" s="582"/>
      <c r="L6" s="541"/>
      <c r="M6" s="535"/>
      <c r="N6" s="535"/>
      <c r="O6" s="536"/>
      <c r="P6" s="546"/>
      <c r="Q6" s="535"/>
      <c r="R6" s="535"/>
      <c r="S6" s="536"/>
      <c r="U6" s="572">
        <v>53</v>
      </c>
      <c r="V6" s="6">
        <v>53</v>
      </c>
      <c r="W6" s="6">
        <v>53</v>
      </c>
      <c r="X6" s="613"/>
      <c r="Y6" s="571" t="s">
        <v>256</v>
      </c>
      <c r="Z6" s="605" t="s">
        <v>255</v>
      </c>
      <c r="AA6" s="571" t="s">
        <v>254</v>
      </c>
      <c r="AB6" s="591"/>
      <c r="AD6" s="541"/>
      <c r="AE6" s="535"/>
      <c r="AF6" s="6"/>
      <c r="AG6" s="536"/>
      <c r="AH6" s="546"/>
      <c r="AI6" s="535"/>
      <c r="AJ6" s="569"/>
      <c r="AK6" s="536"/>
    </row>
    <row r="7" spans="1:37" ht="60" x14ac:dyDescent="0.25">
      <c r="A7" s="2206">
        <v>44472</v>
      </c>
      <c r="B7" s="574">
        <v>1</v>
      </c>
      <c r="C7" s="595"/>
      <c r="D7" s="596">
        <v>20</v>
      </c>
      <c r="E7" s="596"/>
      <c r="F7" s="597"/>
      <c r="G7" s="580"/>
      <c r="H7" s="585" t="s">
        <v>66</v>
      </c>
      <c r="I7" s="581"/>
      <c r="J7" s="582"/>
      <c r="L7" s="572"/>
      <c r="M7" s="614">
        <v>165</v>
      </c>
      <c r="N7" s="535"/>
      <c r="O7" s="536"/>
      <c r="P7" s="614"/>
      <c r="Q7" s="614" t="s">
        <v>28</v>
      </c>
      <c r="R7" s="535"/>
      <c r="S7" s="536"/>
      <c r="U7" s="541"/>
      <c r="V7" s="616"/>
      <c r="W7" s="15"/>
      <c r="X7" s="536"/>
      <c r="Y7" s="546"/>
      <c r="Z7" s="535"/>
      <c r="AA7" s="535"/>
      <c r="AB7" s="536"/>
      <c r="AD7" s="541"/>
      <c r="AE7" s="535"/>
      <c r="AF7" s="535"/>
      <c r="AG7" s="536"/>
      <c r="AH7" s="546"/>
      <c r="AI7" s="535"/>
      <c r="AJ7" s="535"/>
      <c r="AK7" s="536"/>
    </row>
    <row r="8" spans="1:37" ht="60" x14ac:dyDescent="0.25">
      <c r="A8" s="2205"/>
      <c r="B8" s="574">
        <v>2</v>
      </c>
      <c r="C8" s="595"/>
      <c r="D8" s="596"/>
      <c r="E8" s="596">
        <v>15</v>
      </c>
      <c r="F8" s="597"/>
      <c r="G8" s="583"/>
      <c r="H8" s="581"/>
      <c r="I8" s="618" t="s">
        <v>257</v>
      </c>
      <c r="J8" s="582"/>
      <c r="L8" s="541"/>
      <c r="M8" s="535"/>
      <c r="N8" s="535"/>
      <c r="O8" s="536"/>
      <c r="P8" s="546"/>
      <c r="Q8" s="535"/>
      <c r="R8" s="535"/>
      <c r="S8" s="536"/>
      <c r="U8" s="572"/>
      <c r="V8" s="617"/>
      <c r="W8" s="614">
        <v>109</v>
      </c>
      <c r="X8" s="536"/>
      <c r="Y8" s="571"/>
      <c r="Z8" s="535"/>
      <c r="AA8" s="571" t="s">
        <v>258</v>
      </c>
      <c r="AB8" s="536"/>
      <c r="AD8" s="541"/>
      <c r="AE8" s="535"/>
      <c r="AF8" s="535"/>
      <c r="AG8" s="536"/>
      <c r="AH8" s="546"/>
      <c r="AI8" s="535"/>
      <c r="AJ8" s="535"/>
      <c r="AK8" s="536"/>
    </row>
    <row r="9" spans="1:37" x14ac:dyDescent="0.25">
      <c r="A9" s="2206">
        <v>44473</v>
      </c>
      <c r="B9" s="574">
        <v>1</v>
      </c>
      <c r="C9" s="595"/>
      <c r="D9" s="596"/>
      <c r="E9" s="596">
        <v>10</v>
      </c>
      <c r="F9" s="597"/>
      <c r="G9" s="580"/>
      <c r="H9" s="581"/>
      <c r="I9" s="619" t="s">
        <v>27</v>
      </c>
      <c r="J9" s="582"/>
      <c r="L9" s="541"/>
      <c r="M9" s="15"/>
      <c r="N9" s="535"/>
      <c r="O9" s="536"/>
      <c r="P9" s="546"/>
      <c r="Q9" s="535"/>
      <c r="R9" s="535"/>
      <c r="S9" s="536"/>
      <c r="U9" s="541"/>
      <c r="V9" s="535"/>
      <c r="W9" s="15">
        <v>20</v>
      </c>
      <c r="X9" s="536"/>
      <c r="Y9" s="546"/>
      <c r="Z9" s="535"/>
      <c r="AA9" s="15" t="s">
        <v>27</v>
      </c>
      <c r="AB9" s="536"/>
      <c r="AD9" s="541"/>
      <c r="AE9" s="535"/>
      <c r="AF9" s="6">
        <v>10</v>
      </c>
      <c r="AG9" s="536"/>
      <c r="AH9" s="546"/>
      <c r="AI9" s="535"/>
      <c r="AJ9" s="15" t="s">
        <v>27</v>
      </c>
      <c r="AK9" s="536"/>
    </row>
    <row r="10" spans="1:37" ht="45" x14ac:dyDescent="0.25">
      <c r="A10" s="2205"/>
      <c r="B10" s="574">
        <v>2</v>
      </c>
      <c r="C10" s="595"/>
      <c r="D10" s="596"/>
      <c r="E10" s="596"/>
      <c r="F10" s="597"/>
      <c r="G10" s="580"/>
      <c r="H10" s="581"/>
      <c r="I10" s="581"/>
      <c r="J10" s="582"/>
      <c r="L10" s="541"/>
      <c r="M10" s="535"/>
      <c r="N10" s="535"/>
      <c r="O10" s="536"/>
      <c r="P10" s="546"/>
      <c r="Q10" s="535"/>
      <c r="R10" s="535"/>
      <c r="S10" s="536"/>
      <c r="U10" s="572">
        <v>219</v>
      </c>
      <c r="V10" s="535"/>
      <c r="W10" s="15"/>
      <c r="X10" s="536"/>
      <c r="Y10" s="615" t="s">
        <v>259</v>
      </c>
      <c r="Z10" s="535"/>
      <c r="AA10" s="535"/>
      <c r="AB10" s="536"/>
      <c r="AD10" s="541"/>
      <c r="AE10" s="535"/>
      <c r="AF10" s="535"/>
      <c r="AG10" s="536"/>
      <c r="AH10" s="546"/>
      <c r="AI10" s="535"/>
      <c r="AJ10" s="535"/>
      <c r="AK10" s="536"/>
    </row>
    <row r="11" spans="1:37" x14ac:dyDescent="0.25">
      <c r="A11" s="2206">
        <v>44474</v>
      </c>
      <c r="B11" s="574">
        <v>1</v>
      </c>
      <c r="C11" s="595">
        <v>220</v>
      </c>
      <c r="D11" s="596"/>
      <c r="E11" s="596"/>
      <c r="F11" s="597"/>
      <c r="G11" s="580" t="s">
        <v>260</v>
      </c>
      <c r="H11" s="581"/>
      <c r="I11" s="581"/>
      <c r="J11" s="582"/>
      <c r="L11" s="541"/>
      <c r="M11" s="535"/>
      <c r="N11" s="535"/>
      <c r="O11" s="536"/>
      <c r="P11" s="546"/>
      <c r="Q11" s="535"/>
      <c r="R11" s="535"/>
      <c r="S11" s="536"/>
      <c r="U11" s="541"/>
      <c r="V11" s="535"/>
      <c r="W11" s="15">
        <v>28</v>
      </c>
      <c r="X11" s="536"/>
      <c r="Y11" s="546"/>
      <c r="Z11" s="535"/>
      <c r="AA11" s="6" t="s">
        <v>27</v>
      </c>
      <c r="AB11" s="536"/>
      <c r="AD11" s="541"/>
      <c r="AE11" s="535"/>
      <c r="AF11" s="535"/>
      <c r="AG11" s="536"/>
      <c r="AH11" s="546"/>
      <c r="AI11" s="535"/>
      <c r="AJ11" s="535"/>
      <c r="AK11" s="536"/>
    </row>
    <row r="12" spans="1:37" ht="30" x14ac:dyDescent="0.25">
      <c r="A12" s="2205"/>
      <c r="B12" s="574">
        <v>2</v>
      </c>
      <c r="C12" s="595">
        <v>600</v>
      </c>
      <c r="D12" s="596"/>
      <c r="E12" s="596">
        <v>120</v>
      </c>
      <c r="F12" s="597"/>
      <c r="G12" s="580" t="s">
        <v>260</v>
      </c>
      <c r="H12" s="581"/>
      <c r="I12" s="620" t="s">
        <v>261</v>
      </c>
      <c r="J12" s="582"/>
      <c r="L12" s="541"/>
      <c r="M12" s="535"/>
      <c r="N12" s="535"/>
      <c r="O12" s="536"/>
      <c r="P12" s="546"/>
      <c r="Q12" s="535"/>
      <c r="R12" s="535"/>
      <c r="S12" s="536"/>
      <c r="U12" s="541"/>
      <c r="V12" s="535"/>
      <c r="W12" s="15"/>
      <c r="X12" s="536"/>
      <c r="Y12" s="546"/>
      <c r="Z12" s="535"/>
      <c r="AA12" s="535"/>
      <c r="AB12" s="536"/>
      <c r="AD12" s="541"/>
      <c r="AE12" s="535"/>
      <c r="AF12" s="535"/>
      <c r="AG12" s="536"/>
      <c r="AH12" s="546"/>
      <c r="AI12" s="535"/>
      <c r="AJ12" s="535"/>
      <c r="AK12" s="536"/>
    </row>
    <row r="13" spans="1:37" ht="30" x14ac:dyDescent="0.25">
      <c r="A13" s="2206">
        <v>44475</v>
      </c>
      <c r="B13" s="574">
        <v>1</v>
      </c>
      <c r="C13" s="595"/>
      <c r="D13" s="596"/>
      <c r="E13" s="596">
        <v>230</v>
      </c>
      <c r="F13" s="597"/>
      <c r="G13" s="580"/>
      <c r="H13" s="581"/>
      <c r="I13" s="620" t="s">
        <v>261</v>
      </c>
      <c r="J13" s="582"/>
      <c r="L13" s="541"/>
      <c r="M13" s="535"/>
      <c r="N13" s="535"/>
      <c r="O13" s="536"/>
      <c r="P13" s="546"/>
      <c r="Q13" s="535"/>
      <c r="R13" s="535"/>
      <c r="S13" s="536"/>
      <c r="U13" s="541"/>
      <c r="V13" s="535"/>
      <c r="W13" s="15"/>
      <c r="X13" s="536"/>
      <c r="Y13" s="546"/>
      <c r="Z13" s="535"/>
      <c r="AA13" s="601"/>
      <c r="AB13" s="568"/>
      <c r="AD13" s="541"/>
      <c r="AE13" s="535"/>
      <c r="AF13" s="535"/>
      <c r="AG13" s="536"/>
      <c r="AH13" s="546"/>
      <c r="AI13" s="535"/>
      <c r="AJ13" s="535"/>
      <c r="AK13" s="536"/>
    </row>
    <row r="14" spans="1:37" ht="45" x14ac:dyDescent="0.25">
      <c r="A14" s="2205"/>
      <c r="B14" s="574">
        <v>2</v>
      </c>
      <c r="C14" s="595"/>
      <c r="D14" s="596"/>
      <c r="E14" s="596"/>
      <c r="F14" s="597"/>
      <c r="G14" s="580"/>
      <c r="H14" s="581"/>
      <c r="I14" s="581"/>
      <c r="J14" s="582"/>
      <c r="L14" s="541"/>
      <c r="M14" s="535"/>
      <c r="N14" s="535"/>
      <c r="O14" s="536"/>
      <c r="P14" s="546"/>
      <c r="Q14" s="535"/>
      <c r="R14" s="535"/>
      <c r="S14" s="536"/>
      <c r="U14" s="541"/>
      <c r="V14" s="535"/>
      <c r="W14" s="535"/>
      <c r="X14" s="536"/>
      <c r="Y14" s="546"/>
      <c r="Z14" s="535"/>
      <c r="AA14" s="535"/>
      <c r="AB14" s="536"/>
      <c r="AD14" s="541"/>
      <c r="AE14" s="535"/>
      <c r="AF14" s="6">
        <v>15</v>
      </c>
      <c r="AG14" s="536"/>
      <c r="AH14" s="571" t="s">
        <v>263</v>
      </c>
      <c r="AI14" s="535"/>
      <c r="AJ14" s="535"/>
      <c r="AK14" s="536"/>
    </row>
    <row r="15" spans="1:37" ht="30" x14ac:dyDescent="0.25">
      <c r="A15" s="2206">
        <v>44476</v>
      </c>
      <c r="B15" s="574">
        <v>1</v>
      </c>
      <c r="C15" s="595"/>
      <c r="D15" s="596"/>
      <c r="E15" s="6">
        <v>10</v>
      </c>
      <c r="F15" s="597"/>
      <c r="G15" s="580"/>
      <c r="H15" s="581"/>
      <c r="I15" s="619" t="s">
        <v>27</v>
      </c>
      <c r="J15" s="582"/>
      <c r="L15" s="541"/>
      <c r="M15" s="535"/>
      <c r="N15" s="535"/>
      <c r="O15" s="536"/>
      <c r="P15" s="541"/>
      <c r="Q15" s="535"/>
      <c r="R15" s="535"/>
      <c r="S15" s="536"/>
      <c r="U15" s="541"/>
      <c r="V15" s="535"/>
      <c r="W15" s="535"/>
      <c r="X15" s="536"/>
      <c r="Y15" s="541"/>
      <c r="Z15" s="535"/>
      <c r="AA15" s="535"/>
      <c r="AB15" s="536"/>
      <c r="AD15" s="541"/>
      <c r="AE15" s="535"/>
      <c r="AF15" s="6">
        <v>10</v>
      </c>
      <c r="AG15" s="536"/>
      <c r="AH15" s="541"/>
      <c r="AI15" s="535"/>
      <c r="AJ15" s="569" t="s">
        <v>262</v>
      </c>
      <c r="AK15" s="536"/>
    </row>
    <row r="16" spans="1:37" x14ac:dyDescent="0.25">
      <c r="A16" s="2205"/>
      <c r="B16" s="574">
        <v>2</v>
      </c>
      <c r="C16" s="595"/>
      <c r="D16" s="596"/>
      <c r="E16" s="596"/>
      <c r="F16" s="597"/>
      <c r="G16" s="580"/>
      <c r="H16" s="581"/>
      <c r="I16" s="581"/>
      <c r="J16" s="582"/>
      <c r="L16" s="541"/>
      <c r="M16" s="535"/>
      <c r="N16" s="535"/>
      <c r="O16" s="536"/>
      <c r="P16" s="541"/>
      <c r="Q16" s="535"/>
      <c r="R16" s="535"/>
      <c r="S16" s="536"/>
      <c r="U16" s="541"/>
      <c r="V16" s="535"/>
      <c r="W16" s="535"/>
      <c r="X16" s="536"/>
      <c r="Y16" s="541"/>
      <c r="Z16" s="535"/>
      <c r="AA16" s="535"/>
      <c r="AB16" s="536"/>
      <c r="AD16" s="541"/>
      <c r="AE16" s="535"/>
      <c r="AF16" s="535"/>
      <c r="AG16" s="536"/>
      <c r="AH16" s="541"/>
      <c r="AI16" s="535"/>
      <c r="AJ16" s="535"/>
      <c r="AK16" s="536"/>
    </row>
    <row r="17" spans="1:37" ht="30" x14ac:dyDescent="0.25">
      <c r="A17" s="2206">
        <v>44477</v>
      </c>
      <c r="B17" s="574">
        <v>1</v>
      </c>
      <c r="C17" s="595"/>
      <c r="D17" s="596"/>
      <c r="E17" s="596"/>
      <c r="F17" s="597"/>
      <c r="G17" s="580"/>
      <c r="H17" s="581"/>
      <c r="I17" s="581"/>
      <c r="J17" s="582"/>
      <c r="L17" s="541"/>
      <c r="M17" s="535"/>
      <c r="N17" s="535"/>
      <c r="O17" s="536"/>
      <c r="P17" s="541"/>
      <c r="Q17" s="535"/>
      <c r="R17" s="535"/>
      <c r="S17" s="536"/>
      <c r="U17" s="541"/>
      <c r="V17" s="535"/>
      <c r="W17" s="6">
        <v>10</v>
      </c>
      <c r="X17" s="536"/>
      <c r="Y17" s="541"/>
      <c r="Z17" s="535"/>
      <c r="AA17" s="6" t="s">
        <v>27</v>
      </c>
      <c r="AB17" s="536"/>
      <c r="AD17" s="541"/>
      <c r="AE17" s="535"/>
      <c r="AF17" s="6">
        <v>195</v>
      </c>
      <c r="AG17" s="536"/>
      <c r="AH17" s="541"/>
      <c r="AI17" s="535"/>
      <c r="AJ17" s="569" t="s">
        <v>262</v>
      </c>
      <c r="AK17" s="536"/>
    </row>
    <row r="18" spans="1:37" ht="30" x14ac:dyDescent="0.25">
      <c r="A18" s="2205"/>
      <c r="B18" s="574">
        <v>2</v>
      </c>
      <c r="C18" s="595"/>
      <c r="D18" s="596"/>
      <c r="E18" s="596"/>
      <c r="F18" s="597"/>
      <c r="G18" s="580"/>
      <c r="H18" s="581"/>
      <c r="I18" s="581"/>
      <c r="J18" s="582"/>
      <c r="L18" s="541"/>
      <c r="M18" s="535"/>
      <c r="N18" s="535"/>
      <c r="O18" s="536"/>
      <c r="P18" s="541"/>
      <c r="Q18" s="535"/>
      <c r="R18" s="535"/>
      <c r="S18" s="536"/>
      <c r="U18" s="541"/>
      <c r="V18" s="535"/>
      <c r="W18" s="535"/>
      <c r="X18" s="536"/>
      <c r="Y18" s="541"/>
      <c r="Z18" s="535"/>
      <c r="AA18" s="535"/>
      <c r="AB18" s="536"/>
      <c r="AD18" s="541"/>
      <c r="AE18" s="535"/>
      <c r="AF18" s="6">
        <v>400</v>
      </c>
      <c r="AG18" s="536"/>
      <c r="AH18" s="541"/>
      <c r="AI18" s="535"/>
      <c r="AJ18" s="569" t="s">
        <v>262</v>
      </c>
      <c r="AK18" s="536"/>
    </row>
    <row r="19" spans="1:37" ht="30" x14ac:dyDescent="0.25">
      <c r="A19" s="2206">
        <v>44478</v>
      </c>
      <c r="B19" s="574">
        <v>1</v>
      </c>
      <c r="D19" s="596"/>
      <c r="E19" s="595"/>
      <c r="F19" s="597"/>
      <c r="G19" s="580"/>
      <c r="H19" s="581"/>
      <c r="I19" s="581"/>
      <c r="J19" s="582"/>
      <c r="L19" s="541"/>
      <c r="M19" s="535"/>
      <c r="N19" s="535"/>
      <c r="O19" s="536"/>
      <c r="P19" s="541"/>
      <c r="Q19" s="535"/>
      <c r="R19" s="535"/>
      <c r="S19" s="536"/>
      <c r="U19" s="541"/>
      <c r="V19" s="535"/>
      <c r="W19" s="535"/>
      <c r="X19" s="536"/>
      <c r="Y19" s="541"/>
      <c r="Z19" s="535"/>
      <c r="AA19" s="535"/>
      <c r="AB19" s="536"/>
      <c r="AD19" s="541"/>
      <c r="AE19" s="535"/>
      <c r="AF19" s="6">
        <v>450</v>
      </c>
      <c r="AG19" s="536"/>
      <c r="AH19" s="541"/>
      <c r="AI19" s="535"/>
      <c r="AJ19" s="569" t="s">
        <v>262</v>
      </c>
      <c r="AK19" s="536"/>
    </row>
    <row r="20" spans="1:37" x14ac:dyDescent="0.25">
      <c r="A20" s="2205"/>
      <c r="B20" s="574">
        <v>2</v>
      </c>
      <c r="C20" s="595"/>
      <c r="D20" s="596"/>
      <c r="E20" s="596">
        <v>10</v>
      </c>
      <c r="F20" s="597"/>
      <c r="G20" s="580"/>
      <c r="H20" s="581"/>
      <c r="I20" s="581" t="s">
        <v>265</v>
      </c>
      <c r="J20" s="582"/>
      <c r="L20" s="541"/>
      <c r="M20" s="535"/>
      <c r="N20" s="535"/>
      <c r="O20" s="536"/>
      <c r="P20" s="604"/>
      <c r="Q20" s="535"/>
      <c r="R20" s="535"/>
      <c r="S20" s="536"/>
      <c r="U20" s="541"/>
      <c r="V20" s="535"/>
      <c r="W20" s="535"/>
      <c r="X20" s="536"/>
      <c r="Y20" s="541"/>
      <c r="Z20" s="535"/>
      <c r="AA20" s="535"/>
      <c r="AB20" s="536"/>
      <c r="AD20" s="541"/>
      <c r="AE20" s="535"/>
      <c r="AF20" s="535"/>
      <c r="AG20" s="536"/>
      <c r="AH20" s="541"/>
      <c r="AI20" s="535"/>
      <c r="AJ20" s="535"/>
      <c r="AK20" s="536"/>
    </row>
    <row r="21" spans="1:37" x14ac:dyDescent="0.25">
      <c r="A21" s="2206">
        <v>44479</v>
      </c>
      <c r="B21" s="574">
        <v>1</v>
      </c>
      <c r="C21" s="595"/>
      <c r="D21" s="596"/>
      <c r="E21" s="596"/>
      <c r="F21" s="597"/>
      <c r="G21" s="580"/>
      <c r="H21" s="581"/>
      <c r="I21" s="581"/>
      <c r="J21" s="582"/>
      <c r="L21" s="541"/>
      <c r="M21" s="535"/>
      <c r="N21" s="535"/>
      <c r="O21" s="536"/>
      <c r="P21" s="541"/>
      <c r="Q21" s="535"/>
      <c r="R21" s="535"/>
      <c r="S21" s="536"/>
      <c r="U21" s="541"/>
      <c r="V21" s="535"/>
      <c r="W21" s="535"/>
      <c r="X21" s="536"/>
      <c r="Y21" s="541"/>
      <c r="Z21" s="535"/>
      <c r="AA21" s="535"/>
      <c r="AB21" s="536"/>
      <c r="AD21" s="541"/>
      <c r="AE21" s="535"/>
      <c r="AF21" s="535"/>
      <c r="AG21" s="536"/>
      <c r="AH21" s="541"/>
      <c r="AI21" s="535"/>
      <c r="AJ21" s="535"/>
      <c r="AK21" s="536"/>
    </row>
    <row r="22" spans="1:37" ht="45" x14ac:dyDescent="0.25">
      <c r="A22" s="2205"/>
      <c r="B22" s="574">
        <v>2</v>
      </c>
      <c r="C22" s="595"/>
      <c r="D22" s="596"/>
      <c r="E22" s="596">
        <v>25</v>
      </c>
      <c r="F22" s="597"/>
      <c r="G22" s="580"/>
      <c r="H22" s="581"/>
      <c r="I22" s="620" t="s">
        <v>264</v>
      </c>
      <c r="J22" s="582"/>
      <c r="L22" s="541"/>
      <c r="M22" s="535"/>
      <c r="N22" s="535"/>
      <c r="O22" s="536"/>
      <c r="P22" s="541"/>
      <c r="Q22" s="535"/>
      <c r="R22" s="535"/>
      <c r="S22" s="536"/>
      <c r="U22" s="541"/>
      <c r="V22" s="535"/>
      <c r="W22" s="6">
        <v>25</v>
      </c>
      <c r="X22" s="536"/>
      <c r="Y22" s="541"/>
      <c r="Z22" s="535"/>
      <c r="AA22" s="569" t="s">
        <v>264</v>
      </c>
      <c r="AB22" s="536"/>
      <c r="AD22" s="541"/>
      <c r="AE22" s="535"/>
      <c r="AF22" s="535"/>
      <c r="AG22" s="536"/>
      <c r="AH22" s="541"/>
      <c r="AI22" s="535"/>
      <c r="AJ22" s="535"/>
      <c r="AK22" s="536"/>
    </row>
    <row r="23" spans="1:37" x14ac:dyDescent="0.25">
      <c r="A23" s="2206">
        <v>44480</v>
      </c>
      <c r="B23" s="574">
        <v>1</v>
      </c>
      <c r="C23" s="595"/>
      <c r="D23" s="596"/>
      <c r="E23" s="596">
        <v>15</v>
      </c>
      <c r="F23" s="597"/>
      <c r="G23" s="580"/>
      <c r="H23" s="581"/>
      <c r="I23" s="619" t="s">
        <v>27</v>
      </c>
      <c r="J23" s="582"/>
      <c r="L23" s="541"/>
      <c r="M23" s="535"/>
      <c r="N23" s="535"/>
      <c r="O23" s="536"/>
      <c r="P23" s="541"/>
      <c r="Q23" s="535"/>
      <c r="R23" s="535"/>
      <c r="S23" s="536"/>
      <c r="U23" s="541"/>
      <c r="V23" s="535"/>
      <c r="W23" s="535"/>
      <c r="X23" s="536"/>
      <c r="Y23" s="541"/>
      <c r="Z23" s="535"/>
      <c r="AA23" s="535"/>
      <c r="AB23" s="536"/>
      <c r="AD23" s="541"/>
      <c r="AE23" s="535"/>
      <c r="AF23" s="535"/>
      <c r="AG23" s="536"/>
      <c r="AH23" s="541"/>
      <c r="AI23" s="535"/>
      <c r="AJ23" s="535"/>
      <c r="AK23" s="536"/>
    </row>
    <row r="24" spans="1:37" ht="45" x14ac:dyDescent="0.25">
      <c r="A24" s="2205"/>
      <c r="B24" s="574">
        <v>2</v>
      </c>
      <c r="C24" s="595"/>
      <c r="D24" s="596"/>
      <c r="E24" s="596">
        <v>25</v>
      </c>
      <c r="F24" s="597"/>
      <c r="G24" s="580"/>
      <c r="H24" s="581"/>
      <c r="I24" s="620" t="s">
        <v>271</v>
      </c>
      <c r="J24" s="582"/>
      <c r="L24" s="541"/>
      <c r="M24" s="535"/>
      <c r="N24" s="535"/>
      <c r="O24" s="536"/>
      <c r="P24" s="541"/>
      <c r="Q24" s="535"/>
      <c r="R24" s="535"/>
      <c r="S24" s="536"/>
      <c r="U24" s="621">
        <v>10</v>
      </c>
      <c r="V24" s="535"/>
      <c r="W24" s="535"/>
      <c r="X24" s="536"/>
      <c r="Y24" s="541" t="s">
        <v>270</v>
      </c>
      <c r="Z24" s="535"/>
      <c r="AA24" s="535"/>
      <c r="AB24" s="536"/>
      <c r="AD24" s="541"/>
      <c r="AE24" s="535"/>
      <c r="AF24" s="535"/>
      <c r="AG24" s="536"/>
      <c r="AH24" s="541"/>
      <c r="AI24" s="535"/>
      <c r="AJ24" s="535"/>
      <c r="AK24" s="536"/>
    </row>
    <row r="25" spans="1:37" x14ac:dyDescent="0.25">
      <c r="A25" s="2206">
        <v>44481</v>
      </c>
      <c r="B25" s="574">
        <v>1</v>
      </c>
      <c r="C25" s="595"/>
      <c r="D25" s="596"/>
      <c r="E25" s="596"/>
      <c r="F25" s="597"/>
      <c r="G25" s="580"/>
      <c r="H25" s="581"/>
      <c r="I25" s="581"/>
      <c r="J25" s="582"/>
      <c r="L25" s="541"/>
      <c r="M25" s="535"/>
      <c r="N25" s="535"/>
      <c r="O25" s="536"/>
      <c r="P25" s="541"/>
      <c r="Q25" s="535"/>
      <c r="R25" s="535"/>
      <c r="S25" s="536"/>
      <c r="U25" s="541"/>
      <c r="V25" s="535"/>
      <c r="W25" s="535"/>
      <c r="X25" s="536"/>
      <c r="Y25" s="541"/>
      <c r="Z25" s="535"/>
      <c r="AA25" s="535"/>
      <c r="AB25" s="536"/>
      <c r="AD25" s="541"/>
      <c r="AE25" s="535"/>
      <c r="AF25" s="535"/>
      <c r="AG25" s="536"/>
      <c r="AH25" s="541"/>
      <c r="AI25" s="535"/>
      <c r="AJ25" s="535"/>
      <c r="AK25" s="536"/>
    </row>
    <row r="26" spans="1:37" x14ac:dyDescent="0.25">
      <c r="A26" s="2205"/>
      <c r="B26" s="574">
        <v>2</v>
      </c>
      <c r="C26" s="595"/>
      <c r="D26" s="596"/>
      <c r="E26" s="596"/>
      <c r="F26" s="597"/>
      <c r="G26" s="580"/>
      <c r="H26" s="581"/>
      <c r="I26" s="581"/>
      <c r="J26" s="582"/>
      <c r="L26" s="541"/>
      <c r="M26" s="535"/>
      <c r="N26" s="535"/>
      <c r="O26" s="536"/>
      <c r="P26" s="541"/>
      <c r="Q26" s="535"/>
      <c r="R26" s="535"/>
      <c r="S26" s="536"/>
      <c r="U26" s="621">
        <v>15</v>
      </c>
      <c r="V26" s="535"/>
      <c r="W26" s="535"/>
      <c r="X26" s="536"/>
      <c r="Y26" s="541" t="s">
        <v>270</v>
      </c>
      <c r="Z26" s="535"/>
      <c r="AA26" s="535"/>
      <c r="AB26" s="536"/>
      <c r="AD26" s="541"/>
      <c r="AE26" s="535"/>
      <c r="AF26" s="535"/>
      <c r="AG26" s="536"/>
      <c r="AH26" s="541"/>
      <c r="AI26" s="535"/>
      <c r="AJ26" s="535"/>
      <c r="AK26" s="536"/>
    </row>
    <row r="27" spans="1:37" ht="45" x14ac:dyDescent="0.25">
      <c r="A27" s="2206">
        <v>44482</v>
      </c>
      <c r="B27" s="574">
        <v>1</v>
      </c>
      <c r="C27" s="595"/>
      <c r="D27" s="596"/>
      <c r="E27" s="596">
        <v>20</v>
      </c>
      <c r="F27" s="597"/>
      <c r="G27" s="580"/>
      <c r="H27" s="581"/>
      <c r="I27" s="585" t="s">
        <v>77</v>
      </c>
      <c r="J27" s="582"/>
      <c r="L27" s="541"/>
      <c r="M27" s="535"/>
      <c r="N27" s="6">
        <v>65</v>
      </c>
      <c r="O27" s="536"/>
      <c r="P27" s="541"/>
      <c r="Q27" s="535"/>
      <c r="R27" s="569" t="s">
        <v>268</v>
      </c>
      <c r="S27" s="536"/>
      <c r="U27" s="541"/>
      <c r="V27" s="535"/>
      <c r="W27" s="535"/>
      <c r="X27" s="536"/>
      <c r="Y27" s="546"/>
      <c r="Z27" s="535"/>
      <c r="AA27" s="535"/>
      <c r="AB27" s="536"/>
      <c r="AD27" s="541"/>
      <c r="AE27" s="535"/>
      <c r="AF27" s="535"/>
      <c r="AG27" s="536"/>
      <c r="AH27" s="541"/>
      <c r="AI27" s="535"/>
      <c r="AJ27" s="535"/>
      <c r="AK27" s="536"/>
    </row>
    <row r="28" spans="1:37" ht="45" x14ac:dyDescent="0.25">
      <c r="A28" s="2205"/>
      <c r="B28" s="574">
        <v>2</v>
      </c>
      <c r="C28" s="595"/>
      <c r="D28" s="596"/>
      <c r="E28" s="596"/>
      <c r="F28" s="597"/>
      <c r="G28" s="580"/>
      <c r="H28" s="581"/>
      <c r="I28" s="581"/>
      <c r="J28" s="582"/>
      <c r="L28" s="541"/>
      <c r="M28" s="535"/>
      <c r="N28" s="6">
        <v>650</v>
      </c>
      <c r="O28" s="536"/>
      <c r="P28" s="546"/>
      <c r="Q28" s="535"/>
      <c r="R28" s="569" t="s">
        <v>268</v>
      </c>
      <c r="S28" s="536"/>
      <c r="U28" s="541"/>
      <c r="V28" s="535"/>
      <c r="W28" s="535"/>
      <c r="X28" s="536"/>
      <c r="Y28" s="546"/>
      <c r="Z28" s="535"/>
      <c r="AA28" s="535"/>
      <c r="AB28" s="536"/>
      <c r="AD28" s="541"/>
      <c r="AE28" s="535"/>
      <c r="AF28" s="535"/>
      <c r="AG28" s="536"/>
      <c r="AH28" s="546"/>
      <c r="AI28" s="535"/>
      <c r="AJ28" s="535"/>
      <c r="AK28" s="536"/>
    </row>
    <row r="29" spans="1:37" ht="45" x14ac:dyDescent="0.25">
      <c r="A29" s="2206">
        <v>44483</v>
      </c>
      <c r="B29" s="574">
        <v>1</v>
      </c>
      <c r="C29" s="595"/>
      <c r="D29" s="596"/>
      <c r="E29" s="596"/>
      <c r="F29" s="597"/>
      <c r="G29" s="580"/>
      <c r="H29" s="581"/>
      <c r="I29" s="581"/>
      <c r="J29" s="582"/>
      <c r="L29" s="541"/>
      <c r="M29" s="535"/>
      <c r="N29" s="6">
        <v>94</v>
      </c>
      <c r="O29" s="536"/>
      <c r="P29" s="546"/>
      <c r="Q29" s="535"/>
      <c r="R29" s="569" t="s">
        <v>268</v>
      </c>
      <c r="S29" s="536"/>
      <c r="U29" s="541"/>
      <c r="V29" s="535"/>
      <c r="W29" s="535"/>
      <c r="X29" s="536"/>
      <c r="Y29" s="546"/>
      <c r="Z29" s="535"/>
      <c r="AA29" s="535"/>
      <c r="AB29" s="536"/>
      <c r="AD29" s="541"/>
      <c r="AE29" s="535"/>
      <c r="AF29" s="535"/>
      <c r="AG29" s="536"/>
      <c r="AH29" s="546"/>
      <c r="AI29" s="535"/>
      <c r="AJ29" s="535"/>
      <c r="AK29" s="536"/>
    </row>
    <row r="30" spans="1:37" ht="45" x14ac:dyDescent="0.25">
      <c r="A30" s="2205"/>
      <c r="B30" s="574">
        <v>2</v>
      </c>
      <c r="C30" s="595"/>
      <c r="D30" s="596"/>
      <c r="E30" s="596"/>
      <c r="F30" s="597"/>
      <c r="G30" s="580"/>
      <c r="H30" s="581"/>
      <c r="I30" s="581"/>
      <c r="J30" s="582"/>
      <c r="L30" s="572">
        <v>75</v>
      </c>
      <c r="M30" s="570"/>
      <c r="N30" s="570"/>
      <c r="O30" s="623"/>
      <c r="P30" s="624" t="s">
        <v>267</v>
      </c>
      <c r="Q30" s="535"/>
      <c r="R30" s="535"/>
      <c r="S30" s="536"/>
      <c r="U30" s="541"/>
      <c r="V30" s="6"/>
      <c r="W30" s="6">
        <v>20</v>
      </c>
      <c r="X30" s="613"/>
      <c r="Y30" s="614"/>
      <c r="Z30" s="6"/>
      <c r="AA30" s="6" t="s">
        <v>27</v>
      </c>
      <c r="AB30" s="613"/>
      <c r="AC30" s="622"/>
      <c r="AD30" s="572">
        <v>10</v>
      </c>
      <c r="AE30" s="535"/>
      <c r="AF30" s="535"/>
      <c r="AG30" s="536"/>
      <c r="AH30" s="608" t="s">
        <v>263</v>
      </c>
      <c r="AJ30" s="535"/>
      <c r="AK30" s="536"/>
    </row>
    <row r="31" spans="1:37" ht="30" x14ac:dyDescent="0.25">
      <c r="A31" s="2206">
        <v>44484</v>
      </c>
      <c r="B31" s="574">
        <v>1</v>
      </c>
      <c r="C31" s="595"/>
      <c r="D31" s="596"/>
      <c r="E31" s="596">
        <v>9</v>
      </c>
      <c r="F31" s="597"/>
      <c r="G31" s="580"/>
      <c r="H31" s="581"/>
      <c r="I31" s="585" t="s">
        <v>77</v>
      </c>
      <c r="J31" s="582"/>
      <c r="L31" s="541"/>
      <c r="M31" s="535"/>
      <c r="N31" s="535"/>
      <c r="O31" s="536"/>
      <c r="P31" s="546"/>
      <c r="Q31" s="535"/>
      <c r="R31" s="535"/>
      <c r="S31" s="536"/>
      <c r="U31" s="541"/>
      <c r="V31" s="535"/>
      <c r="W31" s="535"/>
      <c r="X31" s="536"/>
      <c r="Y31" s="546"/>
      <c r="Z31" s="535"/>
      <c r="AA31" s="535"/>
      <c r="AB31" s="536"/>
      <c r="AD31" s="541"/>
      <c r="AE31" s="535"/>
      <c r="AF31" s="535"/>
      <c r="AG31" s="536"/>
      <c r="AH31" s="546"/>
      <c r="AI31" s="535"/>
      <c r="AJ31" s="535"/>
      <c r="AK31" s="536"/>
    </row>
    <row r="32" spans="1:37" x14ac:dyDescent="0.25">
      <c r="A32" s="2205"/>
      <c r="B32" s="574">
        <v>2</v>
      </c>
      <c r="C32" s="595"/>
      <c r="D32" s="596"/>
      <c r="E32" s="596"/>
      <c r="F32" s="597"/>
      <c r="G32" s="580"/>
      <c r="H32" s="581"/>
      <c r="I32" s="585"/>
      <c r="J32" s="582"/>
      <c r="L32" s="541"/>
      <c r="M32" s="535"/>
      <c r="N32" s="535"/>
      <c r="O32" s="536"/>
      <c r="P32" s="546"/>
      <c r="Q32" s="535"/>
      <c r="R32" s="535"/>
      <c r="S32" s="536"/>
      <c r="U32" s="541"/>
      <c r="V32" s="535"/>
      <c r="W32" s="535"/>
      <c r="X32" s="536"/>
      <c r="Y32" s="546"/>
      <c r="Z32" s="535"/>
      <c r="AA32" s="535"/>
      <c r="AB32" s="536"/>
      <c r="AD32" s="541"/>
      <c r="AE32" s="535"/>
      <c r="AF32" s="15">
        <v>10</v>
      </c>
      <c r="AG32" s="536"/>
      <c r="AH32" s="546"/>
      <c r="AI32" s="535"/>
      <c r="AJ32" s="535" t="s">
        <v>27</v>
      </c>
      <c r="AK32" s="536"/>
    </row>
    <row r="33" spans="1:37" ht="45" x14ac:dyDescent="0.25">
      <c r="A33" s="2206">
        <v>44485</v>
      </c>
      <c r="B33" s="574">
        <v>1</v>
      </c>
      <c r="C33" s="595"/>
      <c r="D33" s="596"/>
      <c r="E33" s="596"/>
      <c r="F33" s="597"/>
      <c r="G33" s="580"/>
      <c r="H33" s="581"/>
      <c r="I33" s="585"/>
      <c r="J33" s="582"/>
      <c r="L33" s="541"/>
      <c r="M33" s="535"/>
      <c r="N33" s="535"/>
      <c r="O33" s="536"/>
      <c r="P33" s="546"/>
      <c r="Q33" s="535"/>
      <c r="R33" s="535"/>
      <c r="S33" s="536"/>
      <c r="U33" s="541"/>
      <c r="V33" s="535"/>
      <c r="W33" s="535"/>
      <c r="X33" s="536"/>
      <c r="Y33" s="546"/>
      <c r="Z33" s="535"/>
      <c r="AA33" s="535"/>
      <c r="AB33" s="536"/>
      <c r="AD33" s="541"/>
      <c r="AE33" s="6">
        <v>60</v>
      </c>
      <c r="AF33" s="535"/>
      <c r="AG33" s="536"/>
      <c r="AH33" s="546"/>
      <c r="AI33" s="601" t="s">
        <v>266</v>
      </c>
      <c r="AJ33" s="535"/>
      <c r="AK33" s="536"/>
    </row>
    <row r="34" spans="1:37" x14ac:dyDescent="0.25">
      <c r="A34" s="2205"/>
      <c r="B34" s="574">
        <v>2</v>
      </c>
      <c r="C34" s="595"/>
      <c r="D34" s="596"/>
      <c r="E34" s="596"/>
      <c r="F34" s="597"/>
      <c r="G34" s="580"/>
      <c r="H34" s="581"/>
      <c r="I34" s="581"/>
      <c r="J34" s="582"/>
      <c r="L34" s="541"/>
      <c r="M34" s="535"/>
      <c r="N34" s="535"/>
      <c r="O34" s="536"/>
      <c r="P34" s="546"/>
      <c r="Q34" s="535"/>
      <c r="R34" s="535"/>
      <c r="S34" s="536"/>
      <c r="U34" s="541"/>
      <c r="V34" s="535"/>
      <c r="W34" s="535"/>
      <c r="X34" s="536"/>
      <c r="Y34" s="546"/>
      <c r="Z34" s="535"/>
      <c r="AA34" s="535"/>
      <c r="AB34" s="536"/>
      <c r="AD34" s="541"/>
      <c r="AE34" s="535"/>
      <c r="AF34" s="535">
        <v>145</v>
      </c>
      <c r="AG34" s="536"/>
      <c r="AH34" s="546"/>
      <c r="AI34" s="535"/>
      <c r="AJ34" s="535"/>
      <c r="AK34" s="536"/>
    </row>
    <row r="35" spans="1:37" ht="60" x14ac:dyDescent="0.25">
      <c r="A35" s="2206">
        <v>44486</v>
      </c>
      <c r="B35" s="574">
        <v>1</v>
      </c>
      <c r="C35" s="595"/>
      <c r="D35" s="596"/>
      <c r="E35" s="596">
        <v>152</v>
      </c>
      <c r="F35" s="597"/>
      <c r="G35" s="580"/>
      <c r="H35" s="581"/>
      <c r="I35" s="585" t="s">
        <v>272</v>
      </c>
      <c r="J35" s="582"/>
      <c r="L35" s="541"/>
      <c r="M35" s="535"/>
      <c r="N35" s="535">
        <v>136</v>
      </c>
      <c r="O35" s="536"/>
      <c r="P35" s="546"/>
      <c r="Q35" s="535"/>
      <c r="R35" s="585" t="s">
        <v>272</v>
      </c>
      <c r="S35" s="536"/>
      <c r="U35" s="541"/>
      <c r="V35" s="535"/>
      <c r="W35" s="535">
        <v>148</v>
      </c>
      <c r="X35" s="536"/>
      <c r="Y35" s="546"/>
      <c r="Z35" s="535"/>
      <c r="AA35" s="585" t="s">
        <v>272</v>
      </c>
      <c r="AB35" s="536"/>
      <c r="AD35" s="541"/>
      <c r="AE35" s="535"/>
      <c r="AF35" s="535"/>
      <c r="AG35" s="536"/>
      <c r="AH35" s="546"/>
      <c r="AI35" s="585"/>
      <c r="AJ35" s="585" t="s">
        <v>272</v>
      </c>
      <c r="AK35" s="536"/>
    </row>
    <row r="36" spans="1:37" ht="45" x14ac:dyDescent="0.25">
      <c r="A36" s="2205"/>
      <c r="B36" s="574">
        <v>2</v>
      </c>
      <c r="C36" s="595">
        <v>130</v>
      </c>
      <c r="D36" s="596"/>
      <c r="E36" s="596">
        <v>60</v>
      </c>
      <c r="F36" s="597"/>
      <c r="G36" s="583" t="s">
        <v>273</v>
      </c>
      <c r="H36" s="581"/>
      <c r="I36" s="581" t="s">
        <v>191</v>
      </c>
      <c r="J36" s="582"/>
      <c r="L36" s="627">
        <v>263</v>
      </c>
      <c r="M36" s="535"/>
      <c r="N36" s="535"/>
      <c r="O36" s="536"/>
      <c r="P36" s="627" t="s">
        <v>274</v>
      </c>
      <c r="Q36" s="535"/>
      <c r="R36" s="535"/>
      <c r="S36" s="536"/>
      <c r="U36" s="572"/>
      <c r="V36" s="6">
        <v>55</v>
      </c>
      <c r="W36" s="6">
        <v>60</v>
      </c>
      <c r="X36" s="536"/>
      <c r="Y36" s="614"/>
      <c r="Z36" s="605" t="s">
        <v>276</v>
      </c>
      <c r="AA36" s="571" t="s">
        <v>275</v>
      </c>
      <c r="AB36" s="536"/>
      <c r="AD36" s="541"/>
      <c r="AE36" s="535"/>
      <c r="AF36" s="535">
        <v>60</v>
      </c>
      <c r="AG36" s="536"/>
      <c r="AH36" s="546"/>
      <c r="AI36" s="535"/>
      <c r="AJ36" s="571" t="s">
        <v>275</v>
      </c>
      <c r="AK36" s="536"/>
    </row>
    <row r="37" spans="1:37" x14ac:dyDescent="0.25">
      <c r="A37" s="2206">
        <v>44487</v>
      </c>
      <c r="B37" s="574">
        <v>1</v>
      </c>
      <c r="C37" s="595"/>
      <c r="D37" s="596"/>
      <c r="E37" s="596"/>
      <c r="F37" s="597"/>
      <c r="G37" s="580"/>
      <c r="H37" s="581"/>
      <c r="I37" s="581"/>
      <c r="J37" s="582"/>
      <c r="L37" s="541"/>
      <c r="M37" s="535"/>
      <c r="N37" s="535"/>
      <c r="O37" s="536"/>
      <c r="P37" s="546"/>
      <c r="Q37" s="535"/>
      <c r="R37" s="535"/>
      <c r="S37" s="536"/>
      <c r="U37" s="541"/>
      <c r="V37" s="6"/>
      <c r="W37" s="6"/>
      <c r="X37" s="536"/>
      <c r="Y37" s="546"/>
      <c r="Z37" s="605"/>
      <c r="AA37" s="605"/>
      <c r="AB37" s="536"/>
      <c r="AD37" s="541"/>
      <c r="AE37" s="535"/>
      <c r="AF37" s="535"/>
      <c r="AG37" s="536"/>
      <c r="AH37" s="546"/>
      <c r="AI37" s="535"/>
      <c r="AJ37" s="535"/>
      <c r="AK37" s="536"/>
    </row>
    <row r="38" spans="1:37" x14ac:dyDescent="0.25">
      <c r="A38" s="2205"/>
      <c r="B38" s="574">
        <v>2</v>
      </c>
      <c r="C38" s="595"/>
      <c r="D38" s="596"/>
      <c r="E38" s="596"/>
      <c r="F38" s="597"/>
      <c r="G38" s="580"/>
      <c r="H38" s="581"/>
      <c r="I38" s="581"/>
      <c r="J38" s="582"/>
      <c r="L38" s="541"/>
      <c r="M38" s="535"/>
      <c r="N38" s="535"/>
      <c r="O38" s="536"/>
      <c r="P38" s="546"/>
      <c r="Q38" s="535"/>
      <c r="R38" s="535"/>
      <c r="S38" s="536"/>
      <c r="U38" s="541"/>
      <c r="V38" s="6"/>
      <c r="W38" s="6"/>
      <c r="X38" s="536"/>
      <c r="Y38" s="546"/>
      <c r="Z38" s="535"/>
      <c r="AA38" s="535"/>
      <c r="AB38" s="536"/>
      <c r="AD38" s="541"/>
      <c r="AE38" s="535"/>
      <c r="AF38" s="535"/>
      <c r="AG38" s="536"/>
      <c r="AH38" s="546"/>
      <c r="AI38" s="535"/>
      <c r="AJ38" s="535"/>
      <c r="AK38" s="536"/>
    </row>
    <row r="39" spans="1:37" ht="30" x14ac:dyDescent="0.25">
      <c r="A39" s="2206">
        <v>44488</v>
      </c>
      <c r="B39" s="574">
        <v>1</v>
      </c>
      <c r="C39" s="595"/>
      <c r="D39" s="596"/>
      <c r="E39" s="596">
        <v>15</v>
      </c>
      <c r="F39" s="597"/>
      <c r="G39" s="580"/>
      <c r="H39" s="581"/>
      <c r="I39" s="585" t="s">
        <v>97</v>
      </c>
      <c r="J39" s="582"/>
      <c r="L39" s="541"/>
      <c r="M39" s="535"/>
      <c r="N39" s="535"/>
      <c r="O39" s="536"/>
      <c r="P39" s="546"/>
      <c r="Q39" s="535"/>
      <c r="R39" s="535"/>
      <c r="S39" s="536"/>
      <c r="U39" s="541"/>
      <c r="V39" s="535"/>
      <c r="W39" s="535"/>
      <c r="X39" s="536"/>
      <c r="Y39" s="546"/>
      <c r="Z39" s="535"/>
      <c r="AA39" s="6"/>
      <c r="AB39" s="536"/>
      <c r="AD39" s="541"/>
      <c r="AE39" s="535"/>
      <c r="AF39" s="535"/>
      <c r="AG39" s="536"/>
      <c r="AH39" s="546"/>
      <c r="AI39" s="535"/>
      <c r="AJ39" s="535"/>
      <c r="AK39" s="536"/>
    </row>
    <row r="40" spans="1:37" x14ac:dyDescent="0.25">
      <c r="A40" s="2205"/>
      <c r="B40" s="574">
        <v>2</v>
      </c>
      <c r="C40" s="595"/>
      <c r="D40" s="596"/>
      <c r="E40" s="596"/>
      <c r="F40" s="597"/>
      <c r="G40" s="580"/>
      <c r="H40" s="581"/>
      <c r="I40" s="585"/>
      <c r="J40" s="582"/>
      <c r="L40" s="541"/>
      <c r="M40" s="535"/>
      <c r="N40" s="535"/>
      <c r="O40" s="536"/>
      <c r="P40" s="546"/>
      <c r="Q40" s="535"/>
      <c r="R40" s="535"/>
      <c r="S40" s="536"/>
      <c r="U40" s="541"/>
      <c r="V40" s="535"/>
      <c r="W40" s="535"/>
      <c r="X40" s="536"/>
      <c r="Y40" s="546"/>
      <c r="Z40" s="535"/>
      <c r="AA40" s="535"/>
      <c r="AB40" s="536"/>
      <c r="AD40" s="541"/>
      <c r="AE40" s="535"/>
      <c r="AF40" s="535"/>
      <c r="AG40" s="536"/>
      <c r="AH40" s="546"/>
      <c r="AI40" s="535"/>
      <c r="AJ40" s="535"/>
      <c r="AK40" s="536"/>
    </row>
    <row r="41" spans="1:37" x14ac:dyDescent="0.25">
      <c r="A41" s="2206">
        <v>44489</v>
      </c>
      <c r="B41" s="574">
        <v>1</v>
      </c>
      <c r="C41" s="595"/>
      <c r="D41" s="596"/>
      <c r="E41" s="596"/>
      <c r="F41" s="597"/>
      <c r="G41" s="580"/>
      <c r="H41" s="581"/>
      <c r="I41" s="581"/>
      <c r="J41" s="582"/>
      <c r="L41" s="541"/>
      <c r="M41" s="535"/>
      <c r="N41" s="535"/>
      <c r="O41" s="536"/>
      <c r="P41" s="546"/>
      <c r="Q41" s="535"/>
      <c r="R41" s="535"/>
      <c r="S41" s="536"/>
      <c r="U41" s="541"/>
      <c r="V41" s="6"/>
      <c r="W41" s="6"/>
      <c r="X41" s="536"/>
      <c r="Y41" s="546"/>
      <c r="Z41" s="605"/>
      <c r="AA41" s="6"/>
      <c r="AB41" s="536"/>
      <c r="AD41" s="541"/>
      <c r="AE41" s="535"/>
      <c r="AF41" s="535"/>
      <c r="AG41" s="536"/>
      <c r="AH41" s="546"/>
      <c r="AI41" s="535"/>
      <c r="AJ41" s="535"/>
      <c r="AK41" s="536"/>
    </row>
    <row r="42" spans="1:37" x14ac:dyDescent="0.25">
      <c r="A42" s="2205"/>
      <c r="B42" s="574">
        <v>2</v>
      </c>
      <c r="C42" s="595"/>
      <c r="D42" s="596"/>
      <c r="E42" s="596"/>
      <c r="F42" s="597"/>
      <c r="G42" s="580"/>
      <c r="H42" s="581"/>
      <c r="I42" s="581"/>
      <c r="J42" s="536"/>
      <c r="L42" s="541"/>
      <c r="M42" s="535"/>
      <c r="N42" s="535"/>
      <c r="O42" s="536"/>
      <c r="P42" s="546"/>
      <c r="Q42" s="535"/>
      <c r="R42" s="535"/>
      <c r="S42" s="536"/>
      <c r="U42" s="541">
        <v>70</v>
      </c>
      <c r="V42" s="535"/>
      <c r="W42" s="535"/>
      <c r="X42" s="536"/>
      <c r="Y42" s="546" t="s">
        <v>142</v>
      </c>
      <c r="Z42" s="535"/>
      <c r="AA42" s="535"/>
      <c r="AB42" s="536"/>
      <c r="AD42" s="541"/>
      <c r="AE42" s="535"/>
      <c r="AF42" s="535"/>
      <c r="AG42" s="536"/>
      <c r="AH42" s="546"/>
      <c r="AI42" s="535"/>
      <c r="AJ42" s="535"/>
      <c r="AK42" s="536"/>
    </row>
    <row r="43" spans="1:37" x14ac:dyDescent="0.25">
      <c r="A43" s="2206">
        <v>44490</v>
      </c>
      <c r="B43" s="574">
        <v>1</v>
      </c>
      <c r="C43" s="595"/>
      <c r="D43" s="596"/>
      <c r="E43" s="596"/>
      <c r="F43" s="597"/>
      <c r="G43" s="580"/>
      <c r="H43" s="581"/>
      <c r="I43" s="585"/>
      <c r="J43" s="582"/>
      <c r="L43" s="541"/>
      <c r="M43" s="535"/>
      <c r="N43" s="535"/>
      <c r="O43" s="536"/>
      <c r="P43" s="546"/>
      <c r="Q43" s="535"/>
      <c r="R43" s="535"/>
      <c r="S43" s="536"/>
      <c r="U43" s="541"/>
      <c r="V43" s="535"/>
      <c r="W43" s="535"/>
      <c r="X43" s="536"/>
      <c r="Y43" s="546"/>
      <c r="Z43" s="535"/>
      <c r="AA43" s="535"/>
      <c r="AB43" s="536"/>
      <c r="AD43" s="541"/>
      <c r="AE43" s="535"/>
      <c r="AF43" s="535"/>
      <c r="AG43" s="536"/>
      <c r="AH43" s="546"/>
      <c r="AI43" s="535"/>
      <c r="AJ43" s="535"/>
      <c r="AK43" s="536"/>
    </row>
    <row r="44" spans="1:37" x14ac:dyDescent="0.25">
      <c r="A44" s="2205"/>
      <c r="B44" s="574">
        <v>2</v>
      </c>
      <c r="C44" s="595"/>
      <c r="D44" s="596"/>
      <c r="E44" s="596"/>
      <c r="F44" s="597"/>
      <c r="G44" s="583"/>
      <c r="H44" s="581"/>
      <c r="I44" s="581"/>
      <c r="J44" s="582"/>
      <c r="L44" s="541"/>
      <c r="M44" s="535"/>
      <c r="N44" s="535"/>
      <c r="O44" s="536"/>
      <c r="P44" s="546"/>
      <c r="Q44" s="535"/>
      <c r="R44" s="535"/>
      <c r="S44" s="536"/>
      <c r="U44" s="541"/>
      <c r="V44" s="535"/>
      <c r="W44" s="535"/>
      <c r="X44" s="536"/>
      <c r="Y44" s="546"/>
      <c r="Z44" s="535"/>
      <c r="AA44" s="535"/>
      <c r="AB44" s="536"/>
      <c r="AD44" s="541"/>
      <c r="AE44" s="535"/>
      <c r="AF44" s="535"/>
      <c r="AG44" s="536"/>
      <c r="AH44" s="546"/>
      <c r="AI44" s="535"/>
      <c r="AJ44" s="535"/>
      <c r="AK44" s="536"/>
    </row>
    <row r="45" spans="1:37" x14ac:dyDescent="0.25">
      <c r="A45" s="2206">
        <v>44491</v>
      </c>
      <c r="B45" s="574">
        <v>1</v>
      </c>
      <c r="C45" s="595"/>
      <c r="D45" s="596"/>
      <c r="E45" s="596"/>
      <c r="F45" s="597"/>
      <c r="G45" s="580"/>
      <c r="H45" s="581"/>
      <c r="I45" s="581"/>
      <c r="J45" s="582"/>
      <c r="L45" s="541"/>
      <c r="M45" s="535"/>
      <c r="N45" s="535"/>
      <c r="O45" s="536"/>
      <c r="P45" s="546"/>
      <c r="Q45" s="535"/>
      <c r="R45" s="535"/>
      <c r="S45" s="536"/>
      <c r="U45" s="541"/>
      <c r="V45" s="535"/>
      <c r="W45" s="535"/>
      <c r="X45" s="536"/>
      <c r="Y45" s="546"/>
      <c r="Z45" s="535"/>
      <c r="AA45" s="535"/>
      <c r="AB45" s="536"/>
      <c r="AD45" s="541"/>
      <c r="AE45" s="535"/>
      <c r="AF45" s="535"/>
      <c r="AG45" s="536"/>
      <c r="AH45" s="546"/>
      <c r="AI45" s="535"/>
      <c r="AJ45" s="535"/>
      <c r="AK45" s="536"/>
    </row>
    <row r="46" spans="1:37" x14ac:dyDescent="0.25">
      <c r="A46" s="2205"/>
      <c r="B46" s="574">
        <v>2</v>
      </c>
      <c r="C46" s="595"/>
      <c r="D46" s="596"/>
      <c r="E46" s="596"/>
      <c r="F46" s="597"/>
      <c r="G46" s="580"/>
      <c r="H46" s="581"/>
      <c r="I46" s="581"/>
      <c r="J46" s="582"/>
      <c r="L46" s="541"/>
      <c r="M46" s="535"/>
      <c r="N46" s="535"/>
      <c r="O46" s="536"/>
      <c r="P46" s="546"/>
      <c r="Q46" s="535"/>
      <c r="R46" s="535"/>
      <c r="S46" s="536"/>
      <c r="U46" s="541"/>
      <c r="V46" s="535"/>
      <c r="W46" s="535"/>
      <c r="X46" s="536"/>
      <c r="Y46" s="546"/>
      <c r="Z46" s="535"/>
      <c r="AA46" s="535"/>
      <c r="AB46" s="536"/>
      <c r="AD46" s="541"/>
      <c r="AE46" s="535"/>
      <c r="AF46" s="535"/>
      <c r="AG46" s="536"/>
      <c r="AH46" s="546"/>
      <c r="AI46" s="535"/>
      <c r="AJ46" s="535"/>
      <c r="AK46" s="536"/>
    </row>
    <row r="47" spans="1:37" x14ac:dyDescent="0.25">
      <c r="A47" s="2206">
        <v>44492</v>
      </c>
      <c r="B47" s="574">
        <v>1</v>
      </c>
      <c r="C47" s="595"/>
      <c r="D47" s="596"/>
      <c r="E47" s="596"/>
      <c r="F47" s="597"/>
      <c r="G47" s="580"/>
      <c r="H47" s="581"/>
      <c r="I47" s="581"/>
      <c r="J47" s="582"/>
      <c r="L47" s="541"/>
      <c r="M47" s="535"/>
      <c r="N47" s="535"/>
      <c r="O47" s="536"/>
      <c r="P47" s="546"/>
      <c r="Q47" s="535"/>
      <c r="R47" s="535"/>
      <c r="S47" s="536"/>
      <c r="U47" s="541"/>
      <c r="V47" s="535"/>
      <c r="W47" s="535"/>
      <c r="X47" s="536"/>
      <c r="Y47" s="546"/>
      <c r="Z47" s="535"/>
      <c r="AA47" s="535"/>
      <c r="AB47" s="536"/>
      <c r="AD47" s="541"/>
      <c r="AE47" s="535"/>
      <c r="AF47" s="535"/>
      <c r="AG47" s="536"/>
      <c r="AH47" s="546"/>
      <c r="AI47" s="535"/>
      <c r="AJ47" s="535"/>
      <c r="AK47" s="536"/>
    </row>
    <row r="48" spans="1:37" ht="30" x14ac:dyDescent="0.25">
      <c r="A48" s="2205"/>
      <c r="B48" s="574">
        <v>2</v>
      </c>
      <c r="C48" s="595"/>
      <c r="D48" s="596">
        <v>115</v>
      </c>
      <c r="E48" s="596"/>
      <c r="F48" s="597"/>
      <c r="G48" s="580"/>
      <c r="H48" s="585" t="s">
        <v>96</v>
      </c>
      <c r="I48" s="581"/>
      <c r="J48" s="582"/>
      <c r="L48" s="541"/>
      <c r="M48" s="535">
        <v>68</v>
      </c>
      <c r="N48" s="535"/>
      <c r="O48" s="536"/>
      <c r="P48" s="546"/>
      <c r="Q48" s="585" t="s">
        <v>96</v>
      </c>
      <c r="R48" s="535"/>
      <c r="S48" s="536"/>
      <c r="U48" s="541"/>
      <c r="V48" s="535"/>
      <c r="W48" s="535"/>
      <c r="X48" s="536"/>
      <c r="Y48" s="546"/>
      <c r="Z48" s="535"/>
      <c r="AA48" s="535"/>
      <c r="AB48" s="536"/>
      <c r="AD48" s="541"/>
      <c r="AE48" s="535"/>
      <c r="AF48" s="535"/>
      <c r="AG48" s="536"/>
      <c r="AH48" s="546"/>
      <c r="AI48" s="535"/>
      <c r="AJ48" s="535"/>
      <c r="AK48" s="536"/>
    </row>
    <row r="49" spans="1:37" x14ac:dyDescent="0.25">
      <c r="A49" s="2206">
        <v>44493</v>
      </c>
      <c r="B49" s="574">
        <v>1</v>
      </c>
      <c r="C49" s="595"/>
      <c r="D49" s="596"/>
      <c r="E49" s="596"/>
      <c r="F49" s="597"/>
      <c r="G49" s="580"/>
      <c r="H49" s="581"/>
      <c r="I49" s="581"/>
      <c r="J49" s="584"/>
      <c r="L49" s="541"/>
      <c r="M49" s="535"/>
      <c r="N49" s="535"/>
      <c r="O49" s="536"/>
      <c r="P49" s="546"/>
      <c r="Q49" s="535"/>
      <c r="R49" s="535"/>
      <c r="S49" s="568"/>
      <c r="U49" s="541"/>
      <c r="V49" s="535"/>
      <c r="W49" s="535"/>
      <c r="X49" s="536"/>
      <c r="Y49" s="546"/>
      <c r="Z49" s="535"/>
      <c r="AA49" s="535"/>
      <c r="AB49" s="568"/>
      <c r="AD49" s="541"/>
      <c r="AE49" s="535"/>
      <c r="AF49" s="535"/>
      <c r="AG49" s="536"/>
      <c r="AH49" s="546"/>
      <c r="AI49" s="535"/>
      <c r="AJ49" s="535"/>
      <c r="AK49" s="568"/>
    </row>
    <row r="50" spans="1:37" ht="30" x14ac:dyDescent="0.25">
      <c r="A50" s="2205"/>
      <c r="B50" s="574">
        <v>2</v>
      </c>
      <c r="C50" s="595">
        <v>50</v>
      </c>
      <c r="D50" s="596"/>
      <c r="E50" s="596"/>
      <c r="F50" s="597"/>
      <c r="G50" s="583" t="s">
        <v>277</v>
      </c>
      <c r="H50" s="581"/>
      <c r="I50" s="581"/>
      <c r="J50" s="582"/>
      <c r="L50" s="541"/>
      <c r="M50" s="535"/>
      <c r="N50" s="535"/>
      <c r="O50" s="536"/>
      <c r="P50" s="546"/>
      <c r="Q50" s="535"/>
      <c r="R50" s="535"/>
      <c r="S50" s="536"/>
      <c r="U50" s="572">
        <v>22</v>
      </c>
      <c r="V50" s="535"/>
      <c r="W50" s="535"/>
      <c r="X50" s="536"/>
      <c r="Y50" s="571" t="s">
        <v>278</v>
      </c>
      <c r="Z50" s="535"/>
      <c r="AA50" s="535"/>
      <c r="AB50" s="536"/>
      <c r="AD50" s="541"/>
      <c r="AE50" s="535"/>
      <c r="AF50" s="535"/>
      <c r="AG50" s="536"/>
      <c r="AH50" s="546"/>
      <c r="AI50" s="535"/>
      <c r="AJ50" s="535"/>
      <c r="AK50" s="536"/>
    </row>
    <row r="51" spans="1:37" ht="30" x14ac:dyDescent="0.25">
      <c r="A51" s="2206">
        <v>44494</v>
      </c>
      <c r="B51" s="574">
        <v>1</v>
      </c>
      <c r="C51" s="595"/>
      <c r="D51" s="596"/>
      <c r="E51" s="596"/>
      <c r="F51" s="597"/>
      <c r="G51" s="580"/>
      <c r="H51" s="581"/>
      <c r="I51" s="581"/>
      <c r="J51" s="582"/>
      <c r="L51" s="541"/>
      <c r="M51" s="535"/>
      <c r="N51" s="535"/>
      <c r="O51" s="536"/>
      <c r="P51" s="546"/>
      <c r="Q51" s="535"/>
      <c r="R51" s="535"/>
      <c r="S51" s="536"/>
      <c r="U51" s="541">
        <v>50</v>
      </c>
      <c r="V51" s="535"/>
      <c r="W51" s="535"/>
      <c r="X51" s="536"/>
      <c r="Y51" s="571" t="s">
        <v>278</v>
      </c>
      <c r="Z51" s="535"/>
      <c r="AA51" s="535"/>
      <c r="AB51" s="536"/>
      <c r="AD51" s="541"/>
      <c r="AE51" s="535"/>
      <c r="AF51" s="535"/>
      <c r="AG51" s="536"/>
      <c r="AH51" s="546"/>
      <c r="AI51" s="535"/>
      <c r="AJ51" s="535"/>
      <c r="AK51" s="536"/>
    </row>
    <row r="52" spans="1:37" ht="45" x14ac:dyDescent="0.25">
      <c r="A52" s="2205"/>
      <c r="B52" s="574">
        <v>2</v>
      </c>
      <c r="C52" s="595"/>
      <c r="D52" s="596"/>
      <c r="E52" s="596"/>
      <c r="F52" s="597">
        <v>93</v>
      </c>
      <c r="G52" s="580"/>
      <c r="H52" s="581"/>
      <c r="I52" s="581"/>
      <c r="J52" s="584" t="s">
        <v>279</v>
      </c>
      <c r="L52" s="541"/>
      <c r="M52" s="535"/>
      <c r="N52" s="535"/>
      <c r="O52" s="536">
        <v>96</v>
      </c>
      <c r="P52" s="546"/>
      <c r="Q52" s="535"/>
      <c r="R52" s="535"/>
      <c r="S52" s="584" t="s">
        <v>279</v>
      </c>
      <c r="U52" s="572"/>
      <c r="V52" s="6"/>
      <c r="W52" s="535"/>
      <c r="X52" s="536">
        <v>80</v>
      </c>
      <c r="Y52" s="571"/>
      <c r="Z52" s="605"/>
      <c r="AA52" s="535"/>
      <c r="AB52" s="584" t="s">
        <v>279</v>
      </c>
      <c r="AD52" s="541"/>
      <c r="AE52" s="535"/>
      <c r="AF52" s="535"/>
      <c r="AG52" s="536">
        <v>85</v>
      </c>
      <c r="AH52" s="546"/>
      <c r="AI52" s="535"/>
      <c r="AJ52" s="535"/>
      <c r="AK52" s="584" t="s">
        <v>279</v>
      </c>
    </row>
    <row r="53" spans="1:37" x14ac:dyDescent="0.25">
      <c r="A53" s="2218">
        <v>44495</v>
      </c>
      <c r="B53" s="574">
        <v>1</v>
      </c>
      <c r="C53" s="595"/>
      <c r="D53" s="596"/>
      <c r="E53" s="596"/>
      <c r="F53" s="597"/>
      <c r="G53" s="580"/>
      <c r="H53" s="581"/>
      <c r="I53" s="581"/>
      <c r="J53" s="582"/>
      <c r="L53" s="541"/>
      <c r="M53" s="535"/>
      <c r="N53" s="535"/>
      <c r="O53" s="536"/>
      <c r="P53" s="546"/>
      <c r="Q53" s="535"/>
      <c r="R53" s="535"/>
      <c r="S53" s="536"/>
      <c r="U53" s="541"/>
      <c r="V53" s="535"/>
      <c r="W53" s="535"/>
      <c r="X53" s="536"/>
      <c r="Y53" s="546"/>
      <c r="Z53" s="535"/>
      <c r="AA53" s="6"/>
      <c r="AB53" s="536"/>
      <c r="AD53" s="541"/>
      <c r="AE53" s="535"/>
      <c r="AF53" s="535"/>
      <c r="AG53" s="536"/>
      <c r="AH53" s="546"/>
      <c r="AI53" s="535"/>
      <c r="AJ53" s="6"/>
      <c r="AK53" s="536"/>
    </row>
    <row r="54" spans="1:37" ht="60" customHeight="1" x14ac:dyDescent="0.25">
      <c r="A54" s="2219"/>
      <c r="B54" s="606">
        <v>2</v>
      </c>
      <c r="C54" s="595"/>
      <c r="D54" s="596"/>
      <c r="E54" s="596"/>
      <c r="F54" s="597"/>
      <c r="G54" s="580"/>
      <c r="H54" s="581"/>
      <c r="I54" s="581"/>
      <c r="J54" s="582"/>
      <c r="L54" s="541"/>
      <c r="M54" s="535"/>
      <c r="N54" s="535"/>
      <c r="O54" s="536"/>
      <c r="P54" s="546"/>
      <c r="Q54" s="535"/>
      <c r="R54" s="535"/>
      <c r="S54" s="536"/>
      <c r="U54" s="541"/>
      <c r="V54" s="535"/>
      <c r="W54" s="535"/>
      <c r="X54" s="536"/>
      <c r="Y54" s="546"/>
      <c r="Z54" s="605"/>
      <c r="AA54" s="6"/>
      <c r="AB54" s="536"/>
      <c r="AD54" s="541"/>
      <c r="AE54" s="535"/>
      <c r="AF54" s="535"/>
      <c r="AG54" s="536"/>
      <c r="AH54" s="546"/>
      <c r="AI54" s="535"/>
      <c r="AJ54" s="535"/>
      <c r="AK54" s="536"/>
    </row>
    <row r="55" spans="1:37" x14ac:dyDescent="0.25">
      <c r="A55" s="2218">
        <v>44496</v>
      </c>
      <c r="B55" s="574">
        <v>1</v>
      </c>
      <c r="C55" s="595"/>
      <c r="D55" s="596"/>
      <c r="E55" s="596"/>
      <c r="F55" s="597"/>
      <c r="G55" s="580"/>
      <c r="H55" s="581"/>
      <c r="I55" s="585"/>
      <c r="J55" s="582"/>
      <c r="L55" s="541"/>
      <c r="M55" s="535"/>
      <c r="N55" s="535"/>
      <c r="O55" s="536"/>
      <c r="P55" s="546"/>
      <c r="Q55" s="6"/>
      <c r="R55" s="535"/>
      <c r="S55" s="536"/>
      <c r="U55" s="541"/>
      <c r="V55" s="535"/>
      <c r="W55" s="535"/>
      <c r="X55" s="536"/>
      <c r="Y55" s="546"/>
      <c r="Z55" s="535"/>
      <c r="AA55" s="535"/>
      <c r="AB55" s="536"/>
      <c r="AD55" s="541"/>
      <c r="AE55" s="535"/>
      <c r="AF55" s="535"/>
      <c r="AG55" s="536"/>
      <c r="AH55" s="546"/>
      <c r="AI55" s="535"/>
      <c r="AJ55" s="535"/>
      <c r="AK55" s="536"/>
    </row>
    <row r="56" spans="1:37" x14ac:dyDescent="0.25">
      <c r="A56" s="2219"/>
      <c r="B56" s="606">
        <v>2</v>
      </c>
      <c r="C56" s="595"/>
      <c r="D56" s="596"/>
      <c r="E56" s="596"/>
      <c r="F56" s="597"/>
      <c r="G56" s="580"/>
      <c r="H56" s="581"/>
      <c r="I56" s="581"/>
      <c r="J56" s="582"/>
      <c r="L56" s="541"/>
      <c r="M56" s="535"/>
      <c r="N56" s="535"/>
      <c r="O56" s="536"/>
      <c r="P56" s="546"/>
      <c r="Q56" s="535"/>
      <c r="R56" s="535"/>
      <c r="S56" s="536"/>
      <c r="U56" s="541"/>
      <c r="V56" s="535"/>
      <c r="W56" s="535"/>
      <c r="X56" s="536"/>
      <c r="Y56" s="608"/>
      <c r="Z56" s="605"/>
      <c r="AA56" s="569"/>
      <c r="AB56" s="536"/>
      <c r="AD56" s="541"/>
      <c r="AE56" s="535"/>
      <c r="AF56" s="535"/>
      <c r="AG56" s="536"/>
      <c r="AH56" s="546"/>
      <c r="AI56" s="535"/>
      <c r="AJ56" s="535"/>
      <c r="AK56" s="536"/>
    </row>
    <row r="57" spans="1:37" ht="52.5" customHeight="1" x14ac:dyDescent="0.25">
      <c r="A57" s="2220">
        <v>44467</v>
      </c>
      <c r="B57" s="574">
        <v>1</v>
      </c>
      <c r="C57" s="595"/>
      <c r="D57" s="596"/>
      <c r="E57" s="596"/>
      <c r="F57" s="597"/>
      <c r="G57" s="580"/>
      <c r="H57" s="581"/>
      <c r="I57" s="585"/>
      <c r="J57" s="582"/>
      <c r="L57" s="541"/>
      <c r="M57" s="535"/>
      <c r="N57" s="535"/>
      <c r="O57" s="536"/>
      <c r="P57" s="546"/>
      <c r="Q57" s="535"/>
      <c r="R57" s="573"/>
      <c r="S57" s="536"/>
      <c r="U57" s="572"/>
      <c r="V57" s="535"/>
      <c r="W57" s="535"/>
      <c r="X57" s="536"/>
      <c r="Y57" s="571"/>
      <c r="Z57" s="605"/>
      <c r="AA57" s="535"/>
      <c r="AB57" s="536"/>
      <c r="AD57" s="541"/>
      <c r="AE57" s="535"/>
      <c r="AF57" s="535"/>
      <c r="AG57" s="536"/>
      <c r="AH57" s="546"/>
      <c r="AI57" s="535"/>
      <c r="AJ57" s="535"/>
      <c r="AK57" s="536"/>
    </row>
    <row r="58" spans="1:37" x14ac:dyDescent="0.25">
      <c r="A58" s="2221"/>
      <c r="B58" s="606">
        <v>2</v>
      </c>
      <c r="C58" s="595"/>
      <c r="D58" s="596"/>
      <c r="E58" s="596"/>
      <c r="F58" s="597"/>
      <c r="G58" s="580"/>
      <c r="H58" s="581"/>
      <c r="I58" s="581"/>
      <c r="J58" s="582"/>
      <c r="L58" s="541"/>
      <c r="M58" s="535"/>
      <c r="N58" s="535"/>
      <c r="O58" s="536"/>
      <c r="P58" s="546"/>
      <c r="Q58" s="535"/>
      <c r="R58" s="535"/>
      <c r="S58" s="536"/>
      <c r="U58" s="541"/>
      <c r="V58" s="535"/>
      <c r="W58" s="535"/>
      <c r="X58" s="536"/>
      <c r="Y58" s="546"/>
      <c r="Z58" s="605"/>
      <c r="AA58" s="535"/>
      <c r="AB58" s="536"/>
      <c r="AD58" s="541"/>
      <c r="AE58" s="535"/>
      <c r="AF58" s="535"/>
      <c r="AG58" s="536"/>
      <c r="AH58" s="546"/>
      <c r="AI58" s="535"/>
      <c r="AJ58" s="535"/>
      <c r="AK58" s="536"/>
    </row>
    <row r="59" spans="1:37" ht="60" x14ac:dyDescent="0.25">
      <c r="A59" s="2220">
        <v>44468</v>
      </c>
      <c r="B59" s="574">
        <v>1</v>
      </c>
      <c r="C59" s="595"/>
      <c r="D59" s="596"/>
      <c r="E59" s="596"/>
      <c r="F59" s="597"/>
      <c r="G59" s="580"/>
      <c r="H59" s="581"/>
      <c r="I59" s="581"/>
      <c r="J59" s="582"/>
      <c r="L59" s="541"/>
      <c r="M59" s="535">
        <v>90</v>
      </c>
      <c r="N59" s="535"/>
      <c r="O59" s="536"/>
      <c r="P59" s="546"/>
      <c r="Q59" s="569" t="s">
        <v>280</v>
      </c>
      <c r="R59" s="535"/>
      <c r="S59" s="536"/>
      <c r="U59" s="541"/>
      <c r="V59" s="535"/>
      <c r="W59" s="535"/>
      <c r="X59" s="536"/>
      <c r="Y59" s="546"/>
      <c r="Z59" s="535"/>
      <c r="AA59" s="535"/>
      <c r="AB59" s="536"/>
      <c r="AD59" s="541"/>
      <c r="AE59" s="535"/>
      <c r="AF59" s="535"/>
      <c r="AG59" s="536"/>
      <c r="AH59" s="609"/>
      <c r="AI59" s="535"/>
      <c r="AJ59" s="535"/>
      <c r="AK59" s="536"/>
    </row>
    <row r="60" spans="1:37" x14ac:dyDescent="0.25">
      <c r="A60" s="2221"/>
      <c r="B60" s="606">
        <v>2</v>
      </c>
      <c r="C60" s="595"/>
      <c r="D60" s="596"/>
      <c r="E60" s="596"/>
      <c r="F60" s="597"/>
      <c r="G60" s="580"/>
      <c r="H60" s="581"/>
      <c r="I60" s="581"/>
      <c r="J60" s="582"/>
      <c r="L60" s="541"/>
      <c r="M60" s="535"/>
      <c r="N60" s="535"/>
      <c r="O60" s="536"/>
      <c r="P60" s="546"/>
      <c r="Q60" s="535"/>
      <c r="R60" s="535"/>
      <c r="S60" s="536"/>
      <c r="U60" s="541"/>
      <c r="V60" s="535"/>
      <c r="W60" s="535"/>
      <c r="X60" s="536"/>
      <c r="Y60" s="546"/>
      <c r="Z60" s="605"/>
      <c r="AA60" s="535"/>
      <c r="AB60" s="536"/>
      <c r="AD60" s="541"/>
      <c r="AE60" s="535"/>
      <c r="AF60" s="535"/>
      <c r="AG60" s="536"/>
      <c r="AH60" s="546"/>
      <c r="AI60" s="535"/>
      <c r="AJ60" s="535"/>
      <c r="AK60" s="536"/>
    </row>
    <row r="61" spans="1:37" x14ac:dyDescent="0.25">
      <c r="A61" s="2220">
        <v>44499</v>
      </c>
      <c r="B61" s="574">
        <v>1</v>
      </c>
      <c r="C61" s="595"/>
      <c r="D61" s="596"/>
      <c r="E61" s="596"/>
      <c r="F61" s="597"/>
      <c r="G61" s="580"/>
      <c r="H61" s="581"/>
      <c r="I61" s="581"/>
      <c r="J61" s="582"/>
      <c r="L61" s="541"/>
      <c r="M61" s="535"/>
      <c r="N61" s="535"/>
      <c r="O61" s="536"/>
      <c r="P61" s="546"/>
      <c r="Q61" s="535"/>
      <c r="R61" s="535"/>
      <c r="S61" s="536"/>
      <c r="U61" s="541"/>
      <c r="V61" s="535"/>
      <c r="W61" s="535"/>
      <c r="X61" s="536"/>
      <c r="Y61" s="546"/>
      <c r="Z61" s="535"/>
      <c r="AA61" s="535"/>
      <c r="AB61" s="536"/>
      <c r="AD61" s="541"/>
      <c r="AE61" s="535"/>
      <c r="AF61" s="535"/>
      <c r="AG61" s="536"/>
      <c r="AH61" s="546"/>
      <c r="AI61" s="535"/>
      <c r="AJ61" s="535"/>
      <c r="AK61" s="536"/>
    </row>
    <row r="62" spans="1:37" x14ac:dyDescent="0.25">
      <c r="A62" s="2221"/>
      <c r="B62" s="606">
        <v>2</v>
      </c>
      <c r="C62" s="595"/>
      <c r="D62" s="596"/>
      <c r="E62" s="596"/>
      <c r="F62" s="597"/>
      <c r="G62" s="580"/>
      <c r="H62" s="581"/>
      <c r="I62" s="581"/>
      <c r="J62" s="582"/>
      <c r="L62" s="541"/>
      <c r="M62" s="535"/>
      <c r="N62" s="535"/>
      <c r="O62" s="536"/>
      <c r="P62" s="546"/>
      <c r="Q62" s="535"/>
      <c r="R62" s="535"/>
      <c r="S62" s="536"/>
      <c r="U62" s="541"/>
      <c r="V62" s="535"/>
      <c r="W62" s="535"/>
      <c r="X62" s="536"/>
      <c r="Y62" s="546"/>
      <c r="Z62" s="535"/>
      <c r="AA62" s="535"/>
      <c r="AB62" s="536"/>
      <c r="AD62" s="541"/>
      <c r="AE62" s="535"/>
      <c r="AF62" s="535"/>
      <c r="AG62" s="536"/>
      <c r="AH62" s="546"/>
      <c r="AI62" s="535"/>
      <c r="AJ62" s="535"/>
      <c r="AK62" s="536"/>
    </row>
    <row r="63" spans="1:37" x14ac:dyDescent="0.25">
      <c r="A63" s="2218">
        <v>44500</v>
      </c>
      <c r="B63" s="574">
        <v>1</v>
      </c>
      <c r="C63" s="595"/>
      <c r="D63" s="596"/>
      <c r="E63" s="596"/>
      <c r="F63" s="597"/>
      <c r="G63" s="580"/>
      <c r="H63" s="581"/>
      <c r="I63" s="581"/>
      <c r="J63" s="582"/>
      <c r="L63" s="541"/>
      <c r="M63" s="535"/>
      <c r="N63" s="535"/>
      <c r="O63" s="536"/>
      <c r="P63" s="546"/>
      <c r="Q63" s="535"/>
      <c r="R63" s="535"/>
      <c r="S63" s="536"/>
      <c r="U63" s="541"/>
      <c r="V63" s="535"/>
      <c r="W63" s="535"/>
      <c r="X63" s="536"/>
      <c r="Y63" s="546"/>
      <c r="Z63" s="535"/>
      <c r="AA63" s="535"/>
      <c r="AB63" s="536"/>
      <c r="AD63" s="541"/>
      <c r="AE63" s="535"/>
      <c r="AF63" s="535"/>
      <c r="AG63" s="536"/>
      <c r="AH63" s="546"/>
      <c r="AI63" s="535"/>
      <c r="AJ63" s="535"/>
      <c r="AK63" s="536"/>
    </row>
    <row r="64" spans="1:37" x14ac:dyDescent="0.25">
      <c r="A64" s="2206"/>
      <c r="B64" s="574">
        <v>2</v>
      </c>
      <c r="C64" s="598"/>
      <c r="D64" s="599"/>
      <c r="E64" s="599"/>
      <c r="F64" s="600"/>
      <c r="G64" s="586"/>
      <c r="H64" s="587"/>
      <c r="I64" s="587"/>
      <c r="J64" s="588"/>
      <c r="L64" s="542"/>
      <c r="M64" s="538"/>
      <c r="N64" s="538"/>
      <c r="O64" s="539"/>
      <c r="P64" s="547"/>
      <c r="Q64" s="538"/>
      <c r="R64" s="538"/>
      <c r="S64" s="539"/>
      <c r="U64" s="542"/>
      <c r="V64" s="538"/>
      <c r="W64" s="538"/>
      <c r="X64" s="539"/>
      <c r="Y64" s="610"/>
      <c r="Z64" s="538"/>
      <c r="AA64" s="538"/>
      <c r="AB64" s="539"/>
      <c r="AD64" s="542"/>
      <c r="AE64" s="538"/>
      <c r="AF64" s="538"/>
      <c r="AG64" s="539"/>
      <c r="AH64" s="547"/>
      <c r="AI64" s="538"/>
      <c r="AJ64" s="538"/>
      <c r="AK64" s="539"/>
    </row>
    <row r="65" spans="1:33" x14ac:dyDescent="0.25">
      <c r="A65" s="524" t="s">
        <v>225</v>
      </c>
      <c r="C65" s="524">
        <f>SUM(C3:C64)</f>
        <v>1000</v>
      </c>
      <c r="D65" s="524">
        <f>SUM(D3:D64)</f>
        <v>135</v>
      </c>
      <c r="E65" s="524">
        <f>SUM(E3:E64)</f>
        <v>716</v>
      </c>
      <c r="F65" s="524">
        <f>SUM(F3:F64)</f>
        <v>93</v>
      </c>
      <c r="L65" s="524">
        <f>SUM(L3:L64)</f>
        <v>338</v>
      </c>
      <c r="M65" s="524">
        <f>SUM(M3:M64)</f>
        <v>323</v>
      </c>
      <c r="N65" s="524">
        <f>SUM(N3:N64)</f>
        <v>945</v>
      </c>
      <c r="O65" s="524">
        <f>SUM(O3:O64)</f>
        <v>96</v>
      </c>
      <c r="U65" s="524">
        <f>SUM(U3:U64)</f>
        <v>1739</v>
      </c>
      <c r="V65" s="524">
        <f>SUM(V3:V64)</f>
        <v>108</v>
      </c>
      <c r="W65" s="524">
        <f>SUM(W3:W64)</f>
        <v>1333</v>
      </c>
      <c r="X65" s="524">
        <f>SUM(X3:X64)</f>
        <v>80</v>
      </c>
      <c r="AD65" s="524">
        <f>SUM(AD3:AD64)</f>
        <v>10</v>
      </c>
      <c r="AE65" s="524">
        <f>SUM(AE3:AE64)</f>
        <v>60</v>
      </c>
      <c r="AF65" s="524">
        <f>SUM(AF3:AF64)</f>
        <v>1295</v>
      </c>
      <c r="AG65" s="524">
        <f>SUM(AG3:AG64)</f>
        <v>85</v>
      </c>
    </row>
    <row r="73" spans="1:33" ht="15.75" thickBot="1" x14ac:dyDescent="0.3"/>
    <row r="74" spans="1:33" ht="15.75" thickBot="1" x14ac:dyDescent="0.3">
      <c r="C74" s="2213" t="s">
        <v>199</v>
      </c>
      <c r="D74" s="2214"/>
      <c r="E74" s="2215" t="s">
        <v>200</v>
      </c>
      <c r="F74" s="2216"/>
      <c r="G74" s="2213" t="s">
        <v>201</v>
      </c>
      <c r="H74" s="2214"/>
      <c r="I74" s="2213" t="s">
        <v>204</v>
      </c>
      <c r="J74" s="2214"/>
    </row>
    <row r="75" spans="1:33" ht="15.75" thickBot="1" x14ac:dyDescent="0.3">
      <c r="C75" s="557" t="s">
        <v>222</v>
      </c>
      <c r="D75" s="549" t="s">
        <v>223</v>
      </c>
      <c r="E75" s="561" t="s">
        <v>222</v>
      </c>
      <c r="F75" s="553" t="s">
        <v>223</v>
      </c>
      <c r="G75" s="557" t="s">
        <v>222</v>
      </c>
      <c r="H75" s="549" t="s">
        <v>223</v>
      </c>
      <c r="I75" s="557" t="s">
        <v>222</v>
      </c>
      <c r="J75" s="549" t="s">
        <v>223</v>
      </c>
    </row>
    <row r="76" spans="1:33" x14ac:dyDescent="0.25">
      <c r="B76" s="562" t="s">
        <v>218</v>
      </c>
      <c r="C76" s="558">
        <f>C65</f>
        <v>1000</v>
      </c>
      <c r="D76" s="550">
        <f>C76/60</f>
        <v>16.666666666666668</v>
      </c>
      <c r="E76" s="558">
        <f>D65</f>
        <v>135</v>
      </c>
      <c r="F76" s="554">
        <f>E76/60</f>
        <v>2.25</v>
      </c>
      <c r="G76" s="558">
        <f>E65</f>
        <v>716</v>
      </c>
      <c r="H76" s="550">
        <f>G76/60</f>
        <v>11.933333333333334</v>
      </c>
      <c r="I76" s="558">
        <f>F65</f>
        <v>93</v>
      </c>
      <c r="J76" s="550">
        <f>I76/60</f>
        <v>1.55</v>
      </c>
    </row>
    <row r="77" spans="1:33" x14ac:dyDescent="0.25">
      <c r="B77" s="562" t="s">
        <v>219</v>
      </c>
      <c r="C77" s="559">
        <f>L65</f>
        <v>338</v>
      </c>
      <c r="D77" s="551">
        <f t="shared" ref="D77:F79" si="0">C77/60</f>
        <v>5.6333333333333337</v>
      </c>
      <c r="E77" s="559">
        <f>M65</f>
        <v>323</v>
      </c>
      <c r="F77" s="555">
        <f t="shared" si="0"/>
        <v>5.3833333333333337</v>
      </c>
      <c r="G77" s="559">
        <f>N65</f>
        <v>945</v>
      </c>
      <c r="H77" s="551">
        <f t="shared" ref="H77:J79" si="1">G77/60</f>
        <v>15.75</v>
      </c>
      <c r="I77" s="559">
        <f>O65</f>
        <v>96</v>
      </c>
      <c r="J77" s="551">
        <f t="shared" si="1"/>
        <v>1.6</v>
      </c>
    </row>
    <row r="78" spans="1:33" x14ac:dyDescent="0.25">
      <c r="B78" s="562" t="s">
        <v>220</v>
      </c>
      <c r="C78" s="559">
        <f>U65</f>
        <v>1739</v>
      </c>
      <c r="D78" s="551">
        <f t="shared" si="0"/>
        <v>28.983333333333334</v>
      </c>
      <c r="E78" s="559">
        <f>V65</f>
        <v>108</v>
      </c>
      <c r="F78" s="555">
        <f t="shared" si="0"/>
        <v>1.8</v>
      </c>
      <c r="G78" s="559">
        <f>W65</f>
        <v>1333</v>
      </c>
      <c r="H78" s="551">
        <f t="shared" si="1"/>
        <v>22.216666666666665</v>
      </c>
      <c r="I78" s="559">
        <f>X65</f>
        <v>80</v>
      </c>
      <c r="J78" s="551">
        <f t="shared" si="1"/>
        <v>1.3333333333333333</v>
      </c>
    </row>
    <row r="79" spans="1:33" ht="15.75" thickBot="1" x14ac:dyDescent="0.3">
      <c r="B79" s="562" t="s">
        <v>221</v>
      </c>
      <c r="C79" s="560">
        <f>AD65</f>
        <v>10</v>
      </c>
      <c r="D79" s="552">
        <f t="shared" si="0"/>
        <v>0.16666666666666666</v>
      </c>
      <c r="E79" s="560">
        <f>AE65</f>
        <v>60</v>
      </c>
      <c r="F79" s="556">
        <f t="shared" si="0"/>
        <v>1</v>
      </c>
      <c r="G79" s="560">
        <f>AF65</f>
        <v>1295</v>
      </c>
      <c r="H79" s="552">
        <f t="shared" si="1"/>
        <v>21.583333333333332</v>
      </c>
      <c r="I79" s="560">
        <f>AG65</f>
        <v>85</v>
      </c>
      <c r="J79" s="552">
        <f t="shared" si="1"/>
        <v>1.4166666666666667</v>
      </c>
    </row>
    <row r="80" spans="1:33" ht="15.75" thickBot="1" x14ac:dyDescent="0.3"/>
    <row r="81" spans="2:10" ht="15.75" thickBot="1" x14ac:dyDescent="0.3">
      <c r="B81" s="563" t="s">
        <v>217</v>
      </c>
      <c r="C81" s="564"/>
      <c r="D81" s="565">
        <f>SUM(D76:D80)</f>
        <v>51.449999999999996</v>
      </c>
      <c r="E81" s="564"/>
      <c r="F81" s="565">
        <f>SUM(F76:F80)</f>
        <v>10.433333333333334</v>
      </c>
      <c r="G81" s="564"/>
      <c r="H81" s="565">
        <f>SUM(H76:H80)</f>
        <v>71.483333333333334</v>
      </c>
      <c r="I81" s="564"/>
      <c r="J81" s="566">
        <f>SUM(J76:J80)</f>
        <v>5.9</v>
      </c>
    </row>
  </sheetData>
  <mergeCells count="43">
    <mergeCell ref="I74:J74"/>
    <mergeCell ref="A59:A60"/>
    <mergeCell ref="A61:A62"/>
    <mergeCell ref="A63:A64"/>
    <mergeCell ref="C74:D74"/>
    <mergeCell ref="E74:F74"/>
    <mergeCell ref="G74:H74"/>
    <mergeCell ref="A57:A58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33:A34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D1:AG1"/>
    <mergeCell ref="AH1:AK1"/>
    <mergeCell ref="A3:A4"/>
    <mergeCell ref="A5:A6"/>
    <mergeCell ref="A7:A8"/>
    <mergeCell ref="U1:X1"/>
    <mergeCell ref="Y1:AB1"/>
    <mergeCell ref="A9:A10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"/>
  <sheetViews>
    <sheetView zoomScale="70" zoomScaleNormal="70"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I62" sqref="I62"/>
    </sheetView>
  </sheetViews>
  <sheetFormatPr defaultColWidth="8.85546875" defaultRowHeight="15" x14ac:dyDescent="0.25"/>
  <cols>
    <col min="1" max="1" width="14.5703125" style="524" customWidth="1"/>
    <col min="2" max="2" width="15.7109375" style="525" customWidth="1"/>
    <col min="3" max="6" width="8.85546875" style="524"/>
    <col min="7" max="7" width="17.7109375" style="524" bestFit="1" customWidth="1"/>
    <col min="8" max="8" width="16.85546875" style="524" customWidth="1"/>
    <col min="9" max="9" width="14.5703125" style="524" customWidth="1"/>
    <col min="10" max="10" width="17.28515625" style="524" bestFit="1" customWidth="1"/>
    <col min="11" max="15" width="8.85546875" style="524"/>
    <col min="16" max="16" width="15.28515625" style="524" bestFit="1" customWidth="1"/>
    <col min="17" max="17" width="17.28515625" style="524" customWidth="1"/>
    <col min="18" max="18" width="12.42578125" style="524" customWidth="1"/>
    <col min="19" max="19" width="15.28515625" style="524" bestFit="1" customWidth="1"/>
    <col min="20" max="21" width="8.85546875" style="524"/>
    <col min="22" max="22" width="15.42578125" style="524" customWidth="1"/>
    <col min="23" max="23" width="8.85546875" style="524"/>
    <col min="24" max="24" width="9.42578125" style="524" bestFit="1" customWidth="1"/>
    <col min="25" max="25" width="17.140625" style="524" customWidth="1"/>
    <col min="26" max="26" width="14.7109375" style="524" customWidth="1"/>
    <col min="27" max="27" width="12.42578125" style="524" customWidth="1"/>
    <col min="28" max="28" width="15.28515625" style="524" customWidth="1"/>
    <col min="29" max="33" width="8.85546875" style="524"/>
    <col min="34" max="34" width="17.7109375" style="524" bestFit="1" customWidth="1"/>
    <col min="35" max="35" width="15" style="524" bestFit="1" customWidth="1"/>
    <col min="36" max="36" width="15.85546875" style="524" customWidth="1"/>
    <col min="37" max="37" width="15.28515625" style="524" customWidth="1"/>
    <col min="38" max="16384" width="8.85546875" style="524"/>
  </cols>
  <sheetData>
    <row r="1" spans="1:37" x14ac:dyDescent="0.25">
      <c r="C1" s="2217" t="s">
        <v>1</v>
      </c>
      <c r="D1" s="2212"/>
      <c r="E1" s="2212"/>
      <c r="F1" s="2212"/>
      <c r="G1" s="2211" t="s">
        <v>206</v>
      </c>
      <c r="H1" s="2209"/>
      <c r="I1" s="2209"/>
      <c r="J1" s="2210"/>
      <c r="L1" s="2212" t="s">
        <v>202</v>
      </c>
      <c r="M1" s="2212"/>
      <c r="N1" s="2212"/>
      <c r="O1" s="2212"/>
      <c r="P1" s="2209" t="s">
        <v>206</v>
      </c>
      <c r="Q1" s="2209"/>
      <c r="R1" s="2209"/>
      <c r="S1" s="2210"/>
      <c r="U1" s="2212" t="s">
        <v>2</v>
      </c>
      <c r="V1" s="2212"/>
      <c r="W1" s="2212"/>
      <c r="X1" s="2212"/>
      <c r="Y1" s="2209" t="s">
        <v>206</v>
      </c>
      <c r="Z1" s="2209"/>
      <c r="AA1" s="2209"/>
      <c r="AB1" s="2210"/>
      <c r="AD1" s="2212" t="s">
        <v>203</v>
      </c>
      <c r="AE1" s="2212"/>
      <c r="AF1" s="2212"/>
      <c r="AG1" s="2212"/>
      <c r="AH1" s="2209" t="s">
        <v>206</v>
      </c>
      <c r="AI1" s="2209"/>
      <c r="AJ1" s="2209"/>
      <c r="AK1" s="2210"/>
    </row>
    <row r="2" spans="1:37" ht="15.75" thickBot="1" x14ac:dyDescent="0.3">
      <c r="A2" s="531" t="s">
        <v>0</v>
      </c>
      <c r="B2" s="532" t="s">
        <v>198</v>
      </c>
      <c r="C2" s="529" t="s">
        <v>199</v>
      </c>
      <c r="D2" s="526" t="s">
        <v>200</v>
      </c>
      <c r="E2" s="526" t="s">
        <v>201</v>
      </c>
      <c r="F2" s="526" t="s">
        <v>204</v>
      </c>
      <c r="G2" s="575" t="s">
        <v>199</v>
      </c>
      <c r="H2" s="575" t="s">
        <v>200</v>
      </c>
      <c r="I2" s="575" t="s">
        <v>201</v>
      </c>
      <c r="J2" s="575" t="s">
        <v>204</v>
      </c>
      <c r="K2" s="524" t="s">
        <v>269</v>
      </c>
      <c r="L2" s="526" t="s">
        <v>199</v>
      </c>
      <c r="M2" s="526" t="s">
        <v>200</v>
      </c>
      <c r="N2" s="526" t="s">
        <v>201</v>
      </c>
      <c r="O2" s="526" t="s">
        <v>204</v>
      </c>
      <c r="P2" s="527" t="s">
        <v>199</v>
      </c>
      <c r="Q2" s="526" t="s">
        <v>200</v>
      </c>
      <c r="R2" s="526" t="s">
        <v>201</v>
      </c>
      <c r="S2" s="526" t="s">
        <v>204</v>
      </c>
      <c r="U2" s="526" t="s">
        <v>199</v>
      </c>
      <c r="V2" s="526" t="s">
        <v>200</v>
      </c>
      <c r="W2" s="526" t="s">
        <v>201</v>
      </c>
      <c r="X2" s="526" t="s">
        <v>204</v>
      </c>
      <c r="Y2" s="527" t="s">
        <v>199</v>
      </c>
      <c r="Z2" s="526" t="s">
        <v>200</v>
      </c>
      <c r="AA2" s="526" t="s">
        <v>201</v>
      </c>
      <c r="AB2" s="526" t="s">
        <v>204</v>
      </c>
      <c r="AD2" s="526" t="s">
        <v>199</v>
      </c>
      <c r="AE2" s="526" t="s">
        <v>200</v>
      </c>
      <c r="AF2" s="526" t="s">
        <v>201</v>
      </c>
      <c r="AG2" s="526" t="s">
        <v>204</v>
      </c>
      <c r="AH2" s="527" t="s">
        <v>199</v>
      </c>
      <c r="AI2" s="526" t="s">
        <v>200</v>
      </c>
      <c r="AJ2" s="526" t="s">
        <v>201</v>
      </c>
      <c r="AK2" s="526" t="s">
        <v>204</v>
      </c>
    </row>
    <row r="3" spans="1:37" ht="15.75" thickTop="1" x14ac:dyDescent="0.25">
      <c r="A3" s="2206">
        <v>44531</v>
      </c>
      <c r="B3" s="626">
        <v>1</v>
      </c>
      <c r="C3" s="592"/>
      <c r="D3" s="593"/>
      <c r="E3" s="593"/>
      <c r="F3" s="594"/>
      <c r="G3" s="577"/>
      <c r="H3" s="578"/>
      <c r="I3" s="589"/>
      <c r="J3" s="579"/>
      <c r="L3" s="543"/>
      <c r="M3" s="544"/>
      <c r="N3" s="544"/>
      <c r="O3" s="628"/>
      <c r="P3" s="629"/>
      <c r="Q3" s="630"/>
      <c r="R3" s="630"/>
      <c r="S3" s="628"/>
      <c r="T3" s="622"/>
      <c r="U3" s="612"/>
      <c r="V3" s="630"/>
      <c r="W3" s="630"/>
      <c r="X3" s="628"/>
      <c r="Y3" s="631"/>
      <c r="Z3" s="630"/>
      <c r="AA3" s="630"/>
      <c r="AB3" s="628"/>
      <c r="AC3" s="622"/>
      <c r="AD3" s="612"/>
      <c r="AE3" s="630"/>
      <c r="AF3" s="630"/>
      <c r="AG3" s="628"/>
      <c r="AH3" s="629"/>
      <c r="AI3" s="630"/>
      <c r="AJ3" s="630"/>
      <c r="AK3" s="628"/>
    </row>
    <row r="4" spans="1:37" ht="45" x14ac:dyDescent="0.25">
      <c r="A4" s="2205"/>
      <c r="B4" s="574">
        <v>2</v>
      </c>
      <c r="C4" s="595"/>
      <c r="D4" s="596">
        <v>85</v>
      </c>
      <c r="E4" s="596"/>
      <c r="F4" s="597"/>
      <c r="G4" s="580"/>
      <c r="H4" s="605" t="s">
        <v>281</v>
      </c>
      <c r="I4" s="576"/>
      <c r="J4" s="582"/>
      <c r="L4" s="541"/>
      <c r="M4" s="535"/>
      <c r="N4" s="535"/>
      <c r="O4" s="613"/>
      <c r="P4" s="614"/>
      <c r="Q4" s="6"/>
      <c r="R4" s="6"/>
      <c r="S4" s="613"/>
      <c r="T4" s="622"/>
      <c r="U4" s="572"/>
      <c r="V4" s="605"/>
      <c r="W4" s="6"/>
      <c r="X4" s="613"/>
      <c r="Y4" s="631"/>
      <c r="Z4" s="6"/>
      <c r="AA4" s="571"/>
      <c r="AB4" s="613"/>
      <c r="AC4" s="622"/>
      <c r="AD4" s="572"/>
      <c r="AE4" s="6">
        <v>210</v>
      </c>
      <c r="AF4" s="6"/>
      <c r="AG4" s="613"/>
      <c r="AH4" s="614"/>
      <c r="AI4" s="6" t="s">
        <v>28</v>
      </c>
      <c r="AJ4" s="6"/>
      <c r="AK4" s="613"/>
    </row>
    <row r="5" spans="1:37" x14ac:dyDescent="0.25">
      <c r="A5" s="2206">
        <v>44532</v>
      </c>
      <c r="B5" s="574">
        <v>1</v>
      </c>
      <c r="C5" s="595"/>
      <c r="D5" s="596"/>
      <c r="E5" s="596"/>
      <c r="F5" s="597"/>
      <c r="G5" s="580"/>
      <c r="H5" s="581"/>
      <c r="I5" s="581"/>
      <c r="J5" s="582"/>
      <c r="L5" s="541"/>
      <c r="M5" s="535"/>
      <c r="N5" s="535"/>
      <c r="O5" s="613"/>
      <c r="P5" s="614"/>
      <c r="Q5" s="6"/>
      <c r="R5" s="6"/>
      <c r="S5" s="613"/>
      <c r="T5" s="622"/>
      <c r="U5" s="572"/>
      <c r="V5" s="6"/>
      <c r="W5" s="6"/>
      <c r="X5" s="613"/>
      <c r="Y5" s="571"/>
      <c r="Z5" s="6"/>
      <c r="AA5" s="571"/>
      <c r="AB5" s="613"/>
      <c r="AC5" s="622"/>
      <c r="AD5" s="572">
        <v>212</v>
      </c>
      <c r="AE5" s="6"/>
      <c r="AF5" s="6"/>
      <c r="AG5" s="613"/>
      <c r="AH5" s="614" t="s">
        <v>282</v>
      </c>
      <c r="AI5" s="6"/>
      <c r="AJ5" s="6"/>
      <c r="AK5" s="613"/>
    </row>
    <row r="6" spans="1:37" ht="30" x14ac:dyDescent="0.25">
      <c r="A6" s="2205"/>
      <c r="B6" s="574">
        <v>2</v>
      </c>
      <c r="C6" s="595"/>
      <c r="D6" s="596"/>
      <c r="E6" s="596"/>
      <c r="F6" s="597"/>
      <c r="G6" s="580"/>
      <c r="H6" s="581"/>
      <c r="I6" s="581"/>
      <c r="J6" s="582"/>
      <c r="L6" s="541"/>
      <c r="M6" s="15">
        <v>300</v>
      </c>
      <c r="N6" s="535"/>
      <c r="O6" s="613"/>
      <c r="P6" s="614"/>
      <c r="Q6" s="605" t="s">
        <v>283</v>
      </c>
      <c r="R6" s="6"/>
      <c r="S6" s="613"/>
      <c r="T6" s="622"/>
      <c r="U6" s="572"/>
      <c r="V6" s="6"/>
      <c r="W6" s="6"/>
      <c r="X6" s="613"/>
      <c r="Y6" s="571"/>
      <c r="Z6" s="605"/>
      <c r="AA6" s="571"/>
      <c r="AB6" s="613"/>
      <c r="AC6" s="622"/>
      <c r="AD6" s="572">
        <v>720</v>
      </c>
      <c r="AE6" s="6"/>
      <c r="AF6" s="6"/>
      <c r="AG6" s="613"/>
      <c r="AH6" s="614" t="s">
        <v>282</v>
      </c>
      <c r="AI6" s="6"/>
      <c r="AJ6" s="605"/>
      <c r="AK6" s="613"/>
    </row>
    <row r="7" spans="1:37" x14ac:dyDescent="0.25">
      <c r="A7" s="2206">
        <v>44533</v>
      </c>
      <c r="B7" s="574">
        <v>1</v>
      </c>
      <c r="C7" s="595"/>
      <c r="D7" s="596"/>
      <c r="E7" s="596"/>
      <c r="F7" s="597"/>
      <c r="G7" s="580"/>
      <c r="H7" s="585"/>
      <c r="I7" s="581"/>
      <c r="J7" s="582"/>
      <c r="L7" s="572"/>
      <c r="M7" s="614"/>
      <c r="N7" s="535"/>
      <c r="O7" s="613"/>
      <c r="P7" s="614"/>
      <c r="Q7" s="614"/>
      <c r="R7" s="6"/>
      <c r="S7" s="613"/>
      <c r="T7" s="622"/>
      <c r="U7" s="572"/>
      <c r="V7" s="632"/>
      <c r="W7" s="6">
        <v>20</v>
      </c>
      <c r="X7" s="613"/>
      <c r="Y7" s="614"/>
      <c r="Z7" s="6"/>
      <c r="AA7" s="6" t="s">
        <v>27</v>
      </c>
      <c r="AB7" s="613"/>
      <c r="AC7" s="622"/>
      <c r="AD7" s="572">
        <v>720</v>
      </c>
      <c r="AE7" s="6"/>
      <c r="AF7" s="6"/>
      <c r="AG7" s="613"/>
      <c r="AH7" s="614" t="s">
        <v>282</v>
      </c>
      <c r="AI7" s="6"/>
      <c r="AJ7" s="6"/>
      <c r="AK7" s="613"/>
    </row>
    <row r="8" spans="1:37" ht="45" x14ac:dyDescent="0.25">
      <c r="A8" s="2205"/>
      <c r="B8" s="574">
        <v>2</v>
      </c>
      <c r="C8" s="595"/>
      <c r="D8" s="596"/>
      <c r="E8" s="596"/>
      <c r="F8" s="597"/>
      <c r="G8" s="583"/>
      <c r="H8" s="581"/>
      <c r="I8" s="618"/>
      <c r="J8" s="582"/>
      <c r="L8" s="572">
        <v>320</v>
      </c>
      <c r="M8" s="6"/>
      <c r="N8" s="6">
        <v>320</v>
      </c>
      <c r="O8" s="613"/>
      <c r="P8" s="571" t="s">
        <v>284</v>
      </c>
      <c r="Q8" s="6"/>
      <c r="R8" s="605" t="s">
        <v>286</v>
      </c>
      <c r="S8" s="613"/>
      <c r="T8" s="622"/>
      <c r="U8" s="572"/>
      <c r="V8" s="633"/>
      <c r="W8" s="614">
        <v>39</v>
      </c>
      <c r="X8" s="613"/>
      <c r="Y8" s="571"/>
      <c r="Z8" s="6"/>
      <c r="AA8" s="571" t="s">
        <v>285</v>
      </c>
      <c r="AB8" s="613"/>
      <c r="AC8" s="622"/>
      <c r="AD8" s="572">
        <v>57</v>
      </c>
      <c r="AE8" s="6"/>
      <c r="AF8" s="6"/>
      <c r="AG8" s="613"/>
      <c r="AH8" s="614" t="s">
        <v>282</v>
      </c>
      <c r="AI8" s="6"/>
      <c r="AJ8" s="6"/>
      <c r="AK8" s="613"/>
    </row>
    <row r="9" spans="1:37" ht="45" x14ac:dyDescent="0.25">
      <c r="A9" s="2206">
        <v>44534</v>
      </c>
      <c r="B9" s="574">
        <v>1</v>
      </c>
      <c r="C9" s="595"/>
      <c r="D9" s="596"/>
      <c r="E9" s="596"/>
      <c r="F9" s="597"/>
      <c r="G9" s="580"/>
      <c r="H9" s="581"/>
      <c r="I9" s="619"/>
      <c r="J9" s="582"/>
      <c r="L9" s="572">
        <v>360</v>
      </c>
      <c r="M9" s="6"/>
      <c r="N9" s="6">
        <v>360</v>
      </c>
      <c r="O9" s="613"/>
      <c r="P9" s="571" t="s">
        <v>284</v>
      </c>
      <c r="Q9" s="6"/>
      <c r="R9" s="605" t="s">
        <v>286</v>
      </c>
      <c r="S9" s="613"/>
      <c r="T9" s="622"/>
      <c r="U9" s="572"/>
      <c r="V9" s="6"/>
      <c r="W9" s="6">
        <v>25</v>
      </c>
      <c r="X9" s="613"/>
      <c r="Y9" s="614"/>
      <c r="Z9" s="6"/>
      <c r="AA9" s="6" t="s">
        <v>27</v>
      </c>
      <c r="AB9" s="613"/>
      <c r="AC9" s="622"/>
      <c r="AD9" s="572"/>
      <c r="AE9" s="6"/>
      <c r="AF9" s="6"/>
      <c r="AG9" s="613"/>
      <c r="AH9" s="614"/>
      <c r="AI9" s="6"/>
      <c r="AJ9" s="6"/>
      <c r="AK9" s="613"/>
    </row>
    <row r="10" spans="1:37" ht="45" x14ac:dyDescent="0.25">
      <c r="A10" s="2205"/>
      <c r="B10" s="574">
        <v>2</v>
      </c>
      <c r="C10" s="595"/>
      <c r="D10" s="596"/>
      <c r="E10" s="596">
        <v>25</v>
      </c>
      <c r="F10" s="597"/>
      <c r="G10" s="580"/>
      <c r="H10" s="581"/>
      <c r="I10" s="619" t="s">
        <v>27</v>
      </c>
      <c r="J10" s="582"/>
      <c r="L10" s="572">
        <v>360</v>
      </c>
      <c r="M10" s="6"/>
      <c r="N10" s="6">
        <v>360</v>
      </c>
      <c r="O10" s="613"/>
      <c r="P10" s="571" t="s">
        <v>284</v>
      </c>
      <c r="Q10" s="6"/>
      <c r="R10" s="605" t="s">
        <v>286</v>
      </c>
      <c r="S10" s="613"/>
      <c r="T10" s="622"/>
      <c r="U10" s="572"/>
      <c r="V10" s="6"/>
      <c r="W10" s="6">
        <v>23</v>
      </c>
      <c r="X10" s="613"/>
      <c r="Y10" s="571"/>
      <c r="Z10" s="6"/>
      <c r="AA10" s="6" t="s">
        <v>27</v>
      </c>
      <c r="AB10" s="613"/>
      <c r="AC10" s="622"/>
      <c r="AD10" s="572"/>
      <c r="AE10" s="6"/>
      <c r="AF10" s="6"/>
      <c r="AG10" s="613"/>
      <c r="AH10" s="614"/>
      <c r="AI10" s="6"/>
      <c r="AJ10" s="6"/>
      <c r="AK10" s="613"/>
    </row>
    <row r="11" spans="1:37" ht="45" x14ac:dyDescent="0.25">
      <c r="A11" s="2206">
        <v>44535</v>
      </c>
      <c r="B11" s="574">
        <v>1</v>
      </c>
      <c r="C11" s="595"/>
      <c r="D11" s="596"/>
      <c r="E11" s="596"/>
      <c r="F11" s="597"/>
      <c r="G11" s="580"/>
      <c r="H11" s="581"/>
      <c r="I11" s="581"/>
      <c r="J11" s="582"/>
      <c r="L11" s="572">
        <v>360</v>
      </c>
      <c r="M11" s="535"/>
      <c r="N11" s="6">
        <v>360</v>
      </c>
      <c r="O11" s="613"/>
      <c r="P11" s="571" t="s">
        <v>284</v>
      </c>
      <c r="Q11" s="6"/>
      <c r="R11" s="605" t="s">
        <v>286</v>
      </c>
      <c r="S11" s="613"/>
      <c r="T11" s="622"/>
      <c r="U11" s="572"/>
      <c r="V11" s="6"/>
      <c r="W11" s="6"/>
      <c r="X11" s="613"/>
      <c r="Y11" s="614"/>
      <c r="Z11" s="6"/>
      <c r="AA11" s="6"/>
      <c r="AB11" s="613"/>
      <c r="AC11" s="622"/>
      <c r="AD11" s="572"/>
      <c r="AE11" s="6"/>
      <c r="AF11" s="6"/>
      <c r="AG11" s="613"/>
      <c r="AH11" s="614"/>
      <c r="AI11" s="6"/>
      <c r="AJ11" s="6"/>
      <c r="AK11" s="613"/>
    </row>
    <row r="12" spans="1:37" ht="45" x14ac:dyDescent="0.25">
      <c r="A12" s="2205"/>
      <c r="B12" s="574">
        <v>2</v>
      </c>
      <c r="C12" s="595"/>
      <c r="D12" s="596"/>
      <c r="E12" s="596"/>
      <c r="F12" s="597"/>
      <c r="G12" s="580"/>
      <c r="H12" s="581"/>
      <c r="I12" s="620"/>
      <c r="J12" s="582"/>
      <c r="L12" s="572">
        <v>360</v>
      </c>
      <c r="M12" s="535"/>
      <c r="N12" s="6">
        <v>360</v>
      </c>
      <c r="O12" s="613"/>
      <c r="P12" s="571" t="s">
        <v>284</v>
      </c>
      <c r="Q12" s="6"/>
      <c r="R12" s="605" t="s">
        <v>286</v>
      </c>
      <c r="S12" s="613"/>
      <c r="T12" s="622"/>
      <c r="U12" s="572"/>
      <c r="V12" s="6"/>
      <c r="W12" s="6">
        <v>10</v>
      </c>
      <c r="X12" s="613"/>
      <c r="Y12" s="614"/>
      <c r="Z12" s="6"/>
      <c r="AA12" s="6" t="s">
        <v>27</v>
      </c>
      <c r="AB12" s="613"/>
      <c r="AC12" s="622"/>
      <c r="AD12" s="572"/>
      <c r="AE12" s="6"/>
      <c r="AF12" s="6"/>
      <c r="AG12" s="613"/>
      <c r="AH12" s="614"/>
      <c r="AI12" s="6"/>
      <c r="AJ12" s="6"/>
      <c r="AK12" s="613"/>
    </row>
    <row r="13" spans="1:37" ht="45" x14ac:dyDescent="0.25">
      <c r="A13" s="2206">
        <v>44536</v>
      </c>
      <c r="B13" s="574">
        <v>1</v>
      </c>
      <c r="C13" s="595"/>
      <c r="D13" s="596"/>
      <c r="E13" s="596"/>
      <c r="F13" s="597"/>
      <c r="G13" s="580"/>
      <c r="H13" s="581"/>
      <c r="I13" s="620"/>
      <c r="J13" s="582"/>
      <c r="L13" s="621">
        <v>169</v>
      </c>
      <c r="M13" s="15"/>
      <c r="N13" s="15">
        <v>169</v>
      </c>
      <c r="O13" s="613"/>
      <c r="P13" s="571" t="s">
        <v>284</v>
      </c>
      <c r="Q13" s="6"/>
      <c r="R13" s="605" t="s">
        <v>286</v>
      </c>
      <c r="S13" s="613"/>
      <c r="T13" s="622"/>
      <c r="U13" s="572"/>
      <c r="V13" s="6"/>
      <c r="W13" s="6"/>
      <c r="X13" s="613"/>
      <c r="Y13" s="614"/>
      <c r="Z13" s="6"/>
      <c r="AA13" s="605"/>
      <c r="AB13" s="634"/>
      <c r="AC13" s="622"/>
      <c r="AD13" s="572"/>
      <c r="AE13" s="6"/>
      <c r="AF13" s="6"/>
      <c r="AG13" s="613"/>
      <c r="AH13" s="614"/>
      <c r="AI13" s="6"/>
      <c r="AJ13" s="6"/>
      <c r="AK13" s="613"/>
    </row>
    <row r="14" spans="1:37" x14ac:dyDescent="0.25">
      <c r="A14" s="2205"/>
      <c r="B14" s="574">
        <v>2</v>
      </c>
      <c r="C14" s="595"/>
      <c r="D14" s="596"/>
      <c r="E14" s="596"/>
      <c r="F14" s="597"/>
      <c r="G14" s="580"/>
      <c r="H14" s="581"/>
      <c r="I14" s="581"/>
      <c r="J14" s="582"/>
      <c r="L14" s="541"/>
      <c r="M14" s="535"/>
      <c r="N14" s="535"/>
      <c r="O14" s="613"/>
      <c r="P14" s="614"/>
      <c r="Q14" s="6"/>
      <c r="R14" s="6"/>
      <c r="S14" s="613"/>
      <c r="T14" s="622"/>
      <c r="U14" s="572"/>
      <c r="V14" s="6"/>
      <c r="W14" s="6"/>
      <c r="X14" s="613"/>
      <c r="Y14" s="614"/>
      <c r="Z14" s="6"/>
      <c r="AA14" s="6"/>
      <c r="AB14" s="613"/>
      <c r="AC14" s="622"/>
      <c r="AD14" s="572"/>
      <c r="AE14" s="6"/>
      <c r="AF14" s="6"/>
      <c r="AG14" s="613"/>
      <c r="AH14" s="571"/>
      <c r="AI14" s="6"/>
      <c r="AJ14" s="6"/>
      <c r="AK14" s="613"/>
    </row>
    <row r="15" spans="1:37" ht="90" x14ac:dyDescent="0.25">
      <c r="A15" s="2206">
        <v>44537</v>
      </c>
      <c r="B15" s="574">
        <v>1</v>
      </c>
      <c r="C15" s="595"/>
      <c r="D15" s="596">
        <v>60</v>
      </c>
      <c r="E15" s="6"/>
      <c r="F15" s="597"/>
      <c r="G15" s="580"/>
      <c r="H15" s="585" t="s">
        <v>287</v>
      </c>
      <c r="I15" s="619"/>
      <c r="J15" s="582"/>
      <c r="L15" s="541"/>
      <c r="M15" s="6">
        <v>62</v>
      </c>
      <c r="N15" s="535"/>
      <c r="O15" s="613"/>
      <c r="P15" s="572"/>
      <c r="Q15" s="585" t="s">
        <v>287</v>
      </c>
      <c r="R15" s="6"/>
      <c r="S15" s="613"/>
      <c r="T15" s="622"/>
      <c r="U15" s="572"/>
      <c r="V15" s="6">
        <v>83</v>
      </c>
      <c r="W15" s="6"/>
      <c r="X15" s="613"/>
      <c r="Y15" s="572"/>
      <c r="Z15" s="585" t="s">
        <v>287</v>
      </c>
      <c r="AA15" s="6"/>
      <c r="AB15" s="613"/>
      <c r="AC15" s="622"/>
      <c r="AD15" s="572"/>
      <c r="AE15" s="6">
        <v>72</v>
      </c>
      <c r="AF15" s="6"/>
      <c r="AG15" s="613"/>
      <c r="AH15" s="572"/>
      <c r="AI15" s="585" t="s">
        <v>287</v>
      </c>
      <c r="AJ15" s="605"/>
      <c r="AK15" s="613"/>
    </row>
    <row r="16" spans="1:37" x14ac:dyDescent="0.25">
      <c r="A16" s="2205"/>
      <c r="B16" s="574">
        <v>2</v>
      </c>
      <c r="C16" s="595"/>
      <c r="D16" s="596"/>
      <c r="E16" s="596"/>
      <c r="F16" s="597"/>
      <c r="G16" s="580"/>
      <c r="H16" s="581"/>
      <c r="I16" s="581"/>
      <c r="J16" s="582"/>
      <c r="L16" s="541"/>
      <c r="M16" s="535"/>
      <c r="N16" s="535"/>
      <c r="O16" s="613"/>
      <c r="P16" s="572"/>
      <c r="Q16" s="6"/>
      <c r="R16" s="6"/>
      <c r="S16" s="613"/>
      <c r="T16" s="622"/>
      <c r="U16" s="572"/>
      <c r="V16" s="6"/>
      <c r="W16" s="6"/>
      <c r="X16" s="613"/>
      <c r="Y16" s="572"/>
      <c r="Z16" s="6"/>
      <c r="AA16" s="6"/>
      <c r="AB16" s="613"/>
      <c r="AC16" s="622"/>
      <c r="AD16" s="572"/>
      <c r="AE16" s="6"/>
      <c r="AF16" s="6"/>
      <c r="AG16" s="613"/>
      <c r="AH16" s="572"/>
      <c r="AI16" s="6"/>
      <c r="AJ16" s="6"/>
      <c r="AK16" s="613"/>
    </row>
    <row r="17" spans="1:37" x14ac:dyDescent="0.25">
      <c r="A17" s="2206">
        <v>44538</v>
      </c>
      <c r="B17" s="574">
        <v>1</v>
      </c>
      <c r="C17" s="595"/>
      <c r="D17" s="596"/>
      <c r="E17" s="596"/>
      <c r="F17" s="597"/>
      <c r="G17" s="580"/>
      <c r="H17" s="581"/>
      <c r="I17" s="581"/>
      <c r="J17" s="582"/>
      <c r="L17" s="541"/>
      <c r="M17" s="535"/>
      <c r="N17" s="535"/>
      <c r="O17" s="613"/>
      <c r="P17" s="572"/>
      <c r="Q17" s="6"/>
      <c r="R17" s="6"/>
      <c r="S17" s="613"/>
      <c r="T17" s="622"/>
      <c r="U17" s="572"/>
      <c r="V17" s="6"/>
      <c r="W17" s="6"/>
      <c r="X17" s="613"/>
      <c r="Y17" s="572"/>
      <c r="Z17" s="6"/>
      <c r="AA17" s="6"/>
      <c r="AB17" s="613"/>
      <c r="AC17" s="622"/>
      <c r="AD17" s="572"/>
      <c r="AE17" s="6"/>
      <c r="AF17" s="6"/>
      <c r="AG17" s="613"/>
      <c r="AH17" s="572"/>
      <c r="AI17" s="6"/>
      <c r="AJ17" s="605"/>
      <c r="AK17" s="613"/>
    </row>
    <row r="18" spans="1:37" ht="30" x14ac:dyDescent="0.25">
      <c r="A18" s="2205"/>
      <c r="B18" s="574">
        <v>2</v>
      </c>
      <c r="C18" s="595"/>
      <c r="D18" s="596"/>
      <c r="E18" s="596">
        <v>21</v>
      </c>
      <c r="F18" s="597"/>
      <c r="G18" s="580"/>
      <c r="H18" s="585" t="s">
        <v>82</v>
      </c>
      <c r="I18" s="581"/>
      <c r="J18" s="582"/>
      <c r="L18" s="541"/>
      <c r="M18" s="535"/>
      <c r="N18" s="535"/>
      <c r="O18" s="613"/>
      <c r="P18" s="572"/>
      <c r="Q18" s="6"/>
      <c r="R18" s="6"/>
      <c r="S18" s="613"/>
      <c r="T18" s="622"/>
      <c r="U18" s="572"/>
      <c r="V18" s="6"/>
      <c r="W18" s="6"/>
      <c r="X18" s="613"/>
      <c r="Y18" s="572"/>
      <c r="Z18" s="6"/>
      <c r="AA18" s="6"/>
      <c r="AB18" s="613"/>
      <c r="AC18" s="622"/>
      <c r="AD18" s="572"/>
      <c r="AE18" s="6"/>
      <c r="AF18" s="6"/>
      <c r="AG18" s="613"/>
      <c r="AH18" s="572"/>
      <c r="AI18" s="6"/>
      <c r="AJ18" s="605"/>
      <c r="AK18" s="613"/>
    </row>
    <row r="19" spans="1:37" x14ac:dyDescent="0.25">
      <c r="A19" s="2206">
        <v>44539</v>
      </c>
      <c r="B19" s="574">
        <v>1</v>
      </c>
      <c r="D19" s="596"/>
      <c r="E19" s="595"/>
      <c r="F19" s="597"/>
      <c r="G19" s="580"/>
      <c r="H19" s="581"/>
      <c r="I19" s="581"/>
      <c r="J19" s="582"/>
      <c r="L19" s="541"/>
      <c r="M19" s="535"/>
      <c r="N19" s="535"/>
      <c r="O19" s="613"/>
      <c r="P19" s="572"/>
      <c r="Q19" s="6"/>
      <c r="R19" s="6"/>
      <c r="S19" s="613"/>
      <c r="T19" s="622"/>
      <c r="U19" s="572"/>
      <c r="V19" s="6"/>
      <c r="W19" s="6"/>
      <c r="X19" s="613"/>
      <c r="Y19" s="572"/>
      <c r="Z19" s="6"/>
      <c r="AA19" s="6"/>
      <c r="AB19" s="613"/>
      <c r="AC19" s="622"/>
      <c r="AD19" s="572"/>
      <c r="AE19" s="6"/>
      <c r="AF19" s="6"/>
      <c r="AG19" s="613"/>
      <c r="AH19" s="572"/>
      <c r="AI19" s="6"/>
      <c r="AJ19" s="605"/>
      <c r="AK19" s="613"/>
    </row>
    <row r="20" spans="1:37" x14ac:dyDescent="0.25">
      <c r="A20" s="2205"/>
      <c r="B20" s="574">
        <v>2</v>
      </c>
      <c r="C20" s="595"/>
      <c r="D20" s="596"/>
      <c r="E20" s="596"/>
      <c r="F20" s="597"/>
      <c r="G20" s="580"/>
      <c r="H20" s="581"/>
      <c r="I20" s="581"/>
      <c r="J20" s="582"/>
      <c r="L20" s="541"/>
      <c r="M20" s="535"/>
      <c r="N20" s="535"/>
      <c r="O20" s="613"/>
      <c r="P20" s="572"/>
      <c r="Q20" s="6"/>
      <c r="R20" s="6"/>
      <c r="S20" s="613"/>
      <c r="T20" s="622"/>
      <c r="U20" s="572"/>
      <c r="V20" s="6"/>
      <c r="W20" s="6"/>
      <c r="X20" s="613"/>
      <c r="Y20" s="572"/>
      <c r="Z20" s="6"/>
      <c r="AA20" s="6"/>
      <c r="AB20" s="613"/>
      <c r="AC20" s="622"/>
      <c r="AD20" s="572"/>
      <c r="AE20" s="6"/>
      <c r="AF20" s="6"/>
      <c r="AG20" s="613"/>
      <c r="AH20" s="572"/>
      <c r="AI20" s="6"/>
      <c r="AJ20" s="6"/>
      <c r="AK20" s="613"/>
    </row>
    <row r="21" spans="1:37" x14ac:dyDescent="0.25">
      <c r="A21" s="2206">
        <v>44540</v>
      </c>
      <c r="B21" s="574">
        <v>1</v>
      </c>
      <c r="C21" s="595"/>
      <c r="D21" s="596"/>
      <c r="E21" s="596"/>
      <c r="F21" s="597"/>
      <c r="G21" s="580"/>
      <c r="H21" s="581"/>
      <c r="I21" s="581"/>
      <c r="J21" s="582"/>
      <c r="L21" s="541"/>
      <c r="M21" s="535"/>
      <c r="N21" s="535"/>
      <c r="O21" s="613"/>
      <c r="P21" s="572"/>
      <c r="Q21" s="6"/>
      <c r="R21" s="6"/>
      <c r="S21" s="613"/>
      <c r="T21" s="622"/>
      <c r="U21" s="572"/>
      <c r="V21" s="6"/>
      <c r="W21" s="6">
        <v>20</v>
      </c>
      <c r="X21" s="613"/>
      <c r="Y21" s="572"/>
      <c r="Z21" s="6"/>
      <c r="AA21" s="6" t="s">
        <v>27</v>
      </c>
      <c r="AB21" s="613"/>
      <c r="AC21" s="622"/>
      <c r="AD21" s="572"/>
      <c r="AE21" s="6"/>
      <c r="AF21" s="6"/>
      <c r="AG21" s="613"/>
      <c r="AH21" s="572"/>
      <c r="AI21" s="6"/>
      <c r="AJ21" s="6"/>
      <c r="AK21" s="613"/>
    </row>
    <row r="22" spans="1:37" ht="45" x14ac:dyDescent="0.25">
      <c r="A22" s="2205"/>
      <c r="B22" s="574">
        <v>2</v>
      </c>
      <c r="C22" s="595"/>
      <c r="D22" s="596"/>
      <c r="E22" s="596"/>
      <c r="F22" s="597"/>
      <c r="G22" s="580"/>
      <c r="H22" s="581"/>
      <c r="I22" s="620"/>
      <c r="J22" s="582"/>
      <c r="L22" s="572">
        <v>513</v>
      </c>
      <c r="M22" s="535"/>
      <c r="N22" s="535"/>
      <c r="O22" s="613"/>
      <c r="P22" s="571" t="s">
        <v>284</v>
      </c>
      <c r="Q22" s="6"/>
      <c r="R22" s="6"/>
      <c r="S22" s="613"/>
      <c r="T22" s="622"/>
      <c r="U22" s="572"/>
      <c r="V22" s="6"/>
      <c r="W22" s="6"/>
      <c r="X22" s="613"/>
      <c r="Y22" s="572"/>
      <c r="Z22" s="6"/>
      <c r="AA22" s="605"/>
      <c r="AB22" s="613"/>
      <c r="AC22" s="622"/>
      <c r="AD22" s="572"/>
      <c r="AE22" s="6"/>
      <c r="AF22" s="6"/>
      <c r="AG22" s="613"/>
      <c r="AH22" s="572"/>
      <c r="AI22" s="6"/>
      <c r="AJ22" s="6"/>
      <c r="AK22" s="613"/>
    </row>
    <row r="23" spans="1:37" x14ac:dyDescent="0.25">
      <c r="A23" s="2206">
        <v>44541</v>
      </c>
      <c r="B23" s="644">
        <v>1</v>
      </c>
      <c r="C23" s="595"/>
      <c r="D23" s="596"/>
      <c r="E23" s="596"/>
      <c r="F23" s="597"/>
      <c r="G23" s="580"/>
      <c r="H23" s="581"/>
      <c r="I23" s="619"/>
      <c r="J23" s="582"/>
      <c r="L23" s="541"/>
      <c r="M23" s="535"/>
      <c r="N23" s="535"/>
      <c r="O23" s="613"/>
      <c r="P23" s="572"/>
      <c r="Q23" s="6"/>
      <c r="R23" s="6"/>
      <c r="S23" s="613"/>
      <c r="T23" s="622"/>
      <c r="U23" s="572"/>
      <c r="V23" s="6"/>
      <c r="W23" s="6"/>
      <c r="X23" s="613"/>
      <c r="Y23" s="572"/>
      <c r="Z23" s="6"/>
      <c r="AA23" s="6"/>
      <c r="AB23" s="613"/>
      <c r="AC23" s="622"/>
      <c r="AD23" s="572"/>
      <c r="AE23" s="6"/>
      <c r="AF23" s="6"/>
      <c r="AG23" s="613"/>
      <c r="AH23" s="567"/>
      <c r="AI23" s="6"/>
      <c r="AJ23" s="6"/>
      <c r="AK23" s="613"/>
    </row>
    <row r="24" spans="1:37" x14ac:dyDescent="0.25">
      <c r="A24" s="2205"/>
      <c r="B24" s="574">
        <v>2</v>
      </c>
      <c r="C24" s="595"/>
      <c r="D24" s="596"/>
      <c r="E24" s="596"/>
      <c r="F24" s="597"/>
      <c r="G24" s="580"/>
      <c r="H24" s="581"/>
      <c r="I24" s="620"/>
      <c r="J24" s="582"/>
      <c r="L24" s="541"/>
      <c r="M24" s="535"/>
      <c r="N24" s="535"/>
      <c r="O24" s="613"/>
      <c r="P24" s="572"/>
      <c r="Q24" s="6"/>
      <c r="R24" s="6"/>
      <c r="S24" s="613"/>
      <c r="T24" s="622"/>
      <c r="U24" s="572"/>
      <c r="V24" s="6"/>
      <c r="W24" s="6"/>
      <c r="X24" s="613"/>
      <c r="Y24" s="572"/>
      <c r="Z24" s="6"/>
      <c r="AA24" s="6"/>
      <c r="AB24" s="613"/>
      <c r="AC24" s="622"/>
      <c r="AD24" s="572"/>
      <c r="AE24" s="6"/>
      <c r="AF24" s="6"/>
      <c r="AG24" s="613"/>
      <c r="AH24" s="572"/>
      <c r="AI24" s="6"/>
      <c r="AJ24" s="6"/>
      <c r="AK24" s="613"/>
    </row>
    <row r="25" spans="1:37" x14ac:dyDescent="0.25">
      <c r="A25" s="2206">
        <v>44542</v>
      </c>
      <c r="B25" s="574">
        <v>1</v>
      </c>
      <c r="C25" s="595"/>
      <c r="D25" s="596"/>
      <c r="E25" s="596"/>
      <c r="F25" s="597"/>
      <c r="G25" s="580"/>
      <c r="H25" s="581"/>
      <c r="I25" s="581"/>
      <c r="J25" s="582"/>
      <c r="L25" s="541"/>
      <c r="M25" s="535"/>
      <c r="N25" s="535"/>
      <c r="O25" s="613"/>
      <c r="P25" s="572"/>
      <c r="Q25" s="6"/>
      <c r="R25" s="6"/>
      <c r="S25" s="613"/>
      <c r="T25" s="622"/>
      <c r="U25" s="572"/>
      <c r="V25" s="6"/>
      <c r="W25" s="6"/>
      <c r="X25" s="613"/>
      <c r="Y25" s="572"/>
      <c r="Z25" s="6"/>
      <c r="AA25" s="6"/>
      <c r="AB25" s="613"/>
      <c r="AC25" s="622"/>
      <c r="AD25" s="572"/>
      <c r="AE25" s="6"/>
      <c r="AF25" s="6"/>
      <c r="AG25" s="613"/>
      <c r="AH25" s="567"/>
      <c r="AI25" s="6"/>
      <c r="AJ25" s="6"/>
      <c r="AK25" s="613"/>
    </row>
    <row r="26" spans="1:37" x14ac:dyDescent="0.25">
      <c r="A26" s="2205"/>
      <c r="B26" s="574">
        <v>2</v>
      </c>
      <c r="C26" s="595"/>
      <c r="D26" s="596"/>
      <c r="E26" s="596"/>
      <c r="F26" s="597"/>
      <c r="G26" s="580"/>
      <c r="H26" s="581"/>
      <c r="I26" s="581"/>
      <c r="J26" s="582"/>
      <c r="L26" s="541"/>
      <c r="M26" s="535"/>
      <c r="N26" s="535"/>
      <c r="O26" s="613"/>
      <c r="P26" s="572"/>
      <c r="Q26" s="6"/>
      <c r="R26" s="6"/>
      <c r="S26" s="613"/>
      <c r="T26" s="622"/>
      <c r="U26" s="572"/>
      <c r="V26" s="6"/>
      <c r="W26" s="6"/>
      <c r="X26" s="613"/>
      <c r="Y26" s="572"/>
      <c r="Z26" s="6"/>
      <c r="AA26" s="6"/>
      <c r="AB26" s="613"/>
      <c r="AC26" s="622"/>
      <c r="AD26" s="572"/>
      <c r="AE26" s="6"/>
      <c r="AF26" s="6"/>
      <c r="AG26" s="613"/>
      <c r="AH26" s="567"/>
      <c r="AI26" s="6"/>
      <c r="AJ26" s="6"/>
      <c r="AK26" s="613"/>
    </row>
    <row r="27" spans="1:37" ht="30" x14ac:dyDescent="0.25">
      <c r="A27" s="2206">
        <v>44543</v>
      </c>
      <c r="B27" s="643">
        <v>1</v>
      </c>
      <c r="C27" s="595"/>
      <c r="D27" s="596"/>
      <c r="E27" s="596"/>
      <c r="F27" s="597"/>
      <c r="G27" s="580"/>
      <c r="H27" s="581"/>
      <c r="I27" s="585"/>
      <c r="J27" s="582"/>
      <c r="L27" s="541"/>
      <c r="M27" s="535"/>
      <c r="N27" s="6"/>
      <c r="O27" s="613"/>
      <c r="P27" s="572"/>
      <c r="Q27" s="6"/>
      <c r="R27" s="605"/>
      <c r="S27" s="613"/>
      <c r="T27" s="622"/>
      <c r="U27" s="572"/>
      <c r="V27" s="6"/>
      <c r="W27" s="6"/>
      <c r="X27" s="613"/>
      <c r="Y27" s="614"/>
      <c r="Z27" s="6"/>
      <c r="AA27" s="6"/>
      <c r="AB27" s="613"/>
      <c r="AC27" s="622"/>
      <c r="AD27" s="572">
        <v>15</v>
      </c>
      <c r="AE27" s="6"/>
      <c r="AF27" s="6"/>
      <c r="AG27" s="613"/>
      <c r="AH27" s="567" t="s">
        <v>288</v>
      </c>
      <c r="AI27" s="6"/>
      <c r="AJ27" s="6"/>
      <c r="AK27" s="613"/>
    </row>
    <row r="28" spans="1:37" x14ac:dyDescent="0.25">
      <c r="A28" s="2205"/>
      <c r="B28" s="574">
        <v>2</v>
      </c>
      <c r="C28" s="595"/>
      <c r="D28" s="596"/>
      <c r="E28" s="596"/>
      <c r="F28" s="597"/>
      <c r="G28" s="580"/>
      <c r="H28" s="581"/>
      <c r="I28" s="581"/>
      <c r="J28" s="582"/>
      <c r="L28" s="541"/>
      <c r="M28" s="535"/>
      <c r="N28" s="6"/>
      <c r="O28" s="613"/>
      <c r="P28" s="614"/>
      <c r="Q28" s="6"/>
      <c r="R28" s="605"/>
      <c r="S28" s="613"/>
      <c r="T28" s="622"/>
      <c r="U28" s="572">
        <v>125</v>
      </c>
      <c r="V28" s="6"/>
      <c r="W28" s="6"/>
      <c r="X28" s="613"/>
      <c r="Y28" s="614" t="s">
        <v>45</v>
      </c>
      <c r="Z28" s="6"/>
      <c r="AA28" s="6"/>
      <c r="AB28" s="613"/>
      <c r="AC28" s="622"/>
      <c r="AD28" s="572"/>
      <c r="AE28" s="6"/>
      <c r="AF28" s="6"/>
      <c r="AG28" s="613"/>
      <c r="AH28" s="614"/>
      <c r="AI28" s="6"/>
      <c r="AJ28" s="6"/>
      <c r="AK28" s="613"/>
    </row>
    <row r="29" spans="1:37" x14ac:dyDescent="0.25">
      <c r="A29" s="2206">
        <v>44544</v>
      </c>
      <c r="B29" s="574">
        <v>1</v>
      </c>
      <c r="C29" s="595"/>
      <c r="D29" s="596"/>
      <c r="E29" s="596"/>
      <c r="F29" s="597"/>
      <c r="G29" s="580"/>
      <c r="H29" s="581"/>
      <c r="I29" s="581"/>
      <c r="J29" s="582"/>
      <c r="L29" s="541"/>
      <c r="M29" s="535"/>
      <c r="N29" s="6"/>
      <c r="O29" s="613"/>
      <c r="P29" s="614"/>
      <c r="Q29" s="6"/>
      <c r="R29" s="605"/>
      <c r="S29" s="613"/>
      <c r="T29" s="622"/>
      <c r="U29" s="572"/>
      <c r="V29" s="6"/>
      <c r="W29" s="6"/>
      <c r="X29" s="613"/>
      <c r="Y29" s="614"/>
      <c r="Z29" s="6"/>
      <c r="AA29" s="6"/>
      <c r="AB29" s="613"/>
      <c r="AC29" s="622"/>
      <c r="AD29" s="572"/>
      <c r="AE29" s="6"/>
      <c r="AF29" s="6"/>
      <c r="AG29" s="613"/>
      <c r="AH29" s="614"/>
      <c r="AI29" s="6"/>
      <c r="AJ29" s="6"/>
      <c r="AK29" s="613"/>
    </row>
    <row r="30" spans="1:37" x14ac:dyDescent="0.25">
      <c r="A30" s="2205"/>
      <c r="B30" s="643">
        <v>2</v>
      </c>
      <c r="C30" s="595">
        <v>207</v>
      </c>
      <c r="D30" s="596">
        <v>73</v>
      </c>
      <c r="E30" s="596"/>
      <c r="F30" s="597"/>
      <c r="G30" s="580" t="s">
        <v>45</v>
      </c>
      <c r="H30" s="581" t="s">
        <v>289</v>
      </c>
      <c r="I30" s="581"/>
      <c r="J30" s="582"/>
      <c r="L30" s="572">
        <v>197</v>
      </c>
      <c r="M30" s="570">
        <v>25</v>
      </c>
      <c r="N30" s="570"/>
      <c r="O30" s="613"/>
      <c r="P30" s="614" t="s">
        <v>45</v>
      </c>
      <c r="Q30" s="6" t="s">
        <v>289</v>
      </c>
      <c r="R30" s="6"/>
      <c r="S30" s="613"/>
      <c r="T30" s="622"/>
      <c r="U30" s="572">
        <v>438</v>
      </c>
      <c r="V30" s="6"/>
      <c r="W30" s="6"/>
      <c r="X30" s="613"/>
      <c r="Y30" s="614" t="s">
        <v>45</v>
      </c>
      <c r="Z30" s="6"/>
      <c r="AA30" s="6"/>
      <c r="AB30" s="613"/>
      <c r="AC30" s="622"/>
      <c r="AD30" s="572">
        <v>189</v>
      </c>
      <c r="AE30" s="6"/>
      <c r="AF30" s="6"/>
      <c r="AG30" s="613"/>
      <c r="AH30" s="571" t="s">
        <v>45</v>
      </c>
      <c r="AI30" s="622"/>
      <c r="AJ30" s="6"/>
      <c r="AK30" s="613"/>
    </row>
    <row r="31" spans="1:37" x14ac:dyDescent="0.25">
      <c r="A31" s="2206">
        <v>44545</v>
      </c>
      <c r="B31" s="574">
        <v>1</v>
      </c>
      <c r="C31" s="595"/>
      <c r="D31" s="596"/>
      <c r="E31" s="596"/>
      <c r="F31" s="597"/>
      <c r="G31" s="580"/>
      <c r="H31" s="581"/>
      <c r="I31" s="585"/>
      <c r="J31" s="582"/>
      <c r="L31" s="541"/>
      <c r="M31" s="535"/>
      <c r="N31" s="535"/>
      <c r="O31" s="613"/>
      <c r="P31" s="614"/>
      <c r="Q31" s="6"/>
      <c r="R31" s="6"/>
      <c r="S31" s="613"/>
      <c r="T31" s="622"/>
      <c r="U31" s="572"/>
      <c r="V31" s="6"/>
      <c r="W31" s="6"/>
      <c r="X31" s="613"/>
      <c r="Y31" s="614"/>
      <c r="Z31" s="6"/>
      <c r="AA31" s="6"/>
      <c r="AB31" s="613"/>
      <c r="AC31" s="622"/>
      <c r="AD31" s="572"/>
      <c r="AE31" s="6"/>
      <c r="AF31" s="6"/>
      <c r="AG31" s="613"/>
      <c r="AH31" s="614"/>
      <c r="AI31" s="6"/>
      <c r="AJ31" s="6"/>
      <c r="AK31" s="613"/>
    </row>
    <row r="32" spans="1:37" x14ac:dyDescent="0.25">
      <c r="A32" s="2205"/>
      <c r="B32" s="574">
        <v>2</v>
      </c>
      <c r="C32" s="595"/>
      <c r="D32" s="596"/>
      <c r="E32" s="596"/>
      <c r="F32" s="597"/>
      <c r="G32" s="580"/>
      <c r="H32" s="581"/>
      <c r="I32" s="585"/>
      <c r="J32" s="582"/>
      <c r="L32" s="541"/>
      <c r="M32" s="535"/>
      <c r="N32" s="535"/>
      <c r="O32" s="613"/>
      <c r="P32" s="614"/>
      <c r="Q32" s="6"/>
      <c r="R32" s="6"/>
      <c r="S32" s="613"/>
      <c r="T32" s="622"/>
      <c r="U32" s="572"/>
      <c r="V32" s="6"/>
      <c r="W32" s="6"/>
      <c r="X32" s="613"/>
      <c r="Y32" s="614"/>
      <c r="Z32" s="6"/>
      <c r="AA32" s="6"/>
      <c r="AB32" s="613"/>
      <c r="AC32" s="622"/>
      <c r="AD32" s="572"/>
      <c r="AE32" s="6"/>
      <c r="AF32" s="6"/>
      <c r="AG32" s="613"/>
      <c r="AH32" s="614"/>
      <c r="AI32" s="6"/>
      <c r="AJ32" s="6"/>
      <c r="AK32" s="613"/>
    </row>
    <row r="33" spans="1:37" x14ac:dyDescent="0.25">
      <c r="A33" s="2206">
        <v>44546</v>
      </c>
      <c r="B33" s="574">
        <v>1</v>
      </c>
      <c r="C33" s="595"/>
      <c r="D33" s="596"/>
      <c r="E33" s="596"/>
      <c r="F33" s="597"/>
      <c r="G33" s="580"/>
      <c r="H33" s="581"/>
      <c r="I33" s="585"/>
      <c r="J33" s="582"/>
      <c r="L33" s="541"/>
      <c r="M33" s="535"/>
      <c r="N33" s="535"/>
      <c r="O33" s="613"/>
      <c r="P33" s="614"/>
      <c r="Q33" s="6"/>
      <c r="R33" s="6"/>
      <c r="S33" s="613"/>
      <c r="T33" s="622"/>
      <c r="U33" s="572"/>
      <c r="V33" s="6"/>
      <c r="W33" s="6"/>
      <c r="X33" s="613"/>
      <c r="Y33" s="614"/>
      <c r="Z33" s="6"/>
      <c r="AA33" s="6"/>
      <c r="AB33" s="613"/>
      <c r="AC33" s="622"/>
      <c r="AD33" s="572"/>
      <c r="AE33" s="6"/>
      <c r="AF33" s="6"/>
      <c r="AG33" s="613"/>
      <c r="AH33" s="614"/>
      <c r="AI33" s="605"/>
      <c r="AJ33" s="6"/>
      <c r="AK33" s="613"/>
    </row>
    <row r="34" spans="1:37" ht="60" x14ac:dyDescent="0.25">
      <c r="A34" s="2205"/>
      <c r="B34" s="643">
        <v>2</v>
      </c>
      <c r="C34" s="595"/>
      <c r="D34" s="596">
        <v>55</v>
      </c>
      <c r="E34" s="596"/>
      <c r="F34" s="597"/>
      <c r="G34" s="580"/>
      <c r="H34" s="581" t="s">
        <v>289</v>
      </c>
      <c r="I34" s="581"/>
      <c r="J34" s="582"/>
      <c r="L34" s="541"/>
      <c r="M34" s="535">
        <v>48</v>
      </c>
      <c r="N34" s="535"/>
      <c r="O34" s="613"/>
      <c r="P34" s="614"/>
      <c r="Q34" s="6" t="s">
        <v>289</v>
      </c>
      <c r="R34" s="6"/>
      <c r="S34" s="613"/>
      <c r="T34" s="622"/>
      <c r="U34" s="572"/>
      <c r="V34" s="6">
        <v>81</v>
      </c>
      <c r="W34" s="6"/>
      <c r="X34" s="613"/>
      <c r="Y34" s="6"/>
      <c r="Z34" s="605" t="s">
        <v>290</v>
      </c>
      <c r="AA34" s="6"/>
      <c r="AB34" s="613"/>
      <c r="AC34" s="622"/>
      <c r="AD34" s="572"/>
      <c r="AE34" s="6">
        <v>32</v>
      </c>
      <c r="AF34" s="6"/>
      <c r="AG34" s="613"/>
      <c r="AH34" s="614"/>
      <c r="AI34" s="6" t="s">
        <v>289</v>
      </c>
      <c r="AJ34" s="6"/>
      <c r="AK34" s="613"/>
    </row>
    <row r="35" spans="1:37" x14ac:dyDescent="0.25">
      <c r="A35" s="2206">
        <v>44547</v>
      </c>
      <c r="B35" s="574">
        <v>1</v>
      </c>
      <c r="C35" s="595"/>
      <c r="D35" s="596"/>
      <c r="E35" s="596"/>
      <c r="F35" s="597"/>
      <c r="G35" s="580"/>
      <c r="H35" s="581"/>
      <c r="I35" s="585"/>
      <c r="J35" s="582"/>
      <c r="L35" s="541"/>
      <c r="M35" s="535"/>
      <c r="N35" s="535"/>
      <c r="O35" s="613"/>
      <c r="P35" s="614"/>
      <c r="Q35" s="6"/>
      <c r="R35" s="620"/>
      <c r="S35" s="613"/>
      <c r="T35" s="622"/>
      <c r="U35" s="572"/>
      <c r="V35" s="6"/>
      <c r="W35" s="6">
        <v>41</v>
      </c>
      <c r="X35" s="613"/>
      <c r="Y35" s="614"/>
      <c r="Z35" s="605"/>
      <c r="AA35" s="6" t="s">
        <v>27</v>
      </c>
      <c r="AB35" s="613"/>
      <c r="AC35" s="622"/>
      <c r="AD35" s="572"/>
      <c r="AE35" s="6"/>
      <c r="AF35" s="6"/>
      <c r="AG35" s="613"/>
      <c r="AH35" s="614"/>
      <c r="AI35" s="620"/>
      <c r="AJ35" s="620"/>
      <c r="AK35" s="613"/>
    </row>
    <row r="36" spans="1:37" ht="105" x14ac:dyDescent="0.25">
      <c r="A36" s="2205"/>
      <c r="B36" s="574">
        <v>2</v>
      </c>
      <c r="C36" s="595"/>
      <c r="D36" s="595">
        <v>82</v>
      </c>
      <c r="E36" s="596"/>
      <c r="F36" s="597"/>
      <c r="G36" s="583"/>
      <c r="H36" s="620" t="s">
        <v>291</v>
      </c>
      <c r="I36" s="581"/>
      <c r="J36" s="582"/>
      <c r="L36" s="627"/>
      <c r="M36" s="6">
        <v>85</v>
      </c>
      <c r="N36" s="535"/>
      <c r="O36" s="613"/>
      <c r="P36" s="567"/>
      <c r="Q36" s="620" t="s">
        <v>292</v>
      </c>
      <c r="R36" s="6"/>
      <c r="S36" s="613"/>
      <c r="T36" s="622"/>
      <c r="U36" s="572"/>
      <c r="V36" s="6"/>
      <c r="W36" s="6"/>
      <c r="X36" s="613"/>
      <c r="Y36" s="614"/>
      <c r="Z36" s="605"/>
      <c r="AA36" s="571"/>
      <c r="AB36" s="613"/>
      <c r="AC36" s="622"/>
      <c r="AD36" s="572"/>
      <c r="AE36" s="6">
        <v>101</v>
      </c>
      <c r="AF36" s="6"/>
      <c r="AG36" s="613"/>
      <c r="AH36" s="614"/>
      <c r="AI36" s="605" t="s">
        <v>293</v>
      </c>
      <c r="AJ36" s="571"/>
      <c r="AK36" s="613"/>
    </row>
    <row r="37" spans="1:37" x14ac:dyDescent="0.25">
      <c r="A37" s="2206">
        <v>44548</v>
      </c>
      <c r="B37" s="643">
        <v>1</v>
      </c>
      <c r="C37" s="595"/>
      <c r="D37" s="596"/>
      <c r="E37" s="596"/>
      <c r="F37" s="597"/>
      <c r="G37" s="580"/>
      <c r="H37" s="581"/>
      <c r="I37" s="581"/>
      <c r="J37" s="582"/>
      <c r="L37" s="541"/>
      <c r="M37" s="535"/>
      <c r="N37" s="535"/>
      <c r="O37" s="613"/>
      <c r="P37" s="614"/>
      <c r="Q37" s="6"/>
      <c r="R37" s="6"/>
      <c r="S37" s="613"/>
      <c r="T37" s="622"/>
      <c r="U37" s="572"/>
      <c r="V37" s="6"/>
      <c r="W37" s="6"/>
      <c r="X37" s="613"/>
      <c r="Y37" s="614"/>
      <c r="Z37" s="605"/>
      <c r="AA37" s="6"/>
      <c r="AB37" s="613"/>
      <c r="AC37" s="622"/>
      <c r="AD37" s="572"/>
      <c r="AE37" s="6"/>
      <c r="AF37" s="6"/>
      <c r="AG37" s="613"/>
      <c r="AH37" s="614"/>
      <c r="AI37" s="6"/>
      <c r="AJ37" s="6"/>
      <c r="AK37" s="613"/>
    </row>
    <row r="38" spans="1:37" ht="45" x14ac:dyDescent="0.25">
      <c r="A38" s="2205"/>
      <c r="B38" s="574">
        <v>2</v>
      </c>
      <c r="C38" s="595"/>
      <c r="D38" s="596"/>
      <c r="E38" s="596"/>
      <c r="F38" s="597"/>
      <c r="G38" s="580"/>
      <c r="H38" s="581"/>
      <c r="I38" s="581"/>
      <c r="J38" s="582"/>
      <c r="L38" s="572">
        <v>275</v>
      </c>
      <c r="M38" s="535"/>
      <c r="N38" s="535"/>
      <c r="O38" s="613"/>
      <c r="P38" s="571" t="s">
        <v>284</v>
      </c>
      <c r="Q38" s="6"/>
      <c r="R38" s="6"/>
      <c r="S38" s="613"/>
      <c r="T38" s="622"/>
      <c r="U38" s="572"/>
      <c r="V38" s="6"/>
      <c r="W38" s="6"/>
      <c r="X38" s="613"/>
      <c r="Y38" s="614"/>
      <c r="Z38" s="6"/>
      <c r="AA38" s="6"/>
      <c r="AB38" s="613"/>
      <c r="AC38" s="622"/>
      <c r="AD38" s="572"/>
      <c r="AE38" s="6"/>
      <c r="AF38" s="6"/>
      <c r="AG38" s="613"/>
      <c r="AH38" s="614"/>
      <c r="AI38" s="6"/>
      <c r="AJ38" s="6"/>
      <c r="AK38" s="613"/>
    </row>
    <row r="39" spans="1:37" x14ac:dyDescent="0.25">
      <c r="A39" s="2206">
        <v>44549</v>
      </c>
      <c r="B39" s="574">
        <v>1</v>
      </c>
      <c r="C39" s="595"/>
      <c r="D39" s="596"/>
      <c r="E39" s="596"/>
      <c r="F39" s="597"/>
      <c r="G39" s="580"/>
      <c r="H39" s="581"/>
      <c r="I39" s="585"/>
      <c r="J39" s="582"/>
      <c r="L39" s="541"/>
      <c r="M39" s="535"/>
      <c r="N39" s="535"/>
      <c r="O39" s="613"/>
      <c r="P39" s="614"/>
      <c r="Q39" s="6"/>
      <c r="R39" s="6"/>
      <c r="S39" s="613"/>
      <c r="T39" s="622"/>
      <c r="U39" s="572"/>
      <c r="V39" s="6"/>
      <c r="W39" s="6"/>
      <c r="X39" s="613"/>
      <c r="Y39" s="614"/>
      <c r="Z39" s="6"/>
      <c r="AA39" s="6"/>
      <c r="AB39" s="613"/>
      <c r="AC39" s="622"/>
      <c r="AD39" s="572"/>
      <c r="AE39" s="6"/>
      <c r="AF39" s="6"/>
      <c r="AG39" s="613"/>
      <c r="AH39" s="614"/>
      <c r="AI39" s="6"/>
      <c r="AJ39" s="6"/>
      <c r="AK39" s="613"/>
    </row>
    <row r="40" spans="1:37" x14ac:dyDescent="0.25">
      <c r="A40" s="2205"/>
      <c r="B40" s="574">
        <v>2</v>
      </c>
      <c r="C40" s="595"/>
      <c r="D40" s="596"/>
      <c r="E40" s="596"/>
      <c r="F40" s="597"/>
      <c r="G40" s="580"/>
      <c r="H40" s="581"/>
      <c r="I40" s="585"/>
      <c r="J40" s="582"/>
      <c r="L40" s="541"/>
      <c r="M40" s="535"/>
      <c r="N40" s="535"/>
      <c r="O40" s="613"/>
      <c r="P40" s="614"/>
      <c r="Q40" s="6"/>
      <c r="R40" s="6"/>
      <c r="S40" s="613"/>
      <c r="T40" s="622"/>
      <c r="U40" s="572"/>
      <c r="V40" s="6"/>
      <c r="W40" s="6">
        <v>10</v>
      </c>
      <c r="X40" s="613"/>
      <c r="Y40" s="614"/>
      <c r="Z40" s="6"/>
      <c r="AA40" s="6" t="s">
        <v>27</v>
      </c>
      <c r="AB40" s="613"/>
      <c r="AC40" s="622"/>
      <c r="AD40" s="572"/>
      <c r="AE40" s="6"/>
      <c r="AF40" s="6"/>
      <c r="AG40" s="613"/>
      <c r="AH40" s="614"/>
      <c r="AI40" s="6"/>
      <c r="AJ40" s="6"/>
      <c r="AK40" s="613"/>
    </row>
    <row r="41" spans="1:37" ht="30" x14ac:dyDescent="0.25">
      <c r="A41" s="2206">
        <v>44550</v>
      </c>
      <c r="B41" s="574">
        <v>1</v>
      </c>
      <c r="C41" s="595"/>
      <c r="D41" s="596"/>
      <c r="E41" s="596"/>
      <c r="F41" s="597"/>
      <c r="G41" s="580"/>
      <c r="H41" s="581"/>
      <c r="I41" s="581"/>
      <c r="J41" s="582"/>
      <c r="L41" s="541"/>
      <c r="M41" s="535"/>
      <c r="N41" s="535"/>
      <c r="O41" s="613"/>
      <c r="P41" s="614"/>
      <c r="Q41" s="6"/>
      <c r="R41" s="6"/>
      <c r="S41" s="613"/>
      <c r="T41" s="622"/>
      <c r="U41" s="572"/>
      <c r="V41" s="6"/>
      <c r="W41" s="6">
        <v>20</v>
      </c>
      <c r="X41" s="613"/>
      <c r="Y41" s="614"/>
      <c r="Z41" s="605"/>
      <c r="AA41" s="605" t="s">
        <v>82</v>
      </c>
      <c r="AB41" s="613"/>
      <c r="AC41" s="622"/>
      <c r="AD41" s="572"/>
      <c r="AE41" s="6"/>
      <c r="AF41" s="6"/>
      <c r="AG41" s="613"/>
      <c r="AH41" s="614"/>
      <c r="AI41" s="6"/>
      <c r="AJ41" s="6"/>
      <c r="AK41" s="613"/>
    </row>
    <row r="42" spans="1:37" x14ac:dyDescent="0.25">
      <c r="A42" s="2205"/>
      <c r="B42" s="574">
        <v>2</v>
      </c>
      <c r="C42" s="595"/>
      <c r="D42" s="596"/>
      <c r="E42" s="596"/>
      <c r="F42" s="597"/>
      <c r="G42" s="580"/>
      <c r="H42" s="581"/>
      <c r="I42" s="581"/>
      <c r="J42" s="536"/>
      <c r="L42" s="541"/>
      <c r="M42" s="535"/>
      <c r="N42" s="535"/>
      <c r="O42" s="613"/>
      <c r="P42" s="614"/>
      <c r="Q42" s="6"/>
      <c r="R42" s="6"/>
      <c r="S42" s="613"/>
      <c r="T42" s="622"/>
      <c r="U42" s="572"/>
      <c r="V42" s="6"/>
      <c r="W42" s="6"/>
      <c r="X42" s="613"/>
      <c r="Y42" s="614"/>
      <c r="Z42" s="6"/>
      <c r="AA42" s="6"/>
      <c r="AB42" s="613"/>
      <c r="AC42" s="622"/>
      <c r="AD42" s="572"/>
      <c r="AE42" s="6"/>
      <c r="AF42" s="6"/>
      <c r="AG42" s="613"/>
      <c r="AH42" s="614"/>
      <c r="AI42" s="6"/>
      <c r="AJ42" s="6"/>
      <c r="AK42" s="613"/>
    </row>
    <row r="43" spans="1:37" ht="45" x14ac:dyDescent="0.25">
      <c r="A43" s="2206">
        <v>44551</v>
      </c>
      <c r="B43" s="574">
        <v>1</v>
      </c>
      <c r="C43" s="595"/>
      <c r="D43" s="596"/>
      <c r="E43" s="596">
        <v>25</v>
      </c>
      <c r="F43" s="597"/>
      <c r="G43" s="580"/>
      <c r="H43" s="581"/>
      <c r="I43" s="585" t="s">
        <v>294</v>
      </c>
      <c r="J43" s="582"/>
      <c r="L43" s="541"/>
      <c r="M43" s="535"/>
      <c r="N43" s="535"/>
      <c r="O43" s="613"/>
      <c r="P43" s="614"/>
      <c r="Q43" s="6"/>
      <c r="R43" s="6"/>
      <c r="S43" s="613"/>
      <c r="T43" s="622"/>
      <c r="U43" s="572"/>
      <c r="V43" s="6"/>
      <c r="W43" s="6">
        <v>18</v>
      </c>
      <c r="X43" s="613"/>
      <c r="Y43" s="614"/>
      <c r="Z43" s="6"/>
      <c r="AA43" s="6" t="s">
        <v>27</v>
      </c>
      <c r="AB43" s="613"/>
      <c r="AC43" s="622"/>
      <c r="AD43" s="572"/>
      <c r="AE43" s="6"/>
      <c r="AF43" s="6"/>
      <c r="AG43" s="613"/>
      <c r="AH43" s="614"/>
      <c r="AI43" s="6"/>
      <c r="AJ43" s="6"/>
      <c r="AK43" s="613"/>
    </row>
    <row r="44" spans="1:37" x14ac:dyDescent="0.25">
      <c r="A44" s="2205"/>
      <c r="B44" s="574">
        <v>2</v>
      </c>
      <c r="C44" s="595"/>
      <c r="D44" s="596"/>
      <c r="E44" s="596"/>
      <c r="F44" s="597"/>
      <c r="G44" s="583"/>
      <c r="H44" s="581"/>
      <c r="I44" s="581"/>
      <c r="J44" s="582"/>
      <c r="L44" s="541"/>
      <c r="M44" s="535"/>
      <c r="N44" s="535"/>
      <c r="O44" s="613"/>
      <c r="P44" s="614"/>
      <c r="Q44" s="6"/>
      <c r="R44" s="6"/>
      <c r="S44" s="613"/>
      <c r="T44" s="622"/>
      <c r="U44" s="572"/>
      <c r="V44" s="6"/>
      <c r="W44" s="6"/>
      <c r="X44" s="613"/>
      <c r="Y44" s="614"/>
      <c r="Z44" s="6"/>
      <c r="AA44" s="6"/>
      <c r="AB44" s="613"/>
      <c r="AC44" s="622"/>
      <c r="AD44" s="572"/>
      <c r="AE44" s="6"/>
      <c r="AF44" s="6"/>
      <c r="AG44" s="613"/>
      <c r="AH44" s="614"/>
      <c r="AI44" s="6"/>
      <c r="AJ44" s="6"/>
      <c r="AK44" s="613"/>
    </row>
    <row r="45" spans="1:37" ht="45" x14ac:dyDescent="0.25">
      <c r="A45" s="2206">
        <v>44552</v>
      </c>
      <c r="B45" s="574">
        <v>1</v>
      </c>
      <c r="C45" s="595"/>
      <c r="D45" s="596"/>
      <c r="E45" s="596">
        <v>51</v>
      </c>
      <c r="F45" s="597"/>
      <c r="G45" s="580"/>
      <c r="H45" s="581"/>
      <c r="I45" s="6" t="s">
        <v>27</v>
      </c>
      <c r="J45" s="582"/>
      <c r="L45" s="541"/>
      <c r="M45" s="6">
        <v>15</v>
      </c>
      <c r="N45" s="535"/>
      <c r="O45" s="613"/>
      <c r="P45" s="614"/>
      <c r="Q45" s="605" t="s">
        <v>295</v>
      </c>
      <c r="R45" s="6"/>
      <c r="S45" s="613"/>
      <c r="T45" s="622"/>
      <c r="U45" s="572"/>
      <c r="V45" s="6"/>
      <c r="W45" s="6">
        <v>16</v>
      </c>
      <c r="X45" s="613"/>
      <c r="Y45" s="614"/>
      <c r="Z45" s="6"/>
      <c r="AA45" s="6" t="s">
        <v>27</v>
      </c>
      <c r="AB45" s="613"/>
      <c r="AC45" s="622"/>
      <c r="AD45" s="572"/>
      <c r="AE45" s="6"/>
      <c r="AF45" s="6"/>
      <c r="AG45" s="613"/>
      <c r="AH45" s="614"/>
      <c r="AI45" s="6"/>
      <c r="AJ45" s="6"/>
      <c r="AK45" s="613"/>
    </row>
    <row r="46" spans="1:37" ht="30" x14ac:dyDescent="0.25">
      <c r="A46" s="2205"/>
      <c r="B46" s="574">
        <v>2</v>
      </c>
      <c r="C46" s="595"/>
      <c r="D46" s="596"/>
      <c r="E46" s="596">
        <v>20</v>
      </c>
      <c r="F46" s="597"/>
      <c r="G46" s="580"/>
      <c r="H46" s="581"/>
      <c r="I46" s="585" t="s">
        <v>296</v>
      </c>
      <c r="J46" s="582"/>
      <c r="L46" s="541"/>
      <c r="M46" s="535"/>
      <c r="N46" s="535"/>
      <c r="O46" s="613"/>
      <c r="P46" s="614"/>
      <c r="Q46" s="6"/>
      <c r="R46" s="6"/>
      <c r="S46" s="613"/>
      <c r="T46" s="622"/>
      <c r="U46" s="572"/>
      <c r="V46" s="6"/>
      <c r="W46" s="6"/>
      <c r="X46" s="613"/>
      <c r="Y46" s="614"/>
      <c r="Z46" s="6"/>
      <c r="AA46" s="6"/>
      <c r="AB46" s="613"/>
      <c r="AC46" s="622"/>
      <c r="AD46" s="572"/>
      <c r="AE46" s="6"/>
      <c r="AF46" s="6">
        <v>15</v>
      </c>
      <c r="AG46" s="613"/>
      <c r="AH46" s="614"/>
      <c r="AI46" s="6"/>
      <c r="AJ46" s="585" t="s">
        <v>296</v>
      </c>
      <c r="AK46" s="613"/>
    </row>
    <row r="47" spans="1:37" x14ac:dyDescent="0.25">
      <c r="A47" s="2206">
        <v>44553</v>
      </c>
      <c r="B47" s="574">
        <v>1</v>
      </c>
      <c r="C47" s="595"/>
      <c r="D47" s="596"/>
      <c r="E47" s="596"/>
      <c r="F47" s="597"/>
      <c r="G47" s="580"/>
      <c r="H47" s="581"/>
      <c r="I47" s="581"/>
      <c r="J47" s="582"/>
      <c r="L47" s="541"/>
      <c r="M47" s="535"/>
      <c r="N47" s="535"/>
      <c r="O47" s="613"/>
      <c r="P47" s="614"/>
      <c r="Q47" s="6"/>
      <c r="R47" s="6"/>
      <c r="S47" s="613"/>
      <c r="T47" s="622"/>
      <c r="U47" s="572"/>
      <c r="V47" s="6"/>
      <c r="W47" s="6"/>
      <c r="X47" s="613"/>
      <c r="Y47" s="614"/>
      <c r="Z47" s="6"/>
      <c r="AA47" s="605"/>
      <c r="AB47" s="613"/>
      <c r="AC47" s="622"/>
      <c r="AD47" s="572"/>
      <c r="AE47" s="6"/>
      <c r="AF47" s="6"/>
      <c r="AG47" s="613"/>
      <c r="AH47" s="614"/>
      <c r="AI47" s="6"/>
      <c r="AJ47" s="6"/>
      <c r="AK47" s="613"/>
    </row>
    <row r="48" spans="1:37" x14ac:dyDescent="0.25">
      <c r="A48" s="2205"/>
      <c r="B48" s="574">
        <v>2</v>
      </c>
      <c r="C48" s="595"/>
      <c r="D48" s="596"/>
      <c r="E48" s="596"/>
      <c r="F48" s="597"/>
      <c r="G48" s="580"/>
      <c r="H48" s="585"/>
      <c r="I48" s="581"/>
      <c r="J48" s="582"/>
      <c r="L48" s="541"/>
      <c r="M48" s="535"/>
      <c r="N48" s="535"/>
      <c r="O48" s="613"/>
      <c r="P48" s="614"/>
      <c r="Q48" s="620"/>
      <c r="R48" s="6"/>
      <c r="S48" s="613"/>
      <c r="T48" s="622"/>
      <c r="U48" s="572"/>
      <c r="V48" s="6"/>
      <c r="W48" s="6"/>
      <c r="X48" s="613"/>
      <c r="Y48" s="614"/>
      <c r="Z48" s="6"/>
      <c r="AA48" s="6"/>
      <c r="AB48" s="613"/>
      <c r="AC48" s="622"/>
      <c r="AD48" s="572"/>
      <c r="AE48" s="6"/>
      <c r="AF48" s="6"/>
      <c r="AG48" s="613"/>
      <c r="AH48" s="614"/>
      <c r="AI48" s="6"/>
      <c r="AJ48" s="6"/>
      <c r="AK48" s="613"/>
    </row>
    <row r="49" spans="1:37" ht="45" x14ac:dyDescent="0.25">
      <c r="A49" s="2206">
        <v>44554</v>
      </c>
      <c r="B49" s="574">
        <v>1</v>
      </c>
      <c r="C49" s="595"/>
      <c r="D49" s="596"/>
      <c r="E49" s="596"/>
      <c r="F49" s="597"/>
      <c r="G49" s="580"/>
      <c r="H49" s="581"/>
      <c r="I49" s="581"/>
      <c r="J49" s="584"/>
      <c r="L49" s="541"/>
      <c r="M49" s="535"/>
      <c r="N49" s="535"/>
      <c r="O49" s="613"/>
      <c r="P49" s="614"/>
      <c r="Q49" s="6"/>
      <c r="R49" s="6"/>
      <c r="S49" s="634"/>
      <c r="T49" s="622"/>
      <c r="U49" s="572"/>
      <c r="V49" s="6">
        <v>293</v>
      </c>
      <c r="W49" s="6">
        <v>17</v>
      </c>
      <c r="X49" s="613"/>
      <c r="Y49" s="614"/>
      <c r="Z49" s="605" t="s">
        <v>297</v>
      </c>
      <c r="AA49" s="605" t="s">
        <v>24</v>
      </c>
      <c r="AB49" s="634"/>
      <c r="AC49" s="622"/>
      <c r="AD49" s="572"/>
      <c r="AE49" s="6"/>
      <c r="AF49" s="6"/>
      <c r="AG49" s="613"/>
      <c r="AH49" s="614"/>
      <c r="AI49" s="6"/>
      <c r="AJ49" s="6"/>
      <c r="AK49" s="634"/>
    </row>
    <row r="50" spans="1:37" ht="75" x14ac:dyDescent="0.25">
      <c r="A50" s="2205"/>
      <c r="B50" s="574">
        <v>2</v>
      </c>
      <c r="C50" s="595"/>
      <c r="D50" s="596"/>
      <c r="E50" s="596"/>
      <c r="F50" s="597"/>
      <c r="G50" s="583"/>
      <c r="H50" s="581"/>
      <c r="I50" s="581"/>
      <c r="J50" s="582"/>
      <c r="L50" s="541"/>
      <c r="M50" s="535"/>
      <c r="N50" s="535"/>
      <c r="O50" s="613"/>
      <c r="P50" s="614"/>
      <c r="Q50" s="6"/>
      <c r="R50" s="6"/>
      <c r="S50" s="613"/>
      <c r="T50" s="622"/>
      <c r="U50" s="572"/>
      <c r="V50" s="6">
        <v>310</v>
      </c>
      <c r="W50" s="6"/>
      <c r="X50" s="613"/>
      <c r="Y50" s="571"/>
      <c r="Z50" s="605" t="s">
        <v>298</v>
      </c>
      <c r="AA50" s="6"/>
      <c r="AB50" s="613"/>
      <c r="AC50" s="622"/>
      <c r="AD50" s="572">
        <v>40</v>
      </c>
      <c r="AE50" s="6">
        <v>48</v>
      </c>
      <c r="AF50" s="6">
        <v>40</v>
      </c>
      <c r="AG50" s="613"/>
      <c r="AH50" s="614"/>
      <c r="AI50" s="6"/>
      <c r="AJ50" s="6"/>
      <c r="AK50" s="613"/>
    </row>
    <row r="51" spans="1:37" x14ac:dyDescent="0.25">
      <c r="A51" s="2206">
        <v>44555</v>
      </c>
      <c r="B51" s="574">
        <v>1</v>
      </c>
      <c r="C51" s="595"/>
      <c r="D51" s="596"/>
      <c r="E51" s="596"/>
      <c r="F51" s="597"/>
      <c r="G51" s="580"/>
      <c r="H51" s="581"/>
      <c r="I51" s="581"/>
      <c r="J51" s="582"/>
      <c r="L51" s="541"/>
      <c r="M51" s="535"/>
      <c r="N51" s="535"/>
      <c r="O51" s="613"/>
      <c r="P51" s="614"/>
      <c r="Q51" s="6"/>
      <c r="R51" s="6"/>
      <c r="S51" s="613"/>
      <c r="T51" s="622"/>
      <c r="U51" s="572"/>
      <c r="V51" s="6"/>
      <c r="W51" s="6"/>
      <c r="X51" s="613"/>
      <c r="Y51" s="571"/>
      <c r="Z51" s="6"/>
      <c r="AA51" s="6"/>
      <c r="AB51" s="613"/>
      <c r="AC51" s="622"/>
      <c r="AD51" s="572"/>
      <c r="AE51" s="6"/>
      <c r="AF51" s="6"/>
      <c r="AG51" s="613"/>
      <c r="AH51" s="614"/>
      <c r="AI51" s="6"/>
      <c r="AJ51" s="6"/>
      <c r="AK51" s="613"/>
    </row>
    <row r="52" spans="1:37" x14ac:dyDescent="0.25">
      <c r="A52" s="2205"/>
      <c r="B52" s="574">
        <v>2</v>
      </c>
      <c r="C52" s="595"/>
      <c r="D52" s="596"/>
      <c r="E52" s="596"/>
      <c r="F52" s="597"/>
      <c r="G52" s="580"/>
      <c r="H52" s="581"/>
      <c r="I52" s="581"/>
      <c r="J52" s="584"/>
      <c r="L52" s="541"/>
      <c r="M52" s="535"/>
      <c r="N52" s="535"/>
      <c r="O52" s="613"/>
      <c r="P52" s="614"/>
      <c r="Q52" s="6"/>
      <c r="R52" s="6"/>
      <c r="S52" s="635"/>
      <c r="T52" s="622"/>
      <c r="U52" s="572"/>
      <c r="V52" s="6"/>
      <c r="W52" s="6"/>
      <c r="X52" s="613"/>
      <c r="Y52" s="571"/>
      <c r="Z52" s="605"/>
      <c r="AA52" s="6"/>
      <c r="AB52" s="635"/>
      <c r="AC52" s="622"/>
      <c r="AD52" s="572"/>
      <c r="AE52" s="6"/>
      <c r="AF52" s="6"/>
      <c r="AG52" s="613"/>
      <c r="AH52" s="614"/>
      <c r="AI52" s="6"/>
      <c r="AJ52" s="6"/>
      <c r="AK52" s="635"/>
    </row>
    <row r="53" spans="1:37" x14ac:dyDescent="0.25">
      <c r="A53" s="2206">
        <v>44556</v>
      </c>
      <c r="B53" s="574">
        <v>1</v>
      </c>
      <c r="C53" s="595"/>
      <c r="D53" s="596"/>
      <c r="E53" s="596"/>
      <c r="F53" s="597"/>
      <c r="G53" s="580"/>
      <c r="H53" s="581"/>
      <c r="I53" s="581"/>
      <c r="J53" s="582"/>
      <c r="L53" s="541"/>
      <c r="M53" s="535"/>
      <c r="N53" s="535"/>
      <c r="O53" s="613"/>
      <c r="P53" s="614"/>
      <c r="Q53" s="6"/>
      <c r="R53" s="6"/>
      <c r="S53" s="613"/>
      <c r="T53" s="622"/>
      <c r="U53" s="572"/>
      <c r="V53" s="6"/>
      <c r="W53" s="6"/>
      <c r="X53" s="613"/>
      <c r="Y53" s="614"/>
      <c r="Z53" s="6"/>
      <c r="AA53" s="6"/>
      <c r="AB53" s="613"/>
      <c r="AC53" s="622"/>
      <c r="AD53" s="572"/>
      <c r="AE53" s="6"/>
      <c r="AF53" s="6"/>
      <c r="AG53" s="613"/>
      <c r="AH53" s="614"/>
      <c r="AI53" s="6"/>
      <c r="AJ53" s="6"/>
      <c r="AK53" s="613"/>
    </row>
    <row r="54" spans="1:37" ht="60" customHeight="1" x14ac:dyDescent="0.25">
      <c r="A54" s="2205"/>
      <c r="B54" s="625">
        <v>2</v>
      </c>
      <c r="C54" s="595"/>
      <c r="D54" s="596"/>
      <c r="E54" s="596"/>
      <c r="F54" s="597"/>
      <c r="G54" s="580"/>
      <c r="H54" s="581"/>
      <c r="I54" s="581"/>
      <c r="J54" s="582"/>
      <c r="L54" s="541"/>
      <c r="M54" s="535"/>
      <c r="N54" s="535"/>
      <c r="O54" s="613"/>
      <c r="P54" s="614"/>
      <c r="Q54" s="6"/>
      <c r="R54" s="6"/>
      <c r="S54" s="613"/>
      <c r="T54" s="622"/>
      <c r="U54" s="572"/>
      <c r="V54" s="6"/>
      <c r="W54" s="6"/>
      <c r="X54" s="613"/>
      <c r="Y54" s="614"/>
      <c r="Z54" s="605"/>
      <c r="AA54" s="6"/>
      <c r="AB54" s="613"/>
      <c r="AC54" s="622"/>
      <c r="AD54" s="572"/>
      <c r="AE54" s="6"/>
      <c r="AF54" s="6"/>
      <c r="AG54" s="613"/>
      <c r="AH54" s="614"/>
      <c r="AI54" s="6"/>
      <c r="AJ54" s="6"/>
      <c r="AK54" s="613"/>
    </row>
    <row r="55" spans="1:37" x14ac:dyDescent="0.25">
      <c r="A55" s="2206">
        <v>44557</v>
      </c>
      <c r="B55" s="574">
        <v>1</v>
      </c>
      <c r="C55" s="595"/>
      <c r="D55" s="596"/>
      <c r="E55" s="596"/>
      <c r="F55" s="597"/>
      <c r="G55" s="580"/>
      <c r="H55" s="581"/>
      <c r="I55" s="585"/>
      <c r="J55" s="582"/>
      <c r="L55" s="541"/>
      <c r="M55" s="535"/>
      <c r="N55" s="535"/>
      <c r="O55" s="613"/>
      <c r="P55" s="614"/>
      <c r="Q55" s="6"/>
      <c r="R55" s="6"/>
      <c r="S55" s="613"/>
      <c r="T55" s="622"/>
      <c r="U55" s="572"/>
      <c r="V55" s="6"/>
      <c r="W55" s="6">
        <v>10</v>
      </c>
      <c r="X55" s="613"/>
      <c r="Y55" s="614"/>
      <c r="Z55" s="6"/>
      <c r="AA55" s="6" t="s">
        <v>27</v>
      </c>
      <c r="AB55" s="613"/>
      <c r="AC55" s="622"/>
      <c r="AD55" s="572"/>
      <c r="AE55" s="6"/>
      <c r="AF55" s="6"/>
      <c r="AG55" s="613"/>
      <c r="AH55" s="614"/>
      <c r="AI55" s="6"/>
      <c r="AJ55" s="6"/>
      <c r="AK55" s="613"/>
    </row>
    <row r="56" spans="1:37" ht="60" x14ac:dyDescent="0.25">
      <c r="A56" s="2205"/>
      <c r="B56" s="625">
        <v>2</v>
      </c>
      <c r="C56" s="595"/>
      <c r="D56" s="596"/>
      <c r="E56" s="596"/>
      <c r="F56" s="597"/>
      <c r="G56" s="580"/>
      <c r="H56" s="581"/>
      <c r="I56" s="581"/>
      <c r="J56" s="582"/>
      <c r="L56" s="541"/>
      <c r="M56" s="535"/>
      <c r="N56" s="535"/>
      <c r="O56" s="613"/>
      <c r="P56" s="614"/>
      <c r="Q56" s="6"/>
      <c r="R56" s="6"/>
      <c r="S56" s="613"/>
      <c r="T56" s="622"/>
      <c r="U56" s="572"/>
      <c r="V56" s="6"/>
      <c r="W56" s="6">
        <v>15</v>
      </c>
      <c r="X56" s="613"/>
      <c r="Y56" s="571"/>
      <c r="Z56" s="605"/>
      <c r="AA56" s="6" t="s">
        <v>27</v>
      </c>
      <c r="AB56" s="613"/>
      <c r="AC56" s="622"/>
      <c r="AD56" s="572"/>
      <c r="AE56" s="6">
        <v>32</v>
      </c>
      <c r="AF56" s="6"/>
      <c r="AG56" s="613"/>
      <c r="AH56" s="614"/>
      <c r="AI56" s="605" t="s">
        <v>299</v>
      </c>
      <c r="AJ56" s="6"/>
      <c r="AK56" s="613"/>
    </row>
    <row r="57" spans="1:37" ht="52.5" customHeight="1" x14ac:dyDescent="0.25">
      <c r="A57" s="2206">
        <v>44558</v>
      </c>
      <c r="B57" s="574">
        <v>1</v>
      </c>
      <c r="C57" s="595"/>
      <c r="D57" s="596"/>
      <c r="E57" s="596"/>
      <c r="F57" s="597"/>
      <c r="G57" s="580"/>
      <c r="H57" s="581"/>
      <c r="I57" s="585"/>
      <c r="J57" s="582"/>
      <c r="L57" s="541"/>
      <c r="M57" s="535"/>
      <c r="N57" s="535"/>
      <c r="O57" s="613"/>
      <c r="P57" s="614"/>
      <c r="Q57" s="6"/>
      <c r="R57" s="605"/>
      <c r="S57" s="613"/>
      <c r="T57" s="622"/>
      <c r="U57" s="572"/>
      <c r="V57" s="6"/>
      <c r="W57" s="6"/>
      <c r="X57" s="613"/>
      <c r="Y57" s="571"/>
      <c r="Z57" s="605"/>
      <c r="AA57" s="6"/>
      <c r="AB57" s="613"/>
      <c r="AC57" s="622"/>
      <c r="AD57" s="572"/>
      <c r="AE57" s="6"/>
      <c r="AF57" s="6"/>
      <c r="AG57" s="613"/>
      <c r="AH57" s="614"/>
      <c r="AI57" s="6"/>
      <c r="AJ57" s="6"/>
      <c r="AK57" s="613"/>
    </row>
    <row r="58" spans="1:37" x14ac:dyDescent="0.25">
      <c r="A58" s="2205"/>
      <c r="B58" s="625">
        <v>2</v>
      </c>
      <c r="C58" s="595"/>
      <c r="D58" s="596"/>
      <c r="E58" s="596"/>
      <c r="F58" s="597"/>
      <c r="G58" s="580"/>
      <c r="H58" s="581"/>
      <c r="I58" s="581"/>
      <c r="J58" s="582"/>
      <c r="L58" s="541"/>
      <c r="M58" s="535"/>
      <c r="N58" s="535"/>
      <c r="O58" s="613"/>
      <c r="P58" s="614"/>
      <c r="Q58" s="6"/>
      <c r="R58" s="6"/>
      <c r="S58" s="613"/>
      <c r="T58" s="622"/>
      <c r="U58" s="572"/>
      <c r="V58" s="6"/>
      <c r="W58" s="6"/>
      <c r="X58" s="613"/>
      <c r="Y58" s="614"/>
      <c r="Z58" s="605"/>
      <c r="AA58" s="6"/>
      <c r="AB58" s="613"/>
      <c r="AC58" s="622"/>
      <c r="AD58" s="572"/>
      <c r="AE58" s="6"/>
      <c r="AF58" s="6"/>
      <c r="AG58" s="613"/>
      <c r="AH58" s="614"/>
      <c r="AI58" s="6"/>
      <c r="AJ58" s="6"/>
      <c r="AK58" s="613"/>
    </row>
    <row r="59" spans="1:37" x14ac:dyDescent="0.25">
      <c r="A59" s="2206">
        <v>44559</v>
      </c>
      <c r="B59" s="574">
        <v>1</v>
      </c>
      <c r="C59" s="595"/>
      <c r="D59" s="596"/>
      <c r="E59" s="596">
        <v>15</v>
      </c>
      <c r="F59" s="597"/>
      <c r="G59" s="580"/>
      <c r="H59" s="581"/>
      <c r="I59" s="6" t="s">
        <v>27</v>
      </c>
      <c r="J59" s="582"/>
      <c r="L59" s="541"/>
      <c r="M59" s="535"/>
      <c r="N59" s="535"/>
      <c r="O59" s="613"/>
      <c r="P59" s="614"/>
      <c r="Q59" s="605"/>
      <c r="R59" s="6"/>
      <c r="S59" s="613"/>
      <c r="T59" s="622"/>
      <c r="U59" s="572"/>
      <c r="V59" s="6"/>
      <c r="W59" s="6">
        <v>15</v>
      </c>
      <c r="X59" s="613"/>
      <c r="Y59" s="614"/>
      <c r="Z59" s="6"/>
      <c r="AA59" s="6" t="s">
        <v>27</v>
      </c>
      <c r="AB59" s="613"/>
      <c r="AC59" s="622"/>
      <c r="AD59" s="572"/>
      <c r="AE59" s="6"/>
      <c r="AF59" s="6"/>
      <c r="AG59" s="613"/>
      <c r="AH59" s="571"/>
      <c r="AI59" s="6"/>
      <c r="AJ59" s="6"/>
      <c r="AK59" s="613"/>
    </row>
    <row r="60" spans="1:37" ht="60" x14ac:dyDescent="0.25">
      <c r="A60" s="2205"/>
      <c r="B60" s="625">
        <v>2</v>
      </c>
      <c r="C60" s="595">
        <v>13</v>
      </c>
      <c r="D60" s="596"/>
      <c r="E60" s="596"/>
      <c r="F60" s="597"/>
      <c r="G60" s="583" t="s">
        <v>300</v>
      </c>
      <c r="H60" s="585"/>
      <c r="I60" s="581"/>
      <c r="J60" s="582"/>
      <c r="L60" s="541"/>
      <c r="M60" s="535"/>
      <c r="N60" s="535"/>
      <c r="O60" s="613"/>
      <c r="P60" s="614"/>
      <c r="Q60" s="6"/>
      <c r="R60" s="6"/>
      <c r="S60" s="613"/>
      <c r="T60" s="622"/>
      <c r="U60" s="572"/>
      <c r="V60" s="6"/>
      <c r="W60" s="6"/>
      <c r="X60" s="613"/>
      <c r="Y60" s="614"/>
      <c r="Z60" s="605"/>
      <c r="AA60" s="6"/>
      <c r="AB60" s="613"/>
      <c r="AC60" s="622"/>
      <c r="AD60" s="572"/>
      <c r="AE60" s="6"/>
      <c r="AF60" s="6"/>
      <c r="AG60" s="613"/>
      <c r="AH60" s="614"/>
      <c r="AI60" s="6"/>
      <c r="AJ60" s="6"/>
      <c r="AK60" s="613"/>
    </row>
    <row r="61" spans="1:37" x14ac:dyDescent="0.25">
      <c r="A61" s="2206">
        <v>44560</v>
      </c>
      <c r="B61" s="574">
        <v>1</v>
      </c>
      <c r="C61" s="595"/>
      <c r="D61" s="596"/>
      <c r="E61" s="596"/>
      <c r="F61" s="597"/>
      <c r="G61" s="580"/>
      <c r="H61" s="581"/>
      <c r="I61" s="581"/>
      <c r="J61" s="582"/>
      <c r="L61" s="541"/>
      <c r="M61" s="535"/>
      <c r="N61" s="535"/>
      <c r="O61" s="613"/>
      <c r="P61" s="614"/>
      <c r="Q61" s="6"/>
      <c r="R61" s="6"/>
      <c r="S61" s="613"/>
      <c r="T61" s="622"/>
      <c r="U61" s="572"/>
      <c r="V61" s="6"/>
      <c r="W61" s="6"/>
      <c r="X61" s="613"/>
      <c r="Y61" s="614"/>
      <c r="Z61" s="6"/>
      <c r="AA61" s="6"/>
      <c r="AB61" s="613"/>
      <c r="AC61" s="622"/>
      <c r="AD61" s="572"/>
      <c r="AE61" s="6"/>
      <c r="AF61" s="6"/>
      <c r="AG61" s="613"/>
      <c r="AH61" s="614"/>
      <c r="AI61" s="6"/>
      <c r="AJ61" s="6"/>
      <c r="AK61" s="613"/>
    </row>
    <row r="62" spans="1:37" ht="60" x14ac:dyDescent="0.25">
      <c r="A62" s="2205"/>
      <c r="B62" s="625">
        <v>2</v>
      </c>
      <c r="C62" s="595">
        <v>25</v>
      </c>
      <c r="D62" s="596"/>
      <c r="E62" s="596"/>
      <c r="F62" s="597"/>
      <c r="G62" s="583" t="s">
        <v>300</v>
      </c>
      <c r="H62" s="581"/>
      <c r="I62" s="581"/>
      <c r="J62" s="582"/>
      <c r="L62" s="541"/>
      <c r="M62" s="535"/>
      <c r="N62" s="535"/>
      <c r="O62" s="613"/>
      <c r="P62" s="614"/>
      <c r="Q62" s="6"/>
      <c r="R62" s="6"/>
      <c r="S62" s="613"/>
      <c r="T62" s="622"/>
      <c r="U62" s="572"/>
      <c r="V62" s="6"/>
      <c r="W62" s="6"/>
      <c r="X62" s="613"/>
      <c r="Y62" s="614"/>
      <c r="Z62" s="6"/>
      <c r="AA62" s="6"/>
      <c r="AB62" s="613"/>
      <c r="AC62" s="622"/>
      <c r="AD62" s="572"/>
      <c r="AE62" s="6"/>
      <c r="AF62" s="6"/>
      <c r="AG62" s="613"/>
      <c r="AH62" s="614"/>
      <c r="AI62" s="6"/>
      <c r="AJ62" s="6"/>
      <c r="AK62" s="613"/>
    </row>
    <row r="63" spans="1:37" x14ac:dyDescent="0.25">
      <c r="A63" s="2206">
        <v>44561</v>
      </c>
      <c r="B63" s="574">
        <v>1</v>
      </c>
      <c r="C63" s="595"/>
      <c r="D63" s="596"/>
      <c r="E63" s="596"/>
      <c r="F63" s="597"/>
      <c r="G63" s="580"/>
      <c r="H63" s="581"/>
      <c r="I63" s="581"/>
      <c r="J63" s="582"/>
      <c r="L63" s="541"/>
      <c r="M63" s="535"/>
      <c r="N63" s="535"/>
      <c r="O63" s="613"/>
      <c r="P63" s="614"/>
      <c r="Q63" s="6"/>
      <c r="R63" s="6"/>
      <c r="S63" s="613"/>
      <c r="T63" s="622"/>
      <c r="U63" s="572"/>
      <c r="V63" s="6"/>
      <c r="W63" s="6"/>
      <c r="X63" s="613"/>
      <c r="Y63" s="614"/>
      <c r="Z63" s="6"/>
      <c r="AA63" s="6"/>
      <c r="AB63" s="613"/>
      <c r="AC63" s="622"/>
      <c r="AD63" s="572"/>
      <c r="AE63" s="6"/>
      <c r="AF63" s="6"/>
      <c r="AG63" s="613"/>
      <c r="AH63" s="614"/>
      <c r="AI63" s="6"/>
      <c r="AJ63" s="6"/>
      <c r="AK63" s="613"/>
    </row>
    <row r="64" spans="1:37" ht="60" x14ac:dyDescent="0.25">
      <c r="A64" s="2205"/>
      <c r="B64" s="574">
        <v>2</v>
      </c>
      <c r="C64" s="598">
        <v>87</v>
      </c>
      <c r="D64" s="599"/>
      <c r="E64" s="599"/>
      <c r="F64" s="600">
        <v>41</v>
      </c>
      <c r="G64" s="647" t="s">
        <v>302</v>
      </c>
      <c r="H64" s="587"/>
      <c r="I64" s="587"/>
      <c r="J64" s="645" t="s">
        <v>301</v>
      </c>
      <c r="L64" s="542"/>
      <c r="M64" s="538"/>
      <c r="N64" s="538"/>
      <c r="O64" s="636">
        <v>36</v>
      </c>
      <c r="P64" s="637"/>
      <c r="Q64" s="638"/>
      <c r="R64" s="638"/>
      <c r="S64" s="646" t="s">
        <v>301</v>
      </c>
      <c r="T64" s="622"/>
      <c r="U64" s="639"/>
      <c r="V64" s="638"/>
      <c r="W64" s="638"/>
      <c r="X64" s="636">
        <v>44</v>
      </c>
      <c r="Y64" s="640"/>
      <c r="Z64" s="638"/>
      <c r="AA64" s="638"/>
      <c r="AB64" s="646" t="s">
        <v>301</v>
      </c>
      <c r="AC64" s="622"/>
      <c r="AD64" s="639"/>
      <c r="AE64" s="638"/>
      <c r="AF64" s="638"/>
      <c r="AG64" s="636">
        <v>43</v>
      </c>
      <c r="AH64" s="637"/>
      <c r="AI64" s="638"/>
      <c r="AJ64" s="638"/>
      <c r="AK64" s="646" t="s">
        <v>301</v>
      </c>
    </row>
    <row r="65" spans="1:33" x14ac:dyDescent="0.25">
      <c r="A65" s="524" t="s">
        <v>225</v>
      </c>
      <c r="C65" s="524">
        <f>SUM(C3:C64)</f>
        <v>332</v>
      </c>
      <c r="D65" s="524">
        <f>SUM(D3:D64)</f>
        <v>355</v>
      </c>
      <c r="E65" s="524">
        <f>SUM(E3:E64)</f>
        <v>157</v>
      </c>
      <c r="F65" s="524">
        <f>SUM(F3:F64)</f>
        <v>41</v>
      </c>
      <c r="L65" s="524">
        <f>SUM(L3:L64)</f>
        <v>2914</v>
      </c>
      <c r="M65" s="524">
        <f>SUM(M3:M64)</f>
        <v>535</v>
      </c>
      <c r="N65" s="524">
        <f>SUM(N3:N64)</f>
        <v>1929</v>
      </c>
      <c r="O65" s="524">
        <f>SUM(O3:O64)</f>
        <v>36</v>
      </c>
      <c r="U65" s="524">
        <f>SUM(U3:U64)</f>
        <v>563</v>
      </c>
      <c r="V65" s="524">
        <f>SUM(V3:V64)</f>
        <v>767</v>
      </c>
      <c r="W65" s="524">
        <f>SUM(W3:W64)</f>
        <v>299</v>
      </c>
      <c r="X65" s="524">
        <f>SUM(X3:X64)</f>
        <v>44</v>
      </c>
      <c r="AD65" s="524">
        <f>SUM(AD3:AD64)</f>
        <v>1953</v>
      </c>
      <c r="AE65" s="524">
        <f>SUM(AE3:AE64)</f>
        <v>495</v>
      </c>
      <c r="AF65" s="524">
        <f>SUM(AF3:AF64)</f>
        <v>55</v>
      </c>
      <c r="AG65" s="524">
        <f>SUM(AG3:AG64)</f>
        <v>43</v>
      </c>
    </row>
    <row r="73" spans="1:33" ht="15.75" thickBot="1" x14ac:dyDescent="0.3"/>
    <row r="74" spans="1:33" ht="15.75" thickBot="1" x14ac:dyDescent="0.3">
      <c r="C74" s="2213" t="s">
        <v>199</v>
      </c>
      <c r="D74" s="2214"/>
      <c r="E74" s="2215" t="s">
        <v>200</v>
      </c>
      <c r="F74" s="2216"/>
      <c r="G74" s="2213" t="s">
        <v>201</v>
      </c>
      <c r="H74" s="2214"/>
      <c r="I74" s="2213" t="s">
        <v>204</v>
      </c>
      <c r="J74" s="2214"/>
    </row>
    <row r="75" spans="1:33" ht="15.75" thickBot="1" x14ac:dyDescent="0.3">
      <c r="C75" s="557" t="s">
        <v>222</v>
      </c>
      <c r="D75" s="549" t="s">
        <v>223</v>
      </c>
      <c r="E75" s="561" t="s">
        <v>222</v>
      </c>
      <c r="F75" s="553" t="s">
        <v>223</v>
      </c>
      <c r="G75" s="557" t="s">
        <v>222</v>
      </c>
      <c r="H75" s="549" t="s">
        <v>223</v>
      </c>
      <c r="I75" s="557" t="s">
        <v>222</v>
      </c>
      <c r="J75" s="549" t="s">
        <v>223</v>
      </c>
    </row>
    <row r="76" spans="1:33" x14ac:dyDescent="0.25">
      <c r="B76" s="562" t="s">
        <v>218</v>
      </c>
      <c r="C76" s="558">
        <f>C65</f>
        <v>332</v>
      </c>
      <c r="D76" s="550">
        <f>C76/60</f>
        <v>5.5333333333333332</v>
      </c>
      <c r="E76" s="558">
        <f>D65</f>
        <v>355</v>
      </c>
      <c r="F76" s="554">
        <f>E76/60</f>
        <v>5.916666666666667</v>
      </c>
      <c r="G76" s="558">
        <f>E65</f>
        <v>157</v>
      </c>
      <c r="H76" s="550">
        <f>G76/60</f>
        <v>2.6166666666666667</v>
      </c>
      <c r="I76" s="558">
        <f>F65</f>
        <v>41</v>
      </c>
      <c r="J76" s="550">
        <f>I76/60</f>
        <v>0.68333333333333335</v>
      </c>
    </row>
    <row r="77" spans="1:33" x14ac:dyDescent="0.25">
      <c r="B77" s="562" t="s">
        <v>219</v>
      </c>
      <c r="C77" s="559">
        <f>L65</f>
        <v>2914</v>
      </c>
      <c r="D77" s="551">
        <f t="shared" ref="D77:F79" si="0">C77/60</f>
        <v>48.56666666666667</v>
      </c>
      <c r="E77" s="559">
        <f>M65</f>
        <v>535</v>
      </c>
      <c r="F77" s="555">
        <f t="shared" si="0"/>
        <v>8.9166666666666661</v>
      </c>
      <c r="G77" s="559">
        <f>N65</f>
        <v>1929</v>
      </c>
      <c r="H77" s="551">
        <f t="shared" ref="H77:J79" si="1">G77/60</f>
        <v>32.15</v>
      </c>
      <c r="I77" s="559">
        <f>O65</f>
        <v>36</v>
      </c>
      <c r="J77" s="551">
        <f t="shared" si="1"/>
        <v>0.6</v>
      </c>
    </row>
    <row r="78" spans="1:33" x14ac:dyDescent="0.25">
      <c r="B78" s="562" t="s">
        <v>220</v>
      </c>
      <c r="C78" s="559">
        <f>U65</f>
        <v>563</v>
      </c>
      <c r="D78" s="551">
        <f t="shared" si="0"/>
        <v>9.3833333333333329</v>
      </c>
      <c r="E78" s="559">
        <f>V65</f>
        <v>767</v>
      </c>
      <c r="F78" s="555">
        <f t="shared" si="0"/>
        <v>12.783333333333333</v>
      </c>
      <c r="G78" s="559">
        <f>W65</f>
        <v>299</v>
      </c>
      <c r="H78" s="551">
        <f t="shared" si="1"/>
        <v>4.9833333333333334</v>
      </c>
      <c r="I78" s="559">
        <f>X65</f>
        <v>44</v>
      </c>
      <c r="J78" s="551">
        <f t="shared" si="1"/>
        <v>0.73333333333333328</v>
      </c>
    </row>
    <row r="79" spans="1:33" ht="15.75" thickBot="1" x14ac:dyDescent="0.3">
      <c r="B79" s="562" t="s">
        <v>221</v>
      </c>
      <c r="C79" s="560">
        <f>AD65</f>
        <v>1953</v>
      </c>
      <c r="D79" s="552">
        <f t="shared" si="0"/>
        <v>32.549999999999997</v>
      </c>
      <c r="E79" s="560">
        <f>AE65</f>
        <v>495</v>
      </c>
      <c r="F79" s="556">
        <f t="shared" si="0"/>
        <v>8.25</v>
      </c>
      <c r="G79" s="560">
        <f>AF65</f>
        <v>55</v>
      </c>
      <c r="H79" s="552">
        <f t="shared" si="1"/>
        <v>0.91666666666666663</v>
      </c>
      <c r="I79" s="560">
        <f>AG65</f>
        <v>43</v>
      </c>
      <c r="J79" s="552">
        <f t="shared" si="1"/>
        <v>0.71666666666666667</v>
      </c>
    </row>
    <row r="80" spans="1:33" ht="15.75" thickBot="1" x14ac:dyDescent="0.3"/>
    <row r="81" spans="2:10" ht="15.75" thickBot="1" x14ac:dyDescent="0.3">
      <c r="B81" s="563" t="s">
        <v>217</v>
      </c>
      <c r="C81" s="564"/>
      <c r="D81" s="565">
        <f>SUM(D76:D80)</f>
        <v>96.033333333333331</v>
      </c>
      <c r="E81" s="564"/>
      <c r="F81" s="565">
        <f>SUM(F76:F80)</f>
        <v>35.866666666666667</v>
      </c>
      <c r="G81" s="564"/>
      <c r="H81" s="565">
        <f>SUM(H76:H80)</f>
        <v>40.666666666666664</v>
      </c>
      <c r="I81" s="564"/>
      <c r="J81" s="566">
        <f>SUM(J76:J80)</f>
        <v>2.7333333333333334</v>
      </c>
    </row>
  </sheetData>
  <mergeCells count="43">
    <mergeCell ref="A9:A10"/>
    <mergeCell ref="C1:F1"/>
    <mergeCell ref="G1:J1"/>
    <mergeCell ref="L1:O1"/>
    <mergeCell ref="P1:S1"/>
    <mergeCell ref="AD1:AG1"/>
    <mergeCell ref="AH1:AK1"/>
    <mergeCell ref="A3:A4"/>
    <mergeCell ref="A5:A6"/>
    <mergeCell ref="A7:A8"/>
    <mergeCell ref="U1:X1"/>
    <mergeCell ref="Y1:AB1"/>
    <mergeCell ref="A33:A34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57:A58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I74:J74"/>
    <mergeCell ref="A59:A60"/>
    <mergeCell ref="A61:A62"/>
    <mergeCell ref="A63:A64"/>
    <mergeCell ref="C74:D74"/>
    <mergeCell ref="E74:F74"/>
    <mergeCell ref="G74:H74"/>
  </mergeCells>
  <pageMargins left="0.7" right="0.7" top="0.75" bottom="0.75" header="0.3" footer="0.3"/>
  <pageSetup paperSize="9" orientation="portrait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"/>
  <sheetViews>
    <sheetView zoomScale="70" zoomScaleNormal="70" workbookViewId="0">
      <pane xSplit="2" ySplit="2" topLeftCell="C27" activePane="bottomRight" state="frozen"/>
      <selection pane="topRight" activeCell="C1" sqref="C1"/>
      <selection pane="bottomLeft" activeCell="A3" sqref="A3"/>
      <selection pane="bottomRight" activeCell="G81" sqref="G81"/>
    </sheetView>
  </sheetViews>
  <sheetFormatPr defaultColWidth="8.85546875" defaultRowHeight="15" x14ac:dyDescent="0.25"/>
  <cols>
    <col min="1" max="1" width="14.5703125" style="524" customWidth="1"/>
    <col min="2" max="2" width="15.7109375" style="525" customWidth="1"/>
    <col min="3" max="3" width="10.7109375" style="524" customWidth="1"/>
    <col min="4" max="5" width="10.28515625" style="524" customWidth="1"/>
    <col min="6" max="6" width="10.85546875" style="524" customWidth="1"/>
    <col min="7" max="7" width="17.7109375" style="524" bestFit="1" customWidth="1"/>
    <col min="8" max="8" width="16.85546875" style="524" customWidth="1"/>
    <col min="9" max="9" width="16.140625" style="524" customWidth="1"/>
    <col min="10" max="10" width="17.28515625" style="524" bestFit="1" customWidth="1"/>
    <col min="11" max="11" width="8.85546875" style="524"/>
    <col min="12" max="13" width="9.7109375" style="524" customWidth="1"/>
    <col min="14" max="15" width="9.85546875" style="524" customWidth="1"/>
    <col min="16" max="16" width="16.85546875" style="524" customWidth="1"/>
    <col min="17" max="17" width="17.28515625" style="524" customWidth="1"/>
    <col min="18" max="18" width="21.7109375" style="524" customWidth="1"/>
    <col min="19" max="19" width="15.28515625" style="524" bestFit="1" customWidth="1"/>
    <col min="20" max="21" width="8.85546875" style="524"/>
    <col min="22" max="22" width="15.42578125" style="524" customWidth="1"/>
    <col min="23" max="23" width="8.85546875" style="524"/>
    <col min="24" max="24" width="9.42578125" style="524" bestFit="1" customWidth="1"/>
    <col min="25" max="26" width="17.140625" style="524" customWidth="1"/>
    <col min="27" max="27" width="16.7109375" style="524" customWidth="1"/>
    <col min="28" max="28" width="15.28515625" style="524" customWidth="1"/>
    <col min="29" max="33" width="8.85546875" style="524"/>
    <col min="34" max="34" width="17.7109375" style="524" bestFit="1" customWidth="1"/>
    <col min="35" max="35" width="15" style="524" bestFit="1" customWidth="1"/>
    <col min="36" max="36" width="15.85546875" style="524" customWidth="1"/>
    <col min="37" max="37" width="15.28515625" style="524" customWidth="1"/>
    <col min="38" max="16384" width="8.85546875" style="524"/>
  </cols>
  <sheetData>
    <row r="1" spans="1:37" x14ac:dyDescent="0.25">
      <c r="C1" s="2217" t="s">
        <v>1</v>
      </c>
      <c r="D1" s="2212"/>
      <c r="E1" s="2212"/>
      <c r="F1" s="2212"/>
      <c r="G1" s="2211" t="s">
        <v>206</v>
      </c>
      <c r="H1" s="2209"/>
      <c r="I1" s="2209"/>
      <c r="J1" s="2210"/>
      <c r="L1" s="2212" t="s">
        <v>202</v>
      </c>
      <c r="M1" s="2212"/>
      <c r="N1" s="2212"/>
      <c r="O1" s="2212"/>
      <c r="P1" s="2209" t="s">
        <v>206</v>
      </c>
      <c r="Q1" s="2209"/>
      <c r="R1" s="2209"/>
      <c r="S1" s="2210"/>
      <c r="U1" s="2212" t="s">
        <v>2</v>
      </c>
      <c r="V1" s="2212"/>
      <c r="W1" s="2212"/>
      <c r="X1" s="2212"/>
      <c r="Y1" s="2209" t="s">
        <v>206</v>
      </c>
      <c r="Z1" s="2209"/>
      <c r="AA1" s="2209"/>
      <c r="AB1" s="2210"/>
      <c r="AD1" s="2212" t="s">
        <v>203</v>
      </c>
      <c r="AE1" s="2212"/>
      <c r="AF1" s="2212"/>
      <c r="AG1" s="2212"/>
      <c r="AH1" s="2209" t="s">
        <v>206</v>
      </c>
      <c r="AI1" s="2209"/>
      <c r="AJ1" s="2209"/>
      <c r="AK1" s="2210"/>
    </row>
    <row r="2" spans="1:37" ht="15.75" thickBot="1" x14ac:dyDescent="0.3">
      <c r="A2" s="531" t="s">
        <v>0</v>
      </c>
      <c r="B2" s="532" t="s">
        <v>198</v>
      </c>
      <c r="C2" s="529" t="s">
        <v>199</v>
      </c>
      <c r="D2" s="526" t="s">
        <v>200</v>
      </c>
      <c r="E2" s="526" t="s">
        <v>201</v>
      </c>
      <c r="F2" s="526" t="s">
        <v>204</v>
      </c>
      <c r="G2" s="575" t="s">
        <v>199</v>
      </c>
      <c r="H2" s="575" t="s">
        <v>200</v>
      </c>
      <c r="I2" s="575" t="s">
        <v>201</v>
      </c>
      <c r="J2" s="575" t="s">
        <v>204</v>
      </c>
      <c r="K2" s="524" t="s">
        <v>269</v>
      </c>
      <c r="L2" s="526" t="s">
        <v>199</v>
      </c>
      <c r="M2" s="526" t="s">
        <v>200</v>
      </c>
      <c r="N2" s="526" t="s">
        <v>201</v>
      </c>
      <c r="O2" s="526" t="s">
        <v>204</v>
      </c>
      <c r="P2" s="527" t="s">
        <v>199</v>
      </c>
      <c r="Q2" s="526" t="s">
        <v>200</v>
      </c>
      <c r="R2" s="526" t="s">
        <v>201</v>
      </c>
      <c r="S2" s="526" t="s">
        <v>204</v>
      </c>
      <c r="U2" s="526" t="s">
        <v>199</v>
      </c>
      <c r="V2" s="526" t="s">
        <v>200</v>
      </c>
      <c r="W2" s="526" t="s">
        <v>201</v>
      </c>
      <c r="X2" s="526" t="s">
        <v>204</v>
      </c>
      <c r="Y2" s="650" t="s">
        <v>199</v>
      </c>
      <c r="Z2" s="526" t="s">
        <v>200</v>
      </c>
      <c r="AA2" s="526" t="s">
        <v>201</v>
      </c>
      <c r="AB2" s="526" t="s">
        <v>204</v>
      </c>
      <c r="AD2" s="526" t="s">
        <v>199</v>
      </c>
      <c r="AE2" s="526" t="s">
        <v>200</v>
      </c>
      <c r="AF2" s="526" t="s">
        <v>201</v>
      </c>
      <c r="AG2" s="526" t="s">
        <v>204</v>
      </c>
      <c r="AH2" s="527" t="s">
        <v>199</v>
      </c>
      <c r="AI2" s="526" t="s">
        <v>200</v>
      </c>
      <c r="AJ2" s="526" t="s">
        <v>201</v>
      </c>
      <c r="AK2" s="526" t="s">
        <v>204</v>
      </c>
    </row>
    <row r="3" spans="1:37" ht="30.75" thickTop="1" x14ac:dyDescent="0.25">
      <c r="A3" s="2206">
        <v>44197</v>
      </c>
      <c r="B3" s="642">
        <v>1</v>
      </c>
      <c r="C3" s="592"/>
      <c r="D3" s="593"/>
      <c r="E3" s="593">
        <v>14</v>
      </c>
      <c r="F3" s="594"/>
      <c r="G3" s="580"/>
      <c r="H3" s="581"/>
      <c r="I3" s="620"/>
      <c r="J3" s="579"/>
      <c r="L3" s="543"/>
      <c r="M3" s="630">
        <v>47</v>
      </c>
      <c r="N3" s="544"/>
      <c r="O3" s="628"/>
      <c r="P3" s="629"/>
      <c r="Q3" s="648" t="s">
        <v>303</v>
      </c>
      <c r="R3" s="630"/>
      <c r="S3" s="628"/>
      <c r="T3" s="622"/>
      <c r="U3" s="612"/>
      <c r="V3" s="630"/>
      <c r="W3" s="630"/>
      <c r="X3" s="613"/>
      <c r="Y3" s="571"/>
      <c r="Z3" s="629"/>
      <c r="AA3" s="630"/>
      <c r="AB3" s="628"/>
      <c r="AC3" s="622"/>
      <c r="AD3" s="612"/>
      <c r="AE3" s="630"/>
      <c r="AF3" s="630"/>
      <c r="AG3" s="628"/>
      <c r="AH3" s="629"/>
      <c r="AI3" s="630"/>
      <c r="AJ3" s="630"/>
      <c r="AK3" s="628"/>
    </row>
    <row r="4" spans="1:37" ht="45" x14ac:dyDescent="0.25">
      <c r="A4" s="2205"/>
      <c r="B4" s="574">
        <v>2</v>
      </c>
      <c r="C4" s="595">
        <v>650</v>
      </c>
      <c r="D4" s="596"/>
      <c r="E4" s="596"/>
      <c r="F4" s="597"/>
      <c r="G4" s="583" t="s">
        <v>305</v>
      </c>
      <c r="H4" s="605"/>
      <c r="I4" s="581"/>
      <c r="J4" s="582"/>
      <c r="L4" s="541"/>
      <c r="M4" s="535"/>
      <c r="N4" s="535"/>
      <c r="O4" s="613"/>
      <c r="P4" s="614"/>
      <c r="Q4" s="6"/>
      <c r="R4" s="6"/>
      <c r="S4" s="613"/>
      <c r="T4" s="622"/>
      <c r="U4" s="572">
        <v>10</v>
      </c>
      <c r="V4" s="605"/>
      <c r="W4" s="6"/>
      <c r="X4" s="613"/>
      <c r="Y4" s="571"/>
      <c r="Z4" s="6"/>
      <c r="AA4" s="571"/>
      <c r="AB4" s="613"/>
      <c r="AC4" s="622"/>
      <c r="AD4" s="572"/>
      <c r="AE4" s="6"/>
      <c r="AF4" s="6">
        <v>6</v>
      </c>
      <c r="AG4" s="613"/>
      <c r="AH4" s="614"/>
      <c r="AI4" s="6"/>
      <c r="AJ4" s="6" t="s">
        <v>304</v>
      </c>
      <c r="AK4" s="613"/>
    </row>
    <row r="5" spans="1:37" x14ac:dyDescent="0.25">
      <c r="A5" s="2206">
        <v>44198</v>
      </c>
      <c r="B5" s="574">
        <v>1</v>
      </c>
      <c r="C5" s="595"/>
      <c r="D5" s="596"/>
      <c r="E5" s="596">
        <v>33</v>
      </c>
      <c r="F5" s="597"/>
      <c r="G5" s="580"/>
      <c r="H5" s="581"/>
      <c r="I5" s="581" t="s">
        <v>97</v>
      </c>
      <c r="J5" s="582"/>
      <c r="L5" s="541"/>
      <c r="M5" s="535"/>
      <c r="N5" s="535"/>
      <c r="O5" s="613"/>
      <c r="P5" s="614"/>
      <c r="Q5" s="6"/>
      <c r="R5" s="6"/>
      <c r="S5" s="613"/>
      <c r="T5" s="622"/>
      <c r="U5" s="572"/>
      <c r="V5" s="6"/>
      <c r="W5" s="6"/>
      <c r="X5" s="613"/>
      <c r="Y5" s="571"/>
      <c r="Z5" s="6"/>
      <c r="AA5" s="571"/>
      <c r="AB5" s="613"/>
      <c r="AC5" s="622"/>
      <c r="AD5" s="572"/>
      <c r="AE5" s="6"/>
      <c r="AF5" s="6"/>
      <c r="AG5" s="613"/>
      <c r="AH5" s="614"/>
      <c r="AI5" s="6"/>
      <c r="AJ5" s="6"/>
      <c r="AK5" s="613"/>
    </row>
    <row r="6" spans="1:37" x14ac:dyDescent="0.25">
      <c r="A6" s="2205"/>
      <c r="B6" s="574">
        <v>2</v>
      </c>
      <c r="C6" s="595"/>
      <c r="D6" s="596"/>
      <c r="E6" s="596">
        <v>10</v>
      </c>
      <c r="F6" s="597"/>
      <c r="G6" s="580"/>
      <c r="H6" s="581"/>
      <c r="I6" s="581" t="s">
        <v>152</v>
      </c>
      <c r="J6" s="582"/>
      <c r="L6" s="541"/>
      <c r="M6" s="15"/>
      <c r="N6" s="535"/>
      <c r="O6" s="613"/>
      <c r="P6" s="614"/>
      <c r="Q6" s="605"/>
      <c r="R6" s="6"/>
      <c r="S6" s="613"/>
      <c r="T6" s="622"/>
      <c r="U6" s="572"/>
      <c r="V6" s="6"/>
      <c r="W6" s="6"/>
      <c r="X6" s="613"/>
      <c r="Y6" s="571"/>
      <c r="Z6" s="605"/>
      <c r="AA6" s="571"/>
      <c r="AB6" s="613"/>
      <c r="AC6" s="622"/>
      <c r="AD6" s="572"/>
      <c r="AE6" s="6"/>
      <c r="AF6" s="6">
        <v>10</v>
      </c>
      <c r="AG6" s="613"/>
      <c r="AH6" s="614"/>
      <c r="AI6" s="6"/>
      <c r="AJ6" s="605" t="s">
        <v>152</v>
      </c>
      <c r="AK6" s="613"/>
    </row>
    <row r="7" spans="1:37" x14ac:dyDescent="0.25">
      <c r="A7" s="2206">
        <v>44199</v>
      </c>
      <c r="B7" s="574">
        <v>1</v>
      </c>
      <c r="C7" s="595"/>
      <c r="D7" s="596"/>
      <c r="E7" s="596"/>
      <c r="F7" s="597"/>
      <c r="G7" s="580"/>
      <c r="H7" s="585"/>
      <c r="I7" s="581"/>
      <c r="J7" s="582"/>
      <c r="L7" s="572"/>
      <c r="M7" s="614"/>
      <c r="N7" s="535"/>
      <c r="O7" s="613"/>
      <c r="P7" s="614"/>
      <c r="Q7" s="614"/>
      <c r="R7" s="6"/>
      <c r="S7" s="613"/>
      <c r="T7" s="622"/>
      <c r="U7" s="572"/>
      <c r="V7" s="632"/>
      <c r="W7" s="6">
        <v>10</v>
      </c>
      <c r="X7" s="613"/>
      <c r="Y7" s="614"/>
      <c r="Z7" s="6"/>
      <c r="AA7" s="6" t="s">
        <v>152</v>
      </c>
      <c r="AB7" s="613"/>
      <c r="AC7" s="622"/>
      <c r="AD7" s="572"/>
      <c r="AE7" s="6"/>
      <c r="AF7" s="6"/>
      <c r="AG7" s="613"/>
      <c r="AH7" s="614"/>
      <c r="AI7" s="6"/>
      <c r="AJ7" s="6"/>
      <c r="AK7" s="613"/>
    </row>
    <row r="8" spans="1:37" ht="45" x14ac:dyDescent="0.25">
      <c r="A8" s="2205"/>
      <c r="B8" s="574">
        <v>2</v>
      </c>
      <c r="C8" s="595">
        <v>91</v>
      </c>
      <c r="D8" s="596">
        <v>82</v>
      </c>
      <c r="E8" s="596"/>
      <c r="F8" s="597"/>
      <c r="G8" s="583" t="s">
        <v>306</v>
      </c>
      <c r="H8" s="585" t="s">
        <v>307</v>
      </c>
      <c r="I8" s="618"/>
      <c r="J8" s="582"/>
      <c r="L8" s="572"/>
      <c r="M8" s="6"/>
      <c r="N8" s="6"/>
      <c r="O8" s="613"/>
      <c r="P8" s="571"/>
      <c r="Q8" s="6"/>
      <c r="R8" s="605"/>
      <c r="S8" s="613"/>
      <c r="T8" s="622"/>
      <c r="U8" s="572"/>
      <c r="V8" s="633"/>
      <c r="W8" s="614">
        <v>4</v>
      </c>
      <c r="X8" s="613"/>
      <c r="Y8" s="571"/>
      <c r="Z8" s="6"/>
      <c r="AA8" s="571" t="s">
        <v>304</v>
      </c>
      <c r="AB8" s="613"/>
      <c r="AC8" s="622"/>
      <c r="AD8" s="572"/>
      <c r="AE8" s="6"/>
      <c r="AF8" s="6"/>
      <c r="AG8" s="613"/>
      <c r="AH8" s="614"/>
      <c r="AI8" s="6"/>
      <c r="AJ8" s="6"/>
      <c r="AK8" s="613"/>
    </row>
    <row r="9" spans="1:37" x14ac:dyDescent="0.25">
      <c r="A9" s="2206">
        <v>44200</v>
      </c>
      <c r="B9" s="574">
        <v>1</v>
      </c>
      <c r="C9" s="595"/>
      <c r="D9" s="596"/>
      <c r="E9" s="596"/>
      <c r="F9" s="597"/>
      <c r="G9" s="580"/>
      <c r="H9" s="581"/>
      <c r="I9" s="619"/>
      <c r="J9" s="582"/>
      <c r="L9" s="572"/>
      <c r="M9" s="6"/>
      <c r="N9" s="6"/>
      <c r="O9" s="613"/>
      <c r="P9" s="571"/>
      <c r="Q9" s="6"/>
      <c r="R9" s="605"/>
      <c r="S9" s="613"/>
      <c r="T9" s="622"/>
      <c r="U9" s="572"/>
      <c r="V9" s="6"/>
      <c r="W9" s="6">
        <v>3</v>
      </c>
      <c r="X9" s="613"/>
      <c r="Y9" s="614"/>
      <c r="Z9" s="6"/>
      <c r="AA9" s="6" t="s">
        <v>152</v>
      </c>
      <c r="AB9" s="613"/>
      <c r="AC9" s="622"/>
      <c r="AD9" s="572"/>
      <c r="AE9" s="6"/>
      <c r="AF9" s="6"/>
      <c r="AG9" s="613"/>
      <c r="AH9" s="614"/>
      <c r="AI9" s="6"/>
      <c r="AJ9" s="6"/>
      <c r="AK9" s="613"/>
    </row>
    <row r="10" spans="1:37" x14ac:dyDescent="0.25">
      <c r="A10" s="2205"/>
      <c r="B10" s="574">
        <v>2</v>
      </c>
      <c r="C10" s="595"/>
      <c r="D10" s="596"/>
      <c r="E10" s="596"/>
      <c r="F10" s="597"/>
      <c r="G10" s="580"/>
      <c r="H10" s="581"/>
      <c r="I10" s="619"/>
      <c r="J10" s="582"/>
      <c r="L10" s="572"/>
      <c r="M10" s="6"/>
      <c r="N10" s="6"/>
      <c r="O10" s="613"/>
      <c r="P10" s="571"/>
      <c r="Q10" s="6"/>
      <c r="R10" s="605"/>
      <c r="S10" s="613"/>
      <c r="T10" s="622"/>
      <c r="U10" s="572"/>
      <c r="V10" s="6"/>
      <c r="W10" s="6"/>
      <c r="X10" s="613"/>
      <c r="Y10" s="571"/>
      <c r="Z10" s="6"/>
      <c r="AA10" s="6"/>
      <c r="AB10" s="613"/>
      <c r="AC10" s="622"/>
      <c r="AD10" s="572">
        <v>70</v>
      </c>
      <c r="AE10" s="6"/>
      <c r="AF10" s="6"/>
      <c r="AG10" s="613"/>
      <c r="AH10" s="614" t="s">
        <v>113</v>
      </c>
      <c r="AI10" s="6"/>
      <c r="AJ10" s="6"/>
      <c r="AK10" s="613"/>
    </row>
    <row r="11" spans="1:37" x14ac:dyDescent="0.25">
      <c r="A11" s="2206">
        <v>44201</v>
      </c>
      <c r="B11" s="574">
        <v>1</v>
      </c>
      <c r="C11" s="595"/>
      <c r="D11" s="596"/>
      <c r="E11" s="596"/>
      <c r="F11" s="597"/>
      <c r="G11" s="580"/>
      <c r="H11" s="581"/>
      <c r="I11" s="581"/>
      <c r="J11" s="582"/>
      <c r="L11" s="572"/>
      <c r="M11" s="535"/>
      <c r="N11" s="6"/>
      <c r="O11" s="613"/>
      <c r="P11" s="571"/>
      <c r="Q11" s="6"/>
      <c r="R11" s="605"/>
      <c r="S11" s="613"/>
      <c r="T11" s="622"/>
      <c r="U11" s="572"/>
      <c r="V11" s="6"/>
      <c r="W11" s="6"/>
      <c r="X11" s="613"/>
      <c r="Y11" s="614"/>
      <c r="Z11" s="6"/>
      <c r="AA11" s="6"/>
      <c r="AB11" s="613"/>
      <c r="AC11" s="622"/>
      <c r="AD11" s="572"/>
      <c r="AE11" s="6"/>
      <c r="AF11" s="6"/>
      <c r="AG11" s="613"/>
      <c r="AH11" s="614"/>
      <c r="AI11" s="6"/>
      <c r="AJ11" s="6"/>
      <c r="AK11" s="613"/>
    </row>
    <row r="12" spans="1:37" ht="30" x14ac:dyDescent="0.25">
      <c r="A12" s="2205"/>
      <c r="B12" s="574">
        <v>2</v>
      </c>
      <c r="C12" s="595"/>
      <c r="D12" s="596"/>
      <c r="E12" s="596">
        <v>45</v>
      </c>
      <c r="F12" s="597"/>
      <c r="G12" s="580"/>
      <c r="H12" s="581"/>
      <c r="I12" s="620" t="s">
        <v>97</v>
      </c>
      <c r="J12" s="582"/>
      <c r="L12" s="572"/>
      <c r="M12" s="535"/>
      <c r="N12" s="6"/>
      <c r="O12" s="613"/>
      <c r="P12" s="571"/>
      <c r="Q12" s="6"/>
      <c r="R12" s="605"/>
      <c r="S12" s="613"/>
      <c r="T12" s="622"/>
      <c r="U12" s="572"/>
      <c r="V12" s="6"/>
      <c r="W12" s="6"/>
      <c r="X12" s="613"/>
      <c r="Y12" s="614"/>
      <c r="Z12" s="6"/>
      <c r="AA12" s="6"/>
      <c r="AB12" s="613"/>
      <c r="AC12" s="622"/>
      <c r="AD12" s="572"/>
      <c r="AE12" s="6"/>
      <c r="AF12" s="6">
        <v>5</v>
      </c>
      <c r="AG12" s="613"/>
      <c r="AH12" s="614"/>
      <c r="AI12" s="6"/>
      <c r="AJ12" s="6" t="s">
        <v>304</v>
      </c>
      <c r="AK12" s="613"/>
    </row>
    <row r="13" spans="1:37" x14ac:dyDescent="0.25">
      <c r="A13" s="2206">
        <v>44202</v>
      </c>
      <c r="B13" s="574">
        <v>1</v>
      </c>
      <c r="C13" s="595"/>
      <c r="D13" s="596"/>
      <c r="E13" s="596"/>
      <c r="F13" s="597"/>
      <c r="G13" s="580"/>
      <c r="H13" s="581"/>
      <c r="I13" s="620"/>
      <c r="J13" s="582"/>
      <c r="L13" s="621"/>
      <c r="M13" s="15"/>
      <c r="N13" s="15"/>
      <c r="O13" s="613"/>
      <c r="P13" s="571"/>
      <c r="Q13" s="6"/>
      <c r="R13" s="605"/>
      <c r="S13" s="613"/>
      <c r="T13" s="622"/>
      <c r="U13" s="572"/>
      <c r="V13" s="6"/>
      <c r="W13" s="6"/>
      <c r="X13" s="613"/>
      <c r="Y13" s="614"/>
      <c r="Z13" s="6"/>
      <c r="AA13" s="605"/>
      <c r="AB13" s="634"/>
      <c r="AC13" s="622"/>
      <c r="AD13" s="572"/>
      <c r="AE13" s="6"/>
      <c r="AF13" s="6"/>
      <c r="AG13" s="613"/>
      <c r="AH13" s="614"/>
      <c r="AI13" s="6"/>
      <c r="AJ13" s="6"/>
      <c r="AK13" s="613"/>
    </row>
    <row r="14" spans="1:37" x14ac:dyDescent="0.25">
      <c r="A14" s="2205"/>
      <c r="B14" s="574">
        <v>2</v>
      </c>
      <c r="C14" s="595">
        <v>348</v>
      </c>
      <c r="D14" s="596"/>
      <c r="E14" s="596"/>
      <c r="F14" s="597"/>
      <c r="G14" s="580" t="s">
        <v>308</v>
      </c>
      <c r="H14" s="581"/>
      <c r="I14" s="581"/>
      <c r="J14" s="582"/>
      <c r="L14" s="541"/>
      <c r="M14" s="535"/>
      <c r="N14" s="535"/>
      <c r="O14" s="613"/>
      <c r="P14" s="614"/>
      <c r="Q14" s="6"/>
      <c r="R14" s="6"/>
      <c r="S14" s="613"/>
      <c r="T14" s="622"/>
      <c r="U14" s="572"/>
      <c r="V14" s="6"/>
      <c r="W14" s="6"/>
      <c r="X14" s="613"/>
      <c r="Y14" s="614"/>
      <c r="Z14" s="6"/>
      <c r="AA14" s="6"/>
      <c r="AB14" s="613"/>
      <c r="AC14" s="622"/>
      <c r="AD14" s="572"/>
      <c r="AE14" s="6"/>
      <c r="AF14" s="6"/>
      <c r="AG14" s="613"/>
      <c r="AH14" s="571"/>
      <c r="AI14" s="6"/>
      <c r="AJ14" s="6"/>
      <c r="AK14" s="613"/>
    </row>
    <row r="15" spans="1:37" ht="30" x14ac:dyDescent="0.25">
      <c r="A15" s="2206">
        <v>44203</v>
      </c>
      <c r="B15" s="574">
        <v>1</v>
      </c>
      <c r="C15" s="595"/>
      <c r="D15" s="596"/>
      <c r="E15" s="6">
        <v>35</v>
      </c>
      <c r="F15" s="597"/>
      <c r="G15" s="580"/>
      <c r="H15" s="585"/>
      <c r="I15" s="620" t="s">
        <v>309</v>
      </c>
      <c r="J15" s="582"/>
      <c r="L15" s="541"/>
      <c r="M15" s="6"/>
      <c r="N15" s="535"/>
      <c r="O15" s="613"/>
      <c r="P15" s="572"/>
      <c r="Q15" s="585"/>
      <c r="R15" s="6"/>
      <c r="S15" s="613"/>
      <c r="T15" s="622"/>
      <c r="U15" s="572"/>
      <c r="V15" s="6"/>
      <c r="W15" s="6"/>
      <c r="X15" s="613"/>
      <c r="Y15" s="572"/>
      <c r="Z15" s="585"/>
      <c r="AA15" s="6"/>
      <c r="AB15" s="613"/>
      <c r="AC15" s="622"/>
      <c r="AD15" s="572"/>
      <c r="AE15" s="6"/>
      <c r="AF15" s="6"/>
      <c r="AG15" s="613"/>
      <c r="AH15" s="572"/>
      <c r="AI15" s="585"/>
      <c r="AJ15" s="605"/>
      <c r="AK15" s="613"/>
    </row>
    <row r="16" spans="1:37" x14ac:dyDescent="0.25">
      <c r="A16" s="2205"/>
      <c r="B16" s="574">
        <v>2</v>
      </c>
      <c r="C16" s="595"/>
      <c r="D16" s="596">
        <v>6</v>
      </c>
      <c r="E16" s="596"/>
      <c r="F16" s="597"/>
      <c r="G16" s="580"/>
      <c r="H16" s="581" t="s">
        <v>310</v>
      </c>
      <c r="I16" s="581"/>
      <c r="J16" s="582"/>
      <c r="L16" s="541"/>
      <c r="M16" s="535"/>
      <c r="N16" s="535"/>
      <c r="O16" s="613"/>
      <c r="P16" s="572"/>
      <c r="Q16" s="6"/>
      <c r="R16" s="6"/>
      <c r="S16" s="613"/>
      <c r="T16" s="622"/>
      <c r="U16" s="572"/>
      <c r="V16" s="6">
        <v>6</v>
      </c>
      <c r="W16" s="6">
        <v>10</v>
      </c>
      <c r="X16" s="613"/>
      <c r="Y16" s="581"/>
      <c r="Z16" s="581" t="s">
        <v>310</v>
      </c>
      <c r="AA16" s="6" t="s">
        <v>152</v>
      </c>
      <c r="AB16" s="613"/>
      <c r="AC16" s="622"/>
      <c r="AD16" s="572"/>
      <c r="AE16" s="6">
        <v>6</v>
      </c>
      <c r="AF16" s="6"/>
      <c r="AG16" s="613"/>
      <c r="AH16" s="572"/>
      <c r="AI16" s="6" t="s">
        <v>310</v>
      </c>
      <c r="AJ16" s="6"/>
      <c r="AK16" s="613"/>
    </row>
    <row r="17" spans="1:37" x14ac:dyDescent="0.25">
      <c r="A17" s="2206">
        <v>44204</v>
      </c>
      <c r="B17" s="574">
        <v>1</v>
      </c>
      <c r="C17" s="595"/>
      <c r="D17" s="596"/>
      <c r="E17" s="596">
        <v>46</v>
      </c>
      <c r="F17" s="597"/>
      <c r="G17" s="580"/>
      <c r="H17" s="581"/>
      <c r="I17" s="581" t="s">
        <v>152</v>
      </c>
      <c r="J17" s="582"/>
      <c r="L17" s="621">
        <v>57</v>
      </c>
      <c r="M17" s="535"/>
      <c r="N17" s="535"/>
      <c r="O17" s="613"/>
      <c r="P17" s="572" t="s">
        <v>113</v>
      </c>
      <c r="Q17" s="6"/>
      <c r="R17" s="6"/>
      <c r="S17" s="613"/>
      <c r="T17" s="622"/>
      <c r="U17" s="572"/>
      <c r="V17" s="6"/>
      <c r="W17" s="6">
        <v>10</v>
      </c>
      <c r="X17" s="613"/>
      <c r="Y17" s="572"/>
      <c r="Z17" s="6"/>
      <c r="AA17" s="6" t="s">
        <v>152</v>
      </c>
      <c r="AB17" s="613"/>
      <c r="AC17" s="622"/>
      <c r="AD17" s="572"/>
      <c r="AE17" s="6"/>
      <c r="AF17" s="6"/>
      <c r="AG17" s="613"/>
      <c r="AH17" s="572"/>
      <c r="AI17" s="6"/>
      <c r="AJ17" s="605"/>
      <c r="AK17" s="613"/>
    </row>
    <row r="18" spans="1:37" x14ac:dyDescent="0.25">
      <c r="A18" s="2205"/>
      <c r="B18" s="574">
        <v>2</v>
      </c>
      <c r="C18" s="595"/>
      <c r="D18" s="596"/>
      <c r="E18" s="596">
        <v>5</v>
      </c>
      <c r="F18" s="597"/>
      <c r="G18" s="580"/>
      <c r="H18" s="585"/>
      <c r="I18" s="581" t="s">
        <v>152</v>
      </c>
      <c r="J18" s="582"/>
      <c r="L18" s="541"/>
      <c r="M18" s="535"/>
      <c r="N18" s="535"/>
      <c r="O18" s="613"/>
      <c r="P18" s="572"/>
      <c r="Q18" s="6"/>
      <c r="R18" s="6"/>
      <c r="S18" s="613"/>
      <c r="T18" s="622"/>
      <c r="U18" s="572"/>
      <c r="V18" s="6"/>
      <c r="W18" s="6">
        <v>21</v>
      </c>
      <c r="X18" s="613"/>
      <c r="Y18" s="572"/>
      <c r="Z18" s="6"/>
      <c r="AA18" s="6" t="s">
        <v>152</v>
      </c>
      <c r="AB18" s="613"/>
      <c r="AC18" s="622"/>
      <c r="AD18" s="572"/>
      <c r="AE18" s="6"/>
      <c r="AF18" s="6">
        <v>9</v>
      </c>
      <c r="AG18" s="613"/>
      <c r="AH18" s="572"/>
      <c r="AI18" s="6"/>
      <c r="AJ18" s="605" t="s">
        <v>152</v>
      </c>
      <c r="AK18" s="613"/>
    </row>
    <row r="19" spans="1:37" ht="44.25" customHeight="1" x14ac:dyDescent="0.25">
      <c r="A19" s="2206">
        <v>44205</v>
      </c>
      <c r="B19" s="574">
        <v>1</v>
      </c>
      <c r="D19" s="596"/>
      <c r="E19" s="596"/>
      <c r="F19" s="597"/>
      <c r="G19" s="580"/>
      <c r="H19" s="581"/>
      <c r="I19" s="581"/>
      <c r="J19" s="582"/>
      <c r="L19" s="541"/>
      <c r="M19" s="535"/>
      <c r="N19" s="535"/>
      <c r="O19" s="613"/>
      <c r="P19" s="572"/>
      <c r="Q19" s="6"/>
      <c r="R19" s="6"/>
      <c r="S19" s="613"/>
      <c r="T19" s="622"/>
      <c r="U19" s="572"/>
      <c r="V19" s="6">
        <v>125</v>
      </c>
      <c r="W19" s="6"/>
      <c r="X19" s="613"/>
      <c r="Y19" s="572"/>
      <c r="Z19" s="605" t="s">
        <v>311</v>
      </c>
      <c r="AA19" s="6"/>
      <c r="AB19" s="613"/>
      <c r="AC19" s="622"/>
      <c r="AD19" s="572"/>
      <c r="AE19" s="6"/>
      <c r="AF19" s="6"/>
      <c r="AG19" s="613"/>
      <c r="AH19" s="572"/>
      <c r="AI19" s="6"/>
      <c r="AJ19" s="605"/>
      <c r="AK19" s="613"/>
    </row>
    <row r="20" spans="1:37" ht="75" customHeight="1" x14ac:dyDescent="0.25">
      <c r="A20" s="2205"/>
      <c r="B20" s="574">
        <v>2</v>
      </c>
      <c r="C20" s="595"/>
      <c r="D20" s="596">
        <v>15</v>
      </c>
      <c r="E20" s="596"/>
      <c r="F20" s="597"/>
      <c r="G20" s="580"/>
      <c r="H20" s="620" t="s">
        <v>312</v>
      </c>
      <c r="I20" s="581"/>
      <c r="J20" s="582"/>
      <c r="L20" s="541"/>
      <c r="M20" s="535"/>
      <c r="N20" s="535"/>
      <c r="O20" s="613"/>
      <c r="P20" s="572"/>
      <c r="Q20" s="6"/>
      <c r="R20" s="6"/>
      <c r="S20" s="613"/>
      <c r="T20" s="622"/>
      <c r="U20" s="572"/>
      <c r="V20" s="250">
        <f>10+59</f>
        <v>69</v>
      </c>
      <c r="W20" s="6"/>
      <c r="X20" s="613"/>
      <c r="Y20" s="572"/>
      <c r="Z20" s="605" t="s">
        <v>314</v>
      </c>
      <c r="AA20" s="6"/>
      <c r="AB20" s="613"/>
      <c r="AC20" s="622"/>
      <c r="AD20" s="572"/>
      <c r="AE20" s="6"/>
      <c r="AF20" s="6"/>
      <c r="AG20" s="613"/>
      <c r="AH20" s="572"/>
      <c r="AI20" s="6"/>
      <c r="AJ20" s="6"/>
      <c r="AK20" s="613"/>
    </row>
    <row r="21" spans="1:37" ht="52.5" customHeight="1" x14ac:dyDescent="0.25">
      <c r="A21" s="2206">
        <v>44206</v>
      </c>
      <c r="B21" s="574">
        <v>1</v>
      </c>
      <c r="C21" s="595">
        <v>495</v>
      </c>
      <c r="D21" s="596"/>
      <c r="E21" s="596"/>
      <c r="F21" s="597"/>
      <c r="G21" s="2226" t="s">
        <v>313</v>
      </c>
      <c r="H21" s="581"/>
      <c r="I21" s="581"/>
      <c r="J21" s="582"/>
      <c r="L21" s="541"/>
      <c r="M21" s="535"/>
      <c r="N21" s="535"/>
      <c r="O21" s="613"/>
      <c r="P21" s="572"/>
      <c r="Q21" s="6"/>
      <c r="R21" s="6"/>
      <c r="S21" s="613"/>
      <c r="T21" s="622"/>
      <c r="U21" s="572"/>
      <c r="V21" s="6"/>
      <c r="W21" s="6"/>
      <c r="X21" s="613"/>
      <c r="Y21" s="572"/>
      <c r="Z21" s="6"/>
      <c r="AA21" s="6"/>
      <c r="AB21" s="613"/>
      <c r="AC21" s="622"/>
      <c r="AD21" s="572"/>
      <c r="AE21" s="6"/>
      <c r="AF21" s="6"/>
      <c r="AG21" s="613"/>
      <c r="AH21" s="572"/>
      <c r="AI21" s="6"/>
      <c r="AJ21" s="6"/>
      <c r="AK21" s="613"/>
    </row>
    <row r="22" spans="1:37" ht="20.25" customHeight="1" x14ac:dyDescent="0.25">
      <c r="A22" s="2205"/>
      <c r="B22" s="574">
        <v>2</v>
      </c>
      <c r="C22" s="595">
        <v>172</v>
      </c>
      <c r="D22" s="596"/>
      <c r="E22" s="596"/>
      <c r="F22" s="597"/>
      <c r="G22" s="2227"/>
      <c r="H22" s="581"/>
      <c r="I22" s="620"/>
      <c r="J22" s="582"/>
      <c r="L22" s="572"/>
      <c r="M22" s="535"/>
      <c r="N22" s="535"/>
      <c r="O22" s="613"/>
      <c r="P22" s="571"/>
      <c r="Q22" s="6"/>
      <c r="R22" s="6"/>
      <c r="S22" s="613"/>
      <c r="T22" s="622"/>
      <c r="U22" s="572"/>
      <c r="V22" s="6"/>
      <c r="W22" s="6"/>
      <c r="X22" s="613"/>
      <c r="Y22" s="572"/>
      <c r="Z22" s="6"/>
      <c r="AA22" s="605"/>
      <c r="AB22" s="613"/>
      <c r="AC22" s="622"/>
      <c r="AD22" s="572"/>
      <c r="AE22" s="6"/>
      <c r="AF22" s="6"/>
      <c r="AG22" s="613"/>
      <c r="AH22" s="572"/>
      <c r="AI22" s="6"/>
      <c r="AJ22" s="6"/>
      <c r="AK22" s="613"/>
    </row>
    <row r="23" spans="1:37" x14ac:dyDescent="0.25">
      <c r="A23" s="2206">
        <v>44207</v>
      </c>
      <c r="B23" s="644">
        <v>1</v>
      </c>
      <c r="C23" s="595"/>
      <c r="D23" s="596"/>
      <c r="E23" s="596"/>
      <c r="F23" s="597"/>
      <c r="G23" s="580"/>
      <c r="H23" s="581"/>
      <c r="I23" s="619"/>
      <c r="J23" s="582"/>
      <c r="L23" s="541"/>
      <c r="M23" s="535"/>
      <c r="N23" s="535"/>
      <c r="O23" s="613"/>
      <c r="P23" s="572"/>
      <c r="Q23" s="6"/>
      <c r="R23" s="6"/>
      <c r="S23" s="613"/>
      <c r="T23" s="622"/>
      <c r="U23" s="572"/>
      <c r="V23" s="6"/>
      <c r="W23" s="6"/>
      <c r="X23" s="613"/>
      <c r="Y23" s="572"/>
      <c r="Z23" s="6"/>
      <c r="AA23" s="6"/>
      <c r="AB23" s="613"/>
      <c r="AC23" s="622"/>
      <c r="AD23" s="572"/>
      <c r="AE23" s="6"/>
      <c r="AF23" s="6"/>
      <c r="AG23" s="613"/>
      <c r="AH23" s="567"/>
      <c r="AI23" s="6"/>
      <c r="AJ23" s="6"/>
      <c r="AK23" s="613"/>
    </row>
    <row r="24" spans="1:37" x14ac:dyDescent="0.25">
      <c r="A24" s="2205"/>
      <c r="B24" s="574">
        <v>2</v>
      </c>
      <c r="C24" s="595"/>
      <c r="D24" s="596"/>
      <c r="E24" s="596"/>
      <c r="F24" s="597"/>
      <c r="G24" s="580"/>
      <c r="H24" s="581"/>
      <c r="I24" s="620"/>
      <c r="J24" s="582"/>
      <c r="L24" s="541"/>
      <c r="M24" s="535"/>
      <c r="N24" s="535"/>
      <c r="O24" s="613"/>
      <c r="P24" s="572"/>
      <c r="Q24" s="6"/>
      <c r="R24" s="6"/>
      <c r="S24" s="613"/>
      <c r="T24" s="622"/>
      <c r="U24" s="572"/>
      <c r="V24" s="6"/>
      <c r="W24" s="6"/>
      <c r="X24" s="613"/>
      <c r="Y24" s="572"/>
      <c r="Z24" s="6"/>
      <c r="AA24" s="6"/>
      <c r="AB24" s="613"/>
      <c r="AC24" s="622"/>
      <c r="AD24" s="572"/>
      <c r="AE24" s="6"/>
      <c r="AF24" s="6"/>
      <c r="AG24" s="613"/>
      <c r="AH24" s="572"/>
      <c r="AI24" s="6"/>
      <c r="AJ24" s="6"/>
      <c r="AK24" s="613"/>
    </row>
    <row r="25" spans="1:37" ht="30" customHeight="1" x14ac:dyDescent="0.25">
      <c r="A25" s="2206">
        <v>44208</v>
      </c>
      <c r="B25" s="574">
        <v>1</v>
      </c>
      <c r="C25" s="595"/>
      <c r="D25" s="596"/>
      <c r="E25" s="596"/>
      <c r="F25" s="597"/>
      <c r="G25" s="580"/>
      <c r="H25" s="581"/>
      <c r="I25" s="581"/>
      <c r="J25" s="582"/>
      <c r="L25" s="541"/>
      <c r="M25" s="535"/>
      <c r="N25" s="535"/>
      <c r="O25" s="613"/>
      <c r="P25" s="572"/>
      <c r="Q25" s="6"/>
      <c r="R25" s="6"/>
      <c r="S25" s="613"/>
      <c r="T25" s="622"/>
      <c r="U25" s="572"/>
      <c r="V25" s="6"/>
      <c r="W25" s="6"/>
      <c r="X25" s="613"/>
      <c r="Y25" s="572"/>
      <c r="Z25" s="6"/>
      <c r="AA25" s="6"/>
      <c r="AB25" s="613"/>
      <c r="AC25" s="622"/>
      <c r="AD25" s="572">
        <v>88</v>
      </c>
      <c r="AE25" s="6"/>
      <c r="AF25" s="6"/>
      <c r="AG25" s="613"/>
      <c r="AH25" s="2228" t="s">
        <v>315</v>
      </c>
      <c r="AI25" s="6"/>
      <c r="AJ25" s="6"/>
      <c r="AK25" s="613"/>
    </row>
    <row r="26" spans="1:37" x14ac:dyDescent="0.25">
      <c r="A26" s="2205"/>
      <c r="B26" s="574">
        <v>2</v>
      </c>
      <c r="C26" s="595"/>
      <c r="D26" s="596"/>
      <c r="E26" s="596"/>
      <c r="F26" s="597"/>
      <c r="G26" s="580"/>
      <c r="H26" s="581"/>
      <c r="I26" s="581"/>
      <c r="J26" s="582"/>
      <c r="L26" s="541"/>
      <c r="M26" s="535"/>
      <c r="N26" s="535"/>
      <c r="O26" s="613"/>
      <c r="P26" s="572"/>
      <c r="Q26" s="6"/>
      <c r="R26" s="6"/>
      <c r="S26" s="613"/>
      <c r="T26" s="622"/>
      <c r="U26" s="572"/>
      <c r="V26" s="6"/>
      <c r="W26" s="6"/>
      <c r="X26" s="613"/>
      <c r="Y26" s="572"/>
      <c r="Z26" s="6"/>
      <c r="AA26" s="6"/>
      <c r="AB26" s="613"/>
      <c r="AC26" s="622"/>
      <c r="AD26" s="572">
        <v>35</v>
      </c>
      <c r="AE26" s="6"/>
      <c r="AF26" s="6"/>
      <c r="AG26" s="613"/>
      <c r="AH26" s="2229"/>
      <c r="AI26" s="6"/>
      <c r="AJ26" s="6"/>
      <c r="AK26" s="613"/>
    </row>
    <row r="27" spans="1:37" x14ac:dyDescent="0.25">
      <c r="A27" s="2206">
        <v>44209</v>
      </c>
      <c r="B27" s="643">
        <v>1</v>
      </c>
      <c r="C27" s="595"/>
      <c r="D27" s="596"/>
      <c r="E27" s="596"/>
      <c r="F27" s="597"/>
      <c r="G27" s="580"/>
      <c r="H27" s="581"/>
      <c r="I27" s="585"/>
      <c r="J27" s="582"/>
      <c r="L27" s="541"/>
      <c r="M27" s="535"/>
      <c r="N27" s="6"/>
      <c r="O27" s="613"/>
      <c r="P27" s="572"/>
      <c r="Q27" s="6"/>
      <c r="R27" s="605"/>
      <c r="S27" s="613"/>
      <c r="T27" s="622"/>
      <c r="U27" s="572"/>
      <c r="V27" s="6"/>
      <c r="W27" s="6"/>
      <c r="X27" s="613"/>
      <c r="Y27" s="614"/>
      <c r="Z27" s="6"/>
      <c r="AA27" s="6"/>
      <c r="AB27" s="613"/>
      <c r="AC27" s="622"/>
      <c r="AD27" s="572"/>
      <c r="AE27" s="6"/>
      <c r="AF27" s="6"/>
      <c r="AG27" s="613"/>
      <c r="AH27" s="567"/>
      <c r="AI27" s="6"/>
      <c r="AJ27" s="6"/>
      <c r="AK27" s="613"/>
    </row>
    <row r="28" spans="1:37" x14ac:dyDescent="0.25">
      <c r="A28" s="2205"/>
      <c r="B28" s="574">
        <v>2</v>
      </c>
      <c r="C28" s="595"/>
      <c r="D28" s="596"/>
      <c r="E28" s="596"/>
      <c r="F28" s="597"/>
      <c r="G28" s="580"/>
      <c r="H28" s="581"/>
      <c r="I28" s="581"/>
      <c r="J28" s="582"/>
      <c r="L28" s="541"/>
      <c r="M28" s="535"/>
      <c r="N28" s="6"/>
      <c r="O28" s="613"/>
      <c r="P28" s="614"/>
      <c r="Q28" s="6"/>
      <c r="R28" s="605"/>
      <c r="S28" s="613"/>
      <c r="T28" s="622"/>
      <c r="U28" s="572"/>
      <c r="V28" s="6"/>
      <c r="W28" s="6"/>
      <c r="X28" s="613"/>
      <c r="Y28" s="614"/>
      <c r="Z28" s="6"/>
      <c r="AA28" s="6"/>
      <c r="AB28" s="613"/>
      <c r="AC28" s="622"/>
      <c r="AD28" s="572"/>
      <c r="AE28" s="6"/>
      <c r="AF28" s="6"/>
      <c r="AG28" s="613"/>
      <c r="AH28" s="614"/>
      <c r="AI28" s="6"/>
      <c r="AJ28" s="6"/>
      <c r="AK28" s="613"/>
    </row>
    <row r="29" spans="1:37" x14ac:dyDescent="0.25">
      <c r="A29" s="2206">
        <v>44210</v>
      </c>
      <c r="B29" s="574">
        <v>1</v>
      </c>
      <c r="C29" s="595"/>
      <c r="D29" s="596"/>
      <c r="E29" s="596"/>
      <c r="F29" s="597"/>
      <c r="G29" s="580"/>
      <c r="H29" s="581"/>
      <c r="I29" s="581"/>
      <c r="J29" s="582"/>
      <c r="L29" s="541"/>
      <c r="M29" s="535"/>
      <c r="N29" s="6"/>
      <c r="O29" s="613"/>
      <c r="P29" s="614"/>
      <c r="Q29" s="6"/>
      <c r="R29" s="605"/>
      <c r="S29" s="613"/>
      <c r="T29" s="622"/>
      <c r="U29" s="572"/>
      <c r="V29" s="6"/>
      <c r="W29" s="6"/>
      <c r="X29" s="613"/>
      <c r="Y29" s="614"/>
      <c r="Z29" s="6"/>
      <c r="AA29" s="6"/>
      <c r="AB29" s="613"/>
      <c r="AC29" s="622"/>
      <c r="AD29" s="572"/>
      <c r="AE29" s="6"/>
      <c r="AF29" s="6"/>
      <c r="AG29" s="613"/>
      <c r="AH29" s="614"/>
      <c r="AI29" s="6"/>
      <c r="AJ29" s="6"/>
      <c r="AK29" s="613"/>
    </row>
    <row r="30" spans="1:37" x14ac:dyDescent="0.25">
      <c r="A30" s="2205"/>
      <c r="B30" s="643">
        <v>2</v>
      </c>
      <c r="C30" s="595"/>
      <c r="D30" s="596"/>
      <c r="E30" s="596"/>
      <c r="F30" s="597"/>
      <c r="G30" s="580"/>
      <c r="H30" s="581"/>
      <c r="I30" s="581"/>
      <c r="J30" s="582"/>
      <c r="L30" s="572"/>
      <c r="M30" s="570"/>
      <c r="N30" s="570"/>
      <c r="O30" s="613"/>
      <c r="P30" s="614"/>
      <c r="Q30" s="6"/>
      <c r="R30" s="6"/>
      <c r="S30" s="613"/>
      <c r="T30" s="622"/>
      <c r="U30" s="572"/>
      <c r="V30" s="6"/>
      <c r="W30" s="6"/>
      <c r="X30" s="613"/>
      <c r="Y30" s="614"/>
      <c r="Z30" s="6"/>
      <c r="AA30" s="6"/>
      <c r="AB30" s="613"/>
      <c r="AC30" s="622"/>
      <c r="AD30" s="572"/>
      <c r="AE30" s="6"/>
      <c r="AF30" s="6"/>
      <c r="AG30" s="613"/>
      <c r="AH30" s="571"/>
      <c r="AI30" s="622"/>
      <c r="AJ30" s="6"/>
      <c r="AK30" s="613"/>
    </row>
    <row r="31" spans="1:37" x14ac:dyDescent="0.25">
      <c r="A31" s="2206">
        <v>44211</v>
      </c>
      <c r="B31" s="574">
        <v>1</v>
      </c>
      <c r="C31" s="595"/>
      <c r="D31" s="596"/>
      <c r="E31" s="596"/>
      <c r="F31" s="597"/>
      <c r="G31" s="580"/>
      <c r="H31" s="581"/>
      <c r="I31" s="585"/>
      <c r="J31" s="582"/>
      <c r="L31" s="541"/>
      <c r="M31" s="535"/>
      <c r="N31" s="535"/>
      <c r="O31" s="613"/>
      <c r="P31" s="614"/>
      <c r="Q31" s="6"/>
      <c r="R31" s="6"/>
      <c r="S31" s="613"/>
      <c r="T31" s="622"/>
      <c r="U31" s="572"/>
      <c r="V31" s="6"/>
      <c r="W31" s="6">
        <v>10</v>
      </c>
      <c r="X31" s="613"/>
      <c r="Y31" s="614"/>
      <c r="Z31" s="6"/>
      <c r="AA31" s="6" t="s">
        <v>97</v>
      </c>
      <c r="AB31" s="613"/>
      <c r="AC31" s="622"/>
      <c r="AD31" s="572"/>
      <c r="AE31" s="6"/>
      <c r="AF31" s="6"/>
      <c r="AG31" s="613"/>
      <c r="AH31" s="614"/>
      <c r="AI31" s="6"/>
      <c r="AJ31" s="6"/>
      <c r="AK31" s="613"/>
    </row>
    <row r="32" spans="1:37" ht="45" customHeight="1" x14ac:dyDescent="0.25">
      <c r="A32" s="2205"/>
      <c r="B32" s="574">
        <v>2</v>
      </c>
      <c r="C32" s="595"/>
      <c r="D32" s="596"/>
      <c r="E32" s="596"/>
      <c r="F32" s="597">
        <v>480</v>
      </c>
      <c r="G32" s="580"/>
      <c r="H32" s="581"/>
      <c r="I32" s="585"/>
      <c r="J32" s="2230" t="s">
        <v>316</v>
      </c>
      <c r="L32" s="541"/>
      <c r="M32" s="535"/>
      <c r="N32" s="535"/>
      <c r="O32" s="613"/>
      <c r="P32" s="614"/>
      <c r="Q32" s="6"/>
      <c r="R32" s="6"/>
      <c r="S32" s="613"/>
      <c r="T32" s="622"/>
      <c r="U32" s="572"/>
      <c r="V32" s="6"/>
      <c r="W32" s="6"/>
      <c r="X32" s="613"/>
      <c r="Y32" s="614"/>
      <c r="Z32" s="6"/>
      <c r="AA32" s="6"/>
      <c r="AB32" s="613"/>
      <c r="AC32" s="622"/>
      <c r="AD32" s="572"/>
      <c r="AE32" s="6"/>
      <c r="AF32" s="6"/>
      <c r="AG32" s="613"/>
      <c r="AH32" s="614"/>
      <c r="AI32" s="6"/>
      <c r="AJ32" s="6"/>
      <c r="AK32" s="613"/>
    </row>
    <row r="33" spans="1:37" x14ac:dyDescent="0.25">
      <c r="A33" s="2206">
        <v>44212</v>
      </c>
      <c r="B33" s="574">
        <v>1</v>
      </c>
      <c r="C33" s="595"/>
      <c r="D33" s="596"/>
      <c r="E33" s="596"/>
      <c r="F33" s="597">
        <v>95</v>
      </c>
      <c r="G33" s="580"/>
      <c r="H33" s="581"/>
      <c r="I33" s="585"/>
      <c r="J33" s="2231"/>
      <c r="L33" s="541"/>
      <c r="M33" s="535"/>
      <c r="N33" s="535"/>
      <c r="O33" s="613"/>
      <c r="P33" s="614"/>
      <c r="Q33" s="6"/>
      <c r="R33" s="6"/>
      <c r="S33" s="613"/>
      <c r="T33" s="622"/>
      <c r="U33" s="572"/>
      <c r="V33" s="6"/>
      <c r="W33" s="6"/>
      <c r="X33" s="613"/>
      <c r="Y33" s="614"/>
      <c r="Z33" s="6"/>
      <c r="AA33" s="6"/>
      <c r="AB33" s="613"/>
      <c r="AC33" s="622"/>
      <c r="AD33" s="572"/>
      <c r="AE33" s="6"/>
      <c r="AF33" s="6"/>
      <c r="AG33" s="613"/>
      <c r="AH33" s="614"/>
      <c r="AI33" s="605"/>
      <c r="AJ33" s="6"/>
      <c r="AK33" s="613"/>
    </row>
    <row r="34" spans="1:37" ht="30" x14ac:dyDescent="0.25">
      <c r="A34" s="2205"/>
      <c r="B34" s="643">
        <v>2</v>
      </c>
      <c r="C34" s="596"/>
      <c r="D34" s="596">
        <v>20</v>
      </c>
      <c r="E34" s="596"/>
      <c r="F34" s="597"/>
      <c r="G34" s="580"/>
      <c r="H34" s="585" t="s">
        <v>317</v>
      </c>
      <c r="I34" s="581"/>
      <c r="J34" s="582"/>
      <c r="L34" s="541"/>
      <c r="M34" s="6">
        <v>18</v>
      </c>
      <c r="N34" s="535"/>
      <c r="O34" s="613"/>
      <c r="P34" s="614"/>
      <c r="Q34" s="585" t="s">
        <v>317</v>
      </c>
      <c r="R34" s="6"/>
      <c r="S34" s="613"/>
      <c r="T34" s="622"/>
      <c r="U34" s="572"/>
      <c r="V34" s="6"/>
      <c r="W34" s="6"/>
      <c r="X34" s="613"/>
      <c r="Y34" s="6"/>
      <c r="Z34" s="605"/>
      <c r="AA34" s="6"/>
      <c r="AB34" s="613"/>
      <c r="AC34" s="622"/>
      <c r="AD34" s="572"/>
      <c r="AE34" s="6"/>
      <c r="AF34" s="6"/>
      <c r="AG34" s="613"/>
      <c r="AH34" s="614"/>
      <c r="AI34" s="6"/>
      <c r="AJ34" s="6"/>
      <c r="AK34" s="613"/>
    </row>
    <row r="35" spans="1:37" x14ac:dyDescent="0.25">
      <c r="A35" s="2206">
        <v>44213</v>
      </c>
      <c r="B35" s="574">
        <v>1</v>
      </c>
      <c r="C35" s="596"/>
      <c r="D35" s="596"/>
      <c r="E35" s="596">
        <v>15</v>
      </c>
      <c r="F35" s="597"/>
      <c r="G35" s="580"/>
      <c r="H35" s="581"/>
      <c r="I35" s="585" t="s">
        <v>152</v>
      </c>
      <c r="J35" s="582"/>
      <c r="L35" s="541"/>
      <c r="M35" s="6">
        <v>50</v>
      </c>
      <c r="N35" s="535"/>
      <c r="O35" s="613"/>
      <c r="P35" s="567"/>
      <c r="Q35" s="649" t="s">
        <v>96</v>
      </c>
      <c r="R35" s="620"/>
      <c r="S35" s="613"/>
      <c r="T35" s="622"/>
      <c r="U35" s="572"/>
      <c r="V35" s="6"/>
      <c r="W35" s="6">
        <v>25</v>
      </c>
      <c r="X35" s="613"/>
      <c r="Y35" s="614"/>
      <c r="Z35" s="605"/>
      <c r="AA35" s="6" t="s">
        <v>152</v>
      </c>
      <c r="AB35" s="613"/>
      <c r="AC35" s="622"/>
      <c r="AD35" s="572"/>
      <c r="AE35" s="6"/>
      <c r="AF35" s="6"/>
      <c r="AG35" s="613"/>
      <c r="AH35" s="614"/>
      <c r="AI35" s="620"/>
      <c r="AJ35" s="620"/>
      <c r="AK35" s="613"/>
    </row>
    <row r="36" spans="1:37" ht="45" x14ac:dyDescent="0.25">
      <c r="A36" s="2205"/>
      <c r="B36" s="574">
        <v>2</v>
      </c>
      <c r="C36" s="596"/>
      <c r="D36" s="596">
        <v>13</v>
      </c>
      <c r="E36" s="596"/>
      <c r="F36" s="597"/>
      <c r="G36" s="583"/>
      <c r="H36" s="620" t="s">
        <v>317</v>
      </c>
      <c r="I36" s="581"/>
      <c r="J36" s="582"/>
      <c r="L36" s="627"/>
      <c r="M36" s="6">
        <f>70+17</f>
        <v>87</v>
      </c>
      <c r="N36" s="535"/>
      <c r="O36" s="613"/>
      <c r="P36" s="567"/>
      <c r="Q36" s="649" t="s">
        <v>318</v>
      </c>
      <c r="R36" s="6"/>
      <c r="S36" s="613"/>
      <c r="T36" s="622"/>
      <c r="U36" s="572"/>
      <c r="V36" s="6"/>
      <c r="W36" s="6"/>
      <c r="X36" s="613"/>
      <c r="Y36" s="614"/>
      <c r="Z36" s="605"/>
      <c r="AA36" s="571"/>
      <c r="AB36" s="613"/>
      <c r="AC36" s="622"/>
      <c r="AD36" s="572"/>
      <c r="AE36" s="6"/>
      <c r="AF36" s="6"/>
      <c r="AG36" s="613"/>
      <c r="AH36" s="614"/>
      <c r="AI36" s="605"/>
      <c r="AJ36" s="571"/>
      <c r="AK36" s="613"/>
    </row>
    <row r="37" spans="1:37" ht="30" x14ac:dyDescent="0.25">
      <c r="A37" s="2206">
        <v>44214</v>
      </c>
      <c r="B37" s="643">
        <v>1</v>
      </c>
      <c r="C37" s="596"/>
      <c r="D37" s="596"/>
      <c r="E37" s="596">
        <v>10</v>
      </c>
      <c r="F37" s="597"/>
      <c r="G37" s="580"/>
      <c r="H37" s="581"/>
      <c r="I37" s="585" t="s">
        <v>319</v>
      </c>
      <c r="J37" s="582"/>
      <c r="L37" s="541"/>
      <c r="M37" s="535"/>
      <c r="N37" s="535"/>
      <c r="O37" s="613"/>
      <c r="P37" s="614"/>
      <c r="Q37" s="6"/>
      <c r="R37" s="6"/>
      <c r="S37" s="613"/>
      <c r="T37" s="622"/>
      <c r="U37" s="572"/>
      <c r="V37" s="6"/>
      <c r="W37" s="6">
        <v>10</v>
      </c>
      <c r="X37" s="613"/>
      <c r="Y37" s="614"/>
      <c r="Z37" s="605"/>
      <c r="AA37" s="6" t="s">
        <v>152</v>
      </c>
      <c r="AB37" s="613"/>
      <c r="AC37" s="622"/>
      <c r="AD37" s="572"/>
      <c r="AE37" s="6"/>
      <c r="AF37" s="6"/>
      <c r="AG37" s="613"/>
      <c r="AH37" s="614"/>
      <c r="AI37" s="6"/>
      <c r="AJ37" s="6"/>
      <c r="AK37" s="613"/>
    </row>
    <row r="38" spans="1:37" x14ac:dyDescent="0.25">
      <c r="A38" s="2205"/>
      <c r="B38" s="574">
        <v>2</v>
      </c>
      <c r="C38" s="595"/>
      <c r="D38" s="596"/>
      <c r="E38" s="596">
        <v>25</v>
      </c>
      <c r="F38" s="597"/>
      <c r="G38" s="580"/>
      <c r="H38" s="581"/>
      <c r="I38" s="581" t="s">
        <v>152</v>
      </c>
      <c r="J38" s="582"/>
      <c r="L38" s="572"/>
      <c r="M38" s="535"/>
      <c r="N38" s="535"/>
      <c r="O38" s="613"/>
      <c r="P38" s="571"/>
      <c r="Q38" s="6"/>
      <c r="R38" s="6"/>
      <c r="S38" s="613"/>
      <c r="T38" s="622"/>
      <c r="U38" s="572"/>
      <c r="V38" s="6"/>
      <c r="W38" s="6">
        <v>9</v>
      </c>
      <c r="X38" s="613"/>
      <c r="Y38" s="614"/>
      <c r="Z38" s="6"/>
      <c r="AA38" s="6" t="s">
        <v>152</v>
      </c>
      <c r="AB38" s="613"/>
      <c r="AC38" s="622"/>
      <c r="AD38" s="572"/>
      <c r="AE38" s="6"/>
      <c r="AF38" s="6"/>
      <c r="AG38" s="613"/>
      <c r="AH38" s="614"/>
      <c r="AI38" s="6"/>
      <c r="AJ38" s="6"/>
      <c r="AK38" s="613"/>
    </row>
    <row r="39" spans="1:37" x14ac:dyDescent="0.25">
      <c r="A39" s="2206">
        <v>44215</v>
      </c>
      <c r="B39" s="574">
        <v>1</v>
      </c>
      <c r="C39" s="595"/>
      <c r="D39" s="596"/>
      <c r="E39" s="596"/>
      <c r="F39" s="597"/>
      <c r="G39" s="580"/>
      <c r="H39" s="581"/>
      <c r="I39" s="585"/>
      <c r="J39" s="582"/>
      <c r="L39" s="541"/>
      <c r="M39" s="535"/>
      <c r="N39" s="535"/>
      <c r="O39" s="613"/>
      <c r="P39" s="614"/>
      <c r="Q39" s="6"/>
      <c r="R39" s="6"/>
      <c r="S39" s="613"/>
      <c r="T39" s="622"/>
      <c r="U39" s="572"/>
      <c r="V39" s="6"/>
      <c r="W39" s="6">
        <v>30</v>
      </c>
      <c r="X39" s="613"/>
      <c r="Y39" s="614"/>
      <c r="Z39" s="6"/>
      <c r="AA39" s="6" t="s">
        <v>152</v>
      </c>
      <c r="AB39" s="613"/>
      <c r="AC39" s="622"/>
      <c r="AD39" s="572"/>
      <c r="AE39" s="6"/>
      <c r="AF39" s="6"/>
      <c r="AG39" s="613"/>
      <c r="AH39" s="614"/>
      <c r="AI39" s="6"/>
      <c r="AJ39" s="6"/>
      <c r="AK39" s="613"/>
    </row>
    <row r="40" spans="1:37" x14ac:dyDescent="0.25">
      <c r="A40" s="2205"/>
      <c r="B40" s="574">
        <v>2</v>
      </c>
      <c r="C40" s="595"/>
      <c r="D40" s="596"/>
      <c r="E40" s="596">
        <v>50</v>
      </c>
      <c r="F40" s="597"/>
      <c r="G40" s="580"/>
      <c r="H40" s="581"/>
      <c r="I40" s="585" t="s">
        <v>152</v>
      </c>
      <c r="J40" s="582"/>
      <c r="L40" s="541"/>
      <c r="M40" s="535"/>
      <c r="N40" s="535"/>
      <c r="O40" s="613"/>
      <c r="P40" s="614"/>
      <c r="Q40" s="6"/>
      <c r="R40" s="6"/>
      <c r="S40" s="613"/>
      <c r="T40" s="622"/>
      <c r="U40" s="572">
        <v>17</v>
      </c>
      <c r="V40" s="6"/>
      <c r="W40" s="6">
        <v>16</v>
      </c>
      <c r="X40" s="613"/>
      <c r="Y40" s="614" t="s">
        <v>207</v>
      </c>
      <c r="Z40" s="6"/>
      <c r="AA40" s="6" t="s">
        <v>152</v>
      </c>
      <c r="AB40" s="613"/>
      <c r="AC40" s="622"/>
      <c r="AD40" s="572"/>
      <c r="AE40" s="6"/>
      <c r="AF40" s="6"/>
      <c r="AG40" s="613"/>
      <c r="AH40" s="614"/>
      <c r="AI40" s="6"/>
      <c r="AJ40" s="6"/>
      <c r="AK40" s="613"/>
    </row>
    <row r="41" spans="1:37" x14ac:dyDescent="0.25">
      <c r="A41" s="2206">
        <v>44216</v>
      </c>
      <c r="B41" s="574">
        <v>1</v>
      </c>
      <c r="C41" s="595"/>
      <c r="D41" s="596"/>
      <c r="E41" s="596">
        <v>31</v>
      </c>
      <c r="F41" s="597"/>
      <c r="G41" s="580"/>
      <c r="H41" s="581"/>
      <c r="I41" s="581" t="s">
        <v>152</v>
      </c>
      <c r="J41" s="582"/>
      <c r="L41" s="541"/>
      <c r="M41" s="535"/>
      <c r="N41" s="535"/>
      <c r="O41" s="613"/>
      <c r="P41" s="614"/>
      <c r="Q41" s="6"/>
      <c r="R41" s="6"/>
      <c r="S41" s="613"/>
      <c r="T41" s="622"/>
      <c r="U41" s="572"/>
      <c r="V41" s="6"/>
      <c r="W41" s="6">
        <v>19</v>
      </c>
      <c r="X41" s="613"/>
      <c r="Y41" s="614"/>
      <c r="Z41" s="605"/>
      <c r="AA41" s="605" t="s">
        <v>152</v>
      </c>
      <c r="AB41" s="613"/>
      <c r="AC41" s="622"/>
      <c r="AD41" s="572"/>
      <c r="AE41" s="6"/>
      <c r="AF41" s="6"/>
      <c r="AG41" s="613"/>
      <c r="AH41" s="614"/>
      <c r="AI41" s="6"/>
      <c r="AJ41" s="6"/>
      <c r="AK41" s="613"/>
    </row>
    <row r="42" spans="1:37" x14ac:dyDescent="0.25">
      <c r="A42" s="2205"/>
      <c r="B42" s="574">
        <v>2</v>
      </c>
      <c r="C42" s="595"/>
      <c r="D42" s="596"/>
      <c r="E42" s="596">
        <v>10</v>
      </c>
      <c r="F42" s="597"/>
      <c r="G42" s="580"/>
      <c r="H42" s="581"/>
      <c r="I42" s="581" t="s">
        <v>304</v>
      </c>
      <c r="J42" s="536"/>
      <c r="L42" s="541"/>
      <c r="M42" s="535"/>
      <c r="N42" s="535"/>
      <c r="O42" s="613"/>
      <c r="P42" s="614"/>
      <c r="Q42" s="6"/>
      <c r="R42" s="6"/>
      <c r="S42" s="613"/>
      <c r="T42" s="622"/>
      <c r="U42" s="572"/>
      <c r="V42" s="6"/>
      <c r="W42" s="6"/>
      <c r="X42" s="613"/>
      <c r="Y42" s="614"/>
      <c r="Z42" s="6"/>
      <c r="AA42" s="6"/>
      <c r="AB42" s="613"/>
      <c r="AC42" s="622"/>
      <c r="AD42" s="572"/>
      <c r="AE42" s="6"/>
      <c r="AF42" s="6">
        <v>10</v>
      </c>
      <c r="AG42" s="613">
        <v>35</v>
      </c>
      <c r="AH42" s="614"/>
      <c r="AI42" s="6"/>
      <c r="AJ42" s="6" t="s">
        <v>152</v>
      </c>
      <c r="AK42" s="613" t="s">
        <v>320</v>
      </c>
    </row>
    <row r="43" spans="1:37" x14ac:dyDescent="0.25">
      <c r="A43" s="2206">
        <v>44217</v>
      </c>
      <c r="B43" s="574">
        <v>1</v>
      </c>
      <c r="C43" s="595"/>
      <c r="D43" s="596"/>
      <c r="E43" s="596"/>
      <c r="F43" s="597"/>
      <c r="G43" s="580"/>
      <c r="H43" s="581"/>
      <c r="I43" s="585"/>
      <c r="J43" s="582"/>
      <c r="L43" s="541"/>
      <c r="M43" s="535"/>
      <c r="N43" s="535"/>
      <c r="O43" s="613"/>
      <c r="P43" s="614"/>
      <c r="Q43" s="6"/>
      <c r="R43" s="6"/>
      <c r="S43" s="613"/>
      <c r="T43" s="622"/>
      <c r="U43" s="572"/>
      <c r="V43" s="6"/>
      <c r="W43" s="6"/>
      <c r="X43" s="613"/>
      <c r="Y43" s="614"/>
      <c r="Z43" s="6"/>
      <c r="AA43" s="6"/>
      <c r="AB43" s="613"/>
      <c r="AC43" s="622"/>
      <c r="AD43" s="572"/>
      <c r="AE43" s="6"/>
      <c r="AF43" s="6"/>
      <c r="AG43" s="613"/>
      <c r="AH43" s="614"/>
      <c r="AI43" s="6"/>
      <c r="AJ43" s="6"/>
      <c r="AK43" s="613"/>
    </row>
    <row r="44" spans="1:37" x14ac:dyDescent="0.25">
      <c r="A44" s="2205"/>
      <c r="B44" s="574">
        <v>2</v>
      </c>
      <c r="C44" s="595"/>
      <c r="D44" s="596"/>
      <c r="E44" s="596"/>
      <c r="F44" s="597"/>
      <c r="G44" s="583"/>
      <c r="H44" s="581"/>
      <c r="I44" s="581"/>
      <c r="J44" s="582"/>
      <c r="L44" s="541"/>
      <c r="M44" s="535"/>
      <c r="N44" s="535"/>
      <c r="O44" s="613"/>
      <c r="P44" s="614"/>
      <c r="Q44" s="6"/>
      <c r="R44" s="6"/>
      <c r="S44" s="613"/>
      <c r="T44" s="622"/>
      <c r="U44" s="572"/>
      <c r="V44" s="6"/>
      <c r="W44" s="6"/>
      <c r="X44" s="613"/>
      <c r="Y44" s="614"/>
      <c r="Z44" s="6"/>
      <c r="AA44" s="6"/>
      <c r="AB44" s="613"/>
      <c r="AC44" s="622"/>
      <c r="AD44" s="572"/>
      <c r="AE44" s="6"/>
      <c r="AF44" s="6"/>
      <c r="AG44" s="613"/>
      <c r="AH44" s="614"/>
      <c r="AI44" s="6"/>
      <c r="AJ44" s="6"/>
      <c r="AK44" s="613"/>
    </row>
    <row r="45" spans="1:37" x14ac:dyDescent="0.25">
      <c r="A45" s="2206">
        <v>44218</v>
      </c>
      <c r="B45" s="574">
        <v>1</v>
      </c>
      <c r="C45" s="595"/>
      <c r="D45" s="596"/>
      <c r="E45" s="596"/>
      <c r="F45" s="597"/>
      <c r="G45" s="580"/>
      <c r="H45" s="581"/>
      <c r="I45" s="6"/>
      <c r="J45" s="582"/>
      <c r="L45" s="541"/>
      <c r="M45" s="6"/>
      <c r="N45" s="535"/>
      <c r="O45" s="613"/>
      <c r="P45" s="614"/>
      <c r="Q45" s="605"/>
      <c r="R45" s="6"/>
      <c r="S45" s="613"/>
      <c r="T45" s="622"/>
      <c r="U45" s="572"/>
      <c r="V45" s="6"/>
      <c r="W45" s="6"/>
      <c r="X45" s="613"/>
      <c r="Y45" s="614"/>
      <c r="Z45" s="6"/>
      <c r="AA45" s="6"/>
      <c r="AB45" s="613"/>
      <c r="AC45" s="622"/>
      <c r="AD45" s="572"/>
      <c r="AE45" s="6"/>
      <c r="AF45" s="6"/>
      <c r="AG45" s="613"/>
      <c r="AH45" s="614"/>
      <c r="AI45" s="6"/>
      <c r="AJ45" s="6"/>
      <c r="AK45" s="613"/>
    </row>
    <row r="46" spans="1:37" x14ac:dyDescent="0.25">
      <c r="A46" s="2205"/>
      <c r="B46" s="574">
        <v>2</v>
      </c>
      <c r="C46" s="595"/>
      <c r="D46" s="596"/>
      <c r="E46" s="596">
        <v>25</v>
      </c>
      <c r="F46" s="597"/>
      <c r="G46" s="580"/>
      <c r="H46" s="581"/>
      <c r="I46" s="585" t="s">
        <v>152</v>
      </c>
      <c r="J46" s="582"/>
      <c r="L46" s="541"/>
      <c r="M46" s="535"/>
      <c r="N46" s="535"/>
      <c r="O46" s="613"/>
      <c r="P46" s="614"/>
      <c r="Q46" s="6"/>
      <c r="R46" s="6"/>
      <c r="S46" s="613"/>
      <c r="T46" s="622"/>
      <c r="U46" s="572"/>
      <c r="V46" s="6"/>
      <c r="W46" s="6"/>
      <c r="X46" s="613"/>
      <c r="Y46" s="614"/>
      <c r="Z46" s="6"/>
      <c r="AA46" s="6"/>
      <c r="AB46" s="613"/>
      <c r="AC46" s="622"/>
      <c r="AD46" s="572"/>
      <c r="AE46" s="6"/>
      <c r="AF46" s="6"/>
      <c r="AG46" s="613"/>
      <c r="AH46" s="614"/>
      <c r="AI46" s="6"/>
      <c r="AJ46" s="585"/>
      <c r="AK46" s="613"/>
    </row>
    <row r="47" spans="1:37" x14ac:dyDescent="0.25">
      <c r="A47" s="2206">
        <v>44219</v>
      </c>
      <c r="B47" s="574">
        <v>1</v>
      </c>
      <c r="C47" s="595"/>
      <c r="D47" s="596"/>
      <c r="E47" s="596"/>
      <c r="F47" s="597"/>
      <c r="G47" s="580"/>
      <c r="H47" s="581"/>
      <c r="I47" s="581"/>
      <c r="J47" s="582"/>
      <c r="L47" s="541"/>
      <c r="M47" s="535"/>
      <c r="N47" s="535"/>
      <c r="O47" s="613"/>
      <c r="P47" s="614"/>
      <c r="Q47" s="6"/>
      <c r="R47" s="6"/>
      <c r="S47" s="613"/>
      <c r="T47" s="622"/>
      <c r="U47" s="572"/>
      <c r="V47" s="6"/>
      <c r="W47" s="6"/>
      <c r="X47" s="613"/>
      <c r="Y47" s="614"/>
      <c r="Z47" s="6"/>
      <c r="AA47" s="605"/>
      <c r="AB47" s="613"/>
      <c r="AC47" s="622"/>
      <c r="AD47" s="572"/>
      <c r="AE47" s="6"/>
      <c r="AF47" s="6"/>
      <c r="AG47" s="613"/>
      <c r="AH47" s="614"/>
      <c r="AI47" s="6"/>
      <c r="AJ47" s="6"/>
      <c r="AK47" s="613"/>
    </row>
    <row r="48" spans="1:37" x14ac:dyDescent="0.25">
      <c r="A48" s="2205"/>
      <c r="B48" s="574">
        <v>2</v>
      </c>
      <c r="C48" s="595"/>
      <c r="D48" s="596"/>
      <c r="E48" s="596">
        <v>14</v>
      </c>
      <c r="F48" s="597"/>
      <c r="G48" s="580"/>
      <c r="H48" s="585"/>
      <c r="I48" s="581" t="s">
        <v>152</v>
      </c>
      <c r="J48" s="582"/>
      <c r="L48" s="541"/>
      <c r="M48" s="535"/>
      <c r="N48" s="535"/>
      <c r="O48" s="613"/>
      <c r="P48" s="614"/>
      <c r="Q48" s="620"/>
      <c r="R48" s="6"/>
      <c r="S48" s="613"/>
      <c r="T48" s="622"/>
      <c r="U48" s="572"/>
      <c r="V48" s="6"/>
      <c r="W48" s="6"/>
      <c r="X48" s="613"/>
      <c r="Y48" s="614"/>
      <c r="Z48" s="6"/>
      <c r="AA48" s="6"/>
      <c r="AB48" s="613"/>
      <c r="AC48" s="622"/>
      <c r="AD48" s="572"/>
      <c r="AE48" s="6"/>
      <c r="AF48" s="6"/>
      <c r="AG48" s="613"/>
      <c r="AH48" s="614"/>
      <c r="AI48" s="6"/>
      <c r="AJ48" s="6"/>
      <c r="AK48" s="613"/>
    </row>
    <row r="49" spans="1:37" x14ac:dyDescent="0.25">
      <c r="A49" s="2206">
        <v>44220</v>
      </c>
      <c r="B49" s="574">
        <v>1</v>
      </c>
      <c r="C49" s="595"/>
      <c r="D49" s="596"/>
      <c r="E49" s="596">
        <v>15</v>
      </c>
      <c r="F49" s="597"/>
      <c r="G49" s="580"/>
      <c r="H49" s="581"/>
      <c r="I49" s="581" t="s">
        <v>304</v>
      </c>
      <c r="J49" s="584"/>
      <c r="L49" s="541"/>
      <c r="M49" s="535"/>
      <c r="N49" s="535"/>
      <c r="O49" s="613"/>
      <c r="P49" s="614"/>
      <c r="Q49" s="6"/>
      <c r="R49" s="6"/>
      <c r="S49" s="634"/>
      <c r="T49" s="622"/>
      <c r="U49" s="572"/>
      <c r="V49" s="6"/>
      <c r="W49" s="6">
        <v>27</v>
      </c>
      <c r="X49" s="613"/>
      <c r="Y49" s="614"/>
      <c r="Z49" s="605"/>
      <c r="AA49" s="605" t="s">
        <v>152</v>
      </c>
      <c r="AB49" s="634"/>
      <c r="AC49" s="622"/>
      <c r="AD49" s="572"/>
      <c r="AE49" s="6"/>
      <c r="AF49" s="6"/>
      <c r="AG49" s="613"/>
      <c r="AH49" s="614"/>
      <c r="AI49" s="6"/>
      <c r="AJ49" s="6"/>
      <c r="AK49" s="634"/>
    </row>
    <row r="50" spans="1:37" ht="75" customHeight="1" x14ac:dyDescent="0.25">
      <c r="A50" s="2205"/>
      <c r="B50" s="574">
        <v>2</v>
      </c>
      <c r="C50" s="595"/>
      <c r="D50" s="596">
        <v>24</v>
      </c>
      <c r="E50" s="596"/>
      <c r="F50" s="597"/>
      <c r="G50" s="583"/>
      <c r="H50" s="581" t="s">
        <v>322</v>
      </c>
      <c r="I50" s="581"/>
      <c r="J50" s="582"/>
      <c r="L50" s="541"/>
      <c r="M50" s="6">
        <v>14</v>
      </c>
      <c r="N50" s="6">
        <v>55</v>
      </c>
      <c r="O50" s="613"/>
      <c r="P50" s="614"/>
      <c r="Q50" s="605" t="s">
        <v>323</v>
      </c>
      <c r="R50" s="605" t="s">
        <v>321</v>
      </c>
      <c r="S50" s="613"/>
      <c r="T50" s="622"/>
      <c r="U50" s="572"/>
      <c r="V50" s="6"/>
      <c r="W50" s="6">
        <v>13</v>
      </c>
      <c r="X50" s="613"/>
      <c r="Y50" s="571"/>
      <c r="Z50" s="605"/>
      <c r="AA50" s="6" t="s">
        <v>152</v>
      </c>
      <c r="AB50" s="613"/>
      <c r="AC50" s="622"/>
      <c r="AD50" s="572"/>
      <c r="AE50" s="6"/>
      <c r="AF50" s="6"/>
      <c r="AG50" s="613"/>
      <c r="AH50" s="614"/>
      <c r="AI50" s="6"/>
      <c r="AJ50" s="6"/>
      <c r="AK50" s="613"/>
    </row>
    <row r="51" spans="1:37" x14ac:dyDescent="0.25">
      <c r="A51" s="2206">
        <v>44221</v>
      </c>
      <c r="B51" s="574">
        <v>1</v>
      </c>
      <c r="C51" s="595"/>
      <c r="D51" s="596"/>
      <c r="E51" s="596"/>
      <c r="F51" s="597"/>
      <c r="G51" s="580"/>
      <c r="H51" s="581"/>
      <c r="I51" s="581"/>
      <c r="J51" s="582"/>
      <c r="L51" s="541"/>
      <c r="M51" s="535"/>
      <c r="N51" s="535"/>
      <c r="O51" s="613"/>
      <c r="P51" s="614"/>
      <c r="Q51" s="6"/>
      <c r="R51" s="6"/>
      <c r="S51" s="613"/>
      <c r="T51" s="622"/>
      <c r="U51" s="572"/>
      <c r="V51" s="6"/>
      <c r="W51" s="6"/>
      <c r="X51" s="613"/>
      <c r="Y51" s="571"/>
      <c r="Z51" s="6"/>
      <c r="AA51" s="6"/>
      <c r="AB51" s="613"/>
      <c r="AC51" s="622"/>
      <c r="AD51" s="572"/>
      <c r="AE51" s="6"/>
      <c r="AF51" s="6"/>
      <c r="AG51" s="613"/>
      <c r="AH51" s="614"/>
      <c r="AI51" s="6"/>
      <c r="AJ51" s="6"/>
      <c r="AK51" s="613"/>
    </row>
    <row r="52" spans="1:37" x14ac:dyDescent="0.25">
      <c r="A52" s="2205"/>
      <c r="B52" s="574">
        <v>2</v>
      </c>
      <c r="C52" s="595"/>
      <c r="D52" s="596"/>
      <c r="E52" s="596">
        <v>10</v>
      </c>
      <c r="F52" s="597"/>
      <c r="G52" s="580"/>
      <c r="H52" s="581" t="s">
        <v>325</v>
      </c>
      <c r="I52" s="581"/>
      <c r="J52" s="584"/>
      <c r="L52" s="541"/>
      <c r="M52" s="535"/>
      <c r="N52" s="535"/>
      <c r="O52" s="613"/>
      <c r="P52" s="614"/>
      <c r="Q52" s="6"/>
      <c r="R52" s="6"/>
      <c r="S52" s="635"/>
      <c r="T52" s="622"/>
      <c r="U52" s="572"/>
      <c r="V52" s="6"/>
      <c r="W52" s="6"/>
      <c r="X52" s="613"/>
      <c r="Y52" s="571"/>
      <c r="Z52" s="605"/>
      <c r="AA52" s="6"/>
      <c r="AB52" s="635"/>
      <c r="AC52" s="622"/>
      <c r="AD52" s="572"/>
      <c r="AE52" s="6"/>
      <c r="AF52" s="6"/>
      <c r="AG52" s="613"/>
      <c r="AH52" s="614"/>
      <c r="AI52" s="6"/>
      <c r="AJ52" s="6"/>
      <c r="AK52" s="635"/>
    </row>
    <row r="53" spans="1:37" x14ac:dyDescent="0.25">
      <c r="A53" s="2206">
        <v>44222</v>
      </c>
      <c r="B53" s="574">
        <v>1</v>
      </c>
      <c r="C53" s="595"/>
      <c r="D53" s="596"/>
      <c r="E53" s="596">
        <v>10</v>
      </c>
      <c r="F53" s="597"/>
      <c r="G53" s="580"/>
      <c r="H53" s="581" t="s">
        <v>152</v>
      </c>
      <c r="I53" s="581"/>
      <c r="J53" s="582"/>
      <c r="L53" s="541"/>
      <c r="M53" s="535"/>
      <c r="N53" s="535"/>
      <c r="O53" s="613"/>
      <c r="P53" s="614"/>
      <c r="Q53" s="6"/>
      <c r="R53" s="6"/>
      <c r="S53" s="613"/>
      <c r="T53" s="622"/>
      <c r="U53" s="572"/>
      <c r="V53" s="6"/>
      <c r="W53" s="6"/>
      <c r="X53" s="613"/>
      <c r="Y53" s="614"/>
      <c r="Z53" s="6"/>
      <c r="AA53" s="6"/>
      <c r="AB53" s="613"/>
      <c r="AC53" s="622"/>
      <c r="AD53" s="572"/>
      <c r="AE53" s="6"/>
      <c r="AF53" s="6"/>
      <c r="AG53" s="613"/>
      <c r="AH53" s="614"/>
      <c r="AI53" s="6"/>
      <c r="AJ53" s="6"/>
      <c r="AK53" s="613"/>
    </row>
    <row r="54" spans="1:37" ht="60" customHeight="1" x14ac:dyDescent="0.25">
      <c r="A54" s="2205"/>
      <c r="B54" s="641">
        <v>2</v>
      </c>
      <c r="C54" s="595"/>
      <c r="D54" s="596"/>
      <c r="E54" s="596"/>
      <c r="F54" s="597"/>
      <c r="G54" s="580"/>
      <c r="H54" s="581"/>
      <c r="I54" s="581"/>
      <c r="J54" s="582"/>
      <c r="L54" s="541"/>
      <c r="M54" s="535"/>
      <c r="N54" s="535"/>
      <c r="O54" s="613"/>
      <c r="P54" s="614"/>
      <c r="Q54" s="6"/>
      <c r="R54" s="6"/>
      <c r="S54" s="613"/>
      <c r="T54" s="622"/>
      <c r="U54" s="572"/>
      <c r="V54" s="6"/>
      <c r="W54" s="6"/>
      <c r="X54" s="613"/>
      <c r="Y54" s="614"/>
      <c r="Z54" s="605"/>
      <c r="AA54" s="6"/>
      <c r="AB54" s="613"/>
      <c r="AC54" s="622"/>
      <c r="AD54" s="572"/>
      <c r="AE54" s="6"/>
      <c r="AF54" s="6"/>
      <c r="AG54" s="613"/>
      <c r="AH54" s="614"/>
      <c r="AI54" s="6"/>
      <c r="AJ54" s="6"/>
      <c r="AK54" s="613"/>
    </row>
    <row r="55" spans="1:37" x14ac:dyDescent="0.25">
      <c r="A55" s="2206">
        <v>44223</v>
      </c>
      <c r="B55" s="574">
        <v>1</v>
      </c>
      <c r="C55" s="595"/>
      <c r="D55" s="596"/>
      <c r="E55" s="596"/>
      <c r="F55" s="597"/>
      <c r="G55" s="580"/>
      <c r="H55" s="581"/>
      <c r="I55" s="585"/>
      <c r="J55" s="582"/>
      <c r="L55" s="541"/>
      <c r="M55" s="535"/>
      <c r="N55" s="535"/>
      <c r="O55" s="613"/>
      <c r="P55" s="614"/>
      <c r="Q55" s="6"/>
      <c r="R55" s="6"/>
      <c r="S55" s="613"/>
      <c r="T55" s="622"/>
      <c r="U55" s="572"/>
      <c r="V55" s="6"/>
      <c r="W55" s="6"/>
      <c r="X55" s="613"/>
      <c r="Y55" s="614"/>
      <c r="Z55" s="6"/>
      <c r="AA55" s="6"/>
      <c r="AB55" s="613"/>
      <c r="AC55" s="622"/>
      <c r="AD55" s="572"/>
      <c r="AE55" s="6"/>
      <c r="AF55" s="6"/>
      <c r="AG55" s="613"/>
      <c r="AH55" s="614"/>
      <c r="AI55" s="6"/>
      <c r="AJ55" s="6"/>
      <c r="AK55" s="613"/>
    </row>
    <row r="56" spans="1:37" x14ac:dyDescent="0.25">
      <c r="A56" s="2205"/>
      <c r="B56" s="641">
        <v>2</v>
      </c>
      <c r="C56" s="595"/>
      <c r="D56" s="596"/>
      <c r="E56" s="596"/>
      <c r="F56" s="597"/>
      <c r="G56" s="580"/>
      <c r="H56" s="581"/>
      <c r="I56" s="581"/>
      <c r="J56" s="582"/>
      <c r="L56" s="541"/>
      <c r="M56" s="535"/>
      <c r="N56" s="535"/>
      <c r="O56" s="613"/>
      <c r="P56" s="614"/>
      <c r="Q56" s="6"/>
      <c r="R56" s="6"/>
      <c r="S56" s="613"/>
      <c r="T56" s="622"/>
      <c r="U56" s="572"/>
      <c r="V56" s="6"/>
      <c r="W56" s="6">
        <v>10</v>
      </c>
      <c r="X56" s="613"/>
      <c r="Y56" s="571"/>
      <c r="Z56" s="605"/>
      <c r="AA56" s="581" t="s">
        <v>325</v>
      </c>
      <c r="AB56" s="613"/>
      <c r="AC56" s="622"/>
      <c r="AD56" s="572"/>
      <c r="AE56" s="6"/>
      <c r="AF56" s="6">
        <v>22</v>
      </c>
      <c r="AG56" s="613"/>
      <c r="AH56" s="614"/>
      <c r="AI56" s="605"/>
      <c r="AJ56" s="581" t="s">
        <v>325</v>
      </c>
      <c r="AK56" s="613"/>
    </row>
    <row r="57" spans="1:37" ht="62.25" customHeight="1" x14ac:dyDescent="0.25">
      <c r="A57" s="2206">
        <v>44224</v>
      </c>
      <c r="B57" s="574">
        <v>1</v>
      </c>
      <c r="C57" s="595"/>
      <c r="D57" s="596"/>
      <c r="E57" s="596"/>
      <c r="F57" s="597"/>
      <c r="G57" s="580"/>
      <c r="H57" s="581"/>
      <c r="I57" s="585"/>
      <c r="J57" s="582"/>
      <c r="L57" s="541"/>
      <c r="M57" s="535"/>
      <c r="N57" s="535"/>
      <c r="O57" s="613"/>
      <c r="P57" s="614"/>
      <c r="Q57" s="6"/>
      <c r="R57" s="605"/>
      <c r="S57" s="613"/>
      <c r="T57" s="622"/>
      <c r="U57" s="572"/>
      <c r="V57" s="6"/>
      <c r="W57" s="6">
        <v>36</v>
      </c>
      <c r="X57" s="613"/>
      <c r="Y57" s="571"/>
      <c r="Z57" s="605"/>
      <c r="AA57" s="605" t="s">
        <v>324</v>
      </c>
      <c r="AB57" s="613"/>
      <c r="AC57" s="622"/>
      <c r="AD57" s="572"/>
      <c r="AE57" s="6"/>
      <c r="AF57" s="6">
        <v>30</v>
      </c>
      <c r="AG57" s="613"/>
      <c r="AH57" s="614"/>
      <c r="AI57" s="6"/>
      <c r="AJ57" s="585" t="s">
        <v>326</v>
      </c>
      <c r="AK57" s="613"/>
    </row>
    <row r="58" spans="1:37" x14ac:dyDescent="0.25">
      <c r="A58" s="2205"/>
      <c r="B58" s="641">
        <v>2</v>
      </c>
      <c r="C58" s="595"/>
      <c r="D58" s="596"/>
      <c r="E58" s="596">
        <v>10</v>
      </c>
      <c r="F58" s="597"/>
      <c r="G58" s="580"/>
      <c r="H58" s="581"/>
      <c r="I58" s="581" t="s">
        <v>325</v>
      </c>
      <c r="J58" s="582"/>
      <c r="L58" s="541"/>
      <c r="M58" s="535"/>
      <c r="N58" s="535"/>
      <c r="O58" s="613"/>
      <c r="P58" s="614"/>
      <c r="Q58" s="6"/>
      <c r="R58" s="6"/>
      <c r="S58" s="613"/>
      <c r="T58" s="622"/>
      <c r="U58" s="572"/>
      <c r="V58" s="6"/>
      <c r="W58" s="6"/>
      <c r="X58" s="613"/>
      <c r="Y58" s="614"/>
      <c r="Z58" s="605"/>
      <c r="AA58" s="6"/>
      <c r="AB58" s="613"/>
      <c r="AC58" s="622"/>
      <c r="AD58" s="572"/>
      <c r="AE58" s="6"/>
      <c r="AF58" s="6"/>
      <c r="AG58" s="613"/>
      <c r="AH58" s="614"/>
      <c r="AI58" s="6"/>
      <c r="AJ58" s="6"/>
      <c r="AK58" s="613"/>
    </row>
    <row r="59" spans="1:37" x14ac:dyDescent="0.25">
      <c r="A59" s="2206">
        <v>44225</v>
      </c>
      <c r="B59" s="574">
        <v>1</v>
      </c>
      <c r="C59" s="595"/>
      <c r="D59" s="596"/>
      <c r="E59" s="596"/>
      <c r="F59" s="597"/>
      <c r="G59" s="580"/>
      <c r="H59" s="581"/>
      <c r="I59" s="6"/>
      <c r="J59" s="582"/>
      <c r="L59" s="541"/>
      <c r="M59" s="535"/>
      <c r="N59" s="535"/>
      <c r="O59" s="613"/>
      <c r="P59" s="614"/>
      <c r="Q59" s="605"/>
      <c r="R59" s="6"/>
      <c r="S59" s="613"/>
      <c r="T59" s="622"/>
      <c r="U59" s="572"/>
      <c r="V59" s="6"/>
      <c r="W59" s="6"/>
      <c r="X59" s="613"/>
      <c r="Y59" s="614"/>
      <c r="Z59" s="6"/>
      <c r="AA59" s="6"/>
      <c r="AB59" s="613"/>
      <c r="AC59" s="622"/>
      <c r="AD59" s="572"/>
      <c r="AE59" s="6"/>
      <c r="AF59" s="6"/>
      <c r="AG59" s="613"/>
      <c r="AH59" s="571"/>
      <c r="AI59" s="6"/>
      <c r="AJ59" s="6"/>
      <c r="AK59" s="613"/>
    </row>
    <row r="60" spans="1:37" x14ac:dyDescent="0.25">
      <c r="A60" s="2205"/>
      <c r="B60" s="641">
        <v>2</v>
      </c>
      <c r="C60" s="595"/>
      <c r="D60" s="596"/>
      <c r="E60" s="596"/>
      <c r="F60" s="597"/>
      <c r="G60" s="583"/>
      <c r="H60" s="585"/>
      <c r="I60" s="581"/>
      <c r="J60" s="582"/>
      <c r="L60" s="541"/>
      <c r="M60" s="535"/>
      <c r="N60" s="535"/>
      <c r="O60" s="613"/>
      <c r="P60" s="614"/>
      <c r="Q60" s="6"/>
      <c r="R60" s="6"/>
      <c r="S60" s="613"/>
      <c r="T60" s="622"/>
      <c r="U60" s="572"/>
      <c r="V60" s="6"/>
      <c r="W60" s="6"/>
      <c r="X60" s="613"/>
      <c r="Y60" s="614"/>
      <c r="Z60" s="605"/>
      <c r="AA60" s="6"/>
      <c r="AB60" s="613"/>
      <c r="AC60" s="622"/>
      <c r="AD60" s="572"/>
      <c r="AE60" s="6"/>
      <c r="AF60" s="6"/>
      <c r="AG60" s="613"/>
      <c r="AH60" s="614"/>
      <c r="AI60" s="6"/>
      <c r="AJ60" s="6"/>
      <c r="AK60" s="613"/>
    </row>
    <row r="61" spans="1:37" x14ac:dyDescent="0.25">
      <c r="A61" s="2206">
        <v>44226</v>
      </c>
      <c r="B61" s="574">
        <v>1</v>
      </c>
      <c r="C61" s="595"/>
      <c r="D61" s="596"/>
      <c r="E61" s="596"/>
      <c r="F61" s="597"/>
      <c r="G61" s="580"/>
      <c r="H61" s="581"/>
      <c r="I61" s="581"/>
      <c r="J61" s="582"/>
      <c r="L61" s="541"/>
      <c r="M61" s="535"/>
      <c r="N61" s="535"/>
      <c r="O61" s="613"/>
      <c r="P61" s="614"/>
      <c r="Q61" s="6"/>
      <c r="R61" s="6"/>
      <c r="S61" s="613"/>
      <c r="T61" s="622"/>
      <c r="U61" s="572"/>
      <c r="V61" s="6"/>
      <c r="W61" s="6"/>
      <c r="X61" s="613"/>
      <c r="Y61" s="614"/>
      <c r="Z61" s="6"/>
      <c r="AA61" s="6"/>
      <c r="AB61" s="613"/>
      <c r="AC61" s="622"/>
      <c r="AD61" s="572"/>
      <c r="AE61" s="6"/>
      <c r="AF61" s="6"/>
      <c r="AG61" s="613"/>
      <c r="AH61" s="614"/>
      <c r="AI61" s="6"/>
      <c r="AJ61" s="6"/>
      <c r="AK61" s="613"/>
    </row>
    <row r="62" spans="1:37" ht="30" x14ac:dyDescent="0.25">
      <c r="A62" s="2205"/>
      <c r="B62" s="641">
        <v>2</v>
      </c>
      <c r="C62" s="595"/>
      <c r="D62" s="596"/>
      <c r="E62" s="596"/>
      <c r="F62" s="597"/>
      <c r="G62" s="583"/>
      <c r="H62" s="581"/>
      <c r="I62" s="581"/>
      <c r="J62" s="582"/>
      <c r="L62" s="541"/>
      <c r="M62" s="535"/>
      <c r="N62" s="535"/>
      <c r="O62" s="613"/>
      <c r="P62" s="614"/>
      <c r="Q62" s="6"/>
      <c r="R62" s="6"/>
      <c r="S62" s="613"/>
      <c r="T62" s="622"/>
      <c r="U62" s="572"/>
      <c r="V62" s="6"/>
      <c r="W62" s="6">
        <v>26</v>
      </c>
      <c r="X62" s="613"/>
      <c r="Y62" s="614"/>
      <c r="Z62" s="6"/>
      <c r="AA62" s="605" t="s">
        <v>328</v>
      </c>
      <c r="AB62" s="613"/>
      <c r="AC62" s="622"/>
      <c r="AD62" s="572"/>
      <c r="AE62" s="6"/>
      <c r="AF62" s="6"/>
      <c r="AG62" s="613"/>
      <c r="AH62" s="614"/>
      <c r="AI62" s="6"/>
      <c r="AJ62" s="6"/>
      <c r="AK62" s="613"/>
    </row>
    <row r="63" spans="1:37" x14ac:dyDescent="0.25">
      <c r="A63" s="2206">
        <v>44227</v>
      </c>
      <c r="B63" s="574">
        <v>1</v>
      </c>
      <c r="C63" s="595"/>
      <c r="D63" s="596"/>
      <c r="E63" s="596"/>
      <c r="F63" s="597"/>
      <c r="G63" s="580"/>
      <c r="H63" s="581"/>
      <c r="I63" s="581"/>
      <c r="J63" s="582"/>
      <c r="L63" s="541"/>
      <c r="M63" s="535"/>
      <c r="N63" s="535"/>
      <c r="O63" s="613"/>
      <c r="P63" s="614"/>
      <c r="Q63" s="6"/>
      <c r="R63" s="6"/>
      <c r="S63" s="613"/>
      <c r="T63" s="622"/>
      <c r="U63" s="572"/>
      <c r="V63" s="6"/>
      <c r="W63" s="6"/>
      <c r="X63" s="613"/>
      <c r="Y63" s="614"/>
      <c r="Z63" s="6"/>
      <c r="AA63" s="6"/>
      <c r="AB63" s="613"/>
      <c r="AC63" s="622"/>
      <c r="AD63" s="572"/>
      <c r="AE63" s="6"/>
      <c r="AF63" s="6"/>
      <c r="AG63" s="613"/>
      <c r="AH63" s="614"/>
      <c r="AI63" s="6"/>
      <c r="AJ63" s="6"/>
      <c r="AK63" s="613"/>
    </row>
    <row r="64" spans="1:37" ht="45" x14ac:dyDescent="0.25">
      <c r="A64" s="2205"/>
      <c r="B64" s="574">
        <v>2</v>
      </c>
      <c r="C64" s="598"/>
      <c r="D64" s="599"/>
      <c r="E64" s="599"/>
      <c r="F64" s="600"/>
      <c r="G64" s="647"/>
      <c r="H64" s="587"/>
      <c r="I64" s="587"/>
      <c r="J64" s="645"/>
      <c r="L64" s="542"/>
      <c r="M64" s="538"/>
      <c r="N64" s="538"/>
      <c r="O64" s="636"/>
      <c r="P64" s="637"/>
      <c r="Q64" s="638"/>
      <c r="R64" s="638"/>
      <c r="S64" s="646"/>
      <c r="T64" s="622"/>
      <c r="U64" s="639"/>
      <c r="V64" s="638"/>
      <c r="W64" s="638"/>
      <c r="X64" s="636"/>
      <c r="Y64" s="640"/>
      <c r="Z64" s="638"/>
      <c r="AA64" s="638"/>
      <c r="AB64" s="646"/>
      <c r="AC64" s="622"/>
      <c r="AD64" s="639"/>
      <c r="AE64" s="638">
        <v>92</v>
      </c>
      <c r="AF64" s="638"/>
      <c r="AG64" s="636"/>
      <c r="AH64" s="637"/>
      <c r="AI64" s="638"/>
      <c r="AJ64" s="671" t="s">
        <v>327</v>
      </c>
      <c r="AK64" s="646"/>
    </row>
    <row r="65" spans="1:33" x14ac:dyDescent="0.25">
      <c r="A65" s="524" t="s">
        <v>225</v>
      </c>
      <c r="C65" s="525">
        <f>SUM(C3:C64)</f>
        <v>1756</v>
      </c>
      <c r="D65" s="525">
        <f>SUM(D3:D64)</f>
        <v>160</v>
      </c>
      <c r="E65" s="525">
        <f>SUM(E3:E64)</f>
        <v>413</v>
      </c>
      <c r="F65" s="525">
        <f>SUM(F3:F64)</f>
        <v>575</v>
      </c>
      <c r="L65" s="525">
        <f>SUM(L3:L64)</f>
        <v>57</v>
      </c>
      <c r="M65" s="525">
        <f>SUM(M3:M64)</f>
        <v>216</v>
      </c>
      <c r="N65" s="525">
        <f>SUM(N3:N64)</f>
        <v>55</v>
      </c>
      <c r="O65" s="525">
        <f>SUM(O3:O64)</f>
        <v>0</v>
      </c>
      <c r="U65" s="525">
        <f>SUM(U3:U64)</f>
        <v>27</v>
      </c>
      <c r="V65" s="525">
        <f>SUM(V3:V64)</f>
        <v>200</v>
      </c>
      <c r="W65" s="525">
        <f>SUM(W3:W64)</f>
        <v>289</v>
      </c>
      <c r="X65" s="525">
        <f>SUM(X3:X64)</f>
        <v>0</v>
      </c>
      <c r="AD65" s="525">
        <f>SUM(AD3:AD64)</f>
        <v>193</v>
      </c>
      <c r="AE65" s="525">
        <f>SUM(AE3:AE64)</f>
        <v>98</v>
      </c>
      <c r="AF65" s="525">
        <f>SUM(AF3:AF64)</f>
        <v>92</v>
      </c>
      <c r="AG65" s="525">
        <f>SUM(AG3:AG64)</f>
        <v>35</v>
      </c>
    </row>
    <row r="73" spans="1:33" ht="15.75" thickBot="1" x14ac:dyDescent="0.3"/>
    <row r="74" spans="1:33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33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33" ht="21.75" customHeight="1" x14ac:dyDescent="0.3">
      <c r="B76" s="651" t="s">
        <v>218</v>
      </c>
      <c r="C76" s="652">
        <f>C65</f>
        <v>1756</v>
      </c>
      <c r="D76" s="653">
        <f>C76/60</f>
        <v>29.266666666666666</v>
      </c>
      <c r="E76" s="652">
        <f>D65</f>
        <v>160</v>
      </c>
      <c r="F76" s="654">
        <f>E76/60</f>
        <v>2.6666666666666665</v>
      </c>
      <c r="G76" s="652">
        <f>E65</f>
        <v>413</v>
      </c>
      <c r="H76" s="653">
        <f>G76/60</f>
        <v>6.8833333333333337</v>
      </c>
      <c r="I76" s="652">
        <f>F65</f>
        <v>575</v>
      </c>
      <c r="J76" s="653">
        <f>I76/60</f>
        <v>9.5833333333333339</v>
      </c>
    </row>
    <row r="77" spans="1:33" ht="19.5" customHeight="1" x14ac:dyDescent="0.3">
      <c r="B77" s="651" t="s">
        <v>219</v>
      </c>
      <c r="C77" s="655">
        <f>L65</f>
        <v>57</v>
      </c>
      <c r="D77" s="656">
        <f t="shared" ref="D77:F79" si="0">C77/60</f>
        <v>0.95</v>
      </c>
      <c r="E77" s="655">
        <f>M65</f>
        <v>216</v>
      </c>
      <c r="F77" s="657">
        <f t="shared" si="0"/>
        <v>3.6</v>
      </c>
      <c r="G77" s="655">
        <f>N65</f>
        <v>55</v>
      </c>
      <c r="H77" s="656">
        <f t="shared" ref="H77:J79" si="1">G77/60</f>
        <v>0.91666666666666663</v>
      </c>
      <c r="I77" s="655">
        <f>O65</f>
        <v>0</v>
      </c>
      <c r="J77" s="656">
        <f t="shared" si="1"/>
        <v>0</v>
      </c>
    </row>
    <row r="78" spans="1:33" ht="20.25" customHeight="1" x14ac:dyDescent="0.3">
      <c r="B78" s="651" t="s">
        <v>220</v>
      </c>
      <c r="C78" s="655">
        <f>U65</f>
        <v>27</v>
      </c>
      <c r="D78" s="656">
        <f t="shared" si="0"/>
        <v>0.45</v>
      </c>
      <c r="E78" s="655">
        <f>V65</f>
        <v>200</v>
      </c>
      <c r="F78" s="657">
        <f t="shared" si="0"/>
        <v>3.3333333333333335</v>
      </c>
      <c r="G78" s="655">
        <f>W65</f>
        <v>289</v>
      </c>
      <c r="H78" s="656">
        <f t="shared" si="1"/>
        <v>4.8166666666666664</v>
      </c>
      <c r="I78" s="655">
        <f>X65</f>
        <v>0</v>
      </c>
      <c r="J78" s="656">
        <f t="shared" si="1"/>
        <v>0</v>
      </c>
    </row>
    <row r="79" spans="1:33" ht="22.5" customHeight="1" thickBot="1" x14ac:dyDescent="0.35">
      <c r="B79" s="651" t="s">
        <v>221</v>
      </c>
      <c r="C79" s="658">
        <f>AD65</f>
        <v>193</v>
      </c>
      <c r="D79" s="659">
        <f t="shared" si="0"/>
        <v>3.2166666666666668</v>
      </c>
      <c r="E79" s="658">
        <f>AE65</f>
        <v>98</v>
      </c>
      <c r="F79" s="660">
        <f t="shared" si="0"/>
        <v>1.6333333333333333</v>
      </c>
      <c r="G79" s="658">
        <f>AF65</f>
        <v>92</v>
      </c>
      <c r="H79" s="659">
        <f t="shared" si="1"/>
        <v>1.5333333333333334</v>
      </c>
      <c r="I79" s="658">
        <f>AG65</f>
        <v>35</v>
      </c>
      <c r="J79" s="659">
        <f t="shared" si="1"/>
        <v>0.58333333333333337</v>
      </c>
    </row>
    <row r="80" spans="1:33" ht="19.5" thickBot="1" x14ac:dyDescent="0.35">
      <c r="B80" s="419"/>
      <c r="C80" s="301"/>
      <c r="D80" s="301"/>
      <c r="E80" s="301"/>
      <c r="F80" s="301"/>
      <c r="G80" s="301"/>
      <c r="H80" s="301"/>
      <c r="I80" s="301"/>
      <c r="J80" s="301"/>
    </row>
    <row r="81" spans="2:10" ht="19.5" thickBot="1" x14ac:dyDescent="0.35">
      <c r="B81" s="661" t="s">
        <v>217</v>
      </c>
      <c r="C81" s="666"/>
      <c r="D81" s="667">
        <f>SUM(D76:D80)</f>
        <v>33.883333333333333</v>
      </c>
      <c r="E81" s="666"/>
      <c r="F81" s="667">
        <f>SUM(F76:F80)</f>
        <v>11.233333333333333</v>
      </c>
      <c r="G81" s="666"/>
      <c r="H81" s="667">
        <f>SUM(H76:H80)</f>
        <v>14.15</v>
      </c>
      <c r="I81" s="666"/>
      <c r="J81" s="668">
        <f>SUM(J76:J80)</f>
        <v>10.166666666666668</v>
      </c>
    </row>
  </sheetData>
  <mergeCells count="46">
    <mergeCell ref="A9:A10"/>
    <mergeCell ref="C1:F1"/>
    <mergeCell ref="G1:J1"/>
    <mergeCell ref="L1:O1"/>
    <mergeCell ref="P1:S1"/>
    <mergeCell ref="AD1:AG1"/>
    <mergeCell ref="AH1:AK1"/>
    <mergeCell ref="A3:A4"/>
    <mergeCell ref="A5:A6"/>
    <mergeCell ref="A7:A8"/>
    <mergeCell ref="U1:X1"/>
    <mergeCell ref="Y1:AB1"/>
    <mergeCell ref="A11:A12"/>
    <mergeCell ref="A13:A14"/>
    <mergeCell ref="A15:A16"/>
    <mergeCell ref="A17:A18"/>
    <mergeCell ref="A19:A20"/>
    <mergeCell ref="G21:G22"/>
    <mergeCell ref="AH25:AH26"/>
    <mergeCell ref="J32:J33"/>
    <mergeCell ref="A55:A56"/>
    <mergeCell ref="A33:A34"/>
    <mergeCell ref="A21:A22"/>
    <mergeCell ref="A23:A24"/>
    <mergeCell ref="A25:A26"/>
    <mergeCell ref="A27:A28"/>
    <mergeCell ref="A29:A30"/>
    <mergeCell ref="A31:A32"/>
    <mergeCell ref="A45:A46"/>
    <mergeCell ref="A47:A48"/>
    <mergeCell ref="A49:A50"/>
    <mergeCell ref="I74:J74"/>
    <mergeCell ref="A59:A60"/>
    <mergeCell ref="A61:A62"/>
    <mergeCell ref="A63:A64"/>
    <mergeCell ref="C74:D74"/>
    <mergeCell ref="E74:F74"/>
    <mergeCell ref="G74:H74"/>
    <mergeCell ref="A57:A58"/>
    <mergeCell ref="A35:A36"/>
    <mergeCell ref="A37:A38"/>
    <mergeCell ref="A39:A40"/>
    <mergeCell ref="A41:A42"/>
    <mergeCell ref="A43:A44"/>
    <mergeCell ref="A51:A52"/>
    <mergeCell ref="A53:A54"/>
  </mergeCells>
  <pageMargins left="0.7" right="0.7" top="0.75" bottom="0.75" header="0.3" footer="0.3"/>
  <pageSetup paperSize="9" orientation="portrait" horizontalDpi="180" verticalDpi="180" r:id="rId1"/>
  <ignoredErrors>
    <ignoredError sqref="E76 E77:E79 I76:I79 G76:G79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"/>
  <sheetViews>
    <sheetView zoomScale="70" zoomScaleNormal="70" workbookViewId="0">
      <pane xSplit="2" ySplit="2" topLeftCell="C51" activePane="bottomRight" state="frozen"/>
      <selection pane="topRight" activeCell="C1" sqref="C1"/>
      <selection pane="bottomLeft" activeCell="A3" sqref="A3"/>
      <selection pane="bottomRight" activeCell="D81" sqref="D81"/>
    </sheetView>
  </sheetViews>
  <sheetFormatPr defaultColWidth="8.85546875" defaultRowHeight="15" x14ac:dyDescent="0.25"/>
  <cols>
    <col min="1" max="1" width="14.5703125" style="524" customWidth="1"/>
    <col min="2" max="2" width="15.7109375" style="525" customWidth="1"/>
    <col min="3" max="3" width="10.7109375" style="524" customWidth="1"/>
    <col min="4" max="5" width="10.28515625" style="524" customWidth="1"/>
    <col min="6" max="6" width="10.85546875" style="524" customWidth="1"/>
    <col min="7" max="7" width="17.7109375" style="524" bestFit="1" customWidth="1"/>
    <col min="8" max="8" width="16.85546875" style="524" customWidth="1"/>
    <col min="9" max="9" width="16.140625" style="524" customWidth="1"/>
    <col min="10" max="10" width="17.28515625" style="524" bestFit="1" customWidth="1"/>
    <col min="11" max="11" width="8.85546875" style="524"/>
    <col min="12" max="13" width="9.7109375" style="524" customWidth="1"/>
    <col min="14" max="15" width="9.85546875" style="524" customWidth="1"/>
    <col min="16" max="16" width="16.85546875" style="524" customWidth="1"/>
    <col min="17" max="17" width="17.28515625" style="524" customWidth="1"/>
    <col min="18" max="18" width="21.7109375" style="524" customWidth="1"/>
    <col min="19" max="19" width="15.28515625" style="524" bestFit="1" customWidth="1"/>
    <col min="20" max="21" width="8.85546875" style="524"/>
    <col min="22" max="22" width="15.42578125" style="524" customWidth="1"/>
    <col min="23" max="23" width="8.85546875" style="524"/>
    <col min="24" max="24" width="9.42578125" style="524" bestFit="1" customWidth="1"/>
    <col min="25" max="26" width="17.140625" style="524" customWidth="1"/>
    <col min="27" max="27" width="16.7109375" style="524" customWidth="1"/>
    <col min="28" max="28" width="15.28515625" style="524" customWidth="1"/>
    <col min="29" max="33" width="8.85546875" style="524"/>
    <col min="34" max="34" width="17.7109375" style="524" bestFit="1" customWidth="1"/>
    <col min="35" max="35" width="15" style="524" bestFit="1" customWidth="1"/>
    <col min="36" max="36" width="15.85546875" style="524" customWidth="1"/>
    <col min="37" max="37" width="15.28515625" style="524" customWidth="1"/>
    <col min="38" max="16384" width="8.85546875" style="524"/>
  </cols>
  <sheetData>
    <row r="1" spans="1:37" x14ac:dyDescent="0.25">
      <c r="C1" s="2217" t="s">
        <v>1</v>
      </c>
      <c r="D1" s="2212"/>
      <c r="E1" s="2212"/>
      <c r="F1" s="2212"/>
      <c r="G1" s="2211" t="s">
        <v>206</v>
      </c>
      <c r="H1" s="2209"/>
      <c r="I1" s="2209"/>
      <c r="J1" s="2210"/>
      <c r="L1" s="2212" t="s">
        <v>202</v>
      </c>
      <c r="M1" s="2212"/>
      <c r="N1" s="2212"/>
      <c r="O1" s="2212"/>
      <c r="P1" s="2209" t="s">
        <v>206</v>
      </c>
      <c r="Q1" s="2209"/>
      <c r="R1" s="2209"/>
      <c r="S1" s="2210"/>
      <c r="U1" s="2212" t="s">
        <v>2</v>
      </c>
      <c r="V1" s="2212"/>
      <c r="W1" s="2212"/>
      <c r="X1" s="2212"/>
      <c r="Y1" s="2209" t="s">
        <v>206</v>
      </c>
      <c r="Z1" s="2209"/>
      <c r="AA1" s="2209"/>
      <c r="AB1" s="2210"/>
      <c r="AD1" s="2212" t="s">
        <v>203</v>
      </c>
      <c r="AE1" s="2212"/>
      <c r="AF1" s="2212"/>
      <c r="AG1" s="2212"/>
      <c r="AH1" s="2209" t="s">
        <v>206</v>
      </c>
      <c r="AI1" s="2209"/>
      <c r="AJ1" s="2209"/>
      <c r="AK1" s="2210"/>
    </row>
    <row r="2" spans="1:37" ht="15.75" thickBot="1" x14ac:dyDescent="0.3">
      <c r="A2" s="531" t="s">
        <v>0</v>
      </c>
      <c r="B2" s="532" t="s">
        <v>198</v>
      </c>
      <c r="C2" s="529" t="s">
        <v>199</v>
      </c>
      <c r="D2" s="526" t="s">
        <v>200</v>
      </c>
      <c r="E2" s="526" t="s">
        <v>201</v>
      </c>
      <c r="F2" s="526" t="s">
        <v>204</v>
      </c>
      <c r="G2" s="575" t="s">
        <v>199</v>
      </c>
      <c r="H2" s="575" t="s">
        <v>200</v>
      </c>
      <c r="I2" s="575" t="s">
        <v>201</v>
      </c>
      <c r="J2" s="575" t="s">
        <v>204</v>
      </c>
      <c r="K2" s="524" t="s">
        <v>269</v>
      </c>
      <c r="L2" s="526" t="s">
        <v>199</v>
      </c>
      <c r="M2" s="526" t="s">
        <v>200</v>
      </c>
      <c r="N2" s="526" t="s">
        <v>201</v>
      </c>
      <c r="O2" s="526" t="s">
        <v>204</v>
      </c>
      <c r="P2" s="527" t="s">
        <v>199</v>
      </c>
      <c r="Q2" s="526" t="s">
        <v>200</v>
      </c>
      <c r="R2" s="526" t="s">
        <v>201</v>
      </c>
      <c r="S2" s="526" t="s">
        <v>204</v>
      </c>
      <c r="U2" s="526" t="s">
        <v>199</v>
      </c>
      <c r="V2" s="526" t="s">
        <v>200</v>
      </c>
      <c r="W2" s="526" t="s">
        <v>201</v>
      </c>
      <c r="X2" s="526" t="s">
        <v>204</v>
      </c>
      <c r="Y2" s="650" t="s">
        <v>199</v>
      </c>
      <c r="Z2" s="526" t="s">
        <v>200</v>
      </c>
      <c r="AA2" s="526" t="s">
        <v>201</v>
      </c>
      <c r="AB2" s="526" t="s">
        <v>204</v>
      </c>
      <c r="AD2" s="526" t="s">
        <v>199</v>
      </c>
      <c r="AE2" s="526" t="s">
        <v>200</v>
      </c>
      <c r="AF2" s="526" t="s">
        <v>201</v>
      </c>
      <c r="AG2" s="526" t="s">
        <v>204</v>
      </c>
      <c r="AH2" s="527" t="s">
        <v>199</v>
      </c>
      <c r="AI2" s="526" t="s">
        <v>200</v>
      </c>
      <c r="AJ2" s="526" t="s">
        <v>201</v>
      </c>
      <c r="AK2" s="526" t="s">
        <v>204</v>
      </c>
    </row>
    <row r="3" spans="1:37" ht="15.75" thickTop="1" x14ac:dyDescent="0.25">
      <c r="A3" s="2206">
        <v>44593</v>
      </c>
      <c r="B3" s="670">
        <v>1</v>
      </c>
      <c r="C3" s="592"/>
      <c r="D3" s="593"/>
      <c r="E3" s="593"/>
      <c r="F3" s="594"/>
      <c r="G3" s="580"/>
      <c r="H3" s="581"/>
      <c r="I3" s="620"/>
      <c r="J3" s="579"/>
      <c r="L3" s="543"/>
      <c r="M3" s="630"/>
      <c r="N3" s="544"/>
      <c r="O3" s="628"/>
      <c r="P3" s="629"/>
      <c r="Q3" s="648"/>
      <c r="R3" s="630"/>
      <c r="S3" s="628"/>
      <c r="T3" s="622"/>
      <c r="U3" s="612"/>
      <c r="V3" s="630"/>
      <c r="W3" s="630"/>
      <c r="X3" s="613"/>
      <c r="Y3" s="571"/>
      <c r="Z3" s="629"/>
      <c r="AA3" s="630"/>
      <c r="AB3" s="628"/>
      <c r="AC3" s="622"/>
      <c r="AD3" s="612"/>
      <c r="AE3" s="630"/>
      <c r="AF3" s="6">
        <v>10</v>
      </c>
      <c r="AG3" s="628"/>
      <c r="AH3" s="629"/>
      <c r="AI3" s="630"/>
      <c r="AJ3" s="6" t="s">
        <v>330</v>
      </c>
      <c r="AK3" s="628"/>
    </row>
    <row r="4" spans="1:37" x14ac:dyDescent="0.25">
      <c r="A4" s="2205"/>
      <c r="B4" s="574">
        <v>2</v>
      </c>
      <c r="C4" s="595"/>
      <c r="D4" s="596"/>
      <c r="E4" s="596">
        <v>25</v>
      </c>
      <c r="F4" s="597"/>
      <c r="G4" s="583"/>
      <c r="H4" s="605"/>
      <c r="I4" s="581" t="s">
        <v>152</v>
      </c>
      <c r="J4" s="582"/>
      <c r="L4" s="541"/>
      <c r="M4" s="535"/>
      <c r="N4" s="535"/>
      <c r="O4" s="613"/>
      <c r="P4" s="614"/>
      <c r="Q4" s="6"/>
      <c r="R4" s="6"/>
      <c r="S4" s="613"/>
      <c r="T4" s="622"/>
      <c r="U4" s="572"/>
      <c r="V4" s="605"/>
      <c r="W4" s="6"/>
      <c r="X4" s="613"/>
      <c r="Y4" s="571"/>
      <c r="Z4" s="6"/>
      <c r="AA4" s="571"/>
      <c r="AB4" s="613"/>
      <c r="AC4" s="622"/>
      <c r="AD4" s="572"/>
      <c r="AE4" s="6"/>
      <c r="AF4" s="6"/>
      <c r="AG4" s="613"/>
      <c r="AH4" s="614"/>
      <c r="AI4" s="6"/>
      <c r="AJ4" s="6"/>
      <c r="AK4" s="613"/>
    </row>
    <row r="5" spans="1:37" x14ac:dyDescent="0.25">
      <c r="A5" s="2206">
        <v>44594</v>
      </c>
      <c r="B5" s="574">
        <v>1</v>
      </c>
      <c r="C5" s="595"/>
      <c r="D5" s="596"/>
      <c r="E5" s="596">
        <v>18</v>
      </c>
      <c r="F5" s="597"/>
      <c r="G5" s="580"/>
      <c r="H5" s="581"/>
      <c r="I5" s="581" t="s">
        <v>152</v>
      </c>
      <c r="J5" s="582"/>
      <c r="L5" s="541"/>
      <c r="M5" s="535"/>
      <c r="N5" s="535"/>
      <c r="O5" s="613"/>
      <c r="P5" s="614"/>
      <c r="Q5" s="6"/>
      <c r="R5" s="6"/>
      <c r="S5" s="613"/>
      <c r="T5" s="622"/>
      <c r="U5" s="572"/>
      <c r="V5" s="6"/>
      <c r="W5" s="6"/>
      <c r="X5" s="613"/>
      <c r="Y5" s="571"/>
      <c r="Z5" s="6"/>
      <c r="AA5" s="571"/>
      <c r="AB5" s="613"/>
      <c r="AC5" s="622"/>
      <c r="AD5" s="572">
        <v>1875</v>
      </c>
      <c r="AE5" s="6"/>
      <c r="AF5" s="6"/>
      <c r="AG5" s="613"/>
      <c r="AH5" s="614" t="s">
        <v>329</v>
      </c>
      <c r="AI5" s="6"/>
      <c r="AJ5" s="6"/>
      <c r="AK5" s="613"/>
    </row>
    <row r="6" spans="1:37" x14ac:dyDescent="0.25">
      <c r="A6" s="2205"/>
      <c r="B6" s="574">
        <v>2</v>
      </c>
      <c r="C6" s="595"/>
      <c r="D6" s="596"/>
      <c r="E6" s="596">
        <v>20</v>
      </c>
      <c r="F6" s="597"/>
      <c r="G6" s="580"/>
      <c r="H6" s="581"/>
      <c r="I6" s="581" t="s">
        <v>152</v>
      </c>
      <c r="J6" s="582"/>
      <c r="L6" s="541"/>
      <c r="M6" s="15"/>
      <c r="N6" s="535"/>
      <c r="O6" s="613"/>
      <c r="P6" s="614"/>
      <c r="Q6" s="605"/>
      <c r="R6" s="6"/>
      <c r="S6" s="613"/>
      <c r="T6" s="622"/>
      <c r="U6" s="572"/>
      <c r="V6" s="6"/>
      <c r="W6" s="6">
        <v>15</v>
      </c>
      <c r="X6" s="613"/>
      <c r="Y6" s="571"/>
      <c r="Z6" s="605"/>
      <c r="AA6" s="605" t="s">
        <v>152</v>
      </c>
      <c r="AB6" s="613"/>
      <c r="AC6" s="622"/>
      <c r="AD6" s="572"/>
      <c r="AE6" s="6"/>
      <c r="AF6" s="6"/>
      <c r="AG6" s="613"/>
      <c r="AH6" s="614"/>
      <c r="AI6" s="6"/>
      <c r="AJ6" s="605"/>
      <c r="AK6" s="613"/>
    </row>
    <row r="7" spans="1:37" x14ac:dyDescent="0.25">
      <c r="A7" s="2206">
        <v>44595</v>
      </c>
      <c r="B7" s="574">
        <v>1</v>
      </c>
      <c r="C7" s="595"/>
      <c r="D7" s="596"/>
      <c r="E7" s="596">
        <v>41</v>
      </c>
      <c r="F7" s="597"/>
      <c r="G7" s="580"/>
      <c r="H7" s="585"/>
      <c r="I7" s="581" t="s">
        <v>152</v>
      </c>
      <c r="J7" s="582"/>
      <c r="L7" s="572"/>
      <c r="M7" s="614"/>
      <c r="N7" s="535"/>
      <c r="O7" s="613"/>
      <c r="P7" s="614"/>
      <c r="Q7" s="614"/>
      <c r="R7" s="6"/>
      <c r="S7" s="613"/>
      <c r="T7" s="622"/>
      <c r="U7" s="572"/>
      <c r="V7" s="632"/>
      <c r="W7" s="6">
        <v>10</v>
      </c>
      <c r="X7" s="613"/>
      <c r="Y7" s="614"/>
      <c r="Z7" s="6"/>
      <c r="AA7" s="605" t="s">
        <v>152</v>
      </c>
      <c r="AB7" s="613"/>
      <c r="AC7" s="622"/>
      <c r="AD7" s="572"/>
      <c r="AE7" s="6"/>
      <c r="AF7" s="6"/>
      <c r="AG7" s="613"/>
      <c r="AH7" s="614"/>
      <c r="AI7" s="6"/>
      <c r="AJ7" s="6"/>
      <c r="AK7" s="613"/>
    </row>
    <row r="8" spans="1:37" x14ac:dyDescent="0.25">
      <c r="A8" s="2205"/>
      <c r="B8" s="574">
        <v>2</v>
      </c>
      <c r="C8" s="595"/>
      <c r="D8" s="596"/>
      <c r="E8" s="596"/>
      <c r="F8" s="597"/>
      <c r="G8" s="583"/>
      <c r="H8" s="585"/>
      <c r="I8" s="618"/>
      <c r="J8" s="582"/>
      <c r="L8" s="572"/>
      <c r="M8" s="6"/>
      <c r="N8" s="6"/>
      <c r="O8" s="613"/>
      <c r="P8" s="571"/>
      <c r="Q8" s="6"/>
      <c r="R8" s="605"/>
      <c r="S8" s="613"/>
      <c r="T8" s="622"/>
      <c r="U8" s="572"/>
      <c r="V8" s="633"/>
      <c r="W8" s="614"/>
      <c r="X8" s="613"/>
      <c r="Y8" s="571"/>
      <c r="Z8" s="6"/>
      <c r="AA8" s="571"/>
      <c r="AB8" s="613"/>
      <c r="AC8" s="622"/>
      <c r="AD8" s="572"/>
      <c r="AE8" s="6"/>
      <c r="AF8" s="6"/>
      <c r="AG8" s="613"/>
      <c r="AH8" s="614"/>
      <c r="AI8" s="6"/>
      <c r="AJ8" s="6"/>
      <c r="AK8" s="613"/>
    </row>
    <row r="9" spans="1:37" x14ac:dyDescent="0.25">
      <c r="A9" s="2206">
        <v>44596</v>
      </c>
      <c r="B9" s="574">
        <v>1</v>
      </c>
      <c r="C9" s="595"/>
      <c r="D9" s="596"/>
      <c r="E9" s="596"/>
      <c r="F9" s="597"/>
      <c r="G9" s="580"/>
      <c r="H9" s="581"/>
      <c r="I9" s="619"/>
      <c r="J9" s="582"/>
      <c r="L9" s="572"/>
      <c r="M9" s="6"/>
      <c r="N9" s="6"/>
      <c r="O9" s="613"/>
      <c r="P9" s="571"/>
      <c r="Q9" s="6"/>
      <c r="R9" s="605"/>
      <c r="S9" s="613"/>
      <c r="T9" s="622"/>
      <c r="U9" s="572"/>
      <c r="V9" s="6"/>
      <c r="W9" s="6">
        <v>15</v>
      </c>
      <c r="X9" s="613"/>
      <c r="Y9" s="614"/>
      <c r="Z9" s="6"/>
      <c r="AA9" s="6" t="s">
        <v>331</v>
      </c>
      <c r="AB9" s="613"/>
      <c r="AC9" s="622"/>
      <c r="AD9" s="572"/>
      <c r="AE9" s="6"/>
      <c r="AF9" s="6"/>
      <c r="AG9" s="613"/>
      <c r="AH9" s="614"/>
      <c r="AI9" s="6"/>
      <c r="AJ9" s="6"/>
      <c r="AK9" s="613"/>
    </row>
    <row r="10" spans="1:37" x14ac:dyDescent="0.25">
      <c r="A10" s="2205"/>
      <c r="B10" s="574">
        <v>2</v>
      </c>
      <c r="C10" s="595"/>
      <c r="D10" s="596"/>
      <c r="E10" s="596">
        <v>10</v>
      </c>
      <c r="F10" s="597"/>
      <c r="G10" s="580"/>
      <c r="H10" s="581"/>
      <c r="I10" s="619" t="s">
        <v>332</v>
      </c>
      <c r="J10" s="582"/>
      <c r="L10" s="572"/>
      <c r="M10" s="6"/>
      <c r="N10" s="6"/>
      <c r="O10" s="613"/>
      <c r="P10" s="571"/>
      <c r="Q10" s="6"/>
      <c r="R10" s="605"/>
      <c r="S10" s="613"/>
      <c r="T10" s="622"/>
      <c r="U10" s="572"/>
      <c r="V10" s="6"/>
      <c r="W10" s="6"/>
      <c r="X10" s="613"/>
      <c r="Y10" s="571"/>
      <c r="Z10" s="6"/>
      <c r="AA10" s="6"/>
      <c r="AB10" s="613"/>
      <c r="AC10" s="622"/>
      <c r="AD10" s="572"/>
      <c r="AE10" s="6"/>
      <c r="AF10" s="6"/>
      <c r="AG10" s="613"/>
      <c r="AH10" s="614"/>
      <c r="AI10" s="6"/>
      <c r="AJ10" s="6"/>
      <c r="AK10" s="613"/>
    </row>
    <row r="11" spans="1:37" ht="30" x14ac:dyDescent="0.25">
      <c r="A11" s="2206">
        <v>44597</v>
      </c>
      <c r="B11" s="574">
        <v>1</v>
      </c>
      <c r="C11" s="595">
        <v>4140</v>
      </c>
      <c r="D11" s="596"/>
      <c r="E11" s="596"/>
      <c r="F11" s="597"/>
      <c r="G11" s="583" t="s">
        <v>329</v>
      </c>
      <c r="H11" s="581"/>
      <c r="I11" s="581"/>
      <c r="J11" s="582"/>
      <c r="L11" s="572"/>
      <c r="M11" s="535"/>
      <c r="N11" s="6"/>
      <c r="O11" s="613"/>
      <c r="P11" s="571"/>
      <c r="Q11" s="6"/>
      <c r="R11" s="605"/>
      <c r="S11" s="613"/>
      <c r="T11" s="622"/>
      <c r="U11" s="572"/>
      <c r="V11" s="6"/>
      <c r="W11" s="6"/>
      <c r="X11" s="613"/>
      <c r="Y11" s="614"/>
      <c r="Z11" s="6"/>
      <c r="AA11" s="6"/>
      <c r="AB11" s="613"/>
      <c r="AC11" s="622"/>
      <c r="AD11" s="572"/>
      <c r="AE11" s="6"/>
      <c r="AF11" s="6"/>
      <c r="AG11" s="613"/>
      <c r="AH11" s="614"/>
      <c r="AI11" s="6"/>
      <c r="AJ11" s="6"/>
      <c r="AK11" s="613"/>
    </row>
    <row r="12" spans="1:37" x14ac:dyDescent="0.25">
      <c r="A12" s="2205"/>
      <c r="B12" s="574">
        <v>2</v>
      </c>
      <c r="C12" s="595"/>
      <c r="D12" s="596"/>
      <c r="E12" s="596"/>
      <c r="F12" s="597"/>
      <c r="G12" s="580"/>
      <c r="H12" s="581"/>
      <c r="I12" s="620"/>
      <c r="J12" s="582"/>
      <c r="L12" s="572"/>
      <c r="M12" s="535"/>
      <c r="N12" s="6"/>
      <c r="O12" s="613"/>
      <c r="P12" s="571"/>
      <c r="Q12" s="6"/>
      <c r="R12" s="605"/>
      <c r="S12" s="613"/>
      <c r="T12" s="622"/>
      <c r="U12" s="572"/>
      <c r="V12" s="6"/>
      <c r="W12" s="6"/>
      <c r="X12" s="613"/>
      <c r="Y12" s="614"/>
      <c r="Z12" s="6"/>
      <c r="AA12" s="6"/>
      <c r="AB12" s="613"/>
      <c r="AC12" s="622"/>
      <c r="AD12" s="572"/>
      <c r="AE12" s="6"/>
      <c r="AF12" s="6"/>
      <c r="AG12" s="613"/>
      <c r="AH12" s="614"/>
      <c r="AI12" s="6"/>
      <c r="AJ12" s="6"/>
      <c r="AK12" s="613"/>
    </row>
    <row r="13" spans="1:37" x14ac:dyDescent="0.25">
      <c r="A13" s="2206">
        <v>44598</v>
      </c>
      <c r="B13" s="574">
        <v>1</v>
      </c>
      <c r="C13" s="595"/>
      <c r="D13" s="596"/>
      <c r="E13" s="596"/>
      <c r="F13" s="597"/>
      <c r="G13" s="580"/>
      <c r="H13" s="581"/>
      <c r="I13" s="620"/>
      <c r="J13" s="582"/>
      <c r="L13" s="621"/>
      <c r="M13" s="15"/>
      <c r="N13" s="15"/>
      <c r="O13" s="613"/>
      <c r="P13" s="571"/>
      <c r="Q13" s="6"/>
      <c r="R13" s="605"/>
      <c r="S13" s="613"/>
      <c r="T13" s="622"/>
      <c r="U13" s="572"/>
      <c r="V13" s="6"/>
      <c r="W13" s="6"/>
      <c r="X13" s="613"/>
      <c r="Y13" s="614"/>
      <c r="Z13" s="6"/>
      <c r="AA13" s="605"/>
      <c r="AB13" s="634"/>
      <c r="AC13" s="622"/>
      <c r="AD13" s="572"/>
      <c r="AE13" s="6"/>
      <c r="AF13" s="6"/>
      <c r="AG13" s="613"/>
      <c r="AH13" s="614"/>
      <c r="AI13" s="6"/>
      <c r="AJ13" s="6"/>
      <c r="AK13" s="613"/>
    </row>
    <row r="14" spans="1:37" x14ac:dyDescent="0.25">
      <c r="A14" s="2205"/>
      <c r="B14" s="574">
        <v>2</v>
      </c>
      <c r="C14" s="595"/>
      <c r="D14" s="596"/>
      <c r="E14" s="596"/>
      <c r="F14" s="597"/>
      <c r="G14" s="580"/>
      <c r="H14" s="581"/>
      <c r="I14" s="581"/>
      <c r="J14" s="582"/>
      <c r="L14" s="541"/>
      <c r="M14" s="535"/>
      <c r="N14" s="535"/>
      <c r="O14" s="613"/>
      <c r="P14" s="614"/>
      <c r="Q14" s="6"/>
      <c r="R14" s="6"/>
      <c r="S14" s="613"/>
      <c r="T14" s="622"/>
      <c r="U14" s="572"/>
      <c r="V14" s="6"/>
      <c r="W14" s="6"/>
      <c r="X14" s="613"/>
      <c r="Y14" s="614"/>
      <c r="Z14" s="6"/>
      <c r="AA14" s="6"/>
      <c r="AB14" s="613"/>
      <c r="AC14" s="622"/>
      <c r="AD14" s="572"/>
      <c r="AE14" s="6"/>
      <c r="AF14" s="6"/>
      <c r="AG14" s="613"/>
      <c r="AH14" s="571"/>
      <c r="AI14" s="6"/>
      <c r="AJ14" s="6"/>
      <c r="AK14" s="613"/>
    </row>
    <row r="15" spans="1:37" x14ac:dyDescent="0.25">
      <c r="A15" s="2206">
        <v>44599</v>
      </c>
      <c r="B15" s="574">
        <v>1</v>
      </c>
      <c r="C15" s="595"/>
      <c r="D15" s="596"/>
      <c r="E15" s="6"/>
      <c r="F15" s="597"/>
      <c r="G15" s="580"/>
      <c r="H15" s="585"/>
      <c r="I15" s="620"/>
      <c r="J15" s="582"/>
      <c r="L15" s="541"/>
      <c r="M15" s="6"/>
      <c r="N15" s="535"/>
      <c r="O15" s="613"/>
      <c r="P15" s="572"/>
      <c r="Q15" s="585"/>
      <c r="R15" s="6"/>
      <c r="S15" s="613"/>
      <c r="T15" s="622"/>
      <c r="U15" s="572"/>
      <c r="V15" s="6"/>
      <c r="W15" s="6"/>
      <c r="X15" s="613"/>
      <c r="Y15" s="572"/>
      <c r="Z15" s="585"/>
      <c r="AA15" s="6"/>
      <c r="AB15" s="613"/>
      <c r="AC15" s="622"/>
      <c r="AD15" s="572"/>
      <c r="AE15" s="6"/>
      <c r="AF15" s="6"/>
      <c r="AG15" s="613"/>
      <c r="AH15" s="572"/>
      <c r="AI15" s="585"/>
      <c r="AJ15" s="605"/>
      <c r="AK15" s="613"/>
    </row>
    <row r="16" spans="1:37" x14ac:dyDescent="0.25">
      <c r="A16" s="2205"/>
      <c r="B16" s="574">
        <v>2</v>
      </c>
      <c r="C16" s="595"/>
      <c r="D16" s="596"/>
      <c r="E16" s="596"/>
      <c r="F16" s="597"/>
      <c r="G16" s="580"/>
      <c r="H16" s="581"/>
      <c r="I16" s="581"/>
      <c r="J16" s="582"/>
      <c r="L16" s="541"/>
      <c r="M16" s="535"/>
      <c r="N16" s="535"/>
      <c r="O16" s="613"/>
      <c r="P16" s="572"/>
      <c r="Q16" s="6"/>
      <c r="R16" s="6"/>
      <c r="S16" s="613"/>
      <c r="T16" s="622"/>
      <c r="U16" s="572"/>
      <c r="V16" s="6"/>
      <c r="W16" s="6"/>
      <c r="X16" s="613"/>
      <c r="Y16" s="581"/>
      <c r="Z16" s="581"/>
      <c r="AA16" s="6"/>
      <c r="AB16" s="613"/>
      <c r="AC16" s="622"/>
      <c r="AD16" s="572"/>
      <c r="AE16" s="6"/>
      <c r="AF16" s="6"/>
      <c r="AG16" s="613"/>
      <c r="AH16" s="572"/>
      <c r="AI16" s="6"/>
      <c r="AJ16" s="6"/>
      <c r="AK16" s="613"/>
    </row>
    <row r="17" spans="1:37" x14ac:dyDescent="0.25">
      <c r="A17" s="2206">
        <v>44600</v>
      </c>
      <c r="B17" s="643">
        <v>1</v>
      </c>
      <c r="C17" s="595"/>
      <c r="D17" s="596"/>
      <c r="E17" s="596"/>
      <c r="F17" s="597"/>
      <c r="G17" s="580"/>
      <c r="H17" s="581"/>
      <c r="I17" s="581"/>
      <c r="J17" s="582"/>
      <c r="L17" s="621"/>
      <c r="M17" s="535"/>
      <c r="N17" s="535"/>
      <c r="O17" s="613"/>
      <c r="P17" s="572"/>
      <c r="Q17" s="6"/>
      <c r="R17" s="6"/>
      <c r="S17" s="613"/>
      <c r="T17" s="622"/>
      <c r="U17" s="572"/>
      <c r="V17" s="6">
        <v>148</v>
      </c>
      <c r="W17" s="6"/>
      <c r="X17" s="613"/>
      <c r="Y17" s="572"/>
      <c r="Z17" s="6"/>
      <c r="AA17" s="6" t="s">
        <v>96</v>
      </c>
      <c r="AB17" s="613"/>
      <c r="AC17" s="622"/>
      <c r="AD17" s="572"/>
      <c r="AE17" s="6"/>
      <c r="AF17" s="6"/>
      <c r="AG17" s="613"/>
      <c r="AH17" s="572"/>
      <c r="AI17" s="6"/>
      <c r="AJ17" s="605"/>
      <c r="AK17" s="613"/>
    </row>
    <row r="18" spans="1:37" x14ac:dyDescent="0.25">
      <c r="A18" s="2205"/>
      <c r="B18" s="574">
        <v>2</v>
      </c>
      <c r="C18" s="595"/>
      <c r="D18" s="596"/>
      <c r="E18" s="596">
        <v>66</v>
      </c>
      <c r="F18" s="597"/>
      <c r="G18" s="580"/>
      <c r="H18" s="585"/>
      <c r="I18" s="581" t="s">
        <v>331</v>
      </c>
      <c r="J18" s="582"/>
      <c r="L18" s="541"/>
      <c r="M18" s="535"/>
      <c r="N18" s="535"/>
      <c r="O18" s="613"/>
      <c r="P18" s="572"/>
      <c r="Q18" s="6"/>
      <c r="R18" s="6"/>
      <c r="S18" s="613"/>
      <c r="T18" s="622"/>
      <c r="U18" s="572"/>
      <c r="V18" s="6"/>
      <c r="W18" s="6"/>
      <c r="X18" s="613"/>
      <c r="Y18" s="572"/>
      <c r="Z18" s="6"/>
      <c r="AA18" s="6"/>
      <c r="AB18" s="613"/>
      <c r="AC18" s="622"/>
      <c r="AD18" s="572"/>
      <c r="AE18" s="6"/>
      <c r="AF18" s="6">
        <v>15</v>
      </c>
      <c r="AG18" s="613"/>
      <c r="AH18" s="572"/>
      <c r="AI18" s="6"/>
      <c r="AJ18" s="605" t="s">
        <v>152</v>
      </c>
      <c r="AK18" s="613"/>
    </row>
    <row r="19" spans="1:37" ht="44.25" customHeight="1" x14ac:dyDescent="0.25">
      <c r="A19" s="2206">
        <v>44601</v>
      </c>
      <c r="B19" s="574">
        <v>1</v>
      </c>
      <c r="D19" s="596"/>
      <c r="E19" s="596"/>
      <c r="F19" s="597"/>
      <c r="G19" s="580"/>
      <c r="H19" s="581"/>
      <c r="I19" s="581"/>
      <c r="J19" s="582"/>
      <c r="L19" s="541"/>
      <c r="M19" s="535"/>
      <c r="N19" s="535"/>
      <c r="O19" s="613"/>
      <c r="P19" s="572"/>
      <c r="Q19" s="6"/>
      <c r="R19" s="6"/>
      <c r="S19" s="613"/>
      <c r="T19" s="622"/>
      <c r="U19" s="572"/>
      <c r="V19" s="6"/>
      <c r="W19" s="6"/>
      <c r="X19" s="613"/>
      <c r="Y19" s="572"/>
      <c r="Z19" s="605"/>
      <c r="AA19" s="6"/>
      <c r="AB19" s="613"/>
      <c r="AC19" s="622"/>
      <c r="AD19" s="572"/>
      <c r="AE19" s="6"/>
      <c r="AF19" s="6"/>
      <c r="AG19" s="613"/>
      <c r="AH19" s="572"/>
      <c r="AI19" s="6"/>
      <c r="AJ19" s="605"/>
      <c r="AK19" s="613"/>
    </row>
    <row r="20" spans="1:37" ht="65.25" customHeight="1" x14ac:dyDescent="0.25">
      <c r="A20" s="2205"/>
      <c r="B20" s="574">
        <v>2</v>
      </c>
      <c r="C20" s="595"/>
      <c r="D20" s="596"/>
      <c r="E20" s="596">
        <v>5</v>
      </c>
      <c r="F20" s="597"/>
      <c r="G20" s="580"/>
      <c r="H20" s="620"/>
      <c r="I20" s="581" t="s">
        <v>331</v>
      </c>
      <c r="J20" s="582"/>
      <c r="L20" s="541"/>
      <c r="M20" s="535"/>
      <c r="N20" s="535"/>
      <c r="O20" s="613"/>
      <c r="P20" s="572"/>
      <c r="Q20" s="6"/>
      <c r="R20" s="6"/>
      <c r="S20" s="613"/>
      <c r="T20" s="622"/>
      <c r="U20" s="572"/>
      <c r="V20" s="250"/>
      <c r="W20" s="6">
        <v>11</v>
      </c>
      <c r="X20" s="613"/>
      <c r="Y20" s="572"/>
      <c r="Z20" s="605"/>
      <c r="AA20" s="6" t="s">
        <v>331</v>
      </c>
      <c r="AB20" s="613"/>
      <c r="AC20" s="622"/>
      <c r="AD20" s="572"/>
      <c r="AE20" s="6"/>
      <c r="AF20" s="6"/>
      <c r="AG20" s="613"/>
      <c r="AH20" s="572"/>
      <c r="AI20" s="6"/>
      <c r="AJ20" s="6"/>
      <c r="AK20" s="613"/>
    </row>
    <row r="21" spans="1:37" ht="52.5" customHeight="1" x14ac:dyDescent="0.25">
      <c r="A21" s="2206">
        <v>44602</v>
      </c>
      <c r="B21" s="574">
        <v>1</v>
      </c>
      <c r="C21" s="595"/>
      <c r="D21" s="596"/>
      <c r="E21" s="596"/>
      <c r="F21" s="597"/>
      <c r="G21" s="2226"/>
      <c r="H21" s="581"/>
      <c r="I21" s="581"/>
      <c r="J21" s="582"/>
      <c r="L21" s="541"/>
      <c r="M21" s="535"/>
      <c r="N21" s="535"/>
      <c r="O21" s="613"/>
      <c r="P21" s="572"/>
      <c r="Q21" s="6"/>
      <c r="R21" s="6"/>
      <c r="S21" s="613"/>
      <c r="T21" s="622"/>
      <c r="U21" s="572"/>
      <c r="V21" s="6"/>
      <c r="W21" s="6"/>
      <c r="X21" s="613"/>
      <c r="Y21" s="572"/>
      <c r="Z21" s="6"/>
      <c r="AA21" s="6"/>
      <c r="AB21" s="613"/>
      <c r="AC21" s="622"/>
      <c r="AD21" s="572"/>
      <c r="AE21" s="6"/>
      <c r="AF21" s="6"/>
      <c r="AG21" s="613"/>
      <c r="AH21" s="572"/>
      <c r="AI21" s="6"/>
      <c r="AJ21" s="6"/>
      <c r="AK21" s="613"/>
    </row>
    <row r="22" spans="1:37" ht="20.25" customHeight="1" x14ac:dyDescent="0.25">
      <c r="A22" s="2205"/>
      <c r="B22" s="574">
        <v>2</v>
      </c>
      <c r="C22" s="595"/>
      <c r="D22" s="596"/>
      <c r="E22" s="596"/>
      <c r="F22" s="597"/>
      <c r="G22" s="2227"/>
      <c r="H22" s="581"/>
      <c r="I22" s="620"/>
      <c r="J22" s="582"/>
      <c r="L22" s="572"/>
      <c r="M22" s="535"/>
      <c r="N22" s="535"/>
      <c r="O22" s="613"/>
      <c r="P22" s="571"/>
      <c r="Q22" s="6"/>
      <c r="R22" s="6"/>
      <c r="S22" s="613"/>
      <c r="T22" s="622"/>
      <c r="U22" s="572"/>
      <c r="V22" s="6"/>
      <c r="W22" s="6"/>
      <c r="X22" s="613"/>
      <c r="Y22" s="572"/>
      <c r="Z22" s="6"/>
      <c r="AA22" s="605"/>
      <c r="AB22" s="613"/>
      <c r="AC22" s="622"/>
      <c r="AD22" s="572"/>
      <c r="AE22" s="6"/>
      <c r="AF22" s="6"/>
      <c r="AG22" s="613"/>
      <c r="AH22" s="572"/>
      <c r="AI22" s="6"/>
      <c r="AJ22" s="6"/>
      <c r="AK22" s="613"/>
    </row>
    <row r="23" spans="1:37" ht="30" x14ac:dyDescent="0.25">
      <c r="A23" s="2206">
        <v>44603</v>
      </c>
      <c r="B23" s="644">
        <v>1</v>
      </c>
      <c r="C23" s="595"/>
      <c r="D23" s="596"/>
      <c r="E23" s="596"/>
      <c r="F23" s="597"/>
      <c r="G23" s="580"/>
      <c r="H23" s="581"/>
      <c r="I23" s="619"/>
      <c r="J23" s="582"/>
      <c r="L23" s="541"/>
      <c r="M23" s="535"/>
      <c r="N23" s="535"/>
      <c r="O23" s="613"/>
      <c r="P23" s="572"/>
      <c r="Q23" s="6"/>
      <c r="R23" s="6"/>
      <c r="S23" s="613"/>
      <c r="T23" s="622"/>
      <c r="U23" s="572"/>
      <c r="V23" s="6"/>
      <c r="W23" s="6">
        <v>25</v>
      </c>
      <c r="X23" s="613"/>
      <c r="Y23" s="572"/>
      <c r="Z23" s="6"/>
      <c r="AA23" s="605" t="s">
        <v>333</v>
      </c>
      <c r="AB23" s="613"/>
      <c r="AC23" s="622"/>
      <c r="AD23" s="572"/>
      <c r="AE23" s="6"/>
      <c r="AF23" s="6"/>
      <c r="AG23" s="613"/>
      <c r="AH23" s="567"/>
      <c r="AI23" s="6"/>
      <c r="AJ23" s="6"/>
      <c r="AK23" s="613"/>
    </row>
    <row r="24" spans="1:37" x14ac:dyDescent="0.25">
      <c r="A24" s="2205"/>
      <c r="B24" s="574">
        <v>2</v>
      </c>
      <c r="C24" s="595"/>
      <c r="D24" s="596"/>
      <c r="E24" s="596">
        <v>10</v>
      </c>
      <c r="F24" s="597"/>
      <c r="G24" s="580"/>
      <c r="H24" s="581"/>
      <c r="I24" s="581" t="s">
        <v>331</v>
      </c>
      <c r="J24" s="582"/>
      <c r="L24" s="541"/>
      <c r="M24" s="535"/>
      <c r="N24" s="535"/>
      <c r="O24" s="613"/>
      <c r="P24" s="572"/>
      <c r="Q24" s="6"/>
      <c r="R24" s="6"/>
      <c r="S24" s="613"/>
      <c r="T24" s="622"/>
      <c r="U24" s="572"/>
      <c r="V24" s="6"/>
      <c r="W24" s="6"/>
      <c r="X24" s="613"/>
      <c r="Y24" s="572"/>
      <c r="Z24" s="6"/>
      <c r="AA24" s="6"/>
      <c r="AB24" s="613"/>
      <c r="AC24" s="622"/>
      <c r="AD24" s="572"/>
      <c r="AE24" s="6"/>
      <c r="AF24" s="6"/>
      <c r="AG24" s="613"/>
      <c r="AH24" s="572"/>
      <c r="AI24" s="6"/>
      <c r="AJ24" s="6"/>
      <c r="AK24" s="613"/>
    </row>
    <row r="25" spans="1:37" ht="30" customHeight="1" x14ac:dyDescent="0.25">
      <c r="A25" s="2206">
        <v>44604</v>
      </c>
      <c r="B25" s="574">
        <v>1</v>
      </c>
      <c r="C25" s="595"/>
      <c r="D25" s="596">
        <v>10</v>
      </c>
      <c r="E25" s="596">
        <v>10</v>
      </c>
      <c r="F25" s="597"/>
      <c r="G25" s="580"/>
      <c r="H25" s="581" t="s">
        <v>334</v>
      </c>
      <c r="I25" s="585" t="s">
        <v>152</v>
      </c>
      <c r="J25" s="582"/>
      <c r="L25" s="541"/>
      <c r="M25" s="535">
        <v>70</v>
      </c>
      <c r="N25" s="535"/>
      <c r="O25" s="613"/>
      <c r="P25" s="572"/>
      <c r="Q25" s="581" t="s">
        <v>334</v>
      </c>
      <c r="R25" s="6"/>
      <c r="S25" s="613"/>
      <c r="T25" s="622"/>
      <c r="U25" s="572"/>
      <c r="V25" s="6"/>
      <c r="W25" s="6"/>
      <c r="X25" s="613"/>
      <c r="Y25" s="572"/>
      <c r="Z25" s="6"/>
      <c r="AA25" s="6"/>
      <c r="AB25" s="613"/>
      <c r="AC25" s="622"/>
      <c r="AD25" s="572"/>
      <c r="AE25" s="6"/>
      <c r="AF25" s="6"/>
      <c r="AG25" s="613"/>
      <c r="AH25" s="2228"/>
      <c r="AI25" s="6"/>
      <c r="AJ25" s="6"/>
      <c r="AK25" s="613"/>
    </row>
    <row r="26" spans="1:37" ht="30" x14ac:dyDescent="0.25">
      <c r="A26" s="2205"/>
      <c r="B26" s="574">
        <v>2</v>
      </c>
      <c r="C26" s="595"/>
      <c r="D26" s="596"/>
      <c r="E26" s="596">
        <v>47</v>
      </c>
      <c r="F26" s="597"/>
      <c r="G26" s="580"/>
      <c r="H26" s="581"/>
      <c r="I26" s="585" t="s">
        <v>335</v>
      </c>
      <c r="J26" s="582"/>
      <c r="L26" s="541"/>
      <c r="M26" s="535">
        <v>179</v>
      </c>
      <c r="N26" s="535"/>
      <c r="O26" s="613"/>
      <c r="P26" s="572"/>
      <c r="Q26" s="581" t="s">
        <v>334</v>
      </c>
      <c r="R26" s="6"/>
      <c r="S26" s="613"/>
      <c r="T26" s="622"/>
      <c r="U26" s="572"/>
      <c r="V26" s="6"/>
      <c r="W26" s="6">
        <v>10</v>
      </c>
      <c r="X26" s="613"/>
      <c r="Y26" s="572"/>
      <c r="Z26" s="6"/>
      <c r="AA26" s="605" t="s">
        <v>152</v>
      </c>
      <c r="AB26" s="613"/>
      <c r="AC26" s="622"/>
      <c r="AD26" s="572"/>
      <c r="AE26" s="6"/>
      <c r="AF26" s="6"/>
      <c r="AG26" s="613"/>
      <c r="AH26" s="2229"/>
      <c r="AI26" s="6"/>
      <c r="AJ26" s="6"/>
      <c r="AK26" s="613"/>
    </row>
    <row r="27" spans="1:37" ht="45" x14ac:dyDescent="0.25">
      <c r="A27" s="2206">
        <v>44605</v>
      </c>
      <c r="B27" s="643">
        <v>1</v>
      </c>
      <c r="C27" s="595"/>
      <c r="D27" s="596"/>
      <c r="E27" s="596">
        <v>20</v>
      </c>
      <c r="F27" s="597"/>
      <c r="G27" s="580"/>
      <c r="H27" s="581"/>
      <c r="I27" s="585" t="s">
        <v>328</v>
      </c>
      <c r="J27" s="582"/>
      <c r="L27" s="541"/>
      <c r="M27" s="535"/>
      <c r="N27" s="6"/>
      <c r="O27" s="613"/>
      <c r="P27" s="572"/>
      <c r="Q27" s="6"/>
      <c r="R27" s="605"/>
      <c r="S27" s="613"/>
      <c r="T27" s="622"/>
      <c r="U27" s="572">
        <v>60</v>
      </c>
      <c r="V27" s="6"/>
      <c r="W27" s="6">
        <v>30</v>
      </c>
      <c r="X27" s="613"/>
      <c r="Y27" s="614" t="s">
        <v>113</v>
      </c>
      <c r="Z27" s="6"/>
      <c r="AA27" s="605" t="s">
        <v>152</v>
      </c>
      <c r="AB27" s="613"/>
      <c r="AC27" s="622"/>
      <c r="AD27" s="572"/>
      <c r="AE27" s="6"/>
      <c r="AF27" s="6"/>
      <c r="AG27" s="613"/>
      <c r="AH27" s="567"/>
      <c r="AI27" s="6"/>
      <c r="AJ27" s="6"/>
      <c r="AK27" s="613"/>
    </row>
    <row r="28" spans="1:37" ht="30" x14ac:dyDescent="0.25">
      <c r="A28" s="2205"/>
      <c r="B28" s="574">
        <v>2</v>
      </c>
      <c r="C28" s="595">
        <v>399</v>
      </c>
      <c r="D28" s="596"/>
      <c r="E28" s="596">
        <v>12</v>
      </c>
      <c r="F28" s="597"/>
      <c r="G28" s="585" t="s">
        <v>315</v>
      </c>
      <c r="H28" s="581"/>
      <c r="I28" s="585" t="s">
        <v>152</v>
      </c>
      <c r="J28" s="582"/>
      <c r="L28" s="541"/>
      <c r="M28" s="535"/>
      <c r="N28" s="6"/>
      <c r="O28" s="613"/>
      <c r="P28" s="614"/>
      <c r="Q28" s="6"/>
      <c r="R28" s="605"/>
      <c r="S28" s="613"/>
      <c r="T28" s="622"/>
      <c r="U28" s="572"/>
      <c r="V28" s="6"/>
      <c r="W28" s="6"/>
      <c r="X28" s="613"/>
      <c r="Y28" s="614"/>
      <c r="Z28" s="6"/>
      <c r="AA28" s="6"/>
      <c r="AB28" s="613"/>
      <c r="AC28" s="622"/>
      <c r="AD28" s="572"/>
      <c r="AE28" s="6"/>
      <c r="AF28" s="6"/>
      <c r="AG28" s="613"/>
      <c r="AH28" s="614"/>
      <c r="AI28" s="6"/>
      <c r="AJ28" s="6"/>
      <c r="AK28" s="613"/>
    </row>
    <row r="29" spans="1:37" x14ac:dyDescent="0.25">
      <c r="A29" s="2206">
        <v>44606</v>
      </c>
      <c r="B29" s="574">
        <v>1</v>
      </c>
      <c r="C29" s="595"/>
      <c r="D29" s="596"/>
      <c r="E29" s="596">
        <v>10</v>
      </c>
      <c r="F29" s="597"/>
      <c r="G29" s="580"/>
      <c r="H29" s="581"/>
      <c r="I29" s="585" t="s">
        <v>152</v>
      </c>
      <c r="J29" s="582"/>
      <c r="L29" s="541"/>
      <c r="M29" s="535"/>
      <c r="N29" s="6"/>
      <c r="O29" s="613"/>
      <c r="P29" s="614"/>
      <c r="Q29" s="6"/>
      <c r="R29" s="605"/>
      <c r="S29" s="613"/>
      <c r="T29" s="622"/>
      <c r="U29" s="572"/>
      <c r="V29" s="6"/>
      <c r="W29" s="6">
        <v>20</v>
      </c>
      <c r="X29" s="613"/>
      <c r="Y29" s="614"/>
      <c r="Z29" s="6"/>
      <c r="AA29" s="605" t="s">
        <v>152</v>
      </c>
      <c r="AB29" s="613"/>
      <c r="AC29" s="622"/>
      <c r="AD29" s="572"/>
      <c r="AE29" s="6"/>
      <c r="AF29" s="6">
        <v>20</v>
      </c>
      <c r="AG29" s="613"/>
      <c r="AH29" s="614"/>
      <c r="AI29" s="6"/>
      <c r="AJ29" s="605" t="s">
        <v>152</v>
      </c>
      <c r="AK29" s="613"/>
    </row>
    <row r="30" spans="1:37" x14ac:dyDescent="0.25">
      <c r="A30" s="2205"/>
      <c r="B30" s="643">
        <v>2</v>
      </c>
      <c r="C30" s="595"/>
      <c r="D30" s="596"/>
      <c r="E30" s="596">
        <v>45</v>
      </c>
      <c r="F30" s="597"/>
      <c r="G30" s="580"/>
      <c r="H30" s="581"/>
      <c r="I30" s="585" t="s">
        <v>152</v>
      </c>
      <c r="J30" s="582"/>
      <c r="L30" s="572"/>
      <c r="M30" s="570"/>
      <c r="N30" s="570"/>
      <c r="O30" s="613"/>
      <c r="P30" s="614"/>
      <c r="Q30" s="6"/>
      <c r="R30" s="6"/>
      <c r="S30" s="613"/>
      <c r="T30" s="622"/>
      <c r="U30" s="572"/>
      <c r="V30" s="6"/>
      <c r="W30" s="6">
        <v>47</v>
      </c>
      <c r="X30" s="613"/>
      <c r="Y30" s="614"/>
      <c r="Z30" s="6"/>
      <c r="AA30" s="605" t="s">
        <v>152</v>
      </c>
      <c r="AB30" s="613"/>
      <c r="AC30" s="622"/>
      <c r="AD30" s="572"/>
      <c r="AE30" s="6"/>
      <c r="AF30" s="6"/>
      <c r="AG30" s="613"/>
      <c r="AH30" s="571"/>
      <c r="AI30" s="622"/>
      <c r="AJ30" s="6"/>
      <c r="AK30" s="613"/>
    </row>
    <row r="31" spans="1:37" x14ac:dyDescent="0.25">
      <c r="A31" s="2206">
        <v>44607</v>
      </c>
      <c r="B31" s="574">
        <v>1</v>
      </c>
      <c r="C31" s="595"/>
      <c r="D31" s="596"/>
      <c r="E31" s="596"/>
      <c r="F31" s="597"/>
      <c r="G31" s="580"/>
      <c r="H31" s="581"/>
      <c r="I31" s="585"/>
      <c r="J31" s="582"/>
      <c r="L31" s="541"/>
      <c r="M31" s="535"/>
      <c r="N31" s="535"/>
      <c r="O31" s="613"/>
      <c r="P31" s="614"/>
      <c r="Q31" s="6"/>
      <c r="R31" s="6"/>
      <c r="S31" s="613"/>
      <c r="T31" s="622"/>
      <c r="U31" s="572"/>
      <c r="V31" s="6"/>
      <c r="W31" s="6">
        <v>10</v>
      </c>
      <c r="X31" s="613"/>
      <c r="Y31" s="614"/>
      <c r="Z31" s="6"/>
      <c r="AA31" s="6" t="s">
        <v>336</v>
      </c>
      <c r="AB31" s="613"/>
      <c r="AC31" s="622"/>
      <c r="AD31" s="572"/>
      <c r="AE31" s="6"/>
      <c r="AF31" s="6"/>
      <c r="AG31" s="613"/>
      <c r="AH31" s="614"/>
      <c r="AI31" s="6"/>
      <c r="AJ31" s="6"/>
      <c r="AK31" s="613"/>
    </row>
    <row r="32" spans="1:37" ht="45" customHeight="1" x14ac:dyDescent="0.25">
      <c r="A32" s="2205"/>
      <c r="B32" s="574">
        <v>2</v>
      </c>
      <c r="C32" s="595"/>
      <c r="D32" s="596"/>
      <c r="E32" s="596">
        <v>93</v>
      </c>
      <c r="F32" s="597"/>
      <c r="G32" s="580"/>
      <c r="H32" s="581"/>
      <c r="I32" s="585" t="s">
        <v>337</v>
      </c>
      <c r="J32" s="2230"/>
      <c r="L32" s="541"/>
      <c r="M32" s="535"/>
      <c r="N32" s="535"/>
      <c r="O32" s="613"/>
      <c r="P32" s="614"/>
      <c r="Q32" s="6"/>
      <c r="R32" s="6"/>
      <c r="S32" s="613"/>
      <c r="T32" s="622"/>
      <c r="U32" s="572">
        <v>5</v>
      </c>
      <c r="V32" s="6"/>
      <c r="W32" s="6"/>
      <c r="X32" s="613"/>
      <c r="Y32" s="614" t="s">
        <v>186</v>
      </c>
      <c r="Z32" s="6"/>
      <c r="AA32" s="6"/>
      <c r="AB32" s="613"/>
      <c r="AC32" s="622"/>
      <c r="AD32" s="572"/>
      <c r="AE32" s="6"/>
      <c r="AF32" s="6"/>
      <c r="AG32" s="613"/>
      <c r="AH32" s="614"/>
      <c r="AI32" s="6"/>
      <c r="AJ32" s="6"/>
      <c r="AK32" s="613"/>
    </row>
    <row r="33" spans="1:37" x14ac:dyDescent="0.25">
      <c r="A33" s="2206">
        <v>44608</v>
      </c>
      <c r="B33" s="574">
        <v>1</v>
      </c>
      <c r="C33" s="595"/>
      <c r="D33" s="596"/>
      <c r="E33" s="596"/>
      <c r="F33" s="597"/>
      <c r="G33" s="580"/>
      <c r="H33" s="581"/>
      <c r="I33" s="585"/>
      <c r="J33" s="2231"/>
      <c r="L33" s="541"/>
      <c r="M33" s="535"/>
      <c r="N33" s="535"/>
      <c r="O33" s="613"/>
      <c r="P33" s="614"/>
      <c r="Q33" s="6"/>
      <c r="R33" s="6"/>
      <c r="S33" s="613"/>
      <c r="T33" s="622"/>
      <c r="U33" s="572">
        <v>20</v>
      </c>
      <c r="V33" s="6">
        <v>40</v>
      </c>
      <c r="W33" s="6"/>
      <c r="X33" s="613"/>
      <c r="Y33" s="614" t="s">
        <v>186</v>
      </c>
      <c r="Z33" s="6" t="s">
        <v>334</v>
      </c>
      <c r="AA33" s="6"/>
      <c r="AB33" s="613"/>
      <c r="AC33" s="622"/>
      <c r="AD33" s="572"/>
      <c r="AE33" s="6"/>
      <c r="AF33" s="6"/>
      <c r="AG33" s="613"/>
      <c r="AH33" s="614"/>
      <c r="AI33" s="605"/>
      <c r="AJ33" s="6"/>
      <c r="AK33" s="613"/>
    </row>
    <row r="34" spans="1:37" x14ac:dyDescent="0.25">
      <c r="A34" s="2205"/>
      <c r="B34" s="643">
        <v>2</v>
      </c>
      <c r="C34" s="596"/>
      <c r="D34" s="596"/>
      <c r="E34" s="596">
        <v>19</v>
      </c>
      <c r="F34" s="597"/>
      <c r="G34" s="580"/>
      <c r="H34" s="585"/>
      <c r="I34" s="585" t="s">
        <v>152</v>
      </c>
      <c r="J34" s="582"/>
      <c r="L34" s="541"/>
      <c r="M34" s="6"/>
      <c r="N34" s="535"/>
      <c r="O34" s="613"/>
      <c r="P34" s="614"/>
      <c r="Q34" s="585"/>
      <c r="R34" s="6"/>
      <c r="S34" s="613"/>
      <c r="T34" s="622"/>
      <c r="U34" s="572"/>
      <c r="V34" s="6"/>
      <c r="W34" s="6">
        <v>33</v>
      </c>
      <c r="X34" s="613"/>
      <c r="Y34" s="6"/>
      <c r="Z34" s="605"/>
      <c r="AA34" s="605" t="s">
        <v>152</v>
      </c>
      <c r="AB34" s="613"/>
      <c r="AC34" s="622"/>
      <c r="AD34" s="572"/>
      <c r="AE34" s="6"/>
      <c r="AF34" s="6"/>
      <c r="AG34" s="613"/>
      <c r="AH34" s="614"/>
      <c r="AI34" s="6"/>
      <c r="AJ34" s="6"/>
      <c r="AK34" s="613"/>
    </row>
    <row r="35" spans="1:37" x14ac:dyDescent="0.25">
      <c r="A35" s="2206">
        <v>44609</v>
      </c>
      <c r="B35" s="574">
        <v>1</v>
      </c>
      <c r="C35" s="596"/>
      <c r="D35" s="596"/>
      <c r="E35" s="596"/>
      <c r="F35" s="597"/>
      <c r="G35" s="580"/>
      <c r="H35" s="581"/>
      <c r="I35" s="585"/>
      <c r="J35" s="582"/>
      <c r="L35" s="541"/>
      <c r="M35" s="6"/>
      <c r="N35" s="535"/>
      <c r="O35" s="613"/>
      <c r="P35" s="567"/>
      <c r="Q35" s="649"/>
      <c r="R35" s="620"/>
      <c r="S35" s="613"/>
      <c r="T35" s="622"/>
      <c r="U35" s="572"/>
      <c r="V35" s="6"/>
      <c r="W35" s="6"/>
      <c r="X35" s="613"/>
      <c r="Y35" s="614"/>
      <c r="Z35" s="605"/>
      <c r="AA35" s="6"/>
      <c r="AB35" s="613"/>
      <c r="AC35" s="622"/>
      <c r="AD35" s="572"/>
      <c r="AE35" s="6"/>
      <c r="AF35" s="6"/>
      <c r="AG35" s="613"/>
      <c r="AH35" s="614"/>
      <c r="AI35" s="620"/>
      <c r="AJ35" s="620"/>
      <c r="AK35" s="613"/>
    </row>
    <row r="36" spans="1:37" x14ac:dyDescent="0.25">
      <c r="A36" s="2205"/>
      <c r="B36" s="574">
        <v>2</v>
      </c>
      <c r="C36" s="596"/>
      <c r="D36" s="596"/>
      <c r="E36" s="596">
        <v>26</v>
      </c>
      <c r="F36" s="597"/>
      <c r="G36" s="583"/>
      <c r="H36" s="620"/>
      <c r="I36" s="585" t="s">
        <v>152</v>
      </c>
      <c r="J36" s="582"/>
      <c r="L36" s="627"/>
      <c r="M36" s="6"/>
      <c r="N36" s="535"/>
      <c r="O36" s="613"/>
      <c r="P36" s="567"/>
      <c r="Q36" s="649"/>
      <c r="R36" s="6"/>
      <c r="S36" s="613"/>
      <c r="T36" s="622"/>
      <c r="U36" s="572"/>
      <c r="V36" s="6"/>
      <c r="W36" s="6">
        <v>45</v>
      </c>
      <c r="X36" s="613"/>
      <c r="Y36" s="614"/>
      <c r="Z36" s="605"/>
      <c r="AA36" s="605" t="s">
        <v>152</v>
      </c>
      <c r="AB36" s="613"/>
      <c r="AC36" s="622"/>
      <c r="AD36" s="572"/>
      <c r="AE36" s="6"/>
      <c r="AF36" s="6">
        <v>10</v>
      </c>
      <c r="AG36" s="613"/>
      <c r="AH36" s="614"/>
      <c r="AI36" s="605"/>
      <c r="AJ36" s="605" t="s">
        <v>152</v>
      </c>
      <c r="AK36" s="613"/>
    </row>
    <row r="37" spans="1:37" x14ac:dyDescent="0.25">
      <c r="A37" s="2206">
        <v>44610</v>
      </c>
      <c r="B37" s="643">
        <v>1</v>
      </c>
      <c r="C37" s="596"/>
      <c r="D37" s="596"/>
      <c r="E37" s="596"/>
      <c r="F37" s="597"/>
      <c r="G37" s="580"/>
      <c r="H37" s="581"/>
      <c r="I37" s="585"/>
      <c r="J37" s="582"/>
      <c r="L37" s="541"/>
      <c r="M37" s="535"/>
      <c r="N37" s="535"/>
      <c r="O37" s="613"/>
      <c r="P37" s="614"/>
      <c r="Q37" s="6"/>
      <c r="R37" s="6"/>
      <c r="S37" s="613"/>
      <c r="T37" s="622"/>
      <c r="U37" s="572"/>
      <c r="V37" s="6"/>
      <c r="W37" s="6">
        <v>8</v>
      </c>
      <c r="X37" s="613"/>
      <c r="Y37" s="614"/>
      <c r="Z37" s="605"/>
      <c r="AA37" s="605" t="s">
        <v>152</v>
      </c>
      <c r="AB37" s="613"/>
      <c r="AC37" s="622"/>
      <c r="AD37" s="572"/>
      <c r="AE37" s="6"/>
      <c r="AF37" s="6">
        <v>15</v>
      </c>
      <c r="AG37" s="613"/>
      <c r="AH37" s="614"/>
      <c r="AI37" s="6"/>
      <c r="AJ37" s="6" t="s">
        <v>304</v>
      </c>
      <c r="AK37" s="613"/>
    </row>
    <row r="38" spans="1:37" x14ac:dyDescent="0.25">
      <c r="A38" s="2205"/>
      <c r="B38" s="574">
        <v>2</v>
      </c>
      <c r="C38" s="595"/>
      <c r="D38" s="596"/>
      <c r="E38" s="596">
        <v>10</v>
      </c>
      <c r="F38" s="597"/>
      <c r="G38" s="580"/>
      <c r="H38" s="581"/>
      <c r="I38" s="581" t="s">
        <v>325</v>
      </c>
      <c r="J38" s="582"/>
      <c r="L38" s="572"/>
      <c r="M38" s="535"/>
      <c r="N38" s="535"/>
      <c r="O38" s="613"/>
      <c r="P38" s="571"/>
      <c r="Q38" s="6"/>
      <c r="R38" s="6"/>
      <c r="S38" s="613"/>
      <c r="T38" s="622"/>
      <c r="U38" s="572"/>
      <c r="V38" s="6"/>
      <c r="W38" s="6">
        <v>10</v>
      </c>
      <c r="X38" s="613"/>
      <c r="Y38" s="614"/>
      <c r="Z38" s="6"/>
      <c r="AA38" s="605" t="s">
        <v>325</v>
      </c>
      <c r="AB38" s="613"/>
      <c r="AC38" s="622"/>
      <c r="AD38" s="572"/>
      <c r="AE38" s="6"/>
      <c r="AF38" s="6"/>
      <c r="AG38" s="613"/>
      <c r="AH38" s="614"/>
      <c r="AI38" s="6"/>
      <c r="AJ38" s="6"/>
      <c r="AK38" s="613"/>
    </row>
    <row r="39" spans="1:37" x14ac:dyDescent="0.25">
      <c r="A39" s="2206">
        <v>44611</v>
      </c>
      <c r="B39" s="574">
        <v>1</v>
      </c>
      <c r="C39" s="595"/>
      <c r="D39" s="596"/>
      <c r="E39" s="596">
        <v>10</v>
      </c>
      <c r="F39" s="597"/>
      <c r="G39" s="580"/>
      <c r="H39" s="581"/>
      <c r="I39" s="581" t="s">
        <v>325</v>
      </c>
      <c r="J39" s="582"/>
      <c r="L39" s="541"/>
      <c r="M39" s="535"/>
      <c r="N39" s="535"/>
      <c r="O39" s="613"/>
      <c r="P39" s="614"/>
      <c r="Q39" s="6"/>
      <c r="R39" s="6"/>
      <c r="S39" s="613"/>
      <c r="T39" s="622"/>
      <c r="U39" s="572"/>
      <c r="V39" s="6"/>
      <c r="W39" s="6"/>
      <c r="X39" s="613"/>
      <c r="Y39" s="614"/>
      <c r="Z39" s="6"/>
      <c r="AA39" s="6"/>
      <c r="AB39" s="613"/>
      <c r="AC39" s="622"/>
      <c r="AD39" s="572"/>
      <c r="AE39" s="6"/>
      <c r="AF39" s="6">
        <v>25</v>
      </c>
      <c r="AG39" s="613"/>
      <c r="AH39" s="614"/>
      <c r="AI39" s="6"/>
      <c r="AJ39" s="6" t="s">
        <v>304</v>
      </c>
      <c r="AK39" s="613"/>
    </row>
    <row r="40" spans="1:37" ht="45" x14ac:dyDescent="0.25">
      <c r="A40" s="2205"/>
      <c r="B40" s="574">
        <v>2</v>
      </c>
      <c r="C40" s="595"/>
      <c r="D40" s="596"/>
      <c r="E40" s="596">
        <v>61</v>
      </c>
      <c r="F40" s="597"/>
      <c r="G40" s="580"/>
      <c r="H40" s="581"/>
      <c r="I40" s="585" t="s">
        <v>328</v>
      </c>
      <c r="J40" s="582"/>
      <c r="L40" s="541"/>
      <c r="M40" s="535"/>
      <c r="N40" s="535"/>
      <c r="O40" s="613"/>
      <c r="P40" s="614"/>
      <c r="Q40" s="6"/>
      <c r="R40" s="6"/>
      <c r="S40" s="613"/>
      <c r="T40" s="622"/>
      <c r="U40" s="572"/>
      <c r="V40" s="6"/>
      <c r="W40" s="6"/>
      <c r="X40" s="613"/>
      <c r="Y40" s="614"/>
      <c r="Z40" s="6"/>
      <c r="AA40" s="6"/>
      <c r="AB40" s="613"/>
      <c r="AC40" s="622"/>
      <c r="AD40" s="572"/>
      <c r="AE40" s="6"/>
      <c r="AF40" s="6"/>
      <c r="AG40" s="613"/>
      <c r="AH40" s="614"/>
      <c r="AI40" s="6"/>
      <c r="AJ40" s="6"/>
      <c r="AK40" s="613"/>
    </row>
    <row r="41" spans="1:37" x14ac:dyDescent="0.25">
      <c r="A41" s="2206">
        <v>44612</v>
      </c>
      <c r="B41" s="574">
        <v>1</v>
      </c>
      <c r="C41" s="595"/>
      <c r="D41" s="596">
        <v>14</v>
      </c>
      <c r="E41" s="596">
        <v>70</v>
      </c>
      <c r="F41" s="597"/>
      <c r="G41" s="580"/>
      <c r="H41" s="581" t="s">
        <v>334</v>
      </c>
      <c r="I41" s="585" t="s">
        <v>152</v>
      </c>
      <c r="J41" s="582"/>
      <c r="L41" s="541"/>
      <c r="M41" s="535"/>
      <c r="N41" s="535"/>
      <c r="O41" s="613"/>
      <c r="P41" s="614"/>
      <c r="Q41" s="6"/>
      <c r="R41" s="6"/>
      <c r="S41" s="613"/>
      <c r="T41" s="622"/>
      <c r="U41" s="572"/>
      <c r="V41" s="6"/>
      <c r="W41" s="6"/>
      <c r="X41" s="613"/>
      <c r="Y41" s="614"/>
      <c r="Z41" s="605"/>
      <c r="AA41" s="605"/>
      <c r="AB41" s="613"/>
      <c r="AC41" s="622"/>
      <c r="AD41" s="572"/>
      <c r="AE41" s="6"/>
      <c r="AF41" s="6"/>
      <c r="AG41" s="613"/>
      <c r="AH41" s="614"/>
      <c r="AI41" s="6"/>
      <c r="AJ41" s="6"/>
      <c r="AK41" s="613"/>
    </row>
    <row r="42" spans="1:37" x14ac:dyDescent="0.25">
      <c r="A42" s="2205"/>
      <c r="B42" s="574">
        <v>2</v>
      </c>
      <c r="C42" s="595"/>
      <c r="D42" s="596"/>
      <c r="E42" s="596">
        <v>18</v>
      </c>
      <c r="F42" s="597"/>
      <c r="G42" s="580"/>
      <c r="H42" s="581"/>
      <c r="I42" s="585" t="s">
        <v>152</v>
      </c>
      <c r="J42" s="536"/>
      <c r="L42" s="541"/>
      <c r="M42" s="535"/>
      <c r="N42" s="535"/>
      <c r="O42" s="613"/>
      <c r="P42" s="614"/>
      <c r="Q42" s="6"/>
      <c r="R42" s="6"/>
      <c r="S42" s="613"/>
      <c r="T42" s="622"/>
      <c r="U42" s="572"/>
      <c r="V42" s="6"/>
      <c r="W42" s="6"/>
      <c r="X42" s="613"/>
      <c r="Y42" s="614"/>
      <c r="Z42" s="6"/>
      <c r="AA42" s="6"/>
      <c r="AB42" s="613"/>
      <c r="AC42" s="622"/>
      <c r="AD42" s="572"/>
      <c r="AE42" s="6"/>
      <c r="AF42" s="6"/>
      <c r="AG42" s="613"/>
      <c r="AH42" s="614"/>
      <c r="AI42" s="6"/>
      <c r="AJ42" s="6"/>
      <c r="AK42" s="613"/>
    </row>
    <row r="43" spans="1:37" ht="30" x14ac:dyDescent="0.25">
      <c r="A43" s="2206">
        <v>44613</v>
      </c>
      <c r="B43" s="574">
        <v>1</v>
      </c>
      <c r="C43" s="595"/>
      <c r="D43" s="596"/>
      <c r="E43" s="596">
        <v>15</v>
      </c>
      <c r="F43" s="597"/>
      <c r="G43" s="580"/>
      <c r="H43" s="581"/>
      <c r="I43" s="585" t="s">
        <v>152</v>
      </c>
      <c r="J43" s="582"/>
      <c r="L43" s="541"/>
      <c r="M43" s="535"/>
      <c r="N43" s="535"/>
      <c r="O43" s="613"/>
      <c r="P43" s="614"/>
      <c r="Q43" s="6"/>
      <c r="R43" s="6"/>
      <c r="S43" s="613"/>
      <c r="T43" s="622"/>
      <c r="U43" s="572"/>
      <c r="V43" s="6"/>
      <c r="W43" s="6"/>
      <c r="X43" s="613"/>
      <c r="Y43" s="614"/>
      <c r="Z43" s="6"/>
      <c r="AA43" s="6"/>
      <c r="AB43" s="613"/>
      <c r="AC43" s="622"/>
      <c r="AD43" s="572">
        <v>12</v>
      </c>
      <c r="AE43" s="6"/>
      <c r="AF43" s="6"/>
      <c r="AG43" s="613"/>
      <c r="AH43" s="605" t="s">
        <v>288</v>
      </c>
      <c r="AI43" s="6"/>
      <c r="AJ43" s="605"/>
      <c r="AK43" s="613"/>
    </row>
    <row r="44" spans="1:37" x14ac:dyDescent="0.25">
      <c r="A44" s="2205"/>
      <c r="B44" s="574">
        <v>2</v>
      </c>
      <c r="C44" s="595"/>
      <c r="D44" s="596"/>
      <c r="E44" s="596">
        <v>54</v>
      </c>
      <c r="F44" s="597"/>
      <c r="G44" s="583"/>
      <c r="H44" s="581"/>
      <c r="I44" s="585" t="s">
        <v>152</v>
      </c>
      <c r="J44" s="582"/>
      <c r="L44" s="541"/>
      <c r="M44" s="535"/>
      <c r="N44" s="535"/>
      <c r="O44" s="613"/>
      <c r="P44" s="614"/>
      <c r="Q44" s="6"/>
      <c r="R44" s="6"/>
      <c r="S44" s="613"/>
      <c r="T44" s="622"/>
      <c r="U44" s="572"/>
      <c r="V44" s="6"/>
      <c r="W44" s="6">
        <v>50</v>
      </c>
      <c r="X44" s="613"/>
      <c r="Y44" s="614"/>
      <c r="Z44" s="6"/>
      <c r="AA44" s="605" t="s">
        <v>152</v>
      </c>
      <c r="AB44" s="613"/>
      <c r="AC44" s="622"/>
      <c r="AD44" s="572"/>
      <c r="AE44" s="6"/>
      <c r="AF44" s="6">
        <v>8</v>
      </c>
      <c r="AG44" s="613"/>
      <c r="AH44" s="614"/>
      <c r="AI44" s="6"/>
      <c r="AJ44" s="605" t="s">
        <v>152</v>
      </c>
      <c r="AK44" s="613"/>
    </row>
    <row r="45" spans="1:37" x14ac:dyDescent="0.25">
      <c r="A45" s="2206">
        <v>44614</v>
      </c>
      <c r="B45" s="574">
        <v>1</v>
      </c>
      <c r="C45" s="595"/>
      <c r="D45" s="596"/>
      <c r="E45" s="596">
        <v>37</v>
      </c>
      <c r="F45" s="597"/>
      <c r="G45" s="580"/>
      <c r="H45" s="581"/>
      <c r="I45" s="585" t="s">
        <v>152</v>
      </c>
      <c r="J45" s="582"/>
      <c r="L45" s="541"/>
      <c r="M45" s="6"/>
      <c r="N45" s="535"/>
      <c r="O45" s="613"/>
      <c r="P45" s="614"/>
      <c r="Q45" s="605"/>
      <c r="R45" s="6"/>
      <c r="S45" s="613"/>
      <c r="T45" s="622"/>
      <c r="U45" s="572"/>
      <c r="V45" s="6"/>
      <c r="W45" s="6">
        <v>36</v>
      </c>
      <c r="X45" s="613"/>
      <c r="Y45" s="614"/>
      <c r="Z45" s="6"/>
      <c r="AA45" s="605" t="s">
        <v>152</v>
      </c>
      <c r="AB45" s="613"/>
      <c r="AC45" s="622"/>
      <c r="AD45" s="572"/>
      <c r="AE45" s="6"/>
      <c r="AF45" s="6">
        <v>19</v>
      </c>
      <c r="AG45" s="613"/>
      <c r="AH45" s="614"/>
      <c r="AI45" s="6"/>
      <c r="AJ45" s="605" t="s">
        <v>152</v>
      </c>
      <c r="AK45" s="613"/>
    </row>
    <row r="46" spans="1:37" x14ac:dyDescent="0.25">
      <c r="A46" s="2205"/>
      <c r="B46" s="574">
        <v>2</v>
      </c>
      <c r="C46" s="595"/>
      <c r="D46" s="596"/>
      <c r="E46" s="596">
        <v>28</v>
      </c>
      <c r="F46" s="597"/>
      <c r="G46" s="580"/>
      <c r="H46" s="581"/>
      <c r="I46" s="585" t="s">
        <v>152</v>
      </c>
      <c r="J46" s="582"/>
      <c r="L46" s="541"/>
      <c r="M46" s="535"/>
      <c r="N46" s="535"/>
      <c r="O46" s="613"/>
      <c r="P46" s="614"/>
      <c r="Q46" s="6"/>
      <c r="R46" s="6"/>
      <c r="S46" s="613"/>
      <c r="T46" s="622"/>
      <c r="U46" s="572"/>
      <c r="V46" s="6"/>
      <c r="W46" s="6">
        <v>52</v>
      </c>
      <c r="X46" s="613"/>
      <c r="Y46" s="614"/>
      <c r="Z46" s="6"/>
      <c r="AA46" s="605" t="s">
        <v>152</v>
      </c>
      <c r="AB46" s="613"/>
      <c r="AC46" s="622"/>
      <c r="AD46" s="572"/>
      <c r="AE46" s="6"/>
      <c r="AF46" s="6"/>
      <c r="AG46" s="613"/>
      <c r="AH46" s="614"/>
      <c r="AI46" s="6"/>
      <c r="AJ46" s="585"/>
      <c r="AK46" s="613"/>
    </row>
    <row r="47" spans="1:37" x14ac:dyDescent="0.25">
      <c r="A47" s="2206">
        <v>44615</v>
      </c>
      <c r="B47" s="574">
        <v>1</v>
      </c>
      <c r="C47" s="595"/>
      <c r="D47" s="596"/>
      <c r="E47" s="596">
        <v>14</v>
      </c>
      <c r="F47" s="597"/>
      <c r="G47" s="580"/>
      <c r="H47" s="581"/>
      <c r="I47" s="585" t="s">
        <v>152</v>
      </c>
      <c r="J47" s="582"/>
      <c r="L47" s="541"/>
      <c r="M47" s="535"/>
      <c r="N47" s="535"/>
      <c r="O47" s="613"/>
      <c r="P47" s="614"/>
      <c r="Q47" s="6"/>
      <c r="R47" s="6"/>
      <c r="S47" s="613"/>
      <c r="T47" s="622"/>
      <c r="U47" s="572"/>
      <c r="V47" s="6"/>
      <c r="W47" s="6"/>
      <c r="X47" s="613"/>
      <c r="Y47" s="614"/>
      <c r="Z47" s="6"/>
      <c r="AA47" s="605"/>
      <c r="AB47" s="613"/>
      <c r="AC47" s="622"/>
      <c r="AD47" s="572"/>
      <c r="AE47" s="6"/>
      <c r="AF47" s="6"/>
      <c r="AG47" s="613"/>
      <c r="AH47" s="614"/>
      <c r="AI47" s="6"/>
      <c r="AJ47" s="6"/>
      <c r="AK47" s="613"/>
    </row>
    <row r="48" spans="1:37" x14ac:dyDescent="0.25">
      <c r="A48" s="2205"/>
      <c r="B48" s="574">
        <v>2</v>
      </c>
      <c r="C48" s="595"/>
      <c r="D48" s="596"/>
      <c r="E48" s="596">
        <v>28</v>
      </c>
      <c r="F48" s="597"/>
      <c r="G48" s="580"/>
      <c r="H48" s="585"/>
      <c r="I48" s="585" t="s">
        <v>152</v>
      </c>
      <c r="J48" s="582"/>
      <c r="L48" s="541"/>
      <c r="M48" s="535"/>
      <c r="N48" s="535"/>
      <c r="O48" s="613"/>
      <c r="P48" s="614"/>
      <c r="Q48" s="620"/>
      <c r="R48" s="6"/>
      <c r="S48" s="613"/>
      <c r="T48" s="622"/>
      <c r="U48" s="572"/>
      <c r="V48" s="6"/>
      <c r="W48" s="6"/>
      <c r="X48" s="613"/>
      <c r="Y48" s="614"/>
      <c r="Z48" s="6"/>
      <c r="AA48" s="6"/>
      <c r="AB48" s="613"/>
      <c r="AC48" s="622"/>
      <c r="AD48" s="572"/>
      <c r="AE48" s="6"/>
      <c r="AF48" s="6">
        <v>15</v>
      </c>
      <c r="AG48" s="613"/>
      <c r="AH48" s="614"/>
      <c r="AI48" s="6"/>
      <c r="AJ48" s="6" t="s">
        <v>325</v>
      </c>
      <c r="AK48" s="613"/>
    </row>
    <row r="49" spans="1:37" x14ac:dyDescent="0.25">
      <c r="A49" s="2206">
        <v>44616</v>
      </c>
      <c r="B49" s="574">
        <v>1</v>
      </c>
      <c r="C49" s="595"/>
      <c r="D49" s="596"/>
      <c r="E49" s="596">
        <v>22</v>
      </c>
      <c r="F49" s="597"/>
      <c r="G49" s="580"/>
      <c r="H49" s="581"/>
      <c r="I49" s="585" t="s">
        <v>152</v>
      </c>
      <c r="J49" s="584"/>
      <c r="L49" s="541"/>
      <c r="M49" s="535"/>
      <c r="N49" s="535"/>
      <c r="O49" s="613"/>
      <c r="P49" s="614"/>
      <c r="Q49" s="6"/>
      <c r="R49" s="6"/>
      <c r="S49" s="634"/>
      <c r="T49" s="622"/>
      <c r="U49" s="572"/>
      <c r="V49" s="6"/>
      <c r="W49" s="6">
        <v>20</v>
      </c>
      <c r="X49" s="613"/>
      <c r="Y49" s="614"/>
      <c r="Z49" s="605"/>
      <c r="AA49" s="605" t="s">
        <v>152</v>
      </c>
      <c r="AB49" s="634"/>
      <c r="AC49" s="622"/>
      <c r="AD49" s="572"/>
      <c r="AE49" s="6"/>
      <c r="AF49" s="6"/>
      <c r="AG49" s="613"/>
      <c r="AH49" s="614"/>
      <c r="AI49" s="6"/>
      <c r="AJ49" s="6"/>
      <c r="AK49" s="634"/>
    </row>
    <row r="50" spans="1:37" ht="33" customHeight="1" x14ac:dyDescent="0.25">
      <c r="A50" s="2205"/>
      <c r="B50" s="574">
        <v>2</v>
      </c>
      <c r="C50" s="595"/>
      <c r="D50" s="596"/>
      <c r="E50" s="596">
        <v>48</v>
      </c>
      <c r="F50" s="597"/>
      <c r="G50" s="583"/>
      <c r="H50" s="581"/>
      <c r="I50" s="585" t="s">
        <v>152</v>
      </c>
      <c r="J50" s="582"/>
      <c r="L50" s="541"/>
      <c r="M50" s="6"/>
      <c r="N50" s="6"/>
      <c r="O50" s="613"/>
      <c r="P50" s="614"/>
      <c r="Q50" s="605"/>
      <c r="R50" s="605"/>
      <c r="S50" s="613"/>
      <c r="T50" s="622"/>
      <c r="U50" s="572"/>
      <c r="V50" s="6"/>
      <c r="W50" s="6">
        <v>45</v>
      </c>
      <c r="X50" s="613"/>
      <c r="Y50" s="571"/>
      <c r="Z50" s="605"/>
      <c r="AA50" s="605" t="s">
        <v>152</v>
      </c>
      <c r="AB50" s="613"/>
      <c r="AC50" s="622"/>
      <c r="AD50" s="572"/>
      <c r="AE50" s="6"/>
      <c r="AF50" s="6"/>
      <c r="AG50" s="613"/>
      <c r="AH50" s="614"/>
      <c r="AI50" s="6"/>
      <c r="AJ50" s="6"/>
      <c r="AK50" s="613"/>
    </row>
    <row r="51" spans="1:37" x14ac:dyDescent="0.25">
      <c r="A51" s="2206">
        <v>44617</v>
      </c>
      <c r="B51" s="574">
        <v>1</v>
      </c>
      <c r="C51" s="595"/>
      <c r="D51" s="596"/>
      <c r="E51" s="596"/>
      <c r="F51" s="597"/>
      <c r="G51" s="580"/>
      <c r="H51" s="581"/>
      <c r="I51" s="581"/>
      <c r="J51" s="582"/>
      <c r="L51" s="541"/>
      <c r="M51" s="535"/>
      <c r="N51" s="535"/>
      <c r="O51" s="613"/>
      <c r="P51" s="614"/>
      <c r="Q51" s="6"/>
      <c r="R51" s="6"/>
      <c r="S51" s="613"/>
      <c r="T51" s="622"/>
      <c r="U51" s="572"/>
      <c r="V51" s="6"/>
      <c r="W51" s="6">
        <v>5</v>
      </c>
      <c r="X51" s="613"/>
      <c r="Y51" s="571"/>
      <c r="Z51" s="6"/>
      <c r="AA51" s="605" t="s">
        <v>152</v>
      </c>
      <c r="AB51" s="613"/>
      <c r="AC51" s="622"/>
      <c r="AD51" s="572"/>
      <c r="AE51" s="6"/>
      <c r="AF51" s="6"/>
      <c r="AG51" s="613"/>
      <c r="AH51" s="614"/>
      <c r="AI51" s="6"/>
      <c r="AJ51" s="6"/>
      <c r="AK51" s="613"/>
    </row>
    <row r="52" spans="1:37" x14ac:dyDescent="0.25">
      <c r="A52" s="2205"/>
      <c r="B52" s="574">
        <v>2</v>
      </c>
      <c r="C52" s="595"/>
      <c r="D52" s="596"/>
      <c r="E52" s="596">
        <v>34</v>
      </c>
      <c r="F52" s="597"/>
      <c r="G52" s="580"/>
      <c r="H52" s="581"/>
      <c r="I52" s="585" t="s">
        <v>152</v>
      </c>
      <c r="J52" s="584"/>
      <c r="L52" s="541"/>
      <c r="M52" s="535"/>
      <c r="N52" s="535"/>
      <c r="O52" s="613"/>
      <c r="P52" s="614"/>
      <c r="Q52" s="6"/>
      <c r="R52" s="6"/>
      <c r="S52" s="635"/>
      <c r="T52" s="622"/>
      <c r="U52" s="572"/>
      <c r="V52" s="6"/>
      <c r="W52" s="6">
        <v>16</v>
      </c>
      <c r="X52" s="613"/>
      <c r="Y52" s="571"/>
      <c r="Z52" s="605"/>
      <c r="AA52" s="605" t="s">
        <v>152</v>
      </c>
      <c r="AB52" s="635"/>
      <c r="AC52" s="622"/>
      <c r="AD52" s="572"/>
      <c r="AE52" s="6"/>
      <c r="AF52" s="6"/>
      <c r="AG52" s="613"/>
      <c r="AH52" s="614"/>
      <c r="AI52" s="6"/>
      <c r="AJ52" s="6"/>
      <c r="AK52" s="635"/>
    </row>
    <row r="53" spans="1:37" ht="60" x14ac:dyDescent="0.25">
      <c r="A53" s="2206">
        <v>44618</v>
      </c>
      <c r="B53" s="574">
        <v>1</v>
      </c>
      <c r="C53" s="595"/>
      <c r="D53" s="596"/>
      <c r="E53" s="596"/>
      <c r="F53" s="597"/>
      <c r="G53" s="580"/>
      <c r="H53" s="581"/>
      <c r="I53" s="581"/>
      <c r="J53" s="582"/>
      <c r="L53" s="541"/>
      <c r="M53" s="535"/>
      <c r="N53" s="535"/>
      <c r="O53" s="613"/>
      <c r="P53" s="614"/>
      <c r="Q53" s="6"/>
      <c r="R53" s="6"/>
      <c r="S53" s="613"/>
      <c r="T53" s="622"/>
      <c r="U53" s="572">
        <v>23</v>
      </c>
      <c r="V53" s="6"/>
      <c r="W53" s="6"/>
      <c r="X53" s="613"/>
      <c r="Y53" s="571" t="s">
        <v>338</v>
      </c>
      <c r="Z53" s="6"/>
      <c r="AA53" s="6"/>
      <c r="AB53" s="613"/>
      <c r="AC53" s="622"/>
      <c r="AD53" s="572"/>
      <c r="AE53" s="6"/>
      <c r="AF53" s="6"/>
      <c r="AG53" s="613"/>
      <c r="AH53" s="614"/>
      <c r="AI53" s="6"/>
      <c r="AJ53" s="6"/>
      <c r="AK53" s="613"/>
    </row>
    <row r="54" spans="1:37" ht="60" customHeight="1" x14ac:dyDescent="0.25">
      <c r="A54" s="2205"/>
      <c r="B54" s="669">
        <v>2</v>
      </c>
      <c r="C54" s="595"/>
      <c r="D54" s="596"/>
      <c r="E54" s="596">
        <v>15</v>
      </c>
      <c r="F54" s="597"/>
      <c r="G54" s="580"/>
      <c r="H54" s="581"/>
      <c r="I54" s="585" t="s">
        <v>152</v>
      </c>
      <c r="J54" s="582"/>
      <c r="L54" s="541"/>
      <c r="M54" s="535"/>
      <c r="N54" s="535"/>
      <c r="O54" s="613"/>
      <c r="P54" s="614"/>
      <c r="Q54" s="6"/>
      <c r="R54" s="6"/>
      <c r="S54" s="613"/>
      <c r="T54" s="622"/>
      <c r="U54" s="572">
        <v>60</v>
      </c>
      <c r="V54" s="6">
        <v>60</v>
      </c>
      <c r="W54" s="6">
        <v>60</v>
      </c>
      <c r="X54" s="613"/>
      <c r="Y54" s="2232" t="s">
        <v>339</v>
      </c>
      <c r="Z54" s="2233"/>
      <c r="AA54" s="2234"/>
      <c r="AB54" s="613"/>
      <c r="AC54" s="622"/>
      <c r="AD54" s="572"/>
      <c r="AE54" s="6"/>
      <c r="AF54" s="6"/>
      <c r="AG54" s="613"/>
      <c r="AH54" s="614"/>
      <c r="AI54" s="6"/>
      <c r="AJ54" s="6"/>
      <c r="AK54" s="613"/>
    </row>
    <row r="55" spans="1:37" ht="45" x14ac:dyDescent="0.25">
      <c r="A55" s="2206">
        <v>44619</v>
      </c>
      <c r="B55" s="574">
        <v>1</v>
      </c>
      <c r="C55" s="595"/>
      <c r="D55" s="596"/>
      <c r="E55" s="596">
        <v>18</v>
      </c>
      <c r="F55" s="597"/>
      <c r="G55" s="580"/>
      <c r="H55" s="581"/>
      <c r="I55" s="585" t="s">
        <v>328</v>
      </c>
      <c r="J55" s="582"/>
      <c r="L55" s="541"/>
      <c r="M55" s="535"/>
      <c r="N55" s="535"/>
      <c r="O55" s="613"/>
      <c r="P55" s="614"/>
      <c r="Q55" s="6"/>
      <c r="R55" s="6"/>
      <c r="S55" s="613"/>
      <c r="T55" s="622"/>
      <c r="U55" s="572"/>
      <c r="V55" s="6"/>
      <c r="W55" s="6"/>
      <c r="X55" s="613"/>
      <c r="Y55" s="614"/>
      <c r="Z55" s="6"/>
      <c r="AA55" s="6"/>
      <c r="AB55" s="613"/>
      <c r="AC55" s="622"/>
      <c r="AD55" s="572"/>
      <c r="AE55" s="6"/>
      <c r="AF55" s="6"/>
      <c r="AG55" s="613"/>
      <c r="AH55" s="614"/>
      <c r="AI55" s="6"/>
      <c r="AJ55" s="6"/>
      <c r="AK55" s="613"/>
    </row>
    <row r="56" spans="1:37" x14ac:dyDescent="0.25">
      <c r="A56" s="2205"/>
      <c r="B56" s="669">
        <v>2</v>
      </c>
      <c r="C56" s="595"/>
      <c r="D56" s="596"/>
      <c r="E56" s="596">
        <v>28</v>
      </c>
      <c r="F56" s="597"/>
      <c r="G56" s="580"/>
      <c r="H56" s="581"/>
      <c r="I56" s="585" t="s">
        <v>152</v>
      </c>
      <c r="J56" s="582"/>
      <c r="L56" s="541"/>
      <c r="M56" s="535"/>
      <c r="N56" s="535"/>
      <c r="O56" s="613"/>
      <c r="P56" s="614"/>
      <c r="Q56" s="6"/>
      <c r="R56" s="6"/>
      <c r="S56" s="613"/>
      <c r="T56" s="622"/>
      <c r="U56" s="572"/>
      <c r="V56" s="6"/>
      <c r="W56" s="6">
        <v>5</v>
      </c>
      <c r="X56" s="613"/>
      <c r="Y56" s="571"/>
      <c r="Z56" s="605"/>
      <c r="AA56" s="581" t="s">
        <v>325</v>
      </c>
      <c r="AB56" s="613"/>
      <c r="AC56" s="622"/>
      <c r="AD56" s="572"/>
      <c r="AE56" s="6"/>
      <c r="AF56" s="6"/>
      <c r="AG56" s="613"/>
      <c r="AH56" s="614"/>
      <c r="AI56" s="605"/>
      <c r="AJ56" s="581"/>
      <c r="AK56" s="613"/>
    </row>
    <row r="57" spans="1:37" ht="62.25" customHeight="1" x14ac:dyDescent="0.25">
      <c r="A57" s="2206">
        <v>44620</v>
      </c>
      <c r="B57" s="574">
        <v>1</v>
      </c>
      <c r="C57" s="595"/>
      <c r="D57" s="596"/>
      <c r="E57" s="596">
        <v>8</v>
      </c>
      <c r="F57" s="597"/>
      <c r="G57" s="580"/>
      <c r="H57" s="581"/>
      <c r="I57" s="585" t="s">
        <v>152</v>
      </c>
      <c r="J57" s="582"/>
      <c r="L57" s="541"/>
      <c r="M57" s="535"/>
      <c r="N57" s="535"/>
      <c r="O57" s="613"/>
      <c r="P57" s="614"/>
      <c r="Q57" s="6"/>
      <c r="R57" s="605"/>
      <c r="S57" s="613"/>
      <c r="T57" s="622"/>
      <c r="U57" s="572"/>
      <c r="V57" s="6"/>
      <c r="W57" s="6"/>
      <c r="X57" s="613"/>
      <c r="Y57" s="571"/>
      <c r="Z57" s="605"/>
      <c r="AA57" s="605"/>
      <c r="AB57" s="613"/>
      <c r="AC57" s="622"/>
      <c r="AD57" s="572"/>
      <c r="AE57" s="6"/>
      <c r="AF57" s="6"/>
      <c r="AG57" s="613"/>
      <c r="AH57" s="614"/>
      <c r="AI57" s="6"/>
      <c r="AJ57" s="585"/>
      <c r="AK57" s="613"/>
    </row>
    <row r="58" spans="1:37" ht="45" x14ac:dyDescent="0.25">
      <c r="A58" s="2205"/>
      <c r="B58" s="669">
        <v>2</v>
      </c>
      <c r="C58" s="595">
        <v>120</v>
      </c>
      <c r="D58" s="596"/>
      <c r="E58" s="596">
        <v>56</v>
      </c>
      <c r="F58" s="597"/>
      <c r="G58" s="583" t="s">
        <v>315</v>
      </c>
      <c r="H58" s="581"/>
      <c r="I58" s="585" t="s">
        <v>340</v>
      </c>
      <c r="J58" s="582"/>
      <c r="L58" s="541"/>
      <c r="M58" s="535"/>
      <c r="N58" s="535"/>
      <c r="O58" s="613"/>
      <c r="P58" s="614"/>
      <c r="Q58" s="6"/>
      <c r="R58" s="6"/>
      <c r="S58" s="613"/>
      <c r="T58" s="622"/>
      <c r="U58" s="572"/>
      <c r="V58" s="6"/>
      <c r="W58" s="6"/>
      <c r="X58" s="613"/>
      <c r="Y58" s="614"/>
      <c r="Z58" s="605"/>
      <c r="AA58" s="6"/>
      <c r="AB58" s="613"/>
      <c r="AC58" s="622"/>
      <c r="AD58" s="572"/>
      <c r="AE58" s="6"/>
      <c r="AF58" s="6"/>
      <c r="AG58" s="613"/>
      <c r="AH58" s="614"/>
      <c r="AI58" s="6"/>
      <c r="AJ58" s="6"/>
      <c r="AK58" s="613"/>
    </row>
    <row r="59" spans="1:37" x14ac:dyDescent="0.25">
      <c r="A59" s="2206"/>
      <c r="B59" s="574">
        <v>1</v>
      </c>
      <c r="C59" s="595"/>
      <c r="D59" s="596"/>
      <c r="E59" s="596"/>
      <c r="F59" s="597"/>
      <c r="G59" s="580"/>
      <c r="H59" s="581"/>
      <c r="I59" s="6"/>
      <c r="J59" s="582"/>
      <c r="L59" s="541"/>
      <c r="M59" s="535"/>
      <c r="N59" s="535"/>
      <c r="O59" s="613"/>
      <c r="P59" s="614"/>
      <c r="Q59" s="605"/>
      <c r="R59" s="6"/>
      <c r="S59" s="613"/>
      <c r="T59" s="622"/>
      <c r="U59" s="572"/>
      <c r="V59" s="6"/>
      <c r="W59" s="6"/>
      <c r="X59" s="613"/>
      <c r="Y59" s="614"/>
      <c r="Z59" s="6"/>
      <c r="AA59" s="6"/>
      <c r="AB59" s="613"/>
      <c r="AC59" s="622"/>
      <c r="AD59" s="572"/>
      <c r="AE59" s="6"/>
      <c r="AF59" s="6"/>
      <c r="AG59" s="613"/>
      <c r="AH59" s="571"/>
      <c r="AI59" s="6"/>
      <c r="AJ59" s="6"/>
      <c r="AK59" s="613"/>
    </row>
    <row r="60" spans="1:37" x14ac:dyDescent="0.25">
      <c r="A60" s="2205"/>
      <c r="B60" s="669">
        <v>2</v>
      </c>
      <c r="C60" s="595"/>
      <c r="D60" s="596"/>
      <c r="E60" s="596"/>
      <c r="F60" s="597"/>
      <c r="G60" s="583"/>
      <c r="H60" s="585"/>
      <c r="I60" s="581"/>
      <c r="J60" s="582"/>
      <c r="L60" s="541"/>
      <c r="M60" s="535"/>
      <c r="N60" s="535"/>
      <c r="O60" s="613"/>
      <c r="P60" s="614"/>
      <c r="Q60" s="6"/>
      <c r="R60" s="6"/>
      <c r="S60" s="613"/>
      <c r="T60" s="622"/>
      <c r="U60" s="572"/>
      <c r="V60" s="6"/>
      <c r="W60" s="6"/>
      <c r="X60" s="613"/>
      <c r="Y60" s="614"/>
      <c r="Z60" s="605"/>
      <c r="AA60" s="6"/>
      <c r="AB60" s="613"/>
      <c r="AC60" s="622"/>
      <c r="AD60" s="572"/>
      <c r="AE60" s="6"/>
      <c r="AF60" s="6"/>
      <c r="AG60" s="613"/>
      <c r="AH60" s="614"/>
      <c r="AI60" s="6"/>
      <c r="AJ60" s="6"/>
      <c r="AK60" s="613"/>
    </row>
    <row r="61" spans="1:37" x14ac:dyDescent="0.25">
      <c r="A61" s="2206"/>
      <c r="B61" s="574">
        <v>1</v>
      </c>
      <c r="C61" s="595"/>
      <c r="D61" s="596"/>
      <c r="E61" s="596"/>
      <c r="F61" s="597"/>
      <c r="G61" s="580"/>
      <c r="H61" s="581"/>
      <c r="I61" s="581"/>
      <c r="J61" s="582"/>
      <c r="L61" s="541"/>
      <c r="M61" s="535"/>
      <c r="N61" s="535"/>
      <c r="O61" s="613"/>
      <c r="P61" s="614"/>
      <c r="Q61" s="6"/>
      <c r="R61" s="6"/>
      <c r="S61" s="613"/>
      <c r="T61" s="622"/>
      <c r="U61" s="572"/>
      <c r="V61" s="6"/>
      <c r="W61" s="6"/>
      <c r="X61" s="613"/>
      <c r="Y61" s="614"/>
      <c r="Z61" s="6"/>
      <c r="AA61" s="6"/>
      <c r="AB61" s="613"/>
      <c r="AC61" s="622"/>
      <c r="AD61" s="572"/>
      <c r="AE61" s="6"/>
      <c r="AF61" s="6"/>
      <c r="AG61" s="613"/>
      <c r="AH61" s="614"/>
      <c r="AI61" s="6"/>
      <c r="AJ61" s="6"/>
      <c r="AK61" s="613"/>
    </row>
    <row r="62" spans="1:37" x14ac:dyDescent="0.25">
      <c r="A62" s="2205"/>
      <c r="B62" s="669">
        <v>2</v>
      </c>
      <c r="C62" s="595"/>
      <c r="D62" s="596"/>
      <c r="E62" s="596"/>
      <c r="F62" s="597"/>
      <c r="G62" s="583"/>
      <c r="H62" s="581"/>
      <c r="I62" s="581"/>
      <c r="J62" s="582"/>
      <c r="L62" s="541"/>
      <c r="M62" s="535"/>
      <c r="N62" s="535"/>
      <c r="O62" s="613"/>
      <c r="P62" s="614"/>
      <c r="Q62" s="6"/>
      <c r="R62" s="6"/>
      <c r="S62" s="613"/>
      <c r="T62" s="622"/>
      <c r="U62" s="572"/>
      <c r="V62" s="6"/>
      <c r="W62" s="6"/>
      <c r="X62" s="613"/>
      <c r="Y62" s="614"/>
      <c r="Z62" s="6"/>
      <c r="AA62" s="605"/>
      <c r="AB62" s="613"/>
      <c r="AC62" s="622"/>
      <c r="AD62" s="572"/>
      <c r="AE62" s="6"/>
      <c r="AF62" s="6"/>
      <c r="AG62" s="613"/>
      <c r="AH62" s="614"/>
      <c r="AI62" s="6"/>
      <c r="AJ62" s="6"/>
      <c r="AK62" s="613"/>
    </row>
    <row r="63" spans="1:37" x14ac:dyDescent="0.25">
      <c r="A63" s="2206"/>
      <c r="B63" s="574">
        <v>1</v>
      </c>
      <c r="C63" s="595"/>
      <c r="D63" s="596"/>
      <c r="E63" s="596"/>
      <c r="F63" s="597"/>
      <c r="G63" s="580"/>
      <c r="H63" s="581"/>
      <c r="I63" s="581"/>
      <c r="J63" s="582"/>
      <c r="L63" s="541"/>
      <c r="M63" s="535"/>
      <c r="N63" s="535"/>
      <c r="O63" s="613"/>
      <c r="P63" s="614"/>
      <c r="Q63" s="6"/>
      <c r="R63" s="6"/>
      <c r="S63" s="613"/>
      <c r="T63" s="622"/>
      <c r="U63" s="572"/>
      <c r="V63" s="6"/>
      <c r="W63" s="6"/>
      <c r="X63" s="613"/>
      <c r="Y63" s="614"/>
      <c r="Z63" s="6"/>
      <c r="AA63" s="6"/>
      <c r="AB63" s="613"/>
      <c r="AC63" s="622"/>
      <c r="AD63" s="572"/>
      <c r="AE63" s="6"/>
      <c r="AF63" s="6"/>
      <c r="AG63" s="613"/>
      <c r="AH63" s="614"/>
      <c r="AI63" s="6"/>
      <c r="AJ63" s="6"/>
      <c r="AK63" s="613"/>
    </row>
    <row r="64" spans="1:37" x14ac:dyDescent="0.25">
      <c r="A64" s="2205"/>
      <c r="B64" s="574">
        <v>2</v>
      </c>
      <c r="C64" s="598"/>
      <c r="D64" s="599"/>
      <c r="E64" s="599"/>
      <c r="F64" s="600"/>
      <c r="G64" s="647"/>
      <c r="H64" s="587"/>
      <c r="I64" s="587"/>
      <c r="J64" s="645"/>
      <c r="L64" s="542"/>
      <c r="M64" s="538"/>
      <c r="N64" s="538"/>
      <c r="O64" s="636"/>
      <c r="P64" s="637"/>
      <c r="Q64" s="638"/>
      <c r="R64" s="638"/>
      <c r="S64" s="646"/>
      <c r="T64" s="622"/>
      <c r="U64" s="639"/>
      <c r="V64" s="638"/>
      <c r="W64" s="638"/>
      <c r="X64" s="636"/>
      <c r="Y64" s="640"/>
      <c r="Z64" s="638"/>
      <c r="AA64" s="638"/>
      <c r="AB64" s="646"/>
      <c r="AC64" s="622"/>
      <c r="AD64" s="639"/>
      <c r="AE64" s="638"/>
      <c r="AF64" s="638"/>
      <c r="AG64" s="636"/>
      <c r="AH64" s="637"/>
      <c r="AI64" s="638"/>
      <c r="AJ64" s="671"/>
      <c r="AK64" s="646"/>
    </row>
    <row r="65" spans="1:33" x14ac:dyDescent="0.25">
      <c r="A65" s="524" t="s">
        <v>225</v>
      </c>
      <c r="C65" s="525">
        <f>SUM(C3:C64)</f>
        <v>4659</v>
      </c>
      <c r="D65" s="525">
        <f>SUM(D3:D64)</f>
        <v>24</v>
      </c>
      <c r="E65" s="525">
        <f>SUM(E3:E64)</f>
        <v>1051</v>
      </c>
      <c r="F65" s="525">
        <f>SUM(F3:F64)</f>
        <v>0</v>
      </c>
      <c r="L65" s="525">
        <f>SUM(L3:L64)</f>
        <v>0</v>
      </c>
      <c r="M65" s="525">
        <f>SUM(M3:M64)</f>
        <v>249</v>
      </c>
      <c r="N65" s="525">
        <f>SUM(N3:N64)</f>
        <v>0</v>
      </c>
      <c r="O65" s="525">
        <f>SUM(O3:O64)</f>
        <v>0</v>
      </c>
      <c r="U65" s="525">
        <f>SUM(U3:U64)</f>
        <v>168</v>
      </c>
      <c r="V65" s="525">
        <f>SUM(V3:V64)</f>
        <v>248</v>
      </c>
      <c r="W65" s="525">
        <f>SUM(W3:W64)</f>
        <v>578</v>
      </c>
      <c r="X65" s="525">
        <f>SUM(X3:X64)</f>
        <v>0</v>
      </c>
      <c r="AD65" s="525">
        <f>SUM(AD3:AD64)</f>
        <v>1887</v>
      </c>
      <c r="AE65" s="525">
        <f>SUM(AE3:AE64)</f>
        <v>0</v>
      </c>
      <c r="AF65" s="525">
        <f>SUM(AF3:AF64)</f>
        <v>137</v>
      </c>
      <c r="AG65" s="525">
        <f>SUM(AG3:AG64)</f>
        <v>0</v>
      </c>
    </row>
    <row r="73" spans="1:33" ht="15.75" thickBot="1" x14ac:dyDescent="0.3"/>
    <row r="74" spans="1:33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33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33" ht="21.75" customHeight="1" x14ac:dyDescent="0.3">
      <c r="B76" s="651" t="s">
        <v>218</v>
      </c>
      <c r="C76" s="652">
        <f>C65</f>
        <v>4659</v>
      </c>
      <c r="D76" s="653">
        <f>C76/60</f>
        <v>77.650000000000006</v>
      </c>
      <c r="E76" s="652">
        <f>D65</f>
        <v>24</v>
      </c>
      <c r="F76" s="654">
        <f>E76/60</f>
        <v>0.4</v>
      </c>
      <c r="G76" s="652">
        <f>E65</f>
        <v>1051</v>
      </c>
      <c r="H76" s="653">
        <f>G76/60</f>
        <v>17.516666666666666</v>
      </c>
      <c r="I76" s="652">
        <f>F65</f>
        <v>0</v>
      </c>
      <c r="J76" s="653">
        <f>I76/60</f>
        <v>0</v>
      </c>
    </row>
    <row r="77" spans="1:33" ht="19.5" customHeight="1" x14ac:dyDescent="0.3">
      <c r="B77" s="651" t="s">
        <v>219</v>
      </c>
      <c r="C77" s="655">
        <f>L65</f>
        <v>0</v>
      </c>
      <c r="D77" s="656">
        <f t="shared" ref="D77:F79" si="0">C77/60</f>
        <v>0</v>
      </c>
      <c r="E77" s="655">
        <f>M65</f>
        <v>249</v>
      </c>
      <c r="F77" s="657">
        <f t="shared" si="0"/>
        <v>4.1500000000000004</v>
      </c>
      <c r="G77" s="655">
        <f>N65</f>
        <v>0</v>
      </c>
      <c r="H77" s="656">
        <f t="shared" ref="H77:J79" si="1">G77/60</f>
        <v>0</v>
      </c>
      <c r="I77" s="655">
        <f>O65</f>
        <v>0</v>
      </c>
      <c r="J77" s="656">
        <f t="shared" si="1"/>
        <v>0</v>
      </c>
    </row>
    <row r="78" spans="1:33" ht="20.25" customHeight="1" x14ac:dyDescent="0.3">
      <c r="B78" s="651" t="s">
        <v>220</v>
      </c>
      <c r="C78" s="655">
        <f>U65</f>
        <v>168</v>
      </c>
      <c r="D78" s="656">
        <f t="shared" si="0"/>
        <v>2.8</v>
      </c>
      <c r="E78" s="655">
        <f>V65</f>
        <v>248</v>
      </c>
      <c r="F78" s="657">
        <f t="shared" si="0"/>
        <v>4.1333333333333337</v>
      </c>
      <c r="G78" s="655">
        <f>W65</f>
        <v>578</v>
      </c>
      <c r="H78" s="656">
        <f t="shared" si="1"/>
        <v>9.6333333333333329</v>
      </c>
      <c r="I78" s="655">
        <f>X65</f>
        <v>0</v>
      </c>
      <c r="J78" s="656">
        <f t="shared" si="1"/>
        <v>0</v>
      </c>
    </row>
    <row r="79" spans="1:33" ht="22.5" customHeight="1" thickBot="1" x14ac:dyDescent="0.35">
      <c r="B79" s="651" t="s">
        <v>221</v>
      </c>
      <c r="C79" s="658">
        <f>AD65</f>
        <v>1887</v>
      </c>
      <c r="D79" s="659">
        <f t="shared" si="0"/>
        <v>31.45</v>
      </c>
      <c r="E79" s="658">
        <f>AE65</f>
        <v>0</v>
      </c>
      <c r="F79" s="660">
        <f t="shared" si="0"/>
        <v>0</v>
      </c>
      <c r="G79" s="658">
        <f>AF65</f>
        <v>137</v>
      </c>
      <c r="H79" s="659">
        <f t="shared" si="1"/>
        <v>2.2833333333333332</v>
      </c>
      <c r="I79" s="658">
        <f>AG65</f>
        <v>0</v>
      </c>
      <c r="J79" s="659">
        <f t="shared" si="1"/>
        <v>0</v>
      </c>
    </row>
    <row r="80" spans="1:33" ht="19.5" thickBot="1" x14ac:dyDescent="0.35">
      <c r="B80" s="419"/>
      <c r="C80" s="301"/>
      <c r="D80" s="301"/>
      <c r="E80" s="301"/>
      <c r="F80" s="301"/>
      <c r="G80" s="301"/>
      <c r="H80" s="301"/>
      <c r="I80" s="301"/>
      <c r="J80" s="301"/>
    </row>
    <row r="81" spans="2:10" ht="19.5" thickBot="1" x14ac:dyDescent="0.35">
      <c r="B81" s="661" t="s">
        <v>217</v>
      </c>
      <c r="C81" s="666"/>
      <c r="D81" s="667">
        <f>SUM(D76:D80)</f>
        <v>111.9</v>
      </c>
      <c r="E81" s="666"/>
      <c r="F81" s="667">
        <f>SUM(F76:F80)</f>
        <v>8.6833333333333336</v>
      </c>
      <c r="G81" s="666"/>
      <c r="H81" s="667">
        <f>SUM(H76:H80)</f>
        <v>29.43333333333333</v>
      </c>
      <c r="I81" s="666"/>
      <c r="J81" s="668">
        <f>SUM(J76:J80)</f>
        <v>0</v>
      </c>
    </row>
  </sheetData>
  <mergeCells count="47">
    <mergeCell ref="A59:A60"/>
    <mergeCell ref="A61:A62"/>
    <mergeCell ref="Y54:AA54"/>
    <mergeCell ref="C74:D74"/>
    <mergeCell ref="E74:F74"/>
    <mergeCell ref="G74:H74"/>
    <mergeCell ref="I74:J74"/>
    <mergeCell ref="A63:A64"/>
    <mergeCell ref="A53:A54"/>
    <mergeCell ref="A55:A56"/>
    <mergeCell ref="A57:A58"/>
    <mergeCell ref="A51:A52"/>
    <mergeCell ref="A31:A32"/>
    <mergeCell ref="J32:J33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G21:G22"/>
    <mergeCell ref="A23:A24"/>
    <mergeCell ref="A25:A26"/>
    <mergeCell ref="AH25:AH26"/>
    <mergeCell ref="A27:A28"/>
    <mergeCell ref="A29:A30"/>
    <mergeCell ref="A11:A12"/>
    <mergeCell ref="A13:A14"/>
    <mergeCell ref="A15:A16"/>
    <mergeCell ref="A17:A18"/>
    <mergeCell ref="A19:A20"/>
    <mergeCell ref="A21:A22"/>
    <mergeCell ref="AD1:AG1"/>
    <mergeCell ref="AH1:AK1"/>
    <mergeCell ref="A3:A4"/>
    <mergeCell ref="A5:A6"/>
    <mergeCell ref="A7:A8"/>
    <mergeCell ref="U1:X1"/>
    <mergeCell ref="Y1:AB1"/>
    <mergeCell ref="A9:A10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"/>
  <sheetViews>
    <sheetView zoomScale="70" zoomScaleNormal="70" workbookViewId="0">
      <pane xSplit="2" ySplit="2" topLeftCell="W3" activePane="bottomRight" state="frozen"/>
      <selection pane="topRight" activeCell="C1" sqref="C1"/>
      <selection pane="bottomLeft" activeCell="A3" sqref="A3"/>
      <selection pane="bottomRight" activeCell="D81" sqref="D81"/>
    </sheetView>
  </sheetViews>
  <sheetFormatPr defaultColWidth="8.85546875" defaultRowHeight="15" x14ac:dyDescent="0.25"/>
  <cols>
    <col min="1" max="1" width="14.5703125" style="524" customWidth="1"/>
    <col min="2" max="2" width="15.7109375" style="525" customWidth="1"/>
    <col min="3" max="3" width="10.7109375" style="524" customWidth="1"/>
    <col min="4" max="5" width="10.28515625" style="524" customWidth="1"/>
    <col min="6" max="6" width="10.85546875" style="524" customWidth="1"/>
    <col min="7" max="7" width="17.7109375" style="524" bestFit="1" customWidth="1"/>
    <col min="8" max="8" width="19.28515625" style="524" customWidth="1"/>
    <col min="9" max="9" width="16.140625" style="524" customWidth="1"/>
    <col min="10" max="10" width="24.28515625" style="524" customWidth="1"/>
    <col min="11" max="11" width="8.85546875" style="524"/>
    <col min="12" max="13" width="9.7109375" style="524" customWidth="1"/>
    <col min="14" max="14" width="4.5703125" style="524" bestFit="1" customWidth="1"/>
    <col min="15" max="15" width="9.85546875" style="524" customWidth="1"/>
    <col min="16" max="16" width="16.85546875" style="524" customWidth="1"/>
    <col min="17" max="17" width="17.28515625" style="524" customWidth="1"/>
    <col min="18" max="18" width="21.7109375" style="524" customWidth="1"/>
    <col min="19" max="19" width="15.28515625" style="524" bestFit="1" customWidth="1"/>
    <col min="20" max="21" width="8.85546875" style="524"/>
    <col min="22" max="22" width="15.42578125" style="524" customWidth="1"/>
    <col min="23" max="23" width="8.85546875" style="524"/>
    <col min="24" max="24" width="9.42578125" style="524" bestFit="1" customWidth="1"/>
    <col min="25" max="26" width="17.140625" style="524" customWidth="1"/>
    <col min="27" max="27" width="18.42578125" style="524" customWidth="1"/>
    <col min="28" max="28" width="15.28515625" style="524" customWidth="1"/>
    <col min="29" max="33" width="8.85546875" style="524"/>
    <col min="34" max="34" width="17.7109375" style="524" bestFit="1" customWidth="1"/>
    <col min="35" max="35" width="15" style="524" bestFit="1" customWidth="1"/>
    <col min="36" max="36" width="15.85546875" style="524" customWidth="1"/>
    <col min="37" max="37" width="15.28515625" style="524" customWidth="1"/>
    <col min="38" max="16384" width="8.85546875" style="524"/>
  </cols>
  <sheetData>
    <row r="1" spans="1:37" x14ac:dyDescent="0.25">
      <c r="C1" s="2217" t="s">
        <v>1</v>
      </c>
      <c r="D1" s="2212"/>
      <c r="E1" s="2212"/>
      <c r="F1" s="2212"/>
      <c r="G1" s="2211" t="s">
        <v>206</v>
      </c>
      <c r="H1" s="2209"/>
      <c r="I1" s="2209"/>
      <c r="J1" s="2210"/>
      <c r="L1" s="2212" t="s">
        <v>202</v>
      </c>
      <c r="M1" s="2212"/>
      <c r="N1" s="2212"/>
      <c r="O1" s="2212"/>
      <c r="P1" s="2209" t="s">
        <v>206</v>
      </c>
      <c r="Q1" s="2209"/>
      <c r="R1" s="2209"/>
      <c r="S1" s="2210"/>
      <c r="U1" s="2212" t="s">
        <v>2</v>
      </c>
      <c r="V1" s="2212"/>
      <c r="W1" s="2212"/>
      <c r="X1" s="2212"/>
      <c r="Y1" s="2209" t="s">
        <v>206</v>
      </c>
      <c r="Z1" s="2209"/>
      <c r="AA1" s="2209"/>
      <c r="AB1" s="2210"/>
      <c r="AD1" s="2212" t="s">
        <v>203</v>
      </c>
      <c r="AE1" s="2212"/>
      <c r="AF1" s="2212"/>
      <c r="AG1" s="2212"/>
      <c r="AH1" s="2209" t="s">
        <v>206</v>
      </c>
      <c r="AI1" s="2209"/>
      <c r="AJ1" s="2209"/>
      <c r="AK1" s="2210"/>
    </row>
    <row r="2" spans="1:37" ht="15.75" thickBot="1" x14ac:dyDescent="0.3">
      <c r="A2" s="531" t="s">
        <v>0</v>
      </c>
      <c r="B2" s="532" t="s">
        <v>198</v>
      </c>
      <c r="C2" s="529" t="s">
        <v>199</v>
      </c>
      <c r="D2" s="526" t="s">
        <v>200</v>
      </c>
      <c r="E2" s="526" t="s">
        <v>201</v>
      </c>
      <c r="F2" s="526" t="s">
        <v>204</v>
      </c>
      <c r="G2" s="575" t="s">
        <v>199</v>
      </c>
      <c r="H2" s="575" t="s">
        <v>200</v>
      </c>
      <c r="I2" s="575" t="s">
        <v>201</v>
      </c>
      <c r="J2" s="575" t="s">
        <v>204</v>
      </c>
      <c r="K2" s="524" t="s">
        <v>269</v>
      </c>
      <c r="L2" s="526" t="s">
        <v>199</v>
      </c>
      <c r="M2" s="526" t="s">
        <v>200</v>
      </c>
      <c r="N2" s="526" t="s">
        <v>201</v>
      </c>
      <c r="O2" s="526" t="s">
        <v>204</v>
      </c>
      <c r="P2" s="527" t="s">
        <v>199</v>
      </c>
      <c r="Q2" s="526" t="s">
        <v>200</v>
      </c>
      <c r="R2" s="526" t="s">
        <v>201</v>
      </c>
      <c r="S2" s="526" t="s">
        <v>204</v>
      </c>
      <c r="U2" s="526" t="s">
        <v>199</v>
      </c>
      <c r="V2" s="526" t="s">
        <v>200</v>
      </c>
      <c r="W2" s="526" t="s">
        <v>201</v>
      </c>
      <c r="X2" s="526" t="s">
        <v>204</v>
      </c>
      <c r="Y2" s="650" t="s">
        <v>199</v>
      </c>
      <c r="Z2" s="526" t="s">
        <v>200</v>
      </c>
      <c r="AA2" s="526" t="s">
        <v>201</v>
      </c>
      <c r="AB2" s="526" t="s">
        <v>204</v>
      </c>
      <c r="AD2" s="526" t="s">
        <v>199</v>
      </c>
      <c r="AE2" s="526" t="s">
        <v>200</v>
      </c>
      <c r="AF2" s="526" t="s">
        <v>201</v>
      </c>
      <c r="AG2" s="526" t="s">
        <v>204</v>
      </c>
      <c r="AH2" s="527" t="s">
        <v>199</v>
      </c>
      <c r="AI2" s="526" t="s">
        <v>200</v>
      </c>
      <c r="AJ2" s="526" t="s">
        <v>201</v>
      </c>
      <c r="AK2" s="526" t="s">
        <v>204</v>
      </c>
    </row>
    <row r="3" spans="1:37" ht="30.75" thickTop="1" x14ac:dyDescent="0.25">
      <c r="A3" s="2206">
        <v>44621</v>
      </c>
      <c r="B3" s="673">
        <v>1</v>
      </c>
      <c r="C3" s="592"/>
      <c r="D3" s="593"/>
      <c r="E3" s="593">
        <v>7</v>
      </c>
      <c r="F3" s="594"/>
      <c r="G3" s="580"/>
      <c r="H3" s="581"/>
      <c r="I3" s="620" t="s">
        <v>325</v>
      </c>
      <c r="J3" s="579"/>
      <c r="L3" s="543"/>
      <c r="M3" s="630"/>
      <c r="N3" s="544"/>
      <c r="O3" s="628"/>
      <c r="P3" s="629"/>
      <c r="Q3" s="648"/>
      <c r="R3" s="630"/>
      <c r="S3" s="628"/>
      <c r="T3" s="622"/>
      <c r="U3" s="612"/>
      <c r="V3" s="630"/>
      <c r="W3" s="630"/>
      <c r="X3" s="613"/>
      <c r="Y3" s="674"/>
      <c r="Z3" s="629"/>
      <c r="AA3" s="630"/>
      <c r="AB3" s="628"/>
      <c r="AC3" s="622"/>
      <c r="AD3" s="612"/>
      <c r="AE3" s="630"/>
      <c r="AF3" s="6"/>
      <c r="AG3" s="628"/>
      <c r="AH3" s="629"/>
      <c r="AI3" s="630"/>
      <c r="AJ3" s="6"/>
      <c r="AK3" s="628"/>
    </row>
    <row r="4" spans="1:37" ht="45" x14ac:dyDescent="0.25">
      <c r="A4" s="2205"/>
      <c r="B4" s="574">
        <v>2</v>
      </c>
      <c r="C4" s="595"/>
      <c r="D4" s="596"/>
      <c r="E4" s="596"/>
      <c r="F4" s="597"/>
      <c r="G4" s="583"/>
      <c r="H4" s="605"/>
      <c r="I4" s="581"/>
      <c r="J4" s="582"/>
      <c r="L4" s="541"/>
      <c r="M4" s="535"/>
      <c r="N4" s="535"/>
      <c r="O4" s="613"/>
      <c r="P4" s="614"/>
      <c r="Q4" s="6"/>
      <c r="R4" s="6"/>
      <c r="S4" s="613"/>
      <c r="T4" s="622"/>
      <c r="U4" s="572">
        <v>90</v>
      </c>
      <c r="V4" s="605"/>
      <c r="W4" s="6"/>
      <c r="X4" s="613"/>
      <c r="Y4" s="675" t="s">
        <v>341</v>
      </c>
      <c r="Z4" s="6"/>
      <c r="AA4" s="674"/>
      <c r="AB4" s="613"/>
      <c r="AC4" s="622"/>
      <c r="AD4" s="572"/>
      <c r="AE4" s="6"/>
      <c r="AF4" s="6"/>
      <c r="AG4" s="613"/>
      <c r="AH4" s="614"/>
      <c r="AI4" s="6"/>
      <c r="AJ4" s="6"/>
      <c r="AK4" s="613"/>
    </row>
    <row r="5" spans="1:37" ht="30" x14ac:dyDescent="0.25">
      <c r="A5" s="2206">
        <v>44622</v>
      </c>
      <c r="B5" s="574">
        <v>1</v>
      </c>
      <c r="C5" s="595"/>
      <c r="D5" s="596">
        <v>80</v>
      </c>
      <c r="E5" s="596">
        <v>18</v>
      </c>
      <c r="F5" s="597"/>
      <c r="G5" s="580"/>
      <c r="H5" s="581" t="s">
        <v>342</v>
      </c>
      <c r="I5" s="620" t="s">
        <v>325</v>
      </c>
      <c r="J5" s="582"/>
      <c r="L5" s="541"/>
      <c r="M5" s="535"/>
      <c r="N5" s="535"/>
      <c r="O5" s="613"/>
      <c r="P5" s="614"/>
      <c r="Q5" s="6"/>
      <c r="R5" s="6"/>
      <c r="S5" s="613"/>
      <c r="T5" s="622"/>
      <c r="U5" s="572"/>
      <c r="V5" s="6"/>
      <c r="W5" s="6"/>
      <c r="X5" s="613"/>
      <c r="Y5" s="674"/>
      <c r="Z5" s="6"/>
      <c r="AA5" s="674"/>
      <c r="AB5" s="613"/>
      <c r="AC5" s="622"/>
      <c r="AD5" s="572"/>
      <c r="AE5" s="6"/>
      <c r="AF5" s="6"/>
      <c r="AG5" s="613"/>
      <c r="AH5" s="614"/>
      <c r="AI5" s="6"/>
      <c r="AJ5" s="6"/>
      <c r="AK5" s="613"/>
    </row>
    <row r="6" spans="1:37" x14ac:dyDescent="0.25">
      <c r="A6" s="2205"/>
      <c r="B6" s="574">
        <v>2</v>
      </c>
      <c r="C6" s="595"/>
      <c r="D6" s="596">
        <v>110</v>
      </c>
      <c r="E6" s="596">
        <v>10</v>
      </c>
      <c r="F6" s="597"/>
      <c r="G6" s="580"/>
      <c r="H6" s="581" t="s">
        <v>343</v>
      </c>
      <c r="I6" s="581" t="s">
        <v>152</v>
      </c>
      <c r="J6" s="582"/>
      <c r="L6" s="541"/>
      <c r="M6" s="15">
        <v>52</v>
      </c>
      <c r="N6" s="535"/>
      <c r="O6" s="613"/>
      <c r="P6" s="614"/>
      <c r="Q6" s="581" t="s">
        <v>343</v>
      </c>
      <c r="R6" s="6"/>
      <c r="S6" s="613"/>
      <c r="T6" s="622"/>
      <c r="U6" s="572"/>
      <c r="V6" s="6"/>
      <c r="W6" s="6"/>
      <c r="X6" s="613"/>
      <c r="Y6" s="674"/>
      <c r="Z6" s="605"/>
      <c r="AA6" s="605"/>
      <c r="AB6" s="613"/>
      <c r="AC6" s="622"/>
      <c r="AD6" s="572"/>
      <c r="AE6" s="6"/>
      <c r="AF6" s="6"/>
      <c r="AG6" s="613"/>
      <c r="AH6" s="614"/>
      <c r="AI6" s="6"/>
      <c r="AJ6" s="605"/>
      <c r="AK6" s="613"/>
    </row>
    <row r="7" spans="1:37" ht="89.25" customHeight="1" x14ac:dyDescent="0.25">
      <c r="A7" s="2206">
        <v>44623</v>
      </c>
      <c r="B7" s="574">
        <v>1</v>
      </c>
      <c r="C7" s="595"/>
      <c r="D7" s="596"/>
      <c r="E7" s="596"/>
      <c r="F7" s="597"/>
      <c r="G7" s="580"/>
      <c r="H7" s="585"/>
      <c r="I7" s="581"/>
      <c r="J7" s="582"/>
      <c r="L7" s="572"/>
      <c r="M7" s="614"/>
      <c r="N7" s="535"/>
      <c r="O7" s="613"/>
      <c r="P7" s="614"/>
      <c r="Q7" s="614"/>
      <c r="R7" s="6"/>
      <c r="S7" s="613"/>
      <c r="T7" s="622"/>
      <c r="U7" s="572"/>
      <c r="V7" s="632"/>
      <c r="W7" s="6">
        <v>335</v>
      </c>
      <c r="X7" s="613"/>
      <c r="Y7" s="614"/>
      <c r="Z7" s="6"/>
      <c r="AA7" s="605" t="s">
        <v>344</v>
      </c>
      <c r="AB7" s="613"/>
      <c r="AC7" s="622"/>
      <c r="AD7" s="572"/>
      <c r="AE7" s="6"/>
      <c r="AF7" s="6"/>
      <c r="AG7" s="613"/>
      <c r="AH7" s="614"/>
      <c r="AI7" s="6"/>
      <c r="AJ7" s="6"/>
      <c r="AK7" s="613"/>
    </row>
    <row r="8" spans="1:37" ht="60" x14ac:dyDescent="0.25">
      <c r="A8" s="2205"/>
      <c r="B8" s="574">
        <v>2</v>
      </c>
      <c r="C8" s="595"/>
      <c r="D8" s="596"/>
      <c r="E8" s="596"/>
      <c r="F8" s="597"/>
      <c r="G8" s="583"/>
      <c r="H8" s="585"/>
      <c r="I8" s="618"/>
      <c r="J8" s="582"/>
      <c r="L8" s="572"/>
      <c r="M8" s="6"/>
      <c r="N8" s="6"/>
      <c r="O8" s="613"/>
      <c r="P8" s="674"/>
      <c r="Q8" s="6"/>
      <c r="R8" s="605"/>
      <c r="S8" s="613"/>
      <c r="T8" s="622"/>
      <c r="U8" s="572">
        <v>720</v>
      </c>
      <c r="V8" s="633"/>
      <c r="W8" s="614"/>
      <c r="X8" s="613"/>
      <c r="Y8" s="674"/>
      <c r="Z8" s="6"/>
      <c r="AA8" s="675" t="s">
        <v>345</v>
      </c>
      <c r="AB8" s="613"/>
      <c r="AC8" s="622"/>
      <c r="AD8" s="572"/>
      <c r="AE8" s="6"/>
      <c r="AF8" s="6"/>
      <c r="AG8" s="613"/>
      <c r="AH8" s="614"/>
      <c r="AI8" s="6"/>
      <c r="AJ8" s="6"/>
      <c r="AK8" s="613"/>
    </row>
    <row r="9" spans="1:37" x14ac:dyDescent="0.25">
      <c r="A9" s="2206">
        <v>44624</v>
      </c>
      <c r="B9" s="574">
        <v>1</v>
      </c>
      <c r="C9" s="595"/>
      <c r="D9" s="596"/>
      <c r="E9" s="596"/>
      <c r="F9" s="597"/>
      <c r="G9" s="580"/>
      <c r="H9" s="581"/>
      <c r="I9" s="619"/>
      <c r="J9" s="582"/>
      <c r="L9" s="572"/>
      <c r="M9" s="6"/>
      <c r="N9" s="6"/>
      <c r="O9" s="613"/>
      <c r="P9" s="674"/>
      <c r="Q9" s="6"/>
      <c r="R9" s="605"/>
      <c r="S9" s="613"/>
      <c r="T9" s="622"/>
      <c r="U9" s="572"/>
      <c r="V9" s="6"/>
      <c r="W9" s="6"/>
      <c r="X9" s="613"/>
      <c r="Y9" s="614"/>
      <c r="Z9" s="6"/>
      <c r="AA9" s="6"/>
      <c r="AB9" s="613"/>
      <c r="AC9" s="622"/>
      <c r="AD9" s="572"/>
      <c r="AE9" s="6"/>
      <c r="AF9" s="6"/>
      <c r="AG9" s="613"/>
      <c r="AH9" s="614"/>
      <c r="AI9" s="6"/>
      <c r="AJ9" s="6"/>
      <c r="AK9" s="613"/>
    </row>
    <row r="10" spans="1:37" x14ac:dyDescent="0.25">
      <c r="A10" s="2205"/>
      <c r="B10" s="574">
        <v>2</v>
      </c>
      <c r="C10" s="595"/>
      <c r="D10" s="596"/>
      <c r="E10" s="596"/>
      <c r="F10" s="597"/>
      <c r="G10" s="580"/>
      <c r="H10" s="581"/>
      <c r="I10" s="619"/>
      <c r="J10" s="582"/>
      <c r="L10" s="572"/>
      <c r="M10" s="6"/>
      <c r="N10" s="6"/>
      <c r="O10" s="613"/>
      <c r="P10" s="674"/>
      <c r="Q10" s="6"/>
      <c r="R10" s="605"/>
      <c r="S10" s="613"/>
      <c r="T10" s="622"/>
      <c r="U10" s="572"/>
      <c r="V10" s="6"/>
      <c r="W10" s="6"/>
      <c r="X10" s="613"/>
      <c r="Y10" s="674"/>
      <c r="Z10" s="6"/>
      <c r="AA10" s="6"/>
      <c r="AB10" s="613"/>
      <c r="AC10" s="622"/>
      <c r="AD10" s="572"/>
      <c r="AE10" s="6"/>
      <c r="AF10" s="6"/>
      <c r="AG10" s="613"/>
      <c r="AH10" s="614"/>
      <c r="AI10" s="6"/>
      <c r="AJ10" s="6"/>
      <c r="AK10" s="613"/>
    </row>
    <row r="11" spans="1:37" x14ac:dyDescent="0.25">
      <c r="A11" s="2206">
        <v>44625</v>
      </c>
      <c r="B11" s="574">
        <v>1</v>
      </c>
      <c r="C11" s="595"/>
      <c r="D11" s="596"/>
      <c r="E11" s="596"/>
      <c r="F11" s="597"/>
      <c r="G11" s="583"/>
      <c r="H11" s="581"/>
      <c r="I11" s="581"/>
      <c r="J11" s="582"/>
      <c r="L11" s="572"/>
      <c r="M11" s="535"/>
      <c r="N11" s="6"/>
      <c r="O11" s="613"/>
      <c r="P11" s="674"/>
      <c r="Q11" s="6"/>
      <c r="R11" s="605"/>
      <c r="S11" s="613"/>
      <c r="T11" s="622"/>
      <c r="U11" s="572"/>
      <c r="V11" s="6"/>
      <c r="W11" s="6"/>
      <c r="X11" s="613"/>
      <c r="Y11" s="614"/>
      <c r="Z11" s="6"/>
      <c r="AA11" s="6"/>
      <c r="AB11" s="613"/>
      <c r="AC11" s="622"/>
      <c r="AD11" s="572"/>
      <c r="AE11" s="6"/>
      <c r="AF11" s="6"/>
      <c r="AG11" s="613"/>
      <c r="AH11" s="614"/>
      <c r="AI11" s="6"/>
      <c r="AJ11" s="6"/>
      <c r="AK11" s="613"/>
    </row>
    <row r="12" spans="1:37" x14ac:dyDescent="0.25">
      <c r="A12" s="2205"/>
      <c r="B12" s="574">
        <v>2</v>
      </c>
      <c r="C12" s="595"/>
      <c r="D12" s="596"/>
      <c r="E12" s="596"/>
      <c r="F12" s="597"/>
      <c r="G12" s="580"/>
      <c r="H12" s="581"/>
      <c r="I12" s="620"/>
      <c r="J12" s="582"/>
      <c r="L12" s="572"/>
      <c r="M12" s="535"/>
      <c r="N12" s="6"/>
      <c r="O12" s="613"/>
      <c r="P12" s="674"/>
      <c r="Q12" s="6"/>
      <c r="R12" s="605"/>
      <c r="S12" s="613"/>
      <c r="T12" s="622"/>
      <c r="U12" s="572"/>
      <c r="V12" s="6"/>
      <c r="W12" s="6"/>
      <c r="X12" s="613"/>
      <c r="Y12" s="614"/>
      <c r="Z12" s="6"/>
      <c r="AA12" s="6"/>
      <c r="AB12" s="613"/>
      <c r="AC12" s="622"/>
      <c r="AD12" s="572"/>
      <c r="AE12" s="6"/>
      <c r="AF12" s="6"/>
      <c r="AG12" s="613"/>
      <c r="AH12" s="614"/>
      <c r="AI12" s="6"/>
      <c r="AJ12" s="6"/>
      <c r="AK12" s="613"/>
    </row>
    <row r="13" spans="1:37" x14ac:dyDescent="0.25">
      <c r="A13" s="2206">
        <v>44626</v>
      </c>
      <c r="B13" s="574">
        <v>1</v>
      </c>
      <c r="C13" s="595"/>
      <c r="D13" s="596"/>
      <c r="E13" s="596"/>
      <c r="F13" s="597"/>
      <c r="G13" s="580"/>
      <c r="H13" s="581"/>
      <c r="I13" s="620"/>
      <c r="J13" s="582"/>
      <c r="L13" s="621"/>
      <c r="M13" s="15"/>
      <c r="N13" s="15"/>
      <c r="O13" s="613"/>
      <c r="P13" s="674"/>
      <c r="Q13" s="6"/>
      <c r="R13" s="605"/>
      <c r="S13" s="613"/>
      <c r="T13" s="622"/>
      <c r="U13" s="572"/>
      <c r="V13" s="6"/>
      <c r="W13" s="6"/>
      <c r="X13" s="613"/>
      <c r="Y13" s="614"/>
      <c r="Z13" s="6"/>
      <c r="AA13" s="605"/>
      <c r="AB13" s="634"/>
      <c r="AC13" s="622"/>
      <c r="AD13" s="572"/>
      <c r="AE13" s="6"/>
      <c r="AF13" s="6"/>
      <c r="AG13" s="613"/>
      <c r="AH13" s="614"/>
      <c r="AI13" s="6"/>
      <c r="AJ13" s="6"/>
      <c r="AK13" s="613"/>
    </row>
    <row r="14" spans="1:37" ht="57.75" customHeight="1" x14ac:dyDescent="0.25">
      <c r="A14" s="2205"/>
      <c r="B14" s="574">
        <v>2</v>
      </c>
      <c r="C14" s="595"/>
      <c r="D14" s="596">
        <v>78</v>
      </c>
      <c r="E14" s="596"/>
      <c r="F14" s="597">
        <v>447</v>
      </c>
      <c r="G14" s="580"/>
      <c r="H14" s="585" t="s">
        <v>347</v>
      </c>
      <c r="I14" s="581"/>
      <c r="J14" s="635" t="s">
        <v>346</v>
      </c>
      <c r="L14" s="541"/>
      <c r="M14" s="535"/>
      <c r="N14" s="535"/>
      <c r="O14" s="613">
        <v>450</v>
      </c>
      <c r="P14" s="614"/>
      <c r="Q14" s="6"/>
      <c r="R14" s="6"/>
      <c r="S14" s="635" t="s">
        <v>346</v>
      </c>
      <c r="T14" s="622"/>
      <c r="U14" s="572"/>
      <c r="V14" s="6"/>
      <c r="W14" s="6"/>
      <c r="X14" s="613">
        <v>450</v>
      </c>
      <c r="Y14" s="614"/>
      <c r="Z14" s="6"/>
      <c r="AA14" s="635"/>
      <c r="AB14" s="635" t="s">
        <v>346</v>
      </c>
      <c r="AC14" s="622"/>
      <c r="AD14" s="572"/>
      <c r="AE14" s="6">
        <v>45</v>
      </c>
      <c r="AF14" s="6"/>
      <c r="AG14" s="613">
        <v>450</v>
      </c>
      <c r="AH14" s="674"/>
      <c r="AI14" s="6" t="s">
        <v>96</v>
      </c>
      <c r="AJ14" s="6"/>
      <c r="AK14" s="635" t="s">
        <v>346</v>
      </c>
    </row>
    <row r="15" spans="1:37" ht="45" x14ac:dyDescent="0.25">
      <c r="A15" s="2206">
        <v>44627</v>
      </c>
      <c r="B15" s="574">
        <v>1</v>
      </c>
      <c r="C15" s="595"/>
      <c r="D15" s="596">
        <v>30</v>
      </c>
      <c r="E15" s="6"/>
      <c r="F15" s="597"/>
      <c r="G15" s="580"/>
      <c r="H15" s="585" t="s">
        <v>348</v>
      </c>
      <c r="I15" s="620"/>
      <c r="J15" s="582"/>
      <c r="L15" s="541"/>
      <c r="M15" s="6"/>
      <c r="N15" s="535"/>
      <c r="O15" s="613"/>
      <c r="P15" s="572"/>
      <c r="Q15" s="585"/>
      <c r="R15" s="6"/>
      <c r="S15" s="613"/>
      <c r="T15" s="622"/>
      <c r="U15" s="572"/>
      <c r="V15" s="6"/>
      <c r="W15" s="6"/>
      <c r="X15" s="613"/>
      <c r="Y15" s="572"/>
      <c r="Z15" s="585"/>
      <c r="AA15" s="6"/>
      <c r="AB15" s="613"/>
      <c r="AC15" s="622"/>
      <c r="AD15" s="572"/>
      <c r="AE15" s="6"/>
      <c r="AF15" s="6"/>
      <c r="AG15" s="613"/>
      <c r="AH15" s="572"/>
      <c r="AI15" s="585"/>
      <c r="AJ15" s="605"/>
      <c r="AK15" s="613"/>
    </row>
    <row r="16" spans="1:37" x14ac:dyDescent="0.25">
      <c r="A16" s="2205"/>
      <c r="B16" s="574">
        <v>2</v>
      </c>
      <c r="C16" s="595"/>
      <c r="D16" s="596"/>
      <c r="E16" s="596"/>
      <c r="F16" s="597"/>
      <c r="G16" s="580"/>
      <c r="H16" s="581"/>
      <c r="I16" s="581"/>
      <c r="J16" s="582"/>
      <c r="L16" s="541"/>
      <c r="M16" s="535"/>
      <c r="N16" s="535"/>
      <c r="O16" s="613"/>
      <c r="P16" s="572"/>
      <c r="Q16" s="6"/>
      <c r="R16" s="6"/>
      <c r="S16" s="613"/>
      <c r="T16" s="622"/>
      <c r="U16" s="572"/>
      <c r="V16" s="6"/>
      <c r="W16" s="6"/>
      <c r="X16" s="613"/>
      <c r="Y16" s="581"/>
      <c r="Z16" s="581"/>
      <c r="AA16" s="6"/>
      <c r="AB16" s="613"/>
      <c r="AC16" s="622"/>
      <c r="AD16" s="572"/>
      <c r="AE16" s="6"/>
      <c r="AF16" s="6">
        <v>15</v>
      </c>
      <c r="AG16" s="613"/>
      <c r="AH16" s="572"/>
      <c r="AI16" s="6"/>
      <c r="AJ16" s="6" t="s">
        <v>325</v>
      </c>
      <c r="AK16" s="613"/>
    </row>
    <row r="17" spans="1:37" x14ac:dyDescent="0.25">
      <c r="A17" s="2206">
        <v>44628</v>
      </c>
      <c r="B17" s="643">
        <v>1</v>
      </c>
      <c r="C17" s="595"/>
      <c r="D17" s="596"/>
      <c r="E17" s="596">
        <v>25</v>
      </c>
      <c r="F17" s="597"/>
      <c r="G17" s="580"/>
      <c r="H17" s="581"/>
      <c r="I17" s="581" t="s">
        <v>152</v>
      </c>
      <c r="J17" s="582"/>
      <c r="L17" s="621"/>
      <c r="M17" s="535"/>
      <c r="N17" s="535"/>
      <c r="O17" s="613"/>
      <c r="P17" s="572"/>
      <c r="Q17" s="6"/>
      <c r="R17" s="6"/>
      <c r="S17" s="613"/>
      <c r="T17" s="622"/>
      <c r="U17" s="572"/>
      <c r="V17" s="6"/>
      <c r="W17" s="6">
        <v>20</v>
      </c>
      <c r="X17" s="613"/>
      <c r="Y17" s="581"/>
      <c r="Z17" s="581"/>
      <c r="AA17" s="6" t="s">
        <v>152</v>
      </c>
      <c r="AB17" s="613"/>
      <c r="AC17" s="622"/>
      <c r="AD17" s="572"/>
      <c r="AE17" s="6"/>
      <c r="AF17" s="6"/>
      <c r="AG17" s="613"/>
      <c r="AH17" s="572"/>
      <c r="AI17" s="6"/>
      <c r="AJ17" s="605"/>
      <c r="AK17" s="613"/>
    </row>
    <row r="18" spans="1:37" ht="60" x14ac:dyDescent="0.25">
      <c r="A18" s="2205"/>
      <c r="B18" s="574">
        <v>2</v>
      </c>
      <c r="C18" s="595"/>
      <c r="D18" s="596">
        <v>50</v>
      </c>
      <c r="E18" s="596"/>
      <c r="F18" s="597"/>
      <c r="G18" s="580"/>
      <c r="H18" s="585" t="s">
        <v>349</v>
      </c>
      <c r="I18" s="581"/>
      <c r="J18" s="582"/>
      <c r="L18" s="541"/>
      <c r="M18" s="535"/>
      <c r="N18" s="535"/>
      <c r="O18" s="613"/>
      <c r="P18" s="572"/>
      <c r="Q18" s="6"/>
      <c r="R18" s="6"/>
      <c r="S18" s="613"/>
      <c r="T18" s="622"/>
      <c r="U18" s="572">
        <v>60</v>
      </c>
      <c r="V18" s="6"/>
      <c r="W18" s="6"/>
      <c r="X18" s="613"/>
      <c r="Y18" s="567" t="s">
        <v>338</v>
      </c>
      <c r="Z18" s="6"/>
      <c r="AA18" s="6"/>
      <c r="AB18" s="613"/>
      <c r="AC18" s="622"/>
      <c r="AD18" s="572"/>
      <c r="AE18" s="6"/>
      <c r="AF18" s="6"/>
      <c r="AG18" s="613"/>
      <c r="AH18" s="572"/>
      <c r="AI18" s="6"/>
      <c r="AJ18" s="605"/>
      <c r="AK18" s="613"/>
    </row>
    <row r="19" spans="1:37" ht="44.25" customHeight="1" x14ac:dyDescent="0.25">
      <c r="A19" s="2206">
        <v>44629</v>
      </c>
      <c r="B19" s="574">
        <v>1</v>
      </c>
      <c r="D19" s="596"/>
      <c r="E19" s="596">
        <v>20</v>
      </c>
      <c r="F19" s="597"/>
      <c r="G19" s="580"/>
      <c r="H19" s="581"/>
      <c r="I19" s="585" t="s">
        <v>350</v>
      </c>
      <c r="J19" s="582"/>
      <c r="L19" s="541"/>
      <c r="M19" s="535"/>
      <c r="N19" s="535"/>
      <c r="O19" s="613"/>
      <c r="P19" s="572"/>
      <c r="Q19" s="6"/>
      <c r="R19" s="6"/>
      <c r="S19" s="613"/>
      <c r="T19" s="622"/>
      <c r="U19" s="572"/>
      <c r="V19" s="6"/>
      <c r="W19" s="6">
        <v>25</v>
      </c>
      <c r="X19" s="613"/>
      <c r="Y19" s="572"/>
      <c r="Z19" s="605"/>
      <c r="AA19" s="605" t="s">
        <v>350</v>
      </c>
      <c r="AB19" s="613"/>
      <c r="AC19" s="622"/>
      <c r="AD19" s="572"/>
      <c r="AE19" s="6"/>
      <c r="AF19" s="6"/>
      <c r="AG19" s="613"/>
      <c r="AH19" s="572"/>
      <c r="AI19" s="6"/>
      <c r="AJ19" s="605"/>
      <c r="AK19" s="613"/>
    </row>
    <row r="20" spans="1:37" ht="65.25" customHeight="1" x14ac:dyDescent="0.25">
      <c r="A20" s="2205"/>
      <c r="B20" s="574">
        <v>2</v>
      </c>
      <c r="C20" s="595"/>
      <c r="D20" s="596"/>
      <c r="E20" s="596">
        <v>15</v>
      </c>
      <c r="F20" s="597"/>
      <c r="G20" s="580"/>
      <c r="H20" s="620"/>
      <c r="I20" s="585" t="s">
        <v>350</v>
      </c>
      <c r="J20" s="582"/>
      <c r="L20" s="541"/>
      <c r="M20" s="535"/>
      <c r="N20" s="535"/>
      <c r="O20" s="613"/>
      <c r="P20" s="572"/>
      <c r="Q20" s="6"/>
      <c r="R20" s="6"/>
      <c r="S20" s="613"/>
      <c r="T20" s="622"/>
      <c r="U20" s="572"/>
      <c r="V20" s="250"/>
      <c r="W20" s="6">
        <v>10</v>
      </c>
      <c r="X20" s="613"/>
      <c r="Y20" s="572"/>
      <c r="Z20" s="605"/>
      <c r="AA20" s="605" t="s">
        <v>350</v>
      </c>
      <c r="AB20" s="613"/>
      <c r="AC20" s="622"/>
      <c r="AD20" s="572"/>
      <c r="AE20" s="6"/>
      <c r="AF20" s="6"/>
      <c r="AG20" s="613"/>
      <c r="AH20" s="572"/>
      <c r="AI20" s="6"/>
      <c r="AJ20" s="6"/>
      <c r="AK20" s="613"/>
    </row>
    <row r="21" spans="1:37" ht="52.5" customHeight="1" x14ac:dyDescent="0.25">
      <c r="A21" s="2206">
        <v>44630</v>
      </c>
      <c r="B21" s="574">
        <v>1</v>
      </c>
      <c r="C21" s="595"/>
      <c r="D21" s="596"/>
      <c r="E21" s="596">
        <v>20</v>
      </c>
      <c r="F21" s="597"/>
      <c r="G21" s="676"/>
      <c r="H21" s="581"/>
      <c r="I21" s="585" t="s">
        <v>350</v>
      </c>
      <c r="J21" s="582"/>
      <c r="L21" s="541"/>
      <c r="M21" s="535"/>
      <c r="N21" s="535"/>
      <c r="O21" s="613"/>
      <c r="P21" s="572"/>
      <c r="Q21" s="6"/>
      <c r="R21" s="6"/>
      <c r="S21" s="613"/>
      <c r="T21" s="622"/>
      <c r="U21" s="572"/>
      <c r="V21" s="6"/>
      <c r="W21" s="6">
        <v>35</v>
      </c>
      <c r="X21" s="613"/>
      <c r="Y21" s="572"/>
      <c r="Z21" s="6"/>
      <c r="AA21" s="605" t="s">
        <v>350</v>
      </c>
      <c r="AB21" s="613"/>
      <c r="AC21" s="622"/>
      <c r="AD21" s="572"/>
      <c r="AE21" s="6"/>
      <c r="AF21" s="6"/>
      <c r="AG21" s="613"/>
      <c r="AH21" s="572"/>
      <c r="AI21" s="6"/>
      <c r="AJ21" s="6"/>
      <c r="AK21" s="613"/>
    </row>
    <row r="22" spans="1:37" ht="62.25" customHeight="1" x14ac:dyDescent="0.25">
      <c r="A22" s="2205"/>
      <c r="B22" s="574">
        <v>2</v>
      </c>
      <c r="C22" s="595">
        <v>215</v>
      </c>
      <c r="D22" s="596">
        <v>15</v>
      </c>
      <c r="E22" s="596"/>
      <c r="F22" s="597">
        <v>210</v>
      </c>
      <c r="G22" s="677" t="s">
        <v>351</v>
      </c>
      <c r="H22" s="585" t="s">
        <v>352</v>
      </c>
      <c r="I22" s="620"/>
      <c r="J22" s="584" t="s">
        <v>353</v>
      </c>
      <c r="L22" s="572"/>
      <c r="M22" s="535"/>
      <c r="N22" s="535"/>
      <c r="O22" s="597">
        <v>210</v>
      </c>
      <c r="P22" s="674"/>
      <c r="Q22" s="6"/>
      <c r="R22" s="6"/>
      <c r="S22" s="584" t="s">
        <v>353</v>
      </c>
      <c r="T22" s="622"/>
      <c r="U22" s="572"/>
      <c r="V22" s="6"/>
      <c r="W22" s="6"/>
      <c r="X22" s="597">
        <v>210</v>
      </c>
      <c r="Y22" s="572"/>
      <c r="Z22" s="6"/>
      <c r="AA22" s="605"/>
      <c r="AB22" s="584" t="s">
        <v>353</v>
      </c>
      <c r="AC22" s="622"/>
      <c r="AD22" s="572"/>
      <c r="AE22" s="6"/>
      <c r="AF22" s="6"/>
      <c r="AG22" s="597">
        <v>210</v>
      </c>
      <c r="AH22" s="572"/>
      <c r="AI22" s="6"/>
      <c r="AJ22" s="6"/>
      <c r="AK22" s="584" t="s">
        <v>353</v>
      </c>
    </row>
    <row r="23" spans="1:37" x14ac:dyDescent="0.25">
      <c r="A23" s="2206">
        <v>44631</v>
      </c>
      <c r="B23" s="644">
        <v>1</v>
      </c>
      <c r="C23" s="595"/>
      <c r="D23" s="596"/>
      <c r="E23" s="596">
        <v>35</v>
      </c>
      <c r="F23" s="597"/>
      <c r="G23" s="580"/>
      <c r="H23" s="581"/>
      <c r="I23" s="581" t="s">
        <v>152</v>
      </c>
      <c r="J23" s="582"/>
      <c r="L23" s="541"/>
      <c r="M23" s="535"/>
      <c r="N23" s="535"/>
      <c r="O23" s="613"/>
      <c r="P23" s="572"/>
      <c r="Q23" s="6"/>
      <c r="R23" s="6"/>
      <c r="S23" s="613"/>
      <c r="T23" s="622"/>
      <c r="U23" s="572"/>
      <c r="V23" s="6"/>
      <c r="W23" s="6">
        <v>35</v>
      </c>
      <c r="X23" s="613"/>
      <c r="Y23" s="572"/>
      <c r="Z23" s="6"/>
      <c r="AA23" s="6" t="s">
        <v>152</v>
      </c>
      <c r="AB23" s="613"/>
      <c r="AC23" s="622"/>
      <c r="AD23" s="572"/>
      <c r="AE23" s="6"/>
      <c r="AF23" s="6"/>
      <c r="AG23" s="613"/>
      <c r="AH23" s="567"/>
      <c r="AI23" s="6"/>
      <c r="AJ23" s="6"/>
      <c r="AK23" s="613"/>
    </row>
    <row r="24" spans="1:37" ht="30" x14ac:dyDescent="0.25">
      <c r="A24" s="2205"/>
      <c r="B24" s="574">
        <v>2</v>
      </c>
      <c r="C24" s="595"/>
      <c r="D24" s="596"/>
      <c r="E24" s="596">
        <v>20</v>
      </c>
      <c r="F24" s="597"/>
      <c r="G24" s="580"/>
      <c r="H24" s="581"/>
      <c r="I24" s="585" t="s">
        <v>354</v>
      </c>
      <c r="J24" s="582"/>
      <c r="L24" s="541"/>
      <c r="M24" s="6">
        <v>15</v>
      </c>
      <c r="N24" s="535"/>
      <c r="O24" s="613"/>
      <c r="P24" s="572"/>
      <c r="Q24" s="6" t="s">
        <v>355</v>
      </c>
      <c r="R24" s="6"/>
      <c r="S24" s="613"/>
      <c r="T24" s="622"/>
      <c r="U24" s="572"/>
      <c r="V24" s="6"/>
      <c r="W24" s="6">
        <v>10</v>
      </c>
      <c r="X24" s="613"/>
      <c r="Y24" s="572"/>
      <c r="Z24" s="6"/>
      <c r="AA24" s="6" t="s">
        <v>152</v>
      </c>
      <c r="AB24" s="613"/>
      <c r="AC24" s="622"/>
      <c r="AD24" s="572"/>
      <c r="AE24" s="6"/>
      <c r="AF24" s="6"/>
      <c r="AG24" s="613"/>
      <c r="AH24" s="572"/>
      <c r="AI24" s="6"/>
      <c r="AJ24" s="6"/>
      <c r="AK24" s="613"/>
    </row>
    <row r="25" spans="1:37" ht="30" customHeight="1" x14ac:dyDescent="0.25">
      <c r="A25" s="2206">
        <v>44632</v>
      </c>
      <c r="B25" s="574">
        <v>1</v>
      </c>
      <c r="C25" s="595"/>
      <c r="D25" s="596"/>
      <c r="E25" s="596">
        <v>10</v>
      </c>
      <c r="F25" s="597"/>
      <c r="G25" s="580"/>
      <c r="H25" s="581"/>
      <c r="I25" s="585" t="s">
        <v>356</v>
      </c>
      <c r="J25" s="582"/>
      <c r="L25" s="541"/>
      <c r="M25" s="535"/>
      <c r="N25" s="535"/>
      <c r="O25" s="613"/>
      <c r="P25" s="572"/>
      <c r="Q25" s="581"/>
      <c r="R25" s="6"/>
      <c r="S25" s="613"/>
      <c r="T25" s="622"/>
      <c r="U25" s="572"/>
      <c r="V25" s="6"/>
      <c r="W25" s="6"/>
      <c r="X25" s="613"/>
      <c r="Y25" s="572"/>
      <c r="Z25" s="6"/>
      <c r="AA25" s="6"/>
      <c r="AB25" s="613"/>
      <c r="AC25" s="622"/>
      <c r="AD25" s="572"/>
      <c r="AE25" s="6"/>
      <c r="AF25" s="6"/>
      <c r="AG25" s="613"/>
      <c r="AH25" s="2228"/>
      <c r="AI25" s="6"/>
      <c r="AJ25" s="6"/>
      <c r="AK25" s="613"/>
    </row>
    <row r="26" spans="1:37" x14ac:dyDescent="0.25">
      <c r="A26" s="2205"/>
      <c r="B26" s="574">
        <v>2</v>
      </c>
      <c r="C26" s="595"/>
      <c r="D26" s="596"/>
      <c r="E26" s="596"/>
      <c r="F26" s="597"/>
      <c r="G26" s="580"/>
      <c r="H26" s="581"/>
      <c r="I26" s="585"/>
      <c r="J26" s="582"/>
      <c r="L26" s="541"/>
      <c r="M26" s="535">
        <v>70</v>
      </c>
      <c r="N26" s="535"/>
      <c r="O26" s="613"/>
      <c r="P26" s="572"/>
      <c r="Q26" s="581" t="s">
        <v>96</v>
      </c>
      <c r="R26" s="6"/>
      <c r="S26" s="613"/>
      <c r="T26" s="622"/>
      <c r="U26" s="572"/>
      <c r="V26" s="6"/>
      <c r="W26" s="6"/>
      <c r="X26" s="613"/>
      <c r="Y26" s="572"/>
      <c r="Z26" s="6"/>
      <c r="AA26" s="605"/>
      <c r="AB26" s="613"/>
      <c r="AC26" s="622"/>
      <c r="AD26" s="572"/>
      <c r="AE26" s="6"/>
      <c r="AF26" s="6"/>
      <c r="AG26" s="613"/>
      <c r="AH26" s="2229"/>
      <c r="AI26" s="6"/>
      <c r="AJ26" s="6"/>
      <c r="AK26" s="613"/>
    </row>
    <row r="27" spans="1:37" x14ac:dyDescent="0.25">
      <c r="A27" s="2206">
        <v>44633</v>
      </c>
      <c r="B27" s="643">
        <v>1</v>
      </c>
      <c r="C27" s="595"/>
      <c r="D27" s="596"/>
      <c r="E27" s="596">
        <v>20</v>
      </c>
      <c r="F27" s="597"/>
      <c r="G27" s="580"/>
      <c r="H27" s="581"/>
      <c r="I27" s="585" t="s">
        <v>356</v>
      </c>
      <c r="J27" s="582"/>
      <c r="L27" s="541"/>
      <c r="M27" s="535"/>
      <c r="N27" s="6"/>
      <c r="O27" s="613"/>
      <c r="P27" s="572"/>
      <c r="Q27" s="6"/>
      <c r="R27" s="605"/>
      <c r="S27" s="613"/>
      <c r="T27" s="622"/>
      <c r="U27" s="572"/>
      <c r="V27" s="6"/>
      <c r="W27" s="6">
        <v>10</v>
      </c>
      <c r="X27" s="613"/>
      <c r="Y27" s="614"/>
      <c r="Z27" s="6"/>
      <c r="AA27" s="6" t="s">
        <v>152</v>
      </c>
      <c r="AB27" s="613"/>
      <c r="AC27" s="622"/>
      <c r="AD27" s="572"/>
      <c r="AE27" s="6"/>
      <c r="AF27" s="6"/>
      <c r="AG27" s="613"/>
      <c r="AH27" s="567"/>
      <c r="AI27" s="6"/>
      <c r="AJ27" s="6"/>
      <c r="AK27" s="613"/>
    </row>
    <row r="28" spans="1:37" x14ac:dyDescent="0.25">
      <c r="A28" s="2205"/>
      <c r="B28" s="574">
        <v>2</v>
      </c>
      <c r="C28" s="595"/>
      <c r="D28" s="596"/>
      <c r="E28" s="596"/>
      <c r="F28" s="597"/>
      <c r="G28" s="585"/>
      <c r="H28" s="581"/>
      <c r="I28" s="585"/>
      <c r="J28" s="582"/>
      <c r="L28" s="541"/>
      <c r="M28" s="535"/>
      <c r="N28" s="6"/>
      <c r="O28" s="613"/>
      <c r="P28" s="614"/>
      <c r="Q28" s="6"/>
      <c r="R28" s="605"/>
      <c r="S28" s="613"/>
      <c r="T28" s="622"/>
      <c r="U28" s="572"/>
      <c r="V28" s="6"/>
      <c r="W28" s="6"/>
      <c r="X28" s="613"/>
      <c r="Y28" s="614"/>
      <c r="Z28" s="6"/>
      <c r="AA28" s="6"/>
      <c r="AB28" s="613"/>
      <c r="AC28" s="622"/>
      <c r="AD28" s="572"/>
      <c r="AE28" s="6"/>
      <c r="AF28" s="6"/>
      <c r="AG28" s="613"/>
      <c r="AH28" s="614"/>
      <c r="AI28" s="6"/>
      <c r="AJ28" s="6"/>
      <c r="AK28" s="613"/>
    </row>
    <row r="29" spans="1:37" x14ac:dyDescent="0.25">
      <c r="A29" s="2206">
        <v>44634</v>
      </c>
      <c r="B29" s="574">
        <v>1</v>
      </c>
      <c r="C29" s="595"/>
      <c r="D29" s="596"/>
      <c r="E29" s="596"/>
      <c r="F29" s="597"/>
      <c r="G29" s="580"/>
      <c r="H29" s="581"/>
      <c r="I29" s="585"/>
      <c r="J29" s="582"/>
      <c r="L29" s="541"/>
      <c r="M29" s="535"/>
      <c r="N29" s="6"/>
      <c r="O29" s="613"/>
      <c r="P29" s="614"/>
      <c r="Q29" s="6"/>
      <c r="R29" s="605"/>
      <c r="S29" s="613"/>
      <c r="T29" s="622"/>
      <c r="U29" s="572"/>
      <c r="V29" s="6"/>
      <c r="W29" s="6"/>
      <c r="X29" s="613"/>
      <c r="Y29" s="614"/>
      <c r="Z29" s="6"/>
      <c r="AA29" s="605"/>
      <c r="AB29" s="613"/>
      <c r="AC29" s="622"/>
      <c r="AD29" s="572"/>
      <c r="AE29" s="6"/>
      <c r="AF29" s="6"/>
      <c r="AG29" s="613"/>
      <c r="AH29" s="614"/>
      <c r="AI29" s="6"/>
      <c r="AJ29" s="605"/>
      <c r="AK29" s="613"/>
    </row>
    <row r="30" spans="1:37" x14ac:dyDescent="0.25">
      <c r="A30" s="2205"/>
      <c r="B30" s="643">
        <v>2</v>
      </c>
      <c r="C30" s="595"/>
      <c r="D30" s="596"/>
      <c r="E30" s="596">
        <v>60</v>
      </c>
      <c r="F30" s="597"/>
      <c r="G30" s="580"/>
      <c r="H30" s="581"/>
      <c r="I30" s="585" t="s">
        <v>356</v>
      </c>
      <c r="J30" s="582"/>
      <c r="L30" s="572"/>
      <c r="M30" s="570"/>
      <c r="N30" s="570"/>
      <c r="O30" s="613"/>
      <c r="P30" s="614"/>
      <c r="Q30" s="6"/>
      <c r="R30" s="6"/>
      <c r="S30" s="613"/>
      <c r="T30" s="622"/>
      <c r="U30" s="572"/>
      <c r="V30" s="6"/>
      <c r="W30" s="6"/>
      <c r="X30" s="613"/>
      <c r="Y30" s="614"/>
      <c r="Z30" s="6"/>
      <c r="AA30" s="605"/>
      <c r="AB30" s="613"/>
      <c r="AC30" s="622"/>
      <c r="AD30" s="572"/>
      <c r="AE30" s="6"/>
      <c r="AF30" s="6"/>
      <c r="AG30" s="613"/>
      <c r="AH30" s="674"/>
      <c r="AI30" s="622"/>
      <c r="AJ30" s="6"/>
      <c r="AK30" s="613"/>
    </row>
    <row r="31" spans="1:37" x14ac:dyDescent="0.25">
      <c r="A31" s="2206">
        <v>44635</v>
      </c>
      <c r="B31" s="574">
        <v>1</v>
      </c>
      <c r="C31" s="595"/>
      <c r="D31" s="596"/>
      <c r="E31" s="596"/>
      <c r="F31" s="597"/>
      <c r="G31" s="580"/>
      <c r="H31" s="581"/>
      <c r="I31" s="585"/>
      <c r="J31" s="582"/>
      <c r="L31" s="541"/>
      <c r="M31" s="535"/>
      <c r="N31" s="535"/>
      <c r="O31" s="613"/>
      <c r="P31" s="614"/>
      <c r="Q31" s="6"/>
      <c r="R31" s="6"/>
      <c r="S31" s="613"/>
      <c r="T31" s="622"/>
      <c r="U31" s="572"/>
      <c r="V31" s="6"/>
      <c r="W31" s="6"/>
      <c r="X31" s="613"/>
      <c r="Y31" s="614"/>
      <c r="Z31" s="6"/>
      <c r="AA31" s="6"/>
      <c r="AB31" s="613"/>
      <c r="AC31" s="622"/>
      <c r="AD31" s="572"/>
      <c r="AE31" s="6"/>
      <c r="AF31" s="6"/>
      <c r="AG31" s="613"/>
      <c r="AH31" s="614"/>
      <c r="AI31" s="6"/>
      <c r="AJ31" s="6"/>
      <c r="AK31" s="613"/>
    </row>
    <row r="32" spans="1:37" ht="45" customHeight="1" x14ac:dyDescent="0.25">
      <c r="A32" s="2205"/>
      <c r="B32" s="574">
        <v>2</v>
      </c>
      <c r="C32" s="595"/>
      <c r="D32" s="596"/>
      <c r="E32" s="596"/>
      <c r="F32" s="597"/>
      <c r="G32" s="580"/>
      <c r="H32" s="581"/>
      <c r="I32" s="585"/>
      <c r="J32" s="2230"/>
      <c r="L32" s="541"/>
      <c r="M32" s="535"/>
      <c r="N32" s="535"/>
      <c r="O32" s="613"/>
      <c r="P32" s="614"/>
      <c r="Q32" s="6"/>
      <c r="R32" s="6"/>
      <c r="S32" s="613"/>
      <c r="T32" s="622"/>
      <c r="U32" s="572"/>
      <c r="V32" s="6"/>
      <c r="W32" s="6"/>
      <c r="X32" s="613"/>
      <c r="Y32" s="614"/>
      <c r="Z32" s="6"/>
      <c r="AA32" s="6"/>
      <c r="AB32" s="613"/>
      <c r="AC32" s="622"/>
      <c r="AD32" s="572"/>
      <c r="AE32" s="6"/>
      <c r="AF32" s="6"/>
      <c r="AG32" s="613"/>
      <c r="AH32" s="614"/>
      <c r="AI32" s="6"/>
      <c r="AJ32" s="6"/>
      <c r="AK32" s="613"/>
    </row>
    <row r="33" spans="1:37" x14ac:dyDescent="0.25">
      <c r="A33" s="2206">
        <v>44636</v>
      </c>
      <c r="B33" s="574">
        <v>1</v>
      </c>
      <c r="C33" s="595"/>
      <c r="D33" s="596"/>
      <c r="E33" s="596">
        <v>25</v>
      </c>
      <c r="F33" s="597"/>
      <c r="G33" s="580"/>
      <c r="H33" s="581"/>
      <c r="I33" s="585" t="s">
        <v>356</v>
      </c>
      <c r="J33" s="2231"/>
      <c r="L33" s="541"/>
      <c r="M33" s="535"/>
      <c r="N33" s="535"/>
      <c r="O33" s="613"/>
      <c r="P33" s="614"/>
      <c r="Q33" s="6"/>
      <c r="R33" s="6"/>
      <c r="S33" s="613"/>
      <c r="T33" s="622"/>
      <c r="U33" s="572"/>
      <c r="V33" s="6"/>
      <c r="W33" s="6"/>
      <c r="X33" s="613"/>
      <c r="Y33" s="614"/>
      <c r="Z33" s="6"/>
      <c r="AA33" s="6"/>
      <c r="AB33" s="613"/>
      <c r="AC33" s="622"/>
      <c r="AD33" s="572"/>
      <c r="AE33" s="6"/>
      <c r="AF33" s="6"/>
      <c r="AG33" s="613"/>
      <c r="AH33" s="614"/>
      <c r="AI33" s="605"/>
      <c r="AJ33" s="6"/>
      <c r="AK33" s="613"/>
    </row>
    <row r="34" spans="1:37" x14ac:dyDescent="0.25">
      <c r="A34" s="2205"/>
      <c r="B34" s="643">
        <v>2</v>
      </c>
      <c r="C34" s="596"/>
      <c r="D34" s="596"/>
      <c r="E34" s="596">
        <v>34</v>
      </c>
      <c r="F34" s="597"/>
      <c r="G34" s="580"/>
      <c r="H34" s="585"/>
      <c r="I34" s="585" t="s">
        <v>356</v>
      </c>
      <c r="J34" s="582"/>
      <c r="L34" s="541"/>
      <c r="M34" s="6"/>
      <c r="N34" s="535"/>
      <c r="O34" s="613"/>
      <c r="P34" s="614"/>
      <c r="Q34" s="585"/>
      <c r="R34" s="6"/>
      <c r="S34" s="613"/>
      <c r="T34" s="622"/>
      <c r="U34" s="572"/>
      <c r="V34" s="6"/>
      <c r="W34" s="6"/>
      <c r="X34" s="613"/>
      <c r="Y34" s="6"/>
      <c r="Z34" s="605"/>
      <c r="AA34" s="605"/>
      <c r="AB34" s="613"/>
      <c r="AC34" s="622"/>
      <c r="AD34" s="572"/>
      <c r="AE34" s="6"/>
      <c r="AF34" s="6"/>
      <c r="AG34" s="613"/>
      <c r="AH34" s="614"/>
      <c r="AI34" s="6"/>
      <c r="AJ34" s="6"/>
      <c r="AK34" s="613"/>
    </row>
    <row r="35" spans="1:37" x14ac:dyDescent="0.25">
      <c r="A35" s="2206">
        <v>44637</v>
      </c>
      <c r="B35" s="574">
        <v>1</v>
      </c>
      <c r="C35" s="596"/>
      <c r="D35" s="596"/>
      <c r="E35" s="596"/>
      <c r="F35" s="597"/>
      <c r="G35" s="580"/>
      <c r="H35" s="581"/>
      <c r="I35" s="585"/>
      <c r="J35" s="582"/>
      <c r="L35" s="541"/>
      <c r="M35" s="6"/>
      <c r="N35" s="535"/>
      <c r="O35" s="613"/>
      <c r="P35" s="567"/>
      <c r="Q35" s="649"/>
      <c r="R35" s="620"/>
      <c r="S35" s="613"/>
      <c r="T35" s="622"/>
      <c r="U35" s="572"/>
      <c r="V35" s="6"/>
      <c r="W35" s="6"/>
      <c r="X35" s="613"/>
      <c r="Y35" s="614"/>
      <c r="Z35" s="605"/>
      <c r="AA35" s="6"/>
      <c r="AB35" s="613"/>
      <c r="AC35" s="622"/>
      <c r="AD35" s="572"/>
      <c r="AE35" s="6"/>
      <c r="AF35" s="6"/>
      <c r="AG35" s="613"/>
      <c r="AH35" s="614"/>
      <c r="AI35" s="620"/>
      <c r="AJ35" s="620"/>
      <c r="AK35" s="613"/>
    </row>
    <row r="36" spans="1:37" x14ac:dyDescent="0.25">
      <c r="A36" s="2205"/>
      <c r="B36" s="574">
        <v>2</v>
      </c>
      <c r="C36" s="596"/>
      <c r="D36" s="596"/>
      <c r="E36" s="596"/>
      <c r="F36" s="597"/>
      <c r="G36" s="583"/>
      <c r="H36" s="620"/>
      <c r="I36" s="585"/>
      <c r="J36" s="582"/>
      <c r="L36" s="627"/>
      <c r="M36" s="6"/>
      <c r="N36" s="535"/>
      <c r="O36" s="613"/>
      <c r="P36" s="567"/>
      <c r="Q36" s="649"/>
      <c r="R36" s="6"/>
      <c r="S36" s="613"/>
      <c r="T36" s="622"/>
      <c r="U36" s="572"/>
      <c r="V36" s="6"/>
      <c r="W36" s="6"/>
      <c r="X36" s="613"/>
      <c r="Y36" s="614"/>
      <c r="Z36" s="605"/>
      <c r="AA36" s="605"/>
      <c r="AB36" s="613"/>
      <c r="AC36" s="622"/>
      <c r="AD36" s="572"/>
      <c r="AE36" s="6"/>
      <c r="AF36" s="6"/>
      <c r="AG36" s="613"/>
      <c r="AH36" s="614"/>
      <c r="AI36" s="605"/>
      <c r="AJ36" s="605"/>
      <c r="AK36" s="613"/>
    </row>
    <row r="37" spans="1:37" x14ac:dyDescent="0.25">
      <c r="A37" s="2206">
        <v>44638</v>
      </c>
      <c r="B37" s="643">
        <v>1</v>
      </c>
      <c r="C37" s="596"/>
      <c r="D37" s="596"/>
      <c r="E37" s="596">
        <v>30</v>
      </c>
      <c r="F37" s="597"/>
      <c r="G37" s="580"/>
      <c r="H37" s="581"/>
      <c r="I37" s="585" t="s">
        <v>356</v>
      </c>
      <c r="J37" s="582"/>
      <c r="L37" s="541"/>
      <c r="M37" s="535"/>
      <c r="N37" s="535"/>
      <c r="O37" s="613"/>
      <c r="P37" s="614"/>
      <c r="Q37" s="6"/>
      <c r="R37" s="6"/>
      <c r="S37" s="613"/>
      <c r="T37" s="622"/>
      <c r="U37" s="572"/>
      <c r="V37" s="6"/>
      <c r="W37" s="6"/>
      <c r="X37" s="613"/>
      <c r="Y37" s="614"/>
      <c r="Z37" s="605"/>
      <c r="AA37" s="605"/>
      <c r="AB37" s="613"/>
      <c r="AC37" s="622"/>
      <c r="AD37" s="572"/>
      <c r="AE37" s="6"/>
      <c r="AF37" s="6"/>
      <c r="AG37" s="613"/>
      <c r="AH37" s="614"/>
      <c r="AI37" s="6"/>
      <c r="AJ37" s="6"/>
      <c r="AK37" s="613"/>
    </row>
    <row r="38" spans="1:37" x14ac:dyDescent="0.25">
      <c r="A38" s="2205"/>
      <c r="B38" s="574">
        <v>2</v>
      </c>
      <c r="C38" s="595"/>
      <c r="D38" s="596"/>
      <c r="E38" s="596"/>
      <c r="F38" s="597"/>
      <c r="G38" s="580"/>
      <c r="H38" s="581"/>
      <c r="I38" s="581"/>
      <c r="J38" s="582"/>
      <c r="L38" s="572"/>
      <c r="M38" s="535"/>
      <c r="N38" s="535"/>
      <c r="O38" s="613"/>
      <c r="P38" s="674"/>
      <c r="Q38" s="6"/>
      <c r="R38" s="6"/>
      <c r="S38" s="613"/>
      <c r="T38" s="622"/>
      <c r="U38" s="572"/>
      <c r="V38" s="6"/>
      <c r="W38" s="6"/>
      <c r="X38" s="613"/>
      <c r="Y38" s="614"/>
      <c r="Z38" s="6"/>
      <c r="AA38" s="605"/>
      <c r="AB38" s="613"/>
      <c r="AC38" s="622"/>
      <c r="AD38" s="572"/>
      <c r="AE38" s="6"/>
      <c r="AF38" s="6"/>
      <c r="AG38" s="613"/>
      <c r="AH38" s="614"/>
      <c r="AI38" s="6"/>
      <c r="AJ38" s="6"/>
      <c r="AK38" s="613"/>
    </row>
    <row r="39" spans="1:37" x14ac:dyDescent="0.25">
      <c r="A39" s="2206">
        <v>44639</v>
      </c>
      <c r="B39" s="574">
        <v>1</v>
      </c>
      <c r="C39" s="595"/>
      <c r="D39" s="596"/>
      <c r="E39" s="596">
        <v>10</v>
      </c>
      <c r="F39" s="597"/>
      <c r="G39" s="580"/>
      <c r="H39" s="581"/>
      <c r="I39" s="581" t="s">
        <v>152</v>
      </c>
      <c r="J39" s="582"/>
      <c r="L39" s="541"/>
      <c r="M39" s="535"/>
      <c r="N39" s="535"/>
      <c r="O39" s="613"/>
      <c r="P39" s="614"/>
      <c r="Q39" s="6"/>
      <c r="R39" s="6"/>
      <c r="S39" s="613"/>
      <c r="T39" s="622"/>
      <c r="U39" s="572"/>
      <c r="V39" s="6"/>
      <c r="W39" s="6"/>
      <c r="X39" s="613"/>
      <c r="Y39" s="614"/>
      <c r="Z39" s="6"/>
      <c r="AA39" s="6"/>
      <c r="AB39" s="613"/>
      <c r="AC39" s="622"/>
      <c r="AD39" s="572"/>
      <c r="AE39" s="6"/>
      <c r="AF39" s="6">
        <v>11</v>
      </c>
      <c r="AG39" s="613"/>
      <c r="AH39" s="614"/>
      <c r="AI39" s="6"/>
      <c r="AJ39" s="6" t="s">
        <v>325</v>
      </c>
      <c r="AK39" s="613"/>
    </row>
    <row r="40" spans="1:37" x14ac:dyDescent="0.25">
      <c r="A40" s="2205"/>
      <c r="B40" s="574">
        <v>2</v>
      </c>
      <c r="C40" s="595"/>
      <c r="D40" s="596"/>
      <c r="E40" s="596"/>
      <c r="F40" s="597"/>
      <c r="G40" s="580"/>
      <c r="H40" s="581"/>
      <c r="I40" s="585"/>
      <c r="J40" s="582"/>
      <c r="L40" s="541"/>
      <c r="M40" s="535"/>
      <c r="N40" s="535"/>
      <c r="O40" s="613"/>
      <c r="P40" s="614"/>
      <c r="Q40" s="6"/>
      <c r="R40" s="6"/>
      <c r="S40" s="613"/>
      <c r="T40" s="622"/>
      <c r="U40" s="572"/>
      <c r="V40" s="6"/>
      <c r="W40" s="6"/>
      <c r="X40" s="613"/>
      <c r="Y40" s="614"/>
      <c r="Z40" s="6"/>
      <c r="AA40" s="6"/>
      <c r="AB40" s="613"/>
      <c r="AC40" s="622"/>
      <c r="AD40" s="572"/>
      <c r="AE40" s="6"/>
      <c r="AF40" s="6"/>
      <c r="AG40" s="613"/>
      <c r="AH40" s="614"/>
      <c r="AI40" s="6"/>
      <c r="AJ40" s="6"/>
      <c r="AK40" s="613"/>
    </row>
    <row r="41" spans="1:37" ht="45" x14ac:dyDescent="0.25">
      <c r="A41" s="2206">
        <v>44640</v>
      </c>
      <c r="B41" s="574">
        <v>1</v>
      </c>
      <c r="C41" s="595"/>
      <c r="D41" s="596">
        <v>35</v>
      </c>
      <c r="E41" s="596"/>
      <c r="F41" s="597"/>
      <c r="G41" s="580"/>
      <c r="H41" s="585" t="s">
        <v>357</v>
      </c>
      <c r="I41" s="585"/>
      <c r="J41" s="582"/>
      <c r="L41" s="541"/>
      <c r="M41" s="535"/>
      <c r="N41" s="535"/>
      <c r="O41" s="613"/>
      <c r="P41" s="614"/>
      <c r="Q41" s="6"/>
      <c r="R41" s="6"/>
      <c r="S41" s="613"/>
      <c r="T41" s="622"/>
      <c r="U41" s="572"/>
      <c r="V41" s="6"/>
      <c r="W41" s="6"/>
      <c r="X41" s="613"/>
      <c r="Y41" s="614"/>
      <c r="Z41" s="605"/>
      <c r="AA41" s="605"/>
      <c r="AB41" s="613"/>
      <c r="AC41" s="622"/>
      <c r="AD41" s="572"/>
      <c r="AE41" s="6"/>
      <c r="AF41" s="6"/>
      <c r="AG41" s="613"/>
      <c r="AH41" s="614"/>
      <c r="AI41" s="6"/>
      <c r="AJ41" s="6"/>
      <c r="AK41" s="613"/>
    </row>
    <row r="42" spans="1:37" x14ac:dyDescent="0.25">
      <c r="A42" s="2205"/>
      <c r="B42" s="574">
        <v>2</v>
      </c>
      <c r="C42" s="595"/>
      <c r="D42" s="596"/>
      <c r="E42" s="596">
        <v>25</v>
      </c>
      <c r="F42" s="597"/>
      <c r="G42" s="580"/>
      <c r="H42" s="581"/>
      <c r="I42" s="585" t="s">
        <v>356</v>
      </c>
      <c r="J42" s="536"/>
      <c r="L42" s="541"/>
      <c r="M42" s="535"/>
      <c r="N42" s="535"/>
      <c r="O42" s="613"/>
      <c r="P42" s="614"/>
      <c r="Q42" s="6"/>
      <c r="R42" s="6"/>
      <c r="S42" s="613"/>
      <c r="T42" s="622"/>
      <c r="U42" s="572"/>
      <c r="V42" s="6"/>
      <c r="W42" s="6"/>
      <c r="X42" s="613"/>
      <c r="Y42" s="614"/>
      <c r="Z42" s="6"/>
      <c r="AA42" s="6"/>
      <c r="AB42" s="613"/>
      <c r="AC42" s="622"/>
      <c r="AD42" s="572"/>
      <c r="AE42" s="6"/>
      <c r="AF42" s="6"/>
      <c r="AG42" s="613"/>
      <c r="AH42" s="614"/>
      <c r="AI42" s="6"/>
      <c r="AJ42" s="6"/>
      <c r="AK42" s="613"/>
    </row>
    <row r="43" spans="1:37" ht="30" x14ac:dyDescent="0.25">
      <c r="A43" s="2206">
        <v>44641</v>
      </c>
      <c r="B43" s="574">
        <v>1</v>
      </c>
      <c r="C43" s="595"/>
      <c r="D43" s="596"/>
      <c r="E43" s="596">
        <v>10</v>
      </c>
      <c r="F43" s="597"/>
      <c r="G43" s="580"/>
      <c r="H43" s="581"/>
      <c r="I43" s="620" t="s">
        <v>325</v>
      </c>
      <c r="J43" s="582"/>
      <c r="L43" s="541"/>
      <c r="M43" s="535"/>
      <c r="N43" s="535"/>
      <c r="O43" s="613"/>
      <c r="P43" s="614"/>
      <c r="Q43" s="6"/>
      <c r="R43" s="6"/>
      <c r="S43" s="613"/>
      <c r="T43" s="622"/>
      <c r="U43" s="572"/>
      <c r="V43" s="6"/>
      <c r="W43" s="6">
        <v>10</v>
      </c>
      <c r="X43" s="613"/>
      <c r="Y43" s="614"/>
      <c r="Z43" s="6"/>
      <c r="AA43" s="6" t="s">
        <v>325</v>
      </c>
      <c r="AB43" s="613"/>
      <c r="AC43" s="622"/>
      <c r="AD43" s="572"/>
      <c r="AE43" s="6"/>
      <c r="AF43" s="6">
        <v>10</v>
      </c>
      <c r="AG43" s="613"/>
      <c r="AH43" s="605"/>
      <c r="AI43" s="6"/>
      <c r="AJ43" s="6" t="s">
        <v>325</v>
      </c>
      <c r="AK43" s="613"/>
    </row>
    <row r="44" spans="1:37" ht="75" x14ac:dyDescent="0.25">
      <c r="A44" s="2205"/>
      <c r="B44" s="574">
        <v>2</v>
      </c>
      <c r="C44" s="595">
        <v>60</v>
      </c>
      <c r="D44" s="596"/>
      <c r="E44" s="596">
        <v>47</v>
      </c>
      <c r="F44" s="597"/>
      <c r="G44" s="583" t="s">
        <v>363</v>
      </c>
      <c r="H44" s="581"/>
      <c r="I44" s="585" t="s">
        <v>340</v>
      </c>
      <c r="J44" s="582"/>
      <c r="L44" s="541"/>
      <c r="M44" s="535"/>
      <c r="N44" s="535"/>
      <c r="O44" s="613"/>
      <c r="P44" s="614"/>
      <c r="Q44" s="6"/>
      <c r="R44" s="6"/>
      <c r="S44" s="613"/>
      <c r="T44" s="622"/>
      <c r="U44" s="572"/>
      <c r="V44" s="6"/>
      <c r="W44" s="6"/>
      <c r="X44" s="613"/>
      <c r="Y44" s="614"/>
      <c r="Z44" s="6"/>
      <c r="AA44" s="605"/>
      <c r="AB44" s="613"/>
      <c r="AC44" s="622"/>
      <c r="AD44" s="572"/>
      <c r="AE44" s="6"/>
      <c r="AF44" s="6"/>
      <c r="AG44" s="613"/>
      <c r="AH44" s="614"/>
      <c r="AI44" s="6"/>
      <c r="AJ44" s="605"/>
      <c r="AK44" s="613"/>
    </row>
    <row r="45" spans="1:37" ht="30" x14ac:dyDescent="0.25">
      <c r="A45" s="2206">
        <v>44642</v>
      </c>
      <c r="B45" s="574">
        <v>1</v>
      </c>
      <c r="C45" s="595"/>
      <c r="D45" s="596"/>
      <c r="E45" s="596">
        <v>7</v>
      </c>
      <c r="F45" s="597"/>
      <c r="G45" s="580"/>
      <c r="H45" s="581"/>
      <c r="I45" s="620" t="s">
        <v>325</v>
      </c>
      <c r="J45" s="582"/>
      <c r="L45" s="541"/>
      <c r="M45" s="6"/>
      <c r="N45" s="535"/>
      <c r="O45" s="613"/>
      <c r="P45" s="614"/>
      <c r="Q45" s="605"/>
      <c r="R45" s="6"/>
      <c r="S45" s="613"/>
      <c r="T45" s="622"/>
      <c r="U45" s="572"/>
      <c r="V45" s="6"/>
      <c r="W45" s="6"/>
      <c r="X45" s="613"/>
      <c r="Y45" s="614"/>
      <c r="Z45" s="6"/>
      <c r="AA45" s="605"/>
      <c r="AB45" s="613"/>
      <c r="AC45" s="622"/>
      <c r="AD45" s="572"/>
      <c r="AE45" s="6"/>
      <c r="AF45" s="6"/>
      <c r="AG45" s="613"/>
      <c r="AH45" s="614"/>
      <c r="AI45" s="6"/>
      <c r="AJ45" s="605"/>
      <c r="AK45" s="613"/>
    </row>
    <row r="46" spans="1:37" ht="30" x14ac:dyDescent="0.25">
      <c r="A46" s="2205"/>
      <c r="B46" s="574">
        <v>2</v>
      </c>
      <c r="C46" s="595"/>
      <c r="D46" s="596">
        <v>31</v>
      </c>
      <c r="E46" s="596">
        <v>19</v>
      </c>
      <c r="F46" s="597"/>
      <c r="G46" s="580"/>
      <c r="H46" s="585" t="s">
        <v>358</v>
      </c>
      <c r="I46" s="585" t="s">
        <v>356</v>
      </c>
      <c r="J46" s="582"/>
      <c r="L46" s="541"/>
      <c r="M46" s="6">
        <v>50</v>
      </c>
      <c r="N46" s="535"/>
      <c r="O46" s="613"/>
      <c r="P46" s="614"/>
      <c r="Q46" s="585" t="s">
        <v>358</v>
      </c>
      <c r="R46" s="6"/>
      <c r="S46" s="613"/>
      <c r="T46" s="622"/>
      <c r="U46" s="572"/>
      <c r="V46" s="6"/>
      <c r="W46" s="6"/>
      <c r="X46" s="613"/>
      <c r="Y46" s="614"/>
      <c r="Z46" s="6"/>
      <c r="AA46" s="605"/>
      <c r="AB46" s="613"/>
      <c r="AC46" s="622"/>
      <c r="AD46" s="572"/>
      <c r="AE46" s="6"/>
      <c r="AF46" s="6"/>
      <c r="AG46" s="613"/>
      <c r="AH46" s="614"/>
      <c r="AI46" s="6"/>
      <c r="AJ46" s="585"/>
      <c r="AK46" s="613"/>
    </row>
    <row r="47" spans="1:37" ht="45" x14ac:dyDescent="0.25">
      <c r="A47" s="2206">
        <v>44643</v>
      </c>
      <c r="B47" s="574">
        <v>1</v>
      </c>
      <c r="C47" s="595"/>
      <c r="D47" s="596"/>
      <c r="E47" s="596"/>
      <c r="F47" s="597"/>
      <c r="G47" s="580"/>
      <c r="H47" s="581"/>
      <c r="I47" s="585"/>
      <c r="J47" s="582"/>
      <c r="L47" s="541"/>
      <c r="M47" s="535"/>
      <c r="N47" s="535"/>
      <c r="O47" s="613"/>
      <c r="P47" s="614"/>
      <c r="Q47" s="6"/>
      <c r="R47" s="6"/>
      <c r="S47" s="613"/>
      <c r="T47" s="622"/>
      <c r="U47" s="572"/>
      <c r="V47" s="6">
        <v>15</v>
      </c>
      <c r="W47" s="6"/>
      <c r="X47" s="613"/>
      <c r="Y47" s="614"/>
      <c r="Z47" s="605" t="s">
        <v>359</v>
      </c>
      <c r="AA47" s="605"/>
      <c r="AB47" s="613"/>
      <c r="AC47" s="622"/>
      <c r="AD47" s="572"/>
      <c r="AE47" s="6"/>
      <c r="AF47" s="6"/>
      <c r="AG47" s="613"/>
      <c r="AH47" s="614"/>
      <c r="AI47" s="6"/>
      <c r="AJ47" s="6"/>
      <c r="AK47" s="613"/>
    </row>
    <row r="48" spans="1:37" ht="60" x14ac:dyDescent="0.25">
      <c r="A48" s="2205"/>
      <c r="B48" s="574">
        <v>2</v>
      </c>
      <c r="C48" s="595"/>
      <c r="D48" s="596"/>
      <c r="E48" s="596">
        <v>12</v>
      </c>
      <c r="F48" s="597">
        <v>27</v>
      </c>
      <c r="G48" s="580"/>
      <c r="H48" s="585"/>
      <c r="I48" s="585" t="s">
        <v>356</v>
      </c>
      <c r="J48" s="584" t="s">
        <v>360</v>
      </c>
      <c r="L48" s="541"/>
      <c r="M48" s="535"/>
      <c r="N48" s="535"/>
      <c r="O48" s="613">
        <v>20</v>
      </c>
      <c r="P48" s="614"/>
      <c r="Q48" s="620"/>
      <c r="R48" s="6"/>
      <c r="S48" s="584" t="s">
        <v>360</v>
      </c>
      <c r="T48" s="622"/>
      <c r="U48" s="572"/>
      <c r="V48" s="6"/>
      <c r="W48" s="6"/>
      <c r="X48" s="613">
        <v>24</v>
      </c>
      <c r="Y48" s="614"/>
      <c r="Z48" s="6"/>
      <c r="AA48" s="6"/>
      <c r="AB48" s="584" t="s">
        <v>360</v>
      </c>
      <c r="AC48" s="622"/>
      <c r="AD48" s="572"/>
      <c r="AE48" s="6"/>
      <c r="AF48" s="6"/>
      <c r="AG48" s="613">
        <v>9</v>
      </c>
      <c r="AH48" s="614"/>
      <c r="AI48" s="6"/>
      <c r="AJ48" s="6"/>
      <c r="AK48" s="584" t="s">
        <v>360</v>
      </c>
    </row>
    <row r="49" spans="1:37" ht="29.25" customHeight="1" x14ac:dyDescent="0.25">
      <c r="A49" s="2206">
        <v>44644</v>
      </c>
      <c r="B49" s="574">
        <v>1</v>
      </c>
      <c r="C49" s="595"/>
      <c r="D49" s="596"/>
      <c r="E49" s="596">
        <v>14</v>
      </c>
      <c r="F49" s="597"/>
      <c r="G49" s="580"/>
      <c r="H49" s="581"/>
      <c r="I49" s="585" t="s">
        <v>356</v>
      </c>
      <c r="J49" s="584"/>
      <c r="L49" s="541"/>
      <c r="M49" s="535"/>
      <c r="N49" s="535"/>
      <c r="O49" s="613"/>
      <c r="P49" s="614"/>
      <c r="Q49" s="6"/>
      <c r="R49" s="6"/>
      <c r="S49" s="634"/>
      <c r="T49" s="622"/>
      <c r="U49" s="572"/>
      <c r="V49" s="6"/>
      <c r="W49" s="6"/>
      <c r="X49" s="613"/>
      <c r="Y49" s="614"/>
      <c r="Z49" s="605"/>
      <c r="AA49" s="605"/>
      <c r="AB49" s="634"/>
      <c r="AC49" s="622"/>
      <c r="AD49" s="572"/>
      <c r="AE49" s="6"/>
      <c r="AF49" s="6"/>
      <c r="AG49" s="613"/>
      <c r="AH49" s="614"/>
      <c r="AI49" s="6"/>
      <c r="AJ49" s="6"/>
      <c r="AK49" s="634"/>
    </row>
    <row r="50" spans="1:37" ht="61.5" customHeight="1" x14ac:dyDescent="0.25">
      <c r="A50" s="2205"/>
      <c r="B50" s="574">
        <v>2</v>
      </c>
      <c r="C50" s="595">
        <v>357</v>
      </c>
      <c r="D50" s="596"/>
      <c r="E50" s="596"/>
      <c r="F50" s="597"/>
      <c r="G50" s="583" t="s">
        <v>361</v>
      </c>
      <c r="H50" s="581"/>
      <c r="I50" s="585"/>
      <c r="J50" s="582"/>
      <c r="L50" s="541"/>
      <c r="M50" s="6"/>
      <c r="N50" s="6"/>
      <c r="O50" s="613"/>
      <c r="P50" s="614"/>
      <c r="Q50" s="605"/>
      <c r="R50" s="605"/>
      <c r="S50" s="613"/>
      <c r="T50" s="622"/>
      <c r="U50" s="572"/>
      <c r="V50" s="6"/>
      <c r="W50" s="6"/>
      <c r="X50" s="613"/>
      <c r="Y50" s="674"/>
      <c r="Z50" s="605"/>
      <c r="AA50" s="605"/>
      <c r="AB50" s="613"/>
      <c r="AC50" s="622"/>
      <c r="AD50" s="572"/>
      <c r="AE50" s="6"/>
      <c r="AF50" s="6"/>
      <c r="AG50" s="613"/>
      <c r="AH50" s="614"/>
      <c r="AI50" s="6"/>
      <c r="AJ50" s="6"/>
      <c r="AK50" s="613"/>
    </row>
    <row r="51" spans="1:37" x14ac:dyDescent="0.25">
      <c r="A51" s="2206">
        <v>44645</v>
      </c>
      <c r="B51" s="574">
        <v>1</v>
      </c>
      <c r="C51" s="595"/>
      <c r="D51" s="596"/>
      <c r="E51" s="596"/>
      <c r="F51" s="597"/>
      <c r="G51" s="580"/>
      <c r="H51" s="581"/>
      <c r="I51" s="585"/>
      <c r="J51" s="582"/>
      <c r="L51" s="541"/>
      <c r="M51" s="535"/>
      <c r="N51" s="535"/>
      <c r="O51" s="613"/>
      <c r="P51" s="614"/>
      <c r="Q51" s="6"/>
      <c r="R51" s="6"/>
      <c r="S51" s="613"/>
      <c r="T51" s="622"/>
      <c r="U51" s="572"/>
      <c r="V51" s="6"/>
      <c r="W51" s="6"/>
      <c r="X51" s="613"/>
      <c r="Y51" s="674"/>
      <c r="Z51" s="6"/>
      <c r="AA51" s="605"/>
      <c r="AB51" s="613"/>
      <c r="AC51" s="622"/>
      <c r="AD51" s="572"/>
      <c r="AE51" s="6"/>
      <c r="AF51" s="6"/>
      <c r="AG51" s="613"/>
      <c r="AH51" s="614"/>
      <c r="AI51" s="6"/>
      <c r="AJ51" s="6"/>
      <c r="AK51" s="613"/>
    </row>
    <row r="52" spans="1:37" ht="60" x14ac:dyDescent="0.25">
      <c r="A52" s="2205"/>
      <c r="B52" s="574">
        <v>2</v>
      </c>
      <c r="C52" s="595"/>
      <c r="D52" s="596">
        <v>110</v>
      </c>
      <c r="E52" s="596">
        <v>10</v>
      </c>
      <c r="F52" s="597"/>
      <c r="G52" s="580"/>
      <c r="H52" s="585" t="s">
        <v>362</v>
      </c>
      <c r="I52" s="585" t="s">
        <v>82</v>
      </c>
      <c r="J52" s="584"/>
      <c r="L52" s="541"/>
      <c r="M52" s="535"/>
      <c r="N52" s="535"/>
      <c r="O52" s="613"/>
      <c r="P52" s="614"/>
      <c r="Q52" s="6"/>
      <c r="R52" s="6"/>
      <c r="S52" s="635"/>
      <c r="T52" s="622"/>
      <c r="U52" s="572"/>
      <c r="V52" s="6"/>
      <c r="W52" s="6"/>
      <c r="X52" s="613"/>
      <c r="Y52" s="674"/>
      <c r="Z52" s="605"/>
      <c r="AA52" s="605"/>
      <c r="AB52" s="635"/>
      <c r="AC52" s="622"/>
      <c r="AD52" s="572"/>
      <c r="AE52" s="6"/>
      <c r="AF52" s="6"/>
      <c r="AG52" s="613"/>
      <c r="AH52" s="614"/>
      <c r="AI52" s="6"/>
      <c r="AJ52" s="6"/>
      <c r="AK52" s="635"/>
    </row>
    <row r="53" spans="1:37" ht="45" x14ac:dyDescent="0.25">
      <c r="A53" s="2206">
        <v>44646</v>
      </c>
      <c r="B53" s="574">
        <v>1</v>
      </c>
      <c r="C53" s="595"/>
      <c r="D53" s="596"/>
      <c r="E53" s="596"/>
      <c r="F53" s="597"/>
      <c r="G53" s="580"/>
      <c r="H53" s="581"/>
      <c r="I53" s="581"/>
      <c r="J53" s="582"/>
      <c r="L53" s="541"/>
      <c r="M53" s="535"/>
      <c r="N53" s="535"/>
      <c r="O53" s="613"/>
      <c r="P53" s="614"/>
      <c r="Q53" s="6"/>
      <c r="R53" s="6"/>
      <c r="S53" s="613"/>
      <c r="T53" s="622"/>
      <c r="U53" s="572"/>
      <c r="V53" s="6"/>
      <c r="W53" s="6"/>
      <c r="X53" s="613"/>
      <c r="Y53" s="674"/>
      <c r="Z53" s="6"/>
      <c r="AA53" s="6"/>
      <c r="AB53" s="613"/>
      <c r="AC53" s="622"/>
      <c r="AD53" s="572"/>
      <c r="AE53" s="605">
        <v>20</v>
      </c>
      <c r="AF53" s="6"/>
      <c r="AG53" s="613"/>
      <c r="AH53" s="614"/>
      <c r="AI53" s="605" t="s">
        <v>364</v>
      </c>
      <c r="AJ53" s="605"/>
      <c r="AK53" s="613"/>
    </row>
    <row r="54" spans="1:37" ht="60" customHeight="1" x14ac:dyDescent="0.25">
      <c r="A54" s="2205"/>
      <c r="B54" s="672">
        <v>2</v>
      </c>
      <c r="C54" s="595"/>
      <c r="D54" s="596"/>
      <c r="E54" s="596"/>
      <c r="F54" s="597"/>
      <c r="G54" s="580"/>
      <c r="H54" s="581"/>
      <c r="I54" s="585"/>
      <c r="J54" s="582"/>
      <c r="L54" s="541"/>
      <c r="M54" s="535"/>
      <c r="N54" s="535"/>
      <c r="O54" s="613"/>
      <c r="P54" s="614"/>
      <c r="Q54" s="6"/>
      <c r="R54" s="6"/>
      <c r="S54" s="613"/>
      <c r="T54" s="622"/>
      <c r="U54" s="572"/>
      <c r="V54" s="6"/>
      <c r="W54" s="6"/>
      <c r="X54" s="613"/>
      <c r="Y54" s="2232"/>
      <c r="Z54" s="2233"/>
      <c r="AA54" s="2234"/>
      <c r="AB54" s="613"/>
      <c r="AC54" s="622"/>
      <c r="AD54" s="572"/>
      <c r="AE54" s="6"/>
      <c r="AF54" s="6"/>
      <c r="AG54" s="613"/>
      <c r="AH54" s="614"/>
      <c r="AI54" s="6"/>
      <c r="AJ54" s="6"/>
      <c r="AK54" s="613"/>
    </row>
    <row r="55" spans="1:37" x14ac:dyDescent="0.25">
      <c r="A55" s="2206">
        <v>44647</v>
      </c>
      <c r="B55" s="574">
        <v>1</v>
      </c>
      <c r="C55" s="595"/>
      <c r="D55" s="596"/>
      <c r="E55" s="596"/>
      <c r="F55" s="597"/>
      <c r="G55" s="580"/>
      <c r="H55" s="581"/>
      <c r="I55" s="585"/>
      <c r="J55" s="582"/>
      <c r="L55" s="541"/>
      <c r="M55" s="535"/>
      <c r="N55" s="535"/>
      <c r="O55" s="613"/>
      <c r="P55" s="614"/>
      <c r="Q55" s="6"/>
      <c r="R55" s="6"/>
      <c r="S55" s="613"/>
      <c r="T55" s="622"/>
      <c r="U55" s="572"/>
      <c r="V55" s="6"/>
      <c r="W55" s="6"/>
      <c r="X55" s="613"/>
      <c r="Y55" s="614"/>
      <c r="Z55" s="6"/>
      <c r="AA55" s="6"/>
      <c r="AB55" s="613"/>
      <c r="AC55" s="622"/>
      <c r="AD55" s="572"/>
      <c r="AE55" s="6"/>
      <c r="AF55" s="6"/>
      <c r="AG55" s="613"/>
      <c r="AH55" s="614"/>
      <c r="AI55" s="6"/>
      <c r="AJ55" s="6"/>
      <c r="AK55" s="613"/>
    </row>
    <row r="56" spans="1:37" x14ac:dyDescent="0.25">
      <c r="A56" s="2205"/>
      <c r="B56" s="672">
        <v>2</v>
      </c>
      <c r="C56" s="595"/>
      <c r="D56" s="596"/>
      <c r="E56" s="596"/>
      <c r="F56" s="597"/>
      <c r="G56" s="580"/>
      <c r="H56" s="581"/>
      <c r="I56" s="585"/>
      <c r="J56" s="582"/>
      <c r="L56" s="541"/>
      <c r="M56" s="535"/>
      <c r="N56" s="535"/>
      <c r="O56" s="613"/>
      <c r="P56" s="614"/>
      <c r="Q56" s="6"/>
      <c r="R56" s="6"/>
      <c r="S56" s="613"/>
      <c r="T56" s="622"/>
      <c r="U56" s="572"/>
      <c r="V56" s="6"/>
      <c r="W56" s="6"/>
      <c r="X56" s="613"/>
      <c r="Y56" s="674"/>
      <c r="Z56" s="605"/>
      <c r="AA56" s="581"/>
      <c r="AB56" s="613"/>
      <c r="AC56" s="622"/>
      <c r="AD56" s="572"/>
      <c r="AE56" s="6"/>
      <c r="AF56" s="6"/>
      <c r="AG56" s="613"/>
      <c r="AH56" s="614"/>
      <c r="AI56" s="605"/>
      <c r="AJ56" s="581"/>
      <c r="AK56" s="613"/>
    </row>
    <row r="57" spans="1:37" ht="62.25" customHeight="1" x14ac:dyDescent="0.25">
      <c r="A57" s="2206">
        <v>44648</v>
      </c>
      <c r="B57" s="574">
        <v>1</v>
      </c>
      <c r="C57" s="595"/>
      <c r="D57" s="596"/>
      <c r="E57" s="596"/>
      <c r="F57" s="597"/>
      <c r="G57" s="580"/>
      <c r="H57" s="581"/>
      <c r="I57" s="585"/>
      <c r="J57" s="582"/>
      <c r="L57" s="541"/>
      <c r="M57" s="535"/>
      <c r="N57" s="535"/>
      <c r="O57" s="613"/>
      <c r="P57" s="614"/>
      <c r="Q57" s="6"/>
      <c r="R57" s="605"/>
      <c r="S57" s="613"/>
      <c r="T57" s="622"/>
      <c r="U57" s="572"/>
      <c r="V57" s="6"/>
      <c r="W57" s="6"/>
      <c r="X57" s="613"/>
      <c r="Y57" s="674"/>
      <c r="Z57" s="605"/>
      <c r="AA57" s="605"/>
      <c r="AB57" s="613"/>
      <c r="AC57" s="622"/>
      <c r="AD57" s="572"/>
      <c r="AE57" s="6"/>
      <c r="AF57" s="6"/>
      <c r="AG57" s="613"/>
      <c r="AH57" s="614"/>
      <c r="AI57" s="6"/>
      <c r="AJ57" s="585"/>
      <c r="AK57" s="613"/>
    </row>
    <row r="58" spans="1:37" x14ac:dyDescent="0.25">
      <c r="A58" s="2205"/>
      <c r="B58" s="672">
        <v>2</v>
      </c>
      <c r="C58" s="595"/>
      <c r="D58" s="596"/>
      <c r="E58" s="596">
        <v>21</v>
      </c>
      <c r="F58" s="597"/>
      <c r="G58" s="583"/>
      <c r="H58" s="581"/>
      <c r="I58" s="581" t="s">
        <v>152</v>
      </c>
      <c r="J58" s="582"/>
      <c r="L58" s="541"/>
      <c r="M58" s="535"/>
      <c r="N58" s="535"/>
      <c r="O58" s="613"/>
      <c r="P58" s="614"/>
      <c r="Q58" s="6"/>
      <c r="R58" s="6"/>
      <c r="S58" s="613"/>
      <c r="T58" s="622"/>
      <c r="U58" s="572"/>
      <c r="V58" s="6"/>
      <c r="W58" s="6">
        <v>15</v>
      </c>
      <c r="X58" s="613"/>
      <c r="Y58" s="614"/>
      <c r="Z58" s="605"/>
      <c r="AA58" s="6" t="s">
        <v>152</v>
      </c>
      <c r="AB58" s="613"/>
      <c r="AC58" s="622"/>
      <c r="AD58" s="572"/>
      <c r="AE58" s="6"/>
      <c r="AF58" s="6"/>
      <c r="AG58" s="613"/>
      <c r="AH58" s="614"/>
      <c r="AI58" s="6"/>
      <c r="AJ58" s="6"/>
      <c r="AK58" s="613"/>
    </row>
    <row r="59" spans="1:37" x14ac:dyDescent="0.25">
      <c r="A59" s="2206">
        <v>44649</v>
      </c>
      <c r="B59" s="574">
        <v>1</v>
      </c>
      <c r="C59" s="595"/>
      <c r="D59" s="596"/>
      <c r="E59" s="596"/>
      <c r="F59" s="597"/>
      <c r="G59" s="580"/>
      <c r="H59" s="581"/>
      <c r="I59" s="6"/>
      <c r="J59" s="582"/>
      <c r="L59" s="541"/>
      <c r="M59" s="535"/>
      <c r="N59" s="535"/>
      <c r="O59" s="613"/>
      <c r="P59" s="614"/>
      <c r="Q59" s="605"/>
      <c r="R59" s="6"/>
      <c r="S59" s="613"/>
      <c r="T59" s="622"/>
      <c r="U59" s="572"/>
      <c r="V59" s="6"/>
      <c r="W59" s="6"/>
      <c r="X59" s="613"/>
      <c r="Y59" s="614"/>
      <c r="Z59" s="6"/>
      <c r="AA59" s="6"/>
      <c r="AB59" s="613"/>
      <c r="AC59" s="622"/>
      <c r="AD59" s="572"/>
      <c r="AE59" s="6"/>
      <c r="AF59" s="6"/>
      <c r="AG59" s="613"/>
      <c r="AH59" s="674"/>
      <c r="AI59" s="6"/>
      <c r="AJ59" s="6"/>
      <c r="AK59" s="613"/>
    </row>
    <row r="60" spans="1:37" x14ac:dyDescent="0.25">
      <c r="A60" s="2205"/>
      <c r="B60" s="672">
        <v>2</v>
      </c>
      <c r="C60" s="595"/>
      <c r="D60" s="596"/>
      <c r="E60" s="596"/>
      <c r="F60" s="597"/>
      <c r="G60" s="583"/>
      <c r="H60" s="585"/>
      <c r="I60" s="581"/>
      <c r="J60" s="582"/>
      <c r="L60" s="541"/>
      <c r="M60" s="535"/>
      <c r="N60" s="535"/>
      <c r="O60" s="613"/>
      <c r="P60" s="614"/>
      <c r="Q60" s="6"/>
      <c r="R60" s="6"/>
      <c r="S60" s="613"/>
      <c r="T60" s="622"/>
      <c r="U60" s="572"/>
      <c r="V60" s="6"/>
      <c r="W60" s="6"/>
      <c r="X60" s="613"/>
      <c r="Y60" s="614"/>
      <c r="Z60" s="605"/>
      <c r="AA60" s="6"/>
      <c r="AB60" s="613"/>
      <c r="AC60" s="622"/>
      <c r="AD60" s="572"/>
      <c r="AE60" s="6"/>
      <c r="AF60" s="6"/>
      <c r="AG60" s="613"/>
      <c r="AH60" s="614"/>
      <c r="AI60" s="6"/>
      <c r="AJ60" s="6"/>
      <c r="AK60" s="613"/>
    </row>
    <row r="61" spans="1:37" ht="90" customHeight="1" x14ac:dyDescent="0.25">
      <c r="A61" s="2206">
        <v>44650</v>
      </c>
      <c r="B61" s="574">
        <v>1</v>
      </c>
      <c r="C61" s="595"/>
      <c r="D61" s="596"/>
      <c r="E61" s="596"/>
      <c r="F61" s="597">
        <v>700</v>
      </c>
      <c r="G61" s="580"/>
      <c r="H61" s="581"/>
      <c r="I61" s="581"/>
      <c r="J61" s="2230" t="s">
        <v>365</v>
      </c>
      <c r="L61" s="541"/>
      <c r="M61" s="535"/>
      <c r="N61" s="535"/>
      <c r="O61" s="597">
        <v>700</v>
      </c>
      <c r="P61" s="580"/>
      <c r="Q61" s="581"/>
      <c r="R61" s="581"/>
      <c r="S61" s="2230" t="s">
        <v>365</v>
      </c>
      <c r="T61" s="622"/>
      <c r="U61" s="572"/>
      <c r="V61" s="6"/>
      <c r="W61" s="6"/>
      <c r="X61" s="597">
        <v>700</v>
      </c>
      <c r="Y61" s="580"/>
      <c r="Z61" s="581"/>
      <c r="AA61" s="581"/>
      <c r="AB61" s="2230" t="s">
        <v>365</v>
      </c>
      <c r="AC61" s="622"/>
      <c r="AD61" s="572"/>
      <c r="AE61" s="6"/>
      <c r="AF61" s="6"/>
      <c r="AG61" s="597">
        <v>700</v>
      </c>
      <c r="AH61" s="580"/>
      <c r="AI61" s="581"/>
      <c r="AJ61" s="581"/>
      <c r="AK61" s="2230" t="s">
        <v>365</v>
      </c>
    </row>
    <row r="62" spans="1:37" x14ac:dyDescent="0.25">
      <c r="A62" s="2205"/>
      <c r="B62" s="672">
        <v>2</v>
      </c>
      <c r="C62" s="595"/>
      <c r="D62" s="596"/>
      <c r="E62" s="596"/>
      <c r="F62" s="597">
        <v>465</v>
      </c>
      <c r="G62" s="583"/>
      <c r="H62" s="581"/>
      <c r="I62" s="581"/>
      <c r="J62" s="2231"/>
      <c r="L62" s="541"/>
      <c r="M62" s="535"/>
      <c r="N62" s="535"/>
      <c r="O62" s="613">
        <v>473</v>
      </c>
      <c r="P62" s="614"/>
      <c r="Q62" s="6"/>
      <c r="R62" s="6"/>
      <c r="S62" s="2231"/>
      <c r="T62" s="622"/>
      <c r="U62" s="572"/>
      <c r="V62" s="6"/>
      <c r="W62" s="6"/>
      <c r="X62" s="613">
        <v>468</v>
      </c>
      <c r="Y62" s="614"/>
      <c r="Z62" s="6"/>
      <c r="AA62" s="605"/>
      <c r="AB62" s="2231"/>
      <c r="AC62" s="622"/>
      <c r="AD62" s="572"/>
      <c r="AE62" s="6"/>
      <c r="AF62" s="6"/>
      <c r="AG62" s="613">
        <v>477</v>
      </c>
      <c r="AH62" s="614"/>
      <c r="AI62" s="6"/>
      <c r="AJ62" s="6"/>
      <c r="AK62" s="2231"/>
    </row>
    <row r="63" spans="1:37" x14ac:dyDescent="0.25">
      <c r="A63" s="2206">
        <v>44651</v>
      </c>
      <c r="B63" s="574">
        <v>1</v>
      </c>
      <c r="C63" s="595"/>
      <c r="D63" s="596"/>
      <c r="E63" s="596"/>
      <c r="F63" s="597"/>
      <c r="G63" s="580"/>
      <c r="H63" s="581"/>
      <c r="I63" s="581"/>
      <c r="J63" s="582"/>
      <c r="L63" s="541"/>
      <c r="M63" s="535"/>
      <c r="N63" s="535"/>
      <c r="O63" s="613"/>
      <c r="P63" s="614"/>
      <c r="Q63" s="6"/>
      <c r="R63" s="6"/>
      <c r="S63" s="613"/>
      <c r="T63" s="622"/>
      <c r="U63" s="572"/>
      <c r="V63" s="6"/>
      <c r="W63" s="6"/>
      <c r="X63" s="613"/>
      <c r="Y63" s="614"/>
      <c r="Z63" s="6"/>
      <c r="AA63" s="6"/>
      <c r="AB63" s="613"/>
      <c r="AC63" s="622"/>
      <c r="AD63" s="572"/>
      <c r="AE63" s="6"/>
      <c r="AF63" s="6"/>
      <c r="AG63" s="613"/>
      <c r="AH63" s="614"/>
      <c r="AI63" s="6"/>
      <c r="AJ63" s="6"/>
      <c r="AK63" s="613"/>
    </row>
    <row r="64" spans="1:37" x14ac:dyDescent="0.25">
      <c r="A64" s="2205"/>
      <c r="B64" s="574">
        <v>2</v>
      </c>
      <c r="C64" s="598"/>
      <c r="D64" s="599"/>
      <c r="E64" s="599"/>
      <c r="F64" s="600"/>
      <c r="G64" s="647"/>
      <c r="H64" s="587"/>
      <c r="I64" s="587"/>
      <c r="J64" s="645"/>
      <c r="L64" s="542"/>
      <c r="M64" s="538"/>
      <c r="N64" s="538"/>
      <c r="O64" s="636"/>
      <c r="P64" s="637"/>
      <c r="Q64" s="638"/>
      <c r="R64" s="638"/>
      <c r="S64" s="646"/>
      <c r="T64" s="622"/>
      <c r="U64" s="639"/>
      <c r="V64" s="638"/>
      <c r="W64" s="638"/>
      <c r="X64" s="636"/>
      <c r="Y64" s="640"/>
      <c r="Z64" s="638"/>
      <c r="AA64" s="638"/>
      <c r="AB64" s="646"/>
      <c r="AC64" s="622"/>
      <c r="AD64" s="639"/>
      <c r="AE64" s="638"/>
      <c r="AF64" s="638"/>
      <c r="AG64" s="636"/>
      <c r="AH64" s="637"/>
      <c r="AI64" s="638"/>
      <c r="AJ64" s="671"/>
      <c r="AK64" s="646"/>
    </row>
    <row r="65" spans="1:33" x14ac:dyDescent="0.25">
      <c r="A65" s="524" t="s">
        <v>225</v>
      </c>
      <c r="C65" s="525">
        <f>SUM(C3:C64)</f>
        <v>632</v>
      </c>
      <c r="D65" s="525">
        <f>SUM(D3:D64)</f>
        <v>539</v>
      </c>
      <c r="E65" s="525">
        <f>SUM(E3:E64)</f>
        <v>524</v>
      </c>
      <c r="F65" s="525">
        <f>SUM(F3:F64)</f>
        <v>1849</v>
      </c>
      <c r="L65" s="525">
        <f>SUM(L3:L64)</f>
        <v>0</v>
      </c>
      <c r="M65" s="525">
        <f>SUM(M3:M64)</f>
        <v>187</v>
      </c>
      <c r="N65" s="525">
        <f>SUM(N3:N64)</f>
        <v>0</v>
      </c>
      <c r="O65" s="525">
        <f>SUM(O3:O64)</f>
        <v>1853</v>
      </c>
      <c r="U65" s="525">
        <f>SUM(U3:U64)</f>
        <v>870</v>
      </c>
      <c r="V65" s="525">
        <f>SUM(V3:V64)</f>
        <v>15</v>
      </c>
      <c r="W65" s="525">
        <f>SUM(W3:W64)</f>
        <v>505</v>
      </c>
      <c r="X65" s="525">
        <f>SUM(X3:X64)</f>
        <v>1852</v>
      </c>
      <c r="AD65" s="525">
        <f>SUM(AD3:AD64)</f>
        <v>0</v>
      </c>
      <c r="AE65" s="525">
        <f>SUM(AE3:AE64)</f>
        <v>65</v>
      </c>
      <c r="AF65" s="525">
        <f>SUM(AF3:AF64)</f>
        <v>36</v>
      </c>
      <c r="AG65" s="525">
        <f>SUM(AG3:AG64)</f>
        <v>1846</v>
      </c>
    </row>
    <row r="73" spans="1:33" ht="15.75" thickBot="1" x14ac:dyDescent="0.3"/>
    <row r="74" spans="1:33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33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33" ht="21.75" customHeight="1" x14ac:dyDescent="0.3">
      <c r="B76" s="651" t="s">
        <v>218</v>
      </c>
      <c r="C76" s="652">
        <f>C65</f>
        <v>632</v>
      </c>
      <c r="D76" s="653">
        <f>C76/60</f>
        <v>10.533333333333333</v>
      </c>
      <c r="E76" s="652">
        <f>D65</f>
        <v>539</v>
      </c>
      <c r="F76" s="654">
        <f>E76/60</f>
        <v>8.9833333333333325</v>
      </c>
      <c r="G76" s="652">
        <f>E65</f>
        <v>524</v>
      </c>
      <c r="H76" s="653">
        <f>G76/60</f>
        <v>8.7333333333333325</v>
      </c>
      <c r="I76" s="652">
        <f>F65</f>
        <v>1849</v>
      </c>
      <c r="J76" s="653">
        <f>I76/60</f>
        <v>30.816666666666666</v>
      </c>
    </row>
    <row r="77" spans="1:33" ht="19.5" customHeight="1" x14ac:dyDescent="0.3">
      <c r="B77" s="651" t="s">
        <v>219</v>
      </c>
      <c r="C77" s="655">
        <f>L65</f>
        <v>0</v>
      </c>
      <c r="D77" s="656">
        <f t="shared" ref="D77:F79" si="0">C77/60</f>
        <v>0</v>
      </c>
      <c r="E77" s="655">
        <f>M65</f>
        <v>187</v>
      </c>
      <c r="F77" s="657">
        <f t="shared" si="0"/>
        <v>3.1166666666666667</v>
      </c>
      <c r="G77" s="655">
        <f>N65</f>
        <v>0</v>
      </c>
      <c r="H77" s="656">
        <f t="shared" ref="H77:J79" si="1">G77/60</f>
        <v>0</v>
      </c>
      <c r="I77" s="655">
        <f>O65</f>
        <v>1853</v>
      </c>
      <c r="J77" s="656">
        <f t="shared" si="1"/>
        <v>30.883333333333333</v>
      </c>
    </row>
    <row r="78" spans="1:33" ht="20.25" customHeight="1" x14ac:dyDescent="0.3">
      <c r="B78" s="651" t="s">
        <v>220</v>
      </c>
      <c r="C78" s="655">
        <f>U65</f>
        <v>870</v>
      </c>
      <c r="D78" s="656">
        <f t="shared" si="0"/>
        <v>14.5</v>
      </c>
      <c r="E78" s="655">
        <f>V65</f>
        <v>15</v>
      </c>
      <c r="F78" s="657">
        <f t="shared" si="0"/>
        <v>0.25</v>
      </c>
      <c r="G78" s="655">
        <f>W65</f>
        <v>505</v>
      </c>
      <c r="H78" s="656">
        <f t="shared" si="1"/>
        <v>8.4166666666666661</v>
      </c>
      <c r="I78" s="655">
        <f>X65</f>
        <v>1852</v>
      </c>
      <c r="J78" s="656">
        <f t="shared" si="1"/>
        <v>30.866666666666667</v>
      </c>
    </row>
    <row r="79" spans="1:33" ht="22.5" customHeight="1" thickBot="1" x14ac:dyDescent="0.35">
      <c r="B79" s="651" t="s">
        <v>221</v>
      </c>
      <c r="C79" s="658">
        <f>AD65</f>
        <v>0</v>
      </c>
      <c r="D79" s="659">
        <f t="shared" si="0"/>
        <v>0</v>
      </c>
      <c r="E79" s="658">
        <f>AE65</f>
        <v>65</v>
      </c>
      <c r="F79" s="660">
        <f t="shared" si="0"/>
        <v>1.0833333333333333</v>
      </c>
      <c r="G79" s="658">
        <f>AF65</f>
        <v>36</v>
      </c>
      <c r="H79" s="659">
        <f t="shared" si="1"/>
        <v>0.6</v>
      </c>
      <c r="I79" s="658">
        <f>AG65</f>
        <v>1846</v>
      </c>
      <c r="J79" s="659">
        <f t="shared" si="1"/>
        <v>30.766666666666666</v>
      </c>
    </row>
    <row r="80" spans="1:33" ht="19.5" thickBot="1" x14ac:dyDescent="0.35">
      <c r="B80" s="419"/>
      <c r="C80" s="301"/>
      <c r="D80" s="301"/>
      <c r="E80" s="301"/>
      <c r="F80" s="301"/>
      <c r="G80" s="301"/>
      <c r="H80" s="301"/>
      <c r="I80" s="301"/>
      <c r="J80" s="301"/>
    </row>
    <row r="81" spans="2:10" ht="19.5" thickBot="1" x14ac:dyDescent="0.35">
      <c r="B81" s="661" t="s">
        <v>217</v>
      </c>
      <c r="C81" s="666"/>
      <c r="D81" s="667">
        <f>SUM(D76:D80)</f>
        <v>25.033333333333331</v>
      </c>
      <c r="E81" s="666"/>
      <c r="F81" s="667">
        <f>SUM(F76:F80)</f>
        <v>13.433333333333334</v>
      </c>
      <c r="G81" s="666"/>
      <c r="H81" s="667">
        <f>SUM(H76:H80)</f>
        <v>17.75</v>
      </c>
      <c r="I81" s="666"/>
      <c r="J81" s="668">
        <f>SUM(J76:J80)</f>
        <v>123.33333333333333</v>
      </c>
    </row>
  </sheetData>
  <mergeCells count="50">
    <mergeCell ref="A9:A10"/>
    <mergeCell ref="C1:F1"/>
    <mergeCell ref="G1:J1"/>
    <mergeCell ref="L1:O1"/>
    <mergeCell ref="P1:S1"/>
    <mergeCell ref="AD1:AG1"/>
    <mergeCell ref="AH1:AK1"/>
    <mergeCell ref="A3:A4"/>
    <mergeCell ref="A5:A6"/>
    <mergeCell ref="A7:A8"/>
    <mergeCell ref="U1:X1"/>
    <mergeCell ref="Y1:AB1"/>
    <mergeCell ref="A11:A12"/>
    <mergeCell ref="A13:A14"/>
    <mergeCell ref="A15:A16"/>
    <mergeCell ref="A17:A18"/>
    <mergeCell ref="A19:A20"/>
    <mergeCell ref="AH25:AH26"/>
    <mergeCell ref="A27:A28"/>
    <mergeCell ref="A29:A30"/>
    <mergeCell ref="A21:A22"/>
    <mergeCell ref="A31:A32"/>
    <mergeCell ref="J32:J33"/>
    <mergeCell ref="A33:A34"/>
    <mergeCell ref="A51:A52"/>
    <mergeCell ref="A53:A54"/>
    <mergeCell ref="A39:A40"/>
    <mergeCell ref="A23:A24"/>
    <mergeCell ref="A25:A26"/>
    <mergeCell ref="A35:A36"/>
    <mergeCell ref="A37:A38"/>
    <mergeCell ref="A41:A42"/>
    <mergeCell ref="A43:A44"/>
    <mergeCell ref="A45:A46"/>
    <mergeCell ref="A47:A48"/>
    <mergeCell ref="A49:A50"/>
    <mergeCell ref="Y54:AA54"/>
    <mergeCell ref="A55:A56"/>
    <mergeCell ref="A57:A58"/>
    <mergeCell ref="A59:A60"/>
    <mergeCell ref="A63:A64"/>
    <mergeCell ref="A61:A62"/>
    <mergeCell ref="AK61:AK62"/>
    <mergeCell ref="AB61:AB62"/>
    <mergeCell ref="S61:S62"/>
    <mergeCell ref="J61:J62"/>
    <mergeCell ref="C74:D74"/>
    <mergeCell ref="E74:F74"/>
    <mergeCell ref="G74:H74"/>
    <mergeCell ref="I74:J74"/>
  </mergeCells>
  <pageMargins left="0.7" right="0.7" top="0.75" bottom="0.75" header="0.3" footer="0.3"/>
  <pageSetup paperSize="9" orientation="portrait" horizontalDpi="180" verticalDpi="180" r:id="rId1"/>
  <ignoredErrors>
    <ignoredError sqref="I76:I79 G76:G79 E76:E79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zoomScale="70" zoomScaleNormal="70" workbookViewId="0">
      <pane xSplit="2" ySplit="2" topLeftCell="Q21" activePane="bottomRight" state="frozen"/>
      <selection pane="topRight" activeCell="C1" sqref="C1"/>
      <selection pane="bottomLeft" activeCell="A3" sqref="A3"/>
      <selection pane="bottomRight" activeCell="H79" sqref="H79"/>
    </sheetView>
  </sheetViews>
  <sheetFormatPr defaultColWidth="8.85546875" defaultRowHeight="15" x14ac:dyDescent="0.25"/>
  <cols>
    <col min="1" max="1" width="14.5703125" style="524" customWidth="1"/>
    <col min="2" max="2" width="15.7109375" style="525" customWidth="1"/>
    <col min="3" max="3" width="10.7109375" style="524" customWidth="1"/>
    <col min="4" max="5" width="10.28515625" style="524" customWidth="1"/>
    <col min="6" max="6" width="10.85546875" style="524" customWidth="1"/>
    <col min="7" max="7" width="17.7109375" style="524" bestFit="1" customWidth="1"/>
    <col min="8" max="8" width="19.28515625" style="524" customWidth="1"/>
    <col min="9" max="9" width="17.140625" style="524" customWidth="1"/>
    <col min="10" max="10" width="24.28515625" style="524" customWidth="1"/>
    <col min="11" max="11" width="8.85546875" style="524"/>
    <col min="12" max="13" width="9.7109375" style="524" customWidth="1"/>
    <col min="14" max="14" width="6.28515625" style="524" customWidth="1"/>
    <col min="15" max="15" width="9.85546875" style="524" customWidth="1"/>
    <col min="16" max="16" width="16.85546875" style="524" customWidth="1"/>
    <col min="17" max="17" width="17.28515625" style="524" customWidth="1"/>
    <col min="18" max="18" width="21.7109375" style="524" customWidth="1"/>
    <col min="19" max="19" width="15.28515625" style="524" bestFit="1" customWidth="1"/>
    <col min="20" max="21" width="8.85546875" style="524"/>
    <col min="22" max="22" width="15.42578125" style="524" customWidth="1"/>
    <col min="23" max="23" width="8.85546875" style="524"/>
    <col min="24" max="24" width="9.42578125" style="524" bestFit="1" customWidth="1"/>
    <col min="25" max="26" width="17.140625" style="524" customWidth="1"/>
    <col min="27" max="27" width="18.42578125" style="524" customWidth="1"/>
    <col min="28" max="28" width="15.28515625" style="524" customWidth="1"/>
    <col min="29" max="33" width="8.85546875" style="524"/>
    <col min="34" max="34" width="17.7109375" style="524" bestFit="1" customWidth="1"/>
    <col min="35" max="35" width="15" style="524" bestFit="1" customWidth="1"/>
    <col min="36" max="36" width="15.85546875" style="524" customWidth="1"/>
    <col min="37" max="37" width="15.28515625" style="524" customWidth="1"/>
    <col min="38" max="16384" width="8.85546875" style="524"/>
  </cols>
  <sheetData>
    <row r="1" spans="1:37" x14ac:dyDescent="0.25">
      <c r="C1" s="2217" t="s">
        <v>1</v>
      </c>
      <c r="D1" s="2212"/>
      <c r="E1" s="2212"/>
      <c r="F1" s="2212"/>
      <c r="G1" s="2211" t="s">
        <v>206</v>
      </c>
      <c r="H1" s="2209"/>
      <c r="I1" s="2209"/>
      <c r="J1" s="2210"/>
      <c r="L1" s="2212" t="s">
        <v>202</v>
      </c>
      <c r="M1" s="2212"/>
      <c r="N1" s="2212"/>
      <c r="O1" s="2212"/>
      <c r="P1" s="2209" t="s">
        <v>206</v>
      </c>
      <c r="Q1" s="2209"/>
      <c r="R1" s="2209"/>
      <c r="S1" s="2210"/>
      <c r="U1" s="2212" t="s">
        <v>2</v>
      </c>
      <c r="V1" s="2212"/>
      <c r="W1" s="2212"/>
      <c r="X1" s="2212"/>
      <c r="Y1" s="2209" t="s">
        <v>206</v>
      </c>
      <c r="Z1" s="2209"/>
      <c r="AA1" s="2209"/>
      <c r="AB1" s="2210"/>
      <c r="AD1" s="2212" t="s">
        <v>203</v>
      </c>
      <c r="AE1" s="2212"/>
      <c r="AF1" s="2212"/>
      <c r="AG1" s="2212"/>
      <c r="AH1" s="2209" t="s">
        <v>206</v>
      </c>
      <c r="AI1" s="2209"/>
      <c r="AJ1" s="2209"/>
      <c r="AK1" s="2210"/>
    </row>
    <row r="2" spans="1:37" ht="15.75" thickBot="1" x14ac:dyDescent="0.3">
      <c r="A2" s="531" t="s">
        <v>0</v>
      </c>
      <c r="B2" s="532" t="s">
        <v>198</v>
      </c>
      <c r="C2" s="529" t="s">
        <v>199</v>
      </c>
      <c r="D2" s="526" t="s">
        <v>200</v>
      </c>
      <c r="E2" s="526" t="s">
        <v>201</v>
      </c>
      <c r="F2" s="526" t="s">
        <v>204</v>
      </c>
      <c r="G2" s="575" t="s">
        <v>199</v>
      </c>
      <c r="H2" s="575" t="s">
        <v>200</v>
      </c>
      <c r="I2" s="575" t="s">
        <v>201</v>
      </c>
      <c r="J2" s="575" t="s">
        <v>204</v>
      </c>
      <c r="K2" s="524" t="s">
        <v>269</v>
      </c>
      <c r="L2" s="526" t="s">
        <v>199</v>
      </c>
      <c r="M2" s="526" t="s">
        <v>200</v>
      </c>
      <c r="N2" s="526" t="s">
        <v>201</v>
      </c>
      <c r="O2" s="526" t="s">
        <v>204</v>
      </c>
      <c r="P2" s="527" t="s">
        <v>199</v>
      </c>
      <c r="Q2" s="526" t="s">
        <v>200</v>
      </c>
      <c r="R2" s="526" t="s">
        <v>201</v>
      </c>
      <c r="S2" s="526" t="s">
        <v>204</v>
      </c>
      <c r="U2" s="526" t="s">
        <v>199</v>
      </c>
      <c r="V2" s="526" t="s">
        <v>200</v>
      </c>
      <c r="W2" s="526" t="s">
        <v>201</v>
      </c>
      <c r="X2" s="526" t="s">
        <v>204</v>
      </c>
      <c r="Y2" s="650" t="s">
        <v>199</v>
      </c>
      <c r="Z2" s="526" t="s">
        <v>200</v>
      </c>
      <c r="AA2" s="526" t="s">
        <v>201</v>
      </c>
      <c r="AB2" s="526" t="s">
        <v>204</v>
      </c>
      <c r="AD2" s="526" t="s">
        <v>199</v>
      </c>
      <c r="AE2" s="526" t="s">
        <v>200</v>
      </c>
      <c r="AF2" s="526" t="s">
        <v>201</v>
      </c>
      <c r="AG2" s="526" t="s">
        <v>204</v>
      </c>
      <c r="AH2" s="527" t="s">
        <v>199</v>
      </c>
      <c r="AI2" s="526" t="s">
        <v>200</v>
      </c>
      <c r="AJ2" s="526" t="s">
        <v>201</v>
      </c>
      <c r="AK2" s="526" t="s">
        <v>204</v>
      </c>
    </row>
    <row r="3" spans="1:37" ht="30.75" thickTop="1" x14ac:dyDescent="0.25">
      <c r="A3" s="2206">
        <v>44652</v>
      </c>
      <c r="B3" s="679">
        <v>1</v>
      </c>
      <c r="C3" s="592"/>
      <c r="D3" s="593"/>
      <c r="E3" s="593">
        <v>20</v>
      </c>
      <c r="F3" s="594"/>
      <c r="G3" s="685"/>
      <c r="H3" s="619"/>
      <c r="I3" s="620" t="s">
        <v>152</v>
      </c>
      <c r="J3" s="686"/>
      <c r="K3" s="622"/>
      <c r="L3" s="612"/>
      <c r="M3" s="630">
        <v>88</v>
      </c>
      <c r="N3" s="630"/>
      <c r="O3" s="628"/>
      <c r="P3" s="629"/>
      <c r="Q3" s="699" t="s">
        <v>366</v>
      </c>
      <c r="R3" s="700"/>
      <c r="S3" s="628"/>
      <c r="T3" s="622"/>
      <c r="U3" s="612"/>
      <c r="V3" s="630"/>
      <c r="W3" s="630">
        <v>15</v>
      </c>
      <c r="X3" s="613"/>
      <c r="Y3" s="683"/>
      <c r="Z3" s="629"/>
      <c r="AA3" s="719" t="s">
        <v>152</v>
      </c>
      <c r="AB3" s="720"/>
      <c r="AC3" s="622"/>
      <c r="AD3" s="612"/>
      <c r="AE3" s="630"/>
      <c r="AF3" s="6"/>
      <c r="AG3" s="628"/>
      <c r="AH3" s="629"/>
      <c r="AI3" s="630"/>
      <c r="AJ3" s="6"/>
      <c r="AK3" s="628"/>
    </row>
    <row r="4" spans="1:37" ht="30" x14ac:dyDescent="0.25">
      <c r="A4" s="2205"/>
      <c r="B4" s="574">
        <v>2</v>
      </c>
      <c r="C4" s="595"/>
      <c r="D4" s="596"/>
      <c r="E4" s="596"/>
      <c r="F4" s="597"/>
      <c r="G4" s="684"/>
      <c r="H4" s="605"/>
      <c r="I4" s="619"/>
      <c r="J4" s="687"/>
      <c r="K4" s="622"/>
      <c r="L4" s="572"/>
      <c r="M4" s="6">
        <v>80</v>
      </c>
      <c r="N4" s="6"/>
      <c r="O4" s="613"/>
      <c r="P4" s="614"/>
      <c r="Q4" s="698" t="s">
        <v>366</v>
      </c>
      <c r="R4" s="28"/>
      <c r="S4" s="613"/>
      <c r="T4" s="622"/>
      <c r="U4" s="572"/>
      <c r="V4" s="605"/>
      <c r="W4" s="6">
        <v>20</v>
      </c>
      <c r="X4" s="613"/>
      <c r="Y4" s="683"/>
      <c r="Z4" s="50"/>
      <c r="AA4" s="721" t="s">
        <v>152</v>
      </c>
      <c r="AB4" s="722"/>
      <c r="AC4" s="622"/>
      <c r="AD4" s="572"/>
      <c r="AE4" s="6"/>
      <c r="AF4" s="6"/>
      <c r="AG4" s="613"/>
      <c r="AH4" s="614"/>
      <c r="AI4" s="6"/>
      <c r="AJ4" s="6"/>
      <c r="AK4" s="613"/>
    </row>
    <row r="5" spans="1:37" x14ac:dyDescent="0.25">
      <c r="A5" s="2206">
        <v>44653</v>
      </c>
      <c r="B5" s="574">
        <v>1</v>
      </c>
      <c r="C5" s="595"/>
      <c r="D5" s="596"/>
      <c r="E5" s="596"/>
      <c r="F5" s="597"/>
      <c r="G5" s="685"/>
      <c r="H5" s="619"/>
      <c r="I5" s="620"/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/>
      <c r="X5" s="613"/>
      <c r="Y5" s="683"/>
      <c r="Z5" s="50"/>
      <c r="AA5" s="724"/>
      <c r="AB5" s="723"/>
      <c r="AC5" s="622"/>
      <c r="AD5" s="572"/>
      <c r="AE5" s="6"/>
      <c r="AF5" s="6"/>
      <c r="AG5" s="613"/>
      <c r="AH5" s="614"/>
      <c r="AI5" s="6"/>
      <c r="AJ5" s="6"/>
      <c r="AK5" s="613"/>
    </row>
    <row r="6" spans="1:37" x14ac:dyDescent="0.25">
      <c r="A6" s="2205"/>
      <c r="B6" s="574">
        <v>2</v>
      </c>
      <c r="C6" s="595"/>
      <c r="D6" s="596"/>
      <c r="E6" s="596"/>
      <c r="F6" s="597"/>
      <c r="G6" s="685"/>
      <c r="H6" s="619"/>
      <c r="I6" s="619"/>
      <c r="J6" s="687"/>
      <c r="K6" s="622"/>
      <c r="L6" s="572"/>
      <c r="M6" s="6"/>
      <c r="N6" s="6"/>
      <c r="O6" s="613"/>
      <c r="P6" s="614"/>
      <c r="Q6" s="619"/>
      <c r="R6" s="6"/>
      <c r="S6" s="613"/>
      <c r="T6" s="622"/>
      <c r="U6" s="572"/>
      <c r="V6" s="6"/>
      <c r="W6" s="6">
        <v>15</v>
      </c>
      <c r="X6" s="613"/>
      <c r="Y6" s="683"/>
      <c r="Z6" s="6"/>
      <c r="AA6" s="28" t="s">
        <v>152</v>
      </c>
      <c r="AB6" s="613"/>
      <c r="AC6" s="622"/>
      <c r="AD6" s="572"/>
      <c r="AE6" s="6"/>
      <c r="AF6" s="6">
        <v>10</v>
      </c>
      <c r="AG6" s="613"/>
      <c r="AH6" s="614"/>
      <c r="AI6" s="6"/>
      <c r="AJ6" s="6" t="s">
        <v>152</v>
      </c>
      <c r="AK6" s="613"/>
    </row>
    <row r="7" spans="1:37" x14ac:dyDescent="0.25">
      <c r="A7" s="2206">
        <v>44654</v>
      </c>
      <c r="B7" s="574">
        <v>1</v>
      </c>
      <c r="C7" s="595"/>
      <c r="D7" s="596"/>
      <c r="E7" s="596">
        <v>115</v>
      </c>
      <c r="F7" s="597"/>
      <c r="G7" s="685"/>
      <c r="H7" s="620"/>
      <c r="I7" s="619" t="s">
        <v>367</v>
      </c>
      <c r="J7" s="687"/>
      <c r="K7" s="622"/>
      <c r="L7" s="572"/>
      <c r="M7" s="614"/>
      <c r="N7" s="6"/>
      <c r="O7" s="613"/>
      <c r="P7" s="614"/>
      <c r="Q7" s="614"/>
      <c r="R7" s="6"/>
      <c r="S7" s="613"/>
      <c r="T7" s="622"/>
      <c r="U7" s="572"/>
      <c r="V7" s="632"/>
      <c r="W7" s="6"/>
      <c r="X7" s="613"/>
      <c r="Y7" s="614"/>
      <c r="Z7" s="6"/>
      <c r="AA7" s="725"/>
      <c r="AB7" s="613"/>
      <c r="AC7" s="622"/>
      <c r="AD7" s="572"/>
      <c r="AE7" s="6"/>
      <c r="AF7" s="6"/>
      <c r="AG7" s="613"/>
      <c r="AH7" s="614"/>
      <c r="AI7" s="6"/>
      <c r="AJ7" s="6"/>
      <c r="AK7" s="613"/>
    </row>
    <row r="8" spans="1:37" x14ac:dyDescent="0.25">
      <c r="A8" s="2205"/>
      <c r="B8" s="574">
        <v>2</v>
      </c>
      <c r="C8" s="595">
        <v>255</v>
      </c>
      <c r="D8" s="596"/>
      <c r="E8" s="596"/>
      <c r="F8" s="597"/>
      <c r="G8" s="684" t="s">
        <v>45</v>
      </c>
      <c r="H8" s="620"/>
      <c r="I8" s="618"/>
      <c r="J8" s="687"/>
      <c r="K8" s="622"/>
      <c r="L8" s="572"/>
      <c r="M8" s="6"/>
      <c r="N8" s="6"/>
      <c r="O8" s="613"/>
      <c r="P8" s="683"/>
      <c r="Q8" s="6"/>
      <c r="R8" s="605"/>
      <c r="S8" s="613"/>
      <c r="T8" s="622"/>
      <c r="U8" s="572"/>
      <c r="V8" s="633"/>
      <c r="W8" s="614">
        <v>10</v>
      </c>
      <c r="X8" s="613"/>
      <c r="Y8" s="683"/>
      <c r="Z8" s="6"/>
      <c r="AA8" s="28" t="s">
        <v>152</v>
      </c>
      <c r="AB8" s="613"/>
      <c r="AC8" s="622"/>
      <c r="AD8" s="572"/>
      <c r="AE8" s="6"/>
      <c r="AF8" s="6"/>
      <c r="AG8" s="613"/>
      <c r="AH8" s="614"/>
      <c r="AI8" s="6"/>
      <c r="AJ8" s="6"/>
      <c r="AK8" s="613"/>
    </row>
    <row r="9" spans="1:37" x14ac:dyDescent="0.25">
      <c r="A9" s="2206">
        <v>44655</v>
      </c>
      <c r="B9" s="574">
        <v>1</v>
      </c>
      <c r="C9" s="595"/>
      <c r="D9" s="596"/>
      <c r="E9" s="596"/>
      <c r="F9" s="597"/>
      <c r="G9" s="685"/>
      <c r="H9" s="619"/>
      <c r="I9" s="619"/>
      <c r="J9" s="687"/>
      <c r="K9" s="622"/>
      <c r="L9" s="572"/>
      <c r="M9" s="6"/>
      <c r="N9" s="6"/>
      <c r="O9" s="613"/>
      <c r="P9" s="683"/>
      <c r="Q9" s="6"/>
      <c r="R9" s="605"/>
      <c r="S9" s="613"/>
      <c r="T9" s="622"/>
      <c r="U9" s="572"/>
      <c r="V9" s="6"/>
      <c r="W9" s="6"/>
      <c r="X9" s="613"/>
      <c r="Y9" s="614"/>
      <c r="Z9" s="6"/>
      <c r="AA9" s="6"/>
      <c r="AB9" s="613"/>
      <c r="AC9" s="622"/>
      <c r="AD9" s="572">
        <v>320</v>
      </c>
      <c r="AE9" s="6"/>
      <c r="AF9" s="6"/>
      <c r="AG9" s="613"/>
      <c r="AH9" s="614" t="s">
        <v>45</v>
      </c>
      <c r="AI9" s="6"/>
      <c r="AJ9" s="6"/>
      <c r="AK9" s="613"/>
    </row>
    <row r="10" spans="1:37" x14ac:dyDescent="0.25">
      <c r="A10" s="2205"/>
      <c r="B10" s="574">
        <v>2</v>
      </c>
      <c r="C10" s="595"/>
      <c r="D10" s="596"/>
      <c r="E10" s="596"/>
      <c r="F10" s="597"/>
      <c r="G10" s="685"/>
      <c r="H10" s="619"/>
      <c r="I10" s="619"/>
      <c r="J10" s="687"/>
      <c r="K10" s="622"/>
      <c r="L10" s="572"/>
      <c r="M10" s="6"/>
      <c r="N10" s="6"/>
      <c r="O10" s="613"/>
      <c r="P10" s="683"/>
      <c r="Q10" s="6"/>
      <c r="R10" s="605"/>
      <c r="S10" s="613"/>
      <c r="T10" s="622"/>
      <c r="U10" s="572"/>
      <c r="V10" s="6"/>
      <c r="W10" s="6"/>
      <c r="X10" s="613"/>
      <c r="Y10" s="683"/>
      <c r="Z10" s="6"/>
      <c r="AA10" s="6"/>
      <c r="AB10" s="613"/>
      <c r="AC10" s="622"/>
      <c r="AD10" s="572"/>
      <c r="AE10" s="6"/>
      <c r="AF10" s="6"/>
      <c r="AG10" s="613"/>
      <c r="AH10" s="614"/>
      <c r="AI10" s="6"/>
      <c r="AJ10" s="6"/>
      <c r="AK10" s="613"/>
    </row>
    <row r="11" spans="1:37" ht="30" x14ac:dyDescent="0.25">
      <c r="A11" s="2206">
        <v>44656</v>
      </c>
      <c r="B11" s="574">
        <v>1</v>
      </c>
      <c r="C11" s="595"/>
      <c r="D11" s="596"/>
      <c r="E11" s="596">
        <v>28</v>
      </c>
      <c r="F11" s="597"/>
      <c r="G11" s="684"/>
      <c r="H11" s="619"/>
      <c r="I11" s="620" t="s">
        <v>354</v>
      </c>
      <c r="J11" s="687"/>
      <c r="K11" s="622"/>
      <c r="L11" s="572"/>
      <c r="M11" s="6"/>
      <c r="N11" s="6"/>
      <c r="O11" s="613"/>
      <c r="P11" s="683"/>
      <c r="Q11" s="6"/>
      <c r="R11" s="605"/>
      <c r="S11" s="613"/>
      <c r="T11" s="622"/>
      <c r="U11" s="572"/>
      <c r="V11" s="6"/>
      <c r="W11" s="6"/>
      <c r="X11" s="613"/>
      <c r="Y11" s="614"/>
      <c r="Z11" s="6"/>
      <c r="AA11" s="6"/>
      <c r="AB11" s="613"/>
      <c r="AC11" s="622"/>
      <c r="AD11" s="572"/>
      <c r="AE11" s="6"/>
      <c r="AF11" s="6"/>
      <c r="AG11" s="613"/>
      <c r="AH11" s="614"/>
      <c r="AI11" s="6"/>
      <c r="AJ11" s="6"/>
      <c r="AK11" s="613"/>
    </row>
    <row r="12" spans="1:37" x14ac:dyDescent="0.25">
      <c r="A12" s="2205"/>
      <c r="B12" s="574">
        <v>2</v>
      </c>
      <c r="C12" s="595"/>
      <c r="D12" s="596"/>
      <c r="E12" s="596">
        <v>15</v>
      </c>
      <c r="F12" s="597"/>
      <c r="G12" s="685"/>
      <c r="H12" s="619"/>
      <c r="I12" s="620" t="s">
        <v>152</v>
      </c>
      <c r="J12" s="687"/>
      <c r="K12" s="622"/>
      <c r="L12" s="572"/>
      <c r="M12" s="6"/>
      <c r="N12" s="6"/>
      <c r="O12" s="613"/>
      <c r="P12" s="683"/>
      <c r="Q12" s="6"/>
      <c r="R12" s="605"/>
      <c r="S12" s="613"/>
      <c r="T12" s="622"/>
      <c r="U12" s="572"/>
      <c r="V12" s="6"/>
      <c r="W12" s="6"/>
      <c r="X12" s="613"/>
      <c r="Y12" s="614"/>
      <c r="Z12" s="6"/>
      <c r="AA12" s="6"/>
      <c r="AB12" s="613"/>
      <c r="AC12" s="622"/>
      <c r="AD12" s="572"/>
      <c r="AE12" s="6"/>
      <c r="AF12" s="6"/>
      <c r="AG12" s="613"/>
      <c r="AH12" s="614"/>
      <c r="AI12" s="6"/>
      <c r="AJ12" s="6"/>
      <c r="AK12" s="613"/>
    </row>
    <row r="13" spans="1:37" ht="30" x14ac:dyDescent="0.25">
      <c r="A13" s="2206">
        <v>44657</v>
      </c>
      <c r="B13" s="574">
        <v>1</v>
      </c>
      <c r="C13" s="595"/>
      <c r="D13" s="596"/>
      <c r="E13" s="596"/>
      <c r="F13" s="597"/>
      <c r="G13" s="685"/>
      <c r="H13" s="619"/>
      <c r="I13" s="620"/>
      <c r="J13" s="687"/>
      <c r="K13" s="622"/>
      <c r="L13" s="572"/>
      <c r="M13" s="6"/>
      <c r="N13" s="6"/>
      <c r="O13" s="613"/>
      <c r="P13" s="683"/>
      <c r="Q13" s="6"/>
      <c r="R13" s="605"/>
      <c r="S13" s="613"/>
      <c r="T13" s="622"/>
      <c r="U13" s="572">
        <v>21</v>
      </c>
      <c r="V13" s="6"/>
      <c r="W13" s="6">
        <v>20</v>
      </c>
      <c r="X13" s="613"/>
      <c r="Y13" s="683" t="s">
        <v>368</v>
      </c>
      <c r="Z13" s="6"/>
      <c r="AA13" s="605" t="s">
        <v>152</v>
      </c>
      <c r="AB13" s="634"/>
      <c r="AC13" s="622"/>
      <c r="AD13" s="572"/>
      <c r="AE13" s="6"/>
      <c r="AF13" s="6"/>
      <c r="AG13" s="613"/>
      <c r="AH13" s="614"/>
      <c r="AI13" s="6"/>
      <c r="AJ13" s="6"/>
      <c r="AK13" s="613"/>
    </row>
    <row r="14" spans="1:37" ht="18" customHeight="1" x14ac:dyDescent="0.25">
      <c r="A14" s="2205"/>
      <c r="B14" s="574">
        <v>2</v>
      </c>
      <c r="C14" s="595"/>
      <c r="D14" s="596"/>
      <c r="E14" s="596">
        <v>20</v>
      </c>
      <c r="F14" s="597"/>
      <c r="G14" s="685"/>
      <c r="H14" s="620"/>
      <c r="I14" s="620" t="s">
        <v>369</v>
      </c>
      <c r="J14" s="635"/>
      <c r="K14" s="622"/>
      <c r="L14" s="572"/>
      <c r="M14" s="6"/>
      <c r="N14" s="6"/>
      <c r="O14" s="613"/>
      <c r="P14" s="614"/>
      <c r="Q14" s="6"/>
      <c r="R14" s="6"/>
      <c r="S14" s="635"/>
      <c r="T14" s="622"/>
      <c r="U14" s="572"/>
      <c r="V14" s="6"/>
      <c r="W14" s="6"/>
      <c r="X14" s="613"/>
      <c r="Y14" s="614"/>
      <c r="Z14" s="6"/>
      <c r="AA14" s="690"/>
      <c r="AB14" s="726"/>
      <c r="AC14" s="622"/>
      <c r="AD14" s="572"/>
      <c r="AE14" s="6"/>
      <c r="AF14" s="6">
        <v>10</v>
      </c>
      <c r="AG14" s="613"/>
      <c r="AH14" s="683"/>
      <c r="AI14" s="6"/>
      <c r="AJ14" s="6" t="s">
        <v>152</v>
      </c>
      <c r="AK14" s="635"/>
    </row>
    <row r="15" spans="1:37" x14ac:dyDescent="0.25">
      <c r="A15" s="2206">
        <v>44658</v>
      </c>
      <c r="B15" s="574">
        <v>1</v>
      </c>
      <c r="C15" s="595"/>
      <c r="D15" s="596"/>
      <c r="E15" s="6"/>
      <c r="F15" s="597"/>
      <c r="G15" s="685"/>
      <c r="H15" s="620"/>
      <c r="I15" s="620"/>
      <c r="J15" s="687"/>
      <c r="K15" s="622"/>
      <c r="L15" s="572"/>
      <c r="M15" s="6"/>
      <c r="N15" s="6"/>
      <c r="O15" s="613"/>
      <c r="P15" s="572"/>
      <c r="Q15" s="620"/>
      <c r="R15" s="6"/>
      <c r="S15" s="613"/>
      <c r="T15" s="622"/>
      <c r="U15" s="572"/>
      <c r="V15" s="6"/>
      <c r="W15" s="6">
        <v>7</v>
      </c>
      <c r="X15" s="613"/>
      <c r="Y15" s="572"/>
      <c r="Z15" s="620"/>
      <c r="AA15" s="728" t="s">
        <v>152</v>
      </c>
      <c r="AB15" s="727"/>
      <c r="AC15" s="622"/>
      <c r="AD15" s="572"/>
      <c r="AE15" s="6"/>
      <c r="AF15" s="6"/>
      <c r="AG15" s="613"/>
      <c r="AH15" s="572"/>
      <c r="AI15" s="620"/>
      <c r="AJ15" s="605"/>
      <c r="AK15" s="613"/>
    </row>
    <row r="16" spans="1:37" x14ac:dyDescent="0.25">
      <c r="A16" s="2205"/>
      <c r="B16" s="574">
        <v>2</v>
      </c>
      <c r="C16" s="595"/>
      <c r="D16" s="596"/>
      <c r="E16" s="596">
        <v>15</v>
      </c>
      <c r="F16" s="597"/>
      <c r="G16" s="685"/>
      <c r="H16" s="619"/>
      <c r="I16" s="619" t="s">
        <v>370</v>
      </c>
      <c r="J16" s="687"/>
      <c r="K16" s="622"/>
      <c r="L16" s="572"/>
      <c r="M16" s="6"/>
      <c r="N16" s="6"/>
      <c r="O16" s="613"/>
      <c r="P16" s="572"/>
      <c r="Q16" s="6"/>
      <c r="R16" s="6"/>
      <c r="S16" s="613"/>
      <c r="T16" s="622"/>
      <c r="U16" s="572"/>
      <c r="V16" s="6"/>
      <c r="W16" s="6">
        <v>15</v>
      </c>
      <c r="X16" s="613"/>
      <c r="Y16" s="619"/>
      <c r="Z16" s="619"/>
      <c r="AA16" s="6" t="s">
        <v>370</v>
      </c>
      <c r="AB16" s="613"/>
      <c r="AC16" s="622"/>
      <c r="AD16" s="572"/>
      <c r="AE16" s="6"/>
      <c r="AF16" s="6">
        <v>10</v>
      </c>
      <c r="AG16" s="613"/>
      <c r="AH16" s="572"/>
      <c r="AI16" s="6"/>
      <c r="AJ16" s="6" t="s">
        <v>152</v>
      </c>
      <c r="AK16" s="613"/>
    </row>
    <row r="17" spans="1:37" x14ac:dyDescent="0.25">
      <c r="A17" s="2206">
        <v>44659</v>
      </c>
      <c r="B17" s="644">
        <v>1</v>
      </c>
      <c r="C17" s="595"/>
      <c r="D17" s="596"/>
      <c r="E17" s="596"/>
      <c r="F17" s="597"/>
      <c r="G17" s="685"/>
      <c r="H17" s="619"/>
      <c r="I17" s="619"/>
      <c r="J17" s="687"/>
      <c r="K17" s="622"/>
      <c r="L17" s="572"/>
      <c r="M17" s="6"/>
      <c r="N17" s="6"/>
      <c r="O17" s="613"/>
      <c r="P17" s="572"/>
      <c r="Q17" s="6"/>
      <c r="R17" s="6"/>
      <c r="S17" s="613"/>
      <c r="T17" s="622"/>
      <c r="U17" s="572"/>
      <c r="V17" s="6"/>
      <c r="W17" s="6"/>
      <c r="X17" s="613"/>
      <c r="Y17" s="619"/>
      <c r="Z17" s="619"/>
      <c r="AA17" s="6"/>
      <c r="AB17" s="613"/>
      <c r="AC17" s="622"/>
      <c r="AD17" s="572"/>
      <c r="AE17" s="6"/>
      <c r="AF17" s="6"/>
      <c r="AG17" s="613"/>
      <c r="AH17" s="572"/>
      <c r="AI17" s="6"/>
      <c r="AJ17" s="605"/>
      <c r="AK17" s="613"/>
    </row>
    <row r="18" spans="1:37" x14ac:dyDescent="0.25">
      <c r="A18" s="2205"/>
      <c r="B18" s="574">
        <v>2</v>
      </c>
      <c r="C18" s="595"/>
      <c r="D18" s="596"/>
      <c r="E18" s="596"/>
      <c r="F18" s="597"/>
      <c r="G18" s="685"/>
      <c r="H18" s="620"/>
      <c r="I18" s="619"/>
      <c r="J18" s="687"/>
      <c r="K18" s="622"/>
      <c r="L18" s="572"/>
      <c r="M18" s="6"/>
      <c r="N18" s="6"/>
      <c r="O18" s="613"/>
      <c r="P18" s="572"/>
      <c r="Q18" s="6"/>
      <c r="R18" s="6"/>
      <c r="S18" s="613"/>
      <c r="T18" s="622"/>
      <c r="U18" s="572">
        <v>115</v>
      </c>
      <c r="V18" s="6"/>
      <c r="W18" s="6"/>
      <c r="X18" s="613"/>
      <c r="Y18" s="567" t="s">
        <v>45</v>
      </c>
      <c r="Z18" s="6"/>
      <c r="AA18" s="6"/>
      <c r="AB18" s="613"/>
      <c r="AC18" s="622"/>
      <c r="AD18" s="572"/>
      <c r="AE18" s="6"/>
      <c r="AF18" s="6">
        <v>10</v>
      </c>
      <c r="AG18" s="613"/>
      <c r="AH18" s="572"/>
      <c r="AI18" s="6"/>
      <c r="AJ18" s="605" t="s">
        <v>169</v>
      </c>
      <c r="AK18" s="613"/>
    </row>
    <row r="19" spans="1:37" ht="18" customHeight="1" x14ac:dyDescent="0.25">
      <c r="A19" s="2206">
        <v>44660</v>
      </c>
      <c r="B19" s="574">
        <v>1</v>
      </c>
      <c r="C19" s="622"/>
      <c r="D19" s="596"/>
      <c r="E19" s="596">
        <v>10</v>
      </c>
      <c r="F19" s="597"/>
      <c r="G19" s="685"/>
      <c r="H19" s="619"/>
      <c r="I19" s="620" t="s">
        <v>152</v>
      </c>
      <c r="J19" s="687"/>
      <c r="K19" s="622"/>
      <c r="L19" s="572"/>
      <c r="M19" s="6"/>
      <c r="N19" s="6"/>
      <c r="O19" s="613"/>
      <c r="P19" s="572"/>
      <c r="Q19" s="6"/>
      <c r="R19" s="6"/>
      <c r="S19" s="613"/>
      <c r="T19" s="622"/>
      <c r="U19" s="572"/>
      <c r="V19" s="6"/>
      <c r="W19" s="6"/>
      <c r="X19" s="613"/>
      <c r="Y19" s="572"/>
      <c r="Z19" s="605"/>
      <c r="AA19" s="605"/>
      <c r="AB19" s="613"/>
      <c r="AC19" s="622"/>
      <c r="AD19" s="572"/>
      <c r="AE19" s="6"/>
      <c r="AF19" s="6"/>
      <c r="AG19" s="613"/>
      <c r="AH19" s="572"/>
      <c r="AI19" s="6"/>
      <c r="AJ19" s="605"/>
      <c r="AK19" s="613"/>
    </row>
    <row r="20" spans="1:37" ht="15" customHeight="1" x14ac:dyDescent="0.25">
      <c r="A20" s="2205"/>
      <c r="B20" s="574">
        <v>2</v>
      </c>
      <c r="C20" s="595"/>
      <c r="D20" s="596"/>
      <c r="E20" s="596">
        <v>15</v>
      </c>
      <c r="F20" s="597"/>
      <c r="G20" s="685"/>
      <c r="H20" s="620"/>
      <c r="I20" s="620" t="s">
        <v>152</v>
      </c>
      <c r="J20" s="687"/>
      <c r="K20" s="622"/>
      <c r="L20" s="572"/>
      <c r="M20" s="6"/>
      <c r="N20" s="6"/>
      <c r="O20" s="613"/>
      <c r="P20" s="572"/>
      <c r="Q20" s="6"/>
      <c r="R20" s="6"/>
      <c r="S20" s="613"/>
      <c r="T20" s="622"/>
      <c r="U20" s="572"/>
      <c r="V20" s="250"/>
      <c r="W20" s="6">
        <v>35</v>
      </c>
      <c r="X20" s="613"/>
      <c r="Y20" s="572"/>
      <c r="Z20" s="605"/>
      <c r="AA20" s="605" t="s">
        <v>152</v>
      </c>
      <c r="AB20" s="613"/>
      <c r="AC20" s="622"/>
      <c r="AD20" s="572"/>
      <c r="AE20" s="6"/>
      <c r="AF20" s="6"/>
      <c r="AG20" s="613"/>
      <c r="AH20" s="572"/>
      <c r="AI20" s="6"/>
      <c r="AJ20" s="6"/>
      <c r="AK20" s="613"/>
    </row>
    <row r="21" spans="1:37" ht="16.899999999999999" customHeight="1" x14ac:dyDescent="0.25">
      <c r="A21" s="2206">
        <v>44661</v>
      </c>
      <c r="B21" s="574">
        <v>1</v>
      </c>
      <c r="C21" s="595"/>
      <c r="D21" s="596"/>
      <c r="E21" s="596">
        <v>20</v>
      </c>
      <c r="F21" s="597"/>
      <c r="G21" s="688"/>
      <c r="H21" s="619"/>
      <c r="I21" s="620" t="s">
        <v>152</v>
      </c>
      <c r="J21" s="687"/>
      <c r="K21" s="622"/>
      <c r="L21" s="572"/>
      <c r="M21" s="6"/>
      <c r="N21" s="6"/>
      <c r="O21" s="613"/>
      <c r="P21" s="572"/>
      <c r="Q21" s="6"/>
      <c r="R21" s="6"/>
      <c r="S21" s="613"/>
      <c r="T21" s="622"/>
      <c r="U21" s="572"/>
      <c r="V21" s="6"/>
      <c r="W21" s="6"/>
      <c r="X21" s="613"/>
      <c r="Y21" s="572"/>
      <c r="Z21" s="6"/>
      <c r="AA21" s="605"/>
      <c r="AB21" s="613"/>
      <c r="AC21" s="622"/>
      <c r="AD21" s="572"/>
      <c r="AE21" s="6"/>
      <c r="AF21" s="6"/>
      <c r="AG21" s="613"/>
      <c r="AH21" s="572"/>
      <c r="AI21" s="6"/>
      <c r="AJ21" s="6"/>
      <c r="AK21" s="613"/>
    </row>
    <row r="22" spans="1:37" ht="18.600000000000001" customHeight="1" x14ac:dyDescent="0.25">
      <c r="A22" s="2205"/>
      <c r="B22" s="574">
        <v>2</v>
      </c>
      <c r="C22" s="595"/>
      <c r="D22" s="596"/>
      <c r="E22" s="596"/>
      <c r="F22" s="597"/>
      <c r="G22" s="680"/>
      <c r="H22" s="620"/>
      <c r="I22" s="620"/>
      <c r="J22" s="635"/>
      <c r="K22" s="622"/>
      <c r="L22" s="572"/>
      <c r="M22" s="6"/>
      <c r="N22" s="6"/>
      <c r="O22" s="597"/>
      <c r="P22" s="683"/>
      <c r="Q22" s="6"/>
      <c r="R22" s="6"/>
      <c r="S22" s="635"/>
      <c r="T22" s="622"/>
      <c r="U22" s="572"/>
      <c r="V22" s="6"/>
      <c r="W22" s="6"/>
      <c r="X22" s="597"/>
      <c r="Y22" s="572"/>
      <c r="Z22" s="6"/>
      <c r="AA22" s="605"/>
      <c r="AB22" s="635"/>
      <c r="AC22" s="622"/>
      <c r="AD22" s="572"/>
      <c r="AE22" s="6"/>
      <c r="AF22" s="6"/>
      <c r="AG22" s="597"/>
      <c r="AH22" s="572"/>
      <c r="AI22" s="6"/>
      <c r="AJ22" s="6"/>
      <c r="AK22" s="635"/>
    </row>
    <row r="23" spans="1:37" x14ac:dyDescent="0.25">
      <c r="A23" s="2206">
        <v>44662</v>
      </c>
      <c r="B23" s="644">
        <v>1</v>
      </c>
      <c r="C23" s="595">
        <v>30</v>
      </c>
      <c r="D23" s="596"/>
      <c r="E23" s="596"/>
      <c r="F23" s="597"/>
      <c r="G23" s="685" t="s">
        <v>97</v>
      </c>
      <c r="H23" s="619"/>
      <c r="I23" s="619"/>
      <c r="J23" s="687"/>
      <c r="K23" s="622"/>
      <c r="L23" s="572"/>
      <c r="M23" s="6"/>
      <c r="N23" s="6"/>
      <c r="O23" s="613"/>
      <c r="P23" s="572"/>
      <c r="Q23" s="6"/>
      <c r="R23" s="6"/>
      <c r="S23" s="613"/>
      <c r="T23" s="622"/>
      <c r="U23" s="572"/>
      <c r="V23" s="6"/>
      <c r="W23" s="6"/>
      <c r="X23" s="613"/>
      <c r="Y23" s="572"/>
      <c r="Z23" s="6"/>
      <c r="AA23" s="6"/>
      <c r="AB23" s="613"/>
      <c r="AC23" s="622"/>
      <c r="AD23" s="572"/>
      <c r="AE23" s="6"/>
      <c r="AF23" s="6"/>
      <c r="AG23" s="613"/>
      <c r="AH23" s="567"/>
      <c r="AI23" s="6"/>
      <c r="AJ23" s="6"/>
      <c r="AK23" s="613"/>
    </row>
    <row r="24" spans="1:37" x14ac:dyDescent="0.25">
      <c r="A24" s="2205"/>
      <c r="B24" s="574">
        <v>2</v>
      </c>
      <c r="C24" s="595"/>
      <c r="D24" s="596">
        <v>7</v>
      </c>
      <c r="E24" s="596">
        <v>15</v>
      </c>
      <c r="F24" s="597"/>
      <c r="G24" s="685"/>
      <c r="H24" s="619" t="s">
        <v>276</v>
      </c>
      <c r="I24" s="620" t="s">
        <v>152</v>
      </c>
      <c r="J24" s="687"/>
      <c r="K24" s="622"/>
      <c r="L24" s="572"/>
      <c r="M24" s="6"/>
      <c r="N24" s="6"/>
      <c r="O24" s="613"/>
      <c r="P24" s="572"/>
      <c r="Q24" s="6"/>
      <c r="R24" s="6"/>
      <c r="S24" s="613"/>
      <c r="T24" s="622"/>
      <c r="U24" s="572"/>
      <c r="V24" s="6"/>
      <c r="W24" s="6">
        <v>10</v>
      </c>
      <c r="X24" s="613"/>
      <c r="Y24" s="572"/>
      <c r="Z24" s="6"/>
      <c r="AA24" s="6" t="s">
        <v>152</v>
      </c>
      <c r="AB24" s="613"/>
      <c r="AC24" s="622"/>
      <c r="AD24" s="572"/>
      <c r="AE24" s="6"/>
      <c r="AF24" s="6"/>
      <c r="AG24" s="613"/>
      <c r="AH24" s="702"/>
      <c r="AI24" s="6"/>
      <c r="AJ24" s="6"/>
      <c r="AK24" s="613"/>
    </row>
    <row r="25" spans="1:37" ht="15" customHeight="1" x14ac:dyDescent="0.25">
      <c r="A25" s="2206">
        <v>44663</v>
      </c>
      <c r="B25" s="574">
        <v>1</v>
      </c>
      <c r="C25" s="595"/>
      <c r="D25" s="596"/>
      <c r="E25" s="596"/>
      <c r="F25" s="597"/>
      <c r="G25" s="685"/>
      <c r="H25" s="619"/>
      <c r="I25" s="620"/>
      <c r="J25" s="687"/>
      <c r="K25" s="622"/>
      <c r="L25" s="572"/>
      <c r="M25" s="6"/>
      <c r="N25" s="6"/>
      <c r="O25" s="613"/>
      <c r="P25" s="572"/>
      <c r="Q25" s="619"/>
      <c r="R25" s="6"/>
      <c r="S25" s="613"/>
      <c r="T25" s="622"/>
      <c r="U25" s="572"/>
      <c r="V25" s="6"/>
      <c r="W25" s="6"/>
      <c r="X25" s="613"/>
      <c r="Y25" s="572"/>
      <c r="Z25" s="6"/>
      <c r="AA25" s="6"/>
      <c r="AB25" s="613"/>
      <c r="AC25" s="622"/>
      <c r="AD25" s="572"/>
      <c r="AE25" s="6"/>
      <c r="AF25" s="6"/>
      <c r="AG25" s="50"/>
      <c r="AH25" s="704"/>
      <c r="AI25" s="614"/>
      <c r="AJ25" s="6"/>
      <c r="AK25" s="613"/>
    </row>
    <row r="26" spans="1:37" ht="30" x14ac:dyDescent="0.25">
      <c r="A26" s="2205"/>
      <c r="B26" s="574">
        <v>2</v>
      </c>
      <c r="C26" s="595"/>
      <c r="D26" s="596">
        <v>15</v>
      </c>
      <c r="E26" s="596"/>
      <c r="F26" s="597"/>
      <c r="G26" s="685"/>
      <c r="H26" s="620" t="s">
        <v>371</v>
      </c>
      <c r="I26" s="620"/>
      <c r="J26" s="687"/>
      <c r="K26" s="622"/>
      <c r="L26" s="572"/>
      <c r="M26" s="6"/>
      <c r="N26" s="6"/>
      <c r="O26" s="613"/>
      <c r="P26" s="572"/>
      <c r="Q26" s="619"/>
      <c r="R26" s="6"/>
      <c r="S26" s="613"/>
      <c r="T26" s="622"/>
      <c r="U26" s="572"/>
      <c r="V26" s="596">
        <v>15</v>
      </c>
      <c r="W26" s="6"/>
      <c r="X26" s="613"/>
      <c r="Y26" s="572"/>
      <c r="Z26" s="620" t="s">
        <v>371</v>
      </c>
      <c r="AA26" s="605"/>
      <c r="AB26" s="613"/>
      <c r="AC26" s="622"/>
      <c r="AD26" s="572"/>
      <c r="AE26" s="596">
        <v>15</v>
      </c>
      <c r="AF26" s="6"/>
      <c r="AG26" s="50"/>
      <c r="AH26" s="703"/>
      <c r="AI26" s="620" t="s">
        <v>371</v>
      </c>
      <c r="AJ26" s="6"/>
      <c r="AK26" s="613"/>
    </row>
    <row r="27" spans="1:37" ht="120" x14ac:dyDescent="0.25">
      <c r="A27" s="2206">
        <v>44664</v>
      </c>
      <c r="B27" s="644">
        <v>1</v>
      </c>
      <c r="C27" s="595"/>
      <c r="D27" s="596"/>
      <c r="E27" s="596">
        <v>180</v>
      </c>
      <c r="F27" s="597"/>
      <c r="G27" s="685"/>
      <c r="H27" s="619"/>
      <c r="I27" s="620" t="s">
        <v>372</v>
      </c>
      <c r="J27" s="635"/>
      <c r="K27" s="622"/>
      <c r="L27" s="572"/>
      <c r="M27" s="6"/>
      <c r="N27" s="6">
        <v>170</v>
      </c>
      <c r="O27" s="613"/>
      <c r="P27" s="572"/>
      <c r="Q27" s="6"/>
      <c r="R27" s="620" t="s">
        <v>372</v>
      </c>
      <c r="S27" s="613"/>
      <c r="T27" s="622"/>
      <c r="U27" s="572"/>
      <c r="V27" s="6"/>
      <c r="W27" s="6">
        <v>177</v>
      </c>
      <c r="X27" s="613"/>
      <c r="Y27" s="614"/>
      <c r="Z27" s="6"/>
      <c r="AA27" s="620" t="s">
        <v>372</v>
      </c>
      <c r="AB27" s="613"/>
      <c r="AC27" s="622"/>
      <c r="AD27" s="572"/>
      <c r="AE27" s="6"/>
      <c r="AF27" s="6">
        <v>175</v>
      </c>
      <c r="AG27" s="613"/>
      <c r="AH27" s="701"/>
      <c r="AI27" s="6"/>
      <c r="AJ27" s="620" t="s">
        <v>372</v>
      </c>
      <c r="AK27" s="613"/>
    </row>
    <row r="28" spans="1:37" ht="120" x14ac:dyDescent="0.25">
      <c r="A28" s="2205"/>
      <c r="B28" s="574">
        <v>2</v>
      </c>
      <c r="C28" s="595"/>
      <c r="D28" s="596"/>
      <c r="E28" s="596">
        <v>496</v>
      </c>
      <c r="F28" s="597"/>
      <c r="G28" s="620"/>
      <c r="H28" s="619"/>
      <c r="I28" s="620" t="s">
        <v>372</v>
      </c>
      <c r="J28" s="635"/>
      <c r="K28" s="622"/>
      <c r="L28" s="572"/>
      <c r="M28" s="6"/>
      <c r="N28" s="6">
        <v>510</v>
      </c>
      <c r="O28" s="613"/>
      <c r="P28" s="614"/>
      <c r="Q28" s="6"/>
      <c r="R28" s="620" t="s">
        <v>372</v>
      </c>
      <c r="S28" s="613"/>
      <c r="T28" s="622"/>
      <c r="U28" s="572"/>
      <c r="V28" s="6"/>
      <c r="W28" s="6">
        <v>499</v>
      </c>
      <c r="X28" s="613"/>
      <c r="Y28" s="614"/>
      <c r="Z28" s="6"/>
      <c r="AA28" s="620" t="s">
        <v>372</v>
      </c>
      <c r="AB28" s="613"/>
      <c r="AC28" s="622"/>
      <c r="AD28" s="572"/>
      <c r="AE28" s="6"/>
      <c r="AF28" s="6">
        <v>532</v>
      </c>
      <c r="AG28" s="613"/>
      <c r="AH28" s="614"/>
      <c r="AI28" s="6"/>
      <c r="AJ28" s="620" t="s">
        <v>372</v>
      </c>
      <c r="AK28" s="613"/>
    </row>
    <row r="29" spans="1:37" ht="30" x14ac:dyDescent="0.25">
      <c r="A29" s="2206">
        <v>44665</v>
      </c>
      <c r="B29" s="574">
        <v>1</v>
      </c>
      <c r="C29" s="595"/>
      <c r="D29" s="596"/>
      <c r="E29" s="596"/>
      <c r="F29" s="597"/>
      <c r="G29" s="685"/>
      <c r="H29" s="619"/>
      <c r="I29" s="620"/>
      <c r="J29" s="687"/>
      <c r="K29" s="622"/>
      <c r="L29" s="572"/>
      <c r="M29" s="6"/>
      <c r="N29" s="6"/>
      <c r="O29" s="613"/>
      <c r="P29" s="614"/>
      <c r="Q29" s="6"/>
      <c r="R29" s="605"/>
      <c r="S29" s="613"/>
      <c r="T29" s="622"/>
      <c r="U29" s="572"/>
      <c r="V29" s="6"/>
      <c r="W29" s="6">
        <v>12</v>
      </c>
      <c r="X29" s="613"/>
      <c r="Y29" s="614"/>
      <c r="Z29" s="6"/>
      <c r="AA29" s="605" t="s">
        <v>373</v>
      </c>
      <c r="AB29" s="613"/>
      <c r="AC29" s="622"/>
      <c r="AD29" s="572"/>
      <c r="AE29" s="6"/>
      <c r="AF29" s="6">
        <v>30</v>
      </c>
      <c r="AG29" s="613"/>
      <c r="AH29" s="614"/>
      <c r="AI29" s="6"/>
      <c r="AJ29" s="605" t="s">
        <v>373</v>
      </c>
      <c r="AK29" s="613"/>
    </row>
    <row r="30" spans="1:37" ht="30" x14ac:dyDescent="0.25">
      <c r="A30" s="2205"/>
      <c r="B30" s="644">
        <v>2</v>
      </c>
      <c r="C30" s="595"/>
      <c r="D30" s="596"/>
      <c r="E30" s="596">
        <v>28</v>
      </c>
      <c r="F30" s="597"/>
      <c r="G30" s="685"/>
      <c r="H30" s="619"/>
      <c r="I30" s="620" t="s">
        <v>152</v>
      </c>
      <c r="J30" s="687"/>
      <c r="K30" s="622"/>
      <c r="L30" s="572"/>
      <c r="M30" s="6"/>
      <c r="N30" s="6"/>
      <c r="O30" s="613"/>
      <c r="P30" s="614"/>
      <c r="Q30" s="6"/>
      <c r="R30" s="6"/>
      <c r="S30" s="613"/>
      <c r="T30" s="622"/>
      <c r="U30" s="572"/>
      <c r="V30" s="6"/>
      <c r="W30" s="6">
        <v>7</v>
      </c>
      <c r="X30" s="613"/>
      <c r="Y30" s="614"/>
      <c r="Z30" s="6"/>
      <c r="AA30" s="605" t="s">
        <v>373</v>
      </c>
      <c r="AB30" s="613"/>
      <c r="AC30" s="622"/>
      <c r="AD30" s="572"/>
      <c r="AE30" s="6"/>
      <c r="AF30" s="6">
        <v>32</v>
      </c>
      <c r="AG30" s="613"/>
      <c r="AH30" s="683"/>
      <c r="AI30" s="622"/>
      <c r="AJ30" s="605" t="s">
        <v>373</v>
      </c>
      <c r="AK30" s="613"/>
    </row>
    <row r="31" spans="1:37" x14ac:dyDescent="0.25">
      <c r="A31" s="2206">
        <v>44666</v>
      </c>
      <c r="B31" s="574">
        <v>1</v>
      </c>
      <c r="C31" s="595"/>
      <c r="D31" s="596"/>
      <c r="E31" s="596"/>
      <c r="F31" s="597"/>
      <c r="G31" s="685"/>
      <c r="H31" s="619"/>
      <c r="I31" s="620"/>
      <c r="J31" s="689"/>
      <c r="K31" s="622"/>
      <c r="L31" s="572"/>
      <c r="M31" s="6"/>
      <c r="N31" s="6"/>
      <c r="O31" s="613"/>
      <c r="P31" s="614"/>
      <c r="Q31" s="6"/>
      <c r="R31" s="6"/>
      <c r="S31" s="613"/>
      <c r="T31" s="622"/>
      <c r="U31" s="572"/>
      <c r="V31" s="6"/>
      <c r="W31" s="6"/>
      <c r="X31" s="613"/>
      <c r="Y31" s="614"/>
      <c r="Z31" s="6"/>
      <c r="AA31" s="6"/>
      <c r="AB31" s="613"/>
      <c r="AC31" s="622"/>
      <c r="AD31" s="572"/>
      <c r="AE31" s="6">
        <v>20</v>
      </c>
      <c r="AF31" s="6"/>
      <c r="AG31" s="613"/>
      <c r="AH31" s="614"/>
      <c r="AI31" s="6" t="s">
        <v>334</v>
      </c>
      <c r="AJ31" s="6"/>
      <c r="AK31" s="613"/>
    </row>
    <row r="32" spans="1:37" ht="16.899999999999999" customHeight="1" x14ac:dyDescent="0.25">
      <c r="A32" s="2205"/>
      <c r="B32" s="574">
        <v>2</v>
      </c>
      <c r="C32" s="595"/>
      <c r="D32" s="596"/>
      <c r="E32" s="596"/>
      <c r="F32" s="597"/>
      <c r="G32" s="685"/>
      <c r="H32" s="619"/>
      <c r="I32" s="690"/>
      <c r="J32" s="691"/>
      <c r="K32" s="622"/>
      <c r="L32" s="572"/>
      <c r="M32" s="6"/>
      <c r="N32" s="6"/>
      <c r="O32" s="613"/>
      <c r="P32" s="614"/>
      <c r="Q32" s="6"/>
      <c r="R32" s="6"/>
      <c r="S32" s="613"/>
      <c r="T32" s="622"/>
      <c r="U32" s="572"/>
      <c r="V32" s="6"/>
      <c r="W32" s="6">
        <v>10</v>
      </c>
      <c r="X32" s="613"/>
      <c r="Y32" s="614"/>
      <c r="Z32" s="6"/>
      <c r="AA32" s="6" t="s">
        <v>152</v>
      </c>
      <c r="AB32" s="613"/>
      <c r="AC32" s="622"/>
      <c r="AD32" s="572"/>
      <c r="AE32" s="6"/>
      <c r="AF32" s="6"/>
      <c r="AG32" s="613"/>
      <c r="AH32" s="614"/>
      <c r="AI32" s="6"/>
      <c r="AJ32" s="6"/>
      <c r="AK32" s="613"/>
    </row>
    <row r="33" spans="1:37" x14ac:dyDescent="0.25">
      <c r="A33" s="2206">
        <v>44667</v>
      </c>
      <c r="B33" s="574">
        <v>1</v>
      </c>
      <c r="C33" s="595"/>
      <c r="D33" s="596"/>
      <c r="E33" s="596"/>
      <c r="F33" s="597"/>
      <c r="G33" s="685"/>
      <c r="H33" s="619"/>
      <c r="I33" s="692"/>
      <c r="J33" s="693"/>
      <c r="K33" s="622"/>
      <c r="L33" s="572"/>
      <c r="M33" s="6"/>
      <c r="N33" s="6"/>
      <c r="O33" s="613"/>
      <c r="P33" s="614"/>
      <c r="Q33" s="6"/>
      <c r="R33" s="6"/>
      <c r="S33" s="613"/>
      <c r="T33" s="622"/>
      <c r="U33" s="572"/>
      <c r="V33" s="6"/>
      <c r="W33" s="6"/>
      <c r="X33" s="613"/>
      <c r="Y33" s="614"/>
      <c r="Z33" s="6"/>
      <c r="AA33" s="6"/>
      <c r="AB33" s="613"/>
      <c r="AC33" s="622"/>
      <c r="AD33" s="572"/>
      <c r="AE33" s="6"/>
      <c r="AF33" s="6"/>
      <c r="AG33" s="613"/>
      <c r="AH33" s="614"/>
      <c r="AI33" s="605"/>
      <c r="AJ33" s="6"/>
      <c r="AK33" s="613"/>
    </row>
    <row r="34" spans="1:37" ht="45" x14ac:dyDescent="0.25">
      <c r="A34" s="2205"/>
      <c r="B34" s="644">
        <v>2</v>
      </c>
      <c r="C34" s="596"/>
      <c r="D34" s="596">
        <v>59</v>
      </c>
      <c r="E34" s="596"/>
      <c r="F34" s="597"/>
      <c r="G34" s="685"/>
      <c r="H34" s="620" t="s">
        <v>374</v>
      </c>
      <c r="I34" s="620"/>
      <c r="J34" s="694"/>
      <c r="K34" s="622"/>
      <c r="L34" s="572"/>
      <c r="M34" s="6"/>
      <c r="N34" s="6"/>
      <c r="O34" s="613"/>
      <c r="P34" s="614"/>
      <c r="Q34" s="620"/>
      <c r="R34" s="6"/>
      <c r="S34" s="613"/>
      <c r="T34" s="622"/>
      <c r="U34" s="572"/>
      <c r="V34" s="6"/>
      <c r="W34" s="6"/>
      <c r="X34" s="613"/>
      <c r="Y34" s="6"/>
      <c r="Z34" s="605"/>
      <c r="AA34" s="605"/>
      <c r="AB34" s="613"/>
      <c r="AC34" s="622"/>
      <c r="AD34" s="572"/>
      <c r="AE34" s="6"/>
      <c r="AF34" s="6"/>
      <c r="AG34" s="613"/>
      <c r="AH34" s="614"/>
      <c r="AI34" s="6"/>
      <c r="AJ34" s="6"/>
      <c r="AK34" s="613"/>
    </row>
    <row r="35" spans="1:37" x14ac:dyDescent="0.25">
      <c r="A35" s="2206">
        <v>44668</v>
      </c>
      <c r="B35" s="574">
        <v>1</v>
      </c>
      <c r="C35" s="596"/>
      <c r="D35" s="596"/>
      <c r="E35" s="596"/>
      <c r="F35" s="597"/>
      <c r="G35" s="685"/>
      <c r="H35" s="619"/>
      <c r="I35" s="620"/>
      <c r="J35" s="687"/>
      <c r="K35" s="622"/>
      <c r="L35" s="572"/>
      <c r="M35" s="6"/>
      <c r="N35" s="6"/>
      <c r="O35" s="613"/>
      <c r="P35" s="567"/>
      <c r="Q35" s="695"/>
      <c r="R35" s="620"/>
      <c r="S35" s="613"/>
      <c r="T35" s="622"/>
      <c r="U35" s="572"/>
      <c r="V35" s="6"/>
      <c r="W35" s="6">
        <v>10</v>
      </c>
      <c r="X35" s="613"/>
      <c r="Y35" s="614"/>
      <c r="Z35" s="605"/>
      <c r="AA35" s="6" t="s">
        <v>152</v>
      </c>
      <c r="AB35" s="613"/>
      <c r="AC35" s="622"/>
      <c r="AD35" s="572"/>
      <c r="AE35" s="6"/>
      <c r="AF35" s="6"/>
      <c r="AG35" s="613"/>
      <c r="AH35" s="614"/>
      <c r="AI35" s="620"/>
      <c r="AJ35" s="620"/>
      <c r="AK35" s="613"/>
    </row>
    <row r="36" spans="1:37" x14ac:dyDescent="0.25">
      <c r="A36" s="2205"/>
      <c r="B36" s="574">
        <v>2</v>
      </c>
      <c r="C36" s="596"/>
      <c r="D36" s="596"/>
      <c r="E36" s="596"/>
      <c r="F36" s="597"/>
      <c r="G36" s="684"/>
      <c r="H36" s="620"/>
      <c r="I36" s="620"/>
      <c r="J36" s="687"/>
      <c r="K36" s="622"/>
      <c r="L36" s="567"/>
      <c r="M36" s="6"/>
      <c r="N36" s="6"/>
      <c r="O36" s="613"/>
      <c r="P36" s="567"/>
      <c r="Q36" s="695"/>
      <c r="R36" s="6"/>
      <c r="S36" s="613"/>
      <c r="T36" s="622"/>
      <c r="U36" s="572"/>
      <c r="V36" s="6"/>
      <c r="W36" s="6"/>
      <c r="X36" s="613"/>
      <c r="Y36" s="614"/>
      <c r="Z36" s="605"/>
      <c r="AA36" s="605"/>
      <c r="AB36" s="613"/>
      <c r="AC36" s="622"/>
      <c r="AD36" s="572"/>
      <c r="AE36" s="6"/>
      <c r="AF36" s="6"/>
      <c r="AG36" s="613"/>
      <c r="AH36" s="614"/>
      <c r="AI36" s="605"/>
      <c r="AJ36" s="605"/>
      <c r="AK36" s="613"/>
    </row>
    <row r="37" spans="1:37" x14ac:dyDescent="0.25">
      <c r="A37" s="2206">
        <v>44669</v>
      </c>
      <c r="B37" s="644">
        <v>1</v>
      </c>
      <c r="C37" s="596"/>
      <c r="D37" s="596"/>
      <c r="E37" s="596"/>
      <c r="F37" s="597"/>
      <c r="G37" s="685"/>
      <c r="H37" s="619"/>
      <c r="I37" s="620"/>
      <c r="J37" s="687"/>
      <c r="K37" s="622"/>
      <c r="L37" s="572"/>
      <c r="M37" s="6"/>
      <c r="N37" s="6"/>
      <c r="O37" s="613"/>
      <c r="P37" s="614"/>
      <c r="Q37" s="6"/>
      <c r="R37" s="6"/>
      <c r="S37" s="613"/>
      <c r="T37" s="622"/>
      <c r="U37" s="572"/>
      <c r="V37" s="6"/>
      <c r="W37" s="6"/>
      <c r="X37" s="613"/>
      <c r="Y37" s="614"/>
      <c r="Z37" s="605"/>
      <c r="AA37" s="605"/>
      <c r="AB37" s="613"/>
      <c r="AC37" s="622"/>
      <c r="AD37" s="572"/>
      <c r="AE37" s="6"/>
      <c r="AF37" s="6"/>
      <c r="AG37" s="613"/>
      <c r="AH37" s="614"/>
      <c r="AI37" s="6"/>
      <c r="AJ37" s="6"/>
      <c r="AK37" s="613"/>
    </row>
    <row r="38" spans="1:37" x14ac:dyDescent="0.25">
      <c r="A38" s="2205"/>
      <c r="B38" s="574">
        <v>2</v>
      </c>
      <c r="C38" s="595"/>
      <c r="D38" s="596"/>
      <c r="E38" s="596">
        <v>15</v>
      </c>
      <c r="F38" s="597"/>
      <c r="G38" s="685"/>
      <c r="H38" s="619"/>
      <c r="I38" s="620" t="s">
        <v>152</v>
      </c>
      <c r="J38" s="687"/>
      <c r="K38" s="622"/>
      <c r="L38" s="572"/>
      <c r="M38" s="6"/>
      <c r="N38" s="6"/>
      <c r="O38" s="613"/>
      <c r="P38" s="683"/>
      <c r="Q38" s="6"/>
      <c r="R38" s="6"/>
      <c r="S38" s="613"/>
      <c r="T38" s="622"/>
      <c r="U38" s="572"/>
      <c r="V38" s="6"/>
      <c r="W38" s="6">
        <v>10</v>
      </c>
      <c r="X38" s="613"/>
      <c r="Y38" s="614"/>
      <c r="Z38" s="6"/>
      <c r="AA38" s="6" t="s">
        <v>152</v>
      </c>
      <c r="AB38" s="613"/>
      <c r="AC38" s="622"/>
      <c r="AD38" s="572"/>
      <c r="AE38" s="6"/>
      <c r="AF38" s="6">
        <v>25</v>
      </c>
      <c r="AG38" s="613"/>
      <c r="AH38" s="614"/>
      <c r="AI38" s="6"/>
      <c r="AJ38" s="6" t="s">
        <v>152</v>
      </c>
      <c r="AK38" s="613"/>
    </row>
    <row r="39" spans="1:37" ht="30" x14ac:dyDescent="0.25">
      <c r="A39" s="2206">
        <v>44670</v>
      </c>
      <c r="B39" s="574">
        <v>1</v>
      </c>
      <c r="C39" s="595"/>
      <c r="D39" s="596"/>
      <c r="E39" s="596">
        <v>55</v>
      </c>
      <c r="F39" s="597"/>
      <c r="G39" s="685"/>
      <c r="H39" s="619"/>
      <c r="I39" s="620" t="s">
        <v>375</v>
      </c>
      <c r="J39" s="687"/>
      <c r="K39" s="622"/>
      <c r="L39" s="572"/>
      <c r="M39" s="6"/>
      <c r="N39" s="6"/>
      <c r="O39" s="613"/>
      <c r="P39" s="614"/>
      <c r="Q39" s="6"/>
      <c r="R39" s="6"/>
      <c r="S39" s="613"/>
      <c r="T39" s="622"/>
      <c r="U39" s="572"/>
      <c r="V39" s="6"/>
      <c r="W39" s="6">
        <v>54</v>
      </c>
      <c r="X39" s="613"/>
      <c r="Y39" s="614"/>
      <c r="Z39" s="6"/>
      <c r="AA39" s="605" t="s">
        <v>152</v>
      </c>
      <c r="AB39" s="613"/>
      <c r="AC39" s="622"/>
      <c r="AD39" s="572"/>
      <c r="AE39" s="6"/>
      <c r="AF39" s="6"/>
      <c r="AG39" s="613"/>
      <c r="AH39" s="614"/>
      <c r="AI39" s="6"/>
      <c r="AJ39" s="6"/>
      <c r="AK39" s="613"/>
    </row>
    <row r="40" spans="1:37" x14ac:dyDescent="0.25">
      <c r="A40" s="2205"/>
      <c r="B40" s="574">
        <v>2</v>
      </c>
      <c r="C40" s="595"/>
      <c r="D40" s="596"/>
      <c r="E40" s="596"/>
      <c r="F40" s="597"/>
      <c r="G40" s="685"/>
      <c r="H40" s="619"/>
      <c r="I40" s="620"/>
      <c r="J40" s="687"/>
      <c r="K40" s="622"/>
      <c r="L40" s="572"/>
      <c r="M40" s="6"/>
      <c r="N40" s="6"/>
      <c r="O40" s="613"/>
      <c r="P40" s="614"/>
      <c r="Q40" s="6"/>
      <c r="R40" s="6"/>
      <c r="S40" s="613"/>
      <c r="T40" s="622"/>
      <c r="U40" s="572"/>
      <c r="V40" s="6"/>
      <c r="W40" s="6">
        <v>20</v>
      </c>
      <c r="X40" s="613"/>
      <c r="Y40" s="614"/>
      <c r="Z40" s="6"/>
      <c r="AA40" s="605" t="s">
        <v>152</v>
      </c>
      <c r="AB40" s="613"/>
      <c r="AC40" s="622"/>
      <c r="AD40" s="572"/>
      <c r="AE40" s="6"/>
      <c r="AF40" s="6"/>
      <c r="AG40" s="613"/>
      <c r="AH40" s="614"/>
      <c r="AI40" s="6"/>
      <c r="AJ40" s="6"/>
      <c r="AK40" s="613"/>
    </row>
    <row r="41" spans="1:37" ht="45" x14ac:dyDescent="0.25">
      <c r="A41" s="2206">
        <v>44671</v>
      </c>
      <c r="B41" s="574">
        <v>1</v>
      </c>
      <c r="C41" s="595"/>
      <c r="D41" s="596"/>
      <c r="E41" s="596"/>
      <c r="F41" s="597"/>
      <c r="G41" s="685"/>
      <c r="H41" s="620"/>
      <c r="I41" s="620"/>
      <c r="J41" s="687"/>
      <c r="K41" s="622"/>
      <c r="L41" s="572"/>
      <c r="M41" s="6"/>
      <c r="N41" s="6"/>
      <c r="O41" s="613"/>
      <c r="P41" s="614"/>
      <c r="Q41" s="6"/>
      <c r="R41" s="6"/>
      <c r="S41" s="613"/>
      <c r="T41" s="622"/>
      <c r="U41" s="572"/>
      <c r="V41" s="6"/>
      <c r="W41" s="6">
        <v>50</v>
      </c>
      <c r="X41" s="613"/>
      <c r="Y41" s="614"/>
      <c r="Z41" s="605"/>
      <c r="AA41" s="605" t="s">
        <v>376</v>
      </c>
      <c r="AB41" s="613"/>
      <c r="AC41" s="622"/>
      <c r="AD41" s="572"/>
      <c r="AE41" s="6"/>
      <c r="AF41" s="6"/>
      <c r="AG41" s="613"/>
      <c r="AH41" s="614"/>
      <c r="AI41" s="6"/>
      <c r="AJ41" s="6"/>
      <c r="AK41" s="613"/>
    </row>
    <row r="42" spans="1:37" ht="45" x14ac:dyDescent="0.25">
      <c r="A42" s="2205"/>
      <c r="B42" s="574">
        <v>2</v>
      </c>
      <c r="C42" s="595"/>
      <c r="D42" s="596"/>
      <c r="E42" s="596"/>
      <c r="F42" s="597"/>
      <c r="G42" s="685"/>
      <c r="H42" s="619"/>
      <c r="I42" s="620"/>
      <c r="J42" s="613"/>
      <c r="K42" s="622"/>
      <c r="L42" s="572"/>
      <c r="M42" s="6"/>
      <c r="N42" s="6"/>
      <c r="O42" s="613"/>
      <c r="P42" s="614"/>
      <c r="Q42" s="6"/>
      <c r="R42" s="6"/>
      <c r="S42" s="613"/>
      <c r="T42" s="622"/>
      <c r="U42" s="572">
        <v>130</v>
      </c>
      <c r="V42" s="6"/>
      <c r="W42" s="6"/>
      <c r="X42" s="613"/>
      <c r="Y42" s="736" t="s">
        <v>377</v>
      </c>
      <c r="Z42" s="6"/>
      <c r="AA42" s="6"/>
      <c r="AB42" s="613"/>
      <c r="AC42" s="622"/>
      <c r="AD42" s="572"/>
      <c r="AE42" s="6"/>
      <c r="AF42" s="6"/>
      <c r="AG42" s="613"/>
      <c r="AH42" s="614"/>
      <c r="AI42" s="6"/>
      <c r="AJ42" s="6"/>
      <c r="AK42" s="613"/>
    </row>
    <row r="43" spans="1:37" x14ac:dyDescent="0.25">
      <c r="A43" s="2206">
        <v>44672</v>
      </c>
      <c r="B43" s="574">
        <v>1</v>
      </c>
      <c r="C43" s="595"/>
      <c r="D43" s="596"/>
      <c r="E43" s="596"/>
      <c r="F43" s="597"/>
      <c r="G43" s="685"/>
      <c r="H43" s="619"/>
      <c r="I43" s="620"/>
      <c r="J43" s="687"/>
      <c r="K43" s="622"/>
      <c r="L43" s="572"/>
      <c r="M43" s="6"/>
      <c r="N43" s="6"/>
      <c r="O43" s="613"/>
      <c r="P43" s="614"/>
      <c r="Q43" s="6"/>
      <c r="R43" s="6"/>
      <c r="S43" s="613"/>
      <c r="T43" s="622"/>
      <c r="U43" s="572"/>
      <c r="V43" s="6"/>
      <c r="W43" s="6"/>
      <c r="X43" s="613"/>
      <c r="Y43" s="614"/>
      <c r="Z43" s="6"/>
      <c r="AA43" s="605" t="s">
        <v>152</v>
      </c>
      <c r="AB43" s="613"/>
      <c r="AC43" s="622"/>
      <c r="AD43" s="572"/>
      <c r="AE43" s="6"/>
      <c r="AF43" s="6"/>
      <c r="AG43" s="613"/>
      <c r="AH43" s="605"/>
      <c r="AI43" s="6"/>
      <c r="AJ43" s="6"/>
      <c r="AK43" s="613"/>
    </row>
    <row r="44" spans="1:37" ht="60" x14ac:dyDescent="0.25">
      <c r="A44" s="2205"/>
      <c r="B44" s="574">
        <v>2</v>
      </c>
      <c r="C44" s="595"/>
      <c r="D44" s="596"/>
      <c r="E44" s="596"/>
      <c r="F44" s="597"/>
      <c r="G44" s="684"/>
      <c r="H44" s="619"/>
      <c r="I44" s="620"/>
      <c r="J44" s="687"/>
      <c r="K44" s="622"/>
      <c r="L44" s="572"/>
      <c r="M44" s="6"/>
      <c r="N44" s="6"/>
      <c r="O44" s="613"/>
      <c r="P44" s="614"/>
      <c r="Q44" s="6"/>
      <c r="R44" s="6"/>
      <c r="S44" s="613"/>
      <c r="T44" s="622"/>
      <c r="U44" s="572">
        <v>85</v>
      </c>
      <c r="V44" s="6"/>
      <c r="W44" s="6">
        <v>17</v>
      </c>
      <c r="X44" s="613"/>
      <c r="Y44" s="736" t="s">
        <v>378</v>
      </c>
      <c r="Z44" s="6"/>
      <c r="AA44" s="605" t="s">
        <v>152</v>
      </c>
      <c r="AB44" s="613"/>
      <c r="AC44" s="622"/>
      <c r="AD44" s="572"/>
      <c r="AE44" s="6"/>
      <c r="AF44" s="6"/>
      <c r="AG44" s="613"/>
      <c r="AH44" s="614"/>
      <c r="AI44" s="6"/>
      <c r="AJ44" s="605"/>
      <c r="AK44" s="613"/>
    </row>
    <row r="45" spans="1:37" ht="60" x14ac:dyDescent="0.25">
      <c r="A45" s="2206">
        <v>44673</v>
      </c>
      <c r="B45" s="574">
        <v>1</v>
      </c>
      <c r="C45" s="595"/>
      <c r="D45" s="596"/>
      <c r="E45" s="596"/>
      <c r="F45" s="597"/>
      <c r="G45" s="685"/>
      <c r="H45" s="619"/>
      <c r="I45" s="620"/>
      <c r="J45" s="687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"/>
      <c r="W45" s="6">
        <v>38</v>
      </c>
      <c r="X45" s="613"/>
      <c r="Y45" s="614"/>
      <c r="Z45" s="6"/>
      <c r="AA45" s="605" t="s">
        <v>152</v>
      </c>
      <c r="AB45" s="613"/>
      <c r="AC45" s="622"/>
      <c r="AD45" s="572"/>
      <c r="AE45" s="6"/>
      <c r="AF45" s="6">
        <v>21</v>
      </c>
      <c r="AG45" s="613"/>
      <c r="AH45" s="614"/>
      <c r="AI45" s="6"/>
      <c r="AJ45" s="605" t="s">
        <v>379</v>
      </c>
      <c r="AK45" s="613"/>
    </row>
    <row r="46" spans="1:37" x14ac:dyDescent="0.25">
      <c r="A46" s="2205"/>
      <c r="B46" s="574">
        <v>2</v>
      </c>
      <c r="C46" s="595"/>
      <c r="D46" s="596"/>
      <c r="E46" s="596"/>
      <c r="F46" s="597"/>
      <c r="G46" s="685"/>
      <c r="H46" s="620"/>
      <c r="I46" s="620"/>
      <c r="J46" s="687"/>
      <c r="K46" s="622"/>
      <c r="L46" s="572"/>
      <c r="M46" s="6"/>
      <c r="N46" s="6"/>
      <c r="O46" s="613"/>
      <c r="P46" s="614"/>
      <c r="Q46" s="620"/>
      <c r="R46" s="6"/>
      <c r="S46" s="613"/>
      <c r="T46" s="622"/>
      <c r="U46" s="572"/>
      <c r="V46" s="6"/>
      <c r="W46" s="6"/>
      <c r="X46" s="613"/>
      <c r="Y46" s="614"/>
      <c r="Z46" s="6"/>
      <c r="AA46" s="605"/>
      <c r="AB46" s="613"/>
      <c r="AC46" s="622"/>
      <c r="AD46" s="572"/>
      <c r="AE46" s="6"/>
      <c r="AF46" s="6"/>
      <c r="AG46" s="613"/>
      <c r="AH46" s="614"/>
      <c r="AI46" s="6"/>
      <c r="AJ46" s="620"/>
      <c r="AK46" s="613"/>
    </row>
    <row r="47" spans="1:37" ht="45" x14ac:dyDescent="0.25">
      <c r="A47" s="2206">
        <v>44674</v>
      </c>
      <c r="B47" s="574">
        <v>1</v>
      </c>
      <c r="C47" s="595"/>
      <c r="D47" s="596"/>
      <c r="E47" s="596">
        <v>13</v>
      </c>
      <c r="F47" s="597"/>
      <c r="G47" s="685"/>
      <c r="H47" s="619"/>
      <c r="I47" s="620" t="s">
        <v>152</v>
      </c>
      <c r="J47" s="687"/>
      <c r="K47" s="622"/>
      <c r="L47" s="572"/>
      <c r="M47" s="6"/>
      <c r="N47" s="6"/>
      <c r="O47" s="613"/>
      <c r="P47" s="614"/>
      <c r="Q47" s="6"/>
      <c r="R47" s="6"/>
      <c r="S47" s="613"/>
      <c r="T47" s="622"/>
      <c r="U47" s="572"/>
      <c r="V47" s="6"/>
      <c r="W47" s="6"/>
      <c r="X47" s="613"/>
      <c r="Y47" s="614"/>
      <c r="Z47" s="605"/>
      <c r="AA47" s="605"/>
      <c r="AB47" s="613"/>
      <c r="AC47" s="622"/>
      <c r="AD47" s="572">
        <v>16</v>
      </c>
      <c r="AE47" s="6"/>
      <c r="AF47" s="6">
        <v>10</v>
      </c>
      <c r="AG47" s="613"/>
      <c r="AH47" s="736" t="s">
        <v>380</v>
      </c>
      <c r="AI47" s="6"/>
      <c r="AJ47" s="6" t="s">
        <v>152</v>
      </c>
      <c r="AK47" s="613"/>
    </row>
    <row r="48" spans="1:37" ht="120" x14ac:dyDescent="0.25">
      <c r="A48" s="2205"/>
      <c r="B48" s="574">
        <v>2</v>
      </c>
      <c r="C48" s="595"/>
      <c r="D48" s="596"/>
      <c r="E48" s="596">
        <v>10</v>
      </c>
      <c r="F48" s="597"/>
      <c r="G48" s="685"/>
      <c r="H48" s="620"/>
      <c r="I48" s="620" t="s">
        <v>152</v>
      </c>
      <c r="J48" s="635"/>
      <c r="K48" s="622"/>
      <c r="L48" s="572"/>
      <c r="M48" s="6"/>
      <c r="N48" s="6"/>
      <c r="O48" s="613"/>
      <c r="P48" s="614"/>
      <c r="Q48" s="620"/>
      <c r="R48" s="6"/>
      <c r="S48" s="635"/>
      <c r="T48" s="622"/>
      <c r="U48" s="572">
        <v>82</v>
      </c>
      <c r="V48" s="6"/>
      <c r="W48" s="6">
        <v>24</v>
      </c>
      <c r="X48" s="613"/>
      <c r="Y48" s="736" t="s">
        <v>381</v>
      </c>
      <c r="Z48" s="6"/>
      <c r="AA48" s="605" t="s">
        <v>152</v>
      </c>
      <c r="AB48" s="635"/>
      <c r="AC48" s="622"/>
      <c r="AD48" s="572"/>
      <c r="AE48" s="6"/>
      <c r="AF48" s="6">
        <v>8</v>
      </c>
      <c r="AG48" s="613"/>
      <c r="AH48" s="614"/>
      <c r="AI48" s="6"/>
      <c r="AJ48" s="6" t="s">
        <v>152</v>
      </c>
      <c r="AK48" s="635"/>
    </row>
    <row r="49" spans="1:37" ht="17.45" customHeight="1" x14ac:dyDescent="0.25">
      <c r="A49" s="2206">
        <v>44675</v>
      </c>
      <c r="B49" s="574">
        <v>1</v>
      </c>
      <c r="C49" s="595"/>
      <c r="D49" s="596"/>
      <c r="E49" s="596"/>
      <c r="F49" s="597"/>
      <c r="G49" s="685"/>
      <c r="H49" s="619"/>
      <c r="I49" s="620"/>
      <c r="J49" s="635"/>
      <c r="K49" s="622"/>
      <c r="L49" s="572"/>
      <c r="M49" s="6"/>
      <c r="N49" s="6"/>
      <c r="O49" s="613"/>
      <c r="P49" s="614"/>
      <c r="Q49" s="6"/>
      <c r="R49" s="6"/>
      <c r="S49" s="634"/>
      <c r="T49" s="622"/>
      <c r="U49" s="572"/>
      <c r="V49" s="6"/>
      <c r="W49" s="6"/>
      <c r="X49" s="613"/>
      <c r="Y49" s="614"/>
      <c r="Z49" s="605"/>
      <c r="AA49" s="605"/>
      <c r="AB49" s="634"/>
      <c r="AC49" s="622"/>
      <c r="AD49" s="572"/>
      <c r="AE49" s="6"/>
      <c r="AF49" s="6"/>
      <c r="AG49" s="613"/>
      <c r="AH49" s="614"/>
      <c r="AI49" s="6"/>
      <c r="AJ49" s="6"/>
      <c r="AK49" s="634"/>
    </row>
    <row r="50" spans="1:37" ht="15" customHeight="1" x14ac:dyDescent="0.25">
      <c r="A50" s="2205"/>
      <c r="B50" s="574">
        <v>2</v>
      </c>
      <c r="C50" s="595"/>
      <c r="D50" s="596"/>
      <c r="E50" s="596"/>
      <c r="F50" s="597"/>
      <c r="G50" s="684"/>
      <c r="H50" s="619"/>
      <c r="I50" s="620"/>
      <c r="J50" s="687"/>
      <c r="K50" s="622"/>
      <c r="L50" s="572"/>
      <c r="M50" s="6"/>
      <c r="N50" s="6"/>
      <c r="O50" s="613"/>
      <c r="P50" s="614"/>
      <c r="Q50" s="605"/>
      <c r="R50" s="605"/>
      <c r="S50" s="613"/>
      <c r="T50" s="622"/>
      <c r="U50" s="572"/>
      <c r="V50" s="6"/>
      <c r="W50" s="6"/>
      <c r="X50" s="613"/>
      <c r="Y50" s="683"/>
      <c r="Z50" s="605"/>
      <c r="AA50" s="605"/>
      <c r="AB50" s="613"/>
      <c r="AC50" s="622"/>
      <c r="AD50" s="572"/>
      <c r="AE50" s="6"/>
      <c r="AF50" s="6"/>
      <c r="AG50" s="613"/>
      <c r="AH50" s="614"/>
      <c r="AI50" s="6"/>
      <c r="AJ50" s="6"/>
      <c r="AK50" s="613"/>
    </row>
    <row r="51" spans="1:37" ht="16.149999999999999" customHeight="1" x14ac:dyDescent="0.25">
      <c r="A51" s="2206">
        <v>44676</v>
      </c>
      <c r="B51" s="574">
        <v>1</v>
      </c>
      <c r="C51" s="595"/>
      <c r="D51" s="596"/>
      <c r="E51" s="596"/>
      <c r="F51" s="597"/>
      <c r="G51" s="685"/>
      <c r="H51" s="619"/>
      <c r="I51" s="620"/>
      <c r="J51" s="687"/>
      <c r="K51" s="622"/>
      <c r="L51" s="572"/>
      <c r="M51" s="6"/>
      <c r="N51" s="6"/>
      <c r="O51" s="613"/>
      <c r="P51" s="614"/>
      <c r="Q51" s="6"/>
      <c r="R51" s="6"/>
      <c r="S51" s="613"/>
      <c r="T51" s="622"/>
      <c r="U51" s="572"/>
      <c r="V51" s="6"/>
      <c r="W51" s="6"/>
      <c r="X51" s="613"/>
      <c r="Y51" s="683"/>
      <c r="Z51" s="6"/>
      <c r="AA51" s="605"/>
      <c r="AB51" s="613"/>
      <c r="AC51" s="622"/>
      <c r="AD51" s="572"/>
      <c r="AE51" s="6"/>
      <c r="AF51" s="6"/>
      <c r="AG51" s="613"/>
      <c r="AH51" s="614"/>
      <c r="AI51" s="6"/>
      <c r="AJ51" s="6"/>
      <c r="AK51" s="613"/>
    </row>
    <row r="52" spans="1:37" ht="16.149999999999999" customHeight="1" x14ac:dyDescent="0.25">
      <c r="A52" s="2205"/>
      <c r="B52" s="574">
        <v>2</v>
      </c>
      <c r="C52" s="595"/>
      <c r="D52" s="596"/>
      <c r="E52" s="596">
        <v>12</v>
      </c>
      <c r="F52" s="597"/>
      <c r="G52" s="685"/>
      <c r="H52" s="620"/>
      <c r="I52" s="620" t="s">
        <v>152</v>
      </c>
      <c r="J52" s="635"/>
      <c r="K52" s="622"/>
      <c r="L52" s="572"/>
      <c r="M52" s="6"/>
      <c r="N52" s="6"/>
      <c r="O52" s="613"/>
      <c r="P52" s="614"/>
      <c r="Q52" s="6"/>
      <c r="R52" s="6"/>
      <c r="S52" s="635"/>
      <c r="T52" s="622"/>
      <c r="U52" s="572"/>
      <c r="V52" s="6"/>
      <c r="W52" s="6"/>
      <c r="X52" s="613"/>
      <c r="Y52" s="683"/>
      <c r="Z52" s="605"/>
      <c r="AA52" s="605"/>
      <c r="AB52" s="635"/>
      <c r="AC52" s="622"/>
      <c r="AD52" s="572"/>
      <c r="AE52" s="6">
        <v>12</v>
      </c>
      <c r="AF52" s="6"/>
      <c r="AG52" s="613"/>
      <c r="AH52" s="614"/>
      <c r="AI52" s="6" t="s">
        <v>382</v>
      </c>
      <c r="AJ52" s="6"/>
      <c r="AK52" s="635"/>
    </row>
    <row r="53" spans="1:37" x14ac:dyDescent="0.25">
      <c r="A53" s="2206">
        <v>44677</v>
      </c>
      <c r="B53" s="574">
        <v>1</v>
      </c>
      <c r="C53" s="595"/>
      <c r="D53" s="596"/>
      <c r="E53" s="596"/>
      <c r="F53" s="597"/>
      <c r="G53" s="685"/>
      <c r="H53" s="619"/>
      <c r="I53" s="619"/>
      <c r="J53" s="687"/>
      <c r="K53" s="622"/>
      <c r="L53" s="572"/>
      <c r="M53" s="6"/>
      <c r="N53" s="6"/>
      <c r="O53" s="613"/>
      <c r="P53" s="614"/>
      <c r="Q53" s="6"/>
      <c r="R53" s="6"/>
      <c r="S53" s="613"/>
      <c r="T53" s="622"/>
      <c r="U53" s="572"/>
      <c r="V53" s="6"/>
      <c r="W53" s="6"/>
      <c r="X53" s="613"/>
      <c r="Y53" s="683"/>
      <c r="Z53" s="6"/>
      <c r="AA53" s="6"/>
      <c r="AB53" s="613"/>
      <c r="AC53" s="622"/>
      <c r="AD53" s="572"/>
      <c r="AE53" s="605"/>
      <c r="AF53" s="6"/>
      <c r="AG53" s="613"/>
      <c r="AH53" s="614"/>
      <c r="AI53" s="605"/>
      <c r="AJ53" s="605"/>
      <c r="AK53" s="613"/>
    </row>
    <row r="54" spans="1:37" ht="40.9" customHeight="1" x14ac:dyDescent="0.25">
      <c r="A54" s="2205"/>
      <c r="B54" s="678">
        <v>2</v>
      </c>
      <c r="C54" s="595"/>
      <c r="D54" s="596"/>
      <c r="E54" s="596">
        <v>25</v>
      </c>
      <c r="F54" s="597"/>
      <c r="G54" s="685"/>
      <c r="H54" s="619"/>
      <c r="I54" s="620" t="s">
        <v>152</v>
      </c>
      <c r="J54" s="687"/>
      <c r="K54" s="622"/>
      <c r="L54" s="572"/>
      <c r="M54" s="6"/>
      <c r="N54" s="6"/>
      <c r="O54" s="613"/>
      <c r="P54" s="614"/>
      <c r="Q54" s="6"/>
      <c r="R54" s="6"/>
      <c r="S54" s="613"/>
      <c r="T54" s="622"/>
      <c r="U54" s="572"/>
      <c r="V54" s="6"/>
      <c r="W54" s="6"/>
      <c r="X54" s="613"/>
      <c r="Y54" s="696"/>
      <c r="Z54" s="682"/>
      <c r="AA54" s="697"/>
      <c r="AB54" s="613"/>
      <c r="AC54" s="622"/>
      <c r="AD54" s="572"/>
      <c r="AE54" s="6"/>
      <c r="AF54" s="6">
        <v>15</v>
      </c>
      <c r="AG54" s="613"/>
      <c r="AH54" s="614"/>
      <c r="AI54" s="6"/>
      <c r="AJ54" s="605" t="s">
        <v>383</v>
      </c>
      <c r="AK54" s="613"/>
    </row>
    <row r="55" spans="1:37" x14ac:dyDescent="0.25">
      <c r="A55" s="2206">
        <v>44678</v>
      </c>
      <c r="B55" s="574">
        <v>1</v>
      </c>
      <c r="C55" s="595"/>
      <c r="D55" s="596"/>
      <c r="E55" s="596"/>
      <c r="F55" s="597"/>
      <c r="G55" s="685"/>
      <c r="H55" s="619"/>
      <c r="I55" s="620"/>
      <c r="J55" s="687"/>
      <c r="K55" s="622"/>
      <c r="L55" s="572"/>
      <c r="M55" s="6"/>
      <c r="N55" s="6"/>
      <c r="O55" s="613"/>
      <c r="P55" s="614"/>
      <c r="Q55" s="6"/>
      <c r="R55" s="6"/>
      <c r="S55" s="613"/>
      <c r="T55" s="622"/>
      <c r="U55" s="572"/>
      <c r="V55" s="6"/>
      <c r="W55" s="6"/>
      <c r="X55" s="613"/>
      <c r="Y55" s="614"/>
      <c r="Z55" s="6"/>
      <c r="AA55" s="6"/>
      <c r="AB55" s="613"/>
      <c r="AC55" s="622"/>
      <c r="AD55" s="572"/>
      <c r="AE55" s="6"/>
      <c r="AF55" s="6"/>
      <c r="AG55" s="613"/>
      <c r="AH55" s="614"/>
      <c r="AI55" s="6"/>
      <c r="AJ55" s="6"/>
      <c r="AK55" s="613"/>
    </row>
    <row r="56" spans="1:37" ht="30" x14ac:dyDescent="0.25">
      <c r="A56" s="2205"/>
      <c r="B56" s="678">
        <v>2</v>
      </c>
      <c r="C56" s="595">
        <v>13</v>
      </c>
      <c r="D56" s="596"/>
      <c r="E56" s="596"/>
      <c r="F56" s="597"/>
      <c r="G56" s="684" t="s">
        <v>315</v>
      </c>
      <c r="H56" s="619"/>
      <c r="I56" s="620"/>
      <c r="J56" s="687"/>
      <c r="K56" s="622"/>
      <c r="L56" s="572"/>
      <c r="M56" s="6"/>
      <c r="N56" s="6"/>
      <c r="O56" s="613"/>
      <c r="P56" s="614"/>
      <c r="Q56" s="6"/>
      <c r="R56" s="6"/>
      <c r="S56" s="613"/>
      <c r="T56" s="622"/>
      <c r="U56" s="572"/>
      <c r="V56" s="6"/>
      <c r="W56" s="6"/>
      <c r="X56" s="613"/>
      <c r="Y56" s="683"/>
      <c r="Z56" s="605"/>
      <c r="AA56" s="619"/>
      <c r="AB56" s="613"/>
      <c r="AC56" s="622"/>
      <c r="AD56" s="572"/>
      <c r="AE56" s="6"/>
      <c r="AF56" s="6"/>
      <c r="AG56" s="613"/>
      <c r="AH56" s="614"/>
      <c r="AI56" s="605"/>
      <c r="AJ56" s="619"/>
      <c r="AK56" s="613"/>
    </row>
    <row r="57" spans="1:37" ht="16.149999999999999" customHeight="1" x14ac:dyDescent="0.25">
      <c r="A57" s="2206">
        <v>44679</v>
      </c>
      <c r="B57" s="574">
        <v>1</v>
      </c>
      <c r="C57" s="595"/>
      <c r="D57" s="596"/>
      <c r="E57" s="596"/>
      <c r="F57" s="597"/>
      <c r="G57" s="685"/>
      <c r="H57" s="619"/>
      <c r="I57" s="620"/>
      <c r="J57" s="687"/>
      <c r="K57" s="622"/>
      <c r="L57" s="572"/>
      <c r="M57" s="6"/>
      <c r="N57" s="6"/>
      <c r="O57" s="613"/>
      <c r="P57" s="614"/>
      <c r="Q57" s="6"/>
      <c r="R57" s="605"/>
      <c r="S57" s="613"/>
      <c r="T57" s="622"/>
      <c r="U57" s="572"/>
      <c r="V57" s="6"/>
      <c r="W57" s="6"/>
      <c r="X57" s="613"/>
      <c r="Y57" s="683"/>
      <c r="Z57" s="605"/>
      <c r="AA57" s="605"/>
      <c r="AB57" s="613"/>
      <c r="AC57" s="622"/>
      <c r="AD57" s="572"/>
      <c r="AE57" s="6"/>
      <c r="AF57" s="6"/>
      <c r="AG57" s="613"/>
      <c r="AH57" s="614"/>
      <c r="AI57" s="6"/>
      <c r="AJ57" s="620"/>
      <c r="AK57" s="613"/>
    </row>
    <row r="58" spans="1:37" x14ac:dyDescent="0.25">
      <c r="A58" s="2205"/>
      <c r="B58" s="678">
        <v>2</v>
      </c>
      <c r="C58" s="595"/>
      <c r="D58" s="596"/>
      <c r="E58" s="596">
        <v>8</v>
      </c>
      <c r="F58" s="597"/>
      <c r="G58" s="684"/>
      <c r="H58" s="619"/>
      <c r="I58" s="620" t="s">
        <v>152</v>
      </c>
      <c r="J58" s="687"/>
      <c r="K58" s="622"/>
      <c r="L58" s="572"/>
      <c r="M58" s="6"/>
      <c r="N58" s="6"/>
      <c r="O58" s="613"/>
      <c r="P58" s="614"/>
      <c r="Q58" s="6"/>
      <c r="R58" s="6"/>
      <c r="S58" s="613"/>
      <c r="T58" s="622"/>
      <c r="U58" s="572"/>
      <c r="V58" s="6"/>
      <c r="W58" s="6"/>
      <c r="X58" s="613"/>
      <c r="Y58" s="614"/>
      <c r="Z58" s="605"/>
      <c r="AA58" s="6"/>
      <c r="AB58" s="613"/>
      <c r="AC58" s="622"/>
      <c r="AD58" s="572"/>
      <c r="AE58" s="6"/>
      <c r="AF58" s="6"/>
      <c r="AG58" s="613"/>
      <c r="AH58" s="614"/>
      <c r="AI58" s="6"/>
      <c r="AJ58" s="6"/>
      <c r="AK58" s="613"/>
    </row>
    <row r="59" spans="1:37" x14ac:dyDescent="0.25">
      <c r="A59" s="2206">
        <v>44680</v>
      </c>
      <c r="B59" s="574">
        <v>1</v>
      </c>
      <c r="C59" s="595"/>
      <c r="D59" s="596"/>
      <c r="E59" s="596"/>
      <c r="F59" s="597"/>
      <c r="G59" s="685"/>
      <c r="H59" s="619"/>
      <c r="I59" s="6"/>
      <c r="J59" s="687"/>
      <c r="K59" s="622"/>
      <c r="L59" s="572"/>
      <c r="M59" s="6"/>
      <c r="N59" s="6"/>
      <c r="O59" s="613"/>
      <c r="P59" s="614"/>
      <c r="Q59" s="605"/>
      <c r="R59" s="6"/>
      <c r="S59" s="613"/>
      <c r="T59" s="622"/>
      <c r="U59" s="572"/>
      <c r="V59" s="6"/>
      <c r="W59" s="6"/>
      <c r="X59" s="613"/>
      <c r="Y59" s="614"/>
      <c r="Z59" s="6"/>
      <c r="AA59" s="6"/>
      <c r="AB59" s="613"/>
      <c r="AC59" s="622"/>
      <c r="AD59" s="572"/>
      <c r="AE59" s="6"/>
      <c r="AF59" s="6"/>
      <c r="AG59" s="613"/>
      <c r="AH59" s="683"/>
      <c r="AI59" s="6"/>
      <c r="AJ59" s="6"/>
      <c r="AK59" s="613"/>
    </row>
    <row r="60" spans="1:37" ht="105" x14ac:dyDescent="0.25">
      <c r="A60" s="2205"/>
      <c r="B60" s="678">
        <v>2</v>
      </c>
      <c r="C60" s="595"/>
      <c r="D60" s="596"/>
      <c r="E60" s="596">
        <v>15</v>
      </c>
      <c r="F60" s="597"/>
      <c r="G60" s="684"/>
      <c r="H60" s="620"/>
      <c r="I60" s="620" t="s">
        <v>152</v>
      </c>
      <c r="J60" s="689"/>
      <c r="K60" s="622"/>
      <c r="L60" s="572"/>
      <c r="M60" s="6"/>
      <c r="N60" s="6"/>
      <c r="O60" s="613"/>
      <c r="P60" s="614"/>
      <c r="Q60" s="6"/>
      <c r="R60" s="6"/>
      <c r="S60" s="613"/>
      <c r="T60" s="622"/>
      <c r="U60" s="572">
        <v>42</v>
      </c>
      <c r="V60" s="6"/>
      <c r="W60" s="6"/>
      <c r="X60" s="613"/>
      <c r="Y60" s="736" t="s">
        <v>384</v>
      </c>
      <c r="Z60" s="605"/>
      <c r="AA60" s="6"/>
      <c r="AB60" s="613"/>
      <c r="AC60" s="622"/>
      <c r="AD60" s="572"/>
      <c r="AE60" s="6"/>
      <c r="AF60" s="6"/>
      <c r="AG60" s="613"/>
      <c r="AH60" s="614"/>
      <c r="AI60" s="6"/>
      <c r="AJ60" s="6"/>
      <c r="AK60" s="613"/>
    </row>
    <row r="61" spans="1:37" ht="17.45" customHeight="1" x14ac:dyDescent="0.25">
      <c r="A61" s="2206">
        <v>44681</v>
      </c>
      <c r="B61" s="574">
        <v>1</v>
      </c>
      <c r="C61" s="706"/>
      <c r="D61" s="707"/>
      <c r="E61" s="707"/>
      <c r="F61" s="708"/>
      <c r="G61" s="717"/>
      <c r="H61" s="709"/>
      <c r="I61" s="710"/>
      <c r="J61" s="691"/>
      <c r="K61" s="622"/>
      <c r="L61" s="572"/>
      <c r="M61" s="6"/>
      <c r="N61" s="6"/>
      <c r="O61" s="597"/>
      <c r="P61" s="717"/>
      <c r="Q61" s="709"/>
      <c r="R61" s="709"/>
      <c r="S61" s="718"/>
      <c r="T61" s="622"/>
      <c r="U61" s="572"/>
      <c r="V61" s="6"/>
      <c r="W61" s="6"/>
      <c r="X61" s="597"/>
      <c r="Y61" s="685"/>
      <c r="Z61" s="619"/>
      <c r="AA61" s="619"/>
      <c r="AB61" s="681"/>
      <c r="AC61" s="622"/>
      <c r="AD61" s="572"/>
      <c r="AE61" s="6"/>
      <c r="AF61" s="6"/>
      <c r="AG61" s="597"/>
      <c r="AH61" s="685"/>
      <c r="AI61" s="619"/>
      <c r="AJ61" s="619"/>
      <c r="AK61" s="705"/>
    </row>
    <row r="62" spans="1:37" x14ac:dyDescent="0.25">
      <c r="A62" s="2205"/>
      <c r="B62" s="711">
        <v>2</v>
      </c>
      <c r="C62" s="729"/>
      <c r="D62" s="730"/>
      <c r="E62" s="730"/>
      <c r="F62" s="731"/>
      <c r="G62" s="732"/>
      <c r="H62" s="733"/>
      <c r="I62" s="734"/>
      <c r="J62" s="735"/>
      <c r="K62" s="622"/>
      <c r="L62" s="639"/>
      <c r="M62" s="638"/>
      <c r="N62" s="638"/>
      <c r="O62" s="636"/>
      <c r="P62" s="714"/>
      <c r="Q62" s="715"/>
      <c r="R62" s="715"/>
      <c r="S62" s="716"/>
      <c r="T62" s="622"/>
      <c r="U62" s="639"/>
      <c r="V62" s="638"/>
      <c r="W62" s="638"/>
      <c r="X62" s="636"/>
      <c r="Y62" s="637"/>
      <c r="Z62" s="638"/>
      <c r="AA62" s="671"/>
      <c r="AB62" s="712"/>
      <c r="AC62" s="622"/>
      <c r="AD62" s="639"/>
      <c r="AE62" s="638"/>
      <c r="AF62" s="638"/>
      <c r="AG62" s="636"/>
      <c r="AH62" s="637"/>
      <c r="AI62" s="638"/>
      <c r="AJ62" s="638"/>
      <c r="AK62" s="713"/>
    </row>
    <row r="63" spans="1:37" x14ac:dyDescent="0.25">
      <c r="A63" s="524" t="s">
        <v>225</v>
      </c>
      <c r="C63" s="525">
        <f>SUM(C3:C62)</f>
        <v>298</v>
      </c>
      <c r="D63" s="525">
        <f>SUM(D3:D62)</f>
        <v>81</v>
      </c>
      <c r="E63" s="525">
        <f>SUM(E3:E62)</f>
        <v>1130</v>
      </c>
      <c r="F63" s="525">
        <f>SUM(F3:F62)</f>
        <v>0</v>
      </c>
      <c r="L63" s="525">
        <f>SUM(L3:L62)</f>
        <v>0</v>
      </c>
      <c r="M63" s="525">
        <f>SUM(M3:M62)</f>
        <v>168</v>
      </c>
      <c r="N63" s="525">
        <f>SUM(N3:N62)</f>
        <v>680</v>
      </c>
      <c r="O63" s="525">
        <f>SUM(O3:O62)</f>
        <v>0</v>
      </c>
      <c r="U63" s="525">
        <f>SUM(U3:U62)</f>
        <v>475</v>
      </c>
      <c r="V63" s="525">
        <f>SUM(V3:V62)</f>
        <v>15</v>
      </c>
      <c r="W63" s="525">
        <f>SUM(W3:W62)</f>
        <v>1075</v>
      </c>
      <c r="X63" s="525">
        <f>SUM(X3:X62)</f>
        <v>0</v>
      </c>
      <c r="AD63" s="525">
        <f>SUM(AD3:AD62)</f>
        <v>336</v>
      </c>
      <c r="AE63" s="525">
        <f>SUM(AE3:AE62)</f>
        <v>47</v>
      </c>
      <c r="AF63" s="525">
        <f>SUM(AF3:AF62)</f>
        <v>888</v>
      </c>
      <c r="AG63" s="525">
        <f>SUM(AG3:AG62)</f>
        <v>0</v>
      </c>
    </row>
    <row r="71" spans="2:10" ht="15.75" thickBot="1" x14ac:dyDescent="0.3"/>
    <row r="72" spans="2:10" ht="22.5" customHeight="1" thickBot="1" x14ac:dyDescent="0.35">
      <c r="B72" s="419"/>
      <c r="C72" s="2222" t="s">
        <v>199</v>
      </c>
      <c r="D72" s="2223"/>
      <c r="E72" s="2224" t="s">
        <v>200</v>
      </c>
      <c r="F72" s="2225"/>
      <c r="G72" s="2222" t="s">
        <v>201</v>
      </c>
      <c r="H72" s="2223"/>
      <c r="I72" s="2222" t="s">
        <v>204</v>
      </c>
      <c r="J72" s="2223"/>
    </row>
    <row r="73" spans="2:10" ht="20.25" customHeight="1" thickBot="1" x14ac:dyDescent="0.35">
      <c r="B73" s="419"/>
      <c r="C73" s="662" t="s">
        <v>222</v>
      </c>
      <c r="D73" s="663" t="s">
        <v>223</v>
      </c>
      <c r="E73" s="664" t="s">
        <v>222</v>
      </c>
      <c r="F73" s="665" t="s">
        <v>223</v>
      </c>
      <c r="G73" s="662" t="s">
        <v>222</v>
      </c>
      <c r="H73" s="663" t="s">
        <v>223</v>
      </c>
      <c r="I73" s="662" t="s">
        <v>222</v>
      </c>
      <c r="J73" s="663" t="s">
        <v>223</v>
      </c>
    </row>
    <row r="74" spans="2:10" ht="21.75" customHeight="1" x14ac:dyDescent="0.3">
      <c r="B74" s="651" t="s">
        <v>218</v>
      </c>
      <c r="C74" s="652">
        <f>C63</f>
        <v>298</v>
      </c>
      <c r="D74" s="653">
        <f>C74/60</f>
        <v>4.9666666666666668</v>
      </c>
      <c r="E74" s="652">
        <f>D63</f>
        <v>81</v>
      </c>
      <c r="F74" s="654">
        <f>E74/60</f>
        <v>1.35</v>
      </c>
      <c r="G74" s="652">
        <f>E63</f>
        <v>1130</v>
      </c>
      <c r="H74" s="653">
        <f>G74/60</f>
        <v>18.833333333333332</v>
      </c>
      <c r="I74" s="652">
        <f>F63</f>
        <v>0</v>
      </c>
      <c r="J74" s="653">
        <f>I74/60</f>
        <v>0</v>
      </c>
    </row>
    <row r="75" spans="2:10" ht="19.5" customHeight="1" x14ac:dyDescent="0.3">
      <c r="B75" s="651" t="s">
        <v>219</v>
      </c>
      <c r="C75" s="655">
        <f>L63</f>
        <v>0</v>
      </c>
      <c r="D75" s="656">
        <f t="shared" ref="D75:F77" si="0">C75/60</f>
        <v>0</v>
      </c>
      <c r="E75" s="655">
        <f>M63</f>
        <v>168</v>
      </c>
      <c r="F75" s="657">
        <f t="shared" si="0"/>
        <v>2.8</v>
      </c>
      <c r="G75" s="655">
        <f>N63</f>
        <v>680</v>
      </c>
      <c r="H75" s="656">
        <f t="shared" ref="H75:J77" si="1">G75/60</f>
        <v>11.333333333333334</v>
      </c>
      <c r="I75" s="655">
        <f>O63</f>
        <v>0</v>
      </c>
      <c r="J75" s="656">
        <f t="shared" si="1"/>
        <v>0</v>
      </c>
    </row>
    <row r="76" spans="2:10" ht="20.25" customHeight="1" x14ac:dyDescent="0.3">
      <c r="B76" s="651" t="s">
        <v>220</v>
      </c>
      <c r="C76" s="655">
        <f>U63</f>
        <v>475</v>
      </c>
      <c r="D76" s="656">
        <f t="shared" si="0"/>
        <v>7.916666666666667</v>
      </c>
      <c r="E76" s="655">
        <f>V63</f>
        <v>15</v>
      </c>
      <c r="F76" s="657">
        <f t="shared" si="0"/>
        <v>0.25</v>
      </c>
      <c r="G76" s="655">
        <f>W63</f>
        <v>1075</v>
      </c>
      <c r="H76" s="656">
        <f t="shared" si="1"/>
        <v>17.916666666666668</v>
      </c>
      <c r="I76" s="655">
        <f>X63</f>
        <v>0</v>
      </c>
      <c r="J76" s="656">
        <f t="shared" si="1"/>
        <v>0</v>
      </c>
    </row>
    <row r="77" spans="2:10" ht="22.5" customHeight="1" thickBot="1" x14ac:dyDescent="0.35">
      <c r="B77" s="651" t="s">
        <v>221</v>
      </c>
      <c r="C77" s="658">
        <f>AD63</f>
        <v>336</v>
      </c>
      <c r="D77" s="659">
        <f t="shared" si="0"/>
        <v>5.6</v>
      </c>
      <c r="E77" s="658">
        <f>AE63</f>
        <v>47</v>
      </c>
      <c r="F77" s="660">
        <f t="shared" si="0"/>
        <v>0.78333333333333333</v>
      </c>
      <c r="G77" s="658">
        <f>AF63</f>
        <v>888</v>
      </c>
      <c r="H77" s="659">
        <f t="shared" si="1"/>
        <v>14.8</v>
      </c>
      <c r="I77" s="658">
        <f>AG63</f>
        <v>0</v>
      </c>
      <c r="J77" s="659">
        <f t="shared" si="1"/>
        <v>0</v>
      </c>
    </row>
    <row r="78" spans="2:10" ht="19.5" thickBot="1" x14ac:dyDescent="0.35">
      <c r="B78" s="419"/>
      <c r="C78" s="301"/>
      <c r="D78" s="301"/>
      <c r="E78" s="301"/>
      <c r="F78" s="301"/>
      <c r="G78" s="301"/>
      <c r="H78" s="301"/>
      <c r="I78" s="301"/>
      <c r="J78" s="301"/>
    </row>
    <row r="79" spans="2:10" ht="19.5" thickBot="1" x14ac:dyDescent="0.35">
      <c r="B79" s="661" t="s">
        <v>217</v>
      </c>
      <c r="C79" s="666"/>
      <c r="D79" s="667">
        <f>SUM(D74:D78)</f>
        <v>18.483333333333334</v>
      </c>
      <c r="E79" s="666"/>
      <c r="F79" s="667">
        <f>SUM(F74:F78)</f>
        <v>5.1833333333333336</v>
      </c>
      <c r="G79" s="666"/>
      <c r="H79" s="667">
        <f>SUM(H74:H78)</f>
        <v>62.883333333333326</v>
      </c>
      <c r="I79" s="666"/>
      <c r="J79" s="668">
        <f>SUM(J74:J78)</f>
        <v>0</v>
      </c>
    </row>
  </sheetData>
  <mergeCells count="42">
    <mergeCell ref="G72:H72"/>
    <mergeCell ref="I72:J72"/>
    <mergeCell ref="A57:A58"/>
    <mergeCell ref="A59:A60"/>
    <mergeCell ref="A61:A62"/>
    <mergeCell ref="C72:D72"/>
    <mergeCell ref="E72:F72"/>
    <mergeCell ref="A29:A30"/>
    <mergeCell ref="A55:A56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31:A32"/>
    <mergeCell ref="A33:A34"/>
    <mergeCell ref="A13:A14"/>
    <mergeCell ref="A15:A16"/>
    <mergeCell ref="A17:A18"/>
    <mergeCell ref="A19:A20"/>
    <mergeCell ref="A27:A28"/>
    <mergeCell ref="A21:A22"/>
    <mergeCell ref="A23:A24"/>
    <mergeCell ref="A25:A26"/>
    <mergeCell ref="P1:S1"/>
    <mergeCell ref="AD1:AG1"/>
    <mergeCell ref="AH1:AK1"/>
    <mergeCell ref="A3:A4"/>
    <mergeCell ref="A5:A6"/>
    <mergeCell ref="U1:X1"/>
    <mergeCell ref="Y1:AB1"/>
    <mergeCell ref="A11:A12"/>
    <mergeCell ref="A9:A10"/>
    <mergeCell ref="C1:F1"/>
    <mergeCell ref="G1:J1"/>
    <mergeCell ref="L1:O1"/>
    <mergeCell ref="A7:A8"/>
  </mergeCells>
  <pageMargins left="0.7" right="0.7" top="0.75" bottom="0.75" header="0.3" footer="0.3"/>
  <pageSetup paperSize="9" orientation="portrait" horizontalDpi="180" verticalDpi="180" r:id="rId1"/>
  <ignoredErrors>
    <ignoredError sqref="E74:E77 G74:G77 I74:I77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"/>
  <sheetViews>
    <sheetView zoomScale="55" zoomScaleNormal="55" workbookViewId="0">
      <pane xSplit="2" ySplit="2" topLeftCell="C27" activePane="bottomRight" state="frozen"/>
      <selection pane="topRight" activeCell="C1" sqref="C1"/>
      <selection pane="bottomLeft" activeCell="A3" sqref="A3"/>
      <selection pane="bottomRight" activeCell="H82" sqref="H82"/>
    </sheetView>
  </sheetViews>
  <sheetFormatPr defaultColWidth="8.85546875" defaultRowHeight="15" x14ac:dyDescent="0.25"/>
  <cols>
    <col min="1" max="1" width="14.5703125" style="524" customWidth="1"/>
    <col min="2" max="2" width="15.7109375" style="525" customWidth="1"/>
    <col min="3" max="5" width="10.7109375" style="524" customWidth="1"/>
    <col min="6" max="6" width="10.28515625" style="524" customWidth="1"/>
    <col min="7" max="7" width="12.85546875" style="524" customWidth="1"/>
    <col min="8" max="8" width="10.7109375" style="524" customWidth="1"/>
    <col min="9" max="9" width="16.28515625" style="524" customWidth="1"/>
    <col min="10" max="10" width="21.140625" style="524" customWidth="1"/>
    <col min="11" max="18" width="10.7109375" style="524" customWidth="1"/>
    <col min="19" max="19" width="24.28515625" style="524" customWidth="1"/>
    <col min="20" max="25" width="10.7109375" style="524" customWidth="1"/>
    <col min="26" max="26" width="14.28515625" style="524" customWidth="1"/>
    <col min="27" max="27" width="10.7109375" style="524" customWidth="1"/>
    <col min="28" max="28" width="21.140625" style="524" customWidth="1"/>
    <col min="29" max="33" width="10.7109375" style="524" customWidth="1"/>
    <col min="34" max="34" width="12.85546875" style="524" customWidth="1"/>
    <col min="35" max="36" width="10.7109375" style="524" customWidth="1"/>
    <col min="37" max="37" width="23" style="524" customWidth="1"/>
    <col min="38" max="16384" width="8.85546875" style="524"/>
  </cols>
  <sheetData>
    <row r="1" spans="1:37" x14ac:dyDescent="0.25">
      <c r="C1" s="2217" t="s">
        <v>1</v>
      </c>
      <c r="D1" s="2212"/>
      <c r="E1" s="2212"/>
      <c r="F1" s="2212"/>
      <c r="G1" s="2211" t="s">
        <v>206</v>
      </c>
      <c r="H1" s="2209"/>
      <c r="I1" s="2209"/>
      <c r="J1" s="2210"/>
      <c r="L1" s="2212" t="s">
        <v>202</v>
      </c>
      <c r="M1" s="2212"/>
      <c r="N1" s="2212"/>
      <c r="O1" s="2212"/>
      <c r="P1" s="2209" t="s">
        <v>206</v>
      </c>
      <c r="Q1" s="2209"/>
      <c r="R1" s="2209"/>
      <c r="S1" s="2210"/>
      <c r="U1" s="2212" t="s">
        <v>2</v>
      </c>
      <c r="V1" s="2212"/>
      <c r="W1" s="2212"/>
      <c r="X1" s="2212"/>
      <c r="Y1" s="2209" t="s">
        <v>206</v>
      </c>
      <c r="Z1" s="2209"/>
      <c r="AA1" s="2209"/>
      <c r="AB1" s="2210"/>
      <c r="AD1" s="2212" t="s">
        <v>203</v>
      </c>
      <c r="AE1" s="2212"/>
      <c r="AF1" s="2212"/>
      <c r="AG1" s="2212"/>
      <c r="AH1" s="2209" t="s">
        <v>206</v>
      </c>
      <c r="AI1" s="2209"/>
      <c r="AJ1" s="2209"/>
      <c r="AK1" s="2210"/>
    </row>
    <row r="2" spans="1:37" ht="15.75" thickBot="1" x14ac:dyDescent="0.3">
      <c r="A2" s="531" t="s">
        <v>0</v>
      </c>
      <c r="B2" s="532" t="s">
        <v>198</v>
      </c>
      <c r="C2" s="529" t="s">
        <v>199</v>
      </c>
      <c r="D2" s="526" t="s">
        <v>200</v>
      </c>
      <c r="E2" s="526" t="s">
        <v>201</v>
      </c>
      <c r="F2" s="526" t="s">
        <v>204</v>
      </c>
      <c r="G2" s="575" t="s">
        <v>199</v>
      </c>
      <c r="H2" s="575" t="s">
        <v>200</v>
      </c>
      <c r="I2" s="575" t="s">
        <v>201</v>
      </c>
      <c r="J2" s="575" t="s">
        <v>204</v>
      </c>
      <c r="K2" s="524" t="s">
        <v>269</v>
      </c>
      <c r="L2" s="526" t="s">
        <v>199</v>
      </c>
      <c r="M2" s="526" t="s">
        <v>200</v>
      </c>
      <c r="N2" s="526" t="s">
        <v>201</v>
      </c>
      <c r="O2" s="526" t="s">
        <v>204</v>
      </c>
      <c r="P2" s="527" t="s">
        <v>199</v>
      </c>
      <c r="Q2" s="526" t="s">
        <v>200</v>
      </c>
      <c r="R2" s="526" t="s">
        <v>201</v>
      </c>
      <c r="S2" s="526" t="s">
        <v>204</v>
      </c>
      <c r="U2" s="526" t="s">
        <v>199</v>
      </c>
      <c r="V2" s="526" t="s">
        <v>200</v>
      </c>
      <c r="W2" s="526" t="s">
        <v>201</v>
      </c>
      <c r="X2" s="526" t="s">
        <v>204</v>
      </c>
      <c r="Y2" s="650" t="s">
        <v>199</v>
      </c>
      <c r="Z2" s="526" t="s">
        <v>200</v>
      </c>
      <c r="AA2" s="526" t="s">
        <v>201</v>
      </c>
      <c r="AB2" s="526" t="s">
        <v>204</v>
      </c>
      <c r="AD2" s="526" t="s">
        <v>199</v>
      </c>
      <c r="AE2" s="526" t="s">
        <v>200</v>
      </c>
      <c r="AF2" s="526" t="s">
        <v>201</v>
      </c>
      <c r="AG2" s="526" t="s">
        <v>204</v>
      </c>
      <c r="AH2" s="527" t="s">
        <v>199</v>
      </c>
      <c r="AI2" s="526" t="s">
        <v>200</v>
      </c>
      <c r="AJ2" s="526" t="s">
        <v>201</v>
      </c>
      <c r="AK2" s="526" t="s">
        <v>204</v>
      </c>
    </row>
    <row r="3" spans="1:37" ht="30" customHeight="1" thickTop="1" x14ac:dyDescent="0.25">
      <c r="A3" s="2206">
        <v>44682</v>
      </c>
      <c r="B3" s="738">
        <v>1</v>
      </c>
      <c r="C3" s="592"/>
      <c r="D3" s="593"/>
      <c r="E3" s="593">
        <v>8</v>
      </c>
      <c r="F3" s="594"/>
      <c r="G3" s="685"/>
      <c r="H3" s="619"/>
      <c r="I3" s="620" t="s">
        <v>385</v>
      </c>
      <c r="J3" s="686"/>
      <c r="K3" s="622"/>
      <c r="L3" s="612"/>
      <c r="M3" s="630"/>
      <c r="N3" s="630"/>
      <c r="O3" s="628"/>
      <c r="P3" s="629"/>
      <c r="Q3" s="699"/>
      <c r="R3" s="700"/>
      <c r="S3" s="628"/>
      <c r="T3" s="622"/>
      <c r="U3" s="612"/>
      <c r="V3" s="630"/>
      <c r="W3" s="630"/>
      <c r="X3" s="613"/>
      <c r="Y3" s="742"/>
      <c r="Z3" s="629"/>
      <c r="AA3" s="719"/>
      <c r="AB3" s="720"/>
      <c r="AC3" s="622"/>
      <c r="AD3" s="612"/>
      <c r="AE3" s="630"/>
      <c r="AF3" s="6"/>
      <c r="AG3" s="628"/>
      <c r="AH3" s="629"/>
      <c r="AI3" s="630"/>
      <c r="AJ3" s="6"/>
      <c r="AK3" s="628"/>
    </row>
    <row r="4" spans="1:37" ht="19.899999999999999" customHeight="1" x14ac:dyDescent="0.25">
      <c r="A4" s="2205"/>
      <c r="B4" s="574">
        <v>2</v>
      </c>
      <c r="C4" s="595"/>
      <c r="D4" s="596"/>
      <c r="E4" s="596"/>
      <c r="F4" s="597"/>
      <c r="G4" s="684"/>
      <c r="H4" s="605"/>
      <c r="I4" s="619"/>
      <c r="J4" s="687"/>
      <c r="K4" s="622"/>
      <c r="L4" s="572"/>
      <c r="M4" s="6"/>
      <c r="N4" s="6"/>
      <c r="O4" s="613"/>
      <c r="P4" s="614"/>
      <c r="Q4" s="698"/>
      <c r="R4" s="28"/>
      <c r="S4" s="613"/>
      <c r="T4" s="622"/>
      <c r="U4" s="572"/>
      <c r="V4" s="605"/>
      <c r="W4" s="6"/>
      <c r="X4" s="613"/>
      <c r="Y4" s="742"/>
      <c r="Z4" s="50"/>
      <c r="AA4" s="721"/>
      <c r="AB4" s="722"/>
      <c r="AC4" s="622"/>
      <c r="AD4" s="572"/>
      <c r="AE4" s="6"/>
      <c r="AF4" s="6"/>
      <c r="AG4" s="613"/>
      <c r="AH4" s="614"/>
      <c r="AI4" s="6"/>
      <c r="AJ4" s="6"/>
      <c r="AK4" s="613"/>
    </row>
    <row r="5" spans="1:37" ht="19.899999999999999" customHeight="1" x14ac:dyDescent="0.25">
      <c r="A5" s="2206">
        <v>44683</v>
      </c>
      <c r="B5" s="574">
        <v>1</v>
      </c>
      <c r="C5" s="595"/>
      <c r="D5" s="596"/>
      <c r="E5" s="596"/>
      <c r="F5" s="597"/>
      <c r="G5" s="685"/>
      <c r="H5" s="619"/>
      <c r="I5" s="620"/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/>
      <c r="X5" s="613"/>
      <c r="Y5" s="742"/>
      <c r="Z5" s="50"/>
      <c r="AA5" s="724"/>
      <c r="AB5" s="723"/>
      <c r="AC5" s="622"/>
      <c r="AD5" s="572"/>
      <c r="AE5" s="6"/>
      <c r="AF5" s="6"/>
      <c r="AG5" s="613"/>
      <c r="AH5" s="614"/>
      <c r="AI5" s="6"/>
      <c r="AJ5" s="6"/>
      <c r="AK5" s="613"/>
    </row>
    <row r="6" spans="1:37" ht="30" customHeight="1" x14ac:dyDescent="0.25">
      <c r="A6" s="2205"/>
      <c r="B6" s="574">
        <v>2</v>
      </c>
      <c r="C6" s="595"/>
      <c r="D6" s="596"/>
      <c r="E6" s="596">
        <v>12</v>
      </c>
      <c r="F6" s="597"/>
      <c r="G6" s="685"/>
      <c r="H6" s="619"/>
      <c r="I6" s="620" t="s">
        <v>385</v>
      </c>
      <c r="J6" s="687"/>
      <c r="K6" s="622"/>
      <c r="L6" s="572"/>
      <c r="M6" s="6"/>
      <c r="N6" s="6"/>
      <c r="O6" s="613"/>
      <c r="P6" s="614"/>
      <c r="Q6" s="619"/>
      <c r="R6" s="6"/>
      <c r="S6" s="613"/>
      <c r="T6" s="622"/>
      <c r="U6" s="572"/>
      <c r="V6" s="6"/>
      <c r="W6" s="6"/>
      <c r="X6" s="613"/>
      <c r="Y6" s="742"/>
      <c r="Z6" s="6"/>
      <c r="AA6" s="28"/>
      <c r="AB6" s="613"/>
      <c r="AC6" s="622"/>
      <c r="AD6" s="572"/>
      <c r="AE6" s="6"/>
      <c r="AF6" s="6">
        <v>5</v>
      </c>
      <c r="AG6" s="613"/>
      <c r="AH6" s="614"/>
      <c r="AI6" s="6"/>
      <c r="AJ6" s="605" t="s">
        <v>385</v>
      </c>
      <c r="AK6" s="613"/>
    </row>
    <row r="7" spans="1:37" ht="19.899999999999999" customHeight="1" x14ac:dyDescent="0.25">
      <c r="A7" s="2206">
        <v>44684</v>
      </c>
      <c r="B7" s="574">
        <v>1</v>
      </c>
      <c r="C7" s="595"/>
      <c r="D7" s="596"/>
      <c r="E7" s="596"/>
      <c r="F7" s="597"/>
      <c r="G7" s="685"/>
      <c r="H7" s="620"/>
      <c r="I7" s="619"/>
      <c r="J7" s="687"/>
      <c r="K7" s="622"/>
      <c r="L7" s="572"/>
      <c r="M7" s="614"/>
      <c r="N7" s="6"/>
      <c r="O7" s="613"/>
      <c r="P7" s="614"/>
      <c r="Q7" s="614"/>
      <c r="R7" s="6"/>
      <c r="S7" s="613"/>
      <c r="T7" s="622"/>
      <c r="U7" s="572"/>
      <c r="V7" s="632"/>
      <c r="W7" s="6"/>
      <c r="X7" s="613"/>
      <c r="Y7" s="614"/>
      <c r="Z7" s="6"/>
      <c r="AA7" s="725"/>
      <c r="AB7" s="613"/>
      <c r="AC7" s="622"/>
      <c r="AD7" s="572"/>
      <c r="AE7" s="6"/>
      <c r="AF7" s="6"/>
      <c r="AG7" s="613"/>
      <c r="AH7" s="614"/>
      <c r="AI7" s="6"/>
      <c r="AJ7" s="6"/>
      <c r="AK7" s="613"/>
    </row>
    <row r="8" spans="1:37" ht="31.15" customHeight="1" x14ac:dyDescent="0.25">
      <c r="A8" s="2205"/>
      <c r="B8" s="574">
        <v>2</v>
      </c>
      <c r="C8" s="595"/>
      <c r="D8" s="596"/>
      <c r="E8" s="596">
        <v>7</v>
      </c>
      <c r="F8" s="597"/>
      <c r="G8" s="684"/>
      <c r="H8" s="620"/>
      <c r="I8" s="620" t="s">
        <v>385</v>
      </c>
      <c r="J8" s="687"/>
      <c r="K8" s="622"/>
      <c r="L8" s="572"/>
      <c r="M8" s="6"/>
      <c r="N8" s="6"/>
      <c r="O8" s="613"/>
      <c r="P8" s="742"/>
      <c r="Q8" s="6"/>
      <c r="R8" s="605"/>
      <c r="S8" s="613"/>
      <c r="T8" s="622"/>
      <c r="U8" s="572"/>
      <c r="V8" s="633"/>
      <c r="W8" s="614"/>
      <c r="X8" s="613"/>
      <c r="Y8" s="742"/>
      <c r="Z8" s="6"/>
      <c r="AA8" s="28"/>
      <c r="AB8" s="613"/>
      <c r="AC8" s="622"/>
      <c r="AD8" s="572"/>
      <c r="AE8" s="6"/>
      <c r="AF8" s="6"/>
      <c r="AG8" s="613"/>
      <c r="AH8" s="614"/>
      <c r="AI8" s="6"/>
      <c r="AJ8" s="6"/>
      <c r="AK8" s="613"/>
    </row>
    <row r="9" spans="1:37" ht="19.899999999999999" customHeight="1" x14ac:dyDescent="0.25">
      <c r="A9" s="2206">
        <v>44685</v>
      </c>
      <c r="B9" s="574">
        <v>1</v>
      </c>
      <c r="C9" s="595"/>
      <c r="D9" s="596"/>
      <c r="E9" s="596">
        <v>10</v>
      </c>
      <c r="F9" s="597"/>
      <c r="G9" s="685"/>
      <c r="H9" s="619"/>
      <c r="I9" s="619" t="s">
        <v>386</v>
      </c>
      <c r="J9" s="687"/>
      <c r="K9" s="622"/>
      <c r="L9" s="572"/>
      <c r="M9" s="6"/>
      <c r="N9" s="6"/>
      <c r="O9" s="613"/>
      <c r="P9" s="742"/>
      <c r="Q9" s="6"/>
      <c r="R9" s="605"/>
      <c r="S9" s="613"/>
      <c r="T9" s="622"/>
      <c r="U9" s="572"/>
      <c r="V9" s="6"/>
      <c r="W9" s="6"/>
      <c r="X9" s="613"/>
      <c r="Y9" s="614"/>
      <c r="Z9" s="6"/>
      <c r="AA9" s="6"/>
      <c r="AB9" s="613"/>
      <c r="AC9" s="622"/>
      <c r="AD9" s="572"/>
      <c r="AE9" s="6"/>
      <c r="AF9" s="6"/>
      <c r="AG9" s="613"/>
      <c r="AH9" s="614"/>
      <c r="AI9" s="6"/>
      <c r="AJ9" s="6"/>
      <c r="AK9" s="613"/>
    </row>
    <row r="10" spans="1:37" ht="29.45" customHeight="1" x14ac:dyDescent="0.25">
      <c r="A10" s="2205"/>
      <c r="B10" s="574">
        <v>2</v>
      </c>
      <c r="C10" s="595"/>
      <c r="D10" s="596"/>
      <c r="E10" s="596">
        <v>12</v>
      </c>
      <c r="F10" s="597"/>
      <c r="G10" s="685"/>
      <c r="H10" s="619"/>
      <c r="I10" s="620" t="s">
        <v>385</v>
      </c>
      <c r="J10" s="687"/>
      <c r="K10" s="622"/>
      <c r="L10" s="572"/>
      <c r="M10" s="6"/>
      <c r="N10" s="6"/>
      <c r="O10" s="613"/>
      <c r="P10" s="742"/>
      <c r="Q10" s="6"/>
      <c r="R10" s="605"/>
      <c r="S10" s="613"/>
      <c r="T10" s="622"/>
      <c r="U10" s="572"/>
      <c r="V10" s="6"/>
      <c r="W10" s="6"/>
      <c r="X10" s="613"/>
      <c r="Y10" s="742"/>
      <c r="Z10" s="6"/>
      <c r="AA10" s="6"/>
      <c r="AB10" s="613"/>
      <c r="AC10" s="622"/>
      <c r="AD10" s="572"/>
      <c r="AE10" s="6"/>
      <c r="AF10" s="6"/>
      <c r="AG10" s="613"/>
      <c r="AH10" s="614"/>
      <c r="AI10" s="6"/>
      <c r="AJ10" s="6"/>
      <c r="AK10" s="613"/>
    </row>
    <row r="11" spans="1:37" ht="19.899999999999999" customHeight="1" x14ac:dyDescent="0.25">
      <c r="A11" s="2206">
        <v>44686</v>
      </c>
      <c r="B11" s="574">
        <v>1</v>
      </c>
      <c r="C11" s="595"/>
      <c r="D11" s="596"/>
      <c r="E11" s="596"/>
      <c r="F11" s="597"/>
      <c r="G11" s="684"/>
      <c r="H11" s="619"/>
      <c r="I11" s="620"/>
      <c r="J11" s="687"/>
      <c r="K11" s="622"/>
      <c r="L11" s="572"/>
      <c r="M11" s="6"/>
      <c r="N11" s="6"/>
      <c r="O11" s="613"/>
      <c r="P11" s="742"/>
      <c r="Q11" s="6"/>
      <c r="R11" s="605"/>
      <c r="S11" s="613"/>
      <c r="T11" s="622"/>
      <c r="U11" s="572"/>
      <c r="V11" s="6"/>
      <c r="W11" s="6"/>
      <c r="X11" s="613"/>
      <c r="Y11" s="614"/>
      <c r="Z11" s="6"/>
      <c r="AA11" s="6"/>
      <c r="AB11" s="613"/>
      <c r="AC11" s="622"/>
      <c r="AD11" s="572"/>
      <c r="AE11" s="6"/>
      <c r="AF11" s="6"/>
      <c r="AG11" s="613"/>
      <c r="AH11" s="614"/>
      <c r="AI11" s="6"/>
      <c r="AJ11" s="6"/>
      <c r="AK11" s="613"/>
    </row>
    <row r="12" spans="1:37" ht="19.899999999999999" customHeight="1" x14ac:dyDescent="0.25">
      <c r="A12" s="2205"/>
      <c r="B12" s="574">
        <v>2</v>
      </c>
      <c r="C12" s="595"/>
      <c r="D12" s="596"/>
      <c r="E12" s="596">
        <v>10</v>
      </c>
      <c r="F12" s="597"/>
      <c r="G12" s="685"/>
      <c r="H12" s="619"/>
      <c r="I12" s="619" t="s">
        <v>386</v>
      </c>
      <c r="J12" s="687"/>
      <c r="K12" s="622"/>
      <c r="L12" s="572"/>
      <c r="M12" s="6"/>
      <c r="N12" s="6"/>
      <c r="O12" s="613"/>
      <c r="P12" s="742"/>
      <c r="Q12" s="6"/>
      <c r="R12" s="605"/>
      <c r="S12" s="613"/>
      <c r="T12" s="622"/>
      <c r="U12" s="572"/>
      <c r="V12" s="6"/>
      <c r="W12" s="6"/>
      <c r="X12" s="613"/>
      <c r="Y12" s="614"/>
      <c r="Z12" s="6"/>
      <c r="AA12" s="6"/>
      <c r="AB12" s="613"/>
      <c r="AC12" s="622"/>
      <c r="AD12" s="572"/>
      <c r="AE12" s="6"/>
      <c r="AF12" s="6"/>
      <c r="AG12" s="613"/>
      <c r="AH12" s="614"/>
      <c r="AI12" s="6"/>
      <c r="AJ12" s="6"/>
      <c r="AK12" s="613"/>
    </row>
    <row r="13" spans="1:37" ht="27.6" customHeight="1" x14ac:dyDescent="0.25">
      <c r="A13" s="2206">
        <v>44687</v>
      </c>
      <c r="B13" s="574">
        <v>1</v>
      </c>
      <c r="C13" s="595"/>
      <c r="D13" s="596"/>
      <c r="E13" s="596">
        <v>11</v>
      </c>
      <c r="F13" s="597"/>
      <c r="G13" s="685"/>
      <c r="H13" s="619"/>
      <c r="I13" s="620" t="s">
        <v>385</v>
      </c>
      <c r="J13" s="687"/>
      <c r="K13" s="622"/>
      <c r="L13" s="572"/>
      <c r="M13" s="6"/>
      <c r="N13" s="6"/>
      <c r="O13" s="613"/>
      <c r="P13" s="742"/>
      <c r="Q13" s="6"/>
      <c r="R13" s="605"/>
      <c r="S13" s="613"/>
      <c r="T13" s="622"/>
      <c r="U13" s="572"/>
      <c r="V13" s="6"/>
      <c r="W13" s="6"/>
      <c r="X13" s="613"/>
      <c r="Y13" s="742"/>
      <c r="Z13" s="6"/>
      <c r="AA13" s="605"/>
      <c r="AB13" s="634"/>
      <c r="AC13" s="622"/>
      <c r="AD13" s="572"/>
      <c r="AE13" s="6"/>
      <c r="AF13" s="6"/>
      <c r="AG13" s="613"/>
      <c r="AH13" s="614"/>
      <c r="AI13" s="6"/>
      <c r="AJ13" s="6"/>
      <c r="AK13" s="613"/>
    </row>
    <row r="14" spans="1:37" ht="55.9" customHeight="1" x14ac:dyDescent="0.25">
      <c r="A14" s="2205"/>
      <c r="B14" s="574">
        <v>2</v>
      </c>
      <c r="C14" s="595"/>
      <c r="D14" s="596"/>
      <c r="E14" s="596">
        <v>62</v>
      </c>
      <c r="F14" s="597"/>
      <c r="G14" s="685"/>
      <c r="H14" s="620"/>
      <c r="I14" s="620" t="s">
        <v>383</v>
      </c>
      <c r="J14" s="635"/>
      <c r="K14" s="622"/>
      <c r="L14" s="572"/>
      <c r="M14" s="6"/>
      <c r="N14" s="6"/>
      <c r="O14" s="613"/>
      <c r="P14" s="614"/>
      <c r="Q14" s="6"/>
      <c r="R14" s="6"/>
      <c r="S14" s="635"/>
      <c r="T14" s="622"/>
      <c r="U14" s="572"/>
      <c r="V14" s="6"/>
      <c r="W14" s="6">
        <v>14</v>
      </c>
      <c r="X14" s="613"/>
      <c r="Y14" s="614"/>
      <c r="Z14" s="6"/>
      <c r="AA14" s="690" t="s">
        <v>152</v>
      </c>
      <c r="AB14" s="726"/>
      <c r="AC14" s="622"/>
      <c r="AD14" s="572">
        <v>15</v>
      </c>
      <c r="AE14" s="6"/>
      <c r="AF14" s="6"/>
      <c r="AG14" s="613"/>
      <c r="AH14" s="742" t="s">
        <v>387</v>
      </c>
      <c r="AI14" s="6"/>
      <c r="AJ14" s="6"/>
      <c r="AK14" s="635"/>
    </row>
    <row r="15" spans="1:37" ht="43.9" customHeight="1" x14ac:dyDescent="0.25">
      <c r="A15" s="2206">
        <v>44688</v>
      </c>
      <c r="B15" s="574">
        <v>1</v>
      </c>
      <c r="C15" s="595">
        <v>81</v>
      </c>
      <c r="D15" s="596"/>
      <c r="E15" s="6"/>
      <c r="F15" s="597"/>
      <c r="G15" s="684" t="s">
        <v>315</v>
      </c>
      <c r="H15" s="620"/>
      <c r="I15" s="620"/>
      <c r="J15" s="687"/>
      <c r="K15" s="622"/>
      <c r="L15" s="572"/>
      <c r="M15" s="6"/>
      <c r="N15" s="6"/>
      <c r="O15" s="613"/>
      <c r="P15" s="572"/>
      <c r="Q15" s="620"/>
      <c r="R15" s="6"/>
      <c r="S15" s="613"/>
      <c r="T15" s="622"/>
      <c r="U15" s="572"/>
      <c r="V15" s="6"/>
      <c r="W15" s="6"/>
      <c r="X15" s="613"/>
      <c r="Y15" s="572"/>
      <c r="Z15" s="620"/>
      <c r="AA15" s="728"/>
      <c r="AB15" s="727"/>
      <c r="AC15" s="622"/>
      <c r="AD15" s="572"/>
      <c r="AE15" s="6"/>
      <c r="AF15" s="6"/>
      <c r="AG15" s="613"/>
      <c r="AH15" s="572"/>
      <c r="AI15" s="620"/>
      <c r="AJ15" s="605"/>
      <c r="AK15" s="613"/>
    </row>
    <row r="16" spans="1:37" ht="19.899999999999999" customHeight="1" x14ac:dyDescent="0.25">
      <c r="A16" s="2205"/>
      <c r="B16" s="574">
        <v>2</v>
      </c>
      <c r="C16" s="595"/>
      <c r="D16" s="596"/>
      <c r="E16" s="596">
        <v>45</v>
      </c>
      <c r="F16" s="597"/>
      <c r="G16" s="685"/>
      <c r="H16" s="619"/>
      <c r="I16" s="619" t="s">
        <v>386</v>
      </c>
      <c r="J16" s="687"/>
      <c r="K16" s="622"/>
      <c r="L16" s="572"/>
      <c r="M16" s="6"/>
      <c r="N16" s="6"/>
      <c r="O16" s="613"/>
      <c r="P16" s="572"/>
      <c r="Q16" s="6"/>
      <c r="R16" s="6"/>
      <c r="S16" s="613"/>
      <c r="T16" s="622"/>
      <c r="U16" s="572"/>
      <c r="V16" s="6"/>
      <c r="W16" s="6"/>
      <c r="X16" s="613"/>
      <c r="Y16" s="619"/>
      <c r="Z16" s="619"/>
      <c r="AA16" s="6"/>
      <c r="AB16" s="613"/>
      <c r="AC16" s="622"/>
      <c r="AD16" s="572"/>
      <c r="AE16" s="6"/>
      <c r="AF16" s="6"/>
      <c r="AG16" s="613"/>
      <c r="AH16" s="572"/>
      <c r="AI16" s="6"/>
      <c r="AJ16" s="6"/>
      <c r="AK16" s="613"/>
    </row>
    <row r="17" spans="1:37" ht="32.450000000000003" customHeight="1" x14ac:dyDescent="0.25">
      <c r="A17" s="2206">
        <v>44689</v>
      </c>
      <c r="B17" s="644">
        <v>1</v>
      </c>
      <c r="C17" s="595"/>
      <c r="D17" s="596"/>
      <c r="E17" s="596">
        <v>15</v>
      </c>
      <c r="F17" s="597"/>
      <c r="G17" s="685"/>
      <c r="H17" s="619"/>
      <c r="I17" s="620" t="s">
        <v>385</v>
      </c>
      <c r="J17" s="687"/>
      <c r="K17" s="622"/>
      <c r="L17" s="572"/>
      <c r="M17" s="6"/>
      <c r="N17" s="6"/>
      <c r="O17" s="613"/>
      <c r="P17" s="572"/>
      <c r="Q17" s="6"/>
      <c r="R17" s="6"/>
      <c r="S17" s="613"/>
      <c r="T17" s="622"/>
      <c r="U17" s="572"/>
      <c r="V17" s="6"/>
      <c r="W17" s="6"/>
      <c r="X17" s="613"/>
      <c r="Y17" s="619"/>
      <c r="Z17" s="619"/>
      <c r="AA17" s="6"/>
      <c r="AB17" s="613"/>
      <c r="AC17" s="622"/>
      <c r="AD17" s="572"/>
      <c r="AE17" s="6"/>
      <c r="AF17" s="6">
        <v>8</v>
      </c>
      <c r="AG17" s="613"/>
      <c r="AH17" s="572"/>
      <c r="AI17" s="6"/>
      <c r="AJ17" s="605" t="s">
        <v>385</v>
      </c>
      <c r="AK17" s="613"/>
    </row>
    <row r="18" spans="1:37" ht="19.899999999999999" customHeight="1" x14ac:dyDescent="0.25">
      <c r="A18" s="2205"/>
      <c r="B18" s="574">
        <v>2</v>
      </c>
      <c r="C18" s="595"/>
      <c r="D18" s="596"/>
      <c r="E18" s="596">
        <v>6</v>
      </c>
      <c r="F18" s="597"/>
      <c r="G18" s="685"/>
      <c r="H18" s="620"/>
      <c r="I18" s="619" t="s">
        <v>152</v>
      </c>
      <c r="J18" s="687"/>
      <c r="K18" s="622"/>
      <c r="L18" s="572"/>
      <c r="M18" s="6"/>
      <c r="N18" s="6"/>
      <c r="O18" s="613"/>
      <c r="P18" s="572"/>
      <c r="Q18" s="6"/>
      <c r="R18" s="6"/>
      <c r="S18" s="613"/>
      <c r="T18" s="622"/>
      <c r="U18" s="572"/>
      <c r="V18" s="6"/>
      <c r="W18" s="6"/>
      <c r="X18" s="613"/>
      <c r="Y18" s="567"/>
      <c r="Z18" s="6"/>
      <c r="AA18" s="6"/>
      <c r="AB18" s="613"/>
      <c r="AC18" s="622"/>
      <c r="AD18" s="572"/>
      <c r="AE18" s="6"/>
      <c r="AF18" s="6"/>
      <c r="AG18" s="613"/>
      <c r="AH18" s="572"/>
      <c r="AI18" s="6"/>
      <c r="AJ18" s="605"/>
      <c r="AK18" s="613"/>
    </row>
    <row r="19" spans="1:37" ht="33.6" customHeight="1" x14ac:dyDescent="0.25">
      <c r="A19" s="2206">
        <v>44690</v>
      </c>
      <c r="B19" s="574">
        <v>1</v>
      </c>
      <c r="C19" s="622"/>
      <c r="D19" s="596"/>
      <c r="E19" s="596"/>
      <c r="F19" s="597"/>
      <c r="G19" s="685"/>
      <c r="H19" s="619"/>
      <c r="I19" s="620"/>
      <c r="J19" s="687"/>
      <c r="K19" s="622"/>
      <c r="L19" s="572"/>
      <c r="M19" s="6"/>
      <c r="N19" s="6"/>
      <c r="O19" s="613"/>
      <c r="P19" s="572"/>
      <c r="Q19" s="6"/>
      <c r="R19" s="6"/>
      <c r="S19" s="613"/>
      <c r="T19" s="622"/>
      <c r="U19" s="572"/>
      <c r="V19" s="6">
        <v>164</v>
      </c>
      <c r="W19" s="6"/>
      <c r="X19" s="613"/>
      <c r="Y19" s="572"/>
      <c r="Z19" s="605" t="s">
        <v>96</v>
      </c>
      <c r="AA19" s="605"/>
      <c r="AB19" s="613"/>
      <c r="AC19" s="622"/>
      <c r="AD19" s="572"/>
      <c r="AE19" s="6"/>
      <c r="AF19" s="6"/>
      <c r="AG19" s="613"/>
      <c r="AH19" s="572"/>
      <c r="AI19" s="6"/>
      <c r="AJ19" s="605"/>
      <c r="AK19" s="613"/>
    </row>
    <row r="20" spans="1:37" ht="19.899999999999999" customHeight="1" x14ac:dyDescent="0.25">
      <c r="A20" s="2205"/>
      <c r="B20" s="574">
        <v>2</v>
      </c>
      <c r="C20" s="595"/>
      <c r="D20" s="596"/>
      <c r="E20" s="596"/>
      <c r="F20" s="597"/>
      <c r="G20" s="685"/>
      <c r="H20" s="620"/>
      <c r="I20" s="620"/>
      <c r="J20" s="687"/>
      <c r="K20" s="622"/>
      <c r="L20" s="572"/>
      <c r="M20" s="6"/>
      <c r="N20" s="6"/>
      <c r="O20" s="613"/>
      <c r="P20" s="572"/>
      <c r="Q20" s="6"/>
      <c r="R20" s="6"/>
      <c r="S20" s="613"/>
      <c r="T20" s="622"/>
      <c r="U20" s="572"/>
      <c r="V20" s="250"/>
      <c r="W20" s="6"/>
      <c r="X20" s="613"/>
      <c r="Y20" s="572"/>
      <c r="Z20" s="605"/>
      <c r="AA20" s="605"/>
      <c r="AB20" s="613"/>
      <c r="AC20" s="622"/>
      <c r="AD20" s="572"/>
      <c r="AE20" s="6"/>
      <c r="AF20" s="6"/>
      <c r="AG20" s="613"/>
      <c r="AH20" s="572"/>
      <c r="AI20" s="6"/>
      <c r="AJ20" s="6"/>
      <c r="AK20" s="613"/>
    </row>
    <row r="21" spans="1:37" ht="19.899999999999999" customHeight="1" x14ac:dyDescent="0.25">
      <c r="A21" s="2206">
        <v>44691</v>
      </c>
      <c r="B21" s="574">
        <v>1</v>
      </c>
      <c r="C21" s="595"/>
      <c r="D21" s="596"/>
      <c r="E21" s="596"/>
      <c r="F21" s="597"/>
      <c r="G21" s="688"/>
      <c r="H21" s="619"/>
      <c r="I21" s="620"/>
      <c r="J21" s="687"/>
      <c r="K21" s="622"/>
      <c r="L21" s="572"/>
      <c r="M21" s="6"/>
      <c r="N21" s="6"/>
      <c r="O21" s="613"/>
      <c r="P21" s="572"/>
      <c r="Q21" s="6"/>
      <c r="R21" s="6"/>
      <c r="S21" s="613"/>
      <c r="T21" s="622"/>
      <c r="U21" s="572"/>
      <c r="V21" s="6"/>
      <c r="W21" s="6"/>
      <c r="X21" s="613"/>
      <c r="Y21" s="572"/>
      <c r="Z21" s="6"/>
      <c r="AA21" s="605"/>
      <c r="AB21" s="613"/>
      <c r="AC21" s="622"/>
      <c r="AD21" s="572"/>
      <c r="AE21" s="6"/>
      <c r="AF21" s="6"/>
      <c r="AG21" s="613"/>
      <c r="AH21" s="572"/>
      <c r="AI21" s="6"/>
      <c r="AJ21" s="6"/>
      <c r="AK21" s="613"/>
    </row>
    <row r="22" spans="1:37" ht="19.899999999999999" customHeight="1" x14ac:dyDescent="0.25">
      <c r="A22" s="2205"/>
      <c r="B22" s="574">
        <v>2</v>
      </c>
      <c r="C22" s="595"/>
      <c r="D22" s="596"/>
      <c r="E22" s="596"/>
      <c r="F22" s="597"/>
      <c r="G22" s="739"/>
      <c r="H22" s="620"/>
      <c r="I22" s="620"/>
      <c r="J22" s="635"/>
      <c r="K22" s="622"/>
      <c r="L22" s="572"/>
      <c r="M22" s="6"/>
      <c r="N22" s="6"/>
      <c r="O22" s="597"/>
      <c r="P22" s="742"/>
      <c r="Q22" s="6"/>
      <c r="R22" s="6"/>
      <c r="S22" s="635"/>
      <c r="T22" s="622"/>
      <c r="U22" s="572"/>
      <c r="V22" s="6"/>
      <c r="W22" s="6">
        <v>5</v>
      </c>
      <c r="X22" s="597"/>
      <c r="Y22" s="572"/>
      <c r="Z22" s="6"/>
      <c r="AA22" s="605" t="s">
        <v>388</v>
      </c>
      <c r="AB22" s="635"/>
      <c r="AC22" s="622"/>
      <c r="AD22" s="572"/>
      <c r="AE22" s="6"/>
      <c r="AF22" s="6"/>
      <c r="AG22" s="597"/>
      <c r="AH22" s="572"/>
      <c r="AI22" s="6"/>
      <c r="AJ22" s="6"/>
      <c r="AK22" s="635"/>
    </row>
    <row r="23" spans="1:37" ht="19.899999999999999" customHeight="1" x14ac:dyDescent="0.25">
      <c r="A23" s="2206">
        <v>44692</v>
      </c>
      <c r="B23" s="644">
        <v>1</v>
      </c>
      <c r="C23" s="595"/>
      <c r="D23" s="596"/>
      <c r="E23" s="596"/>
      <c r="F23" s="597"/>
      <c r="G23" s="685"/>
      <c r="H23" s="619"/>
      <c r="I23" s="619"/>
      <c r="J23" s="687"/>
      <c r="K23" s="622"/>
      <c r="L23" s="572"/>
      <c r="M23" s="6"/>
      <c r="N23" s="6">
        <v>115</v>
      </c>
      <c r="O23" s="613"/>
      <c r="P23" s="572"/>
      <c r="Q23" s="6"/>
      <c r="R23" s="605" t="s">
        <v>389</v>
      </c>
      <c r="S23" s="613"/>
      <c r="T23" s="622"/>
      <c r="U23" s="572"/>
      <c r="V23" s="6"/>
      <c r="W23" s="6"/>
      <c r="X23" s="613"/>
      <c r="Y23" s="572"/>
      <c r="Z23" s="6"/>
      <c r="AA23" s="6"/>
      <c r="AB23" s="613"/>
      <c r="AC23" s="622"/>
      <c r="AD23" s="572"/>
      <c r="AE23" s="6"/>
      <c r="AF23" s="6"/>
      <c r="AG23" s="613"/>
      <c r="AH23" s="567"/>
      <c r="AI23" s="6"/>
      <c r="AJ23" s="6"/>
      <c r="AK23" s="613"/>
    </row>
    <row r="24" spans="1:37" ht="35.450000000000003" customHeight="1" x14ac:dyDescent="0.25">
      <c r="A24" s="2205"/>
      <c r="B24" s="574">
        <v>2</v>
      </c>
      <c r="C24" s="595"/>
      <c r="D24" s="596"/>
      <c r="E24" s="596"/>
      <c r="F24" s="597">
        <v>30</v>
      </c>
      <c r="G24" s="685"/>
      <c r="H24" s="619"/>
      <c r="I24" s="620"/>
      <c r="J24" s="635" t="s">
        <v>390</v>
      </c>
      <c r="K24" s="622"/>
      <c r="L24" s="572"/>
      <c r="M24" s="6"/>
      <c r="N24" s="6"/>
      <c r="O24" s="597">
        <v>30</v>
      </c>
      <c r="P24" s="685"/>
      <c r="Q24" s="619"/>
      <c r="R24" s="620"/>
      <c r="S24" s="635" t="s">
        <v>390</v>
      </c>
      <c r="T24" s="622"/>
      <c r="U24" s="572"/>
      <c r="V24" s="6"/>
      <c r="W24" s="6"/>
      <c r="X24" s="597">
        <v>30</v>
      </c>
      <c r="Y24" s="685"/>
      <c r="Z24" s="619"/>
      <c r="AA24" s="620"/>
      <c r="AB24" s="635" t="s">
        <v>390</v>
      </c>
      <c r="AC24" s="622"/>
      <c r="AD24" s="572"/>
      <c r="AE24" s="6"/>
      <c r="AF24" s="6">
        <v>6</v>
      </c>
      <c r="AG24" s="597">
        <v>30</v>
      </c>
      <c r="AH24" s="685"/>
      <c r="AI24" s="619"/>
      <c r="AJ24" s="620" t="s">
        <v>97</v>
      </c>
      <c r="AK24" s="635" t="s">
        <v>390</v>
      </c>
    </row>
    <row r="25" spans="1:37" ht="19.899999999999999" customHeight="1" x14ac:dyDescent="0.25">
      <c r="A25" s="2206">
        <v>44693</v>
      </c>
      <c r="B25" s="574">
        <v>1</v>
      </c>
      <c r="C25" s="595"/>
      <c r="D25" s="596"/>
      <c r="E25" s="596">
        <v>8</v>
      </c>
      <c r="F25" s="597"/>
      <c r="G25" s="685"/>
      <c r="H25" s="619"/>
      <c r="I25" s="620" t="s">
        <v>97</v>
      </c>
      <c r="J25" s="687"/>
      <c r="K25" s="622"/>
      <c r="L25" s="572"/>
      <c r="M25" s="6"/>
      <c r="N25" s="6"/>
      <c r="O25" s="613"/>
      <c r="P25" s="572"/>
      <c r="Q25" s="619"/>
      <c r="R25" s="6"/>
      <c r="S25" s="613"/>
      <c r="T25" s="622"/>
      <c r="U25" s="572"/>
      <c r="V25" s="6"/>
      <c r="W25" s="6"/>
      <c r="X25" s="613"/>
      <c r="Y25" s="572"/>
      <c r="Z25" s="6"/>
      <c r="AA25" s="6"/>
      <c r="AB25" s="613"/>
      <c r="AC25" s="622"/>
      <c r="AD25" s="572"/>
      <c r="AE25" s="6"/>
      <c r="AF25" s="6"/>
      <c r="AG25" s="50"/>
      <c r="AH25" s="704"/>
      <c r="AI25" s="614"/>
      <c r="AJ25" s="6"/>
      <c r="AK25" s="613"/>
    </row>
    <row r="26" spans="1:37" ht="36" customHeight="1" x14ac:dyDescent="0.25">
      <c r="A26" s="2205"/>
      <c r="B26" s="574">
        <v>2</v>
      </c>
      <c r="C26" s="595"/>
      <c r="D26" s="596"/>
      <c r="E26" s="596"/>
      <c r="F26" s="597">
        <v>640</v>
      </c>
      <c r="G26" s="685"/>
      <c r="H26" s="620"/>
      <c r="I26" s="620"/>
      <c r="J26" s="2235" t="s">
        <v>390</v>
      </c>
      <c r="K26" s="622"/>
      <c r="L26" s="572"/>
      <c r="M26" s="6"/>
      <c r="N26" s="6"/>
      <c r="O26" s="597">
        <v>640</v>
      </c>
      <c r="P26" s="685"/>
      <c r="Q26" s="620"/>
      <c r="R26" s="620"/>
      <c r="S26" s="2230" t="s">
        <v>390</v>
      </c>
      <c r="T26" s="622"/>
      <c r="U26" s="572"/>
      <c r="V26" s="596"/>
      <c r="W26" s="6"/>
      <c r="X26" s="597">
        <v>640</v>
      </c>
      <c r="Y26" s="685"/>
      <c r="Z26" s="620"/>
      <c r="AA26" s="620"/>
      <c r="AB26" s="2230" t="s">
        <v>390</v>
      </c>
      <c r="AC26" s="622"/>
      <c r="AD26" s="572"/>
      <c r="AE26" s="596"/>
      <c r="AF26" s="6"/>
      <c r="AG26" s="597">
        <v>640</v>
      </c>
      <c r="AH26" s="685"/>
      <c r="AI26" s="620"/>
      <c r="AJ26" s="620"/>
      <c r="AK26" s="2230" t="s">
        <v>390</v>
      </c>
    </row>
    <row r="27" spans="1:37" ht="19.899999999999999" customHeight="1" x14ac:dyDescent="0.25">
      <c r="A27" s="2206">
        <v>44694</v>
      </c>
      <c r="B27" s="644">
        <v>1</v>
      </c>
      <c r="C27" s="595"/>
      <c r="D27" s="596"/>
      <c r="E27" s="596"/>
      <c r="F27" s="597">
        <v>720</v>
      </c>
      <c r="G27" s="685"/>
      <c r="H27" s="619"/>
      <c r="I27" s="620"/>
      <c r="J27" s="2236"/>
      <c r="K27" s="622"/>
      <c r="L27" s="572"/>
      <c r="M27" s="6"/>
      <c r="N27" s="6"/>
      <c r="O27" s="597">
        <v>720</v>
      </c>
      <c r="P27" s="685"/>
      <c r="Q27" s="619"/>
      <c r="R27" s="620"/>
      <c r="S27" s="2238"/>
      <c r="T27" s="622"/>
      <c r="U27" s="572"/>
      <c r="V27" s="6"/>
      <c r="W27" s="6"/>
      <c r="X27" s="597">
        <v>720</v>
      </c>
      <c r="Y27" s="685"/>
      <c r="Z27" s="619"/>
      <c r="AA27" s="620"/>
      <c r="AB27" s="2238"/>
      <c r="AC27" s="622"/>
      <c r="AD27" s="572"/>
      <c r="AE27" s="6"/>
      <c r="AF27" s="6"/>
      <c r="AG27" s="597">
        <v>720</v>
      </c>
      <c r="AH27" s="685"/>
      <c r="AI27" s="619"/>
      <c r="AJ27" s="620"/>
      <c r="AK27" s="2238"/>
    </row>
    <row r="28" spans="1:37" ht="19.899999999999999" customHeight="1" x14ac:dyDescent="0.25">
      <c r="A28" s="2205"/>
      <c r="B28" s="574">
        <v>2</v>
      </c>
      <c r="C28" s="595"/>
      <c r="D28" s="596"/>
      <c r="E28" s="596"/>
      <c r="F28" s="597">
        <v>720</v>
      </c>
      <c r="G28" s="620"/>
      <c r="H28" s="619"/>
      <c r="I28" s="620"/>
      <c r="J28" s="2236"/>
      <c r="K28" s="622"/>
      <c r="L28" s="572"/>
      <c r="M28" s="6"/>
      <c r="N28" s="6"/>
      <c r="O28" s="597">
        <v>720</v>
      </c>
      <c r="P28" s="620"/>
      <c r="Q28" s="619"/>
      <c r="R28" s="620"/>
      <c r="S28" s="2238"/>
      <c r="T28" s="622"/>
      <c r="U28" s="572"/>
      <c r="V28" s="6"/>
      <c r="W28" s="6"/>
      <c r="X28" s="597">
        <v>720</v>
      </c>
      <c r="Y28" s="620"/>
      <c r="Z28" s="619"/>
      <c r="AA28" s="620"/>
      <c r="AB28" s="2238"/>
      <c r="AC28" s="622"/>
      <c r="AD28" s="572"/>
      <c r="AE28" s="6"/>
      <c r="AF28" s="6"/>
      <c r="AG28" s="597">
        <v>720</v>
      </c>
      <c r="AH28" s="620"/>
      <c r="AI28" s="619"/>
      <c r="AJ28" s="620"/>
      <c r="AK28" s="2238"/>
    </row>
    <row r="29" spans="1:37" ht="19.899999999999999" customHeight="1" x14ac:dyDescent="0.25">
      <c r="A29" s="2206">
        <v>44695</v>
      </c>
      <c r="B29" s="574">
        <v>1</v>
      </c>
      <c r="C29" s="595"/>
      <c r="D29" s="596"/>
      <c r="E29" s="596"/>
      <c r="F29" s="597">
        <v>720</v>
      </c>
      <c r="G29" s="685"/>
      <c r="H29" s="619"/>
      <c r="I29" s="620"/>
      <c r="J29" s="2236"/>
      <c r="K29" s="622"/>
      <c r="L29" s="572"/>
      <c r="M29" s="6"/>
      <c r="N29" s="6"/>
      <c r="O29" s="597">
        <v>720</v>
      </c>
      <c r="P29" s="685"/>
      <c r="Q29" s="619"/>
      <c r="R29" s="620"/>
      <c r="S29" s="2238"/>
      <c r="T29" s="622"/>
      <c r="U29" s="572"/>
      <c r="V29" s="6"/>
      <c r="W29" s="6"/>
      <c r="X29" s="597">
        <v>720</v>
      </c>
      <c r="Y29" s="685"/>
      <c r="Z29" s="619"/>
      <c r="AA29" s="620"/>
      <c r="AB29" s="2238"/>
      <c r="AC29" s="622"/>
      <c r="AD29" s="572"/>
      <c r="AE29" s="6"/>
      <c r="AF29" s="6"/>
      <c r="AG29" s="597">
        <v>720</v>
      </c>
      <c r="AH29" s="685"/>
      <c r="AI29" s="619"/>
      <c r="AJ29" s="620"/>
      <c r="AK29" s="2238"/>
    </row>
    <row r="30" spans="1:37" ht="19.899999999999999" customHeight="1" x14ac:dyDescent="0.25">
      <c r="A30" s="2205"/>
      <c r="B30" s="644">
        <v>2</v>
      </c>
      <c r="C30" s="595"/>
      <c r="D30" s="596"/>
      <c r="E30" s="596"/>
      <c r="F30" s="597">
        <v>720</v>
      </c>
      <c r="G30" s="685"/>
      <c r="H30" s="619"/>
      <c r="I30" s="620"/>
      <c r="J30" s="2236"/>
      <c r="K30" s="622"/>
      <c r="L30" s="572"/>
      <c r="M30" s="6"/>
      <c r="N30" s="6"/>
      <c r="O30" s="597">
        <v>720</v>
      </c>
      <c r="P30" s="685"/>
      <c r="Q30" s="619"/>
      <c r="R30" s="620"/>
      <c r="S30" s="2238"/>
      <c r="T30" s="622"/>
      <c r="U30" s="572"/>
      <c r="V30" s="6"/>
      <c r="W30" s="6"/>
      <c r="X30" s="597">
        <v>720</v>
      </c>
      <c r="Y30" s="685"/>
      <c r="Z30" s="619"/>
      <c r="AA30" s="620"/>
      <c r="AB30" s="2238"/>
      <c r="AC30" s="622"/>
      <c r="AD30" s="572"/>
      <c r="AE30" s="6"/>
      <c r="AF30" s="6"/>
      <c r="AG30" s="597">
        <v>720</v>
      </c>
      <c r="AH30" s="685"/>
      <c r="AI30" s="619"/>
      <c r="AJ30" s="620"/>
      <c r="AK30" s="2238"/>
    </row>
    <row r="31" spans="1:37" ht="19.899999999999999" customHeight="1" x14ac:dyDescent="0.25">
      <c r="A31" s="2206">
        <v>44696</v>
      </c>
      <c r="B31" s="574">
        <v>1</v>
      </c>
      <c r="C31" s="595"/>
      <c r="D31" s="596"/>
      <c r="E31" s="596"/>
      <c r="F31" s="597">
        <v>397</v>
      </c>
      <c r="G31" s="685"/>
      <c r="H31" s="619"/>
      <c r="I31" s="620"/>
      <c r="J31" s="2236"/>
      <c r="K31" s="622"/>
      <c r="L31" s="572"/>
      <c r="M31" s="6"/>
      <c r="N31" s="6"/>
      <c r="O31" s="597">
        <v>720</v>
      </c>
      <c r="P31" s="614"/>
      <c r="Q31" s="6"/>
      <c r="R31" s="6"/>
      <c r="S31" s="2238"/>
      <c r="T31" s="622"/>
      <c r="U31" s="572"/>
      <c r="V31" s="6"/>
      <c r="W31" s="6"/>
      <c r="X31" s="597">
        <v>720</v>
      </c>
      <c r="Y31" s="614"/>
      <c r="Z31" s="6"/>
      <c r="AA31" s="6"/>
      <c r="AB31" s="2238"/>
      <c r="AC31" s="622"/>
      <c r="AD31" s="572"/>
      <c r="AE31" s="6"/>
      <c r="AF31" s="6"/>
      <c r="AG31" s="597">
        <v>720</v>
      </c>
      <c r="AH31" s="614"/>
      <c r="AI31" s="6"/>
      <c r="AJ31" s="6"/>
      <c r="AK31" s="2238"/>
    </row>
    <row r="32" spans="1:37" ht="19.899999999999999" customHeight="1" x14ac:dyDescent="0.25">
      <c r="A32" s="2205"/>
      <c r="B32" s="574">
        <v>2</v>
      </c>
      <c r="C32" s="595"/>
      <c r="D32" s="596"/>
      <c r="E32" s="596"/>
      <c r="F32" s="597">
        <v>23</v>
      </c>
      <c r="G32" s="685"/>
      <c r="H32" s="619"/>
      <c r="I32" s="690"/>
      <c r="J32" s="2236"/>
      <c r="K32" s="622"/>
      <c r="L32" s="572"/>
      <c r="M32" s="6"/>
      <c r="N32" s="6"/>
      <c r="O32" s="613">
        <v>720</v>
      </c>
      <c r="P32" s="614"/>
      <c r="Q32" s="6"/>
      <c r="R32" s="6"/>
      <c r="S32" s="2238"/>
      <c r="T32" s="622"/>
      <c r="U32" s="572"/>
      <c r="V32" s="6"/>
      <c r="W32" s="6"/>
      <c r="X32" s="613">
        <v>720</v>
      </c>
      <c r="Y32" s="614"/>
      <c r="Z32" s="6"/>
      <c r="AA32" s="6"/>
      <c r="AB32" s="2238"/>
      <c r="AC32" s="622"/>
      <c r="AD32" s="572"/>
      <c r="AE32" s="6"/>
      <c r="AF32" s="6"/>
      <c r="AG32" s="613">
        <v>720</v>
      </c>
      <c r="AH32" s="614"/>
      <c r="AI32" s="6"/>
      <c r="AJ32" s="6"/>
      <c r="AK32" s="2238"/>
    </row>
    <row r="33" spans="1:37" ht="19.899999999999999" customHeight="1" x14ac:dyDescent="0.25">
      <c r="A33" s="2206">
        <v>44697</v>
      </c>
      <c r="B33" s="574">
        <v>1</v>
      </c>
      <c r="C33" s="595"/>
      <c r="D33" s="596"/>
      <c r="E33" s="596"/>
      <c r="F33" s="597">
        <v>50</v>
      </c>
      <c r="G33" s="685"/>
      <c r="H33" s="619"/>
      <c r="I33" s="692"/>
      <c r="J33" s="2236"/>
      <c r="K33" s="622"/>
      <c r="L33" s="572"/>
      <c r="M33" s="6"/>
      <c r="N33" s="6"/>
      <c r="O33" s="613">
        <v>720</v>
      </c>
      <c r="P33" s="614"/>
      <c r="Q33" s="6"/>
      <c r="R33" s="6"/>
      <c r="S33" s="2238"/>
      <c r="T33" s="622"/>
      <c r="U33" s="572"/>
      <c r="V33" s="6"/>
      <c r="W33" s="6"/>
      <c r="X33" s="613">
        <v>720</v>
      </c>
      <c r="Y33" s="614"/>
      <c r="Z33" s="6"/>
      <c r="AA33" s="6"/>
      <c r="AB33" s="2238"/>
      <c r="AC33" s="622"/>
      <c r="AD33" s="572"/>
      <c r="AE33" s="6"/>
      <c r="AF33" s="6"/>
      <c r="AG33" s="613">
        <v>720</v>
      </c>
      <c r="AH33" s="614"/>
      <c r="AI33" s="605"/>
      <c r="AJ33" s="6"/>
      <c r="AK33" s="2238"/>
    </row>
    <row r="34" spans="1:37" ht="19.899999999999999" customHeight="1" x14ac:dyDescent="0.25">
      <c r="A34" s="2205"/>
      <c r="B34" s="644">
        <v>2</v>
      </c>
      <c r="C34" s="596"/>
      <c r="D34" s="596"/>
      <c r="E34" s="596"/>
      <c r="F34" s="597"/>
      <c r="G34" s="685"/>
      <c r="H34" s="620"/>
      <c r="I34" s="620"/>
      <c r="J34" s="2236"/>
      <c r="K34" s="622"/>
      <c r="L34" s="572"/>
      <c r="M34" s="6"/>
      <c r="N34" s="6"/>
      <c r="O34" s="613">
        <v>720</v>
      </c>
      <c r="P34" s="614"/>
      <c r="Q34" s="620"/>
      <c r="R34" s="6"/>
      <c r="S34" s="2238"/>
      <c r="T34" s="622"/>
      <c r="U34" s="572"/>
      <c r="V34" s="6"/>
      <c r="W34" s="6"/>
      <c r="X34" s="613">
        <v>720</v>
      </c>
      <c r="Y34" s="6"/>
      <c r="Z34" s="605"/>
      <c r="AA34" s="605"/>
      <c r="AB34" s="2238"/>
      <c r="AC34" s="622"/>
      <c r="AD34" s="572"/>
      <c r="AE34" s="6"/>
      <c r="AF34" s="6"/>
      <c r="AG34" s="613">
        <v>720</v>
      </c>
      <c r="AH34" s="614"/>
      <c r="AI34" s="6"/>
      <c r="AJ34" s="6"/>
      <c r="AK34" s="2238"/>
    </row>
    <row r="35" spans="1:37" ht="19.899999999999999" customHeight="1" x14ac:dyDescent="0.25">
      <c r="A35" s="2206">
        <v>44698</v>
      </c>
      <c r="B35" s="574">
        <v>1</v>
      </c>
      <c r="C35" s="596"/>
      <c r="D35" s="596"/>
      <c r="E35" s="596"/>
      <c r="F35" s="597"/>
      <c r="G35" s="685"/>
      <c r="H35" s="619"/>
      <c r="I35" s="620"/>
      <c r="J35" s="2236"/>
      <c r="K35" s="622"/>
      <c r="L35" s="572"/>
      <c r="M35" s="6"/>
      <c r="N35" s="6"/>
      <c r="O35" s="613">
        <v>720</v>
      </c>
      <c r="P35" s="567"/>
      <c r="Q35" s="695"/>
      <c r="R35" s="620"/>
      <c r="S35" s="2238"/>
      <c r="T35" s="622"/>
      <c r="U35" s="572"/>
      <c r="V35" s="6"/>
      <c r="W35" s="6"/>
      <c r="X35" s="613">
        <v>720</v>
      </c>
      <c r="Y35" s="614"/>
      <c r="Z35" s="605"/>
      <c r="AA35" s="6"/>
      <c r="AB35" s="2238"/>
      <c r="AC35" s="622"/>
      <c r="AD35" s="572"/>
      <c r="AE35" s="6"/>
      <c r="AF35" s="6"/>
      <c r="AG35" s="613">
        <v>720</v>
      </c>
      <c r="AH35" s="614"/>
      <c r="AI35" s="620"/>
      <c r="AJ35" s="620"/>
      <c r="AK35" s="2238"/>
    </row>
    <row r="36" spans="1:37" ht="19.899999999999999" customHeight="1" x14ac:dyDescent="0.25">
      <c r="A36" s="2205"/>
      <c r="B36" s="574">
        <v>2</v>
      </c>
      <c r="C36" s="596"/>
      <c r="D36" s="596"/>
      <c r="E36" s="596"/>
      <c r="F36" s="597">
        <v>79</v>
      </c>
      <c r="G36" s="684"/>
      <c r="H36" s="620"/>
      <c r="I36" s="620"/>
      <c r="J36" s="2236"/>
      <c r="K36" s="622"/>
      <c r="L36" s="567"/>
      <c r="M36" s="6"/>
      <c r="N36" s="6"/>
      <c r="O36" s="613">
        <v>720</v>
      </c>
      <c r="P36" s="567"/>
      <c r="Q36" s="695"/>
      <c r="R36" s="6"/>
      <c r="S36" s="2238"/>
      <c r="T36" s="622"/>
      <c r="U36" s="572"/>
      <c r="V36" s="6"/>
      <c r="W36" s="6"/>
      <c r="X36" s="613">
        <v>720</v>
      </c>
      <c r="Y36" s="614"/>
      <c r="Z36" s="605"/>
      <c r="AA36" s="605"/>
      <c r="AB36" s="2238"/>
      <c r="AC36" s="622"/>
      <c r="AD36" s="572"/>
      <c r="AE36" s="6"/>
      <c r="AF36" s="6"/>
      <c r="AG36" s="613">
        <v>720</v>
      </c>
      <c r="AH36" s="614"/>
      <c r="AI36" s="605"/>
      <c r="AJ36" s="605"/>
      <c r="AK36" s="2238"/>
    </row>
    <row r="37" spans="1:37" ht="19.899999999999999" customHeight="1" x14ac:dyDescent="0.25">
      <c r="A37" s="2206">
        <v>44699</v>
      </c>
      <c r="B37" s="644">
        <v>1</v>
      </c>
      <c r="C37" s="596"/>
      <c r="D37" s="596"/>
      <c r="E37" s="596"/>
      <c r="F37" s="613">
        <v>720</v>
      </c>
      <c r="G37" s="685"/>
      <c r="H37" s="619"/>
      <c r="I37" s="620"/>
      <c r="J37" s="2236"/>
      <c r="K37" s="622"/>
      <c r="L37" s="572"/>
      <c r="M37" s="6"/>
      <c r="N37" s="6"/>
      <c r="O37" s="613">
        <v>720</v>
      </c>
      <c r="P37" s="614"/>
      <c r="Q37" s="6"/>
      <c r="R37" s="6"/>
      <c r="S37" s="2238"/>
      <c r="T37" s="622"/>
      <c r="U37" s="572"/>
      <c r="V37" s="6"/>
      <c r="W37" s="6"/>
      <c r="X37" s="613">
        <v>720</v>
      </c>
      <c r="Y37" s="614"/>
      <c r="Z37" s="605"/>
      <c r="AA37" s="605"/>
      <c r="AB37" s="2238"/>
      <c r="AC37" s="622"/>
      <c r="AD37" s="572"/>
      <c r="AE37" s="6"/>
      <c r="AF37" s="6"/>
      <c r="AG37" s="613">
        <v>720</v>
      </c>
      <c r="AH37" s="614"/>
      <c r="AI37" s="6"/>
      <c r="AJ37" s="6"/>
      <c r="AK37" s="2238"/>
    </row>
    <row r="38" spans="1:37" ht="19.899999999999999" customHeight="1" x14ac:dyDescent="0.25">
      <c r="A38" s="2205"/>
      <c r="B38" s="574">
        <v>2</v>
      </c>
      <c r="C38" s="595"/>
      <c r="D38" s="596"/>
      <c r="E38" s="596"/>
      <c r="F38" s="597">
        <v>105</v>
      </c>
      <c r="G38" s="685"/>
      <c r="H38" s="619"/>
      <c r="I38" s="620"/>
      <c r="J38" s="2236"/>
      <c r="K38" s="622"/>
      <c r="L38" s="572"/>
      <c r="M38" s="6"/>
      <c r="N38" s="6"/>
      <c r="O38" s="613">
        <v>720</v>
      </c>
      <c r="P38" s="742"/>
      <c r="Q38" s="6"/>
      <c r="R38" s="6"/>
      <c r="S38" s="2238"/>
      <c r="T38" s="622"/>
      <c r="U38" s="572"/>
      <c r="V38" s="6"/>
      <c r="W38" s="6"/>
      <c r="X38" s="613">
        <v>720</v>
      </c>
      <c r="Y38" s="614"/>
      <c r="Z38" s="6"/>
      <c r="AA38" s="6"/>
      <c r="AB38" s="2238"/>
      <c r="AC38" s="622"/>
      <c r="AD38" s="572"/>
      <c r="AE38" s="6"/>
      <c r="AF38" s="6"/>
      <c r="AG38" s="613">
        <v>720</v>
      </c>
      <c r="AH38" s="614"/>
      <c r="AI38" s="6"/>
      <c r="AJ38" s="6"/>
      <c r="AK38" s="2238"/>
    </row>
    <row r="39" spans="1:37" ht="19.899999999999999" customHeight="1" x14ac:dyDescent="0.25">
      <c r="A39" s="2206">
        <v>44700</v>
      </c>
      <c r="B39" s="574">
        <v>1</v>
      </c>
      <c r="C39" s="595"/>
      <c r="D39" s="596"/>
      <c r="E39" s="596"/>
      <c r="F39" s="597">
        <v>180</v>
      </c>
      <c r="G39" s="685"/>
      <c r="H39" s="619"/>
      <c r="I39" s="620"/>
      <c r="J39" s="2236"/>
      <c r="K39" s="622"/>
      <c r="L39" s="572"/>
      <c r="M39" s="6"/>
      <c r="N39" s="6"/>
      <c r="O39" s="613">
        <v>720</v>
      </c>
      <c r="P39" s="614"/>
      <c r="Q39" s="6"/>
      <c r="R39" s="6"/>
      <c r="S39" s="2238"/>
      <c r="T39" s="622"/>
      <c r="U39" s="572"/>
      <c r="V39" s="6"/>
      <c r="W39" s="6"/>
      <c r="X39" s="613">
        <v>720</v>
      </c>
      <c r="Y39" s="614"/>
      <c r="Z39" s="6"/>
      <c r="AA39" s="605"/>
      <c r="AB39" s="2238"/>
      <c r="AC39" s="622"/>
      <c r="AD39" s="572"/>
      <c r="AE39" s="6"/>
      <c r="AF39" s="6"/>
      <c r="AG39" s="613">
        <v>720</v>
      </c>
      <c r="AH39" s="614"/>
      <c r="AI39" s="6"/>
      <c r="AJ39" s="6"/>
      <c r="AK39" s="2238"/>
    </row>
    <row r="40" spans="1:37" ht="19.899999999999999" customHeight="1" x14ac:dyDescent="0.25">
      <c r="A40" s="2205"/>
      <c r="B40" s="574">
        <v>2</v>
      </c>
      <c r="C40" s="595"/>
      <c r="D40" s="596"/>
      <c r="E40" s="596"/>
      <c r="F40" s="613">
        <v>720</v>
      </c>
      <c r="G40" s="685"/>
      <c r="H40" s="619"/>
      <c r="I40" s="620"/>
      <c r="J40" s="2236"/>
      <c r="K40" s="622"/>
      <c r="L40" s="572"/>
      <c r="M40" s="6"/>
      <c r="N40" s="6"/>
      <c r="O40" s="613">
        <v>720</v>
      </c>
      <c r="P40" s="614"/>
      <c r="Q40" s="6"/>
      <c r="R40" s="6"/>
      <c r="S40" s="2238"/>
      <c r="T40" s="622"/>
      <c r="U40" s="572"/>
      <c r="V40" s="6"/>
      <c r="W40" s="6"/>
      <c r="X40" s="613">
        <v>720</v>
      </c>
      <c r="Y40" s="614"/>
      <c r="Z40" s="6"/>
      <c r="AA40" s="605"/>
      <c r="AB40" s="2238"/>
      <c r="AC40" s="622"/>
      <c r="AD40" s="572"/>
      <c r="AE40" s="6"/>
      <c r="AF40" s="6"/>
      <c r="AG40" s="613">
        <v>720</v>
      </c>
      <c r="AH40" s="614"/>
      <c r="AI40" s="6"/>
      <c r="AJ40" s="6"/>
      <c r="AK40" s="2238"/>
    </row>
    <row r="41" spans="1:37" ht="19.899999999999999" customHeight="1" x14ac:dyDescent="0.25">
      <c r="A41" s="2206">
        <v>44701</v>
      </c>
      <c r="B41" s="574">
        <v>1</v>
      </c>
      <c r="C41" s="595"/>
      <c r="D41" s="596"/>
      <c r="E41" s="596"/>
      <c r="F41" s="613">
        <v>720</v>
      </c>
      <c r="G41" s="685"/>
      <c r="H41" s="620"/>
      <c r="I41" s="620"/>
      <c r="J41" s="2236"/>
      <c r="K41" s="622"/>
      <c r="L41" s="572"/>
      <c r="M41" s="6"/>
      <c r="N41" s="6"/>
      <c r="O41" s="613">
        <v>720</v>
      </c>
      <c r="P41" s="614"/>
      <c r="Q41" s="6"/>
      <c r="R41" s="6"/>
      <c r="S41" s="2238"/>
      <c r="T41" s="622"/>
      <c r="U41" s="572"/>
      <c r="V41" s="6"/>
      <c r="W41" s="6"/>
      <c r="X41" s="613">
        <v>720</v>
      </c>
      <c r="Y41" s="614"/>
      <c r="Z41" s="605"/>
      <c r="AA41" s="605"/>
      <c r="AB41" s="2238"/>
      <c r="AC41" s="622"/>
      <c r="AD41" s="572"/>
      <c r="AE41" s="6"/>
      <c r="AF41" s="6"/>
      <c r="AG41" s="613">
        <v>360</v>
      </c>
      <c r="AH41" s="614"/>
      <c r="AI41" s="6"/>
      <c r="AJ41" s="6"/>
      <c r="AK41" s="2238"/>
    </row>
    <row r="42" spans="1:37" ht="19.899999999999999" customHeight="1" x14ac:dyDescent="0.25">
      <c r="A42" s="2205"/>
      <c r="B42" s="574">
        <v>2</v>
      </c>
      <c r="C42" s="595"/>
      <c r="D42" s="596"/>
      <c r="E42" s="596"/>
      <c r="F42" s="613">
        <v>720</v>
      </c>
      <c r="G42" s="685"/>
      <c r="H42" s="619"/>
      <c r="I42" s="620"/>
      <c r="J42" s="2236"/>
      <c r="K42" s="622"/>
      <c r="L42" s="572"/>
      <c r="M42" s="6"/>
      <c r="N42" s="6"/>
      <c r="O42" s="613">
        <v>720</v>
      </c>
      <c r="P42" s="614"/>
      <c r="Q42" s="6"/>
      <c r="R42" s="6"/>
      <c r="S42" s="2238"/>
      <c r="T42" s="622"/>
      <c r="U42" s="572"/>
      <c r="V42" s="6"/>
      <c r="W42" s="6"/>
      <c r="X42" s="613">
        <v>720</v>
      </c>
      <c r="Y42" s="742"/>
      <c r="Z42" s="6"/>
      <c r="AA42" s="6"/>
      <c r="AB42" s="2238"/>
      <c r="AC42" s="622"/>
      <c r="AD42" s="572"/>
      <c r="AE42" s="6"/>
      <c r="AF42" s="6"/>
      <c r="AG42" s="613">
        <v>545</v>
      </c>
      <c r="AH42" s="614"/>
      <c r="AI42" s="6"/>
      <c r="AJ42" s="6"/>
      <c r="AK42" s="2238"/>
    </row>
    <row r="43" spans="1:37" ht="19.899999999999999" customHeight="1" x14ac:dyDescent="0.25">
      <c r="A43" s="2206">
        <v>44702</v>
      </c>
      <c r="B43" s="574">
        <v>1</v>
      </c>
      <c r="C43" s="595"/>
      <c r="D43" s="596"/>
      <c r="E43" s="596"/>
      <c r="F43" s="597">
        <v>95</v>
      </c>
      <c r="G43" s="685"/>
      <c r="H43" s="619"/>
      <c r="I43" s="620"/>
      <c r="J43" s="2237"/>
      <c r="K43" s="622"/>
      <c r="L43" s="572"/>
      <c r="M43" s="6"/>
      <c r="N43" s="6"/>
      <c r="O43" s="613">
        <v>101</v>
      </c>
      <c r="P43" s="614"/>
      <c r="Q43" s="6"/>
      <c r="R43" s="6"/>
      <c r="S43" s="2231"/>
      <c r="T43" s="622"/>
      <c r="U43" s="572"/>
      <c r="V43" s="6"/>
      <c r="W43" s="6"/>
      <c r="X43" s="613">
        <v>160</v>
      </c>
      <c r="Y43" s="614"/>
      <c r="Z43" s="6"/>
      <c r="AA43" s="605"/>
      <c r="AB43" s="2231"/>
      <c r="AC43" s="622"/>
      <c r="AD43" s="572"/>
      <c r="AE43" s="6"/>
      <c r="AF43" s="6"/>
      <c r="AG43" s="613">
        <v>80</v>
      </c>
      <c r="AH43" s="605"/>
      <c r="AI43" s="6"/>
      <c r="AJ43" s="6"/>
      <c r="AK43" s="2231"/>
    </row>
    <row r="44" spans="1:37" ht="36" customHeight="1" x14ac:dyDescent="0.25">
      <c r="A44" s="2205"/>
      <c r="B44" s="574">
        <v>2</v>
      </c>
      <c r="C44" s="595"/>
      <c r="D44" s="596"/>
      <c r="E44" s="596"/>
      <c r="F44" s="597"/>
      <c r="G44" s="684"/>
      <c r="H44" s="619"/>
      <c r="I44" s="620"/>
      <c r="J44" s="687"/>
      <c r="K44" s="622"/>
      <c r="L44" s="572"/>
      <c r="M44" s="6"/>
      <c r="N44" s="6">
        <v>5</v>
      </c>
      <c r="O44" s="613"/>
      <c r="P44" s="614"/>
      <c r="Q44" s="6"/>
      <c r="R44" s="605" t="s">
        <v>336</v>
      </c>
      <c r="S44" s="613"/>
      <c r="T44" s="622"/>
      <c r="U44" s="572">
        <v>40</v>
      </c>
      <c r="V44" s="6"/>
      <c r="W44" s="6"/>
      <c r="X44" s="613"/>
      <c r="Y44" s="746" t="s">
        <v>77</v>
      </c>
      <c r="Z44" s="6"/>
      <c r="AA44" s="605"/>
      <c r="AB44" s="613"/>
      <c r="AC44" s="622"/>
      <c r="AD44" s="572"/>
      <c r="AE44" s="6"/>
      <c r="AF44" s="6"/>
      <c r="AG44" s="613"/>
      <c r="AH44" s="614"/>
      <c r="AI44" s="6"/>
      <c r="AJ44" s="605"/>
      <c r="AK44" s="613"/>
    </row>
    <row r="45" spans="1:37" ht="19.899999999999999" customHeight="1" x14ac:dyDescent="0.25">
      <c r="A45" s="2206">
        <v>44703</v>
      </c>
      <c r="B45" s="574">
        <v>1</v>
      </c>
      <c r="C45" s="595"/>
      <c r="D45" s="596"/>
      <c r="E45" s="596"/>
      <c r="F45" s="597"/>
      <c r="G45" s="685"/>
      <c r="H45" s="619"/>
      <c r="I45" s="620"/>
      <c r="J45" s="687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"/>
      <c r="W45" s="6"/>
      <c r="X45" s="613"/>
      <c r="Y45" s="614"/>
      <c r="Z45" s="6"/>
      <c r="AA45" s="605"/>
      <c r="AB45" s="613"/>
      <c r="AC45" s="622"/>
      <c r="AD45" s="572"/>
      <c r="AE45" s="6">
        <v>55</v>
      </c>
      <c r="AF45" s="6"/>
      <c r="AG45" s="613"/>
      <c r="AH45" s="614"/>
      <c r="AI45" s="17"/>
      <c r="AJ45" s="605"/>
      <c r="AK45" s="613"/>
    </row>
    <row r="46" spans="1:37" ht="19.899999999999999" customHeight="1" x14ac:dyDescent="0.25">
      <c r="A46" s="2205"/>
      <c r="B46" s="574">
        <v>2</v>
      </c>
      <c r="C46" s="595"/>
      <c r="D46" s="596"/>
      <c r="E46" s="596"/>
      <c r="F46" s="597"/>
      <c r="G46" s="685"/>
      <c r="H46" s="620"/>
      <c r="I46" s="620"/>
      <c r="J46" s="687"/>
      <c r="K46" s="622"/>
      <c r="L46" s="572"/>
      <c r="M46" s="6"/>
      <c r="N46" s="6"/>
      <c r="O46" s="613"/>
      <c r="P46" s="614"/>
      <c r="Q46" s="620"/>
      <c r="R46" s="6"/>
      <c r="S46" s="613"/>
      <c r="T46" s="622"/>
      <c r="U46" s="572"/>
      <c r="V46" s="6">
        <v>30</v>
      </c>
      <c r="W46" s="6"/>
      <c r="X46" s="613"/>
      <c r="Y46" s="614"/>
      <c r="Z46" s="6" t="s">
        <v>209</v>
      </c>
      <c r="AA46" s="605"/>
      <c r="AB46" s="613"/>
      <c r="AC46" s="622"/>
      <c r="AD46" s="572"/>
      <c r="AE46" s="6"/>
      <c r="AF46" s="6"/>
      <c r="AG46" s="613"/>
      <c r="AH46" s="614"/>
      <c r="AI46" s="6"/>
      <c r="AJ46" s="620"/>
      <c r="AK46" s="613"/>
    </row>
    <row r="47" spans="1:37" ht="19.899999999999999" customHeight="1" x14ac:dyDescent="0.25">
      <c r="A47" s="2206">
        <v>44704</v>
      </c>
      <c r="B47" s="574">
        <v>1</v>
      </c>
      <c r="C47" s="595"/>
      <c r="D47" s="596"/>
      <c r="E47" s="596"/>
      <c r="F47" s="597"/>
      <c r="G47" s="685"/>
      <c r="H47" s="619"/>
      <c r="I47" s="620"/>
      <c r="J47" s="687"/>
      <c r="K47" s="622"/>
      <c r="L47" s="572"/>
      <c r="M47" s="6"/>
      <c r="N47" s="6"/>
      <c r="O47" s="613"/>
      <c r="P47" s="614"/>
      <c r="Q47" s="6"/>
      <c r="R47" s="6"/>
      <c r="S47" s="613"/>
      <c r="T47" s="622"/>
      <c r="U47" s="572"/>
      <c r="V47" s="6"/>
      <c r="W47" s="6"/>
      <c r="X47" s="613"/>
      <c r="Y47" s="614"/>
      <c r="Z47" s="605"/>
      <c r="AA47" s="605"/>
      <c r="AB47" s="613"/>
      <c r="AC47" s="622"/>
      <c r="AD47" s="572"/>
      <c r="AE47" s="6"/>
      <c r="AF47" s="6"/>
      <c r="AG47" s="613"/>
      <c r="AH47" s="742"/>
      <c r="AI47" s="6"/>
      <c r="AJ47" s="6"/>
      <c r="AK47" s="613"/>
    </row>
    <row r="48" spans="1:37" ht="19.899999999999999" customHeight="1" x14ac:dyDescent="0.25">
      <c r="A48" s="2205"/>
      <c r="B48" s="574">
        <v>2</v>
      </c>
      <c r="C48" s="595"/>
      <c r="D48" s="596"/>
      <c r="E48" s="596"/>
      <c r="F48" s="597"/>
      <c r="G48" s="685"/>
      <c r="H48" s="620"/>
      <c r="I48" s="620"/>
      <c r="J48" s="635"/>
      <c r="K48" s="622"/>
      <c r="L48" s="572"/>
      <c r="M48" s="6"/>
      <c r="N48" s="6"/>
      <c r="O48" s="613"/>
      <c r="P48" s="614"/>
      <c r="Q48" s="620"/>
      <c r="R48" s="6"/>
      <c r="S48" s="635"/>
      <c r="T48" s="622"/>
      <c r="U48" s="572"/>
      <c r="V48" s="6"/>
      <c r="W48" s="6"/>
      <c r="X48" s="613"/>
      <c r="Y48" s="742"/>
      <c r="Z48" s="6"/>
      <c r="AA48" s="605"/>
      <c r="AB48" s="635"/>
      <c r="AC48" s="622"/>
      <c r="AD48" s="572"/>
      <c r="AE48" s="6"/>
      <c r="AF48" s="6"/>
      <c r="AG48" s="613"/>
      <c r="AH48" s="614"/>
      <c r="AI48" s="6"/>
      <c r="AJ48" s="6"/>
      <c r="AK48" s="635"/>
    </row>
    <row r="49" spans="1:37" ht="19.899999999999999" customHeight="1" x14ac:dyDescent="0.25">
      <c r="A49" s="2206">
        <v>44705</v>
      </c>
      <c r="B49" s="574">
        <v>1</v>
      </c>
      <c r="C49" s="595"/>
      <c r="D49" s="596"/>
      <c r="E49" s="596"/>
      <c r="F49" s="597"/>
      <c r="G49" s="685"/>
      <c r="H49" s="619"/>
      <c r="I49" s="620"/>
      <c r="J49" s="635"/>
      <c r="K49" s="622"/>
      <c r="L49" s="572"/>
      <c r="M49" s="6"/>
      <c r="N49" s="6"/>
      <c r="O49" s="613"/>
      <c r="P49" s="614"/>
      <c r="Q49" s="6"/>
      <c r="R49" s="6"/>
      <c r="S49" s="634"/>
      <c r="T49" s="622"/>
      <c r="U49" s="572"/>
      <c r="V49" s="6"/>
      <c r="W49" s="6"/>
      <c r="X49" s="613"/>
      <c r="Y49" s="614"/>
      <c r="Z49" s="605"/>
      <c r="AA49" s="605"/>
      <c r="AB49" s="634"/>
      <c r="AC49" s="622"/>
      <c r="AD49" s="572"/>
      <c r="AE49" s="6"/>
      <c r="AF49" s="6"/>
      <c r="AG49" s="613"/>
      <c r="AH49" s="614"/>
      <c r="AI49" s="6"/>
      <c r="AJ49" s="6"/>
      <c r="AK49" s="634"/>
    </row>
    <row r="50" spans="1:37" ht="19.899999999999999" customHeight="1" x14ac:dyDescent="0.25">
      <c r="A50" s="2205"/>
      <c r="B50" s="574">
        <v>2</v>
      </c>
      <c r="C50" s="595"/>
      <c r="D50" s="596"/>
      <c r="E50" s="596"/>
      <c r="F50" s="597"/>
      <c r="G50" s="684"/>
      <c r="H50" s="619"/>
      <c r="I50" s="620"/>
      <c r="J50" s="687"/>
      <c r="K50" s="622"/>
      <c r="L50" s="572"/>
      <c r="M50" s="6"/>
      <c r="N50" s="6"/>
      <c r="O50" s="613"/>
      <c r="P50" s="614"/>
      <c r="Q50" s="605"/>
      <c r="R50" s="605"/>
      <c r="S50" s="613"/>
      <c r="T50" s="622"/>
      <c r="U50" s="572"/>
      <c r="V50" s="6"/>
      <c r="W50" s="6"/>
      <c r="X50" s="613"/>
      <c r="Y50" s="742"/>
      <c r="Z50" s="605"/>
      <c r="AA50" s="605"/>
      <c r="AB50" s="613"/>
      <c r="AC50" s="622"/>
      <c r="AD50" s="572"/>
      <c r="AE50" s="6"/>
      <c r="AF50" s="6"/>
      <c r="AG50" s="613"/>
      <c r="AH50" s="614"/>
      <c r="AI50" s="6"/>
      <c r="AJ50" s="6"/>
      <c r="AK50" s="613"/>
    </row>
    <row r="51" spans="1:37" ht="19.899999999999999" customHeight="1" x14ac:dyDescent="0.25">
      <c r="A51" s="2206">
        <v>44706</v>
      </c>
      <c r="B51" s="574">
        <v>1</v>
      </c>
      <c r="C51" s="595"/>
      <c r="D51" s="596"/>
      <c r="E51" s="596"/>
      <c r="F51" s="597"/>
      <c r="G51" s="685"/>
      <c r="H51" s="619"/>
      <c r="I51" s="620"/>
      <c r="J51" s="687"/>
      <c r="K51" s="622"/>
      <c r="L51" s="572"/>
      <c r="M51" s="6"/>
      <c r="N51" s="6"/>
      <c r="O51" s="613"/>
      <c r="P51" s="614"/>
      <c r="Q51" s="6"/>
      <c r="R51" s="6"/>
      <c r="S51" s="613"/>
      <c r="T51" s="622"/>
      <c r="U51" s="572"/>
      <c r="V51" s="6"/>
      <c r="W51" s="6"/>
      <c r="X51" s="613"/>
      <c r="Y51" s="742"/>
      <c r="Z51" s="6"/>
      <c r="AA51" s="605"/>
      <c r="AB51" s="613"/>
      <c r="AC51" s="622"/>
      <c r="AD51" s="572"/>
      <c r="AE51" s="6"/>
      <c r="AF51" s="6"/>
      <c r="AG51" s="613"/>
      <c r="AH51" s="614"/>
      <c r="AI51" s="6"/>
      <c r="AJ51" s="6"/>
      <c r="AK51" s="613"/>
    </row>
    <row r="52" spans="1:37" ht="31.9" customHeight="1" x14ac:dyDescent="0.25">
      <c r="A52" s="2205"/>
      <c r="B52" s="574">
        <v>2</v>
      </c>
      <c r="C52" s="595"/>
      <c r="D52" s="596"/>
      <c r="E52" s="596"/>
      <c r="F52" s="597">
        <v>113</v>
      </c>
      <c r="G52" s="685"/>
      <c r="H52" s="620"/>
      <c r="I52" s="620"/>
      <c r="J52" s="635" t="s">
        <v>390</v>
      </c>
      <c r="K52" s="622"/>
      <c r="L52" s="572"/>
      <c r="M52" s="6"/>
      <c r="N52" s="6"/>
      <c r="O52" s="613">
        <v>118</v>
      </c>
      <c r="P52" s="614"/>
      <c r="Q52" s="6"/>
      <c r="R52" s="6"/>
      <c r="S52" s="635" t="s">
        <v>390</v>
      </c>
      <c r="T52" s="622"/>
      <c r="U52" s="572"/>
      <c r="V52" s="6"/>
      <c r="W52" s="6"/>
      <c r="X52" s="613">
        <v>113</v>
      </c>
      <c r="Y52" s="742"/>
      <c r="Z52" s="605"/>
      <c r="AA52" s="605"/>
      <c r="AB52" s="635" t="s">
        <v>390</v>
      </c>
      <c r="AC52" s="622"/>
      <c r="AD52" s="572"/>
      <c r="AE52" s="6"/>
      <c r="AF52" s="6"/>
      <c r="AG52" s="613">
        <v>110</v>
      </c>
      <c r="AH52" s="614"/>
      <c r="AI52" s="6"/>
      <c r="AJ52" s="6"/>
      <c r="AK52" s="635" t="s">
        <v>390</v>
      </c>
    </row>
    <row r="53" spans="1:37" ht="34.15" customHeight="1" x14ac:dyDescent="0.25">
      <c r="A53" s="2206">
        <v>44707</v>
      </c>
      <c r="B53" s="574">
        <v>1</v>
      </c>
      <c r="C53" s="595"/>
      <c r="D53" s="596"/>
      <c r="E53" s="596"/>
      <c r="F53" s="597"/>
      <c r="G53" s="685"/>
      <c r="H53" s="619"/>
      <c r="I53" s="619"/>
      <c r="J53" s="687"/>
      <c r="K53" s="622"/>
      <c r="L53" s="572">
        <v>64</v>
      </c>
      <c r="M53" s="6">
        <v>6</v>
      </c>
      <c r="N53" s="6"/>
      <c r="O53" s="613"/>
      <c r="P53" s="746" t="s">
        <v>392</v>
      </c>
      <c r="Q53" s="6" t="s">
        <v>391</v>
      </c>
      <c r="R53" s="6"/>
      <c r="S53" s="613"/>
      <c r="T53" s="622"/>
      <c r="U53" s="572"/>
      <c r="V53" s="6"/>
      <c r="W53" s="6"/>
      <c r="X53" s="613"/>
      <c r="Y53" s="742"/>
      <c r="Z53" s="6"/>
      <c r="AA53" s="6"/>
      <c r="AB53" s="613"/>
      <c r="AC53" s="622"/>
      <c r="AD53" s="572"/>
      <c r="AE53" s="605">
        <v>106</v>
      </c>
      <c r="AF53" s="6"/>
      <c r="AG53" s="613"/>
      <c r="AH53" s="614"/>
      <c r="AI53" s="605" t="s">
        <v>393</v>
      </c>
      <c r="AJ53" s="605"/>
      <c r="AK53" s="613"/>
    </row>
    <row r="54" spans="1:37" ht="19.899999999999999" customHeight="1" x14ac:dyDescent="0.25">
      <c r="A54" s="2205"/>
      <c r="B54" s="737">
        <v>2</v>
      </c>
      <c r="C54" s="595"/>
      <c r="D54" s="596"/>
      <c r="E54" s="596"/>
      <c r="F54" s="597"/>
      <c r="G54" s="685"/>
      <c r="H54" s="619"/>
      <c r="I54" s="620"/>
      <c r="J54" s="687"/>
      <c r="K54" s="622"/>
      <c r="L54" s="572"/>
      <c r="M54" s="6"/>
      <c r="N54" s="6"/>
      <c r="O54" s="613"/>
      <c r="P54" s="614"/>
      <c r="Q54" s="6"/>
      <c r="R54" s="6"/>
      <c r="S54" s="613"/>
      <c r="T54" s="622"/>
      <c r="U54" s="572"/>
      <c r="V54" s="6"/>
      <c r="W54" s="6"/>
      <c r="X54" s="613"/>
      <c r="Y54" s="696"/>
      <c r="Z54" s="741"/>
      <c r="AA54" s="697"/>
      <c r="AB54" s="613"/>
      <c r="AC54" s="622"/>
      <c r="AD54" s="572"/>
      <c r="AE54" s="6"/>
      <c r="AF54" s="6"/>
      <c r="AG54" s="613"/>
      <c r="AH54" s="614"/>
      <c r="AI54" s="6"/>
      <c r="AJ54" s="605"/>
      <c r="AK54" s="613"/>
    </row>
    <row r="55" spans="1:37" ht="31.9" customHeight="1" x14ac:dyDescent="0.25">
      <c r="A55" s="2206">
        <v>44708</v>
      </c>
      <c r="B55" s="574">
        <v>1</v>
      </c>
      <c r="C55" s="595"/>
      <c r="D55" s="596"/>
      <c r="E55" s="596"/>
      <c r="F55" s="597">
        <v>73</v>
      </c>
      <c r="G55" s="685"/>
      <c r="H55" s="619"/>
      <c r="I55" s="620"/>
      <c r="J55" s="635" t="s">
        <v>390</v>
      </c>
      <c r="K55" s="622"/>
      <c r="L55" s="572"/>
      <c r="M55" s="6"/>
      <c r="N55" s="6"/>
      <c r="O55" s="613">
        <v>87</v>
      </c>
      <c r="P55" s="614"/>
      <c r="Q55" s="6"/>
      <c r="R55" s="6"/>
      <c r="S55" s="635" t="s">
        <v>390</v>
      </c>
      <c r="T55" s="622"/>
      <c r="U55" s="572"/>
      <c r="V55" s="6"/>
      <c r="W55" s="6"/>
      <c r="X55" s="613">
        <v>77</v>
      </c>
      <c r="Y55" s="614"/>
      <c r="Z55" s="6"/>
      <c r="AA55" s="6"/>
      <c r="AB55" s="635" t="s">
        <v>390</v>
      </c>
      <c r="AC55" s="622"/>
      <c r="AD55" s="572"/>
      <c r="AE55" s="6"/>
      <c r="AF55" s="6"/>
      <c r="AG55" s="613">
        <v>79</v>
      </c>
      <c r="AH55" s="614"/>
      <c r="AI55" s="6"/>
      <c r="AJ55" s="6"/>
      <c r="AK55" s="635" t="s">
        <v>390</v>
      </c>
    </row>
    <row r="56" spans="1:37" ht="19.899999999999999" customHeight="1" x14ac:dyDescent="0.25">
      <c r="A56" s="2205"/>
      <c r="B56" s="737">
        <v>2</v>
      </c>
      <c r="C56" s="595"/>
      <c r="D56" s="596"/>
      <c r="E56" s="596"/>
      <c r="F56" s="597"/>
      <c r="G56" s="684"/>
      <c r="H56" s="619"/>
      <c r="I56" s="620"/>
      <c r="J56" s="687"/>
      <c r="K56" s="622"/>
      <c r="L56" s="572"/>
      <c r="M56" s="6"/>
      <c r="N56" s="6"/>
      <c r="O56" s="613"/>
      <c r="P56" s="614"/>
      <c r="Q56" s="6"/>
      <c r="R56" s="6"/>
      <c r="S56" s="613"/>
      <c r="T56" s="622"/>
      <c r="U56" s="572"/>
      <c r="V56" s="6"/>
      <c r="W56" s="6"/>
      <c r="X56" s="613"/>
      <c r="Y56" s="742"/>
      <c r="Z56" s="605"/>
      <c r="AA56" s="619"/>
      <c r="AB56" s="613"/>
      <c r="AC56" s="622"/>
      <c r="AD56" s="572"/>
      <c r="AE56" s="6"/>
      <c r="AF56" s="6"/>
      <c r="AG56" s="613"/>
      <c r="AH56" s="614"/>
      <c r="AI56" s="605"/>
      <c r="AJ56" s="619"/>
      <c r="AK56" s="613"/>
    </row>
    <row r="57" spans="1:37" ht="19.899999999999999" customHeight="1" x14ac:dyDescent="0.25">
      <c r="A57" s="2206">
        <v>44709</v>
      </c>
      <c r="B57" s="574">
        <v>1</v>
      </c>
      <c r="C57" s="595"/>
      <c r="D57" s="596"/>
      <c r="E57" s="596"/>
      <c r="F57" s="597"/>
      <c r="G57" s="685"/>
      <c r="H57" s="619"/>
      <c r="I57" s="620"/>
      <c r="J57" s="687"/>
      <c r="K57" s="622"/>
      <c r="L57" s="572"/>
      <c r="M57" s="6"/>
      <c r="N57" s="6"/>
      <c r="O57" s="613"/>
      <c r="P57" s="614"/>
      <c r="Q57" s="6"/>
      <c r="R57" s="605"/>
      <c r="S57" s="613"/>
      <c r="T57" s="622"/>
      <c r="U57" s="572"/>
      <c r="V57" s="6"/>
      <c r="W57" s="6"/>
      <c r="X57" s="613"/>
      <c r="Y57" s="742"/>
      <c r="Z57" s="605"/>
      <c r="AA57" s="605"/>
      <c r="AB57" s="613"/>
      <c r="AC57" s="622"/>
      <c r="AD57" s="572"/>
      <c r="AE57" s="6"/>
      <c r="AF57" s="6"/>
      <c r="AG57" s="613"/>
      <c r="AH57" s="614"/>
      <c r="AI57" s="6"/>
      <c r="AJ57" s="620"/>
      <c r="AK57" s="613"/>
    </row>
    <row r="58" spans="1:37" ht="19.899999999999999" customHeight="1" x14ac:dyDescent="0.25">
      <c r="A58" s="2205"/>
      <c r="B58" s="737">
        <v>2</v>
      </c>
      <c r="C58" s="595"/>
      <c r="D58" s="596"/>
      <c r="E58" s="596"/>
      <c r="F58" s="597"/>
      <c r="G58" s="684"/>
      <c r="H58" s="619"/>
      <c r="I58" s="620"/>
      <c r="J58" s="687"/>
      <c r="K58" s="622"/>
      <c r="L58" s="572"/>
      <c r="M58" s="6"/>
      <c r="N58" s="6"/>
      <c r="O58" s="613"/>
      <c r="P58" s="614"/>
      <c r="Q58" s="6"/>
      <c r="R58" s="6"/>
      <c r="S58" s="613"/>
      <c r="T58" s="622"/>
      <c r="U58" s="572"/>
      <c r="V58" s="6"/>
      <c r="W58" s="6"/>
      <c r="X58" s="613"/>
      <c r="Y58" s="614"/>
      <c r="Z58" s="605"/>
      <c r="AA58" s="6"/>
      <c r="AB58" s="613"/>
      <c r="AC58" s="622"/>
      <c r="AD58" s="572"/>
      <c r="AE58" s="6"/>
      <c r="AF58" s="6"/>
      <c r="AG58" s="613"/>
      <c r="AH58" s="614"/>
      <c r="AI58" s="6"/>
      <c r="AJ58" s="6"/>
      <c r="AK58" s="613"/>
    </row>
    <row r="59" spans="1:37" ht="19.899999999999999" customHeight="1" x14ac:dyDescent="0.25">
      <c r="A59" s="2206">
        <v>44710</v>
      </c>
      <c r="B59" s="574">
        <v>1</v>
      </c>
      <c r="C59" s="595"/>
      <c r="D59" s="596"/>
      <c r="E59" s="596"/>
      <c r="F59" s="597"/>
      <c r="G59" s="685"/>
      <c r="H59" s="619"/>
      <c r="I59" s="6"/>
      <c r="J59" s="687"/>
      <c r="K59" s="622"/>
      <c r="L59" s="572"/>
      <c r="M59" s="6"/>
      <c r="N59" s="6"/>
      <c r="O59" s="613"/>
      <c r="P59" s="614"/>
      <c r="Q59" s="605"/>
      <c r="R59" s="6"/>
      <c r="S59" s="613"/>
      <c r="T59" s="622"/>
      <c r="U59" s="572"/>
      <c r="V59" s="6"/>
      <c r="W59" s="6"/>
      <c r="X59" s="613"/>
      <c r="Y59" s="614"/>
      <c r="Z59" s="6"/>
      <c r="AA59" s="6"/>
      <c r="AB59" s="613"/>
      <c r="AC59" s="622"/>
      <c r="AD59" s="572"/>
      <c r="AE59" s="6"/>
      <c r="AF59" s="6"/>
      <c r="AG59" s="613"/>
      <c r="AH59" s="742"/>
      <c r="AI59" s="6"/>
      <c r="AJ59" s="6"/>
      <c r="AK59" s="613"/>
    </row>
    <row r="60" spans="1:37" ht="31.9" customHeight="1" x14ac:dyDescent="0.25">
      <c r="A60" s="2205"/>
      <c r="B60" s="737">
        <v>2</v>
      </c>
      <c r="C60" s="595"/>
      <c r="D60" s="596"/>
      <c r="E60" s="596"/>
      <c r="F60" s="597">
        <v>98</v>
      </c>
      <c r="G60" s="684"/>
      <c r="H60" s="620"/>
      <c r="I60" s="620"/>
      <c r="J60" s="635" t="s">
        <v>390</v>
      </c>
      <c r="K60" s="622"/>
      <c r="L60" s="572"/>
      <c r="M60" s="6"/>
      <c r="N60" s="6"/>
      <c r="O60" s="613">
        <v>97</v>
      </c>
      <c r="P60" s="614"/>
      <c r="Q60" s="6"/>
      <c r="R60" s="6"/>
      <c r="S60" s="635" t="s">
        <v>390</v>
      </c>
      <c r="T60" s="622"/>
      <c r="U60" s="572"/>
      <c r="V60" s="6"/>
      <c r="W60" s="6"/>
      <c r="X60" s="613">
        <v>99</v>
      </c>
      <c r="Y60" s="742"/>
      <c r="Z60" s="605"/>
      <c r="AA60" s="6"/>
      <c r="AB60" s="635" t="s">
        <v>390</v>
      </c>
      <c r="AC60" s="622"/>
      <c r="AD60" s="572"/>
      <c r="AE60" s="6"/>
      <c r="AF60" s="6"/>
      <c r="AG60" s="613">
        <v>96</v>
      </c>
      <c r="AH60" s="614"/>
      <c r="AI60" s="6"/>
      <c r="AJ60" s="6"/>
      <c r="AK60" s="635" t="s">
        <v>390</v>
      </c>
    </row>
    <row r="61" spans="1:37" ht="19.899999999999999" customHeight="1" x14ac:dyDescent="0.25">
      <c r="A61" s="2206">
        <v>44711</v>
      </c>
      <c r="B61" s="574">
        <v>1</v>
      </c>
      <c r="C61" s="747"/>
      <c r="D61" s="748"/>
      <c r="E61" s="748"/>
      <c r="F61" s="749"/>
      <c r="G61" s="744"/>
      <c r="H61" s="695"/>
      <c r="I61" s="750"/>
      <c r="J61" s="751"/>
      <c r="K61" s="622"/>
      <c r="L61" s="572"/>
      <c r="M61" s="6"/>
      <c r="N61" s="6"/>
      <c r="O61" s="613"/>
      <c r="P61" s="752"/>
      <c r="Q61" s="632"/>
      <c r="R61" s="632"/>
      <c r="S61" s="753"/>
      <c r="T61" s="622"/>
      <c r="U61" s="572"/>
      <c r="V61" s="6"/>
      <c r="W61" s="6"/>
      <c r="X61" s="613"/>
      <c r="Y61" s="745"/>
      <c r="Z61" s="605"/>
      <c r="AA61" s="6"/>
      <c r="AB61" s="753"/>
      <c r="AC61" s="622"/>
      <c r="AD61" s="572"/>
      <c r="AE61" s="6"/>
      <c r="AF61" s="6"/>
      <c r="AG61" s="613"/>
      <c r="AH61" s="614"/>
      <c r="AI61" s="6"/>
      <c r="AJ61" s="6"/>
      <c r="AK61" s="753"/>
    </row>
    <row r="62" spans="1:37" ht="19.899999999999999" customHeight="1" x14ac:dyDescent="0.25">
      <c r="A62" s="2205"/>
      <c r="B62" s="743">
        <v>2</v>
      </c>
      <c r="C62" s="747"/>
      <c r="D62" s="748"/>
      <c r="E62" s="748"/>
      <c r="F62" s="749"/>
      <c r="G62" s="744"/>
      <c r="H62" s="695"/>
      <c r="I62" s="750"/>
      <c r="J62" s="751"/>
      <c r="K62" s="622"/>
      <c r="L62" s="572"/>
      <c r="M62" s="6"/>
      <c r="N62" s="6"/>
      <c r="O62" s="613"/>
      <c r="P62" s="752"/>
      <c r="Q62" s="632"/>
      <c r="R62" s="632"/>
      <c r="S62" s="753"/>
      <c r="T62" s="622"/>
      <c r="U62" s="572"/>
      <c r="V62" s="6"/>
      <c r="W62" s="6"/>
      <c r="X62" s="613"/>
      <c r="Y62" s="745"/>
      <c r="Z62" s="605"/>
      <c r="AA62" s="6"/>
      <c r="AB62" s="753"/>
      <c r="AC62" s="622"/>
      <c r="AD62" s="572"/>
      <c r="AE62" s="6"/>
      <c r="AF62" s="6"/>
      <c r="AG62" s="613"/>
      <c r="AH62" s="614"/>
      <c r="AI62" s="6"/>
      <c r="AJ62" s="6"/>
      <c r="AK62" s="753"/>
    </row>
    <row r="63" spans="1:37" ht="19.899999999999999" customHeight="1" x14ac:dyDescent="0.25">
      <c r="A63" s="2206">
        <v>44712</v>
      </c>
      <c r="B63" s="574">
        <v>1</v>
      </c>
      <c r="C63" s="706"/>
      <c r="D63" s="707"/>
      <c r="E63" s="707"/>
      <c r="F63" s="708"/>
      <c r="G63" s="717"/>
      <c r="H63" s="709"/>
      <c r="I63" s="710"/>
      <c r="J63" s="691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/>
      <c r="X63" s="597"/>
      <c r="Y63" s="685"/>
      <c r="Z63" s="619"/>
      <c r="AA63" s="619"/>
      <c r="AB63" s="740"/>
      <c r="AC63" s="622"/>
      <c r="AD63" s="572"/>
      <c r="AE63" s="6"/>
      <c r="AF63" s="6"/>
      <c r="AG63" s="597"/>
      <c r="AH63" s="685"/>
      <c r="AI63" s="619"/>
      <c r="AJ63" s="619"/>
      <c r="AK63" s="705"/>
    </row>
    <row r="64" spans="1:37" ht="19.899999999999999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</row>
    <row r="65" spans="1:33" x14ac:dyDescent="0.25">
      <c r="A65" s="524" t="s">
        <v>225</v>
      </c>
      <c r="C65" s="525">
        <f>SUM(C3:C64)</f>
        <v>81</v>
      </c>
      <c r="D65" s="525">
        <f>SUM(D3:D64)</f>
        <v>0</v>
      </c>
      <c r="E65" s="525">
        <f>SUM(E3:E64)</f>
        <v>206</v>
      </c>
      <c r="F65" s="525">
        <f>SUM(F3:F64)</f>
        <v>7643</v>
      </c>
      <c r="L65" s="525">
        <f>SUM(L3:L64)</f>
        <v>64</v>
      </c>
      <c r="M65" s="525">
        <f>SUM(M3:M64)</f>
        <v>6</v>
      </c>
      <c r="N65" s="525">
        <f>SUM(N3:N64)</f>
        <v>120</v>
      </c>
      <c r="O65" s="525">
        <f>SUM(O3:O64)</f>
        <v>12593</v>
      </c>
      <c r="U65" s="525">
        <f>SUM(U3:U64)</f>
        <v>40</v>
      </c>
      <c r="V65" s="525">
        <f>SUM(V3:V64)</f>
        <v>194</v>
      </c>
      <c r="W65" s="525">
        <f>SUM(W3:W64)</f>
        <v>19</v>
      </c>
      <c r="X65" s="525">
        <f>SUM(X3:X64)</f>
        <v>12639</v>
      </c>
      <c r="AD65" s="525">
        <f>SUM(AD3:AD64)</f>
        <v>15</v>
      </c>
      <c r="AE65" s="525">
        <f>SUM(AE3:AE64)</f>
        <v>161</v>
      </c>
      <c r="AF65" s="525">
        <f>SUM(AF3:AF64)</f>
        <v>19</v>
      </c>
      <c r="AG65" s="525">
        <f>SUM(AG3:AG64)</f>
        <v>12020</v>
      </c>
    </row>
    <row r="73" spans="1:33" ht="15.75" thickBot="1" x14ac:dyDescent="0.3"/>
    <row r="74" spans="1:33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33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33" ht="21.75" customHeight="1" x14ac:dyDescent="0.3">
      <c r="B76" s="651" t="s">
        <v>218</v>
      </c>
      <c r="C76" s="652">
        <f>C65</f>
        <v>81</v>
      </c>
      <c r="D76" s="653">
        <f>C76/60</f>
        <v>1.35</v>
      </c>
      <c r="E76" s="652">
        <f>D65</f>
        <v>0</v>
      </c>
      <c r="F76" s="654">
        <f>E76/60</f>
        <v>0</v>
      </c>
      <c r="G76" s="652">
        <f>E65</f>
        <v>206</v>
      </c>
      <c r="H76" s="653">
        <f>G76/60</f>
        <v>3.4333333333333331</v>
      </c>
      <c r="I76" s="652">
        <f>F65</f>
        <v>7643</v>
      </c>
      <c r="J76" s="653">
        <f>I76/60</f>
        <v>127.38333333333334</v>
      </c>
    </row>
    <row r="77" spans="1:33" ht="19.5" customHeight="1" x14ac:dyDescent="0.3">
      <c r="B77" s="651" t="s">
        <v>219</v>
      </c>
      <c r="C77" s="655">
        <f>L65</f>
        <v>64</v>
      </c>
      <c r="D77" s="656">
        <f t="shared" ref="D77:F79" si="0">C77/60</f>
        <v>1.0666666666666667</v>
      </c>
      <c r="E77" s="655">
        <f>M65</f>
        <v>6</v>
      </c>
      <c r="F77" s="657">
        <f t="shared" si="0"/>
        <v>0.1</v>
      </c>
      <c r="G77" s="655">
        <f>N65</f>
        <v>120</v>
      </c>
      <c r="H77" s="656">
        <f t="shared" ref="H77:J79" si="1">G77/60</f>
        <v>2</v>
      </c>
      <c r="I77" s="655">
        <f>O65</f>
        <v>12593</v>
      </c>
      <c r="J77" s="656">
        <f t="shared" si="1"/>
        <v>209.88333333333333</v>
      </c>
    </row>
    <row r="78" spans="1:33" ht="20.25" customHeight="1" x14ac:dyDescent="0.3">
      <c r="B78" s="651" t="s">
        <v>220</v>
      </c>
      <c r="C78" s="655">
        <f>U65</f>
        <v>40</v>
      </c>
      <c r="D78" s="656">
        <f t="shared" si="0"/>
        <v>0.66666666666666663</v>
      </c>
      <c r="E78" s="655">
        <f>V65</f>
        <v>194</v>
      </c>
      <c r="F78" s="657">
        <f t="shared" si="0"/>
        <v>3.2333333333333334</v>
      </c>
      <c r="G78" s="655">
        <f>W65</f>
        <v>19</v>
      </c>
      <c r="H78" s="656">
        <f t="shared" si="1"/>
        <v>0.31666666666666665</v>
      </c>
      <c r="I78" s="655">
        <f>X65</f>
        <v>12639</v>
      </c>
      <c r="J78" s="656">
        <f t="shared" si="1"/>
        <v>210.65</v>
      </c>
    </row>
    <row r="79" spans="1:33" ht="22.5" customHeight="1" thickBot="1" x14ac:dyDescent="0.35">
      <c r="B79" s="651" t="s">
        <v>221</v>
      </c>
      <c r="C79" s="658">
        <f>AD65</f>
        <v>15</v>
      </c>
      <c r="D79" s="659">
        <f t="shared" si="0"/>
        <v>0.25</v>
      </c>
      <c r="E79" s="658">
        <f>AE65</f>
        <v>161</v>
      </c>
      <c r="F79" s="660">
        <f t="shared" si="0"/>
        <v>2.6833333333333331</v>
      </c>
      <c r="G79" s="658">
        <f>AF65</f>
        <v>19</v>
      </c>
      <c r="H79" s="659">
        <f t="shared" si="1"/>
        <v>0.31666666666666665</v>
      </c>
      <c r="I79" s="658">
        <f>AG65</f>
        <v>12020</v>
      </c>
      <c r="J79" s="659">
        <f t="shared" si="1"/>
        <v>200.33333333333334</v>
      </c>
    </row>
    <row r="80" spans="1:33" ht="19.5" thickBot="1" x14ac:dyDescent="0.35">
      <c r="B80" s="419"/>
      <c r="C80" s="301"/>
      <c r="D80" s="301"/>
      <c r="E80" s="301"/>
      <c r="F80" s="301"/>
      <c r="G80" s="301"/>
      <c r="H80" s="301"/>
      <c r="I80" s="301"/>
      <c r="J80" s="301"/>
    </row>
    <row r="81" spans="2:10" ht="19.5" thickBot="1" x14ac:dyDescent="0.35">
      <c r="B81" s="661" t="s">
        <v>217</v>
      </c>
      <c r="C81" s="666"/>
      <c r="D81" s="667">
        <f>SUM(D76:D80)</f>
        <v>3.3333333333333335</v>
      </c>
      <c r="E81" s="666"/>
      <c r="F81" s="667">
        <f>SUM(F76:F80)</f>
        <v>6.0166666666666666</v>
      </c>
      <c r="G81" s="666"/>
      <c r="H81" s="667">
        <f>SUM(H76:H80)</f>
        <v>6.0666666666666664</v>
      </c>
      <c r="I81" s="666"/>
      <c r="J81" s="668">
        <f>SUM(J76:J80)</f>
        <v>748.25</v>
      </c>
    </row>
  </sheetData>
  <mergeCells count="47">
    <mergeCell ref="J26:J43"/>
    <mergeCell ref="S26:S43"/>
    <mergeCell ref="AB26:AB43"/>
    <mergeCell ref="AK26:AK43"/>
    <mergeCell ref="A11:A12"/>
    <mergeCell ref="A13:A14"/>
    <mergeCell ref="A15:A16"/>
    <mergeCell ref="A17:A18"/>
    <mergeCell ref="A19:A20"/>
    <mergeCell ref="A21:A22"/>
    <mergeCell ref="A9:A10"/>
    <mergeCell ref="C1:F1"/>
    <mergeCell ref="G1:J1"/>
    <mergeCell ref="L1:O1"/>
    <mergeCell ref="P1:S1"/>
    <mergeCell ref="AD1:AG1"/>
    <mergeCell ref="AH1:AK1"/>
    <mergeCell ref="A3:A4"/>
    <mergeCell ref="A5:A6"/>
    <mergeCell ref="A7:A8"/>
    <mergeCell ref="U1:X1"/>
    <mergeCell ref="Y1:AB1"/>
    <mergeCell ref="A45:A46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I74:J74"/>
    <mergeCell ref="A47:A48"/>
    <mergeCell ref="A49:A50"/>
    <mergeCell ref="A51:A52"/>
    <mergeCell ref="A53:A54"/>
    <mergeCell ref="A55:A56"/>
    <mergeCell ref="A57:A58"/>
    <mergeCell ref="A59:A60"/>
    <mergeCell ref="A63:A64"/>
    <mergeCell ref="C74:D74"/>
    <mergeCell ref="E74:F74"/>
    <mergeCell ref="G74:H74"/>
    <mergeCell ref="A61:A62"/>
  </mergeCells>
  <pageMargins left="0.7" right="0.7" top="0.75" bottom="0.75" header="0.3" footer="0.3"/>
  <pageSetup paperSize="9" orientation="portrait" horizontalDpi="180" verticalDpi="18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"/>
  <sheetViews>
    <sheetView zoomScale="55" zoomScaleNormal="55" workbookViewId="0">
      <pane xSplit="2" ySplit="2" topLeftCell="U42" activePane="bottomRight" state="frozen"/>
      <selection pane="topRight" activeCell="C1" sqref="C1"/>
      <selection pane="bottomLeft" activeCell="A3" sqref="A3"/>
      <selection pane="bottomRight" activeCell="K83" sqref="K83"/>
    </sheetView>
  </sheetViews>
  <sheetFormatPr defaultColWidth="8.85546875" defaultRowHeight="15" x14ac:dyDescent="0.25"/>
  <cols>
    <col min="1" max="1" width="14.5703125" style="524" customWidth="1"/>
    <col min="2" max="2" width="15.7109375" style="525" customWidth="1"/>
    <col min="3" max="5" width="10.7109375" style="524" customWidth="1"/>
    <col min="6" max="6" width="10.28515625" style="524" customWidth="1"/>
    <col min="7" max="7" width="21.140625" style="524" customWidth="1"/>
    <col min="8" max="8" width="28.42578125" style="524" customWidth="1"/>
    <col min="9" max="9" width="16.28515625" style="524" customWidth="1"/>
    <col min="10" max="10" width="21.140625" style="524" customWidth="1"/>
    <col min="11" max="16" width="10.7109375" style="524" customWidth="1"/>
    <col min="17" max="17" width="25.7109375" style="524" customWidth="1"/>
    <col min="18" max="18" width="30.42578125" style="524" customWidth="1"/>
    <col min="19" max="19" width="24.28515625" style="524" customWidth="1"/>
    <col min="20" max="24" width="10.7109375" style="524" customWidth="1"/>
    <col min="25" max="25" width="26.5703125" style="524" customWidth="1"/>
    <col min="26" max="26" width="14.28515625" style="524" customWidth="1"/>
    <col min="27" max="27" width="17.7109375" style="524" customWidth="1"/>
    <col min="28" max="28" width="21.140625" style="524" customWidth="1"/>
    <col min="29" max="33" width="10.7109375" style="524" customWidth="1"/>
    <col min="34" max="34" width="12.85546875" style="524" customWidth="1"/>
    <col min="35" max="36" width="17.140625" style="524" customWidth="1"/>
    <col min="37" max="37" width="23" style="524" customWidth="1"/>
    <col min="38" max="16384" width="8.85546875" style="524"/>
  </cols>
  <sheetData>
    <row r="1" spans="1:37" x14ac:dyDescent="0.25">
      <c r="C1" s="2217" t="s">
        <v>1</v>
      </c>
      <c r="D1" s="2212"/>
      <c r="E1" s="2212"/>
      <c r="F1" s="2212"/>
      <c r="G1" s="2211" t="s">
        <v>206</v>
      </c>
      <c r="H1" s="2209"/>
      <c r="I1" s="2209"/>
      <c r="J1" s="2210"/>
      <c r="L1" s="2212" t="s">
        <v>202</v>
      </c>
      <c r="M1" s="2212"/>
      <c r="N1" s="2212"/>
      <c r="O1" s="2212"/>
      <c r="P1" s="2209" t="s">
        <v>206</v>
      </c>
      <c r="Q1" s="2209"/>
      <c r="R1" s="2209"/>
      <c r="S1" s="2210"/>
      <c r="U1" s="2212" t="s">
        <v>2</v>
      </c>
      <c r="V1" s="2212"/>
      <c r="W1" s="2212"/>
      <c r="X1" s="2212"/>
      <c r="Y1" s="2209" t="s">
        <v>206</v>
      </c>
      <c r="Z1" s="2209"/>
      <c r="AA1" s="2209"/>
      <c r="AB1" s="2210"/>
      <c r="AD1" s="2212" t="s">
        <v>203</v>
      </c>
      <c r="AE1" s="2212"/>
      <c r="AF1" s="2212"/>
      <c r="AG1" s="2212"/>
      <c r="AH1" s="2209" t="s">
        <v>206</v>
      </c>
      <c r="AI1" s="2209"/>
      <c r="AJ1" s="2209"/>
      <c r="AK1" s="2210"/>
    </row>
    <row r="2" spans="1:37" ht="15.75" thickBot="1" x14ac:dyDescent="0.3">
      <c r="A2" s="531" t="s">
        <v>0</v>
      </c>
      <c r="B2" s="532" t="s">
        <v>198</v>
      </c>
      <c r="C2" s="529" t="s">
        <v>199</v>
      </c>
      <c r="D2" s="526" t="s">
        <v>200</v>
      </c>
      <c r="E2" s="526" t="s">
        <v>201</v>
      </c>
      <c r="F2" s="526" t="s">
        <v>204</v>
      </c>
      <c r="G2" s="575" t="s">
        <v>199</v>
      </c>
      <c r="H2" s="575" t="s">
        <v>200</v>
      </c>
      <c r="I2" s="575" t="s">
        <v>201</v>
      </c>
      <c r="J2" s="575" t="s">
        <v>204</v>
      </c>
      <c r="K2" s="524" t="s">
        <v>269</v>
      </c>
      <c r="L2" s="526" t="s">
        <v>199</v>
      </c>
      <c r="M2" s="526" t="s">
        <v>200</v>
      </c>
      <c r="N2" s="526" t="s">
        <v>201</v>
      </c>
      <c r="O2" s="526" t="s">
        <v>204</v>
      </c>
      <c r="P2" s="527" t="s">
        <v>199</v>
      </c>
      <c r="Q2" s="526" t="s">
        <v>200</v>
      </c>
      <c r="R2" s="526" t="s">
        <v>201</v>
      </c>
      <c r="S2" s="526" t="s">
        <v>204</v>
      </c>
      <c r="U2" s="526" t="s">
        <v>199</v>
      </c>
      <c r="V2" s="526" t="s">
        <v>200</v>
      </c>
      <c r="W2" s="526" t="s">
        <v>201</v>
      </c>
      <c r="X2" s="526" t="s">
        <v>204</v>
      </c>
      <c r="Y2" s="650" t="s">
        <v>199</v>
      </c>
      <c r="Z2" s="526" t="s">
        <v>200</v>
      </c>
      <c r="AA2" s="526" t="s">
        <v>201</v>
      </c>
      <c r="AB2" s="526" t="s">
        <v>204</v>
      </c>
      <c r="AD2" s="526" t="s">
        <v>199</v>
      </c>
      <c r="AE2" s="526" t="s">
        <v>200</v>
      </c>
      <c r="AF2" s="526" t="s">
        <v>201</v>
      </c>
      <c r="AG2" s="526" t="s">
        <v>204</v>
      </c>
      <c r="AH2" s="527" t="s">
        <v>199</v>
      </c>
      <c r="AI2" s="526" t="s">
        <v>200</v>
      </c>
      <c r="AJ2" s="526" t="s">
        <v>201</v>
      </c>
      <c r="AK2" s="526" t="s">
        <v>204</v>
      </c>
    </row>
    <row r="3" spans="1:37" ht="30" customHeight="1" thickTop="1" x14ac:dyDescent="0.25">
      <c r="A3" s="2206">
        <v>44713</v>
      </c>
      <c r="B3" s="755">
        <v>1</v>
      </c>
      <c r="C3" s="592"/>
      <c r="D3" s="593"/>
      <c r="E3" s="593">
        <v>5</v>
      </c>
      <c r="F3" s="594"/>
      <c r="G3" s="685"/>
      <c r="H3" s="619"/>
      <c r="I3" s="620" t="s">
        <v>152</v>
      </c>
      <c r="J3" s="686"/>
      <c r="K3" s="622"/>
      <c r="L3" s="612"/>
      <c r="M3" s="630"/>
      <c r="N3" s="630"/>
      <c r="O3" s="628"/>
      <c r="P3" s="629"/>
      <c r="Q3" s="699"/>
      <c r="R3" s="700"/>
      <c r="S3" s="628"/>
      <c r="T3" s="622"/>
      <c r="U3" s="612"/>
      <c r="V3" s="630"/>
      <c r="W3" s="630">
        <v>10</v>
      </c>
      <c r="X3" s="613"/>
      <c r="Y3" s="760"/>
      <c r="Z3" s="629"/>
      <c r="AA3" s="719" t="s">
        <v>152</v>
      </c>
      <c r="AB3" s="720"/>
      <c r="AC3" s="622"/>
      <c r="AD3" s="612"/>
      <c r="AE3" s="630"/>
      <c r="AF3" s="6"/>
      <c r="AG3" s="628"/>
      <c r="AH3" s="629"/>
      <c r="AI3" s="630"/>
      <c r="AJ3" s="6"/>
      <c r="AK3" s="628"/>
    </row>
    <row r="4" spans="1:37" ht="19.899999999999999" customHeight="1" x14ac:dyDescent="0.25">
      <c r="A4" s="2205"/>
      <c r="B4" s="574">
        <v>2</v>
      </c>
      <c r="C4" s="595"/>
      <c r="D4" s="596"/>
      <c r="E4" s="596"/>
      <c r="F4" s="597"/>
      <c r="G4" s="684"/>
      <c r="H4" s="605"/>
      <c r="I4" s="619"/>
      <c r="J4" s="687"/>
      <c r="K4" s="622"/>
      <c r="L4" s="572"/>
      <c r="M4" s="6"/>
      <c r="N4" s="6"/>
      <c r="O4" s="613"/>
      <c r="P4" s="614"/>
      <c r="Q4" s="698"/>
      <c r="R4" s="28"/>
      <c r="S4" s="613"/>
      <c r="T4" s="622"/>
      <c r="U4" s="572"/>
      <c r="V4" s="605"/>
      <c r="W4" s="6">
        <v>17</v>
      </c>
      <c r="X4" s="613"/>
      <c r="Y4" s="760"/>
      <c r="Z4" s="50"/>
      <c r="AA4" s="721" t="s">
        <v>152</v>
      </c>
      <c r="AB4" s="722"/>
      <c r="AC4" s="622"/>
      <c r="AD4" s="572"/>
      <c r="AE4" s="6"/>
      <c r="AF4" s="6"/>
      <c r="AG4" s="613"/>
      <c r="AH4" s="614"/>
      <c r="AI4" s="6"/>
      <c r="AJ4" s="6"/>
      <c r="AK4" s="613"/>
    </row>
    <row r="5" spans="1:37" ht="19.899999999999999" customHeight="1" x14ac:dyDescent="0.25">
      <c r="A5" s="2206">
        <v>44714</v>
      </c>
      <c r="B5" s="574">
        <v>1</v>
      </c>
      <c r="C5" s="595"/>
      <c r="D5" s="596"/>
      <c r="E5" s="596"/>
      <c r="F5" s="597"/>
      <c r="G5" s="685"/>
      <c r="H5" s="619"/>
      <c r="I5" s="620"/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>
        <v>6</v>
      </c>
      <c r="X5" s="613"/>
      <c r="Y5" s="760"/>
      <c r="Z5" s="50"/>
      <c r="AA5" s="724" t="s">
        <v>325</v>
      </c>
      <c r="AB5" s="723"/>
      <c r="AC5" s="622"/>
      <c r="AD5" s="572"/>
      <c r="AE5" s="6"/>
      <c r="AF5" s="6"/>
      <c r="AG5" s="613"/>
      <c r="AH5" s="614"/>
      <c r="AI5" s="6"/>
      <c r="AJ5" s="6"/>
      <c r="AK5" s="613"/>
    </row>
    <row r="6" spans="1:37" ht="30" customHeight="1" x14ac:dyDescent="0.25">
      <c r="A6" s="2205"/>
      <c r="B6" s="574">
        <v>2</v>
      </c>
      <c r="C6" s="595"/>
      <c r="D6" s="596"/>
      <c r="E6" s="596"/>
      <c r="F6" s="597"/>
      <c r="G6" s="685"/>
      <c r="H6" s="619"/>
      <c r="I6" s="620"/>
      <c r="J6" s="687"/>
      <c r="K6" s="622"/>
      <c r="L6" s="572"/>
      <c r="M6" s="6"/>
      <c r="N6" s="6"/>
      <c r="O6" s="613"/>
      <c r="P6" s="614"/>
      <c r="Q6" s="619"/>
      <c r="R6" s="6"/>
      <c r="S6" s="613"/>
      <c r="T6" s="622"/>
      <c r="U6" s="572"/>
      <c r="V6" s="6"/>
      <c r="W6" s="6"/>
      <c r="X6" s="613"/>
      <c r="Y6" s="760"/>
      <c r="Z6" s="6"/>
      <c r="AA6" s="28"/>
      <c r="AB6" s="613"/>
      <c r="AC6" s="622"/>
      <c r="AD6" s="572"/>
      <c r="AE6" s="6"/>
      <c r="AF6" s="6">
        <v>30</v>
      </c>
      <c r="AG6" s="613"/>
      <c r="AH6" s="614"/>
      <c r="AI6" s="6"/>
      <c r="AJ6" s="605" t="s">
        <v>325</v>
      </c>
      <c r="AK6" s="613"/>
    </row>
    <row r="7" spans="1:37" ht="19.899999999999999" customHeight="1" x14ac:dyDescent="0.25">
      <c r="A7" s="2206">
        <v>44715</v>
      </c>
      <c r="B7" s="574">
        <v>1</v>
      </c>
      <c r="C7" s="595"/>
      <c r="D7" s="596"/>
      <c r="E7" s="596"/>
      <c r="F7" s="597"/>
      <c r="G7" s="685"/>
      <c r="H7" s="620"/>
      <c r="I7" s="619"/>
      <c r="J7" s="687"/>
      <c r="K7" s="622"/>
      <c r="L7" s="572"/>
      <c r="M7" s="614"/>
      <c r="N7" s="6"/>
      <c r="O7" s="613"/>
      <c r="P7" s="614"/>
      <c r="Q7" s="614"/>
      <c r="R7" s="6"/>
      <c r="S7" s="613"/>
      <c r="T7" s="622"/>
      <c r="U7" s="572"/>
      <c r="V7" s="632"/>
      <c r="W7" s="6"/>
      <c r="X7" s="613"/>
      <c r="Y7" s="614"/>
      <c r="Z7" s="6"/>
      <c r="AA7" s="725"/>
      <c r="AB7" s="613"/>
      <c r="AC7" s="622"/>
      <c r="AD7" s="572"/>
      <c r="AE7" s="6"/>
      <c r="AF7" s="6"/>
      <c r="AG7" s="613"/>
      <c r="AH7" s="614"/>
      <c r="AI7" s="6"/>
      <c r="AJ7" s="6"/>
      <c r="AK7" s="613"/>
    </row>
    <row r="8" spans="1:37" ht="78.75" customHeight="1" x14ac:dyDescent="0.25">
      <c r="A8" s="2205"/>
      <c r="B8" s="574">
        <v>2</v>
      </c>
      <c r="C8" s="595"/>
      <c r="D8" s="596">
        <v>10</v>
      </c>
      <c r="E8" s="596"/>
      <c r="F8" s="597">
        <v>73</v>
      </c>
      <c r="G8" s="684"/>
      <c r="H8" s="620" t="s">
        <v>276</v>
      </c>
      <c r="I8" s="620"/>
      <c r="J8" s="635" t="s">
        <v>395</v>
      </c>
      <c r="K8" s="622"/>
      <c r="L8" s="572"/>
      <c r="M8" s="6">
        <v>123</v>
      </c>
      <c r="N8" s="6"/>
      <c r="O8" s="613">
        <v>68</v>
      </c>
      <c r="P8" s="760"/>
      <c r="Q8" s="605" t="s">
        <v>394</v>
      </c>
      <c r="R8" s="605"/>
      <c r="S8" s="635" t="s">
        <v>395</v>
      </c>
      <c r="T8" s="622"/>
      <c r="U8" s="572"/>
      <c r="V8" s="633"/>
      <c r="W8" s="614"/>
      <c r="X8" s="613">
        <v>90</v>
      </c>
      <c r="Y8" s="760"/>
      <c r="Z8" s="6"/>
      <c r="AA8" s="28"/>
      <c r="AB8" s="635" t="s">
        <v>395</v>
      </c>
      <c r="AC8" s="622"/>
      <c r="AD8" s="572"/>
      <c r="AE8" s="6"/>
      <c r="AF8" s="6"/>
      <c r="AG8" s="613">
        <v>76</v>
      </c>
      <c r="AH8" s="614"/>
      <c r="AI8" s="6"/>
      <c r="AJ8" s="6"/>
      <c r="AK8" s="635" t="s">
        <v>395</v>
      </c>
    </row>
    <row r="9" spans="1:37" ht="19.899999999999999" customHeight="1" x14ac:dyDescent="0.25">
      <c r="A9" s="2206">
        <v>44716</v>
      </c>
      <c r="B9" s="574">
        <v>1</v>
      </c>
      <c r="C9" s="595"/>
      <c r="D9" s="596"/>
      <c r="E9" s="596"/>
      <c r="F9" s="597"/>
      <c r="G9" s="685"/>
      <c r="H9" s="619"/>
      <c r="I9" s="619"/>
      <c r="J9" s="687"/>
      <c r="K9" s="622"/>
      <c r="L9" s="572"/>
      <c r="M9" s="6"/>
      <c r="N9" s="6"/>
      <c r="O9" s="613"/>
      <c r="P9" s="760"/>
      <c r="Q9" s="6"/>
      <c r="R9" s="605"/>
      <c r="S9" s="613"/>
      <c r="T9" s="622"/>
      <c r="U9" s="572"/>
      <c r="V9" s="6"/>
      <c r="W9" s="6"/>
      <c r="X9" s="613"/>
      <c r="Y9" s="614"/>
      <c r="Z9" s="6"/>
      <c r="AA9" s="6"/>
      <c r="AB9" s="613"/>
      <c r="AC9" s="622"/>
      <c r="AD9" s="572"/>
      <c r="AE9" s="6"/>
      <c r="AF9" s="6"/>
      <c r="AG9" s="613"/>
      <c r="AH9" s="614"/>
      <c r="AI9" s="6"/>
      <c r="AJ9" s="6"/>
      <c r="AK9" s="613"/>
    </row>
    <row r="10" spans="1:37" ht="29.45" customHeight="1" x14ac:dyDescent="0.25">
      <c r="A10" s="2205"/>
      <c r="B10" s="574">
        <v>2</v>
      </c>
      <c r="C10" s="595"/>
      <c r="D10" s="596"/>
      <c r="E10" s="596"/>
      <c r="F10" s="597"/>
      <c r="G10" s="685"/>
      <c r="H10" s="619"/>
      <c r="I10" s="620"/>
      <c r="J10" s="687"/>
      <c r="K10" s="622"/>
      <c r="L10" s="572"/>
      <c r="M10" s="6"/>
      <c r="N10" s="6"/>
      <c r="O10" s="613"/>
      <c r="P10" s="760"/>
      <c r="Q10" s="6"/>
      <c r="R10" s="605"/>
      <c r="S10" s="613"/>
      <c r="T10" s="622"/>
      <c r="U10" s="572"/>
      <c r="V10" s="6"/>
      <c r="W10" s="6"/>
      <c r="X10" s="613"/>
      <c r="Y10" s="760"/>
      <c r="Z10" s="6"/>
      <c r="AA10" s="6"/>
      <c r="AB10" s="613"/>
      <c r="AC10" s="622"/>
      <c r="AD10" s="572"/>
      <c r="AE10" s="6"/>
      <c r="AF10" s="6"/>
      <c r="AG10" s="613"/>
      <c r="AH10" s="614"/>
      <c r="AI10" s="6"/>
      <c r="AJ10" s="6"/>
      <c r="AK10" s="613"/>
    </row>
    <row r="11" spans="1:37" ht="19.899999999999999" customHeight="1" x14ac:dyDescent="0.25">
      <c r="A11" s="2206">
        <v>44717</v>
      </c>
      <c r="B11" s="574">
        <v>1</v>
      </c>
      <c r="C11" s="595"/>
      <c r="D11" s="596"/>
      <c r="E11" s="596"/>
      <c r="F11" s="597"/>
      <c r="G11" s="684"/>
      <c r="H11" s="619"/>
      <c r="I11" s="620"/>
      <c r="J11" s="687"/>
      <c r="K11" s="622"/>
      <c r="L11" s="572"/>
      <c r="M11" s="6"/>
      <c r="N11" s="6"/>
      <c r="O11" s="613"/>
      <c r="P11" s="760"/>
      <c r="Q11" s="6"/>
      <c r="R11" s="605"/>
      <c r="S11" s="613"/>
      <c r="T11" s="622"/>
      <c r="U11" s="572"/>
      <c r="V11" s="6"/>
      <c r="W11" s="6"/>
      <c r="X11" s="613"/>
      <c r="Y11" s="614"/>
      <c r="Z11" s="6"/>
      <c r="AA11" s="6"/>
      <c r="AB11" s="613"/>
      <c r="AC11" s="622"/>
      <c r="AD11" s="572"/>
      <c r="AE11" s="6"/>
      <c r="AF11" s="6"/>
      <c r="AG11" s="613"/>
      <c r="AH11" s="614"/>
      <c r="AI11" s="6"/>
      <c r="AJ11" s="6"/>
      <c r="AK11" s="613"/>
    </row>
    <row r="12" spans="1:37" ht="19.899999999999999" customHeight="1" x14ac:dyDescent="0.25">
      <c r="A12" s="2205"/>
      <c r="B12" s="574">
        <v>2</v>
      </c>
      <c r="C12" s="595"/>
      <c r="D12" s="596"/>
      <c r="E12" s="596"/>
      <c r="F12" s="597"/>
      <c r="G12" s="685"/>
      <c r="H12" s="619"/>
      <c r="I12" s="619"/>
      <c r="J12" s="687"/>
      <c r="K12" s="622"/>
      <c r="L12" s="572"/>
      <c r="M12" s="6"/>
      <c r="N12" s="6"/>
      <c r="O12" s="613"/>
      <c r="P12" s="760"/>
      <c r="Q12" s="6"/>
      <c r="R12" s="605"/>
      <c r="S12" s="613"/>
      <c r="T12" s="622"/>
      <c r="U12" s="572"/>
      <c r="V12" s="6"/>
      <c r="W12" s="6">
        <v>15</v>
      </c>
      <c r="X12" s="613"/>
      <c r="Y12" s="614"/>
      <c r="Z12" s="6"/>
      <c r="AA12" s="724" t="s">
        <v>325</v>
      </c>
      <c r="AB12" s="613"/>
      <c r="AC12" s="622"/>
      <c r="AD12" s="572"/>
      <c r="AE12" s="6"/>
      <c r="AF12" s="6"/>
      <c r="AG12" s="613"/>
      <c r="AH12" s="614"/>
      <c r="AI12" s="6"/>
      <c r="AJ12" s="6"/>
      <c r="AK12" s="613"/>
    </row>
    <row r="13" spans="1:37" ht="40.5" customHeight="1" x14ac:dyDescent="0.25">
      <c r="A13" s="2206">
        <v>44718</v>
      </c>
      <c r="B13" s="574">
        <v>1</v>
      </c>
      <c r="C13" s="595"/>
      <c r="D13" s="596"/>
      <c r="E13" s="596"/>
      <c r="F13" s="597">
        <v>97</v>
      </c>
      <c r="G13" s="685"/>
      <c r="H13" s="619"/>
      <c r="I13" s="620"/>
      <c r="J13" s="635" t="s">
        <v>396</v>
      </c>
      <c r="K13" s="622"/>
      <c r="L13" s="572"/>
      <c r="M13" s="6"/>
      <c r="N13" s="6"/>
      <c r="O13" s="613">
        <v>102</v>
      </c>
      <c r="P13" s="760"/>
      <c r="Q13" s="6"/>
      <c r="R13" s="605"/>
      <c r="S13" s="635" t="s">
        <v>396</v>
      </c>
      <c r="T13" s="622"/>
      <c r="U13" s="572"/>
      <c r="V13" s="6"/>
      <c r="W13" s="6"/>
      <c r="X13" s="613">
        <v>105</v>
      </c>
      <c r="Y13" s="760"/>
      <c r="Z13" s="6"/>
      <c r="AA13" s="605"/>
      <c r="AB13" s="635" t="s">
        <v>396</v>
      </c>
      <c r="AC13" s="622"/>
      <c r="AD13" s="572"/>
      <c r="AE13" s="6"/>
      <c r="AF13" s="6"/>
      <c r="AG13" s="613">
        <v>107</v>
      </c>
      <c r="AH13" s="614"/>
      <c r="AI13" s="6"/>
      <c r="AJ13" s="6"/>
      <c r="AK13" s="635" t="s">
        <v>396</v>
      </c>
    </row>
    <row r="14" spans="1:37" ht="103.5" customHeight="1" x14ac:dyDescent="0.25">
      <c r="A14" s="2205"/>
      <c r="B14" s="574">
        <v>2</v>
      </c>
      <c r="C14" s="595"/>
      <c r="D14" s="596"/>
      <c r="E14" s="596"/>
      <c r="F14" s="597"/>
      <c r="G14" s="685"/>
      <c r="H14" s="620"/>
      <c r="I14" s="620"/>
      <c r="J14" s="635"/>
      <c r="K14" s="622"/>
      <c r="L14" s="572"/>
      <c r="M14" s="6"/>
      <c r="N14" s="6"/>
      <c r="O14" s="613"/>
      <c r="P14" s="614"/>
      <c r="Q14" s="6"/>
      <c r="R14" s="6"/>
      <c r="S14" s="635"/>
      <c r="T14" s="622"/>
      <c r="U14" s="572">
        <v>82</v>
      </c>
      <c r="V14" s="6">
        <v>82</v>
      </c>
      <c r="W14" s="6">
        <v>82</v>
      </c>
      <c r="X14" s="613"/>
      <c r="Y14" s="761" t="s">
        <v>397</v>
      </c>
      <c r="Z14" s="605" t="s">
        <v>398</v>
      </c>
      <c r="AA14" s="690" t="s">
        <v>399</v>
      </c>
      <c r="AB14" s="726"/>
      <c r="AC14" s="622"/>
      <c r="AD14" s="572">
        <v>39</v>
      </c>
      <c r="AE14" s="6"/>
      <c r="AF14" s="6"/>
      <c r="AG14" s="613"/>
      <c r="AH14" s="760" t="s">
        <v>400</v>
      </c>
      <c r="AI14" s="6"/>
      <c r="AJ14" s="6"/>
      <c r="AK14" s="635"/>
    </row>
    <row r="15" spans="1:37" ht="43.9" customHeight="1" x14ac:dyDescent="0.25">
      <c r="A15" s="2206">
        <v>44719</v>
      </c>
      <c r="B15" s="574">
        <v>1</v>
      </c>
      <c r="C15" s="595"/>
      <c r="D15" s="596"/>
      <c r="E15" s="6"/>
      <c r="F15" s="597"/>
      <c r="G15" s="685"/>
      <c r="H15" s="620"/>
      <c r="I15" s="620"/>
      <c r="J15" s="687"/>
      <c r="K15" s="622"/>
      <c r="L15" s="572"/>
      <c r="M15" s="6"/>
      <c r="N15" s="6"/>
      <c r="O15" s="613"/>
      <c r="P15" s="572"/>
      <c r="Q15" s="620"/>
      <c r="R15" s="6"/>
      <c r="S15" s="613"/>
      <c r="T15" s="622"/>
      <c r="U15" s="572"/>
      <c r="V15" s="6"/>
      <c r="W15" s="6"/>
      <c r="X15" s="613"/>
      <c r="Y15" s="572"/>
      <c r="Z15" s="620"/>
      <c r="AA15" s="728"/>
      <c r="AB15" s="727"/>
      <c r="AC15" s="622"/>
      <c r="AD15" s="572"/>
      <c r="AE15" s="6"/>
      <c r="AF15" s="6"/>
      <c r="AG15" s="613"/>
      <c r="AH15" s="572"/>
      <c r="AI15" s="620"/>
      <c r="AJ15" s="605"/>
      <c r="AK15" s="613"/>
    </row>
    <row r="16" spans="1:37" ht="37.5" customHeight="1" x14ac:dyDescent="0.25">
      <c r="A16" s="2205"/>
      <c r="B16" s="574">
        <v>2</v>
      </c>
      <c r="C16" s="595">
        <v>25</v>
      </c>
      <c r="D16" s="596"/>
      <c r="E16" s="596">
        <v>24</v>
      </c>
      <c r="F16" s="597"/>
      <c r="G16" s="684" t="s">
        <v>331</v>
      </c>
      <c r="H16" s="619"/>
      <c r="I16" s="684" t="s">
        <v>331</v>
      </c>
      <c r="J16" s="687"/>
      <c r="K16" s="622"/>
      <c r="L16" s="572"/>
      <c r="M16" s="6"/>
      <c r="N16" s="6"/>
      <c r="O16" s="613"/>
      <c r="P16" s="572"/>
      <c r="Q16" s="6"/>
      <c r="R16" s="6"/>
      <c r="S16" s="613"/>
      <c r="T16" s="622"/>
      <c r="U16" s="572"/>
      <c r="V16" s="6"/>
      <c r="W16" s="6"/>
      <c r="X16" s="613"/>
      <c r="Y16" s="619"/>
      <c r="Z16" s="619"/>
      <c r="AA16" s="6"/>
      <c r="AB16" s="613"/>
      <c r="AC16" s="622"/>
      <c r="AD16" s="572"/>
      <c r="AE16" s="6"/>
      <c r="AF16" s="6"/>
      <c r="AG16" s="613"/>
      <c r="AH16" s="572"/>
      <c r="AI16" s="6"/>
      <c r="AJ16" s="6"/>
      <c r="AK16" s="613"/>
    </row>
    <row r="17" spans="1:37" ht="32.450000000000003" customHeight="1" x14ac:dyDescent="0.25">
      <c r="A17" s="2206">
        <v>44720</v>
      </c>
      <c r="B17" s="644">
        <v>1</v>
      </c>
      <c r="C17" s="595"/>
      <c r="D17" s="596"/>
      <c r="E17" s="596"/>
      <c r="F17" s="597"/>
      <c r="G17" s="685"/>
      <c r="H17" s="619"/>
      <c r="I17" s="620"/>
      <c r="J17" s="687"/>
      <c r="K17" s="622"/>
      <c r="L17" s="572"/>
      <c r="M17" s="6"/>
      <c r="N17" s="6"/>
      <c r="O17" s="613"/>
      <c r="P17" s="572"/>
      <c r="Q17" s="6"/>
      <c r="R17" s="6"/>
      <c r="S17" s="613"/>
      <c r="T17" s="622"/>
      <c r="U17" s="572"/>
      <c r="V17" s="6"/>
      <c r="W17" s="6"/>
      <c r="X17" s="613"/>
      <c r="Y17" s="619"/>
      <c r="Z17" s="619"/>
      <c r="AA17" s="6"/>
      <c r="AB17" s="613"/>
      <c r="AC17" s="622"/>
      <c r="AD17" s="572"/>
      <c r="AE17" s="6"/>
      <c r="AF17" s="6"/>
      <c r="AG17" s="613"/>
      <c r="AH17" s="572"/>
      <c r="AI17" s="6"/>
      <c r="AJ17" s="605"/>
      <c r="AK17" s="613"/>
    </row>
    <row r="18" spans="1:37" ht="19.899999999999999" customHeight="1" x14ac:dyDescent="0.25">
      <c r="A18" s="2205"/>
      <c r="B18" s="574">
        <v>2</v>
      </c>
      <c r="C18" s="595"/>
      <c r="D18" s="596"/>
      <c r="E18" s="596"/>
      <c r="F18" s="597"/>
      <c r="G18" s="685"/>
      <c r="H18" s="620"/>
      <c r="I18" s="619"/>
      <c r="J18" s="687"/>
      <c r="K18" s="622"/>
      <c r="L18" s="572"/>
      <c r="M18" s="6"/>
      <c r="N18" s="6"/>
      <c r="O18" s="613"/>
      <c r="P18" s="572"/>
      <c r="Q18" s="6"/>
      <c r="R18" s="6"/>
      <c r="S18" s="613"/>
      <c r="T18" s="622"/>
      <c r="U18" s="572"/>
      <c r="V18" s="6"/>
      <c r="W18" s="6"/>
      <c r="X18" s="613"/>
      <c r="Y18" s="567"/>
      <c r="Z18" s="6"/>
      <c r="AA18" s="6"/>
      <c r="AB18" s="613"/>
      <c r="AC18" s="622"/>
      <c r="AD18" s="572"/>
      <c r="AE18" s="6"/>
      <c r="AF18" s="6"/>
      <c r="AG18" s="613"/>
      <c r="AH18" s="572"/>
      <c r="AI18" s="6"/>
      <c r="AJ18" s="605"/>
      <c r="AK18" s="613"/>
    </row>
    <row r="19" spans="1:37" ht="33.6" customHeight="1" x14ac:dyDescent="0.25">
      <c r="A19" s="2206">
        <v>44721</v>
      </c>
      <c r="B19" s="574">
        <v>1</v>
      </c>
      <c r="C19" s="622"/>
      <c r="D19" s="596"/>
      <c r="E19" s="596"/>
      <c r="F19" s="597"/>
      <c r="G19" s="685"/>
      <c r="H19" s="619"/>
      <c r="I19" s="620"/>
      <c r="J19" s="687"/>
      <c r="K19" s="622"/>
      <c r="L19" s="572"/>
      <c r="M19" s="6"/>
      <c r="N19" s="6"/>
      <c r="O19" s="613"/>
      <c r="P19" s="572"/>
      <c r="Q19" s="6"/>
      <c r="R19" s="6"/>
      <c r="S19" s="613"/>
      <c r="T19" s="622"/>
      <c r="U19" s="572"/>
      <c r="V19" s="6"/>
      <c r="W19" s="6"/>
      <c r="X19" s="613"/>
      <c r="Y19" s="572"/>
      <c r="Z19" s="605"/>
      <c r="AA19" s="605"/>
      <c r="AB19" s="613"/>
      <c r="AC19" s="622"/>
      <c r="AD19" s="572"/>
      <c r="AE19" s="6"/>
      <c r="AF19" s="6"/>
      <c r="AG19" s="613"/>
      <c r="AH19" s="572"/>
      <c r="AI19" s="6"/>
      <c r="AJ19" s="605"/>
      <c r="AK19" s="613"/>
    </row>
    <row r="20" spans="1:37" ht="19.899999999999999" customHeight="1" x14ac:dyDescent="0.25">
      <c r="A20" s="2205"/>
      <c r="B20" s="574">
        <v>2</v>
      </c>
      <c r="C20" s="595"/>
      <c r="D20" s="596"/>
      <c r="E20" s="596"/>
      <c r="F20" s="597"/>
      <c r="G20" s="685"/>
      <c r="H20" s="620"/>
      <c r="I20" s="620"/>
      <c r="J20" s="687"/>
      <c r="K20" s="622"/>
      <c r="L20" s="572"/>
      <c r="M20" s="6"/>
      <c r="N20" s="6"/>
      <c r="O20" s="613"/>
      <c r="P20" s="572"/>
      <c r="Q20" s="6"/>
      <c r="R20" s="6"/>
      <c r="S20" s="613"/>
      <c r="T20" s="622"/>
      <c r="U20" s="572"/>
      <c r="V20" s="250"/>
      <c r="W20" s="6">
        <v>6</v>
      </c>
      <c r="X20" s="613"/>
      <c r="Y20" s="572"/>
      <c r="Z20" s="605"/>
      <c r="AA20" s="724" t="s">
        <v>325</v>
      </c>
      <c r="AB20" s="613"/>
      <c r="AC20" s="622"/>
      <c r="AD20" s="572"/>
      <c r="AE20" s="6"/>
      <c r="AF20" s="6"/>
      <c r="AG20" s="613"/>
      <c r="AH20" s="572"/>
      <c r="AI20" s="6"/>
      <c r="AJ20" s="6"/>
      <c r="AK20" s="613"/>
    </row>
    <row r="21" spans="1:37" ht="19.899999999999999" customHeight="1" x14ac:dyDescent="0.25">
      <c r="A21" s="2206">
        <v>44722</v>
      </c>
      <c r="B21" s="574">
        <v>1</v>
      </c>
      <c r="C21" s="595"/>
      <c r="D21" s="596"/>
      <c r="E21" s="596"/>
      <c r="F21" s="597"/>
      <c r="G21" s="688"/>
      <c r="H21" s="619"/>
      <c r="I21" s="620"/>
      <c r="J21" s="687"/>
      <c r="K21" s="622"/>
      <c r="L21" s="572"/>
      <c r="M21" s="6"/>
      <c r="N21" s="6"/>
      <c r="O21" s="613"/>
      <c r="P21" s="572"/>
      <c r="Q21" s="6"/>
      <c r="R21" s="6"/>
      <c r="S21" s="613"/>
      <c r="T21" s="622"/>
      <c r="U21" s="572"/>
      <c r="V21" s="6"/>
      <c r="W21" s="6"/>
      <c r="X21" s="613"/>
      <c r="Y21" s="572"/>
      <c r="Z21" s="6"/>
      <c r="AA21" s="605"/>
      <c r="AB21" s="613"/>
      <c r="AC21" s="622"/>
      <c r="AD21" s="572"/>
      <c r="AE21" s="6"/>
      <c r="AF21" s="6">
        <v>6</v>
      </c>
      <c r="AG21" s="613"/>
      <c r="AH21" s="572"/>
      <c r="AI21" s="6"/>
      <c r="AJ21" s="762" t="s">
        <v>325</v>
      </c>
      <c r="AK21" s="613"/>
    </row>
    <row r="22" spans="1:37" ht="19.899999999999999" customHeight="1" x14ac:dyDescent="0.25">
      <c r="A22" s="2205"/>
      <c r="B22" s="574">
        <v>2</v>
      </c>
      <c r="C22" s="595"/>
      <c r="D22" s="596"/>
      <c r="E22" s="596"/>
      <c r="F22" s="597"/>
      <c r="G22" s="757"/>
      <c r="H22" s="620"/>
      <c r="I22" s="620"/>
      <c r="J22" s="635"/>
      <c r="K22" s="622"/>
      <c r="L22" s="572"/>
      <c r="M22" s="6"/>
      <c r="N22" s="6"/>
      <c r="O22" s="597"/>
      <c r="P22" s="760"/>
      <c r="Q22" s="6"/>
      <c r="R22" s="6"/>
      <c r="S22" s="635"/>
      <c r="T22" s="622"/>
      <c r="U22" s="572"/>
      <c r="V22" s="6"/>
      <c r="W22" s="6">
        <v>20</v>
      </c>
      <c r="X22" s="597"/>
      <c r="Y22" s="572"/>
      <c r="Z22" s="6"/>
      <c r="AA22" s="605" t="s">
        <v>152</v>
      </c>
      <c r="AB22" s="635"/>
      <c r="AC22" s="622"/>
      <c r="AD22" s="572"/>
      <c r="AE22" s="6"/>
      <c r="AF22" s="6"/>
      <c r="AG22" s="597"/>
      <c r="AH22" s="572"/>
      <c r="AI22" s="6"/>
      <c r="AJ22" s="6"/>
      <c r="AK22" s="635"/>
    </row>
    <row r="23" spans="1:37" ht="19.899999999999999" customHeight="1" x14ac:dyDescent="0.25">
      <c r="A23" s="2206">
        <v>44723</v>
      </c>
      <c r="B23" s="644">
        <v>1</v>
      </c>
      <c r="C23" s="595"/>
      <c r="D23" s="596"/>
      <c r="E23" s="596">
        <v>24</v>
      </c>
      <c r="F23" s="597"/>
      <c r="G23" s="685"/>
      <c r="H23" s="619"/>
      <c r="I23" s="605" t="s">
        <v>152</v>
      </c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/>
      <c r="V23" s="6"/>
      <c r="W23" s="6">
        <v>97</v>
      </c>
      <c r="X23" s="597"/>
      <c r="Y23" s="685"/>
      <c r="Z23" s="619"/>
      <c r="AA23" s="605" t="s">
        <v>152</v>
      </c>
      <c r="AB23" s="613"/>
      <c r="AC23" s="622"/>
      <c r="AD23" s="572"/>
      <c r="AE23" s="6"/>
      <c r="AF23" s="6"/>
      <c r="AG23" s="613"/>
      <c r="AH23" s="567"/>
      <c r="AI23" s="6"/>
      <c r="AJ23" s="6"/>
      <c r="AK23" s="613"/>
    </row>
    <row r="24" spans="1:37" ht="35.450000000000003" customHeight="1" x14ac:dyDescent="0.25">
      <c r="A24" s="2205"/>
      <c r="B24" s="574">
        <v>2</v>
      </c>
      <c r="C24" s="595"/>
      <c r="D24" s="596"/>
      <c r="E24" s="596">
        <v>51</v>
      </c>
      <c r="F24" s="597"/>
      <c r="G24" s="685"/>
      <c r="H24" s="619"/>
      <c r="I24" s="605" t="s">
        <v>152</v>
      </c>
      <c r="J24" s="635"/>
      <c r="K24" s="622"/>
      <c r="L24" s="572"/>
      <c r="M24" s="6"/>
      <c r="N24" s="6"/>
      <c r="O24" s="597"/>
      <c r="P24" s="685"/>
      <c r="Q24" s="619"/>
      <c r="R24" s="620"/>
      <c r="S24" s="635"/>
      <c r="T24" s="622"/>
      <c r="U24" s="572"/>
      <c r="V24" s="6"/>
      <c r="W24" s="6">
        <v>96</v>
      </c>
      <c r="X24" s="597"/>
      <c r="Y24" s="685"/>
      <c r="Z24" s="619"/>
      <c r="AA24" s="605" t="s">
        <v>152</v>
      </c>
      <c r="AB24" s="635"/>
      <c r="AC24" s="622"/>
      <c r="AD24" s="572"/>
      <c r="AE24" s="6"/>
      <c r="AF24" s="6"/>
      <c r="AG24" s="597"/>
      <c r="AH24" s="685"/>
      <c r="AI24" s="619"/>
      <c r="AJ24" s="620"/>
      <c r="AK24" s="635"/>
    </row>
    <row r="25" spans="1:37" ht="19.899999999999999" customHeight="1" x14ac:dyDescent="0.25">
      <c r="A25" s="2206">
        <v>44724</v>
      </c>
      <c r="B25" s="574">
        <v>1</v>
      </c>
      <c r="C25" s="595"/>
      <c r="D25" s="596"/>
      <c r="E25" s="596"/>
      <c r="F25" s="597"/>
      <c r="G25" s="685"/>
      <c r="H25" s="619"/>
      <c r="I25" s="620"/>
      <c r="J25" s="689"/>
      <c r="K25" s="622"/>
      <c r="L25" s="572"/>
      <c r="M25" s="6"/>
      <c r="N25" s="6"/>
      <c r="O25" s="613"/>
      <c r="P25" s="572"/>
      <c r="Q25" s="619"/>
      <c r="R25" s="6"/>
      <c r="S25" s="613"/>
      <c r="T25" s="622"/>
      <c r="U25" s="572"/>
      <c r="V25" s="6"/>
      <c r="W25" s="6">
        <v>26</v>
      </c>
      <c r="X25" s="613"/>
      <c r="Y25" s="572"/>
      <c r="Z25" s="6"/>
      <c r="AA25" s="605" t="s">
        <v>152</v>
      </c>
      <c r="AB25" s="613"/>
      <c r="AC25" s="622"/>
      <c r="AD25" s="572"/>
      <c r="AE25" s="6"/>
      <c r="AF25" s="6"/>
      <c r="AG25" s="50"/>
      <c r="AH25" s="704"/>
      <c r="AI25" s="614"/>
      <c r="AJ25" s="6"/>
      <c r="AK25" s="613"/>
    </row>
    <row r="26" spans="1:37" ht="36" customHeight="1" x14ac:dyDescent="0.25">
      <c r="A26" s="2205"/>
      <c r="B26" s="574">
        <v>2</v>
      </c>
      <c r="C26" s="595"/>
      <c r="D26" s="596"/>
      <c r="E26" s="596">
        <v>30</v>
      </c>
      <c r="F26" s="597"/>
      <c r="G26" s="685"/>
      <c r="H26" s="620"/>
      <c r="I26" s="692" t="s">
        <v>401</v>
      </c>
      <c r="J26" s="763"/>
      <c r="K26" s="622"/>
      <c r="L26" s="572"/>
      <c r="M26" s="6"/>
      <c r="N26" s="6"/>
      <c r="O26" s="597"/>
      <c r="P26" s="685"/>
      <c r="Q26" s="620"/>
      <c r="R26" s="620"/>
      <c r="S26" s="764"/>
      <c r="T26" s="622"/>
      <c r="U26" s="572"/>
      <c r="V26" s="596"/>
      <c r="W26" s="6"/>
      <c r="X26" s="597"/>
      <c r="Y26" s="685"/>
      <c r="Z26" s="620"/>
      <c r="AA26" s="620"/>
      <c r="AB26" s="764"/>
      <c r="AC26" s="622"/>
      <c r="AD26" s="572"/>
      <c r="AE26" s="596"/>
      <c r="AF26" s="6">
        <v>6</v>
      </c>
      <c r="AG26" s="597"/>
      <c r="AH26" s="685"/>
      <c r="AI26" s="620"/>
      <c r="AJ26" s="762" t="s">
        <v>325</v>
      </c>
      <c r="AK26" s="764"/>
    </row>
    <row r="27" spans="1:37" ht="19.899999999999999" customHeight="1" x14ac:dyDescent="0.25">
      <c r="A27" s="2206">
        <v>44725</v>
      </c>
      <c r="B27" s="644">
        <v>1</v>
      </c>
      <c r="C27" s="595"/>
      <c r="D27" s="596"/>
      <c r="E27" s="596"/>
      <c r="F27" s="597"/>
      <c r="G27" s="685"/>
      <c r="H27" s="619"/>
      <c r="I27" s="692"/>
      <c r="J27" s="763"/>
      <c r="K27" s="622"/>
      <c r="L27" s="572"/>
      <c r="M27" s="6"/>
      <c r="N27" s="6"/>
      <c r="O27" s="597"/>
      <c r="P27" s="685"/>
      <c r="Q27" s="619"/>
      <c r="R27" s="620"/>
      <c r="S27" s="765"/>
      <c r="T27" s="622"/>
      <c r="U27" s="572"/>
      <c r="V27" s="6"/>
      <c r="W27" s="6"/>
      <c r="X27" s="597"/>
      <c r="Y27" s="685"/>
      <c r="Z27" s="619"/>
      <c r="AA27" s="620"/>
      <c r="AB27" s="765"/>
      <c r="AC27" s="622"/>
      <c r="AD27" s="572"/>
      <c r="AE27" s="6"/>
      <c r="AF27" s="6">
        <v>23</v>
      </c>
      <c r="AG27" s="597"/>
      <c r="AH27" s="685"/>
      <c r="AI27" s="619"/>
      <c r="AJ27" s="684" t="s">
        <v>97</v>
      </c>
      <c r="AK27" s="765"/>
    </row>
    <row r="28" spans="1:37" ht="87" customHeight="1" x14ac:dyDescent="0.25">
      <c r="A28" s="2205"/>
      <c r="B28" s="574">
        <v>2</v>
      </c>
      <c r="C28" s="595"/>
      <c r="D28" s="596">
        <v>36</v>
      </c>
      <c r="E28" s="596"/>
      <c r="F28" s="597"/>
      <c r="G28" s="620"/>
      <c r="H28" s="620" t="s">
        <v>402</v>
      </c>
      <c r="I28" s="692"/>
      <c r="J28" s="763"/>
      <c r="K28" s="622"/>
      <c r="L28" s="572"/>
      <c r="M28" s="6">
        <v>49</v>
      </c>
      <c r="N28" s="6"/>
      <c r="O28" s="597"/>
      <c r="P28" s="620"/>
      <c r="Q28" s="620" t="s">
        <v>402</v>
      </c>
      <c r="R28" s="620"/>
      <c r="S28" s="765"/>
      <c r="T28" s="622"/>
      <c r="U28" s="572"/>
      <c r="V28" s="6"/>
      <c r="W28" s="6"/>
      <c r="X28" s="597"/>
      <c r="Y28" s="620"/>
      <c r="Z28" s="619"/>
      <c r="AA28" s="620"/>
      <c r="AB28" s="765"/>
      <c r="AC28" s="622"/>
      <c r="AD28" s="572">
        <v>66</v>
      </c>
      <c r="AE28" s="6">
        <v>66</v>
      </c>
      <c r="AF28" s="6">
        <v>66</v>
      </c>
      <c r="AG28" s="597"/>
      <c r="AH28" s="620" t="s">
        <v>403</v>
      </c>
      <c r="AI28" s="620" t="s">
        <v>276</v>
      </c>
      <c r="AJ28" s="620" t="s">
        <v>404</v>
      </c>
      <c r="AK28" s="765"/>
    </row>
    <row r="29" spans="1:37" ht="19.899999999999999" customHeight="1" x14ac:dyDescent="0.25">
      <c r="A29" s="2206">
        <v>44726</v>
      </c>
      <c r="B29" s="574">
        <v>1</v>
      </c>
      <c r="C29" s="595"/>
      <c r="D29" s="596"/>
      <c r="E29" s="596"/>
      <c r="F29" s="597"/>
      <c r="G29" s="685"/>
      <c r="H29" s="619"/>
      <c r="I29" s="692"/>
      <c r="J29" s="763"/>
      <c r="K29" s="622"/>
      <c r="L29" s="572"/>
      <c r="M29" s="6"/>
      <c r="N29" s="6"/>
      <c r="O29" s="597"/>
      <c r="P29" s="685"/>
      <c r="Q29" s="619"/>
      <c r="R29" s="620"/>
      <c r="S29" s="765"/>
      <c r="T29" s="622"/>
      <c r="U29" s="572"/>
      <c r="V29" s="6"/>
      <c r="W29" s="6"/>
      <c r="X29" s="597"/>
      <c r="Y29" s="685"/>
      <c r="Z29" s="619"/>
      <c r="AA29" s="620"/>
      <c r="AB29" s="765"/>
      <c r="AC29" s="622"/>
      <c r="AD29" s="572"/>
      <c r="AE29" s="6"/>
      <c r="AF29" s="6"/>
      <c r="AG29" s="597"/>
      <c r="AH29" s="685"/>
      <c r="AI29" s="619"/>
      <c r="AJ29" s="620"/>
      <c r="AK29" s="765"/>
    </row>
    <row r="30" spans="1:37" ht="39.75" customHeight="1" x14ac:dyDescent="0.25">
      <c r="A30" s="2205"/>
      <c r="B30" s="644">
        <v>2</v>
      </c>
      <c r="C30" s="595"/>
      <c r="D30" s="596"/>
      <c r="E30" s="596"/>
      <c r="F30" s="597"/>
      <c r="G30" s="685"/>
      <c r="H30" s="619"/>
      <c r="I30" s="692"/>
      <c r="J30" s="763"/>
      <c r="K30" s="622"/>
      <c r="L30" s="572"/>
      <c r="M30" s="6">
        <v>52</v>
      </c>
      <c r="N30" s="6"/>
      <c r="O30" s="597"/>
      <c r="P30" s="685"/>
      <c r="Q30" s="620" t="s">
        <v>405</v>
      </c>
      <c r="R30" s="620"/>
      <c r="S30" s="765"/>
      <c r="T30" s="622"/>
      <c r="U30" s="572"/>
      <c r="V30" s="6"/>
      <c r="W30" s="6"/>
      <c r="X30" s="597"/>
      <c r="Y30" s="685"/>
      <c r="Z30" s="619"/>
      <c r="AA30" s="620"/>
      <c r="AB30" s="765"/>
      <c r="AC30" s="622"/>
      <c r="AD30" s="572"/>
      <c r="AE30" s="6"/>
      <c r="AF30" s="6"/>
      <c r="AG30" s="597"/>
      <c r="AH30" s="685"/>
      <c r="AI30" s="619"/>
      <c r="AJ30" s="620"/>
      <c r="AK30" s="765"/>
    </row>
    <row r="31" spans="1:37" ht="19.899999999999999" customHeight="1" x14ac:dyDescent="0.25">
      <c r="A31" s="2206">
        <v>44727</v>
      </c>
      <c r="B31" s="574">
        <v>1</v>
      </c>
      <c r="C31" s="595"/>
      <c r="D31" s="596"/>
      <c r="E31" s="596"/>
      <c r="F31" s="597"/>
      <c r="G31" s="685"/>
      <c r="H31" s="619"/>
      <c r="I31" s="692"/>
      <c r="J31" s="763"/>
      <c r="K31" s="622"/>
      <c r="L31" s="572"/>
      <c r="M31" s="6"/>
      <c r="N31" s="6"/>
      <c r="O31" s="597"/>
      <c r="P31" s="614"/>
      <c r="Q31" s="6"/>
      <c r="R31" s="6"/>
      <c r="S31" s="765"/>
      <c r="T31" s="622"/>
      <c r="U31" s="572"/>
      <c r="V31" s="6"/>
      <c r="W31" s="6"/>
      <c r="X31" s="597"/>
      <c r="Y31" s="614"/>
      <c r="Z31" s="6"/>
      <c r="AA31" s="6"/>
      <c r="AB31" s="765"/>
      <c r="AC31" s="622"/>
      <c r="AD31" s="572"/>
      <c r="AE31" s="6"/>
      <c r="AF31" s="6"/>
      <c r="AG31" s="597"/>
      <c r="AH31" s="614"/>
      <c r="AI31" s="6"/>
      <c r="AJ31" s="6"/>
      <c r="AK31" s="765"/>
    </row>
    <row r="32" spans="1:37" ht="42.75" customHeight="1" x14ac:dyDescent="0.25">
      <c r="A32" s="2205"/>
      <c r="B32" s="574">
        <v>2</v>
      </c>
      <c r="C32" s="595"/>
      <c r="D32" s="596"/>
      <c r="E32" s="596"/>
      <c r="F32" s="597"/>
      <c r="G32" s="685"/>
      <c r="H32" s="619"/>
      <c r="I32" s="692"/>
      <c r="J32" s="763"/>
      <c r="K32" s="622"/>
      <c r="L32" s="572"/>
      <c r="M32" s="6"/>
      <c r="N32" s="6"/>
      <c r="O32" s="613"/>
      <c r="P32" s="614"/>
      <c r="Q32" s="6"/>
      <c r="R32" s="6"/>
      <c r="S32" s="765"/>
      <c r="T32" s="622"/>
      <c r="U32" s="572"/>
      <c r="V32" s="17"/>
      <c r="W32" s="6"/>
      <c r="X32" s="613"/>
      <c r="Y32" s="614"/>
      <c r="Z32" s="6"/>
      <c r="AA32" s="6"/>
      <c r="AB32" s="765"/>
      <c r="AC32" s="622"/>
      <c r="AD32" s="572"/>
      <c r="AE32" s="6">
        <v>25</v>
      </c>
      <c r="AF32" s="6">
        <v>25</v>
      </c>
      <c r="AG32" s="613"/>
      <c r="AH32" s="614"/>
      <c r="AI32" s="605" t="s">
        <v>406</v>
      </c>
      <c r="AJ32" s="6" t="s">
        <v>97</v>
      </c>
      <c r="AK32" s="765"/>
    </row>
    <row r="33" spans="1:37" ht="19.899999999999999" customHeight="1" x14ac:dyDescent="0.25">
      <c r="A33" s="2206">
        <v>44728</v>
      </c>
      <c r="B33" s="574">
        <v>1</v>
      </c>
      <c r="C33" s="595"/>
      <c r="D33" s="596"/>
      <c r="E33" s="596"/>
      <c r="F33" s="597"/>
      <c r="G33" s="685"/>
      <c r="H33" s="619"/>
      <c r="I33" s="692"/>
      <c r="J33" s="763"/>
      <c r="K33" s="622"/>
      <c r="L33" s="572"/>
      <c r="M33" s="632"/>
      <c r="N33" s="6"/>
      <c r="O33" s="613"/>
      <c r="P33" s="614"/>
      <c r="Q33" s="6"/>
      <c r="R33" s="6"/>
      <c r="S33" s="765"/>
      <c r="T33" s="622"/>
      <c r="U33" s="572"/>
      <c r="V33" s="6"/>
      <c r="W33" s="6"/>
      <c r="X33" s="613"/>
      <c r="Y33" s="614"/>
      <c r="Z33" s="6"/>
      <c r="AA33" s="6"/>
      <c r="AB33" s="765"/>
      <c r="AC33" s="622"/>
      <c r="AD33" s="572"/>
      <c r="AE33" s="6"/>
      <c r="AF33" s="6"/>
      <c r="AG33" s="613"/>
      <c r="AH33" s="614"/>
      <c r="AI33" s="605"/>
      <c r="AJ33" s="6"/>
      <c r="AK33" s="765"/>
    </row>
    <row r="34" spans="1:37" ht="19.899999999999999" customHeight="1" x14ac:dyDescent="0.25">
      <c r="A34" s="2205"/>
      <c r="B34" s="644">
        <v>2</v>
      </c>
      <c r="C34" s="596"/>
      <c r="D34" s="596"/>
      <c r="E34" s="596"/>
      <c r="F34" s="597"/>
      <c r="G34" s="685"/>
      <c r="H34" s="620"/>
      <c r="I34" s="692"/>
      <c r="J34" s="763"/>
      <c r="K34" s="622"/>
      <c r="L34" s="572"/>
      <c r="M34" s="630"/>
      <c r="N34" s="6"/>
      <c r="O34" s="613"/>
      <c r="P34" s="614"/>
      <c r="Q34" s="620"/>
      <c r="R34" s="6"/>
      <c r="S34" s="765"/>
      <c r="T34" s="622"/>
      <c r="U34" s="572"/>
      <c r="V34" s="6"/>
      <c r="W34" s="6">
        <v>10</v>
      </c>
      <c r="X34" s="613"/>
      <c r="Y34" s="6"/>
      <c r="Z34" s="605"/>
      <c r="AA34" s="605" t="s">
        <v>152</v>
      </c>
      <c r="AB34" s="765"/>
      <c r="AC34" s="622"/>
      <c r="AD34" s="572"/>
      <c r="AE34" s="6"/>
      <c r="AF34" s="6"/>
      <c r="AG34" s="613"/>
      <c r="AH34" s="614"/>
      <c r="AI34" s="6"/>
      <c r="AJ34" s="6"/>
      <c r="AK34" s="765"/>
    </row>
    <row r="35" spans="1:37" ht="37.5" customHeight="1" x14ac:dyDescent="0.25">
      <c r="A35" s="2206">
        <v>44729</v>
      </c>
      <c r="B35" s="574">
        <v>1</v>
      </c>
      <c r="C35" s="596"/>
      <c r="D35" s="596">
        <v>12</v>
      </c>
      <c r="E35" s="596"/>
      <c r="F35" s="597"/>
      <c r="G35" s="685"/>
      <c r="H35" s="620" t="s">
        <v>407</v>
      </c>
      <c r="I35" s="692"/>
      <c r="J35" s="763"/>
      <c r="K35" s="622"/>
      <c r="L35" s="572"/>
      <c r="M35" s="6"/>
      <c r="N35" s="6"/>
      <c r="O35" s="613"/>
      <c r="P35" s="567"/>
      <c r="Q35" s="695"/>
      <c r="R35" s="620"/>
      <c r="S35" s="765"/>
      <c r="T35" s="622"/>
      <c r="U35" s="572"/>
      <c r="V35" s="6"/>
      <c r="W35" s="6">
        <v>8</v>
      </c>
      <c r="X35" s="613"/>
      <c r="Y35" s="614"/>
      <c r="Z35" s="605"/>
      <c r="AA35" s="6" t="s">
        <v>331</v>
      </c>
      <c r="AB35" s="765"/>
      <c r="AC35" s="622"/>
      <c r="AD35" s="572"/>
      <c r="AE35" s="6"/>
      <c r="AF35" s="6"/>
      <c r="AG35" s="613"/>
      <c r="AH35" s="614"/>
      <c r="AI35" s="620"/>
      <c r="AJ35" s="620"/>
      <c r="AK35" s="765"/>
    </row>
    <row r="36" spans="1:37" ht="38.25" customHeight="1" x14ac:dyDescent="0.25">
      <c r="A36" s="2205"/>
      <c r="B36" s="574">
        <v>2</v>
      </c>
      <c r="C36" s="596"/>
      <c r="D36" s="596">
        <v>20</v>
      </c>
      <c r="E36" s="596">
        <v>65</v>
      </c>
      <c r="F36" s="597"/>
      <c r="G36" s="684"/>
      <c r="H36" s="620" t="s">
        <v>408</v>
      </c>
      <c r="I36" s="692" t="s">
        <v>409</v>
      </c>
      <c r="J36" s="763"/>
      <c r="K36" s="622"/>
      <c r="L36" s="567"/>
      <c r="M36" s="6"/>
      <c r="N36" s="6"/>
      <c r="O36" s="613"/>
      <c r="P36" s="567"/>
      <c r="Q36" s="695"/>
      <c r="R36" s="6"/>
      <c r="S36" s="765"/>
      <c r="T36" s="622"/>
      <c r="U36" s="572"/>
      <c r="V36" s="6"/>
      <c r="W36" s="6"/>
      <c r="X36" s="613"/>
      <c r="Y36" s="614"/>
      <c r="Z36" s="605"/>
      <c r="AA36" s="605"/>
      <c r="AB36" s="765"/>
      <c r="AC36" s="622"/>
      <c r="AD36" s="572"/>
      <c r="AE36" s="6"/>
      <c r="AF36" s="6"/>
      <c r="AG36" s="613"/>
      <c r="AH36" s="614"/>
      <c r="AI36" s="605"/>
      <c r="AJ36" s="605"/>
      <c r="AK36" s="765"/>
    </row>
    <row r="37" spans="1:37" ht="19.899999999999999" customHeight="1" x14ac:dyDescent="0.25">
      <c r="A37" s="2206">
        <v>44730</v>
      </c>
      <c r="B37" s="644">
        <v>1</v>
      </c>
      <c r="C37" s="596"/>
      <c r="D37" s="596"/>
      <c r="E37" s="596"/>
      <c r="F37" s="613"/>
      <c r="G37" s="685"/>
      <c r="H37" s="619"/>
      <c r="I37" s="692"/>
      <c r="J37" s="763"/>
      <c r="K37" s="622"/>
      <c r="L37" s="572"/>
      <c r="M37" s="6"/>
      <c r="N37" s="6"/>
      <c r="O37" s="613"/>
      <c r="P37" s="614"/>
      <c r="Q37" s="6"/>
      <c r="R37" s="6"/>
      <c r="S37" s="765"/>
      <c r="T37" s="622"/>
      <c r="U37" s="572"/>
      <c r="V37" s="6"/>
      <c r="W37" s="6"/>
      <c r="X37" s="613"/>
      <c r="Y37" s="614"/>
      <c r="Z37" s="605"/>
      <c r="AA37" s="605"/>
      <c r="AB37" s="765"/>
      <c r="AC37" s="622"/>
      <c r="AD37" s="572"/>
      <c r="AE37" s="6"/>
      <c r="AF37" s="6"/>
      <c r="AG37" s="613"/>
      <c r="AH37" s="614"/>
      <c r="AI37" s="6"/>
      <c r="AJ37" s="6"/>
      <c r="AK37" s="765"/>
    </row>
    <row r="38" spans="1:37" ht="19.899999999999999" customHeight="1" x14ac:dyDescent="0.25">
      <c r="A38" s="2205"/>
      <c r="B38" s="574">
        <v>2</v>
      </c>
      <c r="C38" s="595"/>
      <c r="D38" s="596">
        <v>21</v>
      </c>
      <c r="E38" s="596"/>
      <c r="F38" s="597"/>
      <c r="G38" s="685"/>
      <c r="H38" s="619" t="s">
        <v>410</v>
      </c>
      <c r="I38" s="692"/>
      <c r="J38" s="763"/>
      <c r="K38" s="622"/>
      <c r="L38" s="572"/>
      <c r="M38" s="6"/>
      <c r="N38" s="6"/>
      <c r="O38" s="613"/>
      <c r="P38" s="760"/>
      <c r="Q38" s="6"/>
      <c r="R38" s="6"/>
      <c r="S38" s="765"/>
      <c r="T38" s="622"/>
      <c r="U38" s="572"/>
      <c r="V38" s="6"/>
      <c r="W38" s="6"/>
      <c r="X38" s="613"/>
      <c r="Y38" s="614"/>
      <c r="Z38" s="6"/>
      <c r="AA38" s="6"/>
      <c r="AB38" s="765"/>
      <c r="AC38" s="622"/>
      <c r="AD38" s="572"/>
      <c r="AE38" s="6"/>
      <c r="AF38" s="6"/>
      <c r="AG38" s="613"/>
      <c r="AH38" s="614"/>
      <c r="AI38" s="6"/>
      <c r="AJ38" s="6"/>
      <c r="AK38" s="765"/>
    </row>
    <row r="39" spans="1:37" ht="19.899999999999999" customHeight="1" x14ac:dyDescent="0.25">
      <c r="A39" s="2206">
        <v>44731</v>
      </c>
      <c r="B39" s="574">
        <v>1</v>
      </c>
      <c r="C39" s="595"/>
      <c r="D39" s="596"/>
      <c r="E39" s="596"/>
      <c r="F39" s="597"/>
      <c r="G39" s="685"/>
      <c r="H39" s="619"/>
      <c r="I39" s="692"/>
      <c r="J39" s="763"/>
      <c r="K39" s="622"/>
      <c r="L39" s="572"/>
      <c r="M39" s="6"/>
      <c r="N39" s="6"/>
      <c r="O39" s="613"/>
      <c r="P39" s="614"/>
      <c r="Q39" s="6"/>
      <c r="R39" s="6"/>
      <c r="S39" s="765"/>
      <c r="T39" s="622"/>
      <c r="U39" s="572"/>
      <c r="V39" s="6"/>
      <c r="W39" s="6">
        <v>5</v>
      </c>
      <c r="X39" s="613"/>
      <c r="Y39" s="614"/>
      <c r="Z39" s="6"/>
      <c r="AA39" s="605" t="s">
        <v>152</v>
      </c>
      <c r="AB39" s="765"/>
      <c r="AC39" s="622"/>
      <c r="AD39" s="572"/>
      <c r="AE39" s="6"/>
      <c r="AF39" s="6"/>
      <c r="AG39" s="613"/>
      <c r="AH39" s="614"/>
      <c r="AI39" s="6"/>
      <c r="AJ39" s="6"/>
      <c r="AK39" s="765"/>
    </row>
    <row r="40" spans="1:37" ht="19.899999999999999" customHeight="1" x14ac:dyDescent="0.25">
      <c r="A40" s="2205"/>
      <c r="B40" s="574">
        <v>2</v>
      </c>
      <c r="C40" s="595"/>
      <c r="D40" s="596"/>
      <c r="E40" s="596"/>
      <c r="F40" s="613"/>
      <c r="G40" s="685"/>
      <c r="H40" s="619"/>
      <c r="I40" s="692"/>
      <c r="J40" s="763"/>
      <c r="K40" s="622"/>
      <c r="L40" s="572"/>
      <c r="M40" s="6"/>
      <c r="N40" s="6"/>
      <c r="O40" s="613"/>
      <c r="P40" s="614"/>
      <c r="Q40" s="6"/>
      <c r="R40" s="6"/>
      <c r="S40" s="765"/>
      <c r="T40" s="622"/>
      <c r="U40" s="572"/>
      <c r="V40" s="6"/>
      <c r="W40" s="6">
        <v>10</v>
      </c>
      <c r="X40" s="613"/>
      <c r="Y40" s="614"/>
      <c r="Z40" s="6"/>
      <c r="AA40" s="605" t="s">
        <v>152</v>
      </c>
      <c r="AB40" s="765"/>
      <c r="AC40" s="622"/>
      <c r="AD40" s="572"/>
      <c r="AE40" s="6"/>
      <c r="AF40" s="6"/>
      <c r="AG40" s="613"/>
      <c r="AH40" s="614"/>
      <c r="AI40" s="6"/>
      <c r="AJ40" s="6"/>
      <c r="AK40" s="765"/>
    </row>
    <row r="41" spans="1:37" ht="19.899999999999999" customHeight="1" x14ac:dyDescent="0.25">
      <c r="A41" s="2206">
        <v>44732</v>
      </c>
      <c r="B41" s="574">
        <v>1</v>
      </c>
      <c r="C41" s="595"/>
      <c r="D41" s="596"/>
      <c r="E41" s="596"/>
      <c r="F41" s="613"/>
      <c r="G41" s="685"/>
      <c r="H41" s="620"/>
      <c r="I41" s="692"/>
      <c r="J41" s="763"/>
      <c r="K41" s="622"/>
      <c r="L41" s="572"/>
      <c r="M41" s="6"/>
      <c r="N41" s="6"/>
      <c r="O41" s="613"/>
      <c r="P41" s="614"/>
      <c r="Q41" s="6"/>
      <c r="R41" s="6"/>
      <c r="S41" s="765"/>
      <c r="T41" s="622"/>
      <c r="U41" s="572"/>
      <c r="V41" s="6"/>
      <c r="W41" s="6"/>
      <c r="X41" s="613"/>
      <c r="Y41" s="614"/>
      <c r="Z41" s="605"/>
      <c r="AA41" s="605"/>
      <c r="AB41" s="765"/>
      <c r="AC41" s="622"/>
      <c r="AD41" s="572"/>
      <c r="AE41" s="6"/>
      <c r="AF41" s="6"/>
      <c r="AG41" s="613"/>
      <c r="AH41" s="614"/>
      <c r="AI41" s="6"/>
      <c r="AJ41" s="6"/>
      <c r="AK41" s="765"/>
    </row>
    <row r="42" spans="1:37" ht="19.899999999999999" customHeight="1" x14ac:dyDescent="0.25">
      <c r="A42" s="2205"/>
      <c r="B42" s="574">
        <v>2</v>
      </c>
      <c r="C42" s="595"/>
      <c r="D42" s="596"/>
      <c r="E42" s="596"/>
      <c r="F42" s="613"/>
      <c r="G42" s="685"/>
      <c r="H42" s="619"/>
      <c r="I42" s="692"/>
      <c r="J42" s="763"/>
      <c r="K42" s="622"/>
      <c r="L42" s="572"/>
      <c r="M42" s="6"/>
      <c r="N42" s="6"/>
      <c r="O42" s="613"/>
      <c r="P42" s="614"/>
      <c r="Q42" s="6"/>
      <c r="R42" s="6"/>
      <c r="S42" s="765"/>
      <c r="T42" s="622"/>
      <c r="U42" s="572"/>
      <c r="V42" s="6"/>
      <c r="W42" s="6">
        <v>15</v>
      </c>
      <c r="X42" s="613"/>
      <c r="Y42" s="760"/>
      <c r="Z42" s="6"/>
      <c r="AA42" s="605" t="s">
        <v>152</v>
      </c>
      <c r="AB42" s="765"/>
      <c r="AC42" s="622"/>
      <c r="AD42" s="572"/>
      <c r="AE42" s="6"/>
      <c r="AF42" s="6"/>
      <c r="AG42" s="613"/>
      <c r="AH42" s="614"/>
      <c r="AI42" s="6"/>
      <c r="AJ42" s="6"/>
      <c r="AK42" s="765"/>
    </row>
    <row r="43" spans="1:37" ht="19.899999999999999" customHeight="1" x14ac:dyDescent="0.25">
      <c r="A43" s="2206">
        <v>44733</v>
      </c>
      <c r="B43" s="574">
        <v>1</v>
      </c>
      <c r="C43" s="595"/>
      <c r="D43" s="596"/>
      <c r="E43" s="596"/>
      <c r="F43" s="597"/>
      <c r="G43" s="685"/>
      <c r="H43" s="619"/>
      <c r="I43" s="692"/>
      <c r="J43" s="763"/>
      <c r="K43" s="622"/>
      <c r="L43" s="572"/>
      <c r="M43" s="6"/>
      <c r="N43" s="6"/>
      <c r="O43" s="613"/>
      <c r="P43" s="614"/>
      <c r="Q43" s="6"/>
      <c r="R43" s="6"/>
      <c r="S43" s="766"/>
      <c r="T43" s="622"/>
      <c r="U43" s="572"/>
      <c r="V43" s="6"/>
      <c r="W43" s="6"/>
      <c r="X43" s="613"/>
      <c r="Y43" s="614"/>
      <c r="Z43" s="6"/>
      <c r="AA43" s="605"/>
      <c r="AB43" s="766"/>
      <c r="AC43" s="622"/>
      <c r="AD43" s="572"/>
      <c r="AE43" s="6"/>
      <c r="AF43" s="6"/>
      <c r="AG43" s="613"/>
      <c r="AH43" s="605"/>
      <c r="AI43" s="6"/>
      <c r="AJ43" s="6"/>
      <c r="AK43" s="766"/>
    </row>
    <row r="44" spans="1:37" ht="36" customHeight="1" x14ac:dyDescent="0.25">
      <c r="A44" s="2205"/>
      <c r="B44" s="574">
        <v>2</v>
      </c>
      <c r="C44" s="595"/>
      <c r="D44" s="596"/>
      <c r="E44" s="596"/>
      <c r="F44" s="597"/>
      <c r="G44" s="684"/>
      <c r="H44" s="619"/>
      <c r="I44" s="620"/>
      <c r="J44" s="694"/>
      <c r="K44" s="622"/>
      <c r="L44" s="572"/>
      <c r="M44" s="6"/>
      <c r="N44" s="6"/>
      <c r="O44" s="613"/>
      <c r="P44" s="614"/>
      <c r="Q44" s="6"/>
      <c r="R44" s="605"/>
      <c r="S44" s="613"/>
      <c r="T44" s="622"/>
      <c r="U44" s="572"/>
      <c r="V44" s="6"/>
      <c r="W44" s="6">
        <v>10</v>
      </c>
      <c r="X44" s="613"/>
      <c r="Y44" s="760"/>
      <c r="Z44" s="6"/>
      <c r="AA44" s="605" t="s">
        <v>152</v>
      </c>
      <c r="AB44" s="613"/>
      <c r="AC44" s="622"/>
      <c r="AD44" s="572"/>
      <c r="AE44" s="6"/>
      <c r="AF44" s="6"/>
      <c r="AG44" s="613"/>
      <c r="AH44" s="614"/>
      <c r="AI44" s="6"/>
      <c r="AJ44" s="605"/>
      <c r="AK44" s="613"/>
    </row>
    <row r="45" spans="1:37" ht="19.899999999999999" customHeight="1" x14ac:dyDescent="0.25">
      <c r="A45" s="2206">
        <v>44734</v>
      </c>
      <c r="B45" s="574">
        <v>1</v>
      </c>
      <c r="C45" s="595"/>
      <c r="D45" s="596"/>
      <c r="E45" s="596"/>
      <c r="F45" s="597"/>
      <c r="G45" s="685"/>
      <c r="H45" s="619"/>
      <c r="I45" s="620"/>
      <c r="J45" s="687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"/>
      <c r="W45" s="6">
        <v>10</v>
      </c>
      <c r="X45" s="613"/>
      <c r="Y45" s="614"/>
      <c r="Z45" s="6"/>
      <c r="AA45" s="605" t="s">
        <v>152</v>
      </c>
      <c r="AB45" s="613"/>
      <c r="AC45" s="622"/>
      <c r="AD45" s="572"/>
      <c r="AE45" s="6"/>
      <c r="AF45" s="6"/>
      <c r="AG45" s="613"/>
      <c r="AH45" s="614"/>
      <c r="AI45" s="17"/>
      <c r="AJ45" s="605"/>
      <c r="AK45" s="613"/>
    </row>
    <row r="46" spans="1:37" ht="19.899999999999999" customHeight="1" x14ac:dyDescent="0.25">
      <c r="A46" s="2205"/>
      <c r="B46" s="574">
        <v>2</v>
      </c>
      <c r="C46" s="2242">
        <v>3670</v>
      </c>
      <c r="D46" s="596"/>
      <c r="E46" s="2247">
        <v>565</v>
      </c>
      <c r="F46" s="597"/>
      <c r="G46" s="2226" t="s">
        <v>411</v>
      </c>
      <c r="H46" s="620"/>
      <c r="I46" s="2244" t="s">
        <v>412</v>
      </c>
      <c r="J46" s="687"/>
      <c r="K46" s="622"/>
      <c r="L46" s="572"/>
      <c r="M46" s="6"/>
      <c r="N46" s="6"/>
      <c r="O46" s="613"/>
      <c r="P46" s="614"/>
      <c r="Q46" s="620"/>
      <c r="R46" s="6"/>
      <c r="S46" s="613"/>
      <c r="T46" s="622"/>
      <c r="U46" s="572"/>
      <c r="V46" s="6"/>
      <c r="W46" s="6"/>
      <c r="X46" s="613"/>
      <c r="Y46" s="614"/>
      <c r="Z46" s="6"/>
      <c r="AA46" s="605"/>
      <c r="AB46" s="613"/>
      <c r="AC46" s="622"/>
      <c r="AD46" s="572"/>
      <c r="AE46" s="6"/>
      <c r="AF46" s="6"/>
      <c r="AG46" s="613"/>
      <c r="AH46" s="614"/>
      <c r="AI46" s="6"/>
      <c r="AJ46" s="620"/>
      <c r="AK46" s="613"/>
    </row>
    <row r="47" spans="1:37" ht="19.899999999999999" customHeight="1" x14ac:dyDescent="0.25">
      <c r="A47" s="2206">
        <v>44735</v>
      </c>
      <c r="B47" s="574">
        <v>1</v>
      </c>
      <c r="C47" s="2243"/>
      <c r="D47" s="596"/>
      <c r="E47" s="2248"/>
      <c r="F47" s="597"/>
      <c r="G47" s="2241"/>
      <c r="H47" s="619"/>
      <c r="I47" s="2245"/>
      <c r="J47" s="687"/>
      <c r="K47" s="622"/>
      <c r="L47" s="572"/>
      <c r="M47" s="6"/>
      <c r="N47" s="6"/>
      <c r="O47" s="613"/>
      <c r="P47" s="614"/>
      <c r="Q47" s="6"/>
      <c r="R47" s="6"/>
      <c r="S47" s="613"/>
      <c r="T47" s="622"/>
      <c r="U47" s="572"/>
      <c r="V47" s="6"/>
      <c r="W47" s="6"/>
      <c r="X47" s="613"/>
      <c r="Y47" s="614"/>
      <c r="Z47" s="605"/>
      <c r="AA47" s="605"/>
      <c r="AB47" s="613"/>
      <c r="AC47" s="622"/>
      <c r="AD47" s="572"/>
      <c r="AE47" s="6"/>
      <c r="AF47" s="6">
        <v>39</v>
      </c>
      <c r="AG47" s="613"/>
      <c r="AH47" s="760"/>
      <c r="AI47" s="6"/>
      <c r="AJ47" s="6" t="s">
        <v>97</v>
      </c>
      <c r="AK47" s="613"/>
    </row>
    <row r="48" spans="1:37" ht="42.75" customHeight="1" x14ac:dyDescent="0.25">
      <c r="A48" s="2205"/>
      <c r="B48" s="574">
        <v>2</v>
      </c>
      <c r="C48" s="2243"/>
      <c r="D48" s="596"/>
      <c r="E48" s="2248"/>
      <c r="F48" s="597"/>
      <c r="G48" s="2241"/>
      <c r="H48" s="620"/>
      <c r="I48" s="2245"/>
      <c r="J48" s="635"/>
      <c r="K48" s="622"/>
      <c r="L48" s="572"/>
      <c r="M48" s="6">
        <v>50</v>
      </c>
      <c r="N48" s="6">
        <v>70</v>
      </c>
      <c r="O48" s="613"/>
      <c r="P48" s="614"/>
      <c r="Q48" s="620" t="s">
        <v>334</v>
      </c>
      <c r="R48" s="605" t="s">
        <v>413</v>
      </c>
      <c r="S48" s="635"/>
      <c r="T48" s="622"/>
      <c r="U48" s="572"/>
      <c r="V48" s="6"/>
      <c r="W48" s="6"/>
      <c r="X48" s="613"/>
      <c r="Y48" s="760"/>
      <c r="Z48" s="6"/>
      <c r="AA48" s="605"/>
      <c r="AB48" s="635"/>
      <c r="AC48" s="622"/>
      <c r="AD48" s="572"/>
      <c r="AE48" s="6"/>
      <c r="AF48" s="6"/>
      <c r="AG48" s="613"/>
      <c r="AH48" s="614"/>
      <c r="AI48" s="6"/>
      <c r="AJ48" s="6"/>
      <c r="AK48" s="635"/>
    </row>
    <row r="49" spans="1:37" ht="19.899999999999999" customHeight="1" x14ac:dyDescent="0.25">
      <c r="A49" s="2206">
        <v>44736</v>
      </c>
      <c r="B49" s="574">
        <v>1</v>
      </c>
      <c r="C49" s="2243"/>
      <c r="D49" s="596"/>
      <c r="E49" s="2248"/>
      <c r="F49" s="597"/>
      <c r="G49" s="2241"/>
      <c r="H49" s="619"/>
      <c r="I49" s="2245"/>
      <c r="J49" s="635"/>
      <c r="K49" s="622"/>
      <c r="L49" s="572"/>
      <c r="M49" s="6"/>
      <c r="N49" s="6"/>
      <c r="O49" s="613"/>
      <c r="P49" s="614"/>
      <c r="Q49" s="6"/>
      <c r="R49" s="6"/>
      <c r="S49" s="634"/>
      <c r="T49" s="622"/>
      <c r="U49" s="572"/>
      <c r="V49" s="6"/>
      <c r="W49" s="6"/>
      <c r="X49" s="613"/>
      <c r="Y49" s="614"/>
      <c r="Z49" s="605"/>
      <c r="AA49" s="605"/>
      <c r="AB49" s="634"/>
      <c r="AC49" s="622"/>
      <c r="AD49" s="572"/>
      <c r="AE49" s="6"/>
      <c r="AF49" s="6">
        <v>15</v>
      </c>
      <c r="AG49" s="613"/>
      <c r="AH49" s="614"/>
      <c r="AI49" s="6"/>
      <c r="AJ49" s="6" t="s">
        <v>97</v>
      </c>
      <c r="AK49" s="634"/>
    </row>
    <row r="50" spans="1:37" ht="19.899999999999999" customHeight="1" x14ac:dyDescent="0.25">
      <c r="A50" s="2205"/>
      <c r="B50" s="574">
        <v>2</v>
      </c>
      <c r="C50" s="2243"/>
      <c r="D50" s="596"/>
      <c r="E50" s="2248"/>
      <c r="F50" s="597"/>
      <c r="G50" s="2241"/>
      <c r="H50" s="619"/>
      <c r="I50" s="2245"/>
      <c r="J50" s="687"/>
      <c r="K50" s="622"/>
      <c r="L50" s="572"/>
      <c r="M50" s="6"/>
      <c r="N50" s="6"/>
      <c r="O50" s="613"/>
      <c r="P50" s="614"/>
      <c r="Q50" s="605"/>
      <c r="R50" s="605"/>
      <c r="S50" s="613"/>
      <c r="T50" s="622"/>
      <c r="U50" s="572"/>
      <c r="V50" s="6"/>
      <c r="W50" s="6"/>
      <c r="X50" s="613"/>
      <c r="Y50" s="760"/>
      <c r="Z50" s="605"/>
      <c r="AA50" s="605"/>
      <c r="AB50" s="613"/>
      <c r="AC50" s="622"/>
      <c r="AD50" s="572"/>
      <c r="AE50" s="6"/>
      <c r="AF50" s="6"/>
      <c r="AG50" s="613"/>
      <c r="AH50" s="614"/>
      <c r="AI50" s="6"/>
      <c r="AJ50" s="6"/>
      <c r="AK50" s="613"/>
    </row>
    <row r="51" spans="1:37" ht="19.899999999999999" customHeight="1" x14ac:dyDescent="0.25">
      <c r="A51" s="2206">
        <v>44737</v>
      </c>
      <c r="B51" s="574">
        <v>1</v>
      </c>
      <c r="C51" s="2243"/>
      <c r="D51" s="596"/>
      <c r="E51" s="2248"/>
      <c r="F51" s="597"/>
      <c r="G51" s="2241"/>
      <c r="H51" s="619"/>
      <c r="I51" s="2246"/>
      <c r="J51" s="687"/>
      <c r="K51" s="622"/>
      <c r="L51" s="572"/>
      <c r="M51" s="6"/>
      <c r="N51" s="6"/>
      <c r="O51" s="613"/>
      <c r="P51" s="614"/>
      <c r="Q51" s="6"/>
      <c r="R51" s="6"/>
      <c r="S51" s="613"/>
      <c r="T51" s="622"/>
      <c r="U51" s="572"/>
      <c r="V51" s="6"/>
      <c r="W51" s="6"/>
      <c r="X51" s="613"/>
      <c r="Y51" s="760"/>
      <c r="Z51" s="6"/>
      <c r="AA51" s="605"/>
      <c r="AB51" s="613"/>
      <c r="AC51" s="622"/>
      <c r="AD51" s="572"/>
      <c r="AE51" s="6"/>
      <c r="AF51" s="6"/>
      <c r="AG51" s="613"/>
      <c r="AH51" s="614"/>
      <c r="AI51" s="6"/>
      <c r="AJ51" s="6"/>
      <c r="AK51" s="613"/>
    </row>
    <row r="52" spans="1:37" ht="31.9" customHeight="1" x14ac:dyDescent="0.25">
      <c r="A52" s="2205"/>
      <c r="B52" s="574">
        <v>2</v>
      </c>
      <c r="C52" s="767"/>
      <c r="D52" s="596"/>
      <c r="E52" s="769">
        <v>41</v>
      </c>
      <c r="F52" s="597"/>
      <c r="G52" s="677"/>
      <c r="H52" s="620"/>
      <c r="I52" s="620" t="s">
        <v>97</v>
      </c>
      <c r="J52" s="635"/>
      <c r="K52" s="622"/>
      <c r="L52" s="572"/>
      <c r="M52" s="6">
        <v>114</v>
      </c>
      <c r="N52" s="6"/>
      <c r="O52" s="613"/>
      <c r="P52" s="614"/>
      <c r="Q52" s="2239" t="s">
        <v>406</v>
      </c>
      <c r="R52" s="6"/>
      <c r="S52" s="635"/>
      <c r="T52" s="622"/>
      <c r="U52" s="572"/>
      <c r="V52" s="6"/>
      <c r="W52" s="6"/>
      <c r="X52" s="613"/>
      <c r="Y52" s="760"/>
      <c r="Z52" s="605"/>
      <c r="AA52" s="605"/>
      <c r="AB52" s="635"/>
      <c r="AC52" s="622"/>
      <c r="AD52" s="572"/>
      <c r="AE52" s="6"/>
      <c r="AF52" s="6">
        <v>27</v>
      </c>
      <c r="AG52" s="613"/>
      <c r="AH52" s="614"/>
      <c r="AI52" s="6"/>
      <c r="AJ52" s="6" t="s">
        <v>97</v>
      </c>
      <c r="AK52" s="635"/>
    </row>
    <row r="53" spans="1:37" ht="34.15" customHeight="1" x14ac:dyDescent="0.25">
      <c r="A53" s="2206">
        <v>44738</v>
      </c>
      <c r="B53" s="574">
        <v>1</v>
      </c>
      <c r="C53" s="595"/>
      <c r="D53" s="596"/>
      <c r="E53" s="596"/>
      <c r="F53" s="597"/>
      <c r="G53" s="685"/>
      <c r="H53" s="619"/>
      <c r="I53" s="619"/>
      <c r="J53" s="687"/>
      <c r="K53" s="622"/>
      <c r="L53" s="572"/>
      <c r="M53" s="6">
        <v>40</v>
      </c>
      <c r="N53" s="6"/>
      <c r="O53" s="613"/>
      <c r="P53" s="760"/>
      <c r="Q53" s="2240"/>
      <c r="R53" s="6"/>
      <c r="S53" s="613"/>
      <c r="T53" s="622"/>
      <c r="U53" s="572"/>
      <c r="V53" s="6"/>
      <c r="W53" s="6">
        <v>10</v>
      </c>
      <c r="X53" s="613"/>
      <c r="Y53" s="760"/>
      <c r="Z53" s="6"/>
      <c r="AA53" s="6" t="s">
        <v>169</v>
      </c>
      <c r="AB53" s="613"/>
      <c r="AC53" s="622"/>
      <c r="AD53" s="572"/>
      <c r="AE53" s="605"/>
      <c r="AF53" s="6"/>
      <c r="AG53" s="613"/>
      <c r="AH53" s="614"/>
      <c r="AI53" s="605"/>
      <c r="AJ53" s="605"/>
      <c r="AK53" s="613"/>
    </row>
    <row r="54" spans="1:37" ht="19.899999999999999" customHeight="1" x14ac:dyDescent="0.25">
      <c r="A54" s="2205"/>
      <c r="B54" s="754">
        <v>2</v>
      </c>
      <c r="C54" s="595"/>
      <c r="D54" s="596"/>
      <c r="E54" s="596"/>
      <c r="F54" s="597"/>
      <c r="G54" s="685"/>
      <c r="H54" s="619"/>
      <c r="I54" s="620"/>
      <c r="J54" s="687"/>
      <c r="K54" s="622"/>
      <c r="L54" s="572"/>
      <c r="M54" s="6">
        <v>110</v>
      </c>
      <c r="N54" s="6"/>
      <c r="O54" s="613"/>
      <c r="P54" s="614"/>
      <c r="Q54" s="6" t="s">
        <v>96</v>
      </c>
      <c r="R54" s="6"/>
      <c r="S54" s="613"/>
      <c r="T54" s="622"/>
      <c r="U54" s="572"/>
      <c r="V54" s="6"/>
      <c r="W54" s="6"/>
      <c r="X54" s="613"/>
      <c r="Y54" s="696"/>
      <c r="Z54" s="759"/>
      <c r="AA54" s="697"/>
      <c r="AB54" s="613"/>
      <c r="AC54" s="622"/>
      <c r="AD54" s="572"/>
      <c r="AE54" s="6"/>
      <c r="AF54" s="6"/>
      <c r="AG54" s="613"/>
      <c r="AH54" s="614"/>
      <c r="AI54" s="6"/>
      <c r="AJ54" s="605"/>
      <c r="AK54" s="613"/>
    </row>
    <row r="55" spans="1:37" ht="31.9" customHeight="1" x14ac:dyDescent="0.25">
      <c r="A55" s="2206">
        <v>44739</v>
      </c>
      <c r="B55" s="574">
        <v>1</v>
      </c>
      <c r="C55" s="595"/>
      <c r="D55" s="596"/>
      <c r="E55" s="596">
        <v>10</v>
      </c>
      <c r="F55" s="597"/>
      <c r="G55" s="685"/>
      <c r="H55" s="619"/>
      <c r="I55" s="620" t="s">
        <v>97</v>
      </c>
      <c r="J55" s="635"/>
      <c r="K55" s="622"/>
      <c r="L55" s="572"/>
      <c r="M55" s="6"/>
      <c r="N55" s="6"/>
      <c r="O55" s="613"/>
      <c r="P55" s="614"/>
      <c r="Q55" s="6"/>
      <c r="R55" s="6"/>
      <c r="S55" s="635"/>
      <c r="T55" s="622"/>
      <c r="U55" s="572"/>
      <c r="V55" s="6"/>
      <c r="W55" s="6">
        <v>10</v>
      </c>
      <c r="X55" s="613"/>
      <c r="Y55" s="614"/>
      <c r="Z55" s="6"/>
      <c r="AA55" s="605" t="s">
        <v>152</v>
      </c>
      <c r="AB55" s="635"/>
      <c r="AC55" s="622"/>
      <c r="AD55" s="572"/>
      <c r="AE55" s="6"/>
      <c r="AF55" s="6"/>
      <c r="AG55" s="613"/>
      <c r="AH55" s="614"/>
      <c r="AI55" s="6"/>
      <c r="AJ55" s="6"/>
      <c r="AK55" s="635"/>
    </row>
    <row r="56" spans="1:37" ht="19.899999999999999" customHeight="1" x14ac:dyDescent="0.25">
      <c r="A56" s="2205"/>
      <c r="B56" s="754">
        <v>2</v>
      </c>
      <c r="C56" s="595"/>
      <c r="D56" s="596"/>
      <c r="E56" s="596"/>
      <c r="F56" s="597"/>
      <c r="G56" s="684"/>
      <c r="H56" s="619"/>
      <c r="I56" s="620"/>
      <c r="J56" s="687"/>
      <c r="K56" s="622"/>
      <c r="L56" s="572"/>
      <c r="M56" s="6"/>
      <c r="N56" s="6"/>
      <c r="O56" s="613"/>
      <c r="P56" s="614"/>
      <c r="Q56" s="6"/>
      <c r="R56" s="6"/>
      <c r="S56" s="613"/>
      <c r="T56" s="622"/>
      <c r="U56" s="572"/>
      <c r="V56" s="6"/>
      <c r="W56" s="6"/>
      <c r="X56" s="613"/>
      <c r="Y56" s="760"/>
      <c r="Z56" s="605"/>
      <c r="AA56" s="619"/>
      <c r="AB56" s="613"/>
      <c r="AC56" s="622"/>
      <c r="AD56" s="572"/>
      <c r="AE56" s="6"/>
      <c r="AF56" s="6"/>
      <c r="AG56" s="613"/>
      <c r="AH56" s="614"/>
      <c r="AI56" s="605"/>
      <c r="AJ56" s="619"/>
      <c r="AK56" s="613"/>
    </row>
    <row r="57" spans="1:37" ht="19.899999999999999" customHeight="1" x14ac:dyDescent="0.25">
      <c r="A57" s="2206">
        <v>44740</v>
      </c>
      <c r="B57" s="574">
        <v>1</v>
      </c>
      <c r="C57" s="595"/>
      <c r="D57" s="596"/>
      <c r="E57" s="596"/>
      <c r="F57" s="597"/>
      <c r="G57" s="685"/>
      <c r="H57" s="619"/>
      <c r="I57" s="620"/>
      <c r="J57" s="687"/>
      <c r="K57" s="622"/>
      <c r="L57" s="572"/>
      <c r="M57" s="6"/>
      <c r="N57" s="6"/>
      <c r="O57" s="613"/>
      <c r="P57" s="614"/>
      <c r="Q57" s="6"/>
      <c r="R57" s="605"/>
      <c r="S57" s="613"/>
      <c r="T57" s="622"/>
      <c r="U57" s="572"/>
      <c r="V57" s="6"/>
      <c r="W57" s="6"/>
      <c r="X57" s="613"/>
      <c r="Y57" s="760"/>
      <c r="Z57" s="605"/>
      <c r="AA57" s="605"/>
      <c r="AB57" s="613"/>
      <c r="AC57" s="622"/>
      <c r="AD57" s="572"/>
      <c r="AE57" s="6"/>
      <c r="AF57" s="6">
        <v>33</v>
      </c>
      <c r="AG57" s="613"/>
      <c r="AH57" s="614"/>
      <c r="AI57" s="6"/>
      <c r="AJ57" s="6" t="s">
        <v>97</v>
      </c>
      <c r="AK57" s="613"/>
    </row>
    <row r="58" spans="1:37" ht="19.899999999999999" customHeight="1" x14ac:dyDescent="0.25">
      <c r="A58" s="2205"/>
      <c r="B58" s="754">
        <v>2</v>
      </c>
      <c r="C58" s="595"/>
      <c r="D58" s="596"/>
      <c r="E58" s="596"/>
      <c r="F58" s="597"/>
      <c r="G58" s="684"/>
      <c r="H58" s="619"/>
      <c r="I58" s="620"/>
      <c r="J58" s="687"/>
      <c r="K58" s="622"/>
      <c r="L58" s="572"/>
      <c r="M58" s="6"/>
      <c r="N58" s="6"/>
      <c r="O58" s="613"/>
      <c r="P58" s="614"/>
      <c r="Q58" s="6"/>
      <c r="R58" s="6"/>
      <c r="S58" s="613"/>
      <c r="T58" s="622"/>
      <c r="U58" s="572"/>
      <c r="V58" s="6"/>
      <c r="W58" s="6"/>
      <c r="X58" s="613"/>
      <c r="Y58" s="614"/>
      <c r="Z58" s="605"/>
      <c r="AA58" s="6"/>
      <c r="AB58" s="613"/>
      <c r="AC58" s="622"/>
      <c r="AD58" s="572"/>
      <c r="AE58" s="6"/>
      <c r="AF58" s="6"/>
      <c r="AG58" s="613"/>
      <c r="AH58" s="614"/>
      <c r="AI58" s="6"/>
      <c r="AJ58" s="6"/>
      <c r="AK58" s="613"/>
    </row>
    <row r="59" spans="1:37" ht="19.899999999999999" customHeight="1" x14ac:dyDescent="0.25">
      <c r="A59" s="2206">
        <v>44741</v>
      </c>
      <c r="B59" s="574">
        <v>1</v>
      </c>
      <c r="C59" s="595"/>
      <c r="D59" s="596"/>
      <c r="E59" s="596"/>
      <c r="F59" s="597"/>
      <c r="G59" s="685"/>
      <c r="H59" s="619"/>
      <c r="I59" s="6"/>
      <c r="J59" s="687"/>
      <c r="K59" s="622"/>
      <c r="L59" s="572"/>
      <c r="M59" s="6"/>
      <c r="N59" s="6"/>
      <c r="O59" s="613"/>
      <c r="P59" s="614"/>
      <c r="Q59" s="605"/>
      <c r="R59" s="6"/>
      <c r="S59" s="613"/>
      <c r="T59" s="622"/>
      <c r="U59" s="572"/>
      <c r="V59" s="6"/>
      <c r="W59" s="6"/>
      <c r="X59" s="613"/>
      <c r="Y59" s="614"/>
      <c r="Z59" s="6"/>
      <c r="AA59" s="6"/>
      <c r="AB59" s="613"/>
      <c r="AC59" s="622"/>
      <c r="AD59" s="572"/>
      <c r="AE59" s="6"/>
      <c r="AF59" s="6"/>
      <c r="AG59" s="613"/>
      <c r="AH59" s="760"/>
      <c r="AI59" s="6"/>
      <c r="AJ59" s="6"/>
      <c r="AK59" s="613"/>
    </row>
    <row r="60" spans="1:37" ht="31.9" customHeight="1" x14ac:dyDescent="0.25">
      <c r="A60" s="2205"/>
      <c r="B60" s="754">
        <v>2</v>
      </c>
      <c r="C60" s="595"/>
      <c r="D60" s="596"/>
      <c r="E60" s="596"/>
      <c r="F60" s="597"/>
      <c r="G60" s="684"/>
      <c r="H60" s="620"/>
      <c r="I60" s="620"/>
      <c r="J60" s="635"/>
      <c r="K60" s="622"/>
      <c r="L60" s="572"/>
      <c r="M60" s="6"/>
      <c r="N60" s="6"/>
      <c r="O60" s="613"/>
      <c r="P60" s="614"/>
      <c r="Q60" s="6"/>
      <c r="R60" s="6"/>
      <c r="S60" s="635"/>
      <c r="T60" s="622"/>
      <c r="U60" s="572"/>
      <c r="V60" s="6">
        <v>5</v>
      </c>
      <c r="W60" s="6"/>
      <c r="X60" s="613"/>
      <c r="Y60" s="760"/>
      <c r="Z60" s="605"/>
      <c r="AA60" s="6" t="s">
        <v>276</v>
      </c>
      <c r="AB60" s="635"/>
      <c r="AC60" s="622"/>
      <c r="AD60" s="572"/>
      <c r="AE60" s="6"/>
      <c r="AF60" s="6"/>
      <c r="AG60" s="613"/>
      <c r="AH60" s="614"/>
      <c r="AI60" s="6"/>
      <c r="AJ60" s="6"/>
      <c r="AK60" s="635"/>
    </row>
    <row r="61" spans="1:37" ht="19.899999999999999" customHeight="1" x14ac:dyDescent="0.25">
      <c r="A61" s="2206">
        <v>44742</v>
      </c>
      <c r="B61" s="574">
        <v>1</v>
      </c>
      <c r="C61" s="747"/>
      <c r="D61" s="748"/>
      <c r="E61" s="748">
        <v>10</v>
      </c>
      <c r="F61" s="749"/>
      <c r="G61" s="756"/>
      <c r="H61" s="695"/>
      <c r="I61" s="750" t="s">
        <v>152</v>
      </c>
      <c r="J61" s="751"/>
      <c r="K61" s="622"/>
      <c r="L61" s="572"/>
      <c r="M61" s="6"/>
      <c r="N61" s="6"/>
      <c r="O61" s="613"/>
      <c r="P61" s="752"/>
      <c r="Q61" s="632"/>
      <c r="R61" s="632"/>
      <c r="S61" s="753"/>
      <c r="T61" s="622"/>
      <c r="U61" s="572"/>
      <c r="V61" s="6"/>
      <c r="W61" s="6">
        <v>20</v>
      </c>
      <c r="X61" s="613"/>
      <c r="Y61" s="760"/>
      <c r="Z61" s="605"/>
      <c r="AA61" s="6" t="s">
        <v>152</v>
      </c>
      <c r="AB61" s="753"/>
      <c r="AC61" s="622"/>
      <c r="AD61" s="572"/>
      <c r="AE61" s="6"/>
      <c r="AF61" s="6">
        <v>15</v>
      </c>
      <c r="AG61" s="613"/>
      <c r="AH61" s="614"/>
      <c r="AI61" s="6"/>
      <c r="AJ61" s="6" t="s">
        <v>152</v>
      </c>
      <c r="AK61" s="753"/>
    </row>
    <row r="62" spans="1:37" ht="19.899999999999999" customHeight="1" x14ac:dyDescent="0.25">
      <c r="A62" s="2205"/>
      <c r="B62" s="754">
        <v>2</v>
      </c>
      <c r="C62" s="747"/>
      <c r="D62" s="748"/>
      <c r="E62" s="748"/>
      <c r="F62" s="749"/>
      <c r="G62" s="756"/>
      <c r="H62" s="695"/>
      <c r="I62" s="750"/>
      <c r="J62" s="751"/>
      <c r="K62" s="622"/>
      <c r="L62" s="572"/>
      <c r="M62" s="6"/>
      <c r="N62" s="6"/>
      <c r="O62" s="613"/>
      <c r="P62" s="752"/>
      <c r="Q62" s="632"/>
      <c r="R62" s="632"/>
      <c r="S62" s="753"/>
      <c r="T62" s="622"/>
      <c r="U62" s="572"/>
      <c r="V62" s="6"/>
      <c r="W62" s="6"/>
      <c r="X62" s="613"/>
      <c r="Y62" s="760"/>
      <c r="Z62" s="605"/>
      <c r="AA62" s="6"/>
      <c r="AB62" s="753"/>
      <c r="AC62" s="622"/>
      <c r="AD62" s="572"/>
      <c r="AE62" s="6"/>
      <c r="AF62" s="6"/>
      <c r="AG62" s="613"/>
      <c r="AH62" s="614"/>
      <c r="AI62" s="6"/>
      <c r="AJ62" s="6"/>
      <c r="AK62" s="753"/>
    </row>
    <row r="63" spans="1:37" ht="19.899999999999999" customHeight="1" x14ac:dyDescent="0.25">
      <c r="A63" s="2206"/>
      <c r="B63" s="574">
        <v>1</v>
      </c>
      <c r="C63" s="706"/>
      <c r="D63" s="707"/>
      <c r="E63" s="707"/>
      <c r="F63" s="708"/>
      <c r="G63" s="717"/>
      <c r="H63" s="709"/>
      <c r="I63" s="710"/>
      <c r="J63" s="691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/>
      <c r="X63" s="597"/>
      <c r="Y63" s="685"/>
      <c r="Z63" s="619"/>
      <c r="AA63" s="619"/>
      <c r="AB63" s="758"/>
      <c r="AC63" s="622"/>
      <c r="AD63" s="572"/>
      <c r="AE63" s="6"/>
      <c r="AF63" s="6"/>
      <c r="AG63" s="597"/>
      <c r="AH63" s="685"/>
      <c r="AI63" s="619"/>
      <c r="AJ63" s="619"/>
      <c r="AK63" s="705"/>
    </row>
    <row r="64" spans="1:37" ht="19.899999999999999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</row>
    <row r="65" spans="1:33" x14ac:dyDescent="0.25">
      <c r="A65" s="524" t="s">
        <v>225</v>
      </c>
      <c r="C65" s="525">
        <f>SUM(C3:C64)</f>
        <v>3695</v>
      </c>
      <c r="D65" s="525">
        <f>SUM(D3:D64)</f>
        <v>99</v>
      </c>
      <c r="E65" s="768">
        <f>SUM(E3:E64)</f>
        <v>825</v>
      </c>
      <c r="F65" s="525">
        <f>SUM(F3:F64)</f>
        <v>170</v>
      </c>
      <c r="L65" s="525">
        <f>SUM(L3:L64)</f>
        <v>0</v>
      </c>
      <c r="M65" s="525">
        <f>SUM(M3:M64)</f>
        <v>538</v>
      </c>
      <c r="N65" s="525">
        <f>SUM(N3:N64)</f>
        <v>70</v>
      </c>
      <c r="O65" s="525">
        <f>SUM(O3:O64)</f>
        <v>170</v>
      </c>
      <c r="U65" s="525">
        <f>SUM(U3:U64)</f>
        <v>82</v>
      </c>
      <c r="V65" s="525">
        <f>SUM(V3:V64)</f>
        <v>87</v>
      </c>
      <c r="W65" s="525">
        <f>SUM(W3:W64)</f>
        <v>483</v>
      </c>
      <c r="X65" s="525">
        <f>SUM(X3:X64)</f>
        <v>195</v>
      </c>
      <c r="AD65" s="525">
        <f>SUM(AD3:AD64)</f>
        <v>105</v>
      </c>
      <c r="AE65" s="525">
        <f>SUM(AE3:AE64)</f>
        <v>91</v>
      </c>
      <c r="AF65" s="525">
        <f>SUM(AF3:AF64)</f>
        <v>285</v>
      </c>
      <c r="AG65" s="525">
        <f>SUM(AG3:AG64)</f>
        <v>183</v>
      </c>
    </row>
    <row r="73" spans="1:33" ht="15.75" thickBot="1" x14ac:dyDescent="0.3"/>
    <row r="74" spans="1:33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33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33" ht="21.75" customHeight="1" x14ac:dyDescent="0.3">
      <c r="B76" s="651" t="s">
        <v>218</v>
      </c>
      <c r="C76" s="652">
        <f>C65</f>
        <v>3695</v>
      </c>
      <c r="D76" s="653">
        <f>C76/60</f>
        <v>61.583333333333336</v>
      </c>
      <c r="E76" s="652">
        <f>D65</f>
        <v>99</v>
      </c>
      <c r="F76" s="654">
        <f>E76/60</f>
        <v>1.65</v>
      </c>
      <c r="G76" s="652">
        <f>E65</f>
        <v>825</v>
      </c>
      <c r="H76" s="653">
        <f>G76/60</f>
        <v>13.75</v>
      </c>
      <c r="I76" s="652">
        <f>F65</f>
        <v>170</v>
      </c>
      <c r="J76" s="653">
        <f>I76/60</f>
        <v>2.8333333333333335</v>
      </c>
    </row>
    <row r="77" spans="1:33" ht="19.5" customHeight="1" x14ac:dyDescent="0.3">
      <c r="B77" s="651" t="s">
        <v>219</v>
      </c>
      <c r="C77" s="655">
        <f>L65</f>
        <v>0</v>
      </c>
      <c r="D77" s="656">
        <f t="shared" ref="D77:F79" si="0">C77/60</f>
        <v>0</v>
      </c>
      <c r="E77" s="655">
        <f>M65</f>
        <v>538</v>
      </c>
      <c r="F77" s="657">
        <f t="shared" si="0"/>
        <v>8.9666666666666668</v>
      </c>
      <c r="G77" s="655">
        <f>N65</f>
        <v>70</v>
      </c>
      <c r="H77" s="656">
        <f t="shared" ref="H77:J79" si="1">G77/60</f>
        <v>1.1666666666666667</v>
      </c>
      <c r="I77" s="655">
        <f>O65</f>
        <v>170</v>
      </c>
      <c r="J77" s="656">
        <f t="shared" si="1"/>
        <v>2.8333333333333335</v>
      </c>
    </row>
    <row r="78" spans="1:33" ht="20.25" customHeight="1" x14ac:dyDescent="0.3">
      <c r="B78" s="651" t="s">
        <v>220</v>
      </c>
      <c r="C78" s="655">
        <f>U65</f>
        <v>82</v>
      </c>
      <c r="D78" s="656">
        <f t="shared" si="0"/>
        <v>1.3666666666666667</v>
      </c>
      <c r="E78" s="655">
        <f>V65</f>
        <v>87</v>
      </c>
      <c r="F78" s="657">
        <f t="shared" si="0"/>
        <v>1.45</v>
      </c>
      <c r="G78" s="655">
        <f>W65</f>
        <v>483</v>
      </c>
      <c r="H78" s="656">
        <f t="shared" si="1"/>
        <v>8.0500000000000007</v>
      </c>
      <c r="I78" s="655">
        <f>X65</f>
        <v>195</v>
      </c>
      <c r="J78" s="656">
        <f t="shared" si="1"/>
        <v>3.25</v>
      </c>
    </row>
    <row r="79" spans="1:33" ht="22.5" customHeight="1" thickBot="1" x14ac:dyDescent="0.35">
      <c r="B79" s="651" t="s">
        <v>221</v>
      </c>
      <c r="C79" s="658">
        <f>AD65</f>
        <v>105</v>
      </c>
      <c r="D79" s="659">
        <f t="shared" si="0"/>
        <v>1.75</v>
      </c>
      <c r="E79" s="658">
        <f>AE65</f>
        <v>91</v>
      </c>
      <c r="F79" s="660">
        <f t="shared" si="0"/>
        <v>1.5166666666666666</v>
      </c>
      <c r="G79" s="658">
        <f>AF65</f>
        <v>285</v>
      </c>
      <c r="H79" s="659">
        <f t="shared" si="1"/>
        <v>4.75</v>
      </c>
      <c r="I79" s="658">
        <f>AG65</f>
        <v>183</v>
      </c>
      <c r="J79" s="659">
        <f t="shared" si="1"/>
        <v>3.05</v>
      </c>
    </row>
    <row r="80" spans="1:33" ht="19.5" thickBot="1" x14ac:dyDescent="0.35">
      <c r="B80" s="419"/>
      <c r="C80" s="301"/>
      <c r="D80" s="301"/>
      <c r="E80" s="301"/>
      <c r="F80" s="301"/>
      <c r="G80" s="301"/>
      <c r="H80" s="301"/>
      <c r="I80" s="301"/>
      <c r="J80" s="301"/>
    </row>
    <row r="81" spans="2:10" ht="19.5" thickBot="1" x14ac:dyDescent="0.35">
      <c r="B81" s="661" t="s">
        <v>217</v>
      </c>
      <c r="C81" s="666"/>
      <c r="D81" s="667">
        <f>SUM(D76:D80)</f>
        <v>64.7</v>
      </c>
      <c r="E81" s="666"/>
      <c r="F81" s="667">
        <f>SUM(F76:F80)</f>
        <v>13.583333333333332</v>
      </c>
      <c r="G81" s="666"/>
      <c r="H81" s="667">
        <f>SUM(H76:H80)</f>
        <v>27.716666666666669</v>
      </c>
      <c r="I81" s="666"/>
      <c r="J81" s="668">
        <f>SUM(J76:J80)</f>
        <v>11.966666666666669</v>
      </c>
    </row>
  </sheetData>
  <mergeCells count="48">
    <mergeCell ref="Q52:Q53"/>
    <mergeCell ref="G46:G51"/>
    <mergeCell ref="C46:C51"/>
    <mergeCell ref="A11:A12"/>
    <mergeCell ref="A13:A14"/>
    <mergeCell ref="A15:A16"/>
    <mergeCell ref="I46:I51"/>
    <mergeCell ref="E46:E51"/>
    <mergeCell ref="A17:A18"/>
    <mergeCell ref="A19:A20"/>
    <mergeCell ref="A27:A28"/>
    <mergeCell ref="A29:A30"/>
    <mergeCell ref="A31:A32"/>
    <mergeCell ref="A21:A22"/>
    <mergeCell ref="A33:A34"/>
    <mergeCell ref="A23:A24"/>
    <mergeCell ref="A9:A10"/>
    <mergeCell ref="C1:F1"/>
    <mergeCell ref="G1:J1"/>
    <mergeCell ref="L1:O1"/>
    <mergeCell ref="P1:S1"/>
    <mergeCell ref="AD1:AG1"/>
    <mergeCell ref="AH1:AK1"/>
    <mergeCell ref="A3:A4"/>
    <mergeCell ref="A5:A6"/>
    <mergeCell ref="A7:A8"/>
    <mergeCell ref="U1:X1"/>
    <mergeCell ref="Y1:AB1"/>
    <mergeCell ref="A25:A26"/>
    <mergeCell ref="A57:A58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I74:J74"/>
    <mergeCell ref="A59:A60"/>
    <mergeCell ref="A61:A62"/>
    <mergeCell ref="A63:A64"/>
    <mergeCell ref="C74:D74"/>
    <mergeCell ref="E74:F74"/>
    <mergeCell ref="G74:H74"/>
  </mergeCells>
  <pageMargins left="0.7" right="0.7" top="0.75" bottom="0.75" header="0.3" footer="0.3"/>
  <pageSetup paperSize="9" orientation="portrait" horizontalDpi="180" verticalDpi="18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"/>
  <sheetViews>
    <sheetView zoomScale="55" zoomScaleNormal="55" workbookViewId="0">
      <pane xSplit="2" ySplit="2" topLeftCell="AC15" activePane="bottomRight" state="frozen"/>
      <selection pane="topRight" activeCell="C1" sqref="C1"/>
      <selection pane="bottomLeft" activeCell="A3" sqref="A3"/>
      <selection pane="bottomRight" activeCell="O62" sqref="O62"/>
    </sheetView>
  </sheetViews>
  <sheetFormatPr defaultColWidth="8.85546875" defaultRowHeight="15" x14ac:dyDescent="0.25"/>
  <cols>
    <col min="1" max="1" width="14.5703125" style="524" customWidth="1"/>
    <col min="2" max="2" width="15.7109375" style="525" customWidth="1"/>
    <col min="3" max="5" width="10.7109375" style="524" customWidth="1"/>
    <col min="6" max="6" width="16.85546875" style="524" customWidth="1"/>
    <col min="7" max="7" width="21.140625" style="524" customWidth="1"/>
    <col min="8" max="8" width="28.42578125" style="524" customWidth="1"/>
    <col min="9" max="9" width="26.28515625" style="524" customWidth="1"/>
    <col min="10" max="10" width="21.140625" style="524" customWidth="1"/>
    <col min="11" max="14" width="10.7109375" style="524" customWidth="1"/>
    <col min="15" max="15" width="17" style="524" customWidth="1"/>
    <col min="16" max="16" width="18.7109375" style="524" customWidth="1"/>
    <col min="17" max="17" width="25.7109375" style="524" customWidth="1"/>
    <col min="18" max="18" width="30.42578125" style="524" customWidth="1"/>
    <col min="19" max="19" width="24.28515625" style="524" customWidth="1"/>
    <col min="20" max="24" width="10.7109375" style="524" customWidth="1"/>
    <col min="25" max="25" width="26.5703125" style="524" customWidth="1"/>
    <col min="26" max="26" width="14.28515625" style="524" customWidth="1"/>
    <col min="27" max="27" width="32.42578125" style="524" customWidth="1"/>
    <col min="28" max="28" width="21.140625" style="524" customWidth="1"/>
    <col min="29" max="33" width="10.7109375" style="524" customWidth="1"/>
    <col min="34" max="34" width="12.85546875" style="524" customWidth="1"/>
    <col min="35" max="35" width="17.140625" style="524" customWidth="1"/>
    <col min="36" max="36" width="23.7109375" style="524" customWidth="1"/>
    <col min="37" max="37" width="23" style="524" customWidth="1"/>
    <col min="38" max="16384" width="8.85546875" style="524"/>
  </cols>
  <sheetData>
    <row r="1" spans="1:37" x14ac:dyDescent="0.25">
      <c r="C1" s="2217" t="s">
        <v>1</v>
      </c>
      <c r="D1" s="2212"/>
      <c r="E1" s="2212"/>
      <c r="F1" s="2212"/>
      <c r="G1" s="2211" t="s">
        <v>206</v>
      </c>
      <c r="H1" s="2209"/>
      <c r="I1" s="2209"/>
      <c r="J1" s="2210"/>
      <c r="L1" s="2212" t="s">
        <v>202</v>
      </c>
      <c r="M1" s="2212"/>
      <c r="N1" s="2212"/>
      <c r="O1" s="2212"/>
      <c r="P1" s="2209" t="s">
        <v>206</v>
      </c>
      <c r="Q1" s="2209"/>
      <c r="R1" s="2209"/>
      <c r="S1" s="2210"/>
      <c r="U1" s="2212" t="s">
        <v>2</v>
      </c>
      <c r="V1" s="2212"/>
      <c r="W1" s="2212"/>
      <c r="X1" s="2212"/>
      <c r="Y1" s="2209" t="s">
        <v>206</v>
      </c>
      <c r="Z1" s="2209"/>
      <c r="AA1" s="2209"/>
      <c r="AB1" s="2210"/>
      <c r="AD1" s="2212" t="s">
        <v>203</v>
      </c>
      <c r="AE1" s="2212"/>
      <c r="AF1" s="2212"/>
      <c r="AG1" s="2212"/>
      <c r="AH1" s="2209" t="s">
        <v>206</v>
      </c>
      <c r="AI1" s="2209"/>
      <c r="AJ1" s="2209"/>
      <c r="AK1" s="2210"/>
    </row>
    <row r="2" spans="1:37" ht="42.6" customHeight="1" thickBot="1" x14ac:dyDescent="0.3">
      <c r="A2" s="531" t="s">
        <v>0</v>
      </c>
      <c r="B2" s="532" t="s">
        <v>198</v>
      </c>
      <c r="C2" s="529" t="s">
        <v>199</v>
      </c>
      <c r="D2" s="526" t="s">
        <v>200</v>
      </c>
      <c r="E2" s="526" t="s">
        <v>201</v>
      </c>
      <c r="F2" s="526" t="s">
        <v>204</v>
      </c>
      <c r="G2" s="575" t="s">
        <v>199</v>
      </c>
      <c r="H2" s="575" t="s">
        <v>200</v>
      </c>
      <c r="I2" s="575" t="s">
        <v>201</v>
      </c>
      <c r="J2" s="575" t="s">
        <v>204</v>
      </c>
      <c r="K2" s="524" t="s">
        <v>269</v>
      </c>
      <c r="L2" s="526" t="s">
        <v>199</v>
      </c>
      <c r="M2" s="526" t="s">
        <v>200</v>
      </c>
      <c r="N2" s="526" t="s">
        <v>201</v>
      </c>
      <c r="O2" s="526" t="s">
        <v>204</v>
      </c>
      <c r="P2" s="527" t="s">
        <v>199</v>
      </c>
      <c r="Q2" s="526" t="s">
        <v>200</v>
      </c>
      <c r="R2" s="526" t="s">
        <v>201</v>
      </c>
      <c r="S2" s="526" t="s">
        <v>204</v>
      </c>
      <c r="U2" s="526" t="s">
        <v>199</v>
      </c>
      <c r="V2" s="526" t="s">
        <v>200</v>
      </c>
      <c r="W2" s="526" t="s">
        <v>201</v>
      </c>
      <c r="X2" s="526" t="s">
        <v>204</v>
      </c>
      <c r="Y2" s="650" t="s">
        <v>199</v>
      </c>
      <c r="Z2" s="526" t="s">
        <v>200</v>
      </c>
      <c r="AA2" s="526" t="s">
        <v>201</v>
      </c>
      <c r="AB2" s="526" t="s">
        <v>204</v>
      </c>
      <c r="AD2" s="526" t="s">
        <v>199</v>
      </c>
      <c r="AE2" s="526" t="s">
        <v>200</v>
      </c>
      <c r="AF2" s="526" t="s">
        <v>201</v>
      </c>
      <c r="AG2" s="526" t="s">
        <v>204</v>
      </c>
      <c r="AH2" s="527" t="s">
        <v>199</v>
      </c>
      <c r="AI2" s="526" t="s">
        <v>200</v>
      </c>
      <c r="AJ2" s="526" t="s">
        <v>201</v>
      </c>
      <c r="AK2" s="526" t="s">
        <v>204</v>
      </c>
    </row>
    <row r="3" spans="1:37" ht="30" customHeight="1" thickTop="1" x14ac:dyDescent="0.25">
      <c r="A3" s="2206">
        <v>44743</v>
      </c>
      <c r="B3" s="771">
        <v>1</v>
      </c>
      <c r="C3" s="592"/>
      <c r="D3" s="593"/>
      <c r="E3" s="593">
        <v>15</v>
      </c>
      <c r="F3" s="594"/>
      <c r="G3" s="685"/>
      <c r="H3" s="619"/>
      <c r="I3" s="620" t="s">
        <v>414</v>
      </c>
      <c r="J3" s="686"/>
      <c r="K3" s="622"/>
      <c r="L3" s="612"/>
      <c r="M3" s="630"/>
      <c r="N3" s="630"/>
      <c r="O3" s="628"/>
      <c r="P3" s="629"/>
      <c r="Q3" s="699"/>
      <c r="R3" s="700"/>
      <c r="S3" s="628"/>
      <c r="T3" s="622"/>
      <c r="U3" s="612"/>
      <c r="V3" s="630"/>
      <c r="W3" s="630"/>
      <c r="X3" s="613"/>
      <c r="Y3" s="776"/>
      <c r="Z3" s="629"/>
      <c r="AA3" s="719"/>
      <c r="AB3" s="720"/>
      <c r="AC3" s="622"/>
      <c r="AD3" s="612"/>
      <c r="AE3" s="630"/>
      <c r="AF3" s="6">
        <v>22</v>
      </c>
      <c r="AG3" s="628"/>
      <c r="AH3" s="629"/>
      <c r="AI3" s="630"/>
      <c r="AJ3" s="6" t="s">
        <v>414</v>
      </c>
      <c r="AK3" s="628"/>
    </row>
    <row r="4" spans="1:37" ht="19.899999999999999" customHeight="1" x14ac:dyDescent="0.25">
      <c r="A4" s="2205"/>
      <c r="B4" s="574">
        <v>2</v>
      </c>
      <c r="C4" s="595"/>
      <c r="D4" s="596"/>
      <c r="E4" s="596">
        <v>25</v>
      </c>
      <c r="F4" s="597"/>
      <c r="G4" s="684"/>
      <c r="H4" s="605"/>
      <c r="I4" s="620" t="s">
        <v>414</v>
      </c>
      <c r="J4" s="687"/>
      <c r="K4" s="622"/>
      <c r="L4" s="572"/>
      <c r="M4" s="6"/>
      <c r="N4" s="6"/>
      <c r="O4" s="613"/>
      <c r="P4" s="614"/>
      <c r="Q4" s="698"/>
      <c r="R4" s="780"/>
      <c r="S4" s="613"/>
      <c r="T4" s="622"/>
      <c r="U4" s="572"/>
      <c r="V4" s="605"/>
      <c r="W4" s="6">
        <v>10</v>
      </c>
      <c r="X4" s="613"/>
      <c r="Y4" s="776"/>
      <c r="Z4" s="50"/>
      <c r="AA4" s="721" t="s">
        <v>325</v>
      </c>
      <c r="AB4" s="722"/>
      <c r="AC4" s="622"/>
      <c r="AD4" s="572"/>
      <c r="AE4" s="6"/>
      <c r="AF4" s="6"/>
      <c r="AG4" s="613"/>
      <c r="AH4" s="614"/>
      <c r="AI4" s="6"/>
      <c r="AJ4" s="6"/>
      <c r="AK4" s="613"/>
    </row>
    <row r="5" spans="1:37" ht="26.45" customHeight="1" x14ac:dyDescent="0.25">
      <c r="A5" s="2206">
        <v>44744</v>
      </c>
      <c r="B5" s="574">
        <v>1</v>
      </c>
      <c r="C5" s="595"/>
      <c r="D5" s="596"/>
      <c r="E5" s="596">
        <v>40</v>
      </c>
      <c r="F5" s="597"/>
      <c r="G5" s="685"/>
      <c r="H5" s="619"/>
      <c r="I5" s="620" t="s">
        <v>414</v>
      </c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>
        <v>57</v>
      </c>
      <c r="X5" s="613"/>
      <c r="Y5" s="776"/>
      <c r="Z5" s="50"/>
      <c r="AA5" s="6" t="s">
        <v>152</v>
      </c>
      <c r="AB5" s="723"/>
      <c r="AC5" s="622"/>
      <c r="AD5" s="572"/>
      <c r="AE5" s="6"/>
      <c r="AF5" s="6">
        <v>82</v>
      </c>
      <c r="AG5" s="613"/>
      <c r="AH5" s="614"/>
      <c r="AI5" s="6"/>
      <c r="AJ5" s="605" t="s">
        <v>354</v>
      </c>
      <c r="AK5" s="613"/>
    </row>
    <row r="6" spans="1:37" ht="63" customHeight="1" x14ac:dyDescent="0.25">
      <c r="A6" s="2205"/>
      <c r="B6" s="574">
        <v>2</v>
      </c>
      <c r="C6" s="595"/>
      <c r="D6" s="596"/>
      <c r="E6" s="596">
        <v>40</v>
      </c>
      <c r="F6" s="597"/>
      <c r="G6" s="685"/>
      <c r="H6" s="619"/>
      <c r="I6" s="620" t="s">
        <v>414</v>
      </c>
      <c r="J6" s="687"/>
      <c r="K6" s="622"/>
      <c r="L6" s="572"/>
      <c r="M6" s="6"/>
      <c r="N6" s="6"/>
      <c r="O6" s="613"/>
      <c r="P6" s="614"/>
      <c r="Q6" s="619"/>
      <c r="R6" s="6"/>
      <c r="S6" s="613"/>
      <c r="T6" s="622"/>
      <c r="U6" s="572"/>
      <c r="V6" s="6"/>
      <c r="W6" s="6">
        <v>100</v>
      </c>
      <c r="X6" s="613"/>
      <c r="Y6" s="776"/>
      <c r="Z6" s="6"/>
      <c r="AA6" s="698" t="s">
        <v>415</v>
      </c>
      <c r="AB6" s="613"/>
      <c r="AC6" s="622"/>
      <c r="AD6" s="572"/>
      <c r="AE6" s="6"/>
      <c r="AF6" s="6">
        <v>20</v>
      </c>
      <c r="AG6" s="613"/>
      <c r="AH6" s="614"/>
      <c r="AI6" s="6"/>
      <c r="AJ6" s="6" t="s">
        <v>414</v>
      </c>
      <c r="AK6" s="613"/>
    </row>
    <row r="7" spans="1:37" ht="19.899999999999999" customHeight="1" x14ac:dyDescent="0.25">
      <c r="A7" s="2206">
        <v>44745</v>
      </c>
      <c r="B7" s="574">
        <v>1</v>
      </c>
      <c r="C7" s="595"/>
      <c r="D7" s="596"/>
      <c r="E7" s="596">
        <v>20</v>
      </c>
      <c r="F7" s="597"/>
      <c r="G7" s="685"/>
      <c r="H7" s="620"/>
      <c r="I7" s="620" t="s">
        <v>414</v>
      </c>
      <c r="J7" s="687"/>
      <c r="K7" s="622"/>
      <c r="L7" s="572"/>
      <c r="M7" s="614"/>
      <c r="N7" s="6"/>
      <c r="O7" s="613"/>
      <c r="P7" s="614"/>
      <c r="Q7" s="614"/>
      <c r="R7" s="6"/>
      <c r="S7" s="613"/>
      <c r="T7" s="622"/>
      <c r="U7" s="572"/>
      <c r="V7" s="779"/>
      <c r="W7" s="6">
        <v>92</v>
      </c>
      <c r="X7" s="613"/>
      <c r="Y7" s="614"/>
      <c r="Z7" s="6"/>
      <c r="AA7" s="6" t="s">
        <v>152</v>
      </c>
      <c r="AB7" s="613"/>
      <c r="AC7" s="622"/>
      <c r="AD7" s="572"/>
      <c r="AE7" s="6"/>
      <c r="AF7" s="6"/>
      <c r="AG7" s="613"/>
      <c r="AH7" s="614"/>
      <c r="AI7" s="6"/>
      <c r="AJ7" s="6"/>
      <c r="AK7" s="613"/>
    </row>
    <row r="8" spans="1:37" ht="31.15" customHeight="1" x14ac:dyDescent="0.25">
      <c r="A8" s="2205"/>
      <c r="B8" s="574">
        <v>2</v>
      </c>
      <c r="C8" s="595"/>
      <c r="D8" s="596"/>
      <c r="E8" s="596"/>
      <c r="F8" s="597"/>
      <c r="G8" s="684"/>
      <c r="H8" s="620"/>
      <c r="I8" s="620"/>
      <c r="J8" s="635"/>
      <c r="K8" s="622"/>
      <c r="L8" s="572"/>
      <c r="M8" s="6"/>
      <c r="N8" s="6"/>
      <c r="O8" s="613"/>
      <c r="P8" s="776"/>
      <c r="Q8" s="605"/>
      <c r="R8" s="605"/>
      <c r="S8" s="635"/>
      <c r="T8" s="622"/>
      <c r="U8" s="572"/>
      <c r="V8" s="633"/>
      <c r="W8" s="614">
        <v>9</v>
      </c>
      <c r="X8" s="613"/>
      <c r="Y8" s="776"/>
      <c r="Z8" s="6"/>
      <c r="AA8" s="6" t="s">
        <v>152</v>
      </c>
      <c r="AB8" s="635"/>
      <c r="AC8" s="622"/>
      <c r="AD8" s="572"/>
      <c r="AE8" s="6"/>
      <c r="AF8" s="6"/>
      <c r="AG8" s="613"/>
      <c r="AH8" s="614"/>
      <c r="AI8" s="6"/>
      <c r="AJ8" s="6"/>
      <c r="AK8" s="635"/>
    </row>
    <row r="9" spans="1:37" ht="45" x14ac:dyDescent="0.25">
      <c r="A9" s="2206">
        <v>44746</v>
      </c>
      <c r="B9" s="574">
        <v>1</v>
      </c>
      <c r="C9" s="595"/>
      <c r="D9" s="596"/>
      <c r="E9" s="596"/>
      <c r="F9" s="597">
        <v>158</v>
      </c>
      <c r="G9" s="685"/>
      <c r="H9" s="619"/>
      <c r="I9" s="619"/>
      <c r="J9" s="635" t="s">
        <v>416</v>
      </c>
      <c r="K9" s="622"/>
      <c r="L9" s="572"/>
      <c r="M9" s="6"/>
      <c r="N9" s="6"/>
      <c r="O9" s="613">
        <v>150</v>
      </c>
      <c r="P9" s="776"/>
      <c r="Q9" s="6"/>
      <c r="R9" s="605"/>
      <c r="S9" s="635" t="s">
        <v>416</v>
      </c>
      <c r="T9" s="622"/>
      <c r="U9" s="572"/>
      <c r="V9" s="6"/>
      <c r="W9" s="6"/>
      <c r="X9" s="613">
        <v>163</v>
      </c>
      <c r="Y9" s="614"/>
      <c r="Z9" s="6"/>
      <c r="AA9" s="6"/>
      <c r="AB9" s="635" t="s">
        <v>416</v>
      </c>
      <c r="AC9" s="622"/>
      <c r="AD9" s="572"/>
      <c r="AE9" s="6"/>
      <c r="AF9" s="6"/>
      <c r="AG9" s="613">
        <v>167</v>
      </c>
      <c r="AH9" s="614"/>
      <c r="AI9" s="6"/>
      <c r="AJ9" s="6"/>
      <c r="AK9" s="635" t="s">
        <v>416</v>
      </c>
    </row>
    <row r="10" spans="1:37" ht="47.45" customHeight="1" x14ac:dyDescent="0.25">
      <c r="A10" s="2205"/>
      <c r="B10" s="574">
        <v>2</v>
      </c>
      <c r="C10" s="595"/>
      <c r="D10" s="596"/>
      <c r="E10" s="596"/>
      <c r="F10" s="597">
        <v>70</v>
      </c>
      <c r="G10" s="685"/>
      <c r="H10" s="619"/>
      <c r="I10" s="620"/>
      <c r="J10" s="635" t="s">
        <v>420</v>
      </c>
      <c r="K10" s="622"/>
      <c r="L10" s="572">
        <v>164</v>
      </c>
      <c r="M10" s="6"/>
      <c r="N10" s="6"/>
      <c r="O10" s="613">
        <v>80</v>
      </c>
      <c r="P10" s="782" t="s">
        <v>418</v>
      </c>
      <c r="Q10" s="6"/>
      <c r="R10" s="605"/>
      <c r="S10" s="635" t="s">
        <v>420</v>
      </c>
      <c r="T10" s="622"/>
      <c r="U10" s="572"/>
      <c r="V10" s="6">
        <v>30</v>
      </c>
      <c r="W10" s="6"/>
      <c r="X10" s="613">
        <v>72</v>
      </c>
      <c r="Z10" s="782" t="s">
        <v>417</v>
      </c>
      <c r="AA10" s="6"/>
      <c r="AB10" s="635" t="s">
        <v>420</v>
      </c>
      <c r="AC10" s="622"/>
      <c r="AD10" s="572"/>
      <c r="AE10" s="6"/>
      <c r="AF10" s="6"/>
      <c r="AG10" s="613">
        <v>74</v>
      </c>
      <c r="AH10" s="614"/>
      <c r="AI10" s="6"/>
      <c r="AJ10" s="6"/>
      <c r="AK10" s="635" t="s">
        <v>420</v>
      </c>
    </row>
    <row r="11" spans="1:37" ht="90" customHeight="1" x14ac:dyDescent="0.25">
      <c r="A11" s="2206">
        <v>44747</v>
      </c>
      <c r="B11" s="574">
        <v>1</v>
      </c>
      <c r="C11" s="595"/>
      <c r="D11" s="596"/>
      <c r="E11" s="596"/>
      <c r="F11" s="597"/>
      <c r="G11" s="684"/>
      <c r="H11" s="619"/>
      <c r="I11" s="620"/>
      <c r="J11" s="687"/>
      <c r="K11" s="622"/>
      <c r="L11" s="572">
        <v>47</v>
      </c>
      <c r="M11" s="6"/>
      <c r="N11" s="6"/>
      <c r="O11" s="613"/>
      <c r="P11" s="782" t="s">
        <v>419</v>
      </c>
      <c r="Q11" s="6"/>
      <c r="R11" s="605"/>
      <c r="S11" s="613"/>
      <c r="T11" s="622"/>
      <c r="U11" s="572"/>
      <c r="V11" s="6"/>
      <c r="W11" s="6"/>
      <c r="X11" s="613"/>
      <c r="Y11" s="614"/>
      <c r="Z11" s="6"/>
      <c r="AA11" s="6"/>
      <c r="AB11" s="613"/>
      <c r="AC11" s="622"/>
      <c r="AD11" s="572"/>
      <c r="AE11" s="6"/>
      <c r="AF11" s="6"/>
      <c r="AG11" s="613"/>
      <c r="AH11" s="614"/>
      <c r="AI11" s="6"/>
      <c r="AJ11" s="6"/>
      <c r="AK11" s="613"/>
    </row>
    <row r="12" spans="1:37" ht="19.899999999999999" customHeight="1" x14ac:dyDescent="0.25">
      <c r="A12" s="2205"/>
      <c r="B12" s="574">
        <v>2</v>
      </c>
      <c r="C12" s="595"/>
      <c r="D12" s="596"/>
      <c r="E12" s="596">
        <v>13</v>
      </c>
      <c r="F12" s="597"/>
      <c r="G12" s="685"/>
      <c r="H12" s="619"/>
      <c r="I12" s="620" t="s">
        <v>414</v>
      </c>
      <c r="J12" s="687"/>
      <c r="K12" s="622"/>
      <c r="L12" s="572"/>
      <c r="M12" s="6"/>
      <c r="N12" s="6"/>
      <c r="O12" s="613"/>
      <c r="P12" s="776"/>
      <c r="Q12" s="6"/>
      <c r="R12" s="605"/>
      <c r="S12" s="613"/>
      <c r="T12" s="622"/>
      <c r="U12" s="572"/>
      <c r="V12" s="6"/>
      <c r="W12" s="6">
        <v>10</v>
      </c>
      <c r="X12" s="613"/>
      <c r="Y12" s="614"/>
      <c r="Z12" s="6"/>
      <c r="AA12" s="721" t="s">
        <v>325</v>
      </c>
      <c r="AB12" s="613"/>
      <c r="AC12" s="622"/>
      <c r="AD12" s="572"/>
      <c r="AE12" s="6"/>
      <c r="AF12" s="6"/>
      <c r="AG12" s="613"/>
      <c r="AH12" s="614"/>
      <c r="AI12" s="6"/>
      <c r="AJ12" s="6"/>
      <c r="AK12" s="613"/>
    </row>
    <row r="13" spans="1:37" ht="40.5" customHeight="1" x14ac:dyDescent="0.25">
      <c r="A13" s="2206">
        <v>44748</v>
      </c>
      <c r="B13" s="574">
        <v>1</v>
      </c>
      <c r="C13" s="595"/>
      <c r="D13" s="596"/>
      <c r="E13" s="596"/>
      <c r="F13" s="597">
        <v>125</v>
      </c>
      <c r="G13" s="685"/>
      <c r="H13" s="619"/>
      <c r="I13" s="620"/>
      <c r="J13" s="635" t="s">
        <v>420</v>
      </c>
      <c r="K13" s="622"/>
      <c r="L13" s="572"/>
      <c r="M13" s="6"/>
      <c r="N13" s="6"/>
      <c r="O13" s="613">
        <v>125</v>
      </c>
      <c r="P13" s="776"/>
      <c r="Q13" s="6"/>
      <c r="R13" s="605"/>
      <c r="S13" s="635" t="s">
        <v>420</v>
      </c>
      <c r="T13" s="622"/>
      <c r="U13" s="572"/>
      <c r="V13" s="6"/>
      <c r="W13" s="6">
        <v>11</v>
      </c>
      <c r="X13" s="613">
        <v>132</v>
      </c>
      <c r="Y13" s="776"/>
      <c r="Z13" s="6"/>
      <c r="AA13" s="6" t="s">
        <v>152</v>
      </c>
      <c r="AB13" s="635" t="s">
        <v>420</v>
      </c>
      <c r="AC13" s="622"/>
      <c r="AD13" s="572"/>
      <c r="AE13" s="6"/>
      <c r="AF13" s="6"/>
      <c r="AG13" s="613">
        <v>135</v>
      </c>
      <c r="AH13" s="614"/>
      <c r="AI13" s="6"/>
      <c r="AJ13" s="6"/>
      <c r="AK13" s="635" t="s">
        <v>420</v>
      </c>
    </row>
    <row r="14" spans="1:37" ht="34.15" customHeight="1" x14ac:dyDescent="0.25">
      <c r="A14" s="2205"/>
      <c r="B14" s="574">
        <v>2</v>
      </c>
      <c r="C14" s="595"/>
      <c r="D14" s="596"/>
      <c r="E14" s="596"/>
      <c r="F14" s="597"/>
      <c r="G14" s="685"/>
      <c r="H14" s="620"/>
      <c r="I14" s="620"/>
      <c r="J14" s="635"/>
      <c r="K14" s="622"/>
      <c r="L14" s="572"/>
      <c r="M14" s="6"/>
      <c r="N14" s="6"/>
      <c r="O14" s="613"/>
      <c r="P14" s="614"/>
      <c r="Q14" s="6"/>
      <c r="R14" s="6"/>
      <c r="S14" s="635"/>
      <c r="T14" s="622"/>
      <c r="U14" s="572"/>
      <c r="V14" s="6"/>
      <c r="W14" s="6">
        <v>12</v>
      </c>
      <c r="X14" s="613"/>
      <c r="Y14" s="776"/>
      <c r="Z14" s="605"/>
      <c r="AA14" s="6" t="s">
        <v>152</v>
      </c>
      <c r="AB14" s="726"/>
      <c r="AC14" s="622"/>
      <c r="AD14" s="572"/>
      <c r="AE14" s="6"/>
      <c r="AF14" s="6"/>
      <c r="AG14" s="613"/>
      <c r="AH14" s="776"/>
      <c r="AI14" s="6"/>
      <c r="AJ14" s="6"/>
      <c r="AK14" s="635"/>
    </row>
    <row r="15" spans="1:37" ht="43.9" customHeight="1" x14ac:dyDescent="0.25">
      <c r="A15" s="2206">
        <v>44749</v>
      </c>
      <c r="B15" s="574">
        <v>1</v>
      </c>
      <c r="C15" s="595"/>
      <c r="D15" s="596"/>
      <c r="E15" s="6"/>
      <c r="F15" s="597"/>
      <c r="G15" s="685"/>
      <c r="H15" s="620"/>
      <c r="I15" s="620"/>
      <c r="J15" s="687"/>
      <c r="K15" s="622"/>
      <c r="L15" s="572"/>
      <c r="M15" s="6"/>
      <c r="N15" s="6"/>
      <c r="O15" s="613"/>
      <c r="P15" s="572"/>
      <c r="Q15" s="620"/>
      <c r="R15" s="6"/>
      <c r="S15" s="613"/>
      <c r="T15" s="622"/>
      <c r="U15" s="572"/>
      <c r="V15" s="6"/>
      <c r="W15" s="6"/>
      <c r="X15" s="613"/>
      <c r="Y15" s="572"/>
      <c r="Z15" s="620"/>
      <c r="AA15" s="728"/>
      <c r="AB15" s="727"/>
      <c r="AC15" s="622"/>
      <c r="AD15" s="572"/>
      <c r="AE15" s="6"/>
      <c r="AF15" s="622">
        <v>120</v>
      </c>
      <c r="AG15" s="613"/>
      <c r="AI15" s="620"/>
      <c r="AJ15" s="572" t="s">
        <v>421</v>
      </c>
      <c r="AK15" s="613"/>
    </row>
    <row r="16" spans="1:37" ht="37.5" customHeight="1" x14ac:dyDescent="0.25">
      <c r="A16" s="2205"/>
      <c r="B16" s="574">
        <v>2</v>
      </c>
      <c r="C16" s="595"/>
      <c r="D16" s="596"/>
      <c r="E16" s="596"/>
      <c r="F16" s="597"/>
      <c r="G16" s="684"/>
      <c r="H16" s="619"/>
      <c r="I16" s="684"/>
      <c r="J16" s="687"/>
      <c r="K16" s="622"/>
      <c r="L16" s="572"/>
      <c r="M16" s="6"/>
      <c r="N16" s="6"/>
      <c r="O16" s="613"/>
      <c r="P16" s="572"/>
      <c r="Q16" s="6"/>
      <c r="R16" s="6"/>
      <c r="S16" s="613"/>
      <c r="T16" s="622"/>
      <c r="U16" s="572"/>
      <c r="V16" s="6"/>
      <c r="W16" s="6">
        <v>10</v>
      </c>
      <c r="X16" s="613"/>
      <c r="Y16" s="619"/>
      <c r="Z16" s="619"/>
      <c r="AA16" s="6" t="s">
        <v>152</v>
      </c>
      <c r="AB16" s="613"/>
      <c r="AC16" s="622"/>
      <c r="AD16" s="572">
        <v>720</v>
      </c>
      <c r="AE16" s="6"/>
      <c r="AF16" s="6"/>
      <c r="AG16" s="613"/>
      <c r="AH16" s="572" t="s">
        <v>45</v>
      </c>
      <c r="AI16" s="6"/>
      <c r="AJ16" s="6"/>
      <c r="AK16" s="613"/>
    </row>
    <row r="17" spans="1:37" ht="32.450000000000003" customHeight="1" x14ac:dyDescent="0.25">
      <c r="A17" s="2206">
        <v>44750</v>
      </c>
      <c r="B17" s="644">
        <v>1</v>
      </c>
      <c r="C17" s="595"/>
      <c r="D17" s="596"/>
      <c r="E17" s="596"/>
      <c r="F17" s="597"/>
      <c r="G17" s="685"/>
      <c r="H17" s="619"/>
      <c r="I17" s="620"/>
      <c r="J17" s="687"/>
      <c r="K17" s="622"/>
      <c r="L17" s="572"/>
      <c r="M17" s="6"/>
      <c r="N17" s="6"/>
      <c r="O17" s="613"/>
      <c r="P17" s="572"/>
      <c r="Q17" s="6"/>
      <c r="R17" s="6"/>
      <c r="S17" s="613"/>
      <c r="T17" s="622"/>
      <c r="U17" s="572"/>
      <c r="V17" s="6"/>
      <c r="W17" s="6">
        <v>29</v>
      </c>
      <c r="X17" s="613"/>
      <c r="Y17" s="619"/>
      <c r="Z17" s="619"/>
      <c r="AA17" s="6" t="s">
        <v>152</v>
      </c>
      <c r="AB17" s="613"/>
      <c r="AC17" s="622"/>
      <c r="AD17" s="572">
        <v>260</v>
      </c>
      <c r="AE17" s="6"/>
      <c r="AF17" s="6">
        <v>460</v>
      </c>
      <c r="AG17" s="613"/>
      <c r="AH17" s="572" t="s">
        <v>45</v>
      </c>
      <c r="AI17" s="6"/>
      <c r="AJ17" s="605" t="s">
        <v>422</v>
      </c>
      <c r="AK17" s="613"/>
    </row>
    <row r="18" spans="1:37" ht="39.6" customHeight="1" x14ac:dyDescent="0.25">
      <c r="A18" s="2205"/>
      <c r="B18" s="574">
        <v>2</v>
      </c>
      <c r="C18" s="595">
        <v>71</v>
      </c>
      <c r="D18" s="596"/>
      <c r="E18" s="596"/>
      <c r="F18" s="597"/>
      <c r="G18" s="684" t="s">
        <v>423</v>
      </c>
      <c r="H18" s="620"/>
      <c r="I18" s="619"/>
      <c r="J18" s="687"/>
      <c r="K18" s="622"/>
      <c r="L18" s="572"/>
      <c r="M18" s="6"/>
      <c r="N18" s="6"/>
      <c r="O18" s="613"/>
      <c r="P18" s="572"/>
      <c r="Q18" s="6"/>
      <c r="R18" s="6"/>
      <c r="S18" s="613"/>
      <c r="T18" s="622"/>
      <c r="U18" s="572"/>
      <c r="V18" s="6"/>
      <c r="W18" s="6">
        <v>158</v>
      </c>
      <c r="X18" s="613"/>
      <c r="Y18" s="567"/>
      <c r="Z18" s="6"/>
      <c r="AA18" s="605" t="s">
        <v>424</v>
      </c>
      <c r="AB18" s="613"/>
      <c r="AC18" s="622"/>
      <c r="AD18" s="572"/>
      <c r="AE18" s="6"/>
      <c r="AF18" s="6">
        <v>87</v>
      </c>
      <c r="AG18" s="613"/>
      <c r="AH18" s="572"/>
      <c r="AI18" s="6"/>
      <c r="AJ18" s="605" t="s">
        <v>422</v>
      </c>
      <c r="AK18" s="613"/>
    </row>
    <row r="19" spans="1:37" ht="33.6" customHeight="1" x14ac:dyDescent="0.25">
      <c r="A19" s="2206">
        <v>44751</v>
      </c>
      <c r="B19" s="574">
        <v>1</v>
      </c>
      <c r="C19" s="622"/>
      <c r="D19" s="596"/>
      <c r="E19" s="596"/>
      <c r="F19" s="597"/>
      <c r="G19" s="685"/>
      <c r="H19" s="619"/>
      <c r="I19" s="620"/>
      <c r="J19" s="687"/>
      <c r="K19" s="622"/>
      <c r="L19" s="572"/>
      <c r="M19" s="6"/>
      <c r="N19" s="6"/>
      <c r="O19" s="613"/>
      <c r="P19" s="572"/>
      <c r="Q19" s="6"/>
      <c r="R19" s="6"/>
      <c r="S19" s="613"/>
      <c r="T19" s="622"/>
      <c r="U19" s="572"/>
      <c r="V19" s="6"/>
      <c r="W19" s="6"/>
      <c r="X19" s="613"/>
      <c r="Y19" s="572"/>
      <c r="Z19" s="605"/>
      <c r="AA19" s="605"/>
      <c r="AB19" s="613"/>
      <c r="AC19" s="622"/>
      <c r="AD19" s="572"/>
      <c r="AE19" s="6"/>
      <c r="AF19" s="6"/>
      <c r="AG19" s="613"/>
      <c r="AH19" s="572"/>
      <c r="AI19" s="6"/>
      <c r="AJ19" s="605"/>
      <c r="AK19" s="613"/>
    </row>
    <row r="20" spans="1:37" ht="60" x14ac:dyDescent="0.25">
      <c r="A20" s="2205"/>
      <c r="B20" s="574">
        <v>2</v>
      </c>
      <c r="C20" s="595"/>
      <c r="D20" s="596"/>
      <c r="E20" s="596"/>
      <c r="F20" s="597">
        <v>493</v>
      </c>
      <c r="G20" s="685"/>
      <c r="H20" s="620"/>
      <c r="I20" s="620"/>
      <c r="J20" s="635" t="s">
        <v>426</v>
      </c>
      <c r="K20" s="622"/>
      <c r="L20" s="572"/>
      <c r="M20" s="6"/>
      <c r="N20" s="6"/>
      <c r="O20" s="613">
        <v>493</v>
      </c>
      <c r="P20" s="572"/>
      <c r="Q20" s="6"/>
      <c r="R20" s="6"/>
      <c r="S20" s="634" t="s">
        <v>426</v>
      </c>
      <c r="T20" s="622"/>
      <c r="U20" s="572"/>
      <c r="V20" s="250"/>
      <c r="W20" s="6"/>
      <c r="X20" s="613">
        <v>493</v>
      </c>
      <c r="Y20" s="572"/>
      <c r="Z20" s="605"/>
      <c r="AA20" s="724"/>
      <c r="AB20" s="634" t="s">
        <v>426</v>
      </c>
      <c r="AC20" s="622"/>
      <c r="AD20" s="572">
        <v>59</v>
      </c>
      <c r="AE20" s="6"/>
      <c r="AF20" s="6"/>
      <c r="AG20" s="613">
        <v>493</v>
      </c>
      <c r="AH20" s="567" t="s">
        <v>425</v>
      </c>
      <c r="AI20" s="6"/>
      <c r="AJ20" s="613"/>
      <c r="AK20" s="634" t="s">
        <v>426</v>
      </c>
    </row>
    <row r="21" spans="1:37" ht="45" customHeight="1" x14ac:dyDescent="0.25">
      <c r="A21" s="2206">
        <v>44752</v>
      </c>
      <c r="B21" s="574">
        <v>1</v>
      </c>
      <c r="C21" s="595"/>
      <c r="D21" s="596"/>
      <c r="E21" s="596"/>
      <c r="F21" s="597">
        <v>720</v>
      </c>
      <c r="G21" s="688"/>
      <c r="H21" s="619"/>
      <c r="I21" s="620"/>
      <c r="J21" s="635" t="s">
        <v>426</v>
      </c>
      <c r="K21" s="622"/>
      <c r="L21" s="572"/>
      <c r="M21" s="6"/>
      <c r="N21" s="6"/>
      <c r="O21" s="613">
        <v>720</v>
      </c>
      <c r="P21" s="572"/>
      <c r="Q21" s="6"/>
      <c r="R21" s="6"/>
      <c r="S21" s="634" t="s">
        <v>426</v>
      </c>
      <c r="T21" s="622"/>
      <c r="U21" s="572"/>
      <c r="V21" s="6"/>
      <c r="W21" s="6"/>
      <c r="X21" s="613">
        <v>720</v>
      </c>
      <c r="Y21" s="572"/>
      <c r="Z21" s="6"/>
      <c r="AA21" s="605"/>
      <c r="AB21" s="634" t="s">
        <v>426</v>
      </c>
      <c r="AC21" s="622"/>
      <c r="AD21" s="572"/>
      <c r="AE21" s="6"/>
      <c r="AF21" s="6"/>
      <c r="AG21" s="613">
        <v>720</v>
      </c>
      <c r="AH21" s="572"/>
      <c r="AI21" s="6"/>
      <c r="AJ21" s="613"/>
      <c r="AK21" s="634" t="s">
        <v>426</v>
      </c>
    </row>
    <row r="22" spans="1:37" ht="55.9" customHeight="1" x14ac:dyDescent="0.25">
      <c r="A22" s="2205"/>
      <c r="B22" s="574">
        <v>2</v>
      </c>
      <c r="C22" s="595"/>
      <c r="D22" s="596"/>
      <c r="E22" s="596"/>
      <c r="F22" s="597">
        <v>720</v>
      </c>
      <c r="G22" s="773"/>
      <c r="H22" s="620"/>
      <c r="I22" s="620"/>
      <c r="J22" s="635" t="s">
        <v>426</v>
      </c>
      <c r="K22" s="622"/>
      <c r="L22" s="572"/>
      <c r="M22" s="6"/>
      <c r="N22" s="6"/>
      <c r="O22" s="597">
        <v>720</v>
      </c>
      <c r="P22" s="776"/>
      <c r="Q22" s="6"/>
      <c r="R22" s="6"/>
      <c r="S22" s="635" t="s">
        <v>426</v>
      </c>
      <c r="T22" s="622"/>
      <c r="U22" s="572"/>
      <c r="V22" s="6"/>
      <c r="W22" s="6"/>
      <c r="X22" s="597">
        <v>720</v>
      </c>
      <c r="Y22" s="572"/>
      <c r="Z22" s="6"/>
      <c r="AA22" s="605"/>
      <c r="AB22" s="635" t="s">
        <v>426</v>
      </c>
      <c r="AC22" s="622"/>
      <c r="AD22" s="572"/>
      <c r="AE22" s="6"/>
      <c r="AF22" s="6"/>
      <c r="AG22" s="597">
        <v>720</v>
      </c>
      <c r="AH22" s="572"/>
      <c r="AI22" s="6"/>
      <c r="AJ22" s="613"/>
      <c r="AK22" s="635" t="s">
        <v>426</v>
      </c>
    </row>
    <row r="23" spans="1:37" ht="45" x14ac:dyDescent="0.25">
      <c r="A23" s="2206">
        <v>44753</v>
      </c>
      <c r="B23" s="644">
        <v>1</v>
      </c>
      <c r="C23" s="595"/>
      <c r="D23" s="596"/>
      <c r="E23" s="596"/>
      <c r="F23" s="597">
        <v>720</v>
      </c>
      <c r="G23" s="685"/>
      <c r="H23" s="619"/>
      <c r="I23" s="605"/>
      <c r="J23" s="635" t="s">
        <v>427</v>
      </c>
      <c r="K23" s="622"/>
      <c r="L23" s="572"/>
      <c r="M23" s="6"/>
      <c r="N23" s="6"/>
      <c r="O23" s="597">
        <v>720</v>
      </c>
      <c r="P23" s="685"/>
      <c r="Q23" s="619"/>
      <c r="R23" s="620"/>
      <c r="S23" s="635" t="s">
        <v>427</v>
      </c>
      <c r="T23" s="622"/>
      <c r="U23" s="572"/>
      <c r="V23" s="6"/>
      <c r="W23" s="6"/>
      <c r="X23" s="597">
        <v>720</v>
      </c>
      <c r="Y23" s="685"/>
      <c r="Z23" s="619"/>
      <c r="AA23" s="605"/>
      <c r="AB23" s="634" t="s">
        <v>427</v>
      </c>
      <c r="AC23" s="622"/>
      <c r="AD23" s="572"/>
      <c r="AE23" s="6"/>
      <c r="AF23" s="6"/>
      <c r="AG23" s="613">
        <v>720</v>
      </c>
      <c r="AH23" s="6"/>
      <c r="AI23" s="6"/>
      <c r="AJ23" s="635"/>
      <c r="AK23" s="634" t="s">
        <v>427</v>
      </c>
    </row>
    <row r="24" spans="1:37" ht="49.9" customHeight="1" x14ac:dyDescent="0.25">
      <c r="A24" s="2205"/>
      <c r="B24" s="574">
        <v>2</v>
      </c>
      <c r="C24" s="595"/>
      <c r="D24" s="596"/>
      <c r="E24" s="596"/>
      <c r="F24" s="597">
        <v>720</v>
      </c>
      <c r="G24" s="685"/>
      <c r="H24" s="619"/>
      <c r="I24" s="605"/>
      <c r="J24" s="635" t="s">
        <v>427</v>
      </c>
      <c r="K24" s="622"/>
      <c r="L24" s="572"/>
      <c r="M24" s="6"/>
      <c r="N24" s="6"/>
      <c r="O24" s="597">
        <v>720</v>
      </c>
      <c r="P24" s="685"/>
      <c r="Q24" s="619"/>
      <c r="R24" s="620"/>
      <c r="S24" s="635" t="s">
        <v>427</v>
      </c>
      <c r="T24" s="622"/>
      <c r="U24" s="572"/>
      <c r="V24" s="6"/>
      <c r="W24" s="6"/>
      <c r="X24" s="597">
        <v>720</v>
      </c>
      <c r="Y24" s="685"/>
      <c r="Z24" s="619"/>
      <c r="AA24" s="605"/>
      <c r="AB24" s="634" t="s">
        <v>427</v>
      </c>
      <c r="AC24" s="622"/>
      <c r="AD24" s="572"/>
      <c r="AE24" s="6"/>
      <c r="AF24" s="6"/>
      <c r="AG24" s="613">
        <v>720</v>
      </c>
      <c r="AH24" s="6"/>
      <c r="AI24" s="6"/>
      <c r="AJ24" s="613"/>
      <c r="AK24" s="634" t="s">
        <v>427</v>
      </c>
    </row>
    <row r="25" spans="1:37" ht="46.15" customHeight="1" x14ac:dyDescent="0.25">
      <c r="A25" s="2206">
        <v>44754</v>
      </c>
      <c r="B25" s="574">
        <v>1</v>
      </c>
      <c r="C25" s="595"/>
      <c r="D25" s="596"/>
      <c r="E25" s="596"/>
      <c r="F25" s="597">
        <v>720</v>
      </c>
      <c r="G25" s="685"/>
      <c r="H25" s="619"/>
      <c r="I25" s="620"/>
      <c r="J25" s="635" t="s">
        <v>427</v>
      </c>
      <c r="K25" s="622"/>
      <c r="L25" s="572"/>
      <c r="M25" s="6"/>
      <c r="N25" s="6"/>
      <c r="O25" s="613">
        <v>720</v>
      </c>
      <c r="P25" s="572"/>
      <c r="Q25" s="619"/>
      <c r="R25" s="6"/>
      <c r="S25" s="635" t="s">
        <v>427</v>
      </c>
      <c r="T25" s="622"/>
      <c r="U25" s="572"/>
      <c r="V25" s="6"/>
      <c r="W25" s="6"/>
      <c r="X25" s="613">
        <v>720</v>
      </c>
      <c r="Y25" s="572"/>
      <c r="Z25" s="6"/>
      <c r="AA25" s="605"/>
      <c r="AB25" s="634" t="s">
        <v>427</v>
      </c>
      <c r="AC25" s="622"/>
      <c r="AD25" s="572"/>
      <c r="AE25" s="6"/>
      <c r="AF25" s="6"/>
      <c r="AG25" s="597">
        <v>720</v>
      </c>
      <c r="AH25" s="6"/>
      <c r="AI25" s="6"/>
      <c r="AJ25" s="613"/>
      <c r="AK25" s="634" t="s">
        <v>427</v>
      </c>
    </row>
    <row r="26" spans="1:37" ht="42" customHeight="1" x14ac:dyDescent="0.25">
      <c r="A26" s="2205"/>
      <c r="B26" s="574">
        <v>2</v>
      </c>
      <c r="C26" s="595"/>
      <c r="D26" s="596"/>
      <c r="E26" s="596"/>
      <c r="F26" s="597">
        <v>720</v>
      </c>
      <c r="G26" s="685"/>
      <c r="H26" s="620"/>
      <c r="I26" s="692"/>
      <c r="J26" s="635" t="s">
        <v>427</v>
      </c>
      <c r="K26" s="622"/>
      <c r="L26" s="572"/>
      <c r="M26" s="6"/>
      <c r="N26" s="6"/>
      <c r="O26" s="597">
        <v>720</v>
      </c>
      <c r="P26" s="685"/>
      <c r="Q26" s="620"/>
      <c r="R26" s="620"/>
      <c r="S26" s="635" t="s">
        <v>427</v>
      </c>
      <c r="T26" s="622"/>
      <c r="U26" s="572"/>
      <c r="V26" s="596"/>
      <c r="W26" s="6"/>
      <c r="X26" s="597">
        <v>720</v>
      </c>
      <c r="Y26" s="685"/>
      <c r="Z26" s="620"/>
      <c r="AA26" s="620"/>
      <c r="AB26" s="634" t="s">
        <v>427</v>
      </c>
      <c r="AC26" s="622"/>
      <c r="AD26" s="572"/>
      <c r="AE26" s="596"/>
      <c r="AF26" s="6"/>
      <c r="AG26" s="613">
        <v>720</v>
      </c>
      <c r="AH26" s="6"/>
      <c r="AI26" s="6"/>
      <c r="AJ26" s="613"/>
      <c r="AK26" s="634" t="s">
        <v>427</v>
      </c>
    </row>
    <row r="27" spans="1:37" ht="49.9" customHeight="1" x14ac:dyDescent="0.25">
      <c r="A27" s="2206">
        <v>44755</v>
      </c>
      <c r="B27" s="644">
        <v>1</v>
      </c>
      <c r="C27" s="595"/>
      <c r="D27" s="596"/>
      <c r="E27" s="596"/>
      <c r="F27" s="597">
        <v>720</v>
      </c>
      <c r="G27" s="685"/>
      <c r="H27" s="619"/>
      <c r="I27" s="692"/>
      <c r="J27" s="635" t="s">
        <v>427</v>
      </c>
      <c r="K27" s="622"/>
      <c r="L27" s="572"/>
      <c r="M27" s="6"/>
      <c r="N27" s="6"/>
      <c r="O27" s="597">
        <v>720</v>
      </c>
      <c r="P27" s="685"/>
      <c r="Q27" s="619"/>
      <c r="R27" s="620"/>
      <c r="S27" s="634" t="s">
        <v>427</v>
      </c>
      <c r="T27" s="622"/>
      <c r="U27" s="572"/>
      <c r="V27" s="6"/>
      <c r="W27" s="6"/>
      <c r="X27" s="613">
        <v>720</v>
      </c>
      <c r="Y27" s="685"/>
      <c r="Z27" s="619"/>
      <c r="AA27" s="620"/>
      <c r="AB27" s="635" t="s">
        <v>427</v>
      </c>
      <c r="AC27" s="622"/>
      <c r="AD27" s="572"/>
      <c r="AE27" s="6"/>
      <c r="AF27" s="6"/>
      <c r="AG27" s="613">
        <v>720</v>
      </c>
      <c r="AH27" s="6"/>
      <c r="AI27" s="6"/>
      <c r="AJ27" s="635"/>
      <c r="AK27" s="634" t="s">
        <v>427</v>
      </c>
    </row>
    <row r="28" spans="1:37" ht="49.15" customHeight="1" x14ac:dyDescent="0.25">
      <c r="A28" s="2205"/>
      <c r="B28" s="574">
        <v>2</v>
      </c>
      <c r="C28" s="595"/>
      <c r="D28" s="596"/>
      <c r="E28" s="596"/>
      <c r="F28" s="597">
        <v>720</v>
      </c>
      <c r="G28" s="620"/>
      <c r="H28" s="620"/>
      <c r="I28" s="692"/>
      <c r="J28" s="635" t="s">
        <v>427</v>
      </c>
      <c r="K28" s="622"/>
      <c r="L28" s="572"/>
      <c r="M28" s="6"/>
      <c r="N28" s="6"/>
      <c r="O28" s="597">
        <v>720</v>
      </c>
      <c r="P28" s="620"/>
      <c r="Q28" s="620"/>
      <c r="R28" s="620"/>
      <c r="S28" s="634" t="s">
        <v>427</v>
      </c>
      <c r="T28" s="622"/>
      <c r="U28" s="572"/>
      <c r="V28" s="6"/>
      <c r="W28" s="6"/>
      <c r="X28" s="597">
        <v>720</v>
      </c>
      <c r="Y28" s="620"/>
      <c r="Z28" s="619"/>
      <c r="AA28" s="620"/>
      <c r="AB28" s="635" t="s">
        <v>427</v>
      </c>
      <c r="AC28" s="622"/>
      <c r="AD28" s="572"/>
      <c r="AE28" s="6"/>
      <c r="AF28" s="6"/>
      <c r="AG28" s="597">
        <v>711</v>
      </c>
      <c r="AH28" s="6"/>
      <c r="AI28" s="6"/>
      <c r="AJ28" s="613"/>
      <c r="AK28" s="634" t="s">
        <v>427</v>
      </c>
    </row>
    <row r="29" spans="1:37" ht="19.899999999999999" customHeight="1" x14ac:dyDescent="0.25">
      <c r="A29" s="2206">
        <v>44756</v>
      </c>
      <c r="B29" s="574">
        <v>1</v>
      </c>
      <c r="C29" s="595"/>
      <c r="D29" s="596"/>
      <c r="E29" s="596"/>
      <c r="F29" s="597"/>
      <c r="G29" s="685"/>
      <c r="H29" s="619"/>
      <c r="I29" s="692"/>
      <c r="J29" s="635"/>
      <c r="K29" s="622"/>
      <c r="L29" s="572"/>
      <c r="M29" s="6"/>
      <c r="N29" s="6"/>
      <c r="O29" s="597">
        <v>17</v>
      </c>
      <c r="P29" s="685"/>
      <c r="Q29" s="619"/>
      <c r="R29" s="620"/>
      <c r="S29" s="635" t="s">
        <v>428</v>
      </c>
      <c r="T29" s="622"/>
      <c r="U29" s="572"/>
      <c r="V29" s="6"/>
      <c r="W29" s="6">
        <v>10</v>
      </c>
      <c r="X29" s="597">
        <v>90</v>
      </c>
      <c r="Y29" s="685"/>
      <c r="Z29" s="619"/>
      <c r="AA29" s="620" t="s">
        <v>330</v>
      </c>
      <c r="AB29" s="635" t="s">
        <v>428</v>
      </c>
      <c r="AC29" s="622"/>
      <c r="AD29" s="572"/>
      <c r="AE29" s="6"/>
      <c r="AF29" s="6"/>
      <c r="AG29" s="597"/>
      <c r="AH29" s="685"/>
      <c r="AI29" s="619"/>
      <c r="AJ29" s="620"/>
      <c r="AK29" s="613"/>
    </row>
    <row r="30" spans="1:37" ht="39.75" customHeight="1" x14ac:dyDescent="0.25">
      <c r="A30" s="2205"/>
      <c r="B30" s="644">
        <v>2</v>
      </c>
      <c r="C30" s="595"/>
      <c r="D30" s="596"/>
      <c r="E30" s="596"/>
      <c r="F30" s="597"/>
      <c r="G30" s="685"/>
      <c r="H30" s="619"/>
      <c r="I30" s="692"/>
      <c r="J30" s="635"/>
      <c r="K30" s="622"/>
      <c r="L30" s="572"/>
      <c r="M30" s="6"/>
      <c r="N30" s="6"/>
      <c r="O30" s="597"/>
      <c r="P30" s="685"/>
      <c r="Q30" s="620"/>
      <c r="R30" s="620"/>
      <c r="S30" s="635"/>
      <c r="T30" s="622"/>
      <c r="U30" s="572"/>
      <c r="V30" s="6"/>
      <c r="W30" s="6">
        <v>5</v>
      </c>
      <c r="X30" s="597"/>
      <c r="Y30" s="685"/>
      <c r="Z30" s="619"/>
      <c r="AA30" s="620" t="s">
        <v>330</v>
      </c>
      <c r="AB30" s="613"/>
      <c r="AC30" s="622"/>
      <c r="AD30" s="572"/>
      <c r="AE30" s="6"/>
      <c r="AF30" s="6"/>
      <c r="AG30" s="597"/>
      <c r="AH30" s="685"/>
      <c r="AI30" s="619"/>
      <c r="AJ30" s="620"/>
      <c r="AK30" s="613"/>
    </row>
    <row r="31" spans="1:37" ht="19.899999999999999" customHeight="1" x14ac:dyDescent="0.25">
      <c r="A31" s="2206">
        <v>44757</v>
      </c>
      <c r="B31" s="574">
        <v>1</v>
      </c>
      <c r="C31" s="595"/>
      <c r="D31" s="596"/>
      <c r="E31" s="596"/>
      <c r="F31" s="597"/>
      <c r="G31" s="685"/>
      <c r="H31" s="619"/>
      <c r="I31" s="692"/>
      <c r="J31" s="635"/>
      <c r="K31" s="622"/>
      <c r="L31" s="572"/>
      <c r="M31" s="6"/>
      <c r="N31" s="6"/>
      <c r="O31" s="597"/>
      <c r="P31" s="614"/>
      <c r="Q31" s="6"/>
      <c r="R31" s="6"/>
      <c r="S31" s="613"/>
      <c r="T31" s="622"/>
      <c r="U31" s="572"/>
      <c r="V31" s="6"/>
      <c r="W31" s="6"/>
      <c r="X31" s="597"/>
      <c r="Y31" s="614"/>
      <c r="Z31" s="6"/>
      <c r="AA31" s="6"/>
      <c r="AB31" s="613"/>
      <c r="AC31" s="622"/>
      <c r="AD31" s="572"/>
      <c r="AE31" s="6"/>
      <c r="AF31" s="6"/>
      <c r="AG31" s="597"/>
      <c r="AH31" s="614"/>
      <c r="AI31" s="6"/>
      <c r="AJ31" s="6"/>
      <c r="AK31" s="613"/>
    </row>
    <row r="32" spans="1:37" ht="42.75" customHeight="1" x14ac:dyDescent="0.25">
      <c r="A32" s="2205"/>
      <c r="B32" s="574">
        <v>2</v>
      </c>
      <c r="C32" s="595"/>
      <c r="D32" s="596"/>
      <c r="E32" s="596">
        <v>10</v>
      </c>
      <c r="F32" s="597"/>
      <c r="G32" s="685"/>
      <c r="H32" s="619"/>
      <c r="I32" s="692" t="s">
        <v>325</v>
      </c>
      <c r="J32" s="687"/>
      <c r="K32" s="622"/>
      <c r="L32" s="572"/>
      <c r="M32" s="6"/>
      <c r="N32" s="6"/>
      <c r="O32" s="613"/>
      <c r="P32" s="614"/>
      <c r="Q32" s="6"/>
      <c r="R32" s="6"/>
      <c r="S32" s="764"/>
      <c r="T32" s="622"/>
      <c r="U32" s="572"/>
      <c r="V32" s="6"/>
      <c r="W32" s="6"/>
      <c r="X32" s="613"/>
      <c r="Y32" s="614"/>
      <c r="Z32" s="6"/>
      <c r="AA32" s="6"/>
      <c r="AB32" s="635"/>
      <c r="AC32" s="622"/>
      <c r="AD32" s="572"/>
      <c r="AE32" s="6"/>
      <c r="AF32" s="6"/>
      <c r="AG32" s="613"/>
      <c r="AH32" s="614"/>
      <c r="AI32" s="605"/>
      <c r="AJ32" s="6"/>
      <c r="AK32" s="613"/>
    </row>
    <row r="33" spans="1:37" ht="54" customHeight="1" x14ac:dyDescent="0.25">
      <c r="A33" s="2206">
        <v>44758</v>
      </c>
      <c r="B33" s="574">
        <v>1</v>
      </c>
      <c r="C33" s="595"/>
      <c r="D33" s="596"/>
      <c r="E33" s="596"/>
      <c r="F33" s="597"/>
      <c r="G33" s="685"/>
      <c r="H33" s="619"/>
      <c r="I33" s="692"/>
      <c r="J33" s="687"/>
      <c r="K33" s="622"/>
      <c r="L33" s="572"/>
      <c r="M33" s="6"/>
      <c r="N33" s="6"/>
      <c r="O33" s="613"/>
      <c r="P33" s="614"/>
      <c r="Q33" s="6"/>
      <c r="R33" s="6"/>
      <c r="S33" s="613"/>
      <c r="T33" s="622"/>
      <c r="U33" s="572"/>
      <c r="V33" s="6"/>
      <c r="W33" s="6">
        <v>30</v>
      </c>
      <c r="X33" s="613"/>
      <c r="Y33" s="614"/>
      <c r="Z33" s="6"/>
      <c r="AA33" s="605" t="s">
        <v>429</v>
      </c>
      <c r="AB33" s="613"/>
      <c r="AC33" s="622"/>
      <c r="AD33" s="572"/>
      <c r="AE33" s="6"/>
      <c r="AF33" s="6"/>
      <c r="AG33" s="613"/>
      <c r="AH33" s="614"/>
      <c r="AI33" s="605"/>
      <c r="AJ33" s="6"/>
      <c r="AK33" s="613"/>
    </row>
    <row r="34" spans="1:37" ht="26.45" customHeight="1" x14ac:dyDescent="0.25">
      <c r="A34" s="2205"/>
      <c r="B34" s="644">
        <v>2</v>
      </c>
      <c r="C34" s="596"/>
      <c r="D34" s="596"/>
      <c r="E34" s="596"/>
      <c r="F34" s="597"/>
      <c r="G34" s="685"/>
      <c r="H34" s="620"/>
      <c r="I34" s="692"/>
      <c r="J34" s="687"/>
      <c r="K34" s="622"/>
      <c r="L34" s="572"/>
      <c r="M34" s="6"/>
      <c r="N34" s="6"/>
      <c r="O34" s="613"/>
      <c r="P34" s="614"/>
      <c r="Q34" s="620"/>
      <c r="R34" s="6"/>
      <c r="S34" s="635"/>
      <c r="T34" s="622"/>
      <c r="U34" s="572"/>
      <c r="V34" s="6"/>
      <c r="W34" s="6">
        <v>13</v>
      </c>
      <c r="X34" s="613"/>
      <c r="Y34" s="6"/>
      <c r="Z34" s="605"/>
      <c r="AA34" s="605" t="s">
        <v>152</v>
      </c>
      <c r="AB34" s="635"/>
      <c r="AC34" s="622"/>
      <c r="AD34" s="572"/>
      <c r="AE34" s="6"/>
      <c r="AF34" s="6"/>
      <c r="AG34" s="613"/>
      <c r="AH34" s="614"/>
      <c r="AI34" s="6"/>
      <c r="AJ34" s="6"/>
      <c r="AK34" s="613"/>
    </row>
    <row r="35" spans="1:37" ht="37.5" customHeight="1" x14ac:dyDescent="0.25">
      <c r="A35" s="2206">
        <v>44759</v>
      </c>
      <c r="B35" s="574">
        <v>1</v>
      </c>
      <c r="C35" s="596"/>
      <c r="D35" s="596"/>
      <c r="E35" s="596"/>
      <c r="F35" s="597"/>
      <c r="G35" s="685"/>
      <c r="H35" s="620"/>
      <c r="I35" s="692"/>
      <c r="J35" s="687"/>
      <c r="K35" s="622"/>
      <c r="L35" s="572"/>
      <c r="M35" s="6"/>
      <c r="N35" s="6"/>
      <c r="O35" s="613"/>
      <c r="P35" s="567"/>
      <c r="Q35" s="777"/>
      <c r="R35" s="620"/>
      <c r="S35" s="635"/>
      <c r="T35" s="622"/>
      <c r="U35" s="572"/>
      <c r="V35" s="6"/>
      <c r="W35" s="6"/>
      <c r="X35" s="613"/>
      <c r="Y35" s="614"/>
      <c r="Z35" s="605"/>
      <c r="AA35" s="6"/>
      <c r="AB35" s="613"/>
      <c r="AC35" s="622"/>
      <c r="AD35" s="572"/>
      <c r="AE35" s="6"/>
      <c r="AF35" s="6"/>
      <c r="AG35" s="613"/>
      <c r="AH35" s="614"/>
      <c r="AI35" s="620"/>
      <c r="AJ35" s="620"/>
      <c r="AK35" s="613"/>
    </row>
    <row r="36" spans="1:37" ht="38.25" customHeight="1" x14ac:dyDescent="0.25">
      <c r="A36" s="2205"/>
      <c r="B36" s="574">
        <v>2</v>
      </c>
      <c r="C36" s="6">
        <v>55</v>
      </c>
      <c r="D36" s="6"/>
      <c r="E36" s="613">
        <v>70</v>
      </c>
      <c r="F36" s="567"/>
      <c r="G36" s="567" t="s">
        <v>165</v>
      </c>
      <c r="H36" s="6"/>
      <c r="I36" s="6" t="s">
        <v>430</v>
      </c>
      <c r="J36" s="635"/>
      <c r="K36" s="622"/>
      <c r="L36" s="567"/>
      <c r="M36" s="6">
        <v>91</v>
      </c>
      <c r="N36" s="6"/>
      <c r="O36" s="613"/>
      <c r="P36" s="567"/>
      <c r="Q36" s="783" t="s">
        <v>431</v>
      </c>
      <c r="R36" s="6"/>
      <c r="S36" s="635"/>
      <c r="T36" s="622"/>
      <c r="U36" s="572"/>
      <c r="V36" s="6"/>
      <c r="W36" s="6">
        <v>15</v>
      </c>
      <c r="X36" s="613"/>
      <c r="Y36" s="614"/>
      <c r="Z36" s="605"/>
      <c r="AA36" s="605" t="s">
        <v>152</v>
      </c>
      <c r="AB36" s="613"/>
      <c r="AC36" s="622"/>
      <c r="AD36" s="572"/>
      <c r="AE36" s="6"/>
      <c r="AF36" s="6">
        <v>15</v>
      </c>
      <c r="AG36" s="613"/>
      <c r="AH36" s="614"/>
      <c r="AI36" s="605"/>
      <c r="AJ36" s="605" t="s">
        <v>304</v>
      </c>
      <c r="AK36" s="613"/>
    </row>
    <row r="37" spans="1:37" ht="19.899999999999999" customHeight="1" x14ac:dyDescent="0.25">
      <c r="A37" s="2206">
        <v>44760</v>
      </c>
      <c r="B37" s="644">
        <v>1</v>
      </c>
      <c r="C37" s="596"/>
      <c r="D37" s="596"/>
      <c r="E37" s="6">
        <v>32</v>
      </c>
      <c r="F37" s="613"/>
      <c r="G37" s="614"/>
      <c r="H37" s="605"/>
      <c r="I37" s="605" t="s">
        <v>432</v>
      </c>
      <c r="J37" s="635"/>
      <c r="K37" s="622"/>
      <c r="L37" s="572"/>
      <c r="M37" s="6"/>
      <c r="N37" s="6"/>
      <c r="O37" s="613"/>
      <c r="P37" s="614"/>
      <c r="Q37" s="6"/>
      <c r="R37" s="6"/>
      <c r="S37" s="613"/>
      <c r="T37" s="622"/>
      <c r="U37" s="572"/>
      <c r="V37" s="6"/>
      <c r="W37" s="6">
        <v>10</v>
      </c>
      <c r="X37" s="613"/>
      <c r="Y37" s="614"/>
      <c r="Z37" s="605"/>
      <c r="AA37" s="605" t="s">
        <v>152</v>
      </c>
      <c r="AB37" s="635"/>
      <c r="AC37" s="622"/>
      <c r="AD37" s="572"/>
      <c r="AE37" s="6"/>
      <c r="AF37" s="6"/>
      <c r="AG37" s="613"/>
      <c r="AH37" s="614"/>
      <c r="AI37" s="6"/>
      <c r="AJ37" s="6"/>
      <c r="AK37" s="613"/>
    </row>
    <row r="38" spans="1:37" ht="42" customHeight="1" x14ac:dyDescent="0.25">
      <c r="A38" s="2205"/>
      <c r="B38" s="574">
        <v>2</v>
      </c>
      <c r="C38" s="595"/>
      <c r="D38" s="596"/>
      <c r="E38" s="596">
        <v>18</v>
      </c>
      <c r="F38" s="597"/>
      <c r="G38" s="685"/>
      <c r="H38" s="619"/>
      <c r="I38" s="6" t="s">
        <v>430</v>
      </c>
      <c r="J38" s="635"/>
      <c r="K38" s="622"/>
      <c r="L38" s="572"/>
      <c r="M38" s="6"/>
      <c r="N38" s="6"/>
      <c r="O38" s="613"/>
      <c r="P38" s="776"/>
      <c r="Q38" s="6"/>
      <c r="R38" s="6"/>
      <c r="S38" s="764"/>
      <c r="T38" s="622"/>
      <c r="U38" s="572"/>
      <c r="V38" s="6">
        <v>115</v>
      </c>
      <c r="W38" s="6">
        <v>18</v>
      </c>
      <c r="X38" s="613"/>
      <c r="Y38" s="614"/>
      <c r="Z38" s="6" t="s">
        <v>96</v>
      </c>
      <c r="AA38" s="6" t="s">
        <v>430</v>
      </c>
      <c r="AB38" s="613"/>
      <c r="AC38" s="622"/>
      <c r="AD38" s="572"/>
      <c r="AE38" s="6"/>
      <c r="AF38" s="6">
        <v>29</v>
      </c>
      <c r="AG38" s="613"/>
      <c r="AH38" s="614"/>
      <c r="AI38" s="6"/>
      <c r="AJ38" s="605" t="s">
        <v>433</v>
      </c>
      <c r="AK38" s="613"/>
    </row>
    <row r="39" spans="1:37" ht="19.899999999999999" customHeight="1" x14ac:dyDescent="0.25">
      <c r="A39" s="2206">
        <v>44761</v>
      </c>
      <c r="B39" s="574">
        <v>1</v>
      </c>
      <c r="C39" s="595"/>
      <c r="D39" s="596"/>
      <c r="E39" s="596">
        <v>35</v>
      </c>
      <c r="F39" s="597"/>
      <c r="G39" s="685"/>
      <c r="H39" s="619"/>
      <c r="I39" s="692" t="s">
        <v>152</v>
      </c>
      <c r="J39" s="687"/>
      <c r="K39" s="622"/>
      <c r="L39" s="572"/>
      <c r="M39" s="6"/>
      <c r="N39" s="6"/>
      <c r="O39" s="613"/>
      <c r="P39" s="614"/>
      <c r="Q39" s="6"/>
      <c r="R39" s="6"/>
      <c r="S39" s="613"/>
      <c r="T39" s="622"/>
      <c r="U39" s="572"/>
      <c r="V39" s="6"/>
      <c r="W39" s="6">
        <v>15</v>
      </c>
      <c r="X39" s="613"/>
      <c r="Y39" s="614"/>
      <c r="Z39" s="6"/>
      <c r="AA39" s="605" t="s">
        <v>152</v>
      </c>
      <c r="AB39" s="635"/>
      <c r="AC39" s="622"/>
      <c r="AD39" s="572"/>
      <c r="AE39" s="6"/>
      <c r="AF39" s="6"/>
      <c r="AG39" s="613"/>
      <c r="AH39" s="614"/>
      <c r="AI39" s="6"/>
      <c r="AJ39" s="6"/>
      <c r="AK39" s="613"/>
    </row>
    <row r="40" spans="1:37" ht="34.15" customHeight="1" x14ac:dyDescent="0.25">
      <c r="A40" s="2205"/>
      <c r="B40" s="574">
        <v>2</v>
      </c>
      <c r="C40" s="595"/>
      <c r="D40" s="596"/>
      <c r="E40" s="596"/>
      <c r="F40" s="613">
        <v>95</v>
      </c>
      <c r="G40" s="685"/>
      <c r="H40" s="619"/>
      <c r="I40" s="692"/>
      <c r="J40" s="635" t="s">
        <v>420</v>
      </c>
      <c r="K40" s="622"/>
      <c r="L40" s="572"/>
      <c r="M40" s="6"/>
      <c r="N40" s="6"/>
      <c r="O40" s="613">
        <v>111</v>
      </c>
      <c r="P40" s="614"/>
      <c r="Q40" s="6"/>
      <c r="R40" s="6"/>
      <c r="S40" s="635" t="s">
        <v>420</v>
      </c>
      <c r="T40" s="622"/>
      <c r="U40" s="572"/>
      <c r="V40" s="6"/>
      <c r="W40" s="6">
        <v>10</v>
      </c>
      <c r="X40" s="613">
        <v>100</v>
      </c>
      <c r="Y40" s="614"/>
      <c r="Z40" s="6"/>
      <c r="AA40" s="605" t="s">
        <v>152</v>
      </c>
      <c r="AB40" s="635" t="s">
        <v>420</v>
      </c>
      <c r="AC40" s="622"/>
      <c r="AD40" s="572"/>
      <c r="AE40" s="6"/>
      <c r="AF40" s="6">
        <v>9</v>
      </c>
      <c r="AG40" s="613">
        <v>104</v>
      </c>
      <c r="AH40" s="614"/>
      <c r="AI40" s="6"/>
      <c r="AJ40" s="6" t="s">
        <v>152</v>
      </c>
      <c r="AK40" s="635" t="s">
        <v>420</v>
      </c>
    </row>
    <row r="41" spans="1:37" ht="19.899999999999999" customHeight="1" x14ac:dyDescent="0.25">
      <c r="A41" s="2206">
        <v>44762</v>
      </c>
      <c r="B41" s="574">
        <v>1</v>
      </c>
      <c r="C41" s="595"/>
      <c r="D41" s="596"/>
      <c r="E41" s="596"/>
      <c r="F41" s="613"/>
      <c r="G41" s="685"/>
      <c r="H41" s="620"/>
      <c r="I41" s="692"/>
      <c r="J41" s="687"/>
      <c r="K41" s="622"/>
      <c r="L41" s="572"/>
      <c r="M41" s="6"/>
      <c r="N41" s="6"/>
      <c r="O41" s="613"/>
      <c r="P41" s="614"/>
      <c r="Q41" s="6"/>
      <c r="R41" s="6"/>
      <c r="S41" s="635"/>
      <c r="T41" s="622"/>
      <c r="U41" s="572"/>
      <c r="V41" s="6"/>
      <c r="W41" s="6">
        <v>10</v>
      </c>
      <c r="X41" s="613"/>
      <c r="Y41" s="614"/>
      <c r="Z41" s="605"/>
      <c r="AA41" s="605" t="s">
        <v>152</v>
      </c>
      <c r="AB41" s="613"/>
      <c r="AC41" s="622"/>
      <c r="AD41" s="572"/>
      <c r="AE41" s="6"/>
      <c r="AF41" s="6"/>
      <c r="AG41" s="613"/>
      <c r="AH41" s="614"/>
      <c r="AI41" s="605"/>
      <c r="AJ41" s="6"/>
      <c r="AK41" s="613"/>
    </row>
    <row r="42" spans="1:37" ht="19.899999999999999" customHeight="1" x14ac:dyDescent="0.25">
      <c r="A42" s="2205"/>
      <c r="B42" s="574">
        <v>2</v>
      </c>
      <c r="C42" s="596"/>
      <c r="D42" s="596"/>
      <c r="E42" s="596">
        <v>25</v>
      </c>
      <c r="F42" s="613"/>
      <c r="G42" s="685"/>
      <c r="H42" s="619"/>
      <c r="I42" s="6" t="s">
        <v>430</v>
      </c>
      <c r="J42" s="687"/>
      <c r="K42" s="622"/>
      <c r="L42" s="572"/>
      <c r="M42" s="6"/>
      <c r="N42" s="6"/>
      <c r="O42" s="613"/>
      <c r="P42" s="614"/>
      <c r="Q42" s="6"/>
      <c r="R42" s="6"/>
      <c r="S42" s="635"/>
      <c r="T42" s="622"/>
      <c r="U42" s="572"/>
      <c r="V42" s="6"/>
      <c r="W42" s="6">
        <v>18</v>
      </c>
      <c r="X42" s="613"/>
      <c r="Y42" s="776"/>
      <c r="Z42" s="6"/>
      <c r="AA42" s="6" t="s">
        <v>430</v>
      </c>
      <c r="AB42" s="635"/>
      <c r="AC42" s="622"/>
      <c r="AD42" s="572"/>
      <c r="AE42" s="6"/>
      <c r="AF42" s="6"/>
      <c r="AG42" s="613"/>
      <c r="AH42" s="614"/>
      <c r="AI42" s="6"/>
      <c r="AJ42" s="6"/>
      <c r="AK42" s="613"/>
    </row>
    <row r="43" spans="1:37" ht="19.899999999999999" customHeight="1" x14ac:dyDescent="0.25">
      <c r="A43" s="2206">
        <v>44763</v>
      </c>
      <c r="B43" s="574">
        <v>1</v>
      </c>
      <c r="C43" s="596"/>
      <c r="D43" s="596"/>
      <c r="E43" s="596">
        <v>20</v>
      </c>
      <c r="F43" s="597"/>
      <c r="G43" s="619"/>
      <c r="H43" s="619"/>
      <c r="I43" s="619" t="s">
        <v>152</v>
      </c>
      <c r="J43" s="635"/>
      <c r="K43" s="622"/>
      <c r="L43" s="572"/>
      <c r="M43" s="6"/>
      <c r="N43" s="6"/>
      <c r="O43" s="613"/>
      <c r="P43" s="614"/>
      <c r="Q43" s="6"/>
      <c r="R43" s="6"/>
      <c r="S43" s="613"/>
      <c r="T43" s="622"/>
      <c r="U43" s="572"/>
      <c r="V43" s="6"/>
      <c r="W43" s="6">
        <v>37</v>
      </c>
      <c r="X43" s="613"/>
      <c r="Y43" s="614"/>
      <c r="Z43" s="6"/>
      <c r="AA43" s="605" t="s">
        <v>152</v>
      </c>
      <c r="AB43" s="613"/>
      <c r="AC43" s="622"/>
      <c r="AD43" s="572"/>
      <c r="AE43" s="6"/>
      <c r="AF43" s="6">
        <v>20</v>
      </c>
      <c r="AG43" s="613"/>
      <c r="AH43" s="605"/>
      <c r="AI43" s="620"/>
      <c r="AJ43" s="6" t="s">
        <v>152</v>
      </c>
      <c r="AK43" s="613"/>
    </row>
    <row r="44" spans="1:37" ht="36" customHeight="1" x14ac:dyDescent="0.25">
      <c r="A44" s="2205"/>
      <c r="B44" s="574">
        <v>2</v>
      </c>
      <c r="C44" s="596"/>
      <c r="D44" s="596"/>
      <c r="E44" s="596">
        <v>17</v>
      </c>
      <c r="F44" s="597"/>
      <c r="G44" s="619"/>
      <c r="H44" s="619"/>
      <c r="I44" s="619" t="s">
        <v>97</v>
      </c>
      <c r="J44" s="635"/>
      <c r="K44" s="622"/>
      <c r="L44" s="572"/>
      <c r="M44" s="6"/>
      <c r="N44" s="6"/>
      <c r="O44" s="613"/>
      <c r="P44" s="614"/>
      <c r="Q44" s="6"/>
      <c r="R44" s="605"/>
      <c r="S44" s="764"/>
      <c r="T44" s="622"/>
      <c r="U44" s="572"/>
      <c r="V44" s="6"/>
      <c r="W44" s="6">
        <v>9</v>
      </c>
      <c r="X44" s="613"/>
      <c r="Y44" s="776"/>
      <c r="Z44" s="6"/>
      <c r="AA44" s="605" t="s">
        <v>152</v>
      </c>
      <c r="AB44" s="635"/>
      <c r="AC44" s="622"/>
      <c r="AD44" s="572"/>
      <c r="AE44" s="6"/>
      <c r="AF44" s="6"/>
      <c r="AG44" s="613"/>
      <c r="AH44" s="614"/>
      <c r="AI44" s="605"/>
      <c r="AJ44" s="605"/>
      <c r="AK44" s="613"/>
    </row>
    <row r="45" spans="1:37" ht="19.899999999999999" customHeight="1" x14ac:dyDescent="0.25">
      <c r="A45" s="2206">
        <v>44764</v>
      </c>
      <c r="B45" s="574">
        <v>1</v>
      </c>
      <c r="C45" s="596"/>
      <c r="D45" s="596"/>
      <c r="E45" s="596"/>
      <c r="F45" s="597"/>
      <c r="G45" s="619"/>
      <c r="H45" s="619"/>
      <c r="I45" s="620"/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"/>
      <c r="W45" s="6"/>
      <c r="X45" s="613"/>
      <c r="Y45" s="614"/>
      <c r="Z45" s="6"/>
      <c r="AA45" s="605"/>
      <c r="AB45" s="613"/>
      <c r="AC45" s="622"/>
      <c r="AD45" s="572"/>
      <c r="AE45" s="6"/>
      <c r="AF45" s="6">
        <v>10</v>
      </c>
      <c r="AG45" s="613"/>
      <c r="AH45" s="614"/>
      <c r="AI45" s="605"/>
      <c r="AJ45" s="6" t="s">
        <v>434</v>
      </c>
      <c r="AK45" s="613"/>
    </row>
    <row r="46" spans="1:37" ht="46.15" customHeight="1" x14ac:dyDescent="0.25">
      <c r="A46" s="2205"/>
      <c r="B46" s="574">
        <v>2</v>
      </c>
      <c r="C46" s="596"/>
      <c r="D46" s="596"/>
      <c r="E46" s="596">
        <v>20</v>
      </c>
      <c r="F46" s="597">
        <v>179</v>
      </c>
      <c r="G46" s="619"/>
      <c r="H46" s="620"/>
      <c r="I46" s="692" t="s">
        <v>152</v>
      </c>
      <c r="J46" s="635" t="s">
        <v>435</v>
      </c>
      <c r="K46" s="622"/>
      <c r="L46" s="572"/>
      <c r="M46" s="6"/>
      <c r="N46" s="6"/>
      <c r="O46" s="785">
        <v>172</v>
      </c>
      <c r="P46" s="614"/>
      <c r="Q46" s="620"/>
      <c r="R46" s="6"/>
      <c r="S46" s="635" t="s">
        <v>435</v>
      </c>
      <c r="T46" s="622"/>
      <c r="U46" s="572"/>
      <c r="V46" s="6"/>
      <c r="W46" s="6">
        <v>47</v>
      </c>
      <c r="X46" s="613">
        <v>180</v>
      </c>
      <c r="Y46" s="614"/>
      <c r="Z46" s="6"/>
      <c r="AA46" s="605" t="s">
        <v>152</v>
      </c>
      <c r="AB46" s="635" t="s">
        <v>435</v>
      </c>
      <c r="AC46" s="622"/>
      <c r="AD46" s="572"/>
      <c r="AE46" s="6"/>
      <c r="AF46" s="6">
        <v>9</v>
      </c>
      <c r="AG46" s="613">
        <v>183</v>
      </c>
      <c r="AH46" s="614"/>
      <c r="AI46" s="6"/>
      <c r="AJ46" s="6" t="s">
        <v>152</v>
      </c>
      <c r="AK46" s="635" t="s">
        <v>435</v>
      </c>
    </row>
    <row r="47" spans="1:37" ht="19.899999999999999" customHeight="1" x14ac:dyDescent="0.25">
      <c r="A47" s="2206">
        <v>44765</v>
      </c>
      <c r="B47" s="574">
        <v>1</v>
      </c>
      <c r="C47" s="596"/>
      <c r="D47" s="596"/>
      <c r="E47" s="596"/>
      <c r="F47" s="597"/>
      <c r="G47" s="620"/>
      <c r="H47" s="619"/>
      <c r="I47" s="620"/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/>
      <c r="X47" s="613"/>
      <c r="Y47" s="614"/>
      <c r="Z47" s="605"/>
      <c r="AA47" s="605"/>
      <c r="AB47" s="635"/>
      <c r="AC47" s="622"/>
      <c r="AD47" s="572"/>
      <c r="AE47" s="6"/>
      <c r="AF47" s="6"/>
      <c r="AG47" s="613"/>
      <c r="AH47" s="776"/>
      <c r="AI47" s="620"/>
      <c r="AJ47" s="6"/>
      <c r="AK47" s="613"/>
    </row>
    <row r="48" spans="1:37" ht="42.75" customHeight="1" x14ac:dyDescent="0.25">
      <c r="A48" s="2205"/>
      <c r="B48" s="574">
        <v>2</v>
      </c>
      <c r="C48" s="596"/>
      <c r="D48" s="596"/>
      <c r="E48" s="596">
        <v>10</v>
      </c>
      <c r="F48" s="597"/>
      <c r="G48" s="620"/>
      <c r="H48" s="620"/>
      <c r="I48" s="619" t="s">
        <v>304</v>
      </c>
      <c r="J48" s="687"/>
      <c r="K48" s="622"/>
      <c r="L48" s="572"/>
      <c r="M48" s="6"/>
      <c r="N48" s="6"/>
      <c r="O48" s="613"/>
      <c r="P48" s="614"/>
      <c r="Q48" s="620"/>
      <c r="R48" s="605"/>
      <c r="S48" s="635"/>
      <c r="T48" s="622"/>
      <c r="U48" s="572"/>
      <c r="V48" s="6"/>
      <c r="W48" s="6"/>
      <c r="X48" s="613"/>
      <c r="Y48" s="776"/>
      <c r="Z48" s="6"/>
      <c r="AA48" s="605"/>
      <c r="AB48" s="613"/>
      <c r="AC48" s="622"/>
      <c r="AD48" s="572"/>
      <c r="AE48" s="6"/>
      <c r="AF48" s="6">
        <v>10</v>
      </c>
      <c r="AG48" s="613"/>
      <c r="AH48" s="614"/>
      <c r="AI48" s="605"/>
      <c r="AJ48" s="6" t="s">
        <v>152</v>
      </c>
      <c r="AK48" s="613"/>
    </row>
    <row r="49" spans="1:37" ht="19.899999999999999" customHeight="1" x14ac:dyDescent="0.25">
      <c r="A49" s="2206">
        <v>44766</v>
      </c>
      <c r="B49" s="574">
        <v>1</v>
      </c>
      <c r="C49" s="596"/>
      <c r="D49" s="596"/>
      <c r="E49" s="596">
        <v>10</v>
      </c>
      <c r="F49" s="597"/>
      <c r="G49" s="620"/>
      <c r="H49" s="619"/>
      <c r="I49" s="692" t="s">
        <v>152</v>
      </c>
      <c r="J49" s="687"/>
      <c r="K49" s="622"/>
      <c r="L49" s="572"/>
      <c r="M49" s="6"/>
      <c r="N49" s="6"/>
      <c r="O49" s="613"/>
      <c r="P49" s="614"/>
      <c r="Q49" s="6"/>
      <c r="R49" s="6"/>
      <c r="S49" s="613"/>
      <c r="T49" s="622"/>
      <c r="U49" s="572"/>
      <c r="V49" s="6"/>
      <c r="W49" s="6">
        <v>22</v>
      </c>
      <c r="X49" s="613"/>
      <c r="Y49" s="614"/>
      <c r="Z49" s="605"/>
      <c r="AA49" s="605" t="s">
        <v>152</v>
      </c>
      <c r="AB49" s="635"/>
      <c r="AC49" s="622"/>
      <c r="AD49" s="572"/>
      <c r="AE49" s="6"/>
      <c r="AF49" s="6"/>
      <c r="AG49" s="613"/>
      <c r="AH49" s="614"/>
      <c r="AI49" s="605"/>
      <c r="AJ49" s="6"/>
      <c r="AK49" s="613"/>
    </row>
    <row r="50" spans="1:37" ht="19.899999999999999" customHeight="1" x14ac:dyDescent="0.25">
      <c r="A50" s="2205"/>
      <c r="B50" s="574">
        <v>2</v>
      </c>
      <c r="C50" s="596"/>
      <c r="D50" s="596"/>
      <c r="E50" s="596">
        <v>33</v>
      </c>
      <c r="F50" s="597"/>
      <c r="G50" s="619"/>
      <c r="H50" s="619"/>
      <c r="I50" s="620" t="s">
        <v>375</v>
      </c>
      <c r="J50" s="635"/>
      <c r="K50" s="622"/>
      <c r="L50" s="572"/>
      <c r="M50" s="6"/>
      <c r="N50" s="6"/>
      <c r="O50" s="613"/>
      <c r="P50" s="614"/>
      <c r="Q50" s="605"/>
      <c r="R50" s="605"/>
      <c r="S50" s="764"/>
      <c r="T50" s="622"/>
      <c r="U50" s="572"/>
      <c r="V50" s="6"/>
      <c r="W50" s="6">
        <v>30</v>
      </c>
      <c r="X50" s="613"/>
      <c r="Y50" s="776"/>
      <c r="Z50" s="605"/>
      <c r="AA50" s="605" t="s">
        <v>152</v>
      </c>
      <c r="AB50" s="613"/>
      <c r="AC50" s="622"/>
      <c r="AD50" s="572"/>
      <c r="AE50" s="6"/>
      <c r="AF50" s="6"/>
      <c r="AG50" s="613"/>
      <c r="AH50" s="614"/>
      <c r="AI50" s="6"/>
      <c r="AJ50" s="6"/>
      <c r="AK50" s="613"/>
    </row>
    <row r="51" spans="1:37" ht="19.899999999999999" customHeight="1" x14ac:dyDescent="0.25">
      <c r="A51" s="2206">
        <v>44767</v>
      </c>
      <c r="B51" s="574">
        <v>1</v>
      </c>
      <c r="C51" s="596"/>
      <c r="D51" s="596"/>
      <c r="E51" s="596">
        <v>19</v>
      </c>
      <c r="F51" s="597"/>
      <c r="G51" s="619"/>
      <c r="H51" s="619"/>
      <c r="I51" s="620" t="s">
        <v>375</v>
      </c>
      <c r="J51" s="635"/>
      <c r="K51" s="622"/>
      <c r="L51" s="572"/>
      <c r="M51" s="6"/>
      <c r="N51" s="6"/>
      <c r="O51" s="613"/>
      <c r="P51" s="614"/>
      <c r="Q51" s="620"/>
      <c r="R51" s="6"/>
      <c r="S51" s="613"/>
      <c r="T51" s="622"/>
      <c r="U51" s="572"/>
      <c r="V51" s="6"/>
      <c r="W51" s="6">
        <v>17</v>
      </c>
      <c r="X51" s="613"/>
      <c r="Y51" s="776"/>
      <c r="Z51" s="6"/>
      <c r="AA51" s="605" t="s">
        <v>152</v>
      </c>
      <c r="AB51" s="613"/>
      <c r="AC51" s="622"/>
      <c r="AD51" s="572"/>
      <c r="AE51" s="6">
        <v>125</v>
      </c>
      <c r="AF51" s="6"/>
      <c r="AG51" s="613"/>
      <c r="AH51" s="614"/>
      <c r="AI51" s="6" t="s">
        <v>96</v>
      </c>
      <c r="AJ51" s="6"/>
      <c r="AK51" s="613"/>
    </row>
    <row r="52" spans="1:37" ht="31.9" customHeight="1" x14ac:dyDescent="0.25">
      <c r="A52" s="2205"/>
      <c r="B52" s="574">
        <v>2</v>
      </c>
      <c r="C52" s="596"/>
      <c r="D52" s="596"/>
      <c r="E52" s="596">
        <v>35</v>
      </c>
      <c r="F52" s="597"/>
      <c r="G52" s="619"/>
      <c r="H52" s="620"/>
      <c r="I52" s="692" t="s">
        <v>152</v>
      </c>
      <c r="J52" s="635"/>
      <c r="K52" s="622"/>
      <c r="L52" s="572">
        <v>312</v>
      </c>
      <c r="M52" s="6"/>
      <c r="N52" s="6"/>
      <c r="O52" s="613"/>
      <c r="P52" s="614" t="s">
        <v>436</v>
      </c>
      <c r="Q52" s="6"/>
      <c r="R52" s="6"/>
      <c r="S52" s="635"/>
      <c r="T52" s="622"/>
      <c r="U52" s="572"/>
      <c r="V52" s="6"/>
      <c r="W52" s="6">
        <v>20</v>
      </c>
      <c r="X52" s="613"/>
      <c r="Y52" s="776"/>
      <c r="Z52" s="605"/>
      <c r="AA52" s="605" t="s">
        <v>152</v>
      </c>
      <c r="AB52" s="635"/>
      <c r="AC52" s="622"/>
      <c r="AD52" s="572"/>
      <c r="AE52" s="6"/>
      <c r="AF52" s="6"/>
      <c r="AG52" s="613"/>
      <c r="AH52" s="614"/>
      <c r="AI52" s="6"/>
      <c r="AJ52" s="6"/>
      <c r="AK52" s="613"/>
    </row>
    <row r="53" spans="1:37" ht="34.15" customHeight="1" x14ac:dyDescent="0.25">
      <c r="A53" s="2206">
        <v>44768</v>
      </c>
      <c r="B53" s="574">
        <v>1</v>
      </c>
      <c r="C53" s="596"/>
      <c r="D53" s="596"/>
      <c r="E53" s="596">
        <v>30</v>
      </c>
      <c r="F53" s="597"/>
      <c r="G53" s="619"/>
      <c r="H53" s="619"/>
      <c r="I53" s="692" t="s">
        <v>152</v>
      </c>
      <c r="J53" s="687"/>
      <c r="K53" s="622"/>
      <c r="L53" s="572"/>
      <c r="M53" s="6"/>
      <c r="N53" s="6"/>
      <c r="O53" s="613"/>
      <c r="P53" s="776"/>
      <c r="Q53" s="6"/>
      <c r="R53" s="6"/>
      <c r="S53" s="635"/>
      <c r="T53" s="622"/>
      <c r="U53" s="572"/>
      <c r="V53" s="6"/>
      <c r="W53" s="6">
        <v>34</v>
      </c>
      <c r="X53" s="613"/>
      <c r="Y53" s="776"/>
      <c r="Z53" s="6"/>
      <c r="AA53" s="605" t="s">
        <v>152</v>
      </c>
      <c r="AB53" s="613"/>
      <c r="AC53" s="622"/>
      <c r="AD53" s="572"/>
      <c r="AE53" s="605"/>
      <c r="AF53" s="6"/>
      <c r="AG53" s="613"/>
      <c r="AH53" s="614"/>
      <c r="AI53" s="605"/>
      <c r="AJ53" s="605"/>
      <c r="AK53" s="613"/>
    </row>
    <row r="54" spans="1:37" ht="19.899999999999999" customHeight="1" x14ac:dyDescent="0.25">
      <c r="A54" s="2205"/>
      <c r="B54" s="770">
        <v>2</v>
      </c>
      <c r="C54" s="596"/>
      <c r="D54" s="596"/>
      <c r="E54" s="596"/>
      <c r="F54" s="597"/>
      <c r="G54" s="619"/>
      <c r="H54" s="619"/>
      <c r="I54" s="619"/>
      <c r="J54" s="687"/>
      <c r="K54" s="622"/>
      <c r="L54" s="572"/>
      <c r="M54" s="6"/>
      <c r="N54" s="6"/>
      <c r="O54" s="613"/>
      <c r="P54" s="614"/>
      <c r="Q54" s="605"/>
      <c r="R54" s="6"/>
      <c r="S54" s="635"/>
      <c r="T54" s="622"/>
      <c r="U54" s="572"/>
      <c r="V54" s="6"/>
      <c r="W54" s="6">
        <v>20</v>
      </c>
      <c r="X54" s="613"/>
      <c r="Y54" s="696"/>
      <c r="Z54" s="775"/>
      <c r="AA54" s="605" t="s">
        <v>152</v>
      </c>
      <c r="AB54" s="613"/>
      <c r="AC54" s="622"/>
      <c r="AD54" s="572"/>
      <c r="AE54" s="6"/>
      <c r="AF54" s="6"/>
      <c r="AG54" s="613"/>
      <c r="AH54" s="614"/>
      <c r="AI54" s="6"/>
      <c r="AJ54" s="605"/>
      <c r="AK54" s="613"/>
    </row>
    <row r="55" spans="1:37" ht="31.9" customHeight="1" x14ac:dyDescent="0.25">
      <c r="A55" s="2206">
        <v>44769</v>
      </c>
      <c r="B55" s="574">
        <v>1</v>
      </c>
      <c r="C55" s="595"/>
      <c r="D55" s="596"/>
      <c r="E55" s="596">
        <v>20</v>
      </c>
      <c r="F55" s="597"/>
      <c r="G55" s="619"/>
      <c r="H55" s="619"/>
      <c r="I55" s="692" t="s">
        <v>152</v>
      </c>
      <c r="J55" s="687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>
        <v>7</v>
      </c>
      <c r="W55" s="6">
        <v>10</v>
      </c>
      <c r="X55" s="613"/>
      <c r="Y55" s="614"/>
      <c r="Z55" s="619" t="s">
        <v>437</v>
      </c>
      <c r="AA55" s="605" t="s">
        <v>152</v>
      </c>
      <c r="AB55" s="635"/>
      <c r="AC55" s="622"/>
      <c r="AD55" s="572"/>
      <c r="AE55" s="6"/>
      <c r="AF55" s="6"/>
      <c r="AG55" s="613"/>
      <c r="AH55" s="614"/>
      <c r="AI55" s="6"/>
      <c r="AJ55" s="6"/>
      <c r="AK55" s="613"/>
    </row>
    <row r="56" spans="1:37" ht="56.45" customHeight="1" x14ac:dyDescent="0.25">
      <c r="A56" s="2205"/>
      <c r="B56" s="770">
        <v>2</v>
      </c>
      <c r="C56" s="595"/>
      <c r="D56" s="596"/>
      <c r="E56" s="596">
        <v>10</v>
      </c>
      <c r="F56" s="597"/>
      <c r="G56" s="620"/>
      <c r="H56" s="619"/>
      <c r="I56" s="620" t="s">
        <v>152</v>
      </c>
      <c r="J56" s="687"/>
      <c r="K56" s="622"/>
      <c r="L56" s="572"/>
      <c r="M56" s="6"/>
      <c r="N56" s="6"/>
      <c r="O56" s="613"/>
      <c r="P56" s="614"/>
      <c r="Q56" s="6"/>
      <c r="R56" s="6"/>
      <c r="S56" s="764"/>
      <c r="T56" s="622"/>
      <c r="U56" s="572"/>
      <c r="V56" s="6">
        <v>13</v>
      </c>
      <c r="W56" s="6">
        <v>10</v>
      </c>
      <c r="X56" s="613"/>
      <c r="Y56" s="784"/>
      <c r="Z56" s="605" t="s">
        <v>438</v>
      </c>
      <c r="AA56" s="605" t="s">
        <v>152</v>
      </c>
      <c r="AB56" s="613"/>
      <c r="AC56" s="622"/>
      <c r="AD56" s="572"/>
      <c r="AE56" s="6"/>
      <c r="AF56" s="6"/>
      <c r="AG56" s="613"/>
      <c r="AH56" s="614"/>
      <c r="AI56" s="605"/>
      <c r="AJ56" s="619"/>
      <c r="AK56" s="613"/>
    </row>
    <row r="57" spans="1:37" ht="45.6" customHeight="1" x14ac:dyDescent="0.25">
      <c r="A57" s="2206">
        <v>44770</v>
      </c>
      <c r="B57" s="574">
        <v>1</v>
      </c>
      <c r="C57" s="595"/>
      <c r="D57" s="596"/>
      <c r="E57" s="596">
        <v>10</v>
      </c>
      <c r="F57" s="597"/>
      <c r="G57" s="620"/>
      <c r="H57" s="619"/>
      <c r="I57" s="620" t="s">
        <v>152</v>
      </c>
      <c r="J57" s="635"/>
      <c r="K57" s="622"/>
      <c r="L57" s="572"/>
      <c r="M57" s="6"/>
      <c r="N57" s="6"/>
      <c r="O57" s="613"/>
      <c r="P57" s="614"/>
      <c r="Q57" s="6"/>
      <c r="R57" s="605"/>
      <c r="S57" s="613"/>
      <c r="T57" s="622"/>
      <c r="U57" s="572"/>
      <c r="V57" s="6"/>
      <c r="W57" s="6">
        <v>25</v>
      </c>
      <c r="X57" s="613"/>
      <c r="Y57" s="776"/>
      <c r="Z57" s="605"/>
      <c r="AA57" s="605" t="s">
        <v>152</v>
      </c>
      <c r="AB57" s="613"/>
      <c r="AC57" s="622"/>
      <c r="AD57" s="572"/>
      <c r="AE57" s="6"/>
      <c r="AF57" s="6"/>
      <c r="AG57" s="613"/>
      <c r="AH57" s="614"/>
      <c r="AI57" s="6"/>
      <c r="AJ57" s="6"/>
      <c r="AK57" s="613"/>
    </row>
    <row r="58" spans="1:37" ht="39.6" customHeight="1" x14ac:dyDescent="0.25">
      <c r="A58" s="2205"/>
      <c r="B58" s="770">
        <v>2</v>
      </c>
      <c r="C58" s="595"/>
      <c r="D58" s="596"/>
      <c r="E58" s="596"/>
      <c r="F58" s="597"/>
      <c r="G58" s="620"/>
      <c r="H58" s="619"/>
      <c r="I58" s="620"/>
      <c r="J58" s="635"/>
      <c r="K58" s="622"/>
      <c r="L58" s="572"/>
      <c r="M58" s="6"/>
      <c r="N58" s="6"/>
      <c r="O58" s="613"/>
      <c r="P58" s="614"/>
      <c r="Q58" s="6"/>
      <c r="R58" s="6"/>
      <c r="S58" s="635"/>
      <c r="T58" s="622"/>
      <c r="U58" s="572"/>
      <c r="V58" s="6">
        <v>10</v>
      </c>
      <c r="W58" s="6"/>
      <c r="X58" s="613"/>
      <c r="Y58" s="614"/>
      <c r="Z58" s="605" t="s">
        <v>439</v>
      </c>
      <c r="AA58" s="6"/>
      <c r="AB58" s="613"/>
      <c r="AC58" s="622"/>
      <c r="AD58" s="572"/>
      <c r="AE58" s="6"/>
      <c r="AF58" s="6"/>
      <c r="AG58" s="613"/>
      <c r="AH58" s="614"/>
      <c r="AI58" s="6"/>
      <c r="AJ58" s="6"/>
      <c r="AK58" s="613"/>
    </row>
    <row r="59" spans="1:37" ht="19.899999999999999" customHeight="1" x14ac:dyDescent="0.25">
      <c r="A59" s="2206">
        <v>44771</v>
      </c>
      <c r="B59" s="574">
        <v>1</v>
      </c>
      <c r="C59" s="595"/>
      <c r="D59" s="596"/>
      <c r="E59" s="596"/>
      <c r="F59" s="597"/>
      <c r="G59" s="619"/>
      <c r="H59" s="619"/>
      <c r="I59" s="6"/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>
        <v>10</v>
      </c>
      <c r="X59" s="613"/>
      <c r="Y59" s="614"/>
      <c r="Z59" s="6"/>
      <c r="AA59" s="6" t="s">
        <v>152</v>
      </c>
      <c r="AB59" s="613"/>
      <c r="AC59" s="622"/>
      <c r="AD59" s="572"/>
      <c r="AE59" s="6"/>
      <c r="AF59" s="6">
        <v>12</v>
      </c>
      <c r="AG59" s="613"/>
      <c r="AH59" s="776"/>
      <c r="AI59" s="6"/>
      <c r="AJ59" s="6" t="s">
        <v>152</v>
      </c>
      <c r="AK59" s="613"/>
    </row>
    <row r="60" spans="1:37" ht="53.45" customHeight="1" x14ac:dyDescent="0.25">
      <c r="A60" s="2205"/>
      <c r="B60" s="770">
        <v>2</v>
      </c>
      <c r="C60" s="595"/>
      <c r="D60" s="596"/>
      <c r="E60" s="596"/>
      <c r="F60" s="597">
        <v>263</v>
      </c>
      <c r="G60" s="619"/>
      <c r="H60" s="620"/>
      <c r="I60" s="620"/>
      <c r="J60" s="635" t="s">
        <v>426</v>
      </c>
      <c r="K60" s="622"/>
      <c r="L60" s="572"/>
      <c r="M60" s="6"/>
      <c r="N60" s="6"/>
      <c r="O60" s="613">
        <v>258</v>
      </c>
      <c r="P60" s="614"/>
      <c r="Q60" s="6"/>
      <c r="R60" s="6"/>
      <c r="S60" s="635" t="s">
        <v>426</v>
      </c>
      <c r="T60" s="622"/>
      <c r="U60" s="572"/>
      <c r="V60" s="6"/>
      <c r="W60" s="6"/>
      <c r="X60" s="613">
        <v>267</v>
      </c>
      <c r="Y60" s="776"/>
      <c r="Z60" s="605"/>
      <c r="AA60" s="6"/>
      <c r="AB60" s="635" t="s">
        <v>426</v>
      </c>
      <c r="AC60" s="622"/>
      <c r="AD60" s="572"/>
      <c r="AE60" s="6"/>
      <c r="AF60" s="6"/>
      <c r="AG60" s="613">
        <v>269</v>
      </c>
      <c r="AH60" s="614"/>
      <c r="AI60" s="6"/>
      <c r="AJ60" s="6"/>
      <c r="AK60" s="635" t="s">
        <v>426</v>
      </c>
    </row>
    <row r="61" spans="1:37" ht="19.899999999999999" customHeight="1" x14ac:dyDescent="0.25">
      <c r="A61" s="2206">
        <v>44772</v>
      </c>
      <c r="B61" s="574">
        <v>1</v>
      </c>
      <c r="C61" s="781"/>
      <c r="D61" s="778"/>
      <c r="E61" s="778"/>
      <c r="F61" s="749"/>
      <c r="G61" s="619"/>
      <c r="H61" s="777"/>
      <c r="I61" s="750"/>
      <c r="J61" s="687"/>
      <c r="K61" s="622"/>
      <c r="L61" s="572"/>
      <c r="M61" s="6"/>
      <c r="N61" s="6"/>
      <c r="O61" s="613"/>
      <c r="P61" s="752"/>
      <c r="Q61" s="779"/>
      <c r="R61" s="779"/>
      <c r="S61" s="753"/>
      <c r="T61" s="622"/>
      <c r="U61" s="572"/>
      <c r="V61" s="6"/>
      <c r="W61" s="6"/>
      <c r="X61" s="613"/>
      <c r="Y61" s="776"/>
      <c r="Z61" s="605"/>
      <c r="AA61" s="6"/>
      <c r="AB61" s="753"/>
      <c r="AC61" s="622"/>
      <c r="AD61" s="572"/>
      <c r="AE61" s="6"/>
      <c r="AF61" s="6"/>
      <c r="AG61" s="613"/>
      <c r="AH61" s="614"/>
      <c r="AI61" s="6"/>
      <c r="AJ61" s="6"/>
      <c r="AK61" s="753"/>
    </row>
    <row r="62" spans="1:37" ht="19.899999999999999" customHeight="1" x14ac:dyDescent="0.25">
      <c r="A62" s="2205"/>
      <c r="B62" s="770">
        <v>2</v>
      </c>
      <c r="C62" s="781"/>
      <c r="D62" s="778"/>
      <c r="E62" s="778"/>
      <c r="F62" s="749"/>
      <c r="G62" s="772"/>
      <c r="H62" s="777"/>
      <c r="I62" s="750"/>
      <c r="J62" s="687"/>
      <c r="K62" s="622"/>
      <c r="L62" s="572"/>
      <c r="M62" s="6"/>
      <c r="N62" s="6"/>
      <c r="O62" s="613"/>
      <c r="P62" s="752"/>
      <c r="Q62" s="779"/>
      <c r="R62" s="779"/>
      <c r="S62" s="753"/>
      <c r="T62" s="622"/>
      <c r="U62" s="572"/>
      <c r="V62" s="6"/>
      <c r="W62" s="6"/>
      <c r="X62" s="613"/>
      <c r="Y62" s="776"/>
      <c r="Z62" s="605"/>
      <c r="AA62" s="6"/>
      <c r="AB62" s="753"/>
      <c r="AC62" s="622"/>
      <c r="AD62" s="572"/>
      <c r="AE62" s="6"/>
      <c r="AF62" s="6"/>
      <c r="AG62" s="613"/>
      <c r="AH62" s="614"/>
      <c r="AI62" s="6"/>
      <c r="AJ62" s="6"/>
      <c r="AK62" s="753"/>
    </row>
    <row r="63" spans="1:37" ht="19.899999999999999" customHeight="1" x14ac:dyDescent="0.25">
      <c r="A63" s="2206">
        <v>44773</v>
      </c>
      <c r="B63" s="574">
        <v>1</v>
      </c>
      <c r="C63" s="706"/>
      <c r="D63" s="707"/>
      <c r="E63" s="707">
        <v>10</v>
      </c>
      <c r="F63" s="708"/>
      <c r="G63" s="717"/>
      <c r="H63" s="709"/>
      <c r="I63" s="620" t="s">
        <v>152</v>
      </c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>
        <v>25</v>
      </c>
      <c r="X63" s="597"/>
      <c r="Y63" s="685"/>
      <c r="Z63" s="619"/>
      <c r="AA63" s="6" t="s">
        <v>152</v>
      </c>
      <c r="AB63" s="774"/>
      <c r="AC63" s="622"/>
      <c r="AD63" s="572"/>
      <c r="AE63" s="6"/>
      <c r="AF63" s="6"/>
      <c r="AG63" s="597"/>
      <c r="AH63" s="685"/>
      <c r="AI63" s="619"/>
      <c r="AJ63" s="619"/>
      <c r="AK63" s="705"/>
    </row>
    <row r="64" spans="1:37" ht="19.899999999999999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</row>
    <row r="65" spans="1:33" x14ac:dyDescent="0.25">
      <c r="A65" s="524" t="s">
        <v>225</v>
      </c>
      <c r="C65" s="768">
        <f>SUM(C3:C64)</f>
        <v>126</v>
      </c>
      <c r="D65" s="525">
        <f>SUM(D3:D64)</f>
        <v>0</v>
      </c>
      <c r="E65" s="768">
        <f>SUM(E3:E64)</f>
        <v>587</v>
      </c>
      <c r="F65" s="525">
        <f>SUM(F3:F64)</f>
        <v>7143</v>
      </c>
      <c r="L65" s="525">
        <f>SUM(L3:L64)</f>
        <v>523</v>
      </c>
      <c r="M65" s="525">
        <f>SUM(M3:M64)</f>
        <v>91</v>
      </c>
      <c r="N65" s="525">
        <f>SUM(N3:N64)</f>
        <v>0</v>
      </c>
      <c r="O65" s="525">
        <f>SUM(O3:O64)</f>
        <v>7166</v>
      </c>
      <c r="U65" s="525">
        <f>SUM(U3:U64)</f>
        <v>0</v>
      </c>
      <c r="V65" s="525">
        <f>SUM(V3:V64)</f>
        <v>175</v>
      </c>
      <c r="W65" s="525">
        <f>SUM(W3:W64)</f>
        <v>968</v>
      </c>
      <c r="X65" s="525">
        <f>SUM(X3:X64)</f>
        <v>7257</v>
      </c>
      <c r="AD65" s="525">
        <f>SUM(AD3:AD64)</f>
        <v>1039</v>
      </c>
      <c r="AE65" s="525">
        <f>SUM(AE3:AE64)</f>
        <v>125</v>
      </c>
      <c r="AF65" s="525">
        <f>SUM(AF3:AF64)</f>
        <v>905</v>
      </c>
      <c r="AG65" s="525">
        <f>SUM(AG3:AG64)</f>
        <v>7176</v>
      </c>
    </row>
    <row r="73" spans="1:33" ht="15.75" thickBot="1" x14ac:dyDescent="0.3"/>
    <row r="74" spans="1:33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33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33" ht="21.75" customHeight="1" x14ac:dyDescent="0.3">
      <c r="B76" s="651" t="s">
        <v>218</v>
      </c>
      <c r="C76" s="652">
        <f>C65</f>
        <v>126</v>
      </c>
      <c r="D76" s="653">
        <f>C76/60</f>
        <v>2.1</v>
      </c>
      <c r="E76" s="652">
        <f>D65</f>
        <v>0</v>
      </c>
      <c r="F76" s="654">
        <f>E76/60</f>
        <v>0</v>
      </c>
      <c r="G76" s="652">
        <f>E65</f>
        <v>587</v>
      </c>
      <c r="H76" s="653">
        <f>G76/60</f>
        <v>9.7833333333333332</v>
      </c>
      <c r="I76" s="652">
        <f>F65</f>
        <v>7143</v>
      </c>
      <c r="J76" s="653">
        <f>I76/60</f>
        <v>119.05</v>
      </c>
    </row>
    <row r="77" spans="1:33" ht="19.5" customHeight="1" x14ac:dyDescent="0.3">
      <c r="B77" s="651" t="s">
        <v>219</v>
      </c>
      <c r="C77" s="655">
        <f>L65</f>
        <v>523</v>
      </c>
      <c r="D77" s="656">
        <f t="shared" ref="D77:F79" si="0">C77/60</f>
        <v>8.7166666666666668</v>
      </c>
      <c r="E77" s="655">
        <f>M65</f>
        <v>91</v>
      </c>
      <c r="F77" s="657">
        <f t="shared" si="0"/>
        <v>1.5166666666666666</v>
      </c>
      <c r="G77" s="655">
        <f>N65</f>
        <v>0</v>
      </c>
      <c r="H77" s="656">
        <f t="shared" ref="H77:J79" si="1">G77/60</f>
        <v>0</v>
      </c>
      <c r="I77" s="655">
        <f>O65</f>
        <v>7166</v>
      </c>
      <c r="J77" s="656">
        <f t="shared" si="1"/>
        <v>119.43333333333334</v>
      </c>
    </row>
    <row r="78" spans="1:33" ht="20.25" customHeight="1" x14ac:dyDescent="0.3">
      <c r="B78" s="651" t="s">
        <v>220</v>
      </c>
      <c r="C78" s="655">
        <f>U65</f>
        <v>0</v>
      </c>
      <c r="D78" s="656">
        <f t="shared" si="0"/>
        <v>0</v>
      </c>
      <c r="E78" s="655">
        <f>V65</f>
        <v>175</v>
      </c>
      <c r="F78" s="657">
        <f t="shared" si="0"/>
        <v>2.9166666666666665</v>
      </c>
      <c r="G78" s="655">
        <f>W65</f>
        <v>968</v>
      </c>
      <c r="H78" s="656">
        <f t="shared" si="1"/>
        <v>16.133333333333333</v>
      </c>
      <c r="I78" s="655">
        <f>X65</f>
        <v>7257</v>
      </c>
      <c r="J78" s="656">
        <f t="shared" si="1"/>
        <v>120.95</v>
      </c>
    </row>
    <row r="79" spans="1:33" ht="22.5" customHeight="1" thickBot="1" x14ac:dyDescent="0.35">
      <c r="B79" s="651" t="s">
        <v>221</v>
      </c>
      <c r="C79" s="658">
        <f>AD65</f>
        <v>1039</v>
      </c>
      <c r="D79" s="659">
        <f t="shared" si="0"/>
        <v>17.316666666666666</v>
      </c>
      <c r="E79" s="658">
        <f>AE65</f>
        <v>125</v>
      </c>
      <c r="F79" s="660">
        <f t="shared" si="0"/>
        <v>2.0833333333333335</v>
      </c>
      <c r="G79" s="658">
        <f>AF65</f>
        <v>905</v>
      </c>
      <c r="H79" s="659">
        <f t="shared" si="1"/>
        <v>15.083333333333334</v>
      </c>
      <c r="I79" s="658">
        <f>AG65</f>
        <v>7176</v>
      </c>
      <c r="J79" s="659">
        <f t="shared" si="1"/>
        <v>119.6</v>
      </c>
    </row>
    <row r="80" spans="1:33" ht="19.5" thickBot="1" x14ac:dyDescent="0.35">
      <c r="B80" s="419"/>
      <c r="C80" s="301"/>
      <c r="D80" s="301"/>
      <c r="E80" s="301"/>
      <c r="F80" s="301"/>
      <c r="G80" s="301"/>
      <c r="H80" s="301"/>
      <c r="I80" s="301"/>
      <c r="J80" s="301"/>
    </row>
    <row r="81" spans="2:10" ht="19.5" thickBot="1" x14ac:dyDescent="0.35">
      <c r="B81" s="661" t="s">
        <v>217</v>
      </c>
      <c r="C81" s="666"/>
      <c r="D81" s="667">
        <f>SUM(D76:D80)</f>
        <v>28.133333333333333</v>
      </c>
      <c r="E81" s="666"/>
      <c r="F81" s="667">
        <f>SUM(F76:F80)</f>
        <v>6.5166666666666675</v>
      </c>
      <c r="G81" s="666"/>
      <c r="H81" s="667">
        <f>SUM(H76:H80)</f>
        <v>41</v>
      </c>
      <c r="I81" s="666"/>
      <c r="J81" s="668">
        <f>AVERAGE(J76:J80)</f>
        <v>119.75833333333333</v>
      </c>
    </row>
  </sheetData>
  <mergeCells count="43">
    <mergeCell ref="A63:A64"/>
    <mergeCell ref="C74:D74"/>
    <mergeCell ref="E74:F74"/>
    <mergeCell ref="G74:H74"/>
    <mergeCell ref="I74:J74"/>
    <mergeCell ref="A53:A54"/>
    <mergeCell ref="A55:A56"/>
    <mergeCell ref="A57:A58"/>
    <mergeCell ref="A59:A60"/>
    <mergeCell ref="A61:A62"/>
    <mergeCell ref="A47:A48"/>
    <mergeCell ref="A49:A50"/>
    <mergeCell ref="A51:A52"/>
    <mergeCell ref="A45:A46"/>
    <mergeCell ref="A35:A36"/>
    <mergeCell ref="A37:A38"/>
    <mergeCell ref="A39:A40"/>
    <mergeCell ref="A41:A42"/>
    <mergeCell ref="A43:A44"/>
    <mergeCell ref="A33:A34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D1:AG1"/>
    <mergeCell ref="AH1:AK1"/>
    <mergeCell ref="A3:A4"/>
    <mergeCell ref="A5:A6"/>
    <mergeCell ref="A7:A8"/>
    <mergeCell ref="U1:X1"/>
    <mergeCell ref="Y1:AB1"/>
    <mergeCell ref="A9:A10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"/>
  <sheetViews>
    <sheetView zoomScale="60" zoomScaleNormal="6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P42" sqref="P41:P42"/>
    </sheetView>
  </sheetViews>
  <sheetFormatPr defaultColWidth="8.85546875" defaultRowHeight="15" x14ac:dyDescent="0.25"/>
  <cols>
    <col min="1" max="1" width="14.5703125" style="524" customWidth="1"/>
    <col min="2" max="2" width="15.7109375" style="525" customWidth="1"/>
    <col min="3" max="4" width="10.7109375" style="524" customWidth="1"/>
    <col min="5" max="5" width="15.7109375" style="524" customWidth="1"/>
    <col min="6" max="6" width="16.85546875" style="524" customWidth="1"/>
    <col min="7" max="7" width="21.140625" style="524" customWidth="1"/>
    <col min="8" max="8" width="28.42578125" style="524" customWidth="1"/>
    <col min="9" max="9" width="30.42578125" style="524" customWidth="1"/>
    <col min="10" max="10" width="21.140625" style="524" customWidth="1"/>
    <col min="11" max="14" width="10.7109375" style="524" customWidth="1"/>
    <col min="15" max="15" width="17" style="524" customWidth="1"/>
    <col min="16" max="16" width="23" style="524" customWidth="1"/>
    <col min="17" max="17" width="25.7109375" style="524" customWidth="1"/>
    <col min="18" max="18" width="30.42578125" style="524" customWidth="1"/>
    <col min="19" max="19" width="24.28515625" style="524" customWidth="1"/>
    <col min="20" max="24" width="10.7109375" style="524" customWidth="1"/>
    <col min="25" max="25" width="26.5703125" style="524" customWidth="1"/>
    <col min="26" max="26" width="23.85546875" style="524" customWidth="1"/>
    <col min="27" max="27" width="32.42578125" style="524" customWidth="1"/>
    <col min="28" max="28" width="21.140625" style="524" customWidth="1"/>
    <col min="29" max="33" width="10.7109375" style="524" customWidth="1"/>
    <col min="34" max="34" width="20.28515625" style="524" customWidth="1"/>
    <col min="35" max="35" width="24" style="524" customWidth="1"/>
    <col min="36" max="36" width="23.7109375" style="524" customWidth="1"/>
    <col min="37" max="37" width="23" style="524" customWidth="1"/>
    <col min="38" max="16384" width="8.85546875" style="524"/>
  </cols>
  <sheetData>
    <row r="1" spans="1:37" x14ac:dyDescent="0.25">
      <c r="C1" s="2217" t="s">
        <v>1</v>
      </c>
      <c r="D1" s="2212"/>
      <c r="E1" s="2212"/>
      <c r="F1" s="2212"/>
      <c r="G1" s="2211" t="s">
        <v>206</v>
      </c>
      <c r="H1" s="2209"/>
      <c r="I1" s="2209"/>
      <c r="J1" s="2210"/>
      <c r="L1" s="2212" t="s">
        <v>202</v>
      </c>
      <c r="M1" s="2212"/>
      <c r="N1" s="2212"/>
      <c r="O1" s="2212"/>
      <c r="P1" s="2209" t="s">
        <v>206</v>
      </c>
      <c r="Q1" s="2209"/>
      <c r="R1" s="2209"/>
      <c r="S1" s="2210"/>
      <c r="U1" s="2212" t="s">
        <v>2</v>
      </c>
      <c r="V1" s="2212"/>
      <c r="W1" s="2212"/>
      <c r="X1" s="2212"/>
      <c r="Y1" s="2209" t="s">
        <v>206</v>
      </c>
      <c r="Z1" s="2209"/>
      <c r="AA1" s="2209"/>
      <c r="AB1" s="2210"/>
      <c r="AD1" s="2212" t="s">
        <v>203</v>
      </c>
      <c r="AE1" s="2212"/>
      <c r="AF1" s="2212"/>
      <c r="AG1" s="2212"/>
      <c r="AH1" s="2209" t="s">
        <v>206</v>
      </c>
      <c r="AI1" s="2209"/>
      <c r="AJ1" s="2209"/>
      <c r="AK1" s="2210"/>
    </row>
    <row r="2" spans="1:37" ht="42.6" customHeight="1" thickBot="1" x14ac:dyDescent="0.3">
      <c r="A2" s="531" t="s">
        <v>0</v>
      </c>
      <c r="B2" s="532" t="s">
        <v>198</v>
      </c>
      <c r="C2" s="529" t="s">
        <v>199</v>
      </c>
      <c r="D2" s="526" t="s">
        <v>200</v>
      </c>
      <c r="E2" s="526" t="s">
        <v>201</v>
      </c>
      <c r="F2" s="526" t="s">
        <v>204</v>
      </c>
      <c r="G2" s="575" t="s">
        <v>199</v>
      </c>
      <c r="H2" s="575" t="s">
        <v>200</v>
      </c>
      <c r="I2" s="575" t="s">
        <v>201</v>
      </c>
      <c r="J2" s="575" t="s">
        <v>204</v>
      </c>
      <c r="K2" s="524" t="s">
        <v>269</v>
      </c>
      <c r="L2" s="526" t="s">
        <v>199</v>
      </c>
      <c r="M2" s="526" t="s">
        <v>200</v>
      </c>
      <c r="N2" s="526" t="s">
        <v>201</v>
      </c>
      <c r="O2" s="526" t="s">
        <v>204</v>
      </c>
      <c r="P2" s="527" t="s">
        <v>199</v>
      </c>
      <c r="Q2" s="526" t="s">
        <v>200</v>
      </c>
      <c r="R2" s="526" t="s">
        <v>201</v>
      </c>
      <c r="S2" s="526" t="s">
        <v>204</v>
      </c>
      <c r="U2" s="526" t="s">
        <v>199</v>
      </c>
      <c r="V2" s="526" t="s">
        <v>200</v>
      </c>
      <c r="W2" s="526" t="s">
        <v>201</v>
      </c>
      <c r="X2" s="526" t="s">
        <v>204</v>
      </c>
      <c r="Y2" s="650" t="s">
        <v>199</v>
      </c>
      <c r="Z2" s="526" t="s">
        <v>200</v>
      </c>
      <c r="AA2" s="526" t="s">
        <v>201</v>
      </c>
      <c r="AB2" s="526" t="s">
        <v>204</v>
      </c>
      <c r="AD2" s="526" t="s">
        <v>199</v>
      </c>
      <c r="AE2" s="526" t="s">
        <v>200</v>
      </c>
      <c r="AF2" s="526" t="s">
        <v>201</v>
      </c>
      <c r="AG2" s="526" t="s">
        <v>204</v>
      </c>
      <c r="AH2" s="527" t="s">
        <v>199</v>
      </c>
      <c r="AI2" s="526" t="s">
        <v>200</v>
      </c>
      <c r="AJ2" s="526" t="s">
        <v>201</v>
      </c>
      <c r="AK2" s="526" t="s">
        <v>204</v>
      </c>
    </row>
    <row r="3" spans="1:37" ht="30" customHeight="1" thickTop="1" x14ac:dyDescent="0.25">
      <c r="A3" s="2206">
        <v>44774</v>
      </c>
      <c r="B3" s="787">
        <v>1</v>
      </c>
      <c r="C3" s="592"/>
      <c r="D3" s="593"/>
      <c r="E3" s="593"/>
      <c r="F3" s="594"/>
      <c r="G3" s="685"/>
      <c r="H3" s="619"/>
      <c r="I3" s="620"/>
      <c r="J3" s="686"/>
      <c r="K3" s="622"/>
      <c r="L3" s="612"/>
      <c r="M3" s="630"/>
      <c r="N3" s="630"/>
      <c r="O3" s="628"/>
      <c r="P3" s="629"/>
      <c r="Q3" s="699"/>
      <c r="R3" s="700"/>
      <c r="S3" s="628"/>
      <c r="T3" s="622"/>
      <c r="U3" s="612"/>
      <c r="V3" s="630"/>
      <c r="W3" s="630"/>
      <c r="X3" s="613"/>
      <c r="Y3" s="792"/>
      <c r="Z3" s="629"/>
      <c r="AA3" s="719"/>
      <c r="AB3" s="720"/>
      <c r="AC3" s="622"/>
      <c r="AD3" s="612"/>
      <c r="AE3" s="630"/>
      <c r="AF3" s="6"/>
      <c r="AG3" s="628"/>
      <c r="AH3" s="629"/>
      <c r="AI3" s="630"/>
      <c r="AJ3" s="6"/>
      <c r="AK3" s="628"/>
    </row>
    <row r="4" spans="1:37" ht="19.899999999999999" customHeight="1" x14ac:dyDescent="0.25">
      <c r="A4" s="2205"/>
      <c r="B4" s="574">
        <v>2</v>
      </c>
      <c r="C4" s="595"/>
      <c r="D4" s="596"/>
      <c r="E4" s="596">
        <v>15</v>
      </c>
      <c r="F4" s="597"/>
      <c r="G4" s="685"/>
      <c r="H4" s="619"/>
      <c r="I4" s="620" t="s">
        <v>152</v>
      </c>
      <c r="J4" s="687"/>
      <c r="K4" s="622"/>
      <c r="L4" s="572"/>
      <c r="M4" s="6"/>
      <c r="N4" s="6"/>
      <c r="O4" s="613"/>
      <c r="P4" s="614"/>
      <c r="Q4" s="698"/>
      <c r="R4" s="794"/>
      <c r="S4" s="613"/>
      <c r="T4" s="622"/>
      <c r="U4" s="572"/>
      <c r="V4" s="605"/>
      <c r="W4" s="6">
        <v>11</v>
      </c>
      <c r="X4" s="613"/>
      <c r="Y4" s="799"/>
      <c r="Z4" s="6"/>
      <c r="AA4" s="698" t="s">
        <v>152</v>
      </c>
      <c r="AB4" s="722"/>
      <c r="AC4" s="622"/>
      <c r="AD4" s="572"/>
      <c r="AE4" s="6"/>
      <c r="AF4" s="6"/>
      <c r="AG4" s="613"/>
      <c r="AH4" s="614"/>
      <c r="AI4" s="6"/>
      <c r="AJ4" s="6"/>
      <c r="AK4" s="613"/>
    </row>
    <row r="5" spans="1:37" ht="26.45" customHeight="1" x14ac:dyDescent="0.25">
      <c r="A5" s="2206">
        <v>44775</v>
      </c>
      <c r="B5" s="574">
        <v>1</v>
      </c>
      <c r="C5" s="595"/>
      <c r="D5" s="596"/>
      <c r="E5" s="596"/>
      <c r="F5" s="597"/>
      <c r="G5" s="685"/>
      <c r="H5" s="619"/>
      <c r="I5" s="620"/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/>
      <c r="X5" s="613"/>
      <c r="Y5" s="792"/>
      <c r="Z5" s="50"/>
      <c r="AA5" s="6"/>
      <c r="AB5" s="723"/>
      <c r="AC5" s="622"/>
      <c r="AD5" s="572"/>
      <c r="AE5" s="6"/>
      <c r="AF5" s="6"/>
      <c r="AG5" s="613"/>
      <c r="AH5" s="614"/>
      <c r="AI5" s="6"/>
      <c r="AJ5" s="605"/>
      <c r="AK5" s="613"/>
    </row>
    <row r="6" spans="1:37" ht="63" customHeight="1" x14ac:dyDescent="0.25">
      <c r="A6" s="2205"/>
      <c r="B6" s="574">
        <v>2</v>
      </c>
      <c r="C6" s="595"/>
      <c r="D6" s="596"/>
      <c r="E6" s="596">
        <v>27</v>
      </c>
      <c r="F6" s="597"/>
      <c r="G6" s="685"/>
      <c r="H6" s="619"/>
      <c r="I6" s="620" t="s">
        <v>445</v>
      </c>
      <c r="J6" s="687"/>
      <c r="K6" s="622"/>
      <c r="L6" s="572"/>
      <c r="M6" s="6"/>
      <c r="N6" s="6"/>
      <c r="O6" s="613"/>
      <c r="P6" s="614"/>
      <c r="Q6" s="619"/>
      <c r="R6" s="6"/>
      <c r="S6" s="613"/>
      <c r="T6" s="622"/>
      <c r="U6" s="572"/>
      <c r="V6" s="6"/>
      <c r="W6" s="6">
        <v>20</v>
      </c>
      <c r="X6" s="613"/>
      <c r="Y6" s="792"/>
      <c r="Z6" s="6"/>
      <c r="AA6" s="698" t="s">
        <v>152</v>
      </c>
      <c r="AB6" s="613"/>
      <c r="AC6" s="622"/>
      <c r="AD6" s="572"/>
      <c r="AE6" s="6"/>
      <c r="AF6" s="6">
        <v>7</v>
      </c>
      <c r="AG6" s="613"/>
      <c r="AH6" s="614"/>
      <c r="AI6" s="6"/>
      <c r="AJ6" s="6" t="s">
        <v>152</v>
      </c>
      <c r="AK6" s="613"/>
    </row>
    <row r="7" spans="1:37" ht="19.899999999999999" customHeight="1" x14ac:dyDescent="0.25">
      <c r="A7" s="2206">
        <v>44776</v>
      </c>
      <c r="B7" s="574">
        <v>1</v>
      </c>
      <c r="C7" s="595"/>
      <c r="D7" s="596"/>
      <c r="E7" s="596">
        <v>140</v>
      </c>
      <c r="F7" s="597"/>
      <c r="G7" s="685"/>
      <c r="H7" s="620"/>
      <c r="I7" s="620" t="s">
        <v>440</v>
      </c>
      <c r="J7" s="687"/>
      <c r="K7" s="622"/>
      <c r="L7" s="572"/>
      <c r="M7" s="614"/>
      <c r="N7" s="6"/>
      <c r="O7" s="613"/>
      <c r="P7" s="614"/>
      <c r="Q7" s="614"/>
      <c r="R7" s="6"/>
      <c r="S7" s="613"/>
      <c r="T7" s="622"/>
      <c r="U7" s="572"/>
      <c r="V7" s="793"/>
      <c r="W7" s="6"/>
      <c r="X7" s="613"/>
      <c r="Y7" s="614"/>
      <c r="Z7" s="6"/>
      <c r="AA7" s="6"/>
      <c r="AB7" s="613"/>
      <c r="AC7" s="622"/>
      <c r="AD7" s="572"/>
      <c r="AE7" s="6"/>
      <c r="AF7" s="6"/>
      <c r="AG7" s="613"/>
      <c r="AH7" s="614"/>
      <c r="AI7" s="6"/>
      <c r="AJ7" s="6"/>
      <c r="AK7" s="613"/>
    </row>
    <row r="8" spans="1:37" ht="31.15" customHeight="1" x14ac:dyDescent="0.25">
      <c r="A8" s="2205"/>
      <c r="B8" s="574">
        <v>2</v>
      </c>
      <c r="C8" s="595">
        <v>720</v>
      </c>
      <c r="D8" s="596"/>
      <c r="E8" s="596"/>
      <c r="F8" s="597"/>
      <c r="G8" s="684" t="s">
        <v>441</v>
      </c>
      <c r="H8" s="620"/>
      <c r="I8" s="620"/>
      <c r="J8" s="635"/>
      <c r="K8" s="622"/>
      <c r="L8" s="572"/>
      <c r="M8" s="6"/>
      <c r="N8" s="6"/>
      <c r="O8" s="613"/>
      <c r="P8" s="792"/>
      <c r="Q8" s="605"/>
      <c r="R8" s="605"/>
      <c r="S8" s="635"/>
      <c r="T8" s="622"/>
      <c r="U8" s="572"/>
      <c r="V8" s="633"/>
      <c r="W8" s="614"/>
      <c r="X8" s="613"/>
      <c r="Y8" s="792"/>
      <c r="Z8" s="6"/>
      <c r="AA8" s="6"/>
      <c r="AB8" s="635"/>
      <c r="AC8" s="622"/>
      <c r="AD8" s="572"/>
      <c r="AE8" s="6"/>
      <c r="AF8" s="6"/>
      <c r="AG8" s="613"/>
      <c r="AH8" s="614"/>
      <c r="AI8" s="6"/>
      <c r="AJ8" s="6"/>
      <c r="AK8" s="635"/>
    </row>
    <row r="9" spans="1:37" ht="33.6" customHeight="1" x14ac:dyDescent="0.25">
      <c r="A9" s="2206">
        <v>44777</v>
      </c>
      <c r="B9" s="574">
        <v>1</v>
      </c>
      <c r="C9" s="595">
        <v>720</v>
      </c>
      <c r="D9" s="596"/>
      <c r="E9" s="596"/>
      <c r="F9" s="597"/>
      <c r="G9" s="685"/>
      <c r="H9" s="619"/>
      <c r="I9" s="619"/>
      <c r="J9" s="635"/>
      <c r="K9" s="622"/>
      <c r="L9" s="572"/>
      <c r="M9" s="6"/>
      <c r="N9" s="6"/>
      <c r="O9" s="613"/>
      <c r="P9" s="792"/>
      <c r="Q9" s="6"/>
      <c r="R9" s="605"/>
      <c r="S9" s="635"/>
      <c r="T9" s="622"/>
      <c r="U9" s="572"/>
      <c r="V9" s="6"/>
      <c r="W9" s="6"/>
      <c r="X9" s="613"/>
      <c r="Y9" s="614"/>
      <c r="Z9" s="6"/>
      <c r="AA9" s="6"/>
      <c r="AB9" s="635"/>
      <c r="AC9" s="622"/>
      <c r="AD9" s="572"/>
      <c r="AE9" s="6"/>
      <c r="AF9" s="6"/>
      <c r="AG9" s="613"/>
      <c r="AH9" s="614"/>
      <c r="AI9" s="6"/>
      <c r="AJ9" s="6"/>
      <c r="AK9" s="635"/>
    </row>
    <row r="10" spans="1:37" ht="47.45" customHeight="1" x14ac:dyDescent="0.25">
      <c r="A10" s="2205"/>
      <c r="B10" s="574">
        <v>2</v>
      </c>
      <c r="C10" s="595">
        <v>345</v>
      </c>
      <c r="D10" s="596"/>
      <c r="E10" s="596">
        <v>375</v>
      </c>
      <c r="F10" s="597"/>
      <c r="G10" s="685" t="s">
        <v>442</v>
      </c>
      <c r="H10" s="619"/>
      <c r="I10" s="620" t="s">
        <v>443</v>
      </c>
      <c r="J10" s="635"/>
      <c r="K10" s="622"/>
      <c r="L10" s="572"/>
      <c r="M10" s="6"/>
      <c r="N10" s="6"/>
      <c r="O10" s="613"/>
      <c r="P10" s="792"/>
      <c r="Q10" s="6"/>
      <c r="R10" s="605"/>
      <c r="S10" s="635"/>
      <c r="T10" s="622"/>
      <c r="U10" s="572"/>
      <c r="V10" s="6"/>
      <c r="W10" s="6"/>
      <c r="X10" s="613"/>
      <c r="Z10" s="792"/>
      <c r="AA10" s="6"/>
      <c r="AB10" s="635"/>
      <c r="AC10" s="622"/>
      <c r="AD10" s="572"/>
      <c r="AE10" s="6"/>
      <c r="AF10" s="6"/>
      <c r="AG10" s="613"/>
      <c r="AH10" s="614"/>
      <c r="AI10" s="6"/>
      <c r="AJ10" s="6"/>
      <c r="AK10" s="635"/>
    </row>
    <row r="11" spans="1:37" ht="90" customHeight="1" x14ac:dyDescent="0.25">
      <c r="A11" s="2206">
        <v>44778</v>
      </c>
      <c r="B11" s="574">
        <v>1</v>
      </c>
      <c r="C11" s="595"/>
      <c r="D11" s="596"/>
      <c r="E11" s="596"/>
      <c r="F11" s="597"/>
      <c r="G11" s="684"/>
      <c r="H11" s="619"/>
      <c r="I11" s="620"/>
      <c r="J11" s="687"/>
      <c r="K11" s="622"/>
      <c r="L11" s="572"/>
      <c r="M11" s="6"/>
      <c r="N11" s="6">
        <v>144</v>
      </c>
      <c r="O11" s="613"/>
      <c r="P11" s="792"/>
      <c r="Q11" s="6"/>
      <c r="R11" s="605" t="s">
        <v>440</v>
      </c>
      <c r="S11" s="613"/>
      <c r="T11" s="622"/>
      <c r="U11" s="572"/>
      <c r="V11" s="6"/>
      <c r="W11" s="6"/>
      <c r="X11" s="613"/>
      <c r="Y11" s="614"/>
      <c r="Z11" s="6"/>
      <c r="AA11" s="6"/>
      <c r="AB11" s="613"/>
      <c r="AC11" s="622"/>
      <c r="AD11" s="572"/>
      <c r="AE11" s="6"/>
      <c r="AF11" s="6"/>
      <c r="AG11" s="613"/>
      <c r="AH11" s="614"/>
      <c r="AI11" s="6"/>
      <c r="AJ11" s="6"/>
      <c r="AK11" s="613"/>
    </row>
    <row r="12" spans="1:37" ht="19.899999999999999" customHeight="1" x14ac:dyDescent="0.25">
      <c r="A12" s="2205"/>
      <c r="B12" s="574">
        <v>2</v>
      </c>
      <c r="C12" s="595"/>
      <c r="D12" s="596"/>
      <c r="E12" s="596"/>
      <c r="F12" s="597"/>
      <c r="G12" s="685"/>
      <c r="H12" s="619"/>
      <c r="I12" s="620"/>
      <c r="J12" s="687"/>
      <c r="K12" s="622"/>
      <c r="L12" s="572">
        <v>720</v>
      </c>
      <c r="M12" s="6"/>
      <c r="N12" s="6"/>
      <c r="O12" s="613"/>
      <c r="P12" s="798" t="s">
        <v>444</v>
      </c>
      <c r="Q12" s="6"/>
      <c r="R12" s="605"/>
      <c r="S12" s="613"/>
      <c r="T12" s="622"/>
      <c r="U12" s="572"/>
      <c r="V12" s="6"/>
      <c r="W12" s="6"/>
      <c r="X12" s="613"/>
      <c r="Y12" s="614"/>
      <c r="Z12" s="6"/>
      <c r="AA12" s="721"/>
      <c r="AB12" s="613"/>
      <c r="AC12" s="622"/>
      <c r="AD12" s="572"/>
      <c r="AE12" s="6"/>
      <c r="AF12" s="6"/>
      <c r="AG12" s="613"/>
      <c r="AH12" s="614"/>
      <c r="AI12" s="6"/>
      <c r="AJ12" s="6"/>
      <c r="AK12" s="613"/>
    </row>
    <row r="13" spans="1:37" ht="40.5" customHeight="1" x14ac:dyDescent="0.25">
      <c r="A13" s="2206">
        <v>44779</v>
      </c>
      <c r="B13" s="574">
        <v>1</v>
      </c>
      <c r="C13" s="595"/>
      <c r="D13" s="596"/>
      <c r="E13" s="596"/>
      <c r="F13" s="597"/>
      <c r="G13" s="685"/>
      <c r="H13" s="619"/>
      <c r="I13" s="620"/>
      <c r="J13" s="635"/>
      <c r="K13" s="622"/>
      <c r="L13" s="572">
        <v>270</v>
      </c>
      <c r="M13" s="6"/>
      <c r="N13" s="6">
        <v>483</v>
      </c>
      <c r="O13" s="613"/>
      <c r="P13" s="792"/>
      <c r="Q13" s="6"/>
      <c r="R13" s="605" t="s">
        <v>239</v>
      </c>
      <c r="S13" s="635"/>
      <c r="T13" s="622"/>
      <c r="U13" s="572"/>
      <c r="V13" s="6">
        <v>7</v>
      </c>
      <c r="W13" s="6"/>
      <c r="X13" s="613"/>
      <c r="Y13" s="792"/>
      <c r="Z13" s="605" t="s">
        <v>446</v>
      </c>
      <c r="AA13" s="6"/>
      <c r="AB13" s="635"/>
      <c r="AC13" s="622"/>
      <c r="AD13" s="572"/>
      <c r="AE13" s="6"/>
      <c r="AF13" s="6"/>
      <c r="AG13" s="613"/>
      <c r="AH13" s="614"/>
      <c r="AI13" s="6"/>
      <c r="AJ13" s="6"/>
      <c r="AK13" s="635"/>
    </row>
    <row r="14" spans="1:37" ht="34.15" customHeight="1" x14ac:dyDescent="0.25">
      <c r="A14" s="2205"/>
      <c r="B14" s="574">
        <v>2</v>
      </c>
      <c r="C14" s="595"/>
      <c r="D14" s="596"/>
      <c r="E14" s="596">
        <v>10</v>
      </c>
      <c r="F14" s="597"/>
      <c r="G14" s="685"/>
      <c r="H14" s="620"/>
      <c r="I14" s="620" t="s">
        <v>445</v>
      </c>
      <c r="J14" s="635"/>
      <c r="K14" s="622"/>
      <c r="L14" s="572"/>
      <c r="M14" s="6"/>
      <c r="N14" s="6"/>
      <c r="O14" s="613"/>
      <c r="P14" s="614"/>
      <c r="Q14" s="6"/>
      <c r="R14" s="6"/>
      <c r="S14" s="635"/>
      <c r="T14" s="622"/>
      <c r="U14" s="572"/>
      <c r="V14" s="6"/>
      <c r="W14" s="6">
        <v>15</v>
      </c>
      <c r="X14" s="613"/>
      <c r="Y14" s="792"/>
      <c r="Z14" s="605"/>
      <c r="AA14" s="605" t="s">
        <v>445</v>
      </c>
      <c r="AB14" s="726"/>
      <c r="AC14" s="622"/>
      <c r="AD14" s="572"/>
      <c r="AE14" s="6"/>
      <c r="AF14" s="6"/>
      <c r="AG14" s="613"/>
      <c r="AH14" s="792"/>
      <c r="AI14" s="6"/>
      <c r="AJ14" s="6"/>
      <c r="AK14" s="635"/>
    </row>
    <row r="15" spans="1:37" ht="43.9" customHeight="1" x14ac:dyDescent="0.25">
      <c r="A15" s="2206">
        <v>44780</v>
      </c>
      <c r="B15" s="574">
        <v>1</v>
      </c>
      <c r="C15" s="595"/>
      <c r="D15" s="596"/>
      <c r="E15" s="6">
        <v>15</v>
      </c>
      <c r="F15" s="597"/>
      <c r="G15" s="685"/>
      <c r="H15" s="620"/>
      <c r="I15" s="620" t="s">
        <v>152</v>
      </c>
      <c r="J15" s="687"/>
      <c r="K15" s="622"/>
      <c r="L15" s="572"/>
      <c r="M15" s="6"/>
      <c r="N15" s="6"/>
      <c r="O15" s="613"/>
      <c r="P15" s="572"/>
      <c r="Q15" s="620"/>
      <c r="R15" s="6"/>
      <c r="S15" s="613"/>
      <c r="T15" s="622"/>
      <c r="U15" s="572"/>
      <c r="V15" s="6"/>
      <c r="W15" s="6"/>
      <c r="X15" s="613"/>
      <c r="Y15" s="572"/>
      <c r="Z15" s="620"/>
      <c r="AA15" s="728"/>
      <c r="AB15" s="727"/>
      <c r="AC15" s="622"/>
      <c r="AD15" s="572"/>
      <c r="AE15" s="6"/>
      <c r="AF15" s="622"/>
      <c r="AG15" s="613"/>
      <c r="AI15" s="620"/>
      <c r="AJ15" s="572"/>
      <c r="AK15" s="613"/>
    </row>
    <row r="16" spans="1:37" ht="37.5" customHeight="1" x14ac:dyDescent="0.25">
      <c r="A16" s="2205"/>
      <c r="B16" s="574">
        <v>2</v>
      </c>
      <c r="C16" s="595"/>
      <c r="D16" s="596"/>
      <c r="E16" s="596">
        <v>59</v>
      </c>
      <c r="F16" s="597"/>
      <c r="G16" s="684"/>
      <c r="H16" s="619"/>
      <c r="I16" s="684" t="s">
        <v>97</v>
      </c>
      <c r="J16" s="687"/>
      <c r="K16" s="622"/>
      <c r="L16" s="572"/>
      <c r="M16" s="6"/>
      <c r="N16" s="6"/>
      <c r="O16" s="613"/>
      <c r="P16" s="572"/>
      <c r="Q16" s="6"/>
      <c r="R16" s="6"/>
      <c r="S16" s="613"/>
      <c r="T16" s="622"/>
      <c r="U16" s="572"/>
      <c r="V16" s="6"/>
      <c r="W16" s="6"/>
      <c r="X16" s="613"/>
      <c r="Y16" s="619"/>
      <c r="Z16" s="619"/>
      <c r="AA16" s="6"/>
      <c r="AB16" s="613"/>
      <c r="AC16" s="622"/>
      <c r="AD16" s="572"/>
      <c r="AE16" s="6"/>
      <c r="AF16" s="6"/>
      <c r="AG16" s="613"/>
      <c r="AH16" s="572"/>
      <c r="AI16" s="6"/>
      <c r="AJ16" s="6"/>
      <c r="AK16" s="613"/>
    </row>
    <row r="17" spans="1:37" ht="32.450000000000003" customHeight="1" x14ac:dyDescent="0.25">
      <c r="A17" s="2206">
        <v>44781</v>
      </c>
      <c r="B17" s="644">
        <v>1</v>
      </c>
      <c r="C17" s="595"/>
      <c r="D17" s="596"/>
      <c r="E17" s="596"/>
      <c r="F17" s="597"/>
      <c r="G17" s="685"/>
      <c r="H17" s="619"/>
      <c r="I17" s="620"/>
      <c r="J17" s="687"/>
      <c r="K17" s="622"/>
      <c r="L17" s="572"/>
      <c r="M17" s="6"/>
      <c r="N17" s="6"/>
      <c r="O17" s="613"/>
      <c r="P17" s="572"/>
      <c r="Q17" s="6"/>
      <c r="R17" s="6"/>
      <c r="S17" s="613"/>
      <c r="T17" s="622"/>
      <c r="U17" s="572"/>
      <c r="V17" s="6"/>
      <c r="W17" s="6"/>
      <c r="X17" s="613"/>
      <c r="Y17" s="619"/>
      <c r="Z17" s="619"/>
      <c r="AA17" s="6"/>
      <c r="AB17" s="613"/>
      <c r="AC17" s="622"/>
      <c r="AD17" s="572"/>
      <c r="AE17" s="6"/>
      <c r="AF17" s="6"/>
      <c r="AG17" s="613"/>
      <c r="AH17" s="572"/>
      <c r="AI17" s="6"/>
      <c r="AJ17" s="605"/>
      <c r="AK17" s="613"/>
    </row>
    <row r="18" spans="1:37" ht="39.6" customHeight="1" x14ac:dyDescent="0.25">
      <c r="A18" s="2205"/>
      <c r="B18" s="574">
        <v>2</v>
      </c>
      <c r="C18" s="595"/>
      <c r="D18" s="596"/>
      <c r="E18" s="596"/>
      <c r="F18" s="597"/>
      <c r="G18" s="684"/>
      <c r="H18" s="620"/>
      <c r="I18" s="619"/>
      <c r="J18" s="687"/>
      <c r="K18" s="622"/>
      <c r="L18" s="572"/>
      <c r="M18" s="6"/>
      <c r="N18" s="6">
        <v>35</v>
      </c>
      <c r="O18" s="613"/>
      <c r="P18" s="572"/>
      <c r="Q18" s="6"/>
      <c r="R18" s="6" t="s">
        <v>97</v>
      </c>
      <c r="S18" s="613"/>
      <c r="T18" s="622"/>
      <c r="U18" s="572"/>
      <c r="V18" s="6"/>
      <c r="W18" s="6"/>
      <c r="X18" s="613"/>
      <c r="Y18" s="567"/>
      <c r="Z18" s="6"/>
      <c r="AA18" s="605"/>
      <c r="AB18" s="613"/>
      <c r="AC18" s="622"/>
      <c r="AD18" s="572"/>
      <c r="AE18" s="6"/>
      <c r="AF18" s="6"/>
      <c r="AG18" s="613"/>
      <c r="AH18" s="572"/>
      <c r="AI18" s="6"/>
      <c r="AJ18" s="605"/>
      <c r="AK18" s="613"/>
    </row>
    <row r="19" spans="1:37" ht="33.6" customHeight="1" x14ac:dyDescent="0.25">
      <c r="A19" s="2206">
        <v>44782</v>
      </c>
      <c r="B19" s="574">
        <v>1</v>
      </c>
      <c r="C19" s="622"/>
      <c r="D19" s="596"/>
      <c r="E19" s="596">
        <v>28</v>
      </c>
      <c r="F19" s="597"/>
      <c r="G19" s="685"/>
      <c r="H19" s="619"/>
      <c r="I19" s="620" t="s">
        <v>325</v>
      </c>
      <c r="J19" s="687"/>
      <c r="K19" s="622"/>
      <c r="L19" s="572"/>
      <c r="M19" s="6"/>
      <c r="N19" s="6"/>
      <c r="O19" s="613"/>
      <c r="P19" s="572"/>
      <c r="Q19" s="6"/>
      <c r="R19" s="6"/>
      <c r="S19" s="613"/>
      <c r="T19" s="622"/>
      <c r="U19" s="572"/>
      <c r="V19" s="6"/>
      <c r="W19" s="6">
        <v>20</v>
      </c>
      <c r="X19" s="613"/>
      <c r="Y19" s="572"/>
      <c r="Z19" s="605"/>
      <c r="AA19" s="605" t="s">
        <v>325</v>
      </c>
      <c r="AB19" s="613"/>
      <c r="AC19" s="622"/>
      <c r="AD19" s="572"/>
      <c r="AE19" s="6"/>
      <c r="AF19" s="6"/>
      <c r="AG19" s="613"/>
      <c r="AH19" s="572"/>
      <c r="AI19" s="6"/>
      <c r="AJ19" s="605"/>
      <c r="AK19" s="613"/>
    </row>
    <row r="20" spans="1:37" ht="56.45" customHeight="1" x14ac:dyDescent="0.25">
      <c r="A20" s="2205"/>
      <c r="B20" s="574">
        <v>2</v>
      </c>
      <c r="C20" s="595"/>
      <c r="D20" s="596"/>
      <c r="E20" s="596"/>
      <c r="F20" s="597">
        <v>218</v>
      </c>
      <c r="G20" s="685"/>
      <c r="H20" s="620"/>
      <c r="I20" s="620"/>
      <c r="J20" s="635" t="s">
        <v>447</v>
      </c>
      <c r="K20" s="622"/>
      <c r="L20" s="572"/>
      <c r="M20" s="6"/>
      <c r="N20" s="6"/>
      <c r="O20" s="613">
        <v>218</v>
      </c>
      <c r="P20" s="572"/>
      <c r="Q20" s="6"/>
      <c r="R20" s="6"/>
      <c r="S20" s="635" t="s">
        <v>447</v>
      </c>
      <c r="T20" s="622"/>
      <c r="U20" s="572"/>
      <c r="V20" s="250"/>
      <c r="W20" s="6"/>
      <c r="X20" s="613">
        <v>217</v>
      </c>
      <c r="Y20" s="572"/>
      <c r="Z20" s="605"/>
      <c r="AA20" s="724"/>
      <c r="AB20" s="635" t="s">
        <v>447</v>
      </c>
      <c r="AC20" s="622"/>
      <c r="AD20" s="572"/>
      <c r="AE20" s="6"/>
      <c r="AF20" s="6"/>
      <c r="AG20" s="613">
        <v>223</v>
      </c>
      <c r="AH20" s="567"/>
      <c r="AI20" s="6"/>
      <c r="AJ20" s="613"/>
      <c r="AK20" s="635" t="s">
        <v>447</v>
      </c>
    </row>
    <row r="21" spans="1:37" ht="97.15" customHeight="1" x14ac:dyDescent="0.25">
      <c r="A21" s="2206">
        <v>44783</v>
      </c>
      <c r="B21" s="574">
        <v>1</v>
      </c>
      <c r="C21" s="595"/>
      <c r="D21" s="596"/>
      <c r="E21" s="596"/>
      <c r="F21" s="597">
        <f>69+265</f>
        <v>334</v>
      </c>
      <c r="G21" s="688"/>
      <c r="H21" s="619"/>
      <c r="I21" s="620"/>
      <c r="J21" s="635" t="s">
        <v>447</v>
      </c>
      <c r="K21" s="622"/>
      <c r="L21" s="572"/>
      <c r="M21" s="6"/>
      <c r="N21" s="6"/>
      <c r="O21" s="613">
        <f>59+265</f>
        <v>324</v>
      </c>
      <c r="P21" s="572"/>
      <c r="Q21" s="6"/>
      <c r="R21" s="6"/>
      <c r="S21" s="635" t="s">
        <v>447</v>
      </c>
      <c r="T21" s="622"/>
      <c r="U21" s="572"/>
      <c r="V21" s="6"/>
      <c r="W21" s="6"/>
      <c r="X21" s="613">
        <f>71+263</f>
        <v>334</v>
      </c>
      <c r="Y21" s="572"/>
      <c r="Z21" s="6"/>
      <c r="AA21" s="605"/>
      <c r="AB21" s="635" t="s">
        <v>449</v>
      </c>
      <c r="AC21" s="622"/>
      <c r="AD21" s="572"/>
      <c r="AE21" s="6"/>
      <c r="AF21" s="6"/>
      <c r="AG21" s="613">
        <f>69+265</f>
        <v>334</v>
      </c>
      <c r="AH21" s="572"/>
      <c r="AI21" s="6"/>
      <c r="AJ21" s="613"/>
      <c r="AK21" s="635" t="s">
        <v>447</v>
      </c>
    </row>
    <row r="22" spans="1:37" ht="55.9" customHeight="1" x14ac:dyDescent="0.25">
      <c r="A22" s="2205"/>
      <c r="B22" s="574">
        <v>2</v>
      </c>
      <c r="C22" s="595"/>
      <c r="D22" s="596"/>
      <c r="E22" s="596"/>
      <c r="F22" s="597">
        <v>3</v>
      </c>
      <c r="G22" s="789"/>
      <c r="H22" s="620"/>
      <c r="I22" s="620"/>
      <c r="J22" s="635" t="s">
        <v>448</v>
      </c>
      <c r="K22" s="622"/>
      <c r="L22" s="572"/>
      <c r="M22" s="6"/>
      <c r="N22" s="6"/>
      <c r="O22" s="597">
        <v>8</v>
      </c>
      <c r="P22" s="792"/>
      <c r="Q22" s="6"/>
      <c r="R22" s="6"/>
      <c r="S22" s="635" t="s">
        <v>448</v>
      </c>
      <c r="T22" s="622"/>
      <c r="U22" s="572"/>
      <c r="V22" s="6"/>
      <c r="W22" s="6"/>
      <c r="X22" s="597"/>
      <c r="Y22" s="572"/>
      <c r="Z22" s="6"/>
      <c r="AA22" s="605"/>
      <c r="AB22" s="635"/>
      <c r="AC22" s="622"/>
      <c r="AD22" s="572"/>
      <c r="AE22" s="6"/>
      <c r="AF22" s="6"/>
      <c r="AG22" s="597">
        <v>14</v>
      </c>
      <c r="AH22" s="572"/>
      <c r="AI22" s="6"/>
      <c r="AJ22" s="613"/>
      <c r="AK22" s="635" t="s">
        <v>448</v>
      </c>
    </row>
    <row r="23" spans="1:37" ht="37.9" customHeight="1" x14ac:dyDescent="0.25">
      <c r="A23" s="2206">
        <v>44784</v>
      </c>
      <c r="B23" s="644">
        <v>1</v>
      </c>
      <c r="C23" s="595"/>
      <c r="D23" s="596"/>
      <c r="E23" s="596">
        <v>10</v>
      </c>
      <c r="F23" s="597"/>
      <c r="G23" s="685"/>
      <c r="H23" s="619"/>
      <c r="I23" s="620" t="s">
        <v>152</v>
      </c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/>
      <c r="V23" s="6">
        <v>6</v>
      </c>
      <c r="W23" s="6">
        <v>30</v>
      </c>
      <c r="X23" s="597"/>
      <c r="Y23" s="685"/>
      <c r="Z23" s="619" t="s">
        <v>450</v>
      </c>
      <c r="AA23" s="620" t="s">
        <v>152</v>
      </c>
      <c r="AB23" s="634"/>
      <c r="AC23" s="622"/>
      <c r="AD23" s="572"/>
      <c r="AE23" s="6">
        <v>11</v>
      </c>
      <c r="AF23" s="6"/>
      <c r="AG23" s="613"/>
      <c r="AH23" s="6"/>
      <c r="AI23" s="619" t="s">
        <v>450</v>
      </c>
      <c r="AJ23" s="635"/>
      <c r="AK23" s="634"/>
    </row>
    <row r="24" spans="1:37" ht="49.9" customHeight="1" x14ac:dyDescent="0.25">
      <c r="A24" s="2205"/>
      <c r="B24" s="574">
        <v>2</v>
      </c>
      <c r="C24" s="595"/>
      <c r="D24" s="596"/>
      <c r="E24" s="596">
        <v>8</v>
      </c>
      <c r="F24" s="597"/>
      <c r="G24" s="685"/>
      <c r="H24" s="619"/>
      <c r="I24" s="620" t="s">
        <v>152</v>
      </c>
      <c r="J24" s="635"/>
      <c r="K24" s="622"/>
      <c r="L24" s="572"/>
      <c r="M24" s="6"/>
      <c r="N24" s="6"/>
      <c r="O24" s="597"/>
      <c r="P24" s="685"/>
      <c r="Q24" s="619"/>
      <c r="R24" s="620"/>
      <c r="S24" s="635"/>
      <c r="T24" s="622"/>
      <c r="U24" s="572"/>
      <c r="V24" s="6">
        <v>10</v>
      </c>
      <c r="W24" s="6">
        <v>9</v>
      </c>
      <c r="X24" s="597"/>
      <c r="Y24" s="685"/>
      <c r="Z24" s="619" t="s">
        <v>450</v>
      </c>
      <c r="AA24" s="620" t="s">
        <v>152</v>
      </c>
      <c r="AB24" s="634"/>
      <c r="AC24" s="622"/>
      <c r="AD24" s="572"/>
      <c r="AE24" s="6">
        <v>14</v>
      </c>
      <c r="AF24" s="6"/>
      <c r="AG24" s="613"/>
      <c r="AH24" s="6"/>
      <c r="AI24" s="619" t="s">
        <v>450</v>
      </c>
      <c r="AJ24" s="613"/>
      <c r="AK24" s="634"/>
    </row>
    <row r="25" spans="1:37" ht="46.15" customHeight="1" x14ac:dyDescent="0.25">
      <c r="A25" s="2206">
        <v>44785</v>
      </c>
      <c r="B25" s="574">
        <v>1</v>
      </c>
      <c r="C25" s="595"/>
      <c r="D25" s="596"/>
      <c r="E25" s="596"/>
      <c r="F25" s="597"/>
      <c r="G25" s="685"/>
      <c r="H25" s="619"/>
      <c r="I25" s="620"/>
      <c r="J25" s="635"/>
      <c r="K25" s="622"/>
      <c r="L25" s="572"/>
      <c r="M25" s="6"/>
      <c r="N25" s="6"/>
      <c r="O25" s="613"/>
      <c r="P25" s="572"/>
      <c r="Q25" s="619"/>
      <c r="R25" s="6"/>
      <c r="S25" s="635"/>
      <c r="T25" s="622"/>
      <c r="U25" s="572"/>
      <c r="V25" s="6"/>
      <c r="W25" s="6"/>
      <c r="X25" s="613"/>
      <c r="Y25" s="572"/>
      <c r="Z25" s="6"/>
      <c r="AA25" s="605"/>
      <c r="AB25" s="634"/>
      <c r="AC25" s="622"/>
      <c r="AD25" s="572"/>
      <c r="AE25" s="6"/>
      <c r="AF25" s="6"/>
      <c r="AG25" s="597"/>
      <c r="AH25" s="6"/>
      <c r="AI25" s="6"/>
      <c r="AJ25" s="613"/>
      <c r="AK25" s="634"/>
    </row>
    <row r="26" spans="1:37" ht="42" customHeight="1" x14ac:dyDescent="0.25">
      <c r="A26" s="2205"/>
      <c r="B26" s="574">
        <v>2</v>
      </c>
      <c r="C26" s="595"/>
      <c r="D26" s="596"/>
      <c r="E26" s="596"/>
      <c r="F26" s="597"/>
      <c r="G26" s="685"/>
      <c r="H26" s="620"/>
      <c r="I26" s="692"/>
      <c r="J26" s="635"/>
      <c r="K26" s="622"/>
      <c r="L26" s="572"/>
      <c r="M26" s="6"/>
      <c r="N26" s="6"/>
      <c r="O26" s="597"/>
      <c r="P26" s="685"/>
      <c r="Q26" s="620"/>
      <c r="R26" s="620"/>
      <c r="S26" s="635"/>
      <c r="T26" s="622"/>
      <c r="U26" s="572"/>
      <c r="V26" s="596"/>
      <c r="W26" s="6"/>
      <c r="X26" s="597"/>
      <c r="Y26" s="685"/>
      <c r="Z26" s="620"/>
      <c r="AA26" s="620"/>
      <c r="AB26" s="634"/>
      <c r="AC26" s="622"/>
      <c r="AD26" s="572"/>
      <c r="AE26" s="596"/>
      <c r="AF26" s="6"/>
      <c r="AG26" s="613"/>
      <c r="AH26" s="6"/>
      <c r="AI26" s="6"/>
      <c r="AJ26" s="613"/>
      <c r="AK26" s="634"/>
    </row>
    <row r="27" spans="1:37" ht="49.9" customHeight="1" x14ac:dyDescent="0.25">
      <c r="A27" s="2206">
        <v>44786</v>
      </c>
      <c r="B27" s="644">
        <v>1</v>
      </c>
      <c r="C27" s="595"/>
      <c r="D27" s="596"/>
      <c r="E27" s="596"/>
      <c r="F27" s="597"/>
      <c r="G27" s="685"/>
      <c r="H27" s="619"/>
      <c r="I27" s="692"/>
      <c r="J27" s="635"/>
      <c r="K27" s="622"/>
      <c r="L27" s="572"/>
      <c r="M27" s="6"/>
      <c r="N27" s="6"/>
      <c r="O27" s="597"/>
      <c r="P27" s="685"/>
      <c r="Q27" s="619"/>
      <c r="R27" s="620"/>
      <c r="S27" s="634"/>
      <c r="T27" s="622"/>
      <c r="U27" s="572"/>
      <c r="V27" s="6"/>
      <c r="W27" s="6"/>
      <c r="X27" s="613"/>
      <c r="Y27" s="685"/>
      <c r="Z27" s="619"/>
      <c r="AA27" s="620"/>
      <c r="AB27" s="635"/>
      <c r="AC27" s="622"/>
      <c r="AD27" s="572"/>
      <c r="AE27" s="6"/>
      <c r="AF27" s="6"/>
      <c r="AG27" s="613"/>
      <c r="AH27" s="6"/>
      <c r="AI27" s="6"/>
      <c r="AJ27" s="635"/>
      <c r="AK27" s="634"/>
    </row>
    <row r="28" spans="1:37" ht="49.15" customHeight="1" x14ac:dyDescent="0.25">
      <c r="A28" s="2205"/>
      <c r="B28" s="574">
        <v>2</v>
      </c>
      <c r="C28" s="595"/>
      <c r="D28" s="596"/>
      <c r="E28" s="596">
        <v>108</v>
      </c>
      <c r="F28" s="597"/>
      <c r="G28" s="620"/>
      <c r="H28" s="620"/>
      <c r="I28" s="692" t="s">
        <v>451</v>
      </c>
      <c r="J28" s="635"/>
      <c r="K28" s="622"/>
      <c r="L28" s="572"/>
      <c r="M28" s="6"/>
      <c r="N28" s="6"/>
      <c r="O28" s="597"/>
      <c r="P28" s="620"/>
      <c r="Q28" s="620"/>
      <c r="R28" s="620"/>
      <c r="S28" s="634"/>
      <c r="T28" s="622"/>
      <c r="U28" s="572"/>
      <c r="V28" s="6"/>
      <c r="W28" s="597">
        <v>112</v>
      </c>
      <c r="X28" s="597"/>
      <c r="Y28" s="620"/>
      <c r="Z28" s="619"/>
      <c r="AA28" s="692" t="s">
        <v>451</v>
      </c>
      <c r="AB28" s="635"/>
      <c r="AC28" s="622"/>
      <c r="AD28" s="572"/>
      <c r="AE28" s="6"/>
      <c r="AF28" s="6">
        <v>23</v>
      </c>
      <c r="AG28" s="597"/>
      <c r="AH28" s="6"/>
      <c r="AI28" s="6"/>
      <c r="AJ28" s="692" t="s">
        <v>451</v>
      </c>
      <c r="AK28" s="634"/>
    </row>
    <row r="29" spans="1:37" ht="57" customHeight="1" x14ac:dyDescent="0.25">
      <c r="A29" s="2206">
        <v>44787</v>
      </c>
      <c r="B29" s="574">
        <v>1</v>
      </c>
      <c r="C29" s="595"/>
      <c r="D29" s="596"/>
      <c r="E29" s="596">
        <v>55</v>
      </c>
      <c r="F29" s="597"/>
      <c r="G29" s="685"/>
      <c r="H29" s="619"/>
      <c r="I29" s="692" t="s">
        <v>451</v>
      </c>
      <c r="J29" s="635"/>
      <c r="K29" s="622"/>
      <c r="L29" s="572"/>
      <c r="M29" s="6"/>
      <c r="N29" s="6"/>
      <c r="O29" s="597"/>
      <c r="P29" s="685"/>
      <c r="Q29" s="619"/>
      <c r="R29" s="620"/>
      <c r="S29" s="635"/>
      <c r="T29" s="622"/>
      <c r="U29" s="572"/>
      <c r="V29" s="6"/>
      <c r="W29" s="6">
        <v>95</v>
      </c>
      <c r="X29" s="597"/>
      <c r="Y29" s="685"/>
      <c r="Z29" s="619"/>
      <c r="AA29" s="692" t="s">
        <v>451</v>
      </c>
      <c r="AB29" s="635"/>
      <c r="AC29" s="622"/>
      <c r="AD29" s="572"/>
      <c r="AE29" s="6"/>
      <c r="AF29" s="6"/>
      <c r="AG29" s="597"/>
      <c r="AH29" s="685"/>
      <c r="AI29" s="619"/>
      <c r="AJ29" s="620"/>
      <c r="AK29" s="613"/>
    </row>
    <row r="30" spans="1:37" ht="39.75" customHeight="1" x14ac:dyDescent="0.25">
      <c r="A30" s="2205"/>
      <c r="B30" s="644">
        <v>2</v>
      </c>
      <c r="C30" s="595"/>
      <c r="D30" s="596"/>
      <c r="E30" s="596">
        <v>30</v>
      </c>
      <c r="F30" s="597"/>
      <c r="G30" s="685"/>
      <c r="H30" s="619"/>
      <c r="I30" s="620" t="s">
        <v>152</v>
      </c>
      <c r="J30" s="635"/>
      <c r="K30" s="622"/>
      <c r="L30" s="572"/>
      <c r="M30" s="6"/>
      <c r="N30" s="6"/>
      <c r="O30" s="597"/>
      <c r="P30" s="685"/>
      <c r="Q30" s="620"/>
      <c r="R30" s="620"/>
      <c r="S30" s="635"/>
      <c r="T30" s="622"/>
      <c r="U30" s="572"/>
      <c r="V30" s="6"/>
      <c r="W30" s="6"/>
      <c r="X30" s="597"/>
      <c r="Y30" s="685"/>
      <c r="Z30" s="619"/>
      <c r="AA30" s="620"/>
      <c r="AB30" s="613"/>
      <c r="AC30" s="622"/>
      <c r="AD30" s="572"/>
      <c r="AE30" s="6"/>
      <c r="AF30" s="6"/>
      <c r="AG30" s="597"/>
      <c r="AH30" s="685"/>
      <c r="AI30" s="619"/>
      <c r="AJ30" s="620"/>
      <c r="AK30" s="613"/>
    </row>
    <row r="31" spans="1:37" ht="48.6" customHeight="1" x14ac:dyDescent="0.25">
      <c r="A31" s="2206">
        <v>44788</v>
      </c>
      <c r="B31" s="574">
        <v>1</v>
      </c>
      <c r="C31" s="595"/>
      <c r="D31" s="596"/>
      <c r="E31" s="596">
        <v>23</v>
      </c>
      <c r="F31" s="597">
        <v>20</v>
      </c>
      <c r="G31" s="685"/>
      <c r="H31" s="619"/>
      <c r="I31" s="620" t="s">
        <v>152</v>
      </c>
      <c r="J31" s="635" t="s">
        <v>452</v>
      </c>
      <c r="K31" s="622"/>
      <c r="L31" s="572"/>
      <c r="M31" s="6"/>
      <c r="N31" s="6"/>
      <c r="O31" s="597">
        <v>20</v>
      </c>
      <c r="P31" s="614"/>
      <c r="Q31" s="6"/>
      <c r="R31" s="6"/>
      <c r="S31" s="635" t="s">
        <v>452</v>
      </c>
      <c r="T31" s="622"/>
      <c r="U31" s="572"/>
      <c r="V31" s="6"/>
      <c r="W31" s="6"/>
      <c r="X31" s="597">
        <v>20</v>
      </c>
      <c r="Y31" s="614"/>
      <c r="Z31" s="6"/>
      <c r="AA31" s="6"/>
      <c r="AB31" s="635" t="s">
        <v>452</v>
      </c>
      <c r="AC31" s="622"/>
      <c r="AD31" s="572"/>
      <c r="AE31" s="6"/>
      <c r="AF31" s="6"/>
      <c r="AG31" s="597">
        <v>20</v>
      </c>
      <c r="AH31" s="614"/>
      <c r="AI31" s="6"/>
      <c r="AJ31" s="6"/>
      <c r="AK31" s="635" t="s">
        <v>452</v>
      </c>
    </row>
    <row r="32" spans="1:37" ht="42.75" customHeight="1" x14ac:dyDescent="0.25">
      <c r="A32" s="2205"/>
      <c r="B32" s="574">
        <v>2</v>
      </c>
      <c r="C32" s="595"/>
      <c r="D32" s="596"/>
      <c r="E32" s="596">
        <v>25</v>
      </c>
      <c r="F32" s="597"/>
      <c r="G32" s="685"/>
      <c r="H32" s="619"/>
      <c r="I32" s="692" t="s">
        <v>453</v>
      </c>
      <c r="J32" s="687"/>
      <c r="K32" s="622"/>
      <c r="L32" s="572"/>
      <c r="M32" s="6"/>
      <c r="N32" s="6"/>
      <c r="O32" s="613"/>
      <c r="P32" s="614"/>
      <c r="Q32" s="6"/>
      <c r="R32" s="6"/>
      <c r="S32" s="764"/>
      <c r="T32" s="622"/>
      <c r="U32" s="572"/>
      <c r="V32" s="6">
        <v>14</v>
      </c>
      <c r="W32" s="6"/>
      <c r="X32" s="613"/>
      <c r="Y32" s="614"/>
      <c r="Z32" s="605" t="s">
        <v>446</v>
      </c>
      <c r="AA32" s="6"/>
      <c r="AB32" s="635"/>
      <c r="AC32" s="622"/>
      <c r="AD32" s="572"/>
      <c r="AE32" s="6"/>
      <c r="AF32" s="6"/>
      <c r="AG32" s="613"/>
      <c r="AH32" s="614"/>
      <c r="AI32" s="605"/>
      <c r="AJ32" s="6"/>
      <c r="AK32" s="613"/>
    </row>
    <row r="33" spans="1:37" ht="54" customHeight="1" x14ac:dyDescent="0.25">
      <c r="A33" s="2206">
        <v>44789</v>
      </c>
      <c r="B33" s="574">
        <v>1</v>
      </c>
      <c r="C33" s="595"/>
      <c r="D33" s="596"/>
      <c r="E33" s="596"/>
      <c r="F33" s="597"/>
      <c r="G33" s="685"/>
      <c r="H33" s="619"/>
      <c r="I33" s="692"/>
      <c r="J33" s="687"/>
      <c r="K33" s="622"/>
      <c r="L33" s="572"/>
      <c r="M33" s="6"/>
      <c r="N33" s="6"/>
      <c r="O33" s="613"/>
      <c r="P33" s="614"/>
      <c r="Q33" s="6"/>
      <c r="R33" s="6"/>
      <c r="S33" s="613"/>
      <c r="T33" s="622"/>
      <c r="U33" s="572"/>
      <c r="V33" s="6"/>
      <c r="W33" s="6"/>
      <c r="X33" s="613"/>
      <c r="Y33" s="614"/>
      <c r="Z33" s="6"/>
      <c r="AA33" s="605"/>
      <c r="AB33" s="613"/>
      <c r="AC33" s="622"/>
      <c r="AD33" s="572"/>
      <c r="AE33" s="6"/>
      <c r="AF33" s="6"/>
      <c r="AG33" s="613"/>
      <c r="AH33" s="614"/>
      <c r="AI33" s="605"/>
      <c r="AJ33" s="6"/>
      <c r="AK33" s="613"/>
    </row>
    <row r="34" spans="1:37" ht="26.45" customHeight="1" x14ac:dyDescent="0.25">
      <c r="A34" s="2205"/>
      <c r="B34" s="644">
        <v>2</v>
      </c>
      <c r="C34" s="596"/>
      <c r="D34" s="596"/>
      <c r="E34" s="596">
        <v>15</v>
      </c>
      <c r="F34" s="597"/>
      <c r="G34" s="685"/>
      <c r="H34" s="620"/>
      <c r="I34" s="620" t="s">
        <v>152</v>
      </c>
      <c r="J34" s="687"/>
      <c r="K34" s="622"/>
      <c r="L34" s="572"/>
      <c r="M34" s="6"/>
      <c r="N34" s="6"/>
      <c r="O34" s="613"/>
      <c r="P34" s="614"/>
      <c r="Q34" s="620"/>
      <c r="R34" s="6"/>
      <c r="S34" s="635"/>
      <c r="T34" s="622"/>
      <c r="U34" s="572"/>
      <c r="V34" s="6"/>
      <c r="W34" s="6">
        <v>28</v>
      </c>
      <c r="X34" s="613"/>
      <c r="Y34" s="6"/>
      <c r="Z34" s="605"/>
      <c r="AA34" s="620" t="s">
        <v>152</v>
      </c>
      <c r="AB34" s="635"/>
      <c r="AC34" s="622"/>
      <c r="AD34" s="572"/>
      <c r="AE34" s="6"/>
      <c r="AF34" s="6"/>
      <c r="AG34" s="613"/>
      <c r="AH34" s="614"/>
      <c r="AI34" s="6"/>
      <c r="AJ34" s="6"/>
      <c r="AK34" s="613"/>
    </row>
    <row r="35" spans="1:37" ht="54" customHeight="1" x14ac:dyDescent="0.25">
      <c r="A35" s="2206">
        <v>44790</v>
      </c>
      <c r="B35" s="574">
        <v>1</v>
      </c>
      <c r="C35" s="596"/>
      <c r="D35" s="596"/>
      <c r="E35" s="613">
        <v>70</v>
      </c>
      <c r="F35" s="567"/>
      <c r="G35" s="567"/>
      <c r="H35" s="6"/>
      <c r="I35" s="605" t="s">
        <v>454</v>
      </c>
      <c r="J35" s="687"/>
      <c r="K35" s="622"/>
      <c r="L35" s="572"/>
      <c r="M35" s="6"/>
      <c r="N35" s="6"/>
      <c r="O35" s="613"/>
      <c r="P35" s="567"/>
      <c r="Q35" s="796"/>
      <c r="R35" s="620"/>
      <c r="S35" s="635"/>
      <c r="T35" s="622"/>
      <c r="U35" s="572"/>
      <c r="V35" s="6"/>
      <c r="W35" s="613">
        <v>70</v>
      </c>
      <c r="X35" s="567"/>
      <c r="Y35" s="567"/>
      <c r="Z35" s="6"/>
      <c r="AA35" s="605" t="s">
        <v>454</v>
      </c>
      <c r="AB35" s="613"/>
      <c r="AC35" s="622"/>
      <c r="AD35" s="572"/>
      <c r="AE35" s="6"/>
      <c r="AF35" s="613">
        <v>70</v>
      </c>
      <c r="AG35" s="567"/>
      <c r="AH35" s="567"/>
      <c r="AI35" s="6"/>
      <c r="AJ35" s="605" t="s">
        <v>454</v>
      </c>
      <c r="AK35" s="613"/>
    </row>
    <row r="36" spans="1:37" ht="75" customHeight="1" x14ac:dyDescent="0.25">
      <c r="A36" s="2205"/>
      <c r="B36" s="574">
        <v>2</v>
      </c>
      <c r="C36" s="6"/>
      <c r="D36" s="6">
        <v>180</v>
      </c>
      <c r="E36" s="613">
        <v>10</v>
      </c>
      <c r="F36" s="567"/>
      <c r="G36" s="567"/>
      <c r="H36" s="605" t="s">
        <v>456</v>
      </c>
      <c r="I36" s="605" t="s">
        <v>455</v>
      </c>
      <c r="J36" s="635"/>
      <c r="K36" s="622"/>
      <c r="L36" s="567"/>
      <c r="M36" s="6">
        <v>180</v>
      </c>
      <c r="N36" s="613">
        <v>10</v>
      </c>
      <c r="O36" s="567"/>
      <c r="P36" s="567"/>
      <c r="Q36" s="605" t="s">
        <v>456</v>
      </c>
      <c r="R36" s="605" t="s">
        <v>455</v>
      </c>
      <c r="S36" s="635"/>
      <c r="T36" s="622"/>
      <c r="U36" s="572"/>
      <c r="V36" s="6">
        <v>186</v>
      </c>
      <c r="W36" s="613">
        <v>10</v>
      </c>
      <c r="X36" s="567"/>
      <c r="Y36" s="567"/>
      <c r="Z36" s="605" t="s">
        <v>457</v>
      </c>
      <c r="AA36" s="605" t="s">
        <v>455</v>
      </c>
      <c r="AB36" s="613"/>
      <c r="AC36" s="622"/>
      <c r="AD36" s="572"/>
      <c r="AE36" s="6">
        <v>180</v>
      </c>
      <c r="AF36" s="613">
        <v>10</v>
      </c>
      <c r="AG36" s="567"/>
      <c r="AH36" s="567"/>
      <c r="AI36" s="605" t="s">
        <v>456</v>
      </c>
      <c r="AJ36" s="605" t="s">
        <v>455</v>
      </c>
      <c r="AK36" s="613"/>
    </row>
    <row r="37" spans="1:37" ht="89.45" customHeight="1" x14ac:dyDescent="0.25">
      <c r="A37" s="2206">
        <v>44791</v>
      </c>
      <c r="B37" s="644">
        <v>1</v>
      </c>
      <c r="C37" s="596">
        <v>306</v>
      </c>
      <c r="D37" s="596"/>
      <c r="E37" s="6"/>
      <c r="F37" s="613"/>
      <c r="G37" s="800" t="s">
        <v>458</v>
      </c>
      <c r="H37" s="605"/>
      <c r="I37" s="605"/>
      <c r="J37" s="635"/>
      <c r="K37" s="622"/>
      <c r="L37" s="572"/>
      <c r="M37" s="6"/>
      <c r="N37" s="6"/>
      <c r="O37" s="613"/>
      <c r="P37" s="614"/>
      <c r="Q37" s="6"/>
      <c r="R37" s="6"/>
      <c r="S37" s="613"/>
      <c r="T37" s="622"/>
      <c r="U37" s="572"/>
      <c r="V37" s="6">
        <v>16</v>
      </c>
      <c r="W37" s="6"/>
      <c r="X37" s="613"/>
      <c r="Y37" s="614"/>
      <c r="Z37" s="605" t="s">
        <v>459</v>
      </c>
      <c r="AA37" s="605"/>
      <c r="AB37" s="635"/>
      <c r="AC37" s="622"/>
      <c r="AD37" s="572"/>
      <c r="AE37" s="6"/>
      <c r="AF37" s="6"/>
      <c r="AG37" s="613"/>
      <c r="AH37" s="614"/>
      <c r="AI37" s="6"/>
      <c r="AJ37" s="6"/>
      <c r="AK37" s="613"/>
    </row>
    <row r="38" spans="1:37" ht="42" customHeight="1" x14ac:dyDescent="0.25">
      <c r="A38" s="2205"/>
      <c r="B38" s="574">
        <v>2</v>
      </c>
      <c r="C38" s="595"/>
      <c r="D38" s="596"/>
      <c r="E38" s="596"/>
      <c r="F38" s="597"/>
      <c r="G38" s="685"/>
      <c r="H38" s="619"/>
      <c r="I38" s="6"/>
      <c r="J38" s="635"/>
      <c r="K38" s="622"/>
      <c r="L38" s="572"/>
      <c r="M38" s="6"/>
      <c r="N38" s="6"/>
      <c r="O38" s="613"/>
      <c r="P38" s="792"/>
      <c r="Q38" s="6"/>
      <c r="R38" s="6"/>
      <c r="S38" s="764"/>
      <c r="T38" s="622"/>
      <c r="U38" s="572"/>
      <c r="V38" s="6">
        <v>24</v>
      </c>
      <c r="W38" s="6"/>
      <c r="X38" s="613"/>
      <c r="Y38" s="614"/>
      <c r="Z38" s="605" t="s">
        <v>459</v>
      </c>
      <c r="AA38" s="6"/>
      <c r="AB38" s="613"/>
      <c r="AC38" s="622"/>
      <c r="AD38" s="572"/>
      <c r="AE38" s="6"/>
      <c r="AF38" s="6"/>
      <c r="AG38" s="613"/>
      <c r="AH38" s="614"/>
      <c r="AI38" s="6"/>
      <c r="AJ38" s="605"/>
      <c r="AK38" s="613"/>
    </row>
    <row r="39" spans="1:37" ht="39" customHeight="1" x14ac:dyDescent="0.25">
      <c r="A39" s="2206">
        <v>44792</v>
      </c>
      <c r="B39" s="574">
        <v>1</v>
      </c>
      <c r="C39" s="595"/>
      <c r="D39" s="596"/>
      <c r="E39" s="596"/>
      <c r="F39" s="597"/>
      <c r="G39" s="685"/>
      <c r="H39" s="619"/>
      <c r="I39" s="692"/>
      <c r="J39" s="687"/>
      <c r="K39" s="622"/>
      <c r="L39" s="572"/>
      <c r="M39" s="6"/>
      <c r="N39" s="6"/>
      <c r="O39" s="613"/>
      <c r="P39" s="614"/>
      <c r="Q39" s="6"/>
      <c r="R39" s="6"/>
      <c r="S39" s="613"/>
      <c r="T39" s="622"/>
      <c r="U39" s="572"/>
      <c r="V39" s="6">
        <v>15</v>
      </c>
      <c r="W39" s="6"/>
      <c r="X39" s="613"/>
      <c r="Y39" s="614"/>
      <c r="Z39" s="605" t="s">
        <v>459</v>
      </c>
      <c r="AA39" s="605"/>
      <c r="AB39" s="635"/>
      <c r="AC39" s="622"/>
      <c r="AD39" s="572"/>
      <c r="AE39" s="6"/>
      <c r="AF39" s="6"/>
      <c r="AG39" s="613"/>
      <c r="AH39" s="614"/>
      <c r="AI39" s="6"/>
      <c r="AJ39" s="6"/>
      <c r="AK39" s="613"/>
    </row>
    <row r="40" spans="1:37" ht="59.45" customHeight="1" x14ac:dyDescent="0.25">
      <c r="A40" s="2205"/>
      <c r="B40" s="574">
        <v>2</v>
      </c>
      <c r="C40" s="595"/>
      <c r="D40" s="596"/>
      <c r="E40" s="596"/>
      <c r="F40" s="613"/>
      <c r="G40" s="685"/>
      <c r="H40" s="619"/>
      <c r="I40" s="692"/>
      <c r="J40" s="635"/>
      <c r="K40" s="622"/>
      <c r="L40" s="572"/>
      <c r="M40" s="6"/>
      <c r="N40" s="6"/>
      <c r="O40" s="613"/>
      <c r="P40" s="614"/>
      <c r="Q40" s="6"/>
      <c r="R40" s="6"/>
      <c r="S40" s="635"/>
      <c r="T40" s="622"/>
      <c r="U40" s="572"/>
      <c r="V40" s="6">
        <v>129</v>
      </c>
      <c r="W40" s="6"/>
      <c r="X40" s="613"/>
      <c r="Y40" s="614"/>
      <c r="Z40" s="605" t="s">
        <v>460</v>
      </c>
      <c r="AA40" s="605"/>
      <c r="AB40" s="635"/>
      <c r="AC40" s="622"/>
      <c r="AD40" s="572"/>
      <c r="AE40" s="6"/>
      <c r="AF40" s="6"/>
      <c r="AG40" s="613"/>
      <c r="AH40" s="614"/>
      <c r="AI40" s="6"/>
      <c r="AJ40" s="6"/>
      <c r="AK40" s="635"/>
    </row>
    <row r="41" spans="1:37" ht="19.899999999999999" customHeight="1" x14ac:dyDescent="0.25">
      <c r="A41" s="2206">
        <v>44793</v>
      </c>
      <c r="B41" s="574">
        <v>1</v>
      </c>
      <c r="C41" s="595"/>
      <c r="D41" s="596"/>
      <c r="E41" s="596"/>
      <c r="F41" s="613"/>
      <c r="G41" s="685"/>
      <c r="H41" s="620"/>
      <c r="I41" s="692"/>
      <c r="J41" s="687"/>
      <c r="K41" s="622"/>
      <c r="L41" s="572"/>
      <c r="M41" s="6"/>
      <c r="N41" s="6"/>
      <c r="O41" s="613"/>
      <c r="P41" s="614"/>
      <c r="Q41" s="6"/>
      <c r="R41" s="6"/>
      <c r="S41" s="635"/>
      <c r="T41" s="622"/>
      <c r="U41" s="572"/>
      <c r="V41" s="6"/>
      <c r="W41" s="6"/>
      <c r="X41" s="613"/>
      <c r="Y41" s="614"/>
      <c r="Z41" s="605"/>
      <c r="AA41" s="605"/>
      <c r="AB41" s="613"/>
      <c r="AC41" s="622"/>
      <c r="AD41" s="572"/>
      <c r="AE41" s="6"/>
      <c r="AF41" s="6"/>
      <c r="AG41" s="613"/>
      <c r="AH41" s="614"/>
      <c r="AI41" s="605"/>
      <c r="AJ41" s="6"/>
      <c r="AK41" s="613"/>
    </row>
    <row r="42" spans="1:37" ht="19.899999999999999" customHeight="1" x14ac:dyDescent="0.25">
      <c r="A42" s="2205"/>
      <c r="B42" s="574">
        <v>2</v>
      </c>
      <c r="C42" s="596"/>
      <c r="D42" s="596"/>
      <c r="E42" s="596">
        <v>27</v>
      </c>
      <c r="F42" s="613"/>
      <c r="G42" s="685"/>
      <c r="H42" s="619"/>
      <c r="I42" s="620" t="s">
        <v>152</v>
      </c>
      <c r="J42" s="687"/>
      <c r="K42" s="622"/>
      <c r="L42" s="572"/>
      <c r="M42" s="6"/>
      <c r="N42" s="6"/>
      <c r="O42" s="613"/>
      <c r="P42" s="614"/>
      <c r="Q42" s="6"/>
      <c r="R42" s="6"/>
      <c r="S42" s="635"/>
      <c r="T42" s="622"/>
      <c r="U42" s="572"/>
      <c r="V42" s="6"/>
      <c r="W42" s="6">
        <v>30</v>
      </c>
      <c r="X42" s="613"/>
      <c r="Y42" s="792"/>
      <c r="Z42" s="6"/>
      <c r="AA42" s="620" t="s">
        <v>152</v>
      </c>
      <c r="AB42" s="635"/>
      <c r="AC42" s="622"/>
      <c r="AD42" s="572"/>
      <c r="AE42" s="6"/>
      <c r="AF42" s="6"/>
      <c r="AG42" s="613"/>
      <c r="AH42" s="614"/>
      <c r="AI42" s="6"/>
      <c r="AJ42" s="6"/>
      <c r="AK42" s="613"/>
    </row>
    <row r="43" spans="1:37" ht="19.899999999999999" customHeight="1" x14ac:dyDescent="0.25">
      <c r="A43" s="2206">
        <v>44794</v>
      </c>
      <c r="B43" s="574">
        <v>1</v>
      </c>
      <c r="C43" s="596"/>
      <c r="D43" s="596"/>
      <c r="E43" s="596">
        <v>10</v>
      </c>
      <c r="F43" s="597"/>
      <c r="G43" s="619"/>
      <c r="H43" s="619"/>
      <c r="I43" s="620" t="s">
        <v>152</v>
      </c>
      <c r="J43" s="635"/>
      <c r="K43" s="622"/>
      <c r="L43" s="572">
        <v>28</v>
      </c>
      <c r="M43" s="6"/>
      <c r="N43" s="6"/>
      <c r="O43" s="613"/>
      <c r="P43" s="614" t="s">
        <v>461</v>
      </c>
      <c r="Q43" s="6"/>
      <c r="R43" s="6"/>
      <c r="S43" s="613"/>
      <c r="T43" s="622"/>
      <c r="U43" s="572"/>
      <c r="V43" s="6"/>
      <c r="W43" s="6">
        <v>10</v>
      </c>
      <c r="X43" s="613"/>
      <c r="Y43" s="614"/>
      <c r="Z43" s="6"/>
      <c r="AA43" s="620" t="s">
        <v>152</v>
      </c>
      <c r="AB43" s="613"/>
      <c r="AC43" s="622"/>
      <c r="AD43" s="572"/>
      <c r="AE43" s="6"/>
      <c r="AF43" s="6"/>
      <c r="AG43" s="613"/>
      <c r="AH43" s="605"/>
      <c r="AI43" s="620"/>
      <c r="AJ43" s="6"/>
      <c r="AK43" s="613"/>
    </row>
    <row r="44" spans="1:37" ht="36" customHeight="1" x14ac:dyDescent="0.25">
      <c r="A44" s="2205"/>
      <c r="B44" s="574">
        <v>2</v>
      </c>
      <c r="C44" s="596"/>
      <c r="D44" s="596"/>
      <c r="E44" s="596">
        <v>8</v>
      </c>
      <c r="F44" s="597"/>
      <c r="G44" s="619"/>
      <c r="H44" s="619"/>
      <c r="I44" s="619" t="s">
        <v>445</v>
      </c>
      <c r="J44" s="635"/>
      <c r="K44" s="622"/>
      <c r="L44" s="572"/>
      <c r="M44" s="6"/>
      <c r="N44" s="6"/>
      <c r="O44" s="613"/>
      <c r="P44" s="614"/>
      <c r="Q44" s="6"/>
      <c r="R44" s="605"/>
      <c r="S44" s="764"/>
      <c r="T44" s="622"/>
      <c r="U44" s="572"/>
      <c r="V44" s="6"/>
      <c r="W44" s="596">
        <v>8</v>
      </c>
      <c r="X44" s="597"/>
      <c r="Y44" s="619"/>
      <c r="Z44" s="619"/>
      <c r="AA44" s="619" t="s">
        <v>445</v>
      </c>
      <c r="AB44" s="635"/>
      <c r="AC44" s="622"/>
      <c r="AD44" s="572"/>
      <c r="AE44" s="6"/>
      <c r="AF44" s="6"/>
      <c r="AG44" s="613"/>
      <c r="AH44" s="614"/>
      <c r="AI44" s="605"/>
      <c r="AJ44" s="605"/>
      <c r="AK44" s="613"/>
    </row>
    <row r="45" spans="1:37" ht="19.899999999999999" customHeight="1" x14ac:dyDescent="0.25">
      <c r="A45" s="2206">
        <v>44795</v>
      </c>
      <c r="B45" s="574">
        <v>1</v>
      </c>
      <c r="C45" s="596"/>
      <c r="D45" s="596"/>
      <c r="E45" s="596"/>
      <c r="F45" s="597"/>
      <c r="G45" s="619"/>
      <c r="H45" s="619"/>
      <c r="I45" s="620"/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"/>
      <c r="W45" s="6"/>
      <c r="X45" s="613"/>
      <c r="Y45" s="614"/>
      <c r="Z45" s="6"/>
      <c r="AA45" s="605"/>
      <c r="AB45" s="613"/>
      <c r="AC45" s="622"/>
      <c r="AD45" s="572"/>
      <c r="AE45" s="6"/>
      <c r="AF45" s="6"/>
      <c r="AG45" s="613"/>
      <c r="AH45" s="614"/>
      <c r="AI45" s="605"/>
      <c r="AJ45" s="6"/>
      <c r="AK45" s="613"/>
    </row>
    <row r="46" spans="1:37" ht="46.15" customHeight="1" x14ac:dyDescent="0.25">
      <c r="A46" s="2205"/>
      <c r="B46" s="574">
        <v>2</v>
      </c>
      <c r="C46" s="596"/>
      <c r="D46" s="596"/>
      <c r="E46" s="596"/>
      <c r="F46" s="597"/>
      <c r="G46" s="619"/>
      <c r="H46" s="620"/>
      <c r="I46" s="692"/>
      <c r="J46" s="635"/>
      <c r="K46" s="622"/>
      <c r="L46" s="572"/>
      <c r="M46" s="6"/>
      <c r="N46" s="6"/>
      <c r="O46" s="785"/>
      <c r="P46" s="614"/>
      <c r="Q46" s="620"/>
      <c r="R46" s="6"/>
      <c r="S46" s="635"/>
      <c r="T46" s="622"/>
      <c r="U46" s="572"/>
      <c r="V46" s="6"/>
      <c r="W46" s="6"/>
      <c r="X46" s="613"/>
      <c r="Y46" s="614"/>
      <c r="Z46" s="6"/>
      <c r="AA46" s="605"/>
      <c r="AB46" s="635"/>
      <c r="AC46" s="622"/>
      <c r="AD46" s="572">
        <v>51</v>
      </c>
      <c r="AE46" s="6"/>
      <c r="AF46" s="6"/>
      <c r="AG46" s="613"/>
      <c r="AH46" s="800" t="s">
        <v>462</v>
      </c>
      <c r="AI46" s="6"/>
      <c r="AJ46" s="6"/>
      <c r="AK46" s="635"/>
    </row>
    <row r="47" spans="1:37" ht="19.899999999999999" customHeight="1" x14ac:dyDescent="0.25">
      <c r="A47" s="2206">
        <v>44796</v>
      </c>
      <c r="B47" s="574">
        <v>1</v>
      </c>
      <c r="C47" s="596"/>
      <c r="D47" s="596"/>
      <c r="E47" s="596"/>
      <c r="F47" s="597"/>
      <c r="G47" s="620"/>
      <c r="H47" s="619"/>
      <c r="I47" s="620"/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/>
      <c r="X47" s="613"/>
      <c r="Y47" s="614"/>
      <c r="Z47" s="605"/>
      <c r="AA47" s="605"/>
      <c r="AB47" s="635"/>
      <c r="AC47" s="622"/>
      <c r="AD47" s="572"/>
      <c r="AE47" s="6"/>
      <c r="AF47" s="6"/>
      <c r="AG47" s="613"/>
      <c r="AH47" s="792"/>
      <c r="AI47" s="620"/>
      <c r="AJ47" s="6"/>
      <c r="AK47" s="613"/>
    </row>
    <row r="48" spans="1:37" ht="42.75" customHeight="1" x14ac:dyDescent="0.25">
      <c r="A48" s="2205"/>
      <c r="B48" s="574">
        <v>2</v>
      </c>
      <c r="C48" s="596"/>
      <c r="D48" s="596"/>
      <c r="E48" s="596"/>
      <c r="F48" s="597"/>
      <c r="G48" s="620"/>
      <c r="H48" s="620"/>
      <c r="I48" s="619"/>
      <c r="J48" s="687"/>
      <c r="K48" s="622"/>
      <c r="L48" s="572"/>
      <c r="M48" s="6"/>
      <c r="N48" s="6"/>
      <c r="O48" s="613"/>
      <c r="P48" s="614"/>
      <c r="Q48" s="620"/>
      <c r="R48" s="605"/>
      <c r="S48" s="635"/>
      <c r="T48" s="622"/>
      <c r="U48" s="572"/>
      <c r="V48" s="6"/>
      <c r="W48" s="6"/>
      <c r="X48" s="613"/>
      <c r="Y48" s="792"/>
      <c r="Z48" s="6"/>
      <c r="AA48" s="605"/>
      <c r="AB48" s="613"/>
      <c r="AC48" s="622"/>
      <c r="AD48" s="572"/>
      <c r="AE48" s="6"/>
      <c r="AF48" s="6"/>
      <c r="AG48" s="613"/>
      <c r="AH48" s="614"/>
      <c r="AI48" s="605"/>
      <c r="AJ48" s="6"/>
      <c r="AK48" s="613"/>
    </row>
    <row r="49" spans="1:37" ht="19.899999999999999" customHeight="1" x14ac:dyDescent="0.25">
      <c r="A49" s="2206">
        <v>44797</v>
      </c>
      <c r="B49" s="574">
        <v>1</v>
      </c>
      <c r="C49" s="596"/>
      <c r="D49" s="596"/>
      <c r="E49" s="596"/>
      <c r="F49" s="597"/>
      <c r="G49" s="620"/>
      <c r="H49" s="619"/>
      <c r="I49" s="692"/>
      <c r="J49" s="687"/>
      <c r="K49" s="622"/>
      <c r="L49" s="572"/>
      <c r="M49" s="6"/>
      <c r="N49" s="6"/>
      <c r="O49" s="613"/>
      <c r="P49" s="614"/>
      <c r="Q49" s="6"/>
      <c r="R49" s="6"/>
      <c r="S49" s="613"/>
      <c r="T49" s="622"/>
      <c r="U49" s="572"/>
      <c r="V49" s="6"/>
      <c r="W49" s="6"/>
      <c r="X49" s="613"/>
      <c r="Y49" s="614"/>
      <c r="Z49" s="605"/>
      <c r="AA49" s="605"/>
      <c r="AB49" s="635"/>
      <c r="AC49" s="622"/>
      <c r="AD49" s="572"/>
      <c r="AE49" s="6"/>
      <c r="AF49" s="6"/>
      <c r="AG49" s="613"/>
      <c r="AH49" s="614"/>
      <c r="AI49" s="605"/>
      <c r="AJ49" s="6"/>
      <c r="AK49" s="613"/>
    </row>
    <row r="50" spans="1:37" ht="19.899999999999999" customHeight="1" x14ac:dyDescent="0.25">
      <c r="A50" s="2205"/>
      <c r="B50" s="574">
        <v>2</v>
      </c>
      <c r="C50" s="596"/>
      <c r="D50" s="596"/>
      <c r="E50" s="596"/>
      <c r="F50" s="597"/>
      <c r="G50" s="619"/>
      <c r="H50" s="619"/>
      <c r="I50" s="620"/>
      <c r="J50" s="635"/>
      <c r="K50" s="622"/>
      <c r="L50" s="572"/>
      <c r="M50" s="6"/>
      <c r="N50" s="6"/>
      <c r="O50" s="613"/>
      <c r="P50" s="614"/>
      <c r="Q50" s="605"/>
      <c r="R50" s="605"/>
      <c r="S50" s="764"/>
      <c r="T50" s="622"/>
      <c r="U50" s="572"/>
      <c r="V50" s="6"/>
      <c r="W50" s="6"/>
      <c r="X50" s="613"/>
      <c r="Y50" s="792"/>
      <c r="Z50" s="605"/>
      <c r="AA50" s="605"/>
      <c r="AB50" s="613"/>
      <c r="AC50" s="622"/>
      <c r="AD50" s="572"/>
      <c r="AE50" s="6"/>
      <c r="AF50" s="6"/>
      <c r="AG50" s="613"/>
      <c r="AH50" s="614"/>
      <c r="AI50" s="6"/>
      <c r="AJ50" s="6"/>
      <c r="AK50" s="613"/>
    </row>
    <row r="51" spans="1:37" ht="19.899999999999999" customHeight="1" x14ac:dyDescent="0.25">
      <c r="A51" s="2206">
        <v>44798</v>
      </c>
      <c r="B51" s="574">
        <v>1</v>
      </c>
      <c r="C51" s="596"/>
      <c r="D51" s="596"/>
      <c r="E51" s="596"/>
      <c r="F51" s="597"/>
      <c r="G51" s="619"/>
      <c r="H51" s="619"/>
      <c r="I51" s="620"/>
      <c r="J51" s="635"/>
      <c r="K51" s="622"/>
      <c r="L51" s="572"/>
      <c r="M51" s="6"/>
      <c r="N51" s="6"/>
      <c r="O51" s="613"/>
      <c r="P51" s="614"/>
      <c r="Q51" s="620"/>
      <c r="R51" s="6"/>
      <c r="S51" s="613"/>
      <c r="T51" s="622"/>
      <c r="U51" s="572"/>
      <c r="V51" s="6"/>
      <c r="W51" s="6"/>
      <c r="X51" s="613"/>
      <c r="Y51" s="792"/>
      <c r="Z51" s="6"/>
      <c r="AA51" s="605"/>
      <c r="AB51" s="613"/>
      <c r="AC51" s="622"/>
      <c r="AD51" s="572"/>
      <c r="AE51" s="6"/>
      <c r="AF51" s="6"/>
      <c r="AG51" s="613"/>
      <c r="AH51" s="614"/>
      <c r="AI51" s="6"/>
      <c r="AJ51" s="6"/>
      <c r="AK51" s="613"/>
    </row>
    <row r="52" spans="1:37" ht="31.9" customHeight="1" x14ac:dyDescent="0.25">
      <c r="A52" s="2205"/>
      <c r="B52" s="574">
        <v>2</v>
      </c>
      <c r="C52" s="596"/>
      <c r="D52" s="596"/>
      <c r="E52" s="596"/>
      <c r="F52" s="597"/>
      <c r="G52" s="619"/>
      <c r="H52" s="620"/>
      <c r="I52" s="692"/>
      <c r="J52" s="635"/>
      <c r="K52" s="622"/>
      <c r="L52" s="572"/>
      <c r="M52" s="6"/>
      <c r="N52" s="6"/>
      <c r="O52" s="613"/>
      <c r="P52" s="614"/>
      <c r="Q52" s="6"/>
      <c r="R52" s="6"/>
      <c r="S52" s="635"/>
      <c r="T52" s="622"/>
      <c r="U52" s="572"/>
      <c r="V52" s="6"/>
      <c r="W52" s="6"/>
      <c r="X52" s="613"/>
      <c r="Y52" s="792"/>
      <c r="Z52" s="605"/>
      <c r="AA52" s="605"/>
      <c r="AB52" s="635"/>
      <c r="AC52" s="622"/>
      <c r="AD52" s="572"/>
      <c r="AE52" s="6"/>
      <c r="AF52" s="6"/>
      <c r="AG52" s="613"/>
      <c r="AH52" s="614"/>
      <c r="AI52" s="6"/>
      <c r="AJ52" s="6"/>
      <c r="AK52" s="613"/>
    </row>
    <row r="53" spans="1:37" ht="34.15" customHeight="1" x14ac:dyDescent="0.25">
      <c r="A53" s="2206">
        <v>44799</v>
      </c>
      <c r="B53" s="574">
        <v>1</v>
      </c>
      <c r="C53" s="596"/>
      <c r="D53" s="596"/>
      <c r="E53" s="596"/>
      <c r="F53" s="597"/>
      <c r="G53" s="619"/>
      <c r="H53" s="619"/>
      <c r="I53" s="692"/>
      <c r="J53" s="687"/>
      <c r="K53" s="622"/>
      <c r="L53" s="572"/>
      <c r="M53" s="6"/>
      <c r="N53" s="6"/>
      <c r="O53" s="613"/>
      <c r="P53" s="792"/>
      <c r="Q53" s="6"/>
      <c r="R53" s="6"/>
      <c r="S53" s="635"/>
      <c r="T53" s="622"/>
      <c r="U53" s="572"/>
      <c r="V53" s="6"/>
      <c r="W53" s="6">
        <v>10</v>
      </c>
      <c r="X53" s="613"/>
      <c r="Y53" s="792"/>
      <c r="Z53" s="6"/>
      <c r="AA53" s="620" t="s">
        <v>152</v>
      </c>
      <c r="AB53" s="613"/>
      <c r="AC53" s="622"/>
      <c r="AD53" s="572"/>
      <c r="AE53" s="605"/>
      <c r="AF53" s="6"/>
      <c r="AG53" s="613"/>
      <c r="AH53" s="614"/>
      <c r="AI53" s="605"/>
      <c r="AJ53" s="605"/>
      <c r="AK53" s="613"/>
    </row>
    <row r="54" spans="1:37" ht="19.899999999999999" customHeight="1" x14ac:dyDescent="0.25">
      <c r="A54" s="2205"/>
      <c r="B54" s="786">
        <v>2</v>
      </c>
      <c r="C54" s="596"/>
      <c r="D54" s="596"/>
      <c r="E54" s="596"/>
      <c r="F54" s="597"/>
      <c r="G54" s="619"/>
      <c r="H54" s="619"/>
      <c r="I54" s="619"/>
      <c r="J54" s="687"/>
      <c r="K54" s="622"/>
      <c r="L54" s="572"/>
      <c r="M54" s="6"/>
      <c r="N54" s="6"/>
      <c r="O54" s="613"/>
      <c r="P54" s="614"/>
      <c r="Q54" s="605"/>
      <c r="R54" s="6"/>
      <c r="S54" s="635"/>
      <c r="T54" s="622"/>
      <c r="U54" s="572"/>
      <c r="V54" s="6"/>
      <c r="W54" s="6"/>
      <c r="X54" s="613"/>
      <c r="Y54" s="696"/>
      <c r="Z54" s="791"/>
      <c r="AA54" s="605"/>
      <c r="AB54" s="613"/>
      <c r="AC54" s="622"/>
      <c r="AD54" s="572"/>
      <c r="AE54" s="6"/>
      <c r="AF54" s="6"/>
      <c r="AG54" s="613"/>
      <c r="AH54" s="614"/>
      <c r="AI54" s="6"/>
      <c r="AJ54" s="605"/>
      <c r="AK54" s="613"/>
    </row>
    <row r="55" spans="1:37" ht="31.9" customHeight="1" x14ac:dyDescent="0.25">
      <c r="A55" s="2206">
        <v>44800</v>
      </c>
      <c r="B55" s="574">
        <v>1</v>
      </c>
      <c r="C55" s="595"/>
      <c r="D55" s="596"/>
      <c r="E55" s="596">
        <v>10</v>
      </c>
      <c r="F55" s="597"/>
      <c r="G55" s="619"/>
      <c r="H55" s="619"/>
      <c r="I55" s="620" t="s">
        <v>152</v>
      </c>
      <c r="J55" s="687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>
        <v>30</v>
      </c>
      <c r="X55" s="613"/>
      <c r="Y55" s="614"/>
      <c r="Z55" s="619"/>
      <c r="AA55" s="620" t="s">
        <v>152</v>
      </c>
      <c r="AB55" s="635"/>
      <c r="AC55" s="622"/>
      <c r="AD55" s="572"/>
      <c r="AE55" s="6"/>
      <c r="AF55" s="6">
        <v>10</v>
      </c>
      <c r="AG55" s="613"/>
      <c r="AH55" s="614"/>
      <c r="AI55" s="6"/>
      <c r="AJ55" s="6" t="s">
        <v>336</v>
      </c>
      <c r="AK55" s="613"/>
    </row>
    <row r="56" spans="1:37" ht="56.45" customHeight="1" x14ac:dyDescent="0.25">
      <c r="A56" s="2205"/>
      <c r="B56" s="786">
        <v>2</v>
      </c>
      <c r="C56" s="595"/>
      <c r="D56" s="596"/>
      <c r="E56" s="596">
        <v>20</v>
      </c>
      <c r="F56" s="597"/>
      <c r="G56" s="620"/>
      <c r="H56" s="619"/>
      <c r="I56" s="620" t="s">
        <v>152</v>
      </c>
      <c r="J56" s="687"/>
      <c r="K56" s="622"/>
      <c r="L56" s="572"/>
      <c r="M56" s="6"/>
      <c r="N56" s="6"/>
      <c r="O56" s="613"/>
      <c r="P56" s="614"/>
      <c r="Q56" s="6"/>
      <c r="R56" s="6"/>
      <c r="S56" s="764"/>
      <c r="T56" s="622"/>
      <c r="U56" s="572"/>
      <c r="V56" s="6"/>
      <c r="W56" s="6">
        <v>10</v>
      </c>
      <c r="X56" s="613"/>
      <c r="Y56" s="792"/>
      <c r="Z56" s="605"/>
      <c r="AA56" s="620" t="s">
        <v>152</v>
      </c>
      <c r="AB56" s="613"/>
      <c r="AC56" s="622"/>
      <c r="AD56" s="572"/>
      <c r="AE56" s="6"/>
      <c r="AF56" s="6"/>
      <c r="AG56" s="613"/>
      <c r="AH56" s="614"/>
      <c r="AI56" s="605"/>
      <c r="AJ56" s="619"/>
      <c r="AK56" s="613"/>
    </row>
    <row r="57" spans="1:37" ht="45.6" customHeight="1" x14ac:dyDescent="0.25">
      <c r="A57" s="2206">
        <v>44801</v>
      </c>
      <c r="B57" s="574">
        <v>1</v>
      </c>
      <c r="C57" s="595"/>
      <c r="D57" s="596"/>
      <c r="E57" s="596"/>
      <c r="F57" s="597"/>
      <c r="G57" s="620"/>
      <c r="H57" s="619"/>
      <c r="I57" s="620"/>
      <c r="J57" s="635"/>
      <c r="K57" s="622"/>
      <c r="L57" s="572"/>
      <c r="M57" s="6"/>
      <c r="N57" s="6"/>
      <c r="O57" s="613"/>
      <c r="P57" s="614"/>
      <c r="Q57" s="6"/>
      <c r="R57" s="605"/>
      <c r="S57" s="613"/>
      <c r="T57" s="622"/>
      <c r="U57" s="572"/>
      <c r="V57" s="6"/>
      <c r="W57" s="6"/>
      <c r="X57" s="613"/>
      <c r="Y57" s="792"/>
      <c r="Z57" s="605"/>
      <c r="AA57" s="605"/>
      <c r="AB57" s="613"/>
      <c r="AC57" s="622"/>
      <c r="AD57" s="572"/>
      <c r="AE57" s="6"/>
      <c r="AF57" s="6"/>
      <c r="AG57" s="613"/>
      <c r="AH57" s="614"/>
      <c r="AI57" s="6"/>
      <c r="AJ57" s="6"/>
      <c r="AK57" s="613"/>
    </row>
    <row r="58" spans="1:37" ht="39.6" customHeight="1" x14ac:dyDescent="0.25">
      <c r="A58" s="2205"/>
      <c r="B58" s="786">
        <v>2</v>
      </c>
      <c r="C58" s="595"/>
      <c r="D58" s="596"/>
      <c r="E58" s="596">
        <v>38</v>
      </c>
      <c r="F58" s="597"/>
      <c r="G58" s="620"/>
      <c r="H58" s="619"/>
      <c r="I58" s="620" t="s">
        <v>152</v>
      </c>
      <c r="J58" s="635"/>
      <c r="K58" s="622"/>
      <c r="L58" s="572"/>
      <c r="M58" s="6"/>
      <c r="N58" s="6"/>
      <c r="O58" s="613"/>
      <c r="P58" s="614"/>
      <c r="Q58" s="6"/>
      <c r="R58" s="6"/>
      <c r="S58" s="635"/>
      <c r="T58" s="622"/>
      <c r="U58" s="572"/>
      <c r="V58" s="6"/>
      <c r="W58" s="6">
        <v>45</v>
      </c>
      <c r="X58" s="613"/>
      <c r="Y58" s="614"/>
      <c r="Z58" s="605"/>
      <c r="AA58" s="620" t="s">
        <v>152</v>
      </c>
      <c r="AB58" s="613"/>
      <c r="AC58" s="622"/>
      <c r="AD58" s="572"/>
      <c r="AE58" s="6"/>
      <c r="AF58" s="6"/>
      <c r="AG58" s="613"/>
      <c r="AH58" s="614"/>
      <c r="AI58" s="6"/>
      <c r="AJ58" s="6"/>
      <c r="AK58" s="613"/>
    </row>
    <row r="59" spans="1:37" ht="19.899999999999999" customHeight="1" x14ac:dyDescent="0.25">
      <c r="A59" s="2206">
        <v>44802</v>
      </c>
      <c r="B59" s="574">
        <v>1</v>
      </c>
      <c r="C59" s="595"/>
      <c r="D59" s="596"/>
      <c r="E59" s="596">
        <v>18</v>
      </c>
      <c r="F59" s="597"/>
      <c r="G59" s="619"/>
      <c r="H59" s="619"/>
      <c r="I59" s="620" t="s">
        <v>152</v>
      </c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>
        <v>10</v>
      </c>
      <c r="X59" s="613"/>
      <c r="Y59" s="614"/>
      <c r="Z59" s="6"/>
      <c r="AA59" s="620" t="s">
        <v>152</v>
      </c>
      <c r="AB59" s="613"/>
      <c r="AC59" s="622"/>
      <c r="AD59" s="572"/>
      <c r="AE59" s="6"/>
      <c r="AF59" s="6">
        <v>10</v>
      </c>
      <c r="AG59" s="613"/>
      <c r="AH59" s="792"/>
      <c r="AI59" s="6"/>
      <c r="AJ59" s="620" t="s">
        <v>152</v>
      </c>
      <c r="AK59" s="613"/>
    </row>
    <row r="60" spans="1:37" ht="53.45" customHeight="1" x14ac:dyDescent="0.25">
      <c r="A60" s="2205"/>
      <c r="B60" s="786">
        <v>2</v>
      </c>
      <c r="C60" s="595"/>
      <c r="D60" s="596"/>
      <c r="E60" s="596"/>
      <c r="F60" s="597"/>
      <c r="G60" s="619"/>
      <c r="H60" s="620"/>
      <c r="I60" s="620"/>
      <c r="J60" s="635"/>
      <c r="K60" s="622"/>
      <c r="L60" s="572"/>
      <c r="M60" s="6"/>
      <c r="N60" s="6"/>
      <c r="O60" s="613"/>
      <c r="P60" s="614"/>
      <c r="Q60" s="6"/>
      <c r="R60" s="6"/>
      <c r="S60" s="635"/>
      <c r="T60" s="622"/>
      <c r="U60" s="572"/>
      <c r="V60" s="6"/>
      <c r="W60" s="6"/>
      <c r="X60" s="613"/>
      <c r="Y60" s="792"/>
      <c r="Z60" s="605"/>
      <c r="AA60" s="6"/>
      <c r="AB60" s="635"/>
      <c r="AC60" s="622"/>
      <c r="AD60" s="572"/>
      <c r="AE60" s="6"/>
      <c r="AF60" s="6"/>
      <c r="AG60" s="613"/>
      <c r="AH60" s="614"/>
      <c r="AI60" s="6"/>
      <c r="AJ60" s="6"/>
      <c r="AK60" s="635"/>
    </row>
    <row r="61" spans="1:37" ht="19.899999999999999" customHeight="1" x14ac:dyDescent="0.25">
      <c r="A61" s="2206">
        <v>44803</v>
      </c>
      <c r="B61" s="574">
        <v>1</v>
      </c>
      <c r="C61" s="795"/>
      <c r="D61" s="797"/>
      <c r="E61" s="596">
        <v>10</v>
      </c>
      <c r="F61" s="749"/>
      <c r="G61" s="619"/>
      <c r="H61" s="796"/>
      <c r="I61" s="620" t="s">
        <v>152</v>
      </c>
      <c r="J61" s="687"/>
      <c r="K61" s="622"/>
      <c r="L61" s="572"/>
      <c r="M61" s="6"/>
      <c r="N61" s="6"/>
      <c r="O61" s="613"/>
      <c r="P61" s="752"/>
      <c r="Q61" s="793"/>
      <c r="R61" s="793"/>
      <c r="S61" s="753"/>
      <c r="T61" s="622"/>
      <c r="U61" s="572"/>
      <c r="V61" s="6"/>
      <c r="W61" s="6">
        <v>10</v>
      </c>
      <c r="X61" s="613"/>
      <c r="Y61" s="792"/>
      <c r="Z61" s="605"/>
      <c r="AA61" s="620" t="s">
        <v>152</v>
      </c>
      <c r="AB61" s="753"/>
      <c r="AC61" s="622"/>
      <c r="AD61" s="572"/>
      <c r="AE61" s="6"/>
      <c r="AF61" s="6"/>
      <c r="AG61" s="613"/>
      <c r="AH61" s="614"/>
      <c r="AI61" s="6"/>
      <c r="AJ61" s="6"/>
      <c r="AK61" s="753"/>
    </row>
    <row r="62" spans="1:37" ht="19.899999999999999" customHeight="1" x14ac:dyDescent="0.25">
      <c r="A62" s="2205"/>
      <c r="B62" s="786">
        <v>2</v>
      </c>
      <c r="C62" s="795"/>
      <c r="D62" s="797"/>
      <c r="E62" s="797"/>
      <c r="F62" s="749"/>
      <c r="G62" s="788"/>
      <c r="H62" s="796"/>
      <c r="I62" s="750"/>
      <c r="J62" s="687"/>
      <c r="K62" s="622"/>
      <c r="L62" s="572"/>
      <c r="M62" s="6"/>
      <c r="N62" s="6"/>
      <c r="O62" s="613"/>
      <c r="P62" s="752"/>
      <c r="Q62" s="793"/>
      <c r="R62" s="793"/>
      <c r="S62" s="753"/>
      <c r="T62" s="622"/>
      <c r="U62" s="572"/>
      <c r="V62" s="6"/>
      <c r="W62" s="6"/>
      <c r="X62" s="613"/>
      <c r="Y62" s="792"/>
      <c r="Z62" s="605"/>
      <c r="AA62" s="6"/>
      <c r="AB62" s="753"/>
      <c r="AC62" s="622"/>
      <c r="AD62" s="572"/>
      <c r="AE62" s="6"/>
      <c r="AF62" s="6"/>
      <c r="AG62" s="613"/>
      <c r="AH62" s="614"/>
      <c r="AI62" s="6"/>
      <c r="AJ62" s="6"/>
      <c r="AK62" s="753"/>
    </row>
    <row r="63" spans="1:37" ht="19.899999999999999" customHeight="1" x14ac:dyDescent="0.25">
      <c r="A63" s="2206">
        <v>44804</v>
      </c>
      <c r="B63" s="574">
        <v>1</v>
      </c>
      <c r="C63" s="706"/>
      <c r="D63" s="707"/>
      <c r="E63" s="707"/>
      <c r="F63" s="708"/>
      <c r="G63" s="717"/>
      <c r="H63" s="709"/>
      <c r="I63" s="620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/>
      <c r="X63" s="597"/>
      <c r="Y63" s="685"/>
      <c r="Z63" s="619"/>
      <c r="AA63" s="6"/>
      <c r="AB63" s="790"/>
      <c r="AC63" s="622"/>
      <c r="AD63" s="572"/>
      <c r="AE63" s="6"/>
      <c r="AF63" s="6"/>
      <c r="AG63" s="597"/>
      <c r="AH63" s="685"/>
      <c r="AI63" s="619"/>
      <c r="AJ63" s="619"/>
      <c r="AK63" s="705"/>
    </row>
    <row r="64" spans="1:37" ht="19.899999999999999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</row>
    <row r="65" spans="1:33" x14ac:dyDescent="0.25">
      <c r="A65" s="524" t="s">
        <v>225</v>
      </c>
      <c r="C65" s="768">
        <f>SUM(C3:C64)</f>
        <v>2091</v>
      </c>
      <c r="D65" s="525">
        <f>SUM(D3:D64)</f>
        <v>180</v>
      </c>
      <c r="E65" s="768">
        <f>SUM(E3:E64)</f>
        <v>1164</v>
      </c>
      <c r="F65" s="525">
        <f>SUM(F3:F64)</f>
        <v>575</v>
      </c>
      <c r="L65" s="525">
        <f>SUM(L3:L64)</f>
        <v>1018</v>
      </c>
      <c r="M65" s="525">
        <f>SUM(M3:M64)</f>
        <v>180</v>
      </c>
      <c r="N65" s="525">
        <f>SUM(N3:N64)</f>
        <v>672</v>
      </c>
      <c r="O65" s="525">
        <f>SUM(O3:O64)</f>
        <v>570</v>
      </c>
      <c r="U65" s="525">
        <f>SUM(U3:U64)</f>
        <v>0</v>
      </c>
      <c r="V65" s="525">
        <f>SUM(V3:V64)</f>
        <v>407</v>
      </c>
      <c r="W65" s="525">
        <f>SUM(W3:W64)</f>
        <v>583</v>
      </c>
      <c r="X65" s="525">
        <f>SUM(X3:X64)</f>
        <v>571</v>
      </c>
      <c r="AD65" s="525">
        <f>SUM(AD3:AD64)</f>
        <v>51</v>
      </c>
      <c r="AE65" s="525">
        <f>SUM(AE3:AE64)</f>
        <v>205</v>
      </c>
      <c r="AF65" s="525">
        <f>SUM(AF3:AF64)</f>
        <v>130</v>
      </c>
      <c r="AG65" s="525">
        <f>SUM(AG3:AG64)</f>
        <v>591</v>
      </c>
    </row>
    <row r="73" spans="1:33" ht="15.75" thickBot="1" x14ac:dyDescent="0.3"/>
    <row r="74" spans="1:33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33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33" ht="21.75" customHeight="1" x14ac:dyDescent="0.3">
      <c r="B76" s="651" t="s">
        <v>218</v>
      </c>
      <c r="C76" s="652">
        <f>C65</f>
        <v>2091</v>
      </c>
      <c r="D76" s="653">
        <f>C76/60</f>
        <v>34.85</v>
      </c>
      <c r="E76" s="652">
        <f>D65</f>
        <v>180</v>
      </c>
      <c r="F76" s="654">
        <f>E76/60</f>
        <v>3</v>
      </c>
      <c r="G76" s="652">
        <f>E65</f>
        <v>1164</v>
      </c>
      <c r="H76" s="653">
        <f>G76/60</f>
        <v>19.399999999999999</v>
      </c>
      <c r="I76" s="652">
        <f>F65</f>
        <v>575</v>
      </c>
      <c r="J76" s="653">
        <f>I76/60</f>
        <v>9.5833333333333339</v>
      </c>
    </row>
    <row r="77" spans="1:33" ht="19.5" customHeight="1" x14ac:dyDescent="0.3">
      <c r="B77" s="651" t="s">
        <v>219</v>
      </c>
      <c r="C77" s="655">
        <f>L65</f>
        <v>1018</v>
      </c>
      <c r="D77" s="656">
        <f t="shared" ref="D77:F79" si="0">C77/60</f>
        <v>16.966666666666665</v>
      </c>
      <c r="E77" s="655">
        <f>M65</f>
        <v>180</v>
      </c>
      <c r="F77" s="657">
        <f t="shared" si="0"/>
        <v>3</v>
      </c>
      <c r="G77" s="655">
        <f>N65</f>
        <v>672</v>
      </c>
      <c r="H77" s="656">
        <f t="shared" ref="H77:J79" si="1">G77/60</f>
        <v>11.2</v>
      </c>
      <c r="I77" s="655">
        <f>O65</f>
        <v>570</v>
      </c>
      <c r="J77" s="656">
        <f t="shared" si="1"/>
        <v>9.5</v>
      </c>
    </row>
    <row r="78" spans="1:33" ht="20.25" customHeight="1" x14ac:dyDescent="0.3">
      <c r="B78" s="651" t="s">
        <v>220</v>
      </c>
      <c r="C78" s="655">
        <f>U65</f>
        <v>0</v>
      </c>
      <c r="D78" s="656">
        <f t="shared" si="0"/>
        <v>0</v>
      </c>
      <c r="E78" s="655">
        <f>V65</f>
        <v>407</v>
      </c>
      <c r="F78" s="657">
        <f t="shared" si="0"/>
        <v>6.7833333333333332</v>
      </c>
      <c r="G78" s="655">
        <f>W65</f>
        <v>583</v>
      </c>
      <c r="H78" s="656">
        <f t="shared" si="1"/>
        <v>9.7166666666666668</v>
      </c>
      <c r="I78" s="655">
        <f>X65</f>
        <v>571</v>
      </c>
      <c r="J78" s="656">
        <f t="shared" si="1"/>
        <v>9.5166666666666675</v>
      </c>
    </row>
    <row r="79" spans="1:33" ht="22.5" customHeight="1" thickBot="1" x14ac:dyDescent="0.35">
      <c r="B79" s="651" t="s">
        <v>221</v>
      </c>
      <c r="C79" s="658">
        <f>AD65</f>
        <v>51</v>
      </c>
      <c r="D79" s="659">
        <f t="shared" si="0"/>
        <v>0.85</v>
      </c>
      <c r="E79" s="658">
        <f>AE65</f>
        <v>205</v>
      </c>
      <c r="F79" s="660">
        <f t="shared" si="0"/>
        <v>3.4166666666666665</v>
      </c>
      <c r="G79" s="658">
        <f>AF65</f>
        <v>130</v>
      </c>
      <c r="H79" s="659">
        <f t="shared" si="1"/>
        <v>2.1666666666666665</v>
      </c>
      <c r="I79" s="658">
        <f>AG65</f>
        <v>591</v>
      </c>
      <c r="J79" s="659">
        <f t="shared" si="1"/>
        <v>9.85</v>
      </c>
    </row>
    <row r="80" spans="1:33" ht="19.5" thickBot="1" x14ac:dyDescent="0.35">
      <c r="B80" s="419"/>
      <c r="C80" s="301"/>
      <c r="D80" s="301"/>
      <c r="E80" s="301"/>
      <c r="F80" s="301"/>
      <c r="G80" s="301"/>
      <c r="H80" s="301"/>
      <c r="I80" s="301"/>
      <c r="J80" s="301"/>
    </row>
    <row r="81" spans="2:10" ht="19.5" thickBot="1" x14ac:dyDescent="0.35">
      <c r="B81" s="661" t="s">
        <v>217</v>
      </c>
      <c r="C81" s="666"/>
      <c r="D81" s="667">
        <f>SUM(D76:D80)</f>
        <v>52.666666666666664</v>
      </c>
      <c r="E81" s="666"/>
      <c r="F81" s="667">
        <f>SUM(F76:F80)</f>
        <v>16.2</v>
      </c>
      <c r="G81" s="666"/>
      <c r="H81" s="667">
        <f>SUM(H76:H80)</f>
        <v>42.483333333333327</v>
      </c>
      <c r="I81" s="666"/>
      <c r="J81" s="668">
        <f>AVERAGE(J76:J80)</f>
        <v>9.6125000000000007</v>
      </c>
    </row>
  </sheetData>
  <mergeCells count="43">
    <mergeCell ref="I74:J74"/>
    <mergeCell ref="A59:A60"/>
    <mergeCell ref="A61:A62"/>
    <mergeCell ref="A63:A64"/>
    <mergeCell ref="C74:D74"/>
    <mergeCell ref="E74:F74"/>
    <mergeCell ref="G74:H74"/>
    <mergeCell ref="A57:A58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33:A34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D1:AG1"/>
    <mergeCell ref="AH1:AK1"/>
    <mergeCell ref="A3:A4"/>
    <mergeCell ref="A5:A6"/>
    <mergeCell ref="A7:A8"/>
    <mergeCell ref="U1:X1"/>
    <mergeCell ref="Y1:AB1"/>
    <mergeCell ref="A9:A10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"/>
  <sheetViews>
    <sheetView zoomScale="55" zoomScaleNormal="55" workbookViewId="0">
      <pane xSplit="2" ySplit="2" topLeftCell="S21" activePane="bottomRight" state="frozen"/>
      <selection pane="topRight" activeCell="C1" sqref="C1"/>
      <selection pane="bottomLeft" activeCell="A3" sqref="A3"/>
      <selection pane="bottomRight" activeCell="AK60" sqref="AK60"/>
    </sheetView>
  </sheetViews>
  <sheetFormatPr defaultColWidth="8.85546875" defaultRowHeight="15" x14ac:dyDescent="0.25"/>
  <cols>
    <col min="1" max="1" width="14.5703125" style="524" customWidth="1"/>
    <col min="2" max="2" width="15.7109375" style="525" customWidth="1"/>
    <col min="3" max="3" width="13.140625" style="524" customWidth="1"/>
    <col min="4" max="4" width="12.85546875" style="524" customWidth="1"/>
    <col min="5" max="5" width="15.7109375" style="524" customWidth="1"/>
    <col min="6" max="6" width="16.85546875" style="524" customWidth="1"/>
    <col min="7" max="7" width="21.140625" style="524" customWidth="1"/>
    <col min="8" max="8" width="28.42578125" style="524" customWidth="1"/>
    <col min="9" max="9" width="30.42578125" style="524" customWidth="1"/>
    <col min="10" max="10" width="24.5703125" style="524" customWidth="1"/>
    <col min="11" max="14" width="10.7109375" style="524" customWidth="1"/>
    <col min="15" max="15" width="17" style="524" customWidth="1"/>
    <col min="16" max="16" width="23" style="524" customWidth="1"/>
    <col min="17" max="17" width="25.7109375" style="524" customWidth="1"/>
    <col min="18" max="18" width="30.42578125" style="524" customWidth="1"/>
    <col min="19" max="19" width="24.28515625" style="524" customWidth="1"/>
    <col min="20" max="24" width="10.7109375" style="524" customWidth="1"/>
    <col min="25" max="25" width="26.5703125" style="524" customWidth="1"/>
    <col min="26" max="26" width="23.85546875" style="524" customWidth="1"/>
    <col min="27" max="27" width="32.42578125" style="524" customWidth="1"/>
    <col min="28" max="28" width="21.140625" style="524" customWidth="1"/>
    <col min="29" max="33" width="10.7109375" style="524" customWidth="1"/>
    <col min="34" max="34" width="20.28515625" style="524" customWidth="1"/>
    <col min="35" max="35" width="24" style="524" customWidth="1"/>
    <col min="36" max="36" width="23.7109375" style="524" customWidth="1"/>
    <col min="37" max="37" width="23" style="524" customWidth="1"/>
    <col min="38" max="16384" width="8.85546875" style="524"/>
  </cols>
  <sheetData>
    <row r="1" spans="1:37" x14ac:dyDescent="0.25">
      <c r="C1" s="2217" t="s">
        <v>1</v>
      </c>
      <c r="D1" s="2212"/>
      <c r="E1" s="2212"/>
      <c r="F1" s="2212"/>
      <c r="G1" s="2211" t="s">
        <v>206</v>
      </c>
      <c r="H1" s="2209"/>
      <c r="I1" s="2209"/>
      <c r="J1" s="2210"/>
      <c r="L1" s="2212" t="s">
        <v>4</v>
      </c>
      <c r="M1" s="2212"/>
      <c r="N1" s="2212"/>
      <c r="O1" s="2212"/>
      <c r="P1" s="2209" t="s">
        <v>206</v>
      </c>
      <c r="Q1" s="2209"/>
      <c r="R1" s="2209"/>
      <c r="S1" s="2210"/>
      <c r="U1" s="2212" t="s">
        <v>2</v>
      </c>
      <c r="V1" s="2212"/>
      <c r="W1" s="2212"/>
      <c r="X1" s="2212"/>
      <c r="Y1" s="2209" t="s">
        <v>206</v>
      </c>
      <c r="Z1" s="2209"/>
      <c r="AA1" s="2209"/>
      <c r="AB1" s="2210"/>
      <c r="AD1" s="2212" t="s">
        <v>5</v>
      </c>
      <c r="AE1" s="2212"/>
      <c r="AF1" s="2212"/>
      <c r="AG1" s="2212"/>
      <c r="AH1" s="2209" t="s">
        <v>206</v>
      </c>
      <c r="AI1" s="2209"/>
      <c r="AJ1" s="2209"/>
      <c r="AK1" s="2210"/>
    </row>
    <row r="2" spans="1:37" ht="42.6" customHeight="1" thickBot="1" x14ac:dyDescent="0.3">
      <c r="A2" s="531" t="s">
        <v>0</v>
      </c>
      <c r="B2" s="532" t="s">
        <v>198</v>
      </c>
      <c r="C2" s="529" t="s">
        <v>199</v>
      </c>
      <c r="D2" s="526" t="s">
        <v>200</v>
      </c>
      <c r="E2" s="526" t="s">
        <v>201</v>
      </c>
      <c r="F2" s="526" t="s">
        <v>204</v>
      </c>
      <c r="G2" s="575" t="s">
        <v>199</v>
      </c>
      <c r="H2" s="575" t="s">
        <v>200</v>
      </c>
      <c r="I2" s="575" t="s">
        <v>201</v>
      </c>
      <c r="J2" s="575" t="s">
        <v>204</v>
      </c>
      <c r="K2" s="524" t="s">
        <v>269</v>
      </c>
      <c r="L2" s="526" t="s">
        <v>199</v>
      </c>
      <c r="M2" s="526" t="s">
        <v>200</v>
      </c>
      <c r="N2" s="526" t="s">
        <v>201</v>
      </c>
      <c r="O2" s="526" t="s">
        <v>204</v>
      </c>
      <c r="P2" s="527" t="s">
        <v>199</v>
      </c>
      <c r="Q2" s="526" t="s">
        <v>200</v>
      </c>
      <c r="R2" s="526" t="s">
        <v>201</v>
      </c>
      <c r="S2" s="526" t="s">
        <v>204</v>
      </c>
      <c r="U2" s="526" t="s">
        <v>199</v>
      </c>
      <c r="V2" s="526" t="s">
        <v>200</v>
      </c>
      <c r="W2" s="526" t="s">
        <v>201</v>
      </c>
      <c r="X2" s="526" t="s">
        <v>204</v>
      </c>
      <c r="Y2" s="650" t="s">
        <v>199</v>
      </c>
      <c r="Z2" s="526" t="s">
        <v>200</v>
      </c>
      <c r="AA2" s="526" t="s">
        <v>201</v>
      </c>
      <c r="AB2" s="526" t="s">
        <v>204</v>
      </c>
      <c r="AD2" s="526" t="s">
        <v>199</v>
      </c>
      <c r="AE2" s="526" t="s">
        <v>200</v>
      </c>
      <c r="AF2" s="526" t="s">
        <v>201</v>
      </c>
      <c r="AG2" s="526" t="s">
        <v>204</v>
      </c>
      <c r="AH2" s="527" t="s">
        <v>199</v>
      </c>
      <c r="AI2" s="526" t="s">
        <v>200</v>
      </c>
      <c r="AJ2" s="526" t="s">
        <v>201</v>
      </c>
      <c r="AK2" s="526" t="s">
        <v>204</v>
      </c>
    </row>
    <row r="3" spans="1:37" ht="30" customHeight="1" thickTop="1" x14ac:dyDescent="0.25">
      <c r="A3" s="2206">
        <v>44805</v>
      </c>
      <c r="B3" s="802">
        <v>1</v>
      </c>
      <c r="C3" s="592"/>
      <c r="D3" s="593"/>
      <c r="E3" s="593">
        <v>10</v>
      </c>
      <c r="F3" s="594"/>
      <c r="G3" s="685"/>
      <c r="H3" s="619"/>
      <c r="I3" s="620" t="s">
        <v>463</v>
      </c>
      <c r="J3" s="686"/>
      <c r="K3" s="622"/>
      <c r="L3" s="612"/>
      <c r="M3" s="630"/>
      <c r="N3" s="630"/>
      <c r="O3" s="628"/>
      <c r="P3" s="629"/>
      <c r="Q3" s="699"/>
      <c r="R3" s="700"/>
      <c r="S3" s="628"/>
      <c r="T3" s="622"/>
      <c r="U3" s="612"/>
      <c r="V3" s="630"/>
      <c r="W3" s="630">
        <v>35</v>
      </c>
      <c r="X3" s="613"/>
      <c r="Y3" s="806"/>
      <c r="Z3" s="629"/>
      <c r="AA3" s="719" t="s">
        <v>464</v>
      </c>
      <c r="AB3" s="720"/>
      <c r="AC3" s="622"/>
      <c r="AD3" s="612"/>
      <c r="AE3" s="630"/>
      <c r="AF3" s="6"/>
      <c r="AG3" s="628"/>
      <c r="AH3" s="629"/>
      <c r="AI3" s="630"/>
      <c r="AJ3" s="6"/>
      <c r="AK3" s="628"/>
    </row>
    <row r="4" spans="1:37" ht="19.899999999999999" customHeight="1" x14ac:dyDescent="0.25">
      <c r="A4" s="2205"/>
      <c r="B4" s="574">
        <v>2</v>
      </c>
      <c r="C4" s="595"/>
      <c r="D4" s="596">
        <v>22</v>
      </c>
      <c r="E4" s="596">
        <v>10</v>
      </c>
      <c r="F4" s="597"/>
      <c r="G4" s="685"/>
      <c r="H4" s="619" t="s">
        <v>465</v>
      </c>
      <c r="I4" s="620" t="s">
        <v>152</v>
      </c>
      <c r="J4" s="687"/>
      <c r="K4" s="622"/>
      <c r="L4" s="572"/>
      <c r="M4" s="6">
        <v>10</v>
      </c>
      <c r="N4" s="6"/>
      <c r="O4" s="613"/>
      <c r="P4" s="614"/>
      <c r="Q4" s="619" t="s">
        <v>465</v>
      </c>
      <c r="R4" s="808"/>
      <c r="S4" s="613"/>
      <c r="T4" s="622"/>
      <c r="U4" s="572"/>
      <c r="V4" s="605"/>
      <c r="W4" s="6">
        <v>7</v>
      </c>
      <c r="X4" s="613"/>
      <c r="Y4" s="806"/>
      <c r="Z4" s="6"/>
      <c r="AA4" s="698" t="s">
        <v>152</v>
      </c>
      <c r="AB4" s="722"/>
      <c r="AC4" s="622"/>
      <c r="AD4" s="572"/>
      <c r="AE4" s="6"/>
      <c r="AF4" s="6"/>
      <c r="AG4" s="613"/>
      <c r="AH4" s="614"/>
      <c r="AI4" s="6"/>
      <c r="AJ4" s="6"/>
      <c r="AK4" s="613"/>
    </row>
    <row r="5" spans="1:37" ht="26.45" customHeight="1" x14ac:dyDescent="0.25">
      <c r="A5" s="2206">
        <v>44806</v>
      </c>
      <c r="B5" s="574">
        <v>1</v>
      </c>
      <c r="C5" s="595"/>
      <c r="D5" s="596"/>
      <c r="E5" s="596"/>
      <c r="F5" s="597"/>
      <c r="G5" s="685"/>
      <c r="H5" s="619"/>
      <c r="I5" s="620"/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/>
      <c r="X5" s="613"/>
      <c r="Y5" s="806"/>
      <c r="Z5" s="50"/>
      <c r="AA5" s="6"/>
      <c r="AB5" s="723"/>
      <c r="AC5" s="622"/>
      <c r="AD5" s="572"/>
      <c r="AE5" s="6"/>
      <c r="AF5" s="6"/>
      <c r="AG5" s="613"/>
      <c r="AH5" s="614"/>
      <c r="AI5" s="6"/>
      <c r="AJ5" s="605"/>
      <c r="AK5" s="613"/>
    </row>
    <row r="6" spans="1:37" ht="63" customHeight="1" x14ac:dyDescent="0.25">
      <c r="A6" s="2205"/>
      <c r="B6" s="574">
        <v>2</v>
      </c>
      <c r="C6" s="595"/>
      <c r="D6" s="596"/>
      <c r="E6" s="596"/>
      <c r="F6" s="597"/>
      <c r="G6" s="685"/>
      <c r="H6" s="619"/>
      <c r="I6" s="620"/>
      <c r="J6" s="687"/>
      <c r="K6" s="622"/>
      <c r="L6" s="572"/>
      <c r="M6" s="6"/>
      <c r="N6" s="6"/>
      <c r="O6" s="613"/>
      <c r="P6" s="614"/>
      <c r="Q6" s="619"/>
      <c r="R6" s="6"/>
      <c r="S6" s="613"/>
      <c r="T6" s="622"/>
      <c r="U6" s="572"/>
      <c r="V6" s="6"/>
      <c r="W6" s="6"/>
      <c r="X6" s="613"/>
      <c r="Y6" s="806"/>
      <c r="Z6" s="6"/>
      <c r="AA6" s="698"/>
      <c r="AB6" s="613"/>
      <c r="AC6" s="622"/>
      <c r="AD6" s="572"/>
      <c r="AE6" s="6"/>
      <c r="AF6" s="6"/>
      <c r="AG6" s="613"/>
      <c r="AH6" s="614"/>
      <c r="AI6" s="6"/>
      <c r="AJ6" s="6"/>
      <c r="AK6" s="613"/>
    </row>
    <row r="7" spans="1:37" ht="19.899999999999999" customHeight="1" x14ac:dyDescent="0.25">
      <c r="A7" s="2206">
        <v>44807</v>
      </c>
      <c r="B7" s="574">
        <v>1</v>
      </c>
      <c r="C7" s="595"/>
      <c r="D7" s="596"/>
      <c r="E7" s="596"/>
      <c r="F7" s="597"/>
      <c r="G7" s="685"/>
      <c r="H7" s="620"/>
      <c r="I7" s="620"/>
      <c r="J7" s="687"/>
      <c r="K7" s="622"/>
      <c r="L7" s="572"/>
      <c r="M7" s="614"/>
      <c r="N7" s="6"/>
      <c r="O7" s="613"/>
      <c r="P7" s="614"/>
      <c r="Q7" s="614"/>
      <c r="R7" s="6"/>
      <c r="S7" s="613"/>
      <c r="T7" s="622"/>
      <c r="U7" s="572"/>
      <c r="V7" s="807"/>
      <c r="W7" s="6"/>
      <c r="X7" s="613"/>
      <c r="Y7" s="614"/>
      <c r="Z7" s="6"/>
      <c r="AA7" s="6"/>
      <c r="AB7" s="613"/>
      <c r="AC7" s="622"/>
      <c r="AD7" s="572"/>
      <c r="AE7" s="6"/>
      <c r="AF7" s="6"/>
      <c r="AG7" s="613"/>
      <c r="AH7" s="614"/>
      <c r="AI7" s="6"/>
      <c r="AJ7" s="6"/>
      <c r="AK7" s="613"/>
    </row>
    <row r="8" spans="1:37" ht="31.15" customHeight="1" x14ac:dyDescent="0.25">
      <c r="A8" s="2205"/>
      <c r="B8" s="574">
        <v>2</v>
      </c>
      <c r="C8" s="595"/>
      <c r="D8" s="596"/>
      <c r="E8" s="596"/>
      <c r="F8" s="597"/>
      <c r="G8" s="684"/>
      <c r="H8" s="620"/>
      <c r="I8" s="620"/>
      <c r="J8" s="635"/>
      <c r="K8" s="622"/>
      <c r="L8" s="572"/>
      <c r="M8" s="6"/>
      <c r="N8" s="6"/>
      <c r="O8" s="613"/>
      <c r="P8" s="806"/>
      <c r="Q8" s="605"/>
      <c r="R8" s="605"/>
      <c r="S8" s="635"/>
      <c r="T8" s="622"/>
      <c r="U8" s="572"/>
      <c r="V8" s="633"/>
      <c r="W8" s="614"/>
      <c r="X8" s="613"/>
      <c r="Y8" s="806"/>
      <c r="Z8" s="6"/>
      <c r="AA8" s="6"/>
      <c r="AB8" s="635"/>
      <c r="AC8" s="622"/>
      <c r="AD8" s="572"/>
      <c r="AE8" s="6"/>
      <c r="AF8" s="6"/>
      <c r="AG8" s="613"/>
      <c r="AH8" s="614"/>
      <c r="AI8" s="6"/>
      <c r="AJ8" s="6"/>
      <c r="AK8" s="635"/>
    </row>
    <row r="9" spans="1:37" ht="33.6" customHeight="1" x14ac:dyDescent="0.25">
      <c r="A9" s="2206">
        <v>44808</v>
      </c>
      <c r="B9" s="574">
        <v>1</v>
      </c>
      <c r="C9" s="595"/>
      <c r="D9" s="596"/>
      <c r="E9" s="596"/>
      <c r="F9" s="597"/>
      <c r="G9" s="685"/>
      <c r="H9" s="619"/>
      <c r="I9" s="619"/>
      <c r="J9" s="635"/>
      <c r="K9" s="622"/>
      <c r="L9" s="572"/>
      <c r="M9" s="6"/>
      <c r="N9" s="6"/>
      <c r="O9" s="613"/>
      <c r="P9" s="806"/>
      <c r="Q9" s="6"/>
      <c r="R9" s="605"/>
      <c r="S9" s="635"/>
      <c r="T9" s="622"/>
      <c r="U9" s="572"/>
      <c r="V9" s="6"/>
      <c r="W9" s="6"/>
      <c r="X9" s="613"/>
      <c r="Y9" s="614"/>
      <c r="Z9" s="6"/>
      <c r="AA9" s="6"/>
      <c r="AB9" s="635"/>
      <c r="AC9" s="622"/>
      <c r="AD9" s="572"/>
      <c r="AE9" s="6"/>
      <c r="AF9" s="6"/>
      <c r="AG9" s="613"/>
      <c r="AH9" s="614"/>
      <c r="AI9" s="6"/>
      <c r="AJ9" s="6"/>
      <c r="AK9" s="635"/>
    </row>
    <row r="10" spans="1:37" ht="47.45" customHeight="1" x14ac:dyDescent="0.25">
      <c r="A10" s="2205"/>
      <c r="B10" s="574">
        <v>2</v>
      </c>
      <c r="C10" s="595"/>
      <c r="D10" s="596"/>
      <c r="E10" s="596"/>
      <c r="F10" s="597"/>
      <c r="G10" s="685"/>
      <c r="H10" s="619"/>
      <c r="I10" s="620"/>
      <c r="J10" s="635"/>
      <c r="K10" s="622"/>
      <c r="L10" s="572"/>
      <c r="M10" s="6"/>
      <c r="N10" s="6"/>
      <c r="O10" s="613"/>
      <c r="P10" s="806"/>
      <c r="Q10" s="6"/>
      <c r="R10" s="605"/>
      <c r="S10" s="635"/>
      <c r="T10" s="622"/>
      <c r="U10" s="572"/>
      <c r="V10" s="6"/>
      <c r="W10" s="6"/>
      <c r="X10" s="613"/>
      <c r="Z10" s="806"/>
      <c r="AA10" s="6"/>
      <c r="AB10" s="635"/>
      <c r="AC10" s="622"/>
      <c r="AD10" s="572"/>
      <c r="AE10" s="6"/>
      <c r="AF10" s="6"/>
      <c r="AG10" s="613"/>
      <c r="AH10" s="614"/>
      <c r="AI10" s="6"/>
      <c r="AJ10" s="6"/>
      <c r="AK10" s="635"/>
    </row>
    <row r="11" spans="1:37" ht="30.75" customHeight="1" x14ac:dyDescent="0.25">
      <c r="A11" s="2206">
        <v>44809</v>
      </c>
      <c r="B11" s="574">
        <v>1</v>
      </c>
      <c r="C11" s="595"/>
      <c r="D11" s="596"/>
      <c r="E11" s="596"/>
      <c r="F11" s="597"/>
      <c r="G11" s="684"/>
      <c r="H11" s="619"/>
      <c r="I11" s="620"/>
      <c r="J11" s="687"/>
      <c r="K11" s="622"/>
      <c r="L11" s="572"/>
      <c r="M11" s="6"/>
      <c r="N11" s="6"/>
      <c r="O11" s="613"/>
      <c r="P11" s="806"/>
      <c r="Q11" s="6"/>
      <c r="R11" s="605"/>
      <c r="S11" s="613"/>
      <c r="T11" s="622"/>
      <c r="U11" s="572"/>
      <c r="V11" s="6"/>
      <c r="W11" s="6"/>
      <c r="X11" s="613"/>
      <c r="Y11" s="614"/>
      <c r="Z11" s="6"/>
      <c r="AA11" s="6"/>
      <c r="AB11" s="613"/>
      <c r="AC11" s="622"/>
      <c r="AD11" s="572"/>
      <c r="AE11" s="6"/>
      <c r="AF11" s="6"/>
      <c r="AG11" s="613"/>
      <c r="AH11" s="614"/>
      <c r="AI11" s="6"/>
      <c r="AJ11" s="6"/>
      <c r="AK11" s="613"/>
    </row>
    <row r="12" spans="1:37" ht="36.75" customHeight="1" x14ac:dyDescent="0.25">
      <c r="A12" s="2205"/>
      <c r="B12" s="574">
        <v>2</v>
      </c>
      <c r="C12" s="595"/>
      <c r="D12" s="596"/>
      <c r="E12" s="596"/>
      <c r="F12" s="597">
        <v>710</v>
      </c>
      <c r="G12" s="685"/>
      <c r="H12" s="619"/>
      <c r="I12" s="620"/>
      <c r="J12" s="635" t="s">
        <v>466</v>
      </c>
      <c r="K12" s="622"/>
      <c r="L12" s="572"/>
      <c r="M12" s="6"/>
      <c r="N12" s="6"/>
      <c r="O12" s="613">
        <v>704</v>
      </c>
      <c r="P12" s="806"/>
      <c r="Q12" s="6"/>
      <c r="R12" s="605"/>
      <c r="S12" s="635" t="s">
        <v>466</v>
      </c>
      <c r="T12" s="622"/>
      <c r="U12" s="572"/>
      <c r="V12" s="6"/>
      <c r="W12" s="6"/>
      <c r="X12" s="613">
        <v>720</v>
      </c>
      <c r="Y12" s="614"/>
      <c r="Z12" s="6"/>
      <c r="AA12" s="721"/>
      <c r="AB12" s="635" t="s">
        <v>466</v>
      </c>
      <c r="AC12" s="622"/>
      <c r="AD12" s="572"/>
      <c r="AE12" s="6"/>
      <c r="AF12" s="6"/>
      <c r="AG12" s="613">
        <v>707</v>
      </c>
      <c r="AH12" s="614"/>
      <c r="AI12" s="6"/>
      <c r="AJ12" s="6"/>
      <c r="AK12" s="635" t="s">
        <v>466</v>
      </c>
    </row>
    <row r="13" spans="1:37" ht="40.5" customHeight="1" x14ac:dyDescent="0.25">
      <c r="A13" s="2206">
        <v>44810</v>
      </c>
      <c r="B13" s="574">
        <v>1</v>
      </c>
      <c r="C13" s="595"/>
      <c r="D13" s="596"/>
      <c r="E13" s="596"/>
      <c r="F13" s="597">
        <v>720</v>
      </c>
      <c r="G13" s="685"/>
      <c r="H13" s="619"/>
      <c r="I13" s="620"/>
      <c r="J13" s="635" t="s">
        <v>466</v>
      </c>
      <c r="K13" s="622"/>
      <c r="L13" s="572"/>
      <c r="M13" s="6"/>
      <c r="N13" s="6"/>
      <c r="O13" s="597">
        <v>720</v>
      </c>
      <c r="P13" s="806"/>
      <c r="Q13" s="6"/>
      <c r="R13" s="605"/>
      <c r="S13" s="635" t="s">
        <v>466</v>
      </c>
      <c r="T13" s="622"/>
      <c r="U13" s="572"/>
      <c r="V13" s="6"/>
      <c r="W13" s="6"/>
      <c r="X13" s="597">
        <v>720</v>
      </c>
      <c r="Y13" s="806"/>
      <c r="Z13" s="605"/>
      <c r="AA13" s="6"/>
      <c r="AB13" s="635" t="s">
        <v>466</v>
      </c>
      <c r="AC13" s="622"/>
      <c r="AD13" s="572"/>
      <c r="AE13" s="6"/>
      <c r="AF13" s="6"/>
      <c r="AG13" s="597">
        <v>720</v>
      </c>
      <c r="AH13" s="614"/>
      <c r="AI13" s="6"/>
      <c r="AJ13" s="6"/>
      <c r="AK13" s="635" t="s">
        <v>466</v>
      </c>
    </row>
    <row r="14" spans="1:37" ht="34.15" customHeight="1" x14ac:dyDescent="0.25">
      <c r="A14" s="2205"/>
      <c r="B14" s="574">
        <v>2</v>
      </c>
      <c r="C14" s="595"/>
      <c r="D14" s="596"/>
      <c r="E14" s="596"/>
      <c r="F14" s="597">
        <v>720</v>
      </c>
      <c r="G14" s="685"/>
      <c r="H14" s="620"/>
      <c r="I14" s="620"/>
      <c r="J14" s="635" t="s">
        <v>466</v>
      </c>
      <c r="K14" s="622"/>
      <c r="L14" s="572"/>
      <c r="M14" s="6"/>
      <c r="N14" s="6"/>
      <c r="O14" s="597">
        <v>720</v>
      </c>
      <c r="P14" s="614"/>
      <c r="Q14" s="6"/>
      <c r="R14" s="6"/>
      <c r="S14" s="635" t="s">
        <v>466</v>
      </c>
      <c r="T14" s="622"/>
      <c r="U14" s="572"/>
      <c r="V14" s="6"/>
      <c r="W14" s="6"/>
      <c r="X14" s="597">
        <v>720</v>
      </c>
      <c r="Y14" s="806"/>
      <c r="Z14" s="605"/>
      <c r="AA14" s="605"/>
      <c r="AB14" s="635" t="s">
        <v>466</v>
      </c>
      <c r="AC14" s="622"/>
      <c r="AD14" s="572"/>
      <c r="AE14" s="6"/>
      <c r="AF14" s="6"/>
      <c r="AG14" s="597">
        <v>720</v>
      </c>
      <c r="AH14" s="806"/>
      <c r="AI14" s="6"/>
      <c r="AJ14" s="6"/>
      <c r="AK14" s="635" t="s">
        <v>466</v>
      </c>
    </row>
    <row r="15" spans="1:37" ht="43.9" customHeight="1" x14ac:dyDescent="0.25">
      <c r="A15" s="2206">
        <v>44811</v>
      </c>
      <c r="B15" s="574">
        <v>1</v>
      </c>
      <c r="C15" s="595"/>
      <c r="D15" s="596"/>
      <c r="E15" s="6"/>
      <c r="F15" s="597">
        <v>720</v>
      </c>
      <c r="G15" s="685"/>
      <c r="H15" s="620"/>
      <c r="I15" s="620"/>
      <c r="J15" s="635" t="s">
        <v>466</v>
      </c>
      <c r="K15" s="622"/>
      <c r="L15" s="572"/>
      <c r="M15" s="6"/>
      <c r="N15" s="6"/>
      <c r="O15" s="597">
        <v>720</v>
      </c>
      <c r="P15" s="572"/>
      <c r="Q15" s="620"/>
      <c r="R15" s="6"/>
      <c r="S15" s="635" t="s">
        <v>466</v>
      </c>
      <c r="T15" s="622"/>
      <c r="U15" s="572"/>
      <c r="V15" s="6"/>
      <c r="W15" s="6"/>
      <c r="X15" s="597">
        <v>720</v>
      </c>
      <c r="Y15" s="572"/>
      <c r="Z15" s="620"/>
      <c r="AA15" s="728"/>
      <c r="AB15" s="635" t="s">
        <v>466</v>
      </c>
      <c r="AC15" s="622"/>
      <c r="AD15" s="572"/>
      <c r="AE15" s="6"/>
      <c r="AF15" s="622"/>
      <c r="AG15" s="597">
        <v>720</v>
      </c>
      <c r="AI15" s="620"/>
      <c r="AJ15" s="572"/>
      <c r="AK15" s="635" t="s">
        <v>466</v>
      </c>
    </row>
    <row r="16" spans="1:37" ht="37.5" customHeight="1" x14ac:dyDescent="0.25">
      <c r="A16" s="2205"/>
      <c r="B16" s="574">
        <v>2</v>
      </c>
      <c r="C16" s="595"/>
      <c r="D16" s="596"/>
      <c r="E16" s="596"/>
      <c r="F16" s="597">
        <v>720</v>
      </c>
      <c r="G16" s="684"/>
      <c r="H16" s="619"/>
      <c r="I16" s="684"/>
      <c r="J16" s="635" t="s">
        <v>466</v>
      </c>
      <c r="K16" s="622"/>
      <c r="L16" s="572"/>
      <c r="M16" s="6"/>
      <c r="N16" s="6"/>
      <c r="O16" s="597">
        <v>720</v>
      </c>
      <c r="P16" s="572"/>
      <c r="Q16" s="6"/>
      <c r="R16" s="6"/>
      <c r="S16" s="635" t="s">
        <v>466</v>
      </c>
      <c r="T16" s="622"/>
      <c r="U16" s="572"/>
      <c r="V16" s="6"/>
      <c r="W16" s="6"/>
      <c r="X16" s="597">
        <v>720</v>
      </c>
      <c r="Y16" s="619"/>
      <c r="Z16" s="619"/>
      <c r="AA16" s="6"/>
      <c r="AB16" s="635" t="s">
        <v>466</v>
      </c>
      <c r="AC16" s="622"/>
      <c r="AD16" s="572"/>
      <c r="AE16" s="6"/>
      <c r="AF16" s="6"/>
      <c r="AG16" s="597">
        <v>720</v>
      </c>
      <c r="AH16" s="572"/>
      <c r="AI16" s="6"/>
      <c r="AJ16" s="6"/>
      <c r="AK16" s="635" t="s">
        <v>466</v>
      </c>
    </row>
    <row r="17" spans="1:37" ht="32.450000000000003" customHeight="1" x14ac:dyDescent="0.25">
      <c r="A17" s="2206">
        <v>44812</v>
      </c>
      <c r="B17" s="644">
        <v>1</v>
      </c>
      <c r="C17" s="595"/>
      <c r="D17" s="596"/>
      <c r="E17" s="596"/>
      <c r="F17" s="597">
        <v>720</v>
      </c>
      <c r="G17" s="685"/>
      <c r="H17" s="619"/>
      <c r="I17" s="620"/>
      <c r="J17" s="635" t="s">
        <v>466</v>
      </c>
      <c r="K17" s="622"/>
      <c r="L17" s="572"/>
      <c r="M17" s="6"/>
      <c r="N17" s="6"/>
      <c r="O17" s="597">
        <v>720</v>
      </c>
      <c r="P17" s="572"/>
      <c r="Q17" s="6"/>
      <c r="R17" s="6"/>
      <c r="S17" s="635" t="s">
        <v>466</v>
      </c>
      <c r="T17" s="622"/>
      <c r="U17" s="572"/>
      <c r="V17" s="6"/>
      <c r="W17" s="6"/>
      <c r="X17" s="597">
        <v>720</v>
      </c>
      <c r="Y17" s="619"/>
      <c r="Z17" s="619"/>
      <c r="AA17" s="6"/>
      <c r="AB17" s="635" t="s">
        <v>466</v>
      </c>
      <c r="AC17" s="622"/>
      <c r="AD17" s="572"/>
      <c r="AE17" s="6"/>
      <c r="AF17" s="6"/>
      <c r="AG17" s="597">
        <v>720</v>
      </c>
      <c r="AH17" s="572"/>
      <c r="AI17" s="6"/>
      <c r="AJ17" s="605"/>
      <c r="AK17" s="635" t="s">
        <v>466</v>
      </c>
    </row>
    <row r="18" spans="1:37" ht="39.6" customHeight="1" x14ac:dyDescent="0.25">
      <c r="A18" s="2205"/>
      <c r="B18" s="574">
        <v>2</v>
      </c>
      <c r="C18" s="595"/>
      <c r="D18" s="596"/>
      <c r="E18" s="596"/>
      <c r="F18" s="597">
        <v>720</v>
      </c>
      <c r="G18" s="684"/>
      <c r="H18" s="620"/>
      <c r="I18" s="619"/>
      <c r="J18" s="635" t="s">
        <v>466</v>
      </c>
      <c r="K18" s="622"/>
      <c r="L18" s="572"/>
      <c r="M18" s="6"/>
      <c r="N18" s="6"/>
      <c r="O18" s="597">
        <v>720</v>
      </c>
      <c r="P18" s="572"/>
      <c r="Q18" s="6"/>
      <c r="R18" s="6"/>
      <c r="S18" s="635" t="s">
        <v>466</v>
      </c>
      <c r="T18" s="622"/>
      <c r="U18" s="572"/>
      <c r="V18" s="6"/>
      <c r="W18" s="6"/>
      <c r="X18" s="597">
        <v>720</v>
      </c>
      <c r="Y18" s="567"/>
      <c r="Z18" s="6"/>
      <c r="AA18" s="605"/>
      <c r="AB18" s="635" t="s">
        <v>466</v>
      </c>
      <c r="AC18" s="622"/>
      <c r="AD18" s="572"/>
      <c r="AE18" s="6"/>
      <c r="AF18" s="6"/>
      <c r="AG18" s="597">
        <v>720</v>
      </c>
      <c r="AH18" s="572"/>
      <c r="AI18" s="6"/>
      <c r="AJ18" s="605"/>
      <c r="AK18" s="635" t="s">
        <v>466</v>
      </c>
    </row>
    <row r="19" spans="1:37" ht="33.6" customHeight="1" x14ac:dyDescent="0.25">
      <c r="A19" s="2206">
        <v>44813</v>
      </c>
      <c r="B19" s="574">
        <v>1</v>
      </c>
      <c r="C19" s="622"/>
      <c r="D19" s="596"/>
      <c r="E19" s="596"/>
      <c r="F19" s="597">
        <v>720</v>
      </c>
      <c r="G19" s="685"/>
      <c r="H19" s="619"/>
      <c r="I19" s="620"/>
      <c r="J19" s="635" t="s">
        <v>466</v>
      </c>
      <c r="K19" s="622"/>
      <c r="L19" s="572"/>
      <c r="M19" s="6"/>
      <c r="N19" s="6"/>
      <c r="O19" s="597">
        <v>720</v>
      </c>
      <c r="P19" s="572"/>
      <c r="Q19" s="6"/>
      <c r="R19" s="6"/>
      <c r="S19" s="635" t="s">
        <v>466</v>
      </c>
      <c r="T19" s="622"/>
      <c r="U19" s="572"/>
      <c r="V19" s="6"/>
      <c r="W19" s="6"/>
      <c r="X19" s="597">
        <v>720</v>
      </c>
      <c r="Y19" s="572"/>
      <c r="Z19" s="605"/>
      <c r="AA19" s="605"/>
      <c r="AB19" s="635" t="s">
        <v>466</v>
      </c>
      <c r="AC19" s="622"/>
      <c r="AD19" s="572"/>
      <c r="AE19" s="6"/>
      <c r="AF19" s="6"/>
      <c r="AG19" s="597">
        <v>720</v>
      </c>
      <c r="AH19" s="572"/>
      <c r="AI19" s="6"/>
      <c r="AJ19" s="605"/>
      <c r="AK19" s="635" t="s">
        <v>466</v>
      </c>
    </row>
    <row r="20" spans="1:37" ht="56.45" customHeight="1" x14ac:dyDescent="0.25">
      <c r="A20" s="2205"/>
      <c r="B20" s="574">
        <v>2</v>
      </c>
      <c r="C20" s="595"/>
      <c r="D20" s="596"/>
      <c r="E20" s="596"/>
      <c r="F20" s="597">
        <v>720</v>
      </c>
      <c r="G20" s="685"/>
      <c r="H20" s="620"/>
      <c r="I20" s="620"/>
      <c r="J20" s="635" t="s">
        <v>466</v>
      </c>
      <c r="K20" s="622"/>
      <c r="L20" s="572"/>
      <c r="M20" s="6"/>
      <c r="N20" s="6"/>
      <c r="O20" s="597">
        <v>720</v>
      </c>
      <c r="P20" s="572"/>
      <c r="Q20" s="6"/>
      <c r="R20" s="6"/>
      <c r="S20" s="635" t="s">
        <v>466</v>
      </c>
      <c r="T20" s="622"/>
      <c r="U20" s="572"/>
      <c r="V20" s="250"/>
      <c r="W20" s="6"/>
      <c r="X20" s="597">
        <v>720</v>
      </c>
      <c r="Y20" s="572"/>
      <c r="Z20" s="605"/>
      <c r="AA20" s="724"/>
      <c r="AB20" s="635" t="s">
        <v>466</v>
      </c>
      <c r="AC20" s="622"/>
      <c r="AD20" s="572"/>
      <c r="AE20" s="6"/>
      <c r="AF20" s="6"/>
      <c r="AG20" s="597">
        <v>720</v>
      </c>
      <c r="AH20" s="567"/>
      <c r="AI20" s="6"/>
      <c r="AJ20" s="613"/>
      <c r="AK20" s="635" t="s">
        <v>466</v>
      </c>
    </row>
    <row r="21" spans="1:37" ht="97.15" customHeight="1" x14ac:dyDescent="0.25">
      <c r="A21" s="2206">
        <v>44814</v>
      </c>
      <c r="B21" s="574">
        <v>1</v>
      </c>
      <c r="C21" s="595"/>
      <c r="D21" s="596"/>
      <c r="E21" s="596"/>
      <c r="F21" s="597">
        <v>720</v>
      </c>
      <c r="G21" s="688"/>
      <c r="H21" s="619"/>
      <c r="I21" s="620"/>
      <c r="J21" s="635" t="s">
        <v>466</v>
      </c>
      <c r="K21" s="622"/>
      <c r="L21" s="572"/>
      <c r="M21" s="6"/>
      <c r="N21" s="6"/>
      <c r="O21" s="597">
        <v>720</v>
      </c>
      <c r="P21" s="572"/>
      <c r="Q21" s="6"/>
      <c r="R21" s="6"/>
      <c r="S21" s="635" t="s">
        <v>466</v>
      </c>
      <c r="T21" s="622"/>
      <c r="U21" s="572"/>
      <c r="V21" s="6"/>
      <c r="W21" s="6"/>
      <c r="X21" s="597">
        <v>720</v>
      </c>
      <c r="Y21" s="572"/>
      <c r="Z21" s="6"/>
      <c r="AA21" s="605"/>
      <c r="AB21" s="635" t="s">
        <v>466</v>
      </c>
      <c r="AC21" s="622"/>
      <c r="AD21" s="572"/>
      <c r="AE21" s="6"/>
      <c r="AF21" s="6"/>
      <c r="AG21" s="597">
        <v>720</v>
      </c>
      <c r="AH21" s="572"/>
      <c r="AI21" s="6"/>
      <c r="AJ21" s="613"/>
      <c r="AK21" s="635" t="s">
        <v>466</v>
      </c>
    </row>
    <row r="22" spans="1:37" ht="55.9" customHeight="1" x14ac:dyDescent="0.25">
      <c r="A22" s="2205"/>
      <c r="B22" s="574">
        <v>2</v>
      </c>
      <c r="C22" s="595"/>
      <c r="D22" s="596"/>
      <c r="E22" s="596"/>
      <c r="F22" s="597">
        <v>720</v>
      </c>
      <c r="G22" s="804"/>
      <c r="H22" s="620"/>
      <c r="I22" s="620"/>
      <c r="J22" s="635" t="s">
        <v>466</v>
      </c>
      <c r="K22" s="622"/>
      <c r="L22" s="572"/>
      <c r="M22" s="6"/>
      <c r="N22" s="6"/>
      <c r="O22" s="597">
        <v>720</v>
      </c>
      <c r="P22" s="806"/>
      <c r="Q22" s="6"/>
      <c r="R22" s="6"/>
      <c r="S22" s="635" t="s">
        <v>466</v>
      </c>
      <c r="T22" s="622"/>
      <c r="U22" s="572"/>
      <c r="V22" s="6"/>
      <c r="W22" s="6"/>
      <c r="X22" s="597">
        <v>720</v>
      </c>
      <c r="Y22" s="572"/>
      <c r="Z22" s="6"/>
      <c r="AA22" s="605"/>
      <c r="AB22" s="635" t="s">
        <v>466</v>
      </c>
      <c r="AC22" s="622"/>
      <c r="AD22" s="572"/>
      <c r="AE22" s="6"/>
      <c r="AF22" s="6"/>
      <c r="AG22" s="597">
        <v>720</v>
      </c>
      <c r="AH22" s="572"/>
      <c r="AI22" s="6"/>
      <c r="AJ22" s="613"/>
      <c r="AK22" s="635" t="s">
        <v>466</v>
      </c>
    </row>
    <row r="23" spans="1:37" ht="37.9" customHeight="1" x14ac:dyDescent="0.25">
      <c r="A23" s="2206">
        <v>44815</v>
      </c>
      <c r="B23" s="644">
        <v>1</v>
      </c>
      <c r="C23" s="595"/>
      <c r="D23" s="596"/>
      <c r="E23" s="596"/>
      <c r="F23" s="597">
        <v>720</v>
      </c>
      <c r="G23" s="685"/>
      <c r="H23" s="619"/>
      <c r="I23" s="620"/>
      <c r="J23" s="635" t="s">
        <v>466</v>
      </c>
      <c r="K23" s="622"/>
      <c r="L23" s="572"/>
      <c r="M23" s="6"/>
      <c r="N23" s="6"/>
      <c r="O23" s="597">
        <v>720</v>
      </c>
      <c r="P23" s="685"/>
      <c r="Q23" s="619"/>
      <c r="R23" s="620"/>
      <c r="S23" s="635" t="s">
        <v>466</v>
      </c>
      <c r="T23" s="622"/>
      <c r="U23" s="572"/>
      <c r="V23" s="6"/>
      <c r="W23" s="6"/>
      <c r="X23" s="597">
        <v>720</v>
      </c>
      <c r="Y23" s="685"/>
      <c r="Z23" s="619"/>
      <c r="AA23" s="620"/>
      <c r="AB23" s="635" t="s">
        <v>466</v>
      </c>
      <c r="AC23" s="622"/>
      <c r="AD23" s="572"/>
      <c r="AE23" s="6"/>
      <c r="AF23" s="6"/>
      <c r="AG23" s="597">
        <v>720</v>
      </c>
      <c r="AH23" s="6"/>
      <c r="AI23" s="619"/>
      <c r="AJ23" s="635"/>
      <c r="AK23" s="635" t="s">
        <v>466</v>
      </c>
    </row>
    <row r="24" spans="1:37" ht="49.9" customHeight="1" x14ac:dyDescent="0.25">
      <c r="A24" s="2205"/>
      <c r="B24" s="574">
        <v>2</v>
      </c>
      <c r="C24" s="595"/>
      <c r="D24" s="596"/>
      <c r="E24" s="596"/>
      <c r="F24" s="597">
        <v>720</v>
      </c>
      <c r="G24" s="685"/>
      <c r="H24" s="619"/>
      <c r="I24" s="620"/>
      <c r="J24" s="635" t="s">
        <v>466</v>
      </c>
      <c r="K24" s="622"/>
      <c r="L24" s="572"/>
      <c r="M24" s="6"/>
      <c r="N24" s="6"/>
      <c r="O24" s="597">
        <v>720</v>
      </c>
      <c r="P24" s="685"/>
      <c r="Q24" s="619"/>
      <c r="R24" s="620"/>
      <c r="S24" s="635" t="s">
        <v>466</v>
      </c>
      <c r="T24" s="622"/>
      <c r="U24" s="572"/>
      <c r="V24" s="6"/>
      <c r="W24" s="6"/>
      <c r="X24" s="597">
        <v>720</v>
      </c>
      <c r="Y24" s="685"/>
      <c r="Z24" s="619"/>
      <c r="AA24" s="620"/>
      <c r="AB24" s="635" t="s">
        <v>466</v>
      </c>
      <c r="AC24" s="622"/>
      <c r="AD24" s="572"/>
      <c r="AE24" s="6"/>
      <c r="AF24" s="6"/>
      <c r="AG24" s="597">
        <v>720</v>
      </c>
      <c r="AH24" s="6"/>
      <c r="AI24" s="619"/>
      <c r="AJ24" s="613"/>
      <c r="AK24" s="635" t="s">
        <v>466</v>
      </c>
    </row>
    <row r="25" spans="1:37" ht="46.15" customHeight="1" x14ac:dyDescent="0.25">
      <c r="A25" s="2206">
        <v>44816</v>
      </c>
      <c r="B25" s="574">
        <v>1</v>
      </c>
      <c r="C25" s="595"/>
      <c r="D25" s="596"/>
      <c r="E25" s="596"/>
      <c r="F25" s="597">
        <v>720</v>
      </c>
      <c r="G25" s="685"/>
      <c r="H25" s="619"/>
      <c r="I25" s="620"/>
      <c r="J25" s="635" t="s">
        <v>466</v>
      </c>
      <c r="K25" s="622"/>
      <c r="L25" s="572"/>
      <c r="M25" s="6"/>
      <c r="N25" s="6"/>
      <c r="O25" s="597">
        <v>720</v>
      </c>
      <c r="P25" s="572"/>
      <c r="Q25" s="619"/>
      <c r="R25" s="6"/>
      <c r="S25" s="635" t="s">
        <v>466</v>
      </c>
      <c r="T25" s="622"/>
      <c r="U25" s="572"/>
      <c r="V25" s="6"/>
      <c r="W25" s="6"/>
      <c r="X25" s="597">
        <v>720</v>
      </c>
      <c r="Y25" s="572"/>
      <c r="Z25" s="6"/>
      <c r="AA25" s="605"/>
      <c r="AB25" s="635" t="s">
        <v>466</v>
      </c>
      <c r="AC25" s="622"/>
      <c r="AD25" s="572"/>
      <c r="AE25" s="6"/>
      <c r="AF25" s="6"/>
      <c r="AG25" s="597">
        <v>720</v>
      </c>
      <c r="AH25" s="6"/>
      <c r="AI25" s="6"/>
      <c r="AJ25" s="613"/>
      <c r="AK25" s="635" t="s">
        <v>466</v>
      </c>
    </row>
    <row r="26" spans="1:37" ht="42" customHeight="1" x14ac:dyDescent="0.25">
      <c r="A26" s="2205"/>
      <c r="B26" s="574">
        <v>2</v>
      </c>
      <c r="C26" s="595"/>
      <c r="D26" s="596"/>
      <c r="E26" s="596"/>
      <c r="F26" s="597">
        <v>720</v>
      </c>
      <c r="G26" s="685"/>
      <c r="H26" s="620"/>
      <c r="I26" s="692"/>
      <c r="J26" s="635" t="s">
        <v>466</v>
      </c>
      <c r="K26" s="622"/>
      <c r="L26" s="572"/>
      <c r="M26" s="6"/>
      <c r="N26" s="6"/>
      <c r="O26" s="597">
        <v>720</v>
      </c>
      <c r="P26" s="685"/>
      <c r="Q26" s="620"/>
      <c r="R26" s="620"/>
      <c r="S26" s="635" t="s">
        <v>466</v>
      </c>
      <c r="T26" s="622"/>
      <c r="U26" s="572"/>
      <c r="V26" s="596"/>
      <c r="W26" s="6"/>
      <c r="X26" s="597">
        <v>720</v>
      </c>
      <c r="Y26" s="685"/>
      <c r="Z26" s="620"/>
      <c r="AA26" s="620"/>
      <c r="AB26" s="635" t="s">
        <v>466</v>
      </c>
      <c r="AC26" s="622"/>
      <c r="AD26" s="572"/>
      <c r="AE26" s="596"/>
      <c r="AF26" s="6"/>
      <c r="AG26" s="597">
        <v>720</v>
      </c>
      <c r="AH26" s="6"/>
      <c r="AI26" s="6"/>
      <c r="AJ26" s="613"/>
      <c r="AK26" s="635" t="s">
        <v>466</v>
      </c>
    </row>
    <row r="27" spans="1:37" ht="49.9" customHeight="1" x14ac:dyDescent="0.25">
      <c r="A27" s="2206">
        <v>44817</v>
      </c>
      <c r="B27" s="644">
        <v>1</v>
      </c>
      <c r="C27" s="595"/>
      <c r="D27" s="596"/>
      <c r="E27" s="596"/>
      <c r="F27" s="597">
        <v>313</v>
      </c>
      <c r="G27" s="685"/>
      <c r="H27" s="619"/>
      <c r="I27" s="692"/>
      <c r="J27" s="635" t="s">
        <v>466</v>
      </c>
      <c r="K27" s="622"/>
      <c r="L27" s="572"/>
      <c r="M27" s="6"/>
      <c r="N27" s="6"/>
      <c r="O27" s="597">
        <v>334</v>
      </c>
      <c r="P27" s="685"/>
      <c r="Q27" s="619"/>
      <c r="R27" s="620"/>
      <c r="S27" s="635" t="s">
        <v>466</v>
      </c>
      <c r="T27" s="622"/>
      <c r="U27" s="572"/>
      <c r="V27" s="6"/>
      <c r="W27" s="6"/>
      <c r="X27" s="613">
        <v>320</v>
      </c>
      <c r="Y27" s="685"/>
      <c r="Z27" s="619"/>
      <c r="AA27" s="620"/>
      <c r="AB27" s="635" t="s">
        <v>466</v>
      </c>
      <c r="AC27" s="622"/>
      <c r="AD27" s="572"/>
      <c r="AE27" s="6"/>
      <c r="AF27" s="6"/>
      <c r="AG27" s="613">
        <v>325</v>
      </c>
      <c r="AH27" s="6"/>
      <c r="AI27" s="6"/>
      <c r="AJ27" s="635"/>
      <c r="AK27" s="635" t="s">
        <v>466</v>
      </c>
    </row>
    <row r="28" spans="1:37" ht="49.15" customHeight="1" x14ac:dyDescent="0.25">
      <c r="A28" s="2205"/>
      <c r="B28" s="574">
        <v>2</v>
      </c>
      <c r="C28" s="595"/>
      <c r="D28" s="596"/>
      <c r="E28" s="596"/>
      <c r="F28" s="597"/>
      <c r="G28" s="620"/>
      <c r="H28" s="620"/>
      <c r="I28" s="692"/>
      <c r="J28" s="635"/>
      <c r="K28" s="622"/>
      <c r="L28" s="572"/>
      <c r="M28" s="6"/>
      <c r="N28" s="6"/>
      <c r="O28" s="597"/>
      <c r="P28" s="620"/>
      <c r="Q28" s="620"/>
      <c r="R28" s="620"/>
      <c r="S28" s="634"/>
      <c r="T28" s="622"/>
      <c r="U28" s="572"/>
      <c r="V28" s="6">
        <v>10</v>
      </c>
      <c r="X28" s="597"/>
      <c r="Y28" s="620"/>
      <c r="Z28" s="6" t="s">
        <v>468</v>
      </c>
      <c r="AA28" s="692"/>
      <c r="AB28" s="635"/>
      <c r="AC28" s="622"/>
      <c r="AD28" s="572">
        <v>79</v>
      </c>
      <c r="AE28" s="6">
        <v>10</v>
      </c>
      <c r="AF28" s="6"/>
      <c r="AG28" s="597"/>
      <c r="AH28" s="605" t="s">
        <v>467</v>
      </c>
      <c r="AI28" s="6" t="s">
        <v>468</v>
      </c>
      <c r="AJ28" s="692"/>
      <c r="AK28" s="634"/>
    </row>
    <row r="29" spans="1:37" ht="57" customHeight="1" x14ac:dyDescent="0.25">
      <c r="A29" s="2206">
        <v>44818</v>
      </c>
      <c r="B29" s="574">
        <v>1</v>
      </c>
      <c r="C29" s="595"/>
      <c r="D29" s="596"/>
      <c r="E29" s="596"/>
      <c r="F29" s="597"/>
      <c r="G29" s="685"/>
      <c r="H29" s="619"/>
      <c r="I29" s="692"/>
      <c r="J29" s="635"/>
      <c r="K29" s="622"/>
      <c r="L29" s="572"/>
      <c r="M29" s="6"/>
      <c r="N29" s="6"/>
      <c r="O29" s="597"/>
      <c r="P29" s="685"/>
      <c r="Q29" s="619"/>
      <c r="R29" s="620"/>
      <c r="S29" s="635"/>
      <c r="T29" s="622"/>
      <c r="U29" s="572"/>
      <c r="V29" s="6"/>
      <c r="W29" s="6">
        <v>20</v>
      </c>
      <c r="X29" s="597"/>
      <c r="Y29" s="685"/>
      <c r="Z29" s="619"/>
      <c r="AA29" s="692" t="s">
        <v>152</v>
      </c>
      <c r="AB29" s="635"/>
      <c r="AC29" s="622"/>
      <c r="AD29" s="572"/>
      <c r="AE29" s="6"/>
      <c r="AF29" s="6"/>
      <c r="AG29" s="597"/>
      <c r="AH29" s="685"/>
      <c r="AI29" s="619"/>
      <c r="AJ29" s="620"/>
      <c r="AK29" s="613"/>
    </row>
    <row r="30" spans="1:37" ht="39.75" customHeight="1" x14ac:dyDescent="0.25">
      <c r="A30" s="2205"/>
      <c r="B30" s="644">
        <v>2</v>
      </c>
      <c r="C30" s="595"/>
      <c r="D30" s="596"/>
      <c r="E30" s="596"/>
      <c r="F30" s="597"/>
      <c r="G30" s="685"/>
      <c r="H30" s="619"/>
      <c r="I30" s="620"/>
      <c r="J30" s="635"/>
      <c r="K30" s="622"/>
      <c r="L30" s="572"/>
      <c r="M30" s="6"/>
      <c r="N30" s="6"/>
      <c r="O30" s="597"/>
      <c r="P30" s="685"/>
      <c r="Q30" s="620"/>
      <c r="R30" s="620"/>
      <c r="S30" s="635"/>
      <c r="T30" s="622"/>
      <c r="U30" s="572"/>
      <c r="V30" s="6"/>
      <c r="W30" s="6"/>
      <c r="X30" s="597"/>
      <c r="Y30" s="685"/>
      <c r="Z30" s="619"/>
      <c r="AA30" s="620"/>
      <c r="AB30" s="613"/>
      <c r="AC30" s="622"/>
      <c r="AD30" s="572"/>
      <c r="AE30" s="6"/>
      <c r="AF30" s="6"/>
      <c r="AG30" s="597"/>
      <c r="AH30" s="685"/>
      <c r="AI30" s="619"/>
      <c r="AJ30" s="620"/>
      <c r="AK30" s="613"/>
    </row>
    <row r="31" spans="1:37" ht="48.6" customHeight="1" x14ac:dyDescent="0.25">
      <c r="A31" s="2206">
        <v>44819</v>
      </c>
      <c r="B31" s="574">
        <v>1</v>
      </c>
      <c r="C31" s="595"/>
      <c r="D31" s="596"/>
      <c r="E31" s="596"/>
      <c r="F31" s="597"/>
      <c r="G31" s="685"/>
      <c r="H31" s="619"/>
      <c r="I31" s="620"/>
      <c r="J31" s="635"/>
      <c r="K31" s="622"/>
      <c r="L31" s="572"/>
      <c r="M31" s="6"/>
      <c r="N31" s="6"/>
      <c r="O31" s="597"/>
      <c r="P31" s="614"/>
      <c r="Q31" s="6"/>
      <c r="R31" s="6"/>
      <c r="S31" s="635"/>
      <c r="T31" s="622"/>
      <c r="U31" s="572"/>
      <c r="V31" s="6"/>
      <c r="W31" s="6"/>
      <c r="X31" s="597"/>
      <c r="Y31" s="614"/>
      <c r="Z31" s="6"/>
      <c r="AA31" s="6"/>
      <c r="AB31" s="635"/>
      <c r="AC31" s="622"/>
      <c r="AD31" s="572"/>
      <c r="AE31" s="6"/>
      <c r="AF31" s="6"/>
      <c r="AG31" s="597"/>
      <c r="AH31" s="614"/>
      <c r="AI31" s="6"/>
      <c r="AJ31" s="6"/>
      <c r="AK31" s="635"/>
    </row>
    <row r="32" spans="1:37" ht="42.75" customHeight="1" x14ac:dyDescent="0.25">
      <c r="A32" s="2205"/>
      <c r="B32" s="574">
        <v>2</v>
      </c>
      <c r="C32" s="595"/>
      <c r="D32" s="596"/>
      <c r="E32" s="596">
        <v>40</v>
      </c>
      <c r="F32" s="597"/>
      <c r="G32" s="685"/>
      <c r="H32" s="619"/>
      <c r="I32" s="692" t="s">
        <v>152</v>
      </c>
      <c r="J32" s="687"/>
      <c r="K32" s="622"/>
      <c r="L32" s="572"/>
      <c r="M32" s="6"/>
      <c r="N32" s="6"/>
      <c r="O32" s="613"/>
      <c r="P32" s="614"/>
      <c r="Q32" s="6"/>
      <c r="R32" s="6"/>
      <c r="S32" s="764"/>
      <c r="T32" s="622"/>
      <c r="U32" s="572"/>
      <c r="V32" s="6"/>
      <c r="W32" s="6">
        <v>31</v>
      </c>
      <c r="X32" s="613"/>
      <c r="Y32" s="614"/>
      <c r="Z32" s="605"/>
      <c r="AA32" s="692" t="s">
        <v>152</v>
      </c>
      <c r="AB32" s="635"/>
      <c r="AC32" s="622"/>
      <c r="AD32" s="572"/>
      <c r="AE32" s="6"/>
      <c r="AF32" s="6"/>
      <c r="AG32" s="613"/>
      <c r="AH32" s="614"/>
      <c r="AI32" s="605"/>
      <c r="AJ32" s="6"/>
      <c r="AK32" s="613"/>
    </row>
    <row r="33" spans="1:37" ht="54" customHeight="1" x14ac:dyDescent="0.25">
      <c r="A33" s="2206">
        <v>44820</v>
      </c>
      <c r="B33" s="574">
        <v>1</v>
      </c>
      <c r="C33" s="595"/>
      <c r="D33" s="596"/>
      <c r="E33" s="596">
        <v>52</v>
      </c>
      <c r="F33" s="597"/>
      <c r="G33" s="685"/>
      <c r="H33" s="619"/>
      <c r="I33" s="692" t="s">
        <v>152</v>
      </c>
      <c r="J33" s="687"/>
      <c r="K33" s="622"/>
      <c r="L33" s="572"/>
      <c r="M33" s="6"/>
      <c r="N33" s="6"/>
      <c r="O33" s="613"/>
      <c r="P33" s="614"/>
      <c r="Q33" s="6"/>
      <c r="R33" s="6"/>
      <c r="S33" s="613"/>
      <c r="T33" s="622"/>
      <c r="U33" s="572"/>
      <c r="V33" s="6"/>
      <c r="W33" s="6">
        <v>60</v>
      </c>
      <c r="X33" s="613"/>
      <c r="Y33" s="614"/>
      <c r="Z33" s="6"/>
      <c r="AA33" s="605" t="s">
        <v>152</v>
      </c>
      <c r="AB33" s="613"/>
      <c r="AC33" s="622"/>
      <c r="AD33" s="572"/>
      <c r="AE33" s="6"/>
      <c r="AF33" s="6"/>
      <c r="AG33" s="613"/>
      <c r="AH33" s="614"/>
      <c r="AI33" s="605"/>
      <c r="AJ33" s="6"/>
      <c r="AK33" s="613"/>
    </row>
    <row r="34" spans="1:37" ht="26.45" customHeight="1" x14ac:dyDescent="0.25">
      <c r="A34" s="2205"/>
      <c r="B34" s="644">
        <v>2</v>
      </c>
      <c r="C34" s="596"/>
      <c r="D34" s="596"/>
      <c r="E34" s="596"/>
      <c r="F34" s="597"/>
      <c r="G34" s="685"/>
      <c r="H34" s="620"/>
      <c r="I34" s="620"/>
      <c r="J34" s="687"/>
      <c r="K34" s="622"/>
      <c r="L34" s="572"/>
      <c r="M34" s="6"/>
      <c r="N34" s="6"/>
      <c r="O34" s="613"/>
      <c r="P34" s="614"/>
      <c r="Q34" s="620"/>
      <c r="R34" s="6"/>
      <c r="S34" s="635"/>
      <c r="T34" s="622"/>
      <c r="U34" s="572"/>
      <c r="V34" s="6"/>
      <c r="W34" s="6">
        <v>10</v>
      </c>
      <c r="X34" s="613"/>
      <c r="Y34" s="6"/>
      <c r="Z34" s="605"/>
      <c r="AA34" s="620" t="s">
        <v>152</v>
      </c>
      <c r="AB34" s="635"/>
      <c r="AC34" s="622"/>
      <c r="AD34" s="572"/>
      <c r="AE34" s="6"/>
      <c r="AF34" s="6"/>
      <c r="AG34" s="613"/>
      <c r="AH34" s="614"/>
      <c r="AI34" s="6"/>
      <c r="AJ34" s="6"/>
      <c r="AK34" s="613"/>
    </row>
    <row r="35" spans="1:37" ht="54" customHeight="1" x14ac:dyDescent="0.25">
      <c r="A35" s="2206">
        <v>44821</v>
      </c>
      <c r="B35" s="574">
        <v>1</v>
      </c>
      <c r="C35" s="596"/>
      <c r="D35" s="596"/>
      <c r="E35" s="613">
        <v>30</v>
      </c>
      <c r="F35" s="567"/>
      <c r="G35" s="567"/>
      <c r="H35" s="6"/>
      <c r="I35" s="605" t="s">
        <v>152</v>
      </c>
      <c r="J35" s="687"/>
      <c r="K35" s="622"/>
      <c r="L35" s="572"/>
      <c r="M35" s="6"/>
      <c r="N35" s="6"/>
      <c r="O35" s="613"/>
      <c r="P35" s="567"/>
      <c r="Q35" s="810"/>
      <c r="R35" s="620"/>
      <c r="S35" s="635"/>
      <c r="T35" s="622"/>
      <c r="U35" s="572"/>
      <c r="V35" s="6"/>
      <c r="W35" s="613">
        <v>10</v>
      </c>
      <c r="X35" s="567"/>
      <c r="Y35" s="567"/>
      <c r="Z35" s="6"/>
      <c r="AA35" s="605" t="s">
        <v>152</v>
      </c>
      <c r="AB35" s="613"/>
      <c r="AC35" s="622"/>
      <c r="AD35" s="572"/>
      <c r="AE35" s="6"/>
      <c r="AF35" s="613"/>
      <c r="AG35" s="567"/>
      <c r="AH35" s="567"/>
      <c r="AI35" s="6"/>
      <c r="AJ35" s="605"/>
      <c r="AK35" s="613"/>
    </row>
    <row r="36" spans="1:37" ht="75" customHeight="1" x14ac:dyDescent="0.25">
      <c r="A36" s="2205"/>
      <c r="B36" s="574">
        <v>2</v>
      </c>
      <c r="C36" s="6"/>
      <c r="D36" s="6"/>
      <c r="E36" s="613">
        <v>40</v>
      </c>
      <c r="F36" s="567"/>
      <c r="G36" s="567"/>
      <c r="H36" s="605"/>
      <c r="I36" s="605" t="s">
        <v>152</v>
      </c>
      <c r="J36" s="635"/>
      <c r="K36" s="622"/>
      <c r="L36" s="567"/>
      <c r="M36" s="6"/>
      <c r="N36" s="613"/>
      <c r="O36" s="567"/>
      <c r="P36" s="567"/>
      <c r="Q36" s="605"/>
      <c r="R36" s="605"/>
      <c r="S36" s="635"/>
      <c r="T36" s="622"/>
      <c r="U36" s="572"/>
      <c r="V36" s="6"/>
      <c r="W36" s="613">
        <v>50</v>
      </c>
      <c r="X36" s="567"/>
      <c r="Y36" s="567"/>
      <c r="Z36" s="605"/>
      <c r="AA36" s="605" t="s">
        <v>152</v>
      </c>
      <c r="AB36" s="613"/>
      <c r="AC36" s="622"/>
      <c r="AD36" s="572"/>
      <c r="AE36" s="6"/>
      <c r="AF36" s="613"/>
      <c r="AG36" s="567"/>
      <c r="AH36" s="567"/>
      <c r="AI36" s="605"/>
      <c r="AJ36" s="605"/>
      <c r="AK36" s="613"/>
    </row>
    <row r="37" spans="1:37" ht="89.45" customHeight="1" x14ac:dyDescent="0.25">
      <c r="A37" s="2206">
        <v>44822</v>
      </c>
      <c r="B37" s="644">
        <v>1</v>
      </c>
      <c r="C37" s="596"/>
      <c r="D37" s="596"/>
      <c r="E37" s="6">
        <v>25</v>
      </c>
      <c r="F37" s="613"/>
      <c r="G37" s="806"/>
      <c r="H37" s="605"/>
      <c r="I37" s="605" t="s">
        <v>469</v>
      </c>
      <c r="J37" s="635"/>
      <c r="K37" s="622"/>
      <c r="L37" s="572"/>
      <c r="M37" s="6"/>
      <c r="N37" s="6"/>
      <c r="O37" s="613"/>
      <c r="P37" s="614"/>
      <c r="Q37" s="6"/>
      <c r="R37" s="6"/>
      <c r="S37" s="613"/>
      <c r="T37" s="622"/>
      <c r="U37" s="572"/>
      <c r="V37" s="6"/>
      <c r="W37" s="6">
        <v>20</v>
      </c>
      <c r="X37" s="613"/>
      <c r="Y37" s="614"/>
      <c r="Z37" s="605"/>
      <c r="AA37" s="605" t="s">
        <v>469</v>
      </c>
      <c r="AB37" s="635"/>
      <c r="AC37" s="622"/>
      <c r="AD37" s="572"/>
      <c r="AE37" s="6"/>
      <c r="AF37" s="6"/>
      <c r="AG37" s="613"/>
      <c r="AH37" s="614"/>
      <c r="AI37" s="6"/>
      <c r="AJ37" s="6"/>
      <c r="AK37" s="613"/>
    </row>
    <row r="38" spans="1:37" ht="42" customHeight="1" x14ac:dyDescent="0.25">
      <c r="A38" s="2205"/>
      <c r="B38" s="574">
        <v>2</v>
      </c>
      <c r="C38" s="595"/>
      <c r="D38" s="596"/>
      <c r="E38" s="596"/>
      <c r="F38" s="597">
        <v>73</v>
      </c>
      <c r="G38" s="685"/>
      <c r="H38" s="619"/>
      <c r="I38" s="6"/>
      <c r="J38" s="635" t="s">
        <v>466</v>
      </c>
      <c r="K38" s="622"/>
      <c r="L38" s="572"/>
      <c r="M38" s="6"/>
      <c r="N38" s="6"/>
      <c r="O38" s="613">
        <v>117</v>
      </c>
      <c r="P38" s="806"/>
      <c r="Q38" s="6"/>
      <c r="R38" s="6"/>
      <c r="S38" s="635" t="s">
        <v>466</v>
      </c>
      <c r="T38" s="622"/>
      <c r="U38" s="572"/>
      <c r="V38" s="6"/>
      <c r="W38" s="6"/>
      <c r="X38" s="613">
        <v>75</v>
      </c>
      <c r="Y38" s="614"/>
      <c r="Z38" s="605"/>
      <c r="AA38" s="6"/>
      <c r="AB38" s="635" t="s">
        <v>466</v>
      </c>
      <c r="AC38" s="622"/>
      <c r="AD38" s="572"/>
      <c r="AE38" s="6"/>
      <c r="AF38" s="6"/>
      <c r="AG38" s="613">
        <v>76</v>
      </c>
      <c r="AH38" s="614"/>
      <c r="AI38" s="6"/>
      <c r="AJ38" s="605"/>
      <c r="AK38" s="635" t="s">
        <v>466</v>
      </c>
    </row>
    <row r="39" spans="1:37" ht="39" customHeight="1" x14ac:dyDescent="0.25">
      <c r="A39" s="2206">
        <v>44823</v>
      </c>
      <c r="B39" s="574">
        <v>1</v>
      </c>
      <c r="C39" s="595"/>
      <c r="D39" s="596"/>
      <c r="E39" s="596"/>
      <c r="F39" s="597"/>
      <c r="G39" s="685"/>
      <c r="H39" s="619"/>
      <c r="I39" s="692"/>
      <c r="J39" s="687"/>
      <c r="K39" s="622"/>
      <c r="L39" s="572"/>
      <c r="M39" s="6"/>
      <c r="N39" s="6"/>
      <c r="O39" s="613"/>
      <c r="P39" s="614"/>
      <c r="Q39" s="6"/>
      <c r="R39" s="6"/>
      <c r="S39" s="613"/>
      <c r="T39" s="622"/>
      <c r="U39" s="572"/>
      <c r="V39" s="6"/>
      <c r="W39" s="6"/>
      <c r="X39" s="613"/>
      <c r="Y39" s="614"/>
      <c r="Z39" s="605"/>
      <c r="AA39" s="605"/>
      <c r="AB39" s="635"/>
      <c r="AC39" s="622"/>
      <c r="AD39" s="572"/>
      <c r="AE39" s="6"/>
      <c r="AF39" s="6"/>
      <c r="AG39" s="613"/>
      <c r="AH39" s="614"/>
      <c r="AI39" s="6"/>
      <c r="AJ39" s="6"/>
      <c r="AK39" s="613"/>
    </row>
    <row r="40" spans="1:37" ht="59.45" customHeight="1" x14ac:dyDescent="0.25">
      <c r="A40" s="2205"/>
      <c r="B40" s="574">
        <v>2</v>
      </c>
      <c r="C40" s="595"/>
      <c r="D40" s="596"/>
      <c r="E40" s="596">
        <v>15</v>
      </c>
      <c r="F40" s="613"/>
      <c r="G40" s="685"/>
      <c r="H40" s="619"/>
      <c r="I40" s="692" t="s">
        <v>152</v>
      </c>
      <c r="J40" s="635"/>
      <c r="K40" s="622"/>
      <c r="L40" s="572"/>
      <c r="M40" s="6"/>
      <c r="N40" s="6"/>
      <c r="O40" s="613"/>
      <c r="P40" s="614"/>
      <c r="Q40" s="6"/>
      <c r="R40" s="6"/>
      <c r="S40" s="635"/>
      <c r="T40" s="622"/>
      <c r="U40" s="572"/>
      <c r="V40" s="6"/>
      <c r="W40" s="6">
        <v>5</v>
      </c>
      <c r="X40" s="613"/>
      <c r="Y40" s="614"/>
      <c r="Z40" s="605"/>
      <c r="AA40" s="605"/>
      <c r="AB40" s="635"/>
      <c r="AC40" s="622"/>
      <c r="AD40" s="572"/>
      <c r="AE40" s="6"/>
      <c r="AF40" s="6"/>
      <c r="AG40" s="613"/>
      <c r="AH40" s="614"/>
      <c r="AI40" s="6"/>
      <c r="AJ40" s="6"/>
      <c r="AK40" s="635"/>
    </row>
    <row r="41" spans="1:37" ht="19.899999999999999" customHeight="1" x14ac:dyDescent="0.25">
      <c r="A41" s="2206">
        <v>44824</v>
      </c>
      <c r="B41" s="574">
        <v>1</v>
      </c>
      <c r="C41" s="595"/>
      <c r="D41" s="596"/>
      <c r="E41" s="596">
        <v>12</v>
      </c>
      <c r="F41" s="613"/>
      <c r="G41" s="685"/>
      <c r="H41" s="620"/>
      <c r="I41" s="692" t="s">
        <v>152</v>
      </c>
      <c r="J41" s="687"/>
      <c r="K41" s="622"/>
      <c r="L41" s="572"/>
      <c r="M41" s="6"/>
      <c r="N41" s="6"/>
      <c r="O41" s="613"/>
      <c r="P41" s="614"/>
      <c r="Q41" s="6"/>
      <c r="R41" s="6"/>
      <c r="S41" s="635"/>
      <c r="T41" s="622"/>
      <c r="U41" s="572"/>
      <c r="V41" s="6"/>
      <c r="W41" s="6"/>
      <c r="X41" s="613"/>
      <c r="Y41" s="614"/>
      <c r="Z41" s="605"/>
      <c r="AA41" s="605"/>
      <c r="AB41" s="613"/>
      <c r="AC41" s="622"/>
      <c r="AD41" s="572"/>
      <c r="AE41" s="6"/>
      <c r="AF41" s="6"/>
      <c r="AG41" s="613"/>
      <c r="AH41" s="614"/>
      <c r="AI41" s="605"/>
      <c r="AJ41" s="6"/>
      <c r="AK41" s="613"/>
    </row>
    <row r="42" spans="1:37" ht="19.899999999999999" customHeight="1" x14ac:dyDescent="0.25">
      <c r="A42" s="2205"/>
      <c r="B42" s="574">
        <v>2</v>
      </c>
      <c r="C42" s="596"/>
      <c r="D42" s="596"/>
      <c r="E42" s="596">
        <v>15</v>
      </c>
      <c r="F42" s="613"/>
      <c r="G42" s="685"/>
      <c r="H42" s="619"/>
      <c r="I42" s="692" t="s">
        <v>152</v>
      </c>
      <c r="J42" s="687"/>
      <c r="K42" s="622"/>
      <c r="L42" s="572"/>
      <c r="M42" s="6"/>
      <c r="N42" s="6"/>
      <c r="O42" s="613"/>
      <c r="P42" s="614"/>
      <c r="Q42" s="6"/>
      <c r="R42" s="6"/>
      <c r="S42" s="635"/>
      <c r="T42" s="622"/>
      <c r="U42" s="572"/>
      <c r="V42" s="6"/>
      <c r="W42" s="6">
        <v>20</v>
      </c>
      <c r="X42" s="613"/>
      <c r="Y42" s="806"/>
      <c r="Z42" s="6"/>
      <c r="AA42" s="605" t="s">
        <v>152</v>
      </c>
      <c r="AB42" s="635"/>
      <c r="AC42" s="622"/>
      <c r="AD42" s="572"/>
      <c r="AE42" s="6"/>
      <c r="AF42" s="6"/>
      <c r="AG42" s="613"/>
      <c r="AH42" s="614"/>
      <c r="AI42" s="6"/>
      <c r="AJ42" s="6"/>
      <c r="AK42" s="613"/>
    </row>
    <row r="43" spans="1:37" ht="19.899999999999999" customHeight="1" x14ac:dyDescent="0.25">
      <c r="A43" s="2206">
        <v>44825</v>
      </c>
      <c r="B43" s="574">
        <v>1</v>
      </c>
      <c r="C43" s="596"/>
      <c r="D43" s="596"/>
      <c r="E43" s="596"/>
      <c r="F43" s="597"/>
      <c r="G43" s="619"/>
      <c r="H43" s="619"/>
      <c r="I43" s="620"/>
      <c r="J43" s="635"/>
      <c r="K43" s="622"/>
      <c r="L43" s="572"/>
      <c r="M43" s="6"/>
      <c r="N43" s="6"/>
      <c r="O43" s="613"/>
      <c r="P43" s="614"/>
      <c r="Q43" s="6"/>
      <c r="R43" s="6"/>
      <c r="S43" s="613"/>
      <c r="T43" s="622"/>
      <c r="U43" s="572"/>
      <c r="V43" s="6"/>
      <c r="W43" s="6"/>
      <c r="X43" s="613"/>
      <c r="Y43" s="614"/>
      <c r="Z43" s="6"/>
      <c r="AA43" s="620"/>
      <c r="AB43" s="613"/>
      <c r="AC43" s="622"/>
      <c r="AD43" s="572"/>
      <c r="AE43" s="6"/>
      <c r="AF43" s="6"/>
      <c r="AG43" s="613"/>
      <c r="AH43" s="605"/>
      <c r="AI43" s="620"/>
      <c r="AJ43" s="6"/>
      <c r="AK43" s="613"/>
    </row>
    <row r="44" spans="1:37" ht="36" customHeight="1" x14ac:dyDescent="0.25">
      <c r="A44" s="2205"/>
      <c r="B44" s="574">
        <v>2</v>
      </c>
      <c r="C44" s="596"/>
      <c r="D44" s="596"/>
      <c r="E44" s="596">
        <v>25</v>
      </c>
      <c r="F44" s="597"/>
      <c r="G44" s="619"/>
      <c r="H44" s="619"/>
      <c r="I44" s="692" t="s">
        <v>152</v>
      </c>
      <c r="J44" s="635"/>
      <c r="K44" s="622"/>
      <c r="L44" s="572"/>
      <c r="M44" s="6"/>
      <c r="N44" s="6"/>
      <c r="O44" s="613"/>
      <c r="P44" s="614"/>
      <c r="Q44" s="6"/>
      <c r="R44" s="605"/>
      <c r="S44" s="764"/>
      <c r="T44" s="622"/>
      <c r="U44" s="572">
        <v>95</v>
      </c>
      <c r="V44" s="6"/>
      <c r="W44" s="596">
        <v>8</v>
      </c>
      <c r="X44" s="597"/>
      <c r="Y44" s="619" t="s">
        <v>470</v>
      </c>
      <c r="Z44" s="619"/>
      <c r="AA44" s="605" t="s">
        <v>152</v>
      </c>
      <c r="AB44" s="635"/>
      <c r="AC44" s="622"/>
      <c r="AD44" s="572"/>
      <c r="AE44" s="6"/>
      <c r="AF44" s="6">
        <v>10</v>
      </c>
      <c r="AG44" s="613"/>
      <c r="AH44" s="614"/>
      <c r="AI44" s="605"/>
      <c r="AJ44" s="605" t="s">
        <v>152</v>
      </c>
      <c r="AK44" s="613"/>
    </row>
    <row r="45" spans="1:37" ht="19.899999999999999" customHeight="1" x14ac:dyDescent="0.25">
      <c r="A45" s="2206">
        <v>44826</v>
      </c>
      <c r="B45" s="574">
        <v>1</v>
      </c>
      <c r="C45" s="596"/>
      <c r="D45" s="596"/>
      <c r="E45" s="596"/>
      <c r="F45" s="597"/>
      <c r="G45" s="619"/>
      <c r="H45" s="619"/>
      <c r="I45" s="620"/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"/>
      <c r="W45" s="6"/>
      <c r="X45" s="613"/>
      <c r="Y45" s="614"/>
      <c r="Z45" s="6"/>
      <c r="AA45" s="605"/>
      <c r="AB45" s="613"/>
      <c r="AC45" s="622"/>
      <c r="AD45" s="572"/>
      <c r="AE45" s="6"/>
      <c r="AF45" s="6"/>
      <c r="AG45" s="613"/>
      <c r="AH45" s="614"/>
      <c r="AI45" s="605"/>
      <c r="AJ45" s="6"/>
      <c r="AK45" s="613"/>
    </row>
    <row r="46" spans="1:37" ht="46.15" customHeight="1" x14ac:dyDescent="0.25">
      <c r="A46" s="2205"/>
      <c r="B46" s="574">
        <v>2</v>
      </c>
      <c r="C46" s="596"/>
      <c r="D46" s="596"/>
      <c r="E46" s="596"/>
      <c r="F46" s="597"/>
      <c r="G46" s="619"/>
      <c r="H46" s="620"/>
      <c r="I46" s="692"/>
      <c r="J46" s="635"/>
      <c r="K46" s="622"/>
      <c r="L46" s="572"/>
      <c r="M46" s="6"/>
      <c r="N46" s="6"/>
      <c r="O46" s="785"/>
      <c r="P46" s="614"/>
      <c r="Q46" s="620"/>
      <c r="R46" s="6"/>
      <c r="S46" s="635"/>
      <c r="T46" s="622"/>
      <c r="U46" s="572"/>
      <c r="V46" s="6"/>
      <c r="W46" s="6"/>
      <c r="X46" s="613"/>
      <c r="Y46" s="614"/>
      <c r="Z46" s="6"/>
      <c r="AA46" s="605"/>
      <c r="AB46" s="635"/>
      <c r="AC46" s="622"/>
      <c r="AD46" s="572"/>
      <c r="AE46" s="6"/>
      <c r="AF46" s="6"/>
      <c r="AG46" s="613"/>
      <c r="AH46" s="806"/>
      <c r="AI46" s="6"/>
      <c r="AJ46" s="6"/>
      <c r="AK46" s="635"/>
    </row>
    <row r="47" spans="1:37" ht="19.899999999999999" customHeight="1" x14ac:dyDescent="0.25">
      <c r="A47" s="2206">
        <v>44827</v>
      </c>
      <c r="B47" s="574">
        <v>1</v>
      </c>
      <c r="C47" s="596"/>
      <c r="D47" s="596"/>
      <c r="E47" s="596"/>
      <c r="F47" s="597"/>
      <c r="G47" s="620"/>
      <c r="H47" s="619"/>
      <c r="I47" s="620"/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/>
      <c r="X47" s="613"/>
      <c r="Y47" s="614"/>
      <c r="Z47" s="605"/>
      <c r="AA47" s="605"/>
      <c r="AB47" s="635"/>
      <c r="AC47" s="622"/>
      <c r="AD47" s="572"/>
      <c r="AE47" s="6"/>
      <c r="AF47" s="6"/>
      <c r="AG47" s="613"/>
      <c r="AH47" s="806"/>
      <c r="AI47" s="620"/>
      <c r="AJ47" s="6"/>
      <c r="AK47" s="613"/>
    </row>
    <row r="48" spans="1:37" ht="42.75" customHeight="1" x14ac:dyDescent="0.25">
      <c r="A48" s="2205"/>
      <c r="B48" s="574">
        <v>2</v>
      </c>
      <c r="C48" s="596"/>
      <c r="D48" s="596"/>
      <c r="E48" s="596">
        <v>22</v>
      </c>
      <c r="F48" s="597"/>
      <c r="G48" s="620"/>
      <c r="H48" s="620"/>
      <c r="I48" s="692" t="s">
        <v>152</v>
      </c>
      <c r="J48" s="687"/>
      <c r="K48" s="622"/>
      <c r="L48" s="572"/>
      <c r="M48" s="6"/>
      <c r="N48" s="6"/>
      <c r="O48" s="613"/>
      <c r="P48" s="614"/>
      <c r="Q48" s="620"/>
      <c r="R48" s="605"/>
      <c r="S48" s="635"/>
      <c r="T48" s="622"/>
      <c r="U48" s="572"/>
      <c r="V48" s="6"/>
      <c r="W48" s="6">
        <v>30</v>
      </c>
      <c r="X48" s="613"/>
      <c r="Y48" s="806"/>
      <c r="Z48" s="6"/>
      <c r="AA48" s="605" t="s">
        <v>152</v>
      </c>
      <c r="AB48" s="613"/>
      <c r="AC48" s="622"/>
      <c r="AD48" s="572"/>
      <c r="AE48" s="6"/>
      <c r="AF48" s="6"/>
      <c r="AG48" s="613"/>
      <c r="AH48" s="614"/>
      <c r="AI48" s="605"/>
      <c r="AJ48" s="6"/>
      <c r="AK48" s="613"/>
    </row>
    <row r="49" spans="1:37" ht="19.899999999999999" customHeight="1" x14ac:dyDescent="0.25">
      <c r="A49" s="2206">
        <v>44828</v>
      </c>
      <c r="B49" s="574">
        <v>1</v>
      </c>
      <c r="C49" s="596"/>
      <c r="D49" s="596">
        <v>30</v>
      </c>
      <c r="E49" s="596">
        <v>20</v>
      </c>
      <c r="F49" s="597"/>
      <c r="G49" s="620"/>
      <c r="H49" s="619" t="s">
        <v>276</v>
      </c>
      <c r="I49" s="692" t="s">
        <v>152</v>
      </c>
      <c r="J49" s="687"/>
      <c r="K49" s="622"/>
      <c r="L49" s="572"/>
      <c r="M49" s="6"/>
      <c r="N49" s="6"/>
      <c r="O49" s="613"/>
      <c r="P49" s="614"/>
      <c r="Q49" s="6"/>
      <c r="R49" s="6"/>
      <c r="S49" s="613"/>
      <c r="T49" s="622"/>
      <c r="U49" s="572"/>
      <c r="V49" s="6">
        <v>10</v>
      </c>
      <c r="W49" s="6">
        <v>22</v>
      </c>
      <c r="X49" s="613"/>
      <c r="Y49" s="614"/>
      <c r="Z49" s="605" t="s">
        <v>471</v>
      </c>
      <c r="AA49" s="605" t="s">
        <v>152</v>
      </c>
      <c r="AB49" s="635"/>
      <c r="AC49" s="622"/>
      <c r="AD49" s="572"/>
      <c r="AE49" s="6">
        <v>10</v>
      </c>
      <c r="AF49" s="6"/>
      <c r="AG49" s="613"/>
      <c r="AH49" s="614"/>
      <c r="AI49" s="605" t="s">
        <v>471</v>
      </c>
      <c r="AJ49" s="6"/>
      <c r="AK49" s="613"/>
    </row>
    <row r="50" spans="1:37" ht="19.899999999999999" customHeight="1" x14ac:dyDescent="0.25">
      <c r="A50" s="2205"/>
      <c r="B50" s="574">
        <v>2</v>
      </c>
      <c r="C50" s="596"/>
      <c r="D50" s="596"/>
      <c r="E50" s="596">
        <v>27</v>
      </c>
      <c r="F50" s="597"/>
      <c r="G50" s="619"/>
      <c r="H50" s="619"/>
      <c r="I50" s="620" t="s">
        <v>472</v>
      </c>
      <c r="J50" s="635"/>
      <c r="K50" s="622"/>
      <c r="L50" s="572"/>
      <c r="M50" s="6"/>
      <c r="N50" s="6"/>
      <c r="O50" s="613"/>
      <c r="P50" s="614"/>
      <c r="Q50" s="605"/>
      <c r="R50" s="605"/>
      <c r="S50" s="764"/>
      <c r="T50" s="622"/>
      <c r="U50" s="572"/>
      <c r="V50" s="6"/>
      <c r="W50" s="6">
        <v>22</v>
      </c>
      <c r="X50" s="613"/>
      <c r="Y50" s="806"/>
      <c r="Z50" s="605"/>
      <c r="AA50" s="605" t="s">
        <v>152</v>
      </c>
      <c r="AB50" s="613"/>
      <c r="AC50" s="622"/>
      <c r="AD50" s="572"/>
      <c r="AE50" s="6"/>
      <c r="AF50" s="6">
        <v>18</v>
      </c>
      <c r="AG50" s="613"/>
      <c r="AH50" s="614"/>
      <c r="AI50" s="6"/>
      <c r="AJ50" s="605" t="s">
        <v>152</v>
      </c>
      <c r="AK50" s="613"/>
    </row>
    <row r="51" spans="1:37" ht="19.899999999999999" customHeight="1" x14ac:dyDescent="0.25">
      <c r="A51" s="2206">
        <v>44829</v>
      </c>
      <c r="B51" s="574">
        <v>1</v>
      </c>
      <c r="C51" s="596"/>
      <c r="D51" s="596">
        <v>15</v>
      </c>
      <c r="E51" s="596">
        <v>20</v>
      </c>
      <c r="F51" s="597"/>
      <c r="G51" s="619"/>
      <c r="H51" s="619" t="s">
        <v>276</v>
      </c>
      <c r="I51" s="692" t="s">
        <v>152</v>
      </c>
      <c r="J51" s="635"/>
      <c r="K51" s="622"/>
      <c r="L51" s="572"/>
      <c r="M51" s="6"/>
      <c r="N51" s="6"/>
      <c r="O51" s="613"/>
      <c r="P51" s="614"/>
      <c r="Q51" s="620"/>
      <c r="R51" s="6"/>
      <c r="S51" s="613"/>
      <c r="T51" s="622"/>
      <c r="U51" s="572"/>
      <c r="V51" s="6"/>
      <c r="W51" s="6">
        <v>30</v>
      </c>
      <c r="X51" s="613"/>
      <c r="Y51" s="806"/>
      <c r="Z51" s="6"/>
      <c r="AA51" s="605" t="s">
        <v>152</v>
      </c>
      <c r="AB51" s="613"/>
      <c r="AC51" s="622"/>
      <c r="AD51" s="572"/>
      <c r="AE51" s="6"/>
      <c r="AF51" s="6"/>
      <c r="AG51" s="613"/>
      <c r="AH51" s="614"/>
      <c r="AI51" s="6"/>
      <c r="AJ51" s="6"/>
      <c r="AK51" s="613"/>
    </row>
    <row r="52" spans="1:37" ht="31.9" customHeight="1" x14ac:dyDescent="0.25">
      <c r="A52" s="2205"/>
      <c r="B52" s="574">
        <v>2</v>
      </c>
      <c r="C52" s="596"/>
      <c r="D52" s="596"/>
      <c r="E52" s="596"/>
      <c r="F52" s="597"/>
      <c r="G52" s="619"/>
      <c r="H52" s="620"/>
      <c r="I52" s="692"/>
      <c r="J52" s="635"/>
      <c r="K52" s="622"/>
      <c r="L52" s="572">
        <v>320</v>
      </c>
      <c r="M52" s="6"/>
      <c r="N52" s="6"/>
      <c r="O52" s="613"/>
      <c r="P52" s="614" t="s">
        <v>473</v>
      </c>
      <c r="Q52" s="6"/>
      <c r="R52" s="6"/>
      <c r="S52" s="635"/>
      <c r="T52" s="622"/>
      <c r="U52" s="572"/>
      <c r="V52" s="6"/>
      <c r="W52" s="6"/>
      <c r="X52" s="613"/>
      <c r="Y52" s="806"/>
      <c r="Z52" s="605"/>
      <c r="AA52" s="605"/>
      <c r="AB52" s="635"/>
      <c r="AC52" s="622"/>
      <c r="AD52" s="572"/>
      <c r="AE52" s="6"/>
      <c r="AF52" s="6"/>
      <c r="AG52" s="613"/>
      <c r="AH52" s="614"/>
      <c r="AI52" s="6"/>
      <c r="AJ52" s="6"/>
      <c r="AK52" s="613"/>
    </row>
    <row r="53" spans="1:37" ht="73.150000000000006" customHeight="1" x14ac:dyDescent="0.25">
      <c r="A53" s="2206">
        <v>44830</v>
      </c>
      <c r="B53" s="574">
        <v>1</v>
      </c>
      <c r="C53" s="596"/>
      <c r="D53" s="596"/>
      <c r="E53" s="596">
        <v>10</v>
      </c>
      <c r="F53" s="597"/>
      <c r="G53" s="619"/>
      <c r="H53" s="619"/>
      <c r="I53" s="692" t="s">
        <v>152</v>
      </c>
      <c r="J53" s="635"/>
      <c r="K53" s="622"/>
      <c r="L53" s="572"/>
      <c r="M53" s="6"/>
      <c r="N53" s="6"/>
      <c r="O53" s="613"/>
      <c r="P53" s="806"/>
      <c r="Q53" s="6"/>
      <c r="R53" s="6"/>
      <c r="S53" s="635"/>
      <c r="T53" s="622"/>
      <c r="U53" s="572"/>
      <c r="V53" s="6"/>
      <c r="W53" s="6">
        <v>22</v>
      </c>
      <c r="X53" s="613"/>
      <c r="Y53" s="806"/>
      <c r="Z53" s="6"/>
      <c r="AA53" s="605" t="s">
        <v>152</v>
      </c>
      <c r="AB53" s="613"/>
      <c r="AC53" s="622"/>
      <c r="AD53" s="572"/>
      <c r="AE53" s="605"/>
      <c r="AF53" s="6">
        <v>28</v>
      </c>
      <c r="AG53" s="613"/>
      <c r="AH53" s="614"/>
      <c r="AI53" s="605"/>
      <c r="AJ53" s="605" t="s">
        <v>152</v>
      </c>
      <c r="AK53" s="613"/>
    </row>
    <row r="54" spans="1:37" ht="76.900000000000006" customHeight="1" x14ac:dyDescent="0.25">
      <c r="A54" s="2205"/>
      <c r="B54" s="801">
        <v>2</v>
      </c>
      <c r="C54" s="596"/>
      <c r="D54" s="596"/>
      <c r="E54" s="596"/>
      <c r="F54" s="597">
        <v>310</v>
      </c>
      <c r="G54" s="619"/>
      <c r="H54" s="619"/>
      <c r="I54" s="619"/>
      <c r="J54" s="635" t="s">
        <v>474</v>
      </c>
      <c r="K54" s="622"/>
      <c r="L54" s="572"/>
      <c r="M54" s="6"/>
      <c r="N54" s="6"/>
      <c r="O54" s="597">
        <v>310</v>
      </c>
      <c r="P54" s="619"/>
      <c r="Q54" s="619"/>
      <c r="R54" s="619"/>
      <c r="S54" s="635" t="s">
        <v>474</v>
      </c>
      <c r="T54" s="622"/>
      <c r="U54" s="572"/>
      <c r="V54" s="6">
        <v>40</v>
      </c>
      <c r="W54" s="6">
        <v>9</v>
      </c>
      <c r="X54" s="597">
        <v>310</v>
      </c>
      <c r="Y54" s="619"/>
      <c r="Z54" s="620" t="s">
        <v>475</v>
      </c>
      <c r="AA54" s="619" t="s">
        <v>476</v>
      </c>
      <c r="AB54" s="635" t="s">
        <v>474</v>
      </c>
      <c r="AC54" s="622"/>
      <c r="AD54" s="572"/>
      <c r="AE54" s="6"/>
      <c r="AF54" s="6"/>
      <c r="AG54" s="597">
        <v>310</v>
      </c>
      <c r="AH54" s="619"/>
      <c r="AI54" s="619"/>
      <c r="AJ54" s="619"/>
      <c r="AK54" s="635" t="s">
        <v>474</v>
      </c>
    </row>
    <row r="55" spans="1:37" ht="31.9" customHeight="1" x14ac:dyDescent="0.25">
      <c r="A55" s="2206">
        <v>44831</v>
      </c>
      <c r="B55" s="574">
        <v>1</v>
      </c>
      <c r="C55" s="595"/>
      <c r="D55" s="596"/>
      <c r="E55" s="596">
        <v>39</v>
      </c>
      <c r="F55" s="597"/>
      <c r="G55" s="619"/>
      <c r="H55" s="619"/>
      <c r="I55" s="692" t="s">
        <v>152</v>
      </c>
      <c r="J55" s="687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>
        <v>50</v>
      </c>
      <c r="X55" s="613"/>
      <c r="Y55" s="614"/>
      <c r="Z55" s="619"/>
      <c r="AA55" s="605" t="s">
        <v>152</v>
      </c>
      <c r="AB55" s="635"/>
      <c r="AC55" s="622"/>
      <c r="AD55" s="572"/>
      <c r="AE55" s="6"/>
      <c r="AF55" s="6">
        <v>12</v>
      </c>
      <c r="AG55" s="613"/>
      <c r="AH55" s="614"/>
      <c r="AI55" s="6"/>
      <c r="AJ55" s="605" t="s">
        <v>152</v>
      </c>
      <c r="AK55" s="613"/>
    </row>
    <row r="56" spans="1:37" ht="97.9" customHeight="1" x14ac:dyDescent="0.25">
      <c r="A56" s="2205"/>
      <c r="B56" s="801">
        <v>2</v>
      </c>
      <c r="C56" s="595"/>
      <c r="D56" s="596"/>
      <c r="E56" s="596"/>
      <c r="F56" s="597">
        <v>338</v>
      </c>
      <c r="G56" s="620"/>
      <c r="H56" s="619"/>
      <c r="I56" s="620"/>
      <c r="J56" s="635" t="s">
        <v>477</v>
      </c>
      <c r="K56" s="622"/>
      <c r="L56" s="572"/>
      <c r="M56" s="6"/>
      <c r="N56" s="6"/>
      <c r="O56" s="597">
        <v>338</v>
      </c>
      <c r="P56" s="620"/>
      <c r="Q56" s="619"/>
      <c r="R56" s="620"/>
      <c r="S56" s="635" t="s">
        <v>477</v>
      </c>
      <c r="T56" s="622"/>
      <c r="U56" s="572"/>
      <c r="V56" s="6"/>
      <c r="W56" s="6"/>
      <c r="X56" s="597">
        <v>338</v>
      </c>
      <c r="Y56" s="620"/>
      <c r="Z56" s="619"/>
      <c r="AA56" s="620"/>
      <c r="AB56" s="635" t="s">
        <v>477</v>
      </c>
      <c r="AC56" s="622"/>
      <c r="AD56" s="572"/>
      <c r="AE56" s="6"/>
      <c r="AF56" s="6"/>
      <c r="AG56" s="597">
        <v>338</v>
      </c>
      <c r="AH56" s="620"/>
      <c r="AI56" s="619"/>
      <c r="AJ56" s="620"/>
      <c r="AK56" s="635" t="s">
        <v>477</v>
      </c>
    </row>
    <row r="57" spans="1:37" ht="45.6" customHeight="1" x14ac:dyDescent="0.25">
      <c r="A57" s="2206">
        <v>44832</v>
      </c>
      <c r="B57" s="574">
        <v>1</v>
      </c>
      <c r="C57" s="595"/>
      <c r="D57" s="596"/>
      <c r="E57" s="596"/>
      <c r="F57" s="597">
        <v>80</v>
      </c>
      <c r="G57" s="620"/>
      <c r="H57" s="619"/>
      <c r="I57" s="620"/>
      <c r="J57" s="635" t="s">
        <v>478</v>
      </c>
      <c r="K57" s="622"/>
      <c r="L57" s="572"/>
      <c r="M57" s="6"/>
      <c r="N57" s="6"/>
      <c r="O57" s="597">
        <v>80</v>
      </c>
      <c r="P57" s="620"/>
      <c r="Q57" s="619"/>
      <c r="R57" s="620"/>
      <c r="S57" s="635" t="s">
        <v>478</v>
      </c>
      <c r="T57" s="622"/>
      <c r="U57" s="572"/>
      <c r="V57" s="6"/>
      <c r="W57" s="6"/>
      <c r="X57" s="597">
        <v>80</v>
      </c>
      <c r="Y57" s="620"/>
      <c r="Z57" s="619"/>
      <c r="AA57" s="620"/>
      <c r="AB57" s="635" t="s">
        <v>478</v>
      </c>
      <c r="AC57" s="622"/>
      <c r="AD57" s="572"/>
      <c r="AE57" s="6"/>
      <c r="AF57" s="6"/>
      <c r="AG57" s="597">
        <v>80</v>
      </c>
      <c r="AH57" s="620"/>
      <c r="AI57" s="619"/>
      <c r="AJ57" s="620"/>
      <c r="AK57" s="635" t="s">
        <v>478</v>
      </c>
    </row>
    <row r="58" spans="1:37" ht="39.6" customHeight="1" x14ac:dyDescent="0.25">
      <c r="A58" s="2205"/>
      <c r="B58" s="801">
        <v>2</v>
      </c>
      <c r="C58" s="595"/>
      <c r="D58" s="596"/>
      <c r="E58" s="596"/>
      <c r="F58" s="597"/>
      <c r="G58" s="620"/>
      <c r="H58" s="619"/>
      <c r="I58" s="620"/>
      <c r="J58" s="635"/>
      <c r="K58" s="622"/>
      <c r="L58" s="572"/>
      <c r="M58" s="6"/>
      <c r="N58" s="6"/>
      <c r="O58" s="613"/>
      <c r="P58" s="614"/>
      <c r="Q58" s="6"/>
      <c r="R58" s="6"/>
      <c r="S58" s="635"/>
      <c r="T58" s="622"/>
      <c r="U58" s="572"/>
      <c r="V58" s="6"/>
      <c r="W58" s="6"/>
      <c r="X58" s="613"/>
      <c r="Y58" s="614"/>
      <c r="Z58" s="605"/>
      <c r="AA58" s="620"/>
      <c r="AB58" s="613"/>
      <c r="AC58" s="622"/>
      <c r="AD58" s="572"/>
      <c r="AE58" s="6"/>
      <c r="AF58" s="6"/>
      <c r="AG58" s="613"/>
      <c r="AH58" s="614"/>
      <c r="AI58" s="6"/>
      <c r="AJ58" s="6"/>
      <c r="AK58" s="613"/>
    </row>
    <row r="59" spans="1:37" ht="34.15" customHeight="1" x14ac:dyDescent="0.25">
      <c r="A59" s="2206">
        <v>44833</v>
      </c>
      <c r="B59" s="574">
        <v>1</v>
      </c>
      <c r="C59" s="595"/>
      <c r="D59" s="596"/>
      <c r="E59" s="596">
        <v>55</v>
      </c>
      <c r="F59" s="597"/>
      <c r="G59" s="619"/>
      <c r="H59" s="619"/>
      <c r="I59" s="692" t="s">
        <v>152</v>
      </c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>
        <v>35</v>
      </c>
      <c r="X59" s="613"/>
      <c r="Y59" s="614"/>
      <c r="Z59" s="6"/>
      <c r="AA59" s="605" t="s">
        <v>152</v>
      </c>
      <c r="AB59" s="613"/>
      <c r="AC59" s="622"/>
      <c r="AD59" s="572"/>
      <c r="AE59" s="6"/>
      <c r="AF59" s="6"/>
      <c r="AG59" s="613"/>
      <c r="AH59" s="806"/>
      <c r="AI59" s="6"/>
      <c r="AJ59" s="620"/>
      <c r="AK59" s="613"/>
    </row>
    <row r="60" spans="1:37" ht="53.45" customHeight="1" x14ac:dyDescent="0.25">
      <c r="A60" s="2205"/>
      <c r="B60" s="801">
        <v>2</v>
      </c>
      <c r="C60" s="595"/>
      <c r="D60" s="596"/>
      <c r="E60" s="596">
        <v>30</v>
      </c>
      <c r="F60" s="597"/>
      <c r="G60" s="619"/>
      <c r="H60" s="620"/>
      <c r="I60" s="692" t="s">
        <v>152</v>
      </c>
      <c r="J60" s="635"/>
      <c r="K60" s="622"/>
      <c r="L60" s="572"/>
      <c r="M60" s="6"/>
      <c r="N60" s="6"/>
      <c r="O60" s="613"/>
      <c r="P60" s="614"/>
      <c r="Q60" s="6"/>
      <c r="R60" s="6"/>
      <c r="S60" s="635"/>
      <c r="T60" s="622"/>
      <c r="U60" s="572"/>
      <c r="V60" s="6"/>
      <c r="W60" s="6">
        <v>28</v>
      </c>
      <c r="X60" s="613"/>
      <c r="Y60" s="806"/>
      <c r="Z60" s="605"/>
      <c r="AA60" s="605" t="s">
        <v>152</v>
      </c>
      <c r="AB60" s="635"/>
      <c r="AC60" s="622"/>
      <c r="AD60" s="572"/>
      <c r="AE60" s="6"/>
      <c r="AF60" s="6">
        <v>28</v>
      </c>
      <c r="AG60" s="613"/>
      <c r="AH60" s="614"/>
      <c r="AI60" s="6"/>
      <c r="AJ60" s="605" t="s">
        <v>152</v>
      </c>
      <c r="AK60" s="635"/>
    </row>
    <row r="61" spans="1:37" ht="19.899999999999999" customHeight="1" x14ac:dyDescent="0.25">
      <c r="A61" s="2206">
        <v>44834</v>
      </c>
      <c r="B61" s="574">
        <v>1</v>
      </c>
      <c r="C61" s="809"/>
      <c r="D61" s="811"/>
      <c r="E61" s="596">
        <v>45</v>
      </c>
      <c r="F61" s="749"/>
      <c r="G61" s="619"/>
      <c r="H61" s="810"/>
      <c r="I61" s="692" t="s">
        <v>152</v>
      </c>
      <c r="J61" s="687"/>
      <c r="K61" s="622"/>
      <c r="L61" s="572"/>
      <c r="M61" s="6"/>
      <c r="N61" s="6"/>
      <c r="O61" s="613"/>
      <c r="P61" s="752"/>
      <c r="Q61" s="807"/>
      <c r="R61" s="807"/>
      <c r="S61" s="753"/>
      <c r="T61" s="622"/>
      <c r="U61" s="572"/>
      <c r="V61" s="6"/>
      <c r="W61" s="6">
        <v>37</v>
      </c>
      <c r="X61" s="613"/>
      <c r="Y61" s="806"/>
      <c r="Z61" s="605"/>
      <c r="AA61" s="605" t="s">
        <v>152</v>
      </c>
      <c r="AB61" s="753"/>
      <c r="AC61" s="622"/>
      <c r="AD61" s="572"/>
      <c r="AE61" s="6"/>
      <c r="AF61" s="6">
        <v>43</v>
      </c>
      <c r="AG61" s="613"/>
      <c r="AH61" s="614"/>
      <c r="AI61" s="6"/>
      <c r="AJ61" s="605" t="s">
        <v>152</v>
      </c>
      <c r="AK61" s="753"/>
    </row>
    <row r="62" spans="1:37" ht="19.899999999999999" customHeight="1" x14ac:dyDescent="0.25">
      <c r="A62" s="2205"/>
      <c r="B62" s="801">
        <v>2</v>
      </c>
      <c r="C62" s="809"/>
      <c r="D62" s="811"/>
      <c r="E62" s="811">
        <v>12</v>
      </c>
      <c r="F62" s="749"/>
      <c r="G62" s="803"/>
      <c r="H62" s="810"/>
      <c r="I62" s="692" t="s">
        <v>152</v>
      </c>
      <c r="J62" s="687"/>
      <c r="K62" s="622"/>
      <c r="L62" s="572"/>
      <c r="M62" s="6"/>
      <c r="N62" s="6"/>
      <c r="O62" s="613"/>
      <c r="P62" s="752"/>
      <c r="Q62" s="807"/>
      <c r="R62" s="807"/>
      <c r="S62" s="753"/>
      <c r="T62" s="622"/>
      <c r="U62" s="572"/>
      <c r="V62" s="6"/>
      <c r="W62" s="6">
        <v>66</v>
      </c>
      <c r="X62" s="613"/>
      <c r="Y62" s="806"/>
      <c r="Z62" s="605"/>
      <c r="AA62" s="605" t="s">
        <v>152</v>
      </c>
      <c r="AB62" s="753"/>
      <c r="AC62" s="622"/>
      <c r="AD62" s="572"/>
      <c r="AE62" s="6"/>
      <c r="AF62" s="6">
        <v>63</v>
      </c>
      <c r="AG62" s="613"/>
      <c r="AH62" s="614"/>
      <c r="AI62" s="6"/>
      <c r="AJ62" s="605" t="s">
        <v>152</v>
      </c>
      <c r="AK62" s="753"/>
    </row>
    <row r="63" spans="1:37" ht="19.899999999999999" customHeight="1" x14ac:dyDescent="0.25">
      <c r="A63" s="2206"/>
      <c r="B63" s="574">
        <v>1</v>
      </c>
      <c r="C63" s="706"/>
      <c r="D63" s="707"/>
      <c r="E63" s="707"/>
      <c r="F63" s="708"/>
      <c r="G63" s="717"/>
      <c r="H63" s="709"/>
      <c r="I63" s="620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/>
      <c r="X63" s="597"/>
      <c r="Y63" s="685"/>
      <c r="Z63" s="619"/>
      <c r="AA63" s="6"/>
      <c r="AB63" s="805"/>
      <c r="AC63" s="622"/>
      <c r="AD63" s="572"/>
      <c r="AE63" s="6"/>
      <c r="AF63" s="6"/>
      <c r="AG63" s="597"/>
      <c r="AH63" s="685"/>
      <c r="AI63" s="619"/>
      <c r="AJ63" s="619"/>
      <c r="AK63" s="705"/>
    </row>
    <row r="64" spans="1:37" ht="19.899999999999999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</row>
    <row r="65" spans="1:33" x14ac:dyDescent="0.25">
      <c r="A65" s="524" t="s">
        <v>225</v>
      </c>
      <c r="C65" s="768">
        <f>SUM(C3:C64)</f>
        <v>0</v>
      </c>
      <c r="D65" s="525">
        <f>SUM(D3:D64)</f>
        <v>67</v>
      </c>
      <c r="E65" s="768">
        <f>SUM(E3:E64)</f>
        <v>554</v>
      </c>
      <c r="F65" s="525">
        <f>SUM(F3:F64)</f>
        <v>11904</v>
      </c>
      <c r="L65" s="525">
        <f>SUM(L3:L64)</f>
        <v>320</v>
      </c>
      <c r="M65" s="525">
        <f>SUM(M3:M64)</f>
        <v>10</v>
      </c>
      <c r="N65" s="525">
        <f>SUM(N3:N64)</f>
        <v>0</v>
      </c>
      <c r="O65" s="525">
        <f>SUM(O3:O64)</f>
        <v>11963</v>
      </c>
      <c r="U65" s="525">
        <f>SUM(U3:U64)</f>
        <v>95</v>
      </c>
      <c r="V65" s="525">
        <f>SUM(V3:V64)</f>
        <v>60</v>
      </c>
      <c r="W65" s="525">
        <f>SUM(W3:W64)</f>
        <v>627</v>
      </c>
      <c r="X65" s="525">
        <f>SUM(X3:X64)</f>
        <v>11923</v>
      </c>
      <c r="AD65" s="525">
        <f>SUM(AD3:AD64)</f>
        <v>79</v>
      </c>
      <c r="AE65" s="525">
        <f>SUM(AE3:AE64)</f>
        <v>20</v>
      </c>
      <c r="AF65" s="525">
        <f>SUM(AF3:AF64)</f>
        <v>202</v>
      </c>
      <c r="AG65" s="525">
        <f>SUM(AG3:AG64)</f>
        <v>11916</v>
      </c>
    </row>
    <row r="73" spans="1:33" ht="15.75" thickBot="1" x14ac:dyDescent="0.3"/>
    <row r="74" spans="1:33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33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33" ht="21.75" customHeight="1" x14ac:dyDescent="0.3">
      <c r="B76" s="651" t="s">
        <v>218</v>
      </c>
      <c r="C76" s="652">
        <f>C65</f>
        <v>0</v>
      </c>
      <c r="D76" s="653">
        <f>C76/60</f>
        <v>0</v>
      </c>
      <c r="E76" s="652">
        <f>D65</f>
        <v>67</v>
      </c>
      <c r="F76" s="654">
        <f>E76/60</f>
        <v>1.1166666666666667</v>
      </c>
      <c r="G76" s="652">
        <f>E65</f>
        <v>554</v>
      </c>
      <c r="H76" s="653">
        <f>G76/60</f>
        <v>9.2333333333333325</v>
      </c>
      <c r="I76" s="652">
        <f>F65</f>
        <v>11904</v>
      </c>
      <c r="J76" s="653">
        <f>I76/60</f>
        <v>198.4</v>
      </c>
    </row>
    <row r="77" spans="1:33" ht="19.5" customHeight="1" x14ac:dyDescent="0.3">
      <c r="B77" s="651" t="s">
        <v>219</v>
      </c>
      <c r="C77" s="655">
        <f>L65</f>
        <v>320</v>
      </c>
      <c r="D77" s="656">
        <f t="shared" ref="D77:F79" si="0">C77/60</f>
        <v>5.333333333333333</v>
      </c>
      <c r="E77" s="655">
        <f>M65</f>
        <v>10</v>
      </c>
      <c r="F77" s="657">
        <f t="shared" si="0"/>
        <v>0.16666666666666666</v>
      </c>
      <c r="G77" s="655">
        <f>N65</f>
        <v>0</v>
      </c>
      <c r="H77" s="656">
        <f t="shared" ref="H77:J79" si="1">G77/60</f>
        <v>0</v>
      </c>
      <c r="I77" s="655">
        <f>O65</f>
        <v>11963</v>
      </c>
      <c r="J77" s="656">
        <f t="shared" si="1"/>
        <v>199.38333333333333</v>
      </c>
    </row>
    <row r="78" spans="1:33" ht="20.25" customHeight="1" x14ac:dyDescent="0.3">
      <c r="B78" s="651" t="s">
        <v>220</v>
      </c>
      <c r="C78" s="655">
        <f>U65</f>
        <v>95</v>
      </c>
      <c r="D78" s="656">
        <f t="shared" si="0"/>
        <v>1.5833333333333333</v>
      </c>
      <c r="E78" s="655">
        <f>V65</f>
        <v>60</v>
      </c>
      <c r="F78" s="657">
        <f t="shared" si="0"/>
        <v>1</v>
      </c>
      <c r="G78" s="655">
        <f>W65</f>
        <v>627</v>
      </c>
      <c r="H78" s="656">
        <f t="shared" si="1"/>
        <v>10.45</v>
      </c>
      <c r="I78" s="655">
        <f>X65</f>
        <v>11923</v>
      </c>
      <c r="J78" s="656">
        <f t="shared" si="1"/>
        <v>198.71666666666667</v>
      </c>
    </row>
    <row r="79" spans="1:33" ht="22.5" customHeight="1" thickBot="1" x14ac:dyDescent="0.35">
      <c r="B79" s="651" t="s">
        <v>221</v>
      </c>
      <c r="C79" s="658">
        <f>AD65</f>
        <v>79</v>
      </c>
      <c r="D79" s="659">
        <f t="shared" si="0"/>
        <v>1.3166666666666667</v>
      </c>
      <c r="E79" s="658">
        <f>AE65</f>
        <v>20</v>
      </c>
      <c r="F79" s="660">
        <f t="shared" si="0"/>
        <v>0.33333333333333331</v>
      </c>
      <c r="G79" s="658">
        <f>AF65</f>
        <v>202</v>
      </c>
      <c r="H79" s="659">
        <f t="shared" si="1"/>
        <v>3.3666666666666667</v>
      </c>
      <c r="I79" s="658">
        <f>AG65</f>
        <v>11916</v>
      </c>
      <c r="J79" s="659">
        <f t="shared" si="1"/>
        <v>198.6</v>
      </c>
    </row>
    <row r="80" spans="1:33" ht="19.5" thickBot="1" x14ac:dyDescent="0.35">
      <c r="B80" s="419"/>
      <c r="C80" s="301"/>
      <c r="D80" s="301"/>
      <c r="E80" s="301"/>
      <c r="F80" s="301"/>
      <c r="G80" s="301"/>
      <c r="H80" s="301"/>
      <c r="I80" s="301"/>
      <c r="J80" s="301"/>
    </row>
    <row r="81" spans="2:10" ht="19.5" thickBot="1" x14ac:dyDescent="0.35">
      <c r="B81" s="661" t="s">
        <v>217</v>
      </c>
      <c r="C81" s="666"/>
      <c r="D81" s="667">
        <f>SUM(D76:D80)</f>
        <v>8.2333333333333325</v>
      </c>
      <c r="E81" s="666"/>
      <c r="F81" s="667">
        <f>SUM(F76:F80)</f>
        <v>2.6166666666666667</v>
      </c>
      <c r="G81" s="666"/>
      <c r="H81" s="667">
        <f>SUM(H76:H80)</f>
        <v>23.049999999999997</v>
      </c>
      <c r="I81" s="666"/>
      <c r="J81" s="668">
        <f>AVERAGE(J76:J80)</f>
        <v>198.77500000000001</v>
      </c>
    </row>
  </sheetData>
  <mergeCells count="43">
    <mergeCell ref="A9:A10"/>
    <mergeCell ref="C1:F1"/>
    <mergeCell ref="G1:J1"/>
    <mergeCell ref="L1:O1"/>
    <mergeCell ref="P1:S1"/>
    <mergeCell ref="AD1:AG1"/>
    <mergeCell ref="AH1:AK1"/>
    <mergeCell ref="A3:A4"/>
    <mergeCell ref="A5:A6"/>
    <mergeCell ref="A7:A8"/>
    <mergeCell ref="U1:X1"/>
    <mergeCell ref="Y1:AB1"/>
    <mergeCell ref="A33:A34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57:A58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I74:J74"/>
    <mergeCell ref="A59:A60"/>
    <mergeCell ref="A61:A62"/>
    <mergeCell ref="A63:A64"/>
    <mergeCell ref="C74:D74"/>
    <mergeCell ref="E74:F74"/>
    <mergeCell ref="G74:H74"/>
  </mergeCells>
  <pageMargins left="0.7" right="0.7" top="0.75" bottom="0.75" header="0.3" footer="0.3"/>
  <pageSetup paperSize="9" orientation="portrait" horizontalDpi="180" verticalDpi="18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2"/>
  <sheetViews>
    <sheetView zoomScale="55" zoomScaleNormal="55" workbookViewId="0">
      <pane xSplit="2" ySplit="2" topLeftCell="C42" activePane="bottomRight" state="frozen"/>
      <selection pane="topRight" activeCell="C1" sqref="C1"/>
      <selection pane="bottomLeft" activeCell="A3" sqref="A3"/>
      <selection pane="bottomRight" activeCell="AQ53" sqref="AQ53"/>
    </sheetView>
  </sheetViews>
  <sheetFormatPr defaultColWidth="8.85546875" defaultRowHeight="15" x14ac:dyDescent="0.25"/>
  <cols>
    <col min="1" max="1" width="14.5703125" style="524" customWidth="1"/>
    <col min="2" max="2" width="15.7109375" style="525" customWidth="1"/>
    <col min="3" max="3" width="13.140625" style="524" customWidth="1"/>
    <col min="4" max="4" width="12.85546875" style="524" customWidth="1"/>
    <col min="5" max="5" width="15.7109375" style="524" customWidth="1"/>
    <col min="6" max="6" width="16.85546875" style="524" customWidth="1"/>
    <col min="7" max="7" width="21.140625" style="524" customWidth="1"/>
    <col min="8" max="8" width="28.42578125" style="524" customWidth="1"/>
    <col min="9" max="9" width="30.42578125" style="524" customWidth="1"/>
    <col min="10" max="10" width="24.5703125" style="524" customWidth="1"/>
    <col min="11" max="14" width="10.7109375" style="524" customWidth="1"/>
    <col min="15" max="15" width="17" style="524" customWidth="1"/>
    <col min="16" max="16" width="23" style="524" customWidth="1"/>
    <col min="17" max="17" width="25.7109375" style="524" customWidth="1"/>
    <col min="18" max="18" width="30.42578125" style="524" customWidth="1"/>
    <col min="19" max="19" width="24.28515625" style="524" customWidth="1"/>
    <col min="20" max="24" width="10.7109375" style="524" customWidth="1"/>
    <col min="25" max="25" width="28" style="524" customWidth="1"/>
    <col min="26" max="26" width="23.85546875" style="524" customWidth="1"/>
    <col min="27" max="27" width="32.42578125" style="524" customWidth="1"/>
    <col min="28" max="28" width="21.140625" style="524" customWidth="1"/>
    <col min="29" max="33" width="10.7109375" style="524" customWidth="1"/>
    <col min="34" max="34" width="30.42578125" style="524" customWidth="1"/>
    <col min="35" max="35" width="25.42578125" style="524" customWidth="1"/>
    <col min="36" max="36" width="23.7109375" style="524" customWidth="1"/>
    <col min="37" max="37" width="23" style="524" customWidth="1"/>
    <col min="38" max="38" width="8.85546875" style="524"/>
    <col min="39" max="42" width="10.7109375" style="524" customWidth="1"/>
    <col min="43" max="43" width="23.5703125" style="524" customWidth="1"/>
    <col min="44" max="44" width="24" style="524" customWidth="1"/>
    <col min="45" max="45" width="23.7109375" style="524" customWidth="1"/>
    <col min="46" max="46" width="23" style="524" customWidth="1"/>
    <col min="47" max="16384" width="8.85546875" style="524"/>
  </cols>
  <sheetData>
    <row r="1" spans="1:46" x14ac:dyDescent="0.25">
      <c r="C1" s="2217" t="s">
        <v>1</v>
      </c>
      <c r="D1" s="2212"/>
      <c r="E1" s="2212"/>
      <c r="F1" s="2212"/>
      <c r="G1" s="2211" t="s">
        <v>206</v>
      </c>
      <c r="H1" s="2209"/>
      <c r="I1" s="2209"/>
      <c r="J1" s="2210"/>
      <c r="L1" s="2212" t="s">
        <v>4</v>
      </c>
      <c r="M1" s="2212"/>
      <c r="N1" s="2212"/>
      <c r="O1" s="2212"/>
      <c r="P1" s="2209" t="s">
        <v>206</v>
      </c>
      <c r="Q1" s="2209"/>
      <c r="R1" s="2209"/>
      <c r="S1" s="2210"/>
      <c r="U1" s="2212" t="s">
        <v>2</v>
      </c>
      <c r="V1" s="2212"/>
      <c r="W1" s="2212"/>
      <c r="X1" s="2212"/>
      <c r="Y1" s="2209" t="s">
        <v>206</v>
      </c>
      <c r="Z1" s="2209"/>
      <c r="AA1" s="2209"/>
      <c r="AB1" s="2210"/>
      <c r="AD1" s="2212" t="s">
        <v>5</v>
      </c>
      <c r="AE1" s="2212"/>
      <c r="AF1" s="2212"/>
      <c r="AG1" s="2212"/>
      <c r="AH1" s="2209" t="s">
        <v>206</v>
      </c>
      <c r="AI1" s="2209"/>
      <c r="AJ1" s="2209"/>
      <c r="AK1" s="2210"/>
      <c r="AM1" s="2212" t="s">
        <v>482</v>
      </c>
      <c r="AN1" s="2212"/>
      <c r="AO1" s="2212"/>
      <c r="AP1" s="2212"/>
      <c r="AQ1" s="2209" t="s">
        <v>206</v>
      </c>
      <c r="AR1" s="2209"/>
      <c r="AS1" s="2209"/>
      <c r="AT1" s="2210"/>
    </row>
    <row r="2" spans="1:46" ht="42.6" customHeight="1" x14ac:dyDescent="0.25">
      <c r="A2" s="812" t="s">
        <v>0</v>
      </c>
      <c r="B2" s="528" t="s">
        <v>198</v>
      </c>
      <c r="C2" s="529" t="s">
        <v>199</v>
      </c>
      <c r="D2" s="526" t="s">
        <v>200</v>
      </c>
      <c r="E2" s="526" t="s">
        <v>201</v>
      </c>
      <c r="F2" s="526" t="s">
        <v>204</v>
      </c>
      <c r="G2" s="575" t="s">
        <v>199</v>
      </c>
      <c r="H2" s="575" t="s">
        <v>200</v>
      </c>
      <c r="I2" s="575" t="s">
        <v>201</v>
      </c>
      <c r="J2" s="575" t="s">
        <v>204</v>
      </c>
      <c r="K2" s="524" t="s">
        <v>269</v>
      </c>
      <c r="L2" s="526" t="s">
        <v>199</v>
      </c>
      <c r="M2" s="526" t="s">
        <v>200</v>
      </c>
      <c r="N2" s="526" t="s">
        <v>201</v>
      </c>
      <c r="O2" s="526" t="s">
        <v>204</v>
      </c>
      <c r="P2" s="527" t="s">
        <v>199</v>
      </c>
      <c r="Q2" s="526" t="s">
        <v>200</v>
      </c>
      <c r="R2" s="526" t="s">
        <v>201</v>
      </c>
      <c r="S2" s="526" t="s">
        <v>204</v>
      </c>
      <c r="U2" s="526" t="s">
        <v>199</v>
      </c>
      <c r="V2" s="526" t="s">
        <v>200</v>
      </c>
      <c r="W2" s="526" t="s">
        <v>201</v>
      </c>
      <c r="X2" s="526" t="s">
        <v>204</v>
      </c>
      <c r="Y2" s="650" t="s">
        <v>199</v>
      </c>
      <c r="Z2" s="526" t="s">
        <v>200</v>
      </c>
      <c r="AA2" s="526" t="s">
        <v>201</v>
      </c>
      <c r="AB2" s="526" t="s">
        <v>204</v>
      </c>
      <c r="AD2" s="526" t="s">
        <v>199</v>
      </c>
      <c r="AE2" s="526" t="s">
        <v>200</v>
      </c>
      <c r="AF2" s="526" t="s">
        <v>201</v>
      </c>
      <c r="AG2" s="526" t="s">
        <v>204</v>
      </c>
      <c r="AH2" s="527" t="s">
        <v>199</v>
      </c>
      <c r="AI2" s="526" t="s">
        <v>200</v>
      </c>
      <c r="AJ2" s="526" t="s">
        <v>201</v>
      </c>
      <c r="AK2" s="526" t="s">
        <v>204</v>
      </c>
      <c r="AM2" s="526" t="s">
        <v>199</v>
      </c>
      <c r="AN2" s="526" t="s">
        <v>200</v>
      </c>
      <c r="AO2" s="526" t="s">
        <v>201</v>
      </c>
      <c r="AP2" s="526" t="s">
        <v>204</v>
      </c>
      <c r="AQ2" s="527" t="s">
        <v>199</v>
      </c>
      <c r="AR2" s="526" t="s">
        <v>200</v>
      </c>
      <c r="AS2" s="526" t="s">
        <v>201</v>
      </c>
      <c r="AT2" s="526" t="s">
        <v>204</v>
      </c>
    </row>
    <row r="3" spans="1:46" ht="30" customHeight="1" x14ac:dyDescent="0.25">
      <c r="A3" s="2206">
        <v>44835</v>
      </c>
      <c r="B3" s="814">
        <v>1</v>
      </c>
      <c r="C3" s="592"/>
      <c r="D3" s="593"/>
      <c r="E3" s="593">
        <v>30</v>
      </c>
      <c r="F3" s="594"/>
      <c r="G3" s="685"/>
      <c r="H3" s="619"/>
      <c r="I3" s="620" t="s">
        <v>152</v>
      </c>
      <c r="J3" s="686"/>
      <c r="K3" s="622"/>
      <c r="L3" s="612"/>
      <c r="M3" s="630"/>
      <c r="N3" s="630"/>
      <c r="O3" s="628"/>
      <c r="P3" s="629"/>
      <c r="Q3" s="699"/>
      <c r="R3" s="700"/>
      <c r="S3" s="628"/>
      <c r="T3" s="622"/>
      <c r="U3" s="612"/>
      <c r="V3" s="630"/>
      <c r="W3" s="630">
        <v>45</v>
      </c>
      <c r="X3" s="613"/>
      <c r="Y3" s="818"/>
      <c r="Z3" s="629"/>
      <c r="AA3" s="719" t="s">
        <v>152</v>
      </c>
      <c r="AB3" s="720"/>
      <c r="AC3" s="622"/>
      <c r="AD3" s="612"/>
      <c r="AE3" s="630"/>
      <c r="AF3" s="6">
        <v>40</v>
      </c>
      <c r="AG3" s="628"/>
      <c r="AH3" s="629"/>
      <c r="AI3" s="630"/>
      <c r="AJ3" s="6" t="s">
        <v>152</v>
      </c>
      <c r="AK3" s="628"/>
      <c r="AM3" s="612"/>
      <c r="AN3" s="630"/>
      <c r="AO3" s="6"/>
      <c r="AP3" s="628"/>
      <c r="AQ3" s="629"/>
      <c r="AR3" s="630"/>
      <c r="AS3" s="6"/>
      <c r="AT3" s="628"/>
    </row>
    <row r="4" spans="1:46" ht="40.9" customHeight="1" x14ac:dyDescent="0.25">
      <c r="A4" s="2205"/>
      <c r="B4" s="574">
        <v>2</v>
      </c>
      <c r="C4" s="595"/>
      <c r="D4" s="596"/>
      <c r="E4" s="596">
        <v>12</v>
      </c>
      <c r="F4" s="597"/>
      <c r="G4" s="685"/>
      <c r="H4" s="619"/>
      <c r="I4" s="620" t="s">
        <v>152</v>
      </c>
      <c r="J4" s="687"/>
      <c r="K4" s="622"/>
      <c r="L4" s="572"/>
      <c r="M4" s="6"/>
      <c r="N4" s="6"/>
      <c r="O4" s="613"/>
      <c r="P4" s="614"/>
      <c r="Q4" s="619"/>
      <c r="R4" s="820"/>
      <c r="S4" s="613"/>
      <c r="T4" s="622"/>
      <c r="U4" s="572">
        <v>50</v>
      </c>
      <c r="V4" s="605"/>
      <c r="W4" s="6">
        <v>20</v>
      </c>
      <c r="X4" s="613"/>
      <c r="Y4" s="818" t="s">
        <v>338</v>
      </c>
      <c r="Z4" s="6"/>
      <c r="AA4" s="698" t="s">
        <v>479</v>
      </c>
      <c r="AB4" s="722"/>
      <c r="AC4" s="622"/>
      <c r="AD4" s="572"/>
      <c r="AE4" s="6"/>
      <c r="AF4" s="6">
        <v>31</v>
      </c>
      <c r="AG4" s="613"/>
      <c r="AH4" s="614"/>
      <c r="AI4" s="6"/>
      <c r="AJ4" s="6" t="s">
        <v>152</v>
      </c>
      <c r="AK4" s="613"/>
      <c r="AM4" s="572"/>
      <c r="AN4" s="6"/>
      <c r="AO4" s="6"/>
      <c r="AP4" s="613"/>
      <c r="AQ4" s="614"/>
      <c r="AR4" s="6"/>
      <c r="AS4" s="6"/>
      <c r="AT4" s="613"/>
    </row>
    <row r="5" spans="1:46" ht="39.6" customHeight="1" x14ac:dyDescent="0.25">
      <c r="A5" s="2206">
        <v>44836</v>
      </c>
      <c r="B5" s="574">
        <v>1</v>
      </c>
      <c r="C5" s="595"/>
      <c r="D5" s="596"/>
      <c r="E5" s="596">
        <v>93</v>
      </c>
      <c r="F5" s="597"/>
      <c r="G5" s="685"/>
      <c r="H5" s="619"/>
      <c r="I5" s="620" t="s">
        <v>152</v>
      </c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>
        <v>93</v>
      </c>
      <c r="X5" s="613"/>
      <c r="Y5" s="818"/>
      <c r="Z5" s="6"/>
      <c r="AA5" s="698" t="s">
        <v>152</v>
      </c>
      <c r="AB5" s="723"/>
      <c r="AC5" s="622"/>
      <c r="AD5" s="572"/>
      <c r="AE5" s="6"/>
      <c r="AF5" s="6">
        <v>206</v>
      </c>
      <c r="AG5" s="613"/>
      <c r="AH5" s="614"/>
      <c r="AI5" s="6"/>
      <c r="AJ5" s="6" t="s">
        <v>480</v>
      </c>
      <c r="AK5" s="613"/>
      <c r="AM5" s="572"/>
      <c r="AN5" s="6"/>
      <c r="AO5" s="6"/>
      <c r="AP5" s="613"/>
      <c r="AQ5" s="614"/>
      <c r="AR5" s="6"/>
      <c r="AS5" s="6"/>
      <c r="AT5" s="613"/>
    </row>
    <row r="6" spans="1:46" ht="39" customHeight="1" x14ac:dyDescent="0.25">
      <c r="A6" s="2205"/>
      <c r="B6" s="574">
        <v>2</v>
      </c>
      <c r="C6" s="595"/>
      <c r="D6" s="596"/>
      <c r="E6" s="596">
        <v>31</v>
      </c>
      <c r="F6" s="597"/>
      <c r="G6" s="685"/>
      <c r="H6" s="619"/>
      <c r="I6" s="620" t="s">
        <v>152</v>
      </c>
      <c r="J6" s="687"/>
      <c r="K6" s="622"/>
      <c r="L6" s="572"/>
      <c r="M6" s="6"/>
      <c r="N6" s="6"/>
      <c r="O6" s="613"/>
      <c r="P6" s="614"/>
      <c r="Q6" s="619"/>
      <c r="R6" s="6"/>
      <c r="S6" s="613"/>
      <c r="T6" s="622"/>
      <c r="U6" s="572"/>
      <c r="V6" s="6"/>
      <c r="W6" s="6">
        <v>52</v>
      </c>
      <c r="X6" s="613"/>
      <c r="Y6" s="818"/>
      <c r="Z6" s="6"/>
      <c r="AA6" s="698" t="s">
        <v>481</v>
      </c>
      <c r="AB6" s="613"/>
      <c r="AC6" s="622"/>
      <c r="AD6" s="572"/>
      <c r="AE6" s="6"/>
      <c r="AF6" s="6">
        <v>50</v>
      </c>
      <c r="AG6" s="613"/>
      <c r="AH6" s="614"/>
      <c r="AI6" s="6"/>
      <c r="AJ6" s="6" t="s">
        <v>152</v>
      </c>
      <c r="AK6" s="613"/>
      <c r="AM6" s="572"/>
      <c r="AN6" s="6"/>
      <c r="AO6" s="6"/>
      <c r="AP6" s="613"/>
      <c r="AQ6" s="614"/>
      <c r="AR6" s="6"/>
      <c r="AS6" s="6"/>
      <c r="AT6" s="613"/>
    </row>
    <row r="7" spans="1:46" ht="30.6" customHeight="1" x14ac:dyDescent="0.25">
      <c r="A7" s="2206">
        <v>44837</v>
      </c>
      <c r="B7" s="574">
        <v>1</v>
      </c>
      <c r="C7" s="595"/>
      <c r="D7" s="596"/>
      <c r="E7" s="596">
        <v>30</v>
      </c>
      <c r="F7" s="597"/>
      <c r="G7" s="685"/>
      <c r="H7" s="620"/>
      <c r="I7" s="620" t="s">
        <v>152</v>
      </c>
      <c r="J7" s="687"/>
      <c r="K7" s="622"/>
      <c r="L7" s="572"/>
      <c r="M7" s="614"/>
      <c r="N7" s="6"/>
      <c r="O7" s="613"/>
      <c r="P7" s="614"/>
      <c r="Q7" s="614"/>
      <c r="R7" s="6"/>
      <c r="S7" s="613"/>
      <c r="T7" s="622"/>
      <c r="U7" s="572"/>
      <c r="V7" s="6"/>
      <c r="W7" s="6">
        <v>25</v>
      </c>
      <c r="X7" s="613"/>
      <c r="Y7" s="614"/>
      <c r="Z7" s="6"/>
      <c r="AA7" s="6" t="s">
        <v>152</v>
      </c>
      <c r="AB7" s="613"/>
      <c r="AC7" s="622"/>
      <c r="AD7" s="572"/>
      <c r="AE7" s="6"/>
      <c r="AF7" s="6"/>
      <c r="AG7" s="613"/>
      <c r="AH7" s="614"/>
      <c r="AI7" s="6"/>
      <c r="AJ7" s="6"/>
      <c r="AK7" s="613"/>
      <c r="AM7" s="572"/>
      <c r="AN7" s="6"/>
      <c r="AO7" s="6"/>
      <c r="AP7" s="613"/>
      <c r="AQ7" s="614"/>
      <c r="AR7" s="6"/>
      <c r="AS7" s="6"/>
      <c r="AT7" s="613"/>
    </row>
    <row r="8" spans="1:46" ht="31.15" customHeight="1" x14ac:dyDescent="0.25">
      <c r="A8" s="2205"/>
      <c r="B8" s="574">
        <v>2</v>
      </c>
      <c r="C8" s="595"/>
      <c r="D8" s="596"/>
      <c r="E8" s="596">
        <v>45</v>
      </c>
      <c r="F8" s="597"/>
      <c r="G8" s="684"/>
      <c r="H8" s="620"/>
      <c r="I8" s="620" t="s">
        <v>152</v>
      </c>
      <c r="J8" s="635"/>
      <c r="K8" s="622"/>
      <c r="L8" s="572"/>
      <c r="M8" s="6"/>
      <c r="N8" s="6"/>
      <c r="O8" s="613"/>
      <c r="P8" s="818"/>
      <c r="Q8" s="605"/>
      <c r="R8" s="605"/>
      <c r="S8" s="635"/>
      <c r="T8" s="622"/>
      <c r="U8" s="572"/>
      <c r="V8" s="831"/>
      <c r="W8" s="614">
        <v>59</v>
      </c>
      <c r="X8" s="613"/>
      <c r="Y8" s="818"/>
      <c r="Z8" s="6"/>
      <c r="AA8" s="6" t="s">
        <v>152</v>
      </c>
      <c r="AB8" s="635"/>
      <c r="AC8" s="622"/>
      <c r="AD8" s="572"/>
      <c r="AE8" s="6"/>
      <c r="AF8" s="6">
        <v>8</v>
      </c>
      <c r="AG8" s="613"/>
      <c r="AH8" s="614"/>
      <c r="AI8" s="6"/>
      <c r="AJ8" s="6" t="s">
        <v>152</v>
      </c>
      <c r="AK8" s="635"/>
      <c r="AM8" s="572"/>
      <c r="AN8" s="6"/>
      <c r="AO8" s="6"/>
      <c r="AP8" s="613"/>
      <c r="AQ8" s="614"/>
      <c r="AR8" s="6"/>
      <c r="AS8" s="6"/>
      <c r="AT8" s="635"/>
    </row>
    <row r="9" spans="1:46" ht="33.6" customHeight="1" x14ac:dyDescent="0.25">
      <c r="A9" s="2206">
        <v>44838</v>
      </c>
      <c r="B9" s="574">
        <v>1</v>
      </c>
      <c r="C9" s="595"/>
      <c r="D9" s="596"/>
      <c r="E9" s="596">
        <v>33</v>
      </c>
      <c r="F9" s="597"/>
      <c r="G9" s="685"/>
      <c r="H9" s="619"/>
      <c r="I9" s="619" t="s">
        <v>152</v>
      </c>
      <c r="J9" s="635"/>
      <c r="K9" s="622"/>
      <c r="L9" s="572"/>
      <c r="M9" s="6"/>
      <c r="N9" s="6"/>
      <c r="O9" s="613"/>
      <c r="P9" s="818"/>
      <c r="Q9" s="6"/>
      <c r="R9" s="605"/>
      <c r="S9" s="635"/>
      <c r="T9" s="622"/>
      <c r="U9" s="572">
        <v>80</v>
      </c>
      <c r="V9" s="6"/>
      <c r="W9" s="6"/>
      <c r="X9" s="613"/>
      <c r="Y9" s="614" t="s">
        <v>45</v>
      </c>
      <c r="Z9" s="6"/>
      <c r="AA9" s="6"/>
      <c r="AB9" s="635"/>
      <c r="AC9" s="622"/>
      <c r="AD9" s="572"/>
      <c r="AE9" s="6"/>
      <c r="AF9" s="6">
        <v>10</v>
      </c>
      <c r="AG9" s="613"/>
      <c r="AH9" s="614"/>
      <c r="AI9" s="6"/>
      <c r="AJ9" s="6" t="s">
        <v>152</v>
      </c>
      <c r="AK9" s="635"/>
      <c r="AM9" s="572"/>
      <c r="AN9" s="6"/>
      <c r="AO9" s="6"/>
      <c r="AP9" s="613"/>
      <c r="AQ9" s="614"/>
      <c r="AR9" s="6"/>
      <c r="AS9" s="6"/>
      <c r="AT9" s="635"/>
    </row>
    <row r="10" spans="1:46" ht="47.45" customHeight="1" x14ac:dyDescent="0.25">
      <c r="A10" s="2205"/>
      <c r="B10" s="574">
        <v>2</v>
      </c>
      <c r="C10" s="595"/>
      <c r="D10" s="596"/>
      <c r="E10" s="596">
        <v>28</v>
      </c>
      <c r="F10" s="597"/>
      <c r="G10" s="685"/>
      <c r="H10" s="619"/>
      <c r="I10" s="620" t="s">
        <v>152</v>
      </c>
      <c r="J10" s="635"/>
      <c r="K10" s="622"/>
      <c r="L10" s="572"/>
      <c r="M10" s="6"/>
      <c r="N10" s="6"/>
      <c r="O10" s="613"/>
      <c r="P10" s="818"/>
      <c r="Q10" s="6"/>
      <c r="R10" s="605"/>
      <c r="S10" s="635"/>
      <c r="T10" s="622"/>
      <c r="U10" s="572">
        <v>447</v>
      </c>
      <c r="V10" s="6"/>
      <c r="W10" s="6"/>
      <c r="X10" s="613"/>
      <c r="Y10" s="572" t="s">
        <v>45</v>
      </c>
      <c r="Z10" s="818"/>
      <c r="AA10" s="6"/>
      <c r="AB10" s="635"/>
      <c r="AC10" s="622"/>
      <c r="AD10" s="572"/>
      <c r="AE10" s="6"/>
      <c r="AF10" s="6"/>
      <c r="AG10" s="613"/>
      <c r="AH10" s="614"/>
      <c r="AI10" s="6"/>
      <c r="AJ10" s="6"/>
      <c r="AK10" s="635"/>
      <c r="AM10" s="572">
        <v>46</v>
      </c>
      <c r="AN10" s="6"/>
      <c r="AO10" s="6"/>
      <c r="AP10" s="613"/>
      <c r="AQ10" s="614" t="s">
        <v>483</v>
      </c>
      <c r="AR10" s="6"/>
      <c r="AS10" s="6"/>
      <c r="AT10" s="635"/>
    </row>
    <row r="11" spans="1:46" ht="30.75" customHeight="1" x14ac:dyDescent="0.25">
      <c r="A11" s="2206">
        <v>44839</v>
      </c>
      <c r="B11" s="574">
        <v>1</v>
      </c>
      <c r="C11" s="595"/>
      <c r="D11" s="596"/>
      <c r="E11" s="596">
        <v>112</v>
      </c>
      <c r="F11" s="597"/>
      <c r="G11" s="684"/>
      <c r="H11" s="619"/>
      <c r="I11" s="620" t="s">
        <v>152</v>
      </c>
      <c r="J11" s="687"/>
      <c r="K11" s="622"/>
      <c r="L11" s="572"/>
      <c r="M11" s="6"/>
      <c r="N11" s="6"/>
      <c r="O11" s="613"/>
      <c r="P11" s="818"/>
      <c r="Q11" s="6"/>
      <c r="R11" s="605"/>
      <c r="S11" s="613"/>
      <c r="T11" s="622"/>
      <c r="U11" s="572"/>
      <c r="V11" s="6"/>
      <c r="W11" s="6">
        <v>60</v>
      </c>
      <c r="X11" s="613"/>
      <c r="Y11" s="614"/>
      <c r="Z11" s="6"/>
      <c r="AA11" s="6" t="s">
        <v>152</v>
      </c>
      <c r="AB11" s="613"/>
      <c r="AC11" s="622"/>
      <c r="AD11" s="572"/>
      <c r="AE11" s="6"/>
      <c r="AF11" s="6"/>
      <c r="AG11" s="613"/>
      <c r="AH11" s="614"/>
      <c r="AI11" s="6"/>
      <c r="AJ11" s="6"/>
      <c r="AK11" s="613"/>
      <c r="AM11" s="572"/>
      <c r="AN11" s="6"/>
      <c r="AO11" s="6"/>
      <c r="AP11" s="613"/>
      <c r="AQ11" s="614"/>
      <c r="AR11" s="6"/>
      <c r="AS11" s="6"/>
      <c r="AT11" s="613"/>
    </row>
    <row r="12" spans="1:46" ht="36.75" customHeight="1" x14ac:dyDescent="0.25">
      <c r="A12" s="2205"/>
      <c r="B12" s="574">
        <v>2</v>
      </c>
      <c r="C12" s="595"/>
      <c r="D12" s="596"/>
      <c r="E12" s="596">
        <v>15</v>
      </c>
      <c r="F12" s="597"/>
      <c r="G12" s="685"/>
      <c r="H12" s="619"/>
      <c r="I12" s="620" t="s">
        <v>152</v>
      </c>
      <c r="J12" s="635"/>
      <c r="K12" s="622"/>
      <c r="L12" s="572"/>
      <c r="M12" s="6"/>
      <c r="N12" s="6"/>
      <c r="O12" s="613"/>
      <c r="P12" s="818"/>
      <c r="Q12" s="6"/>
      <c r="R12" s="605"/>
      <c r="S12" s="635"/>
      <c r="T12" s="622"/>
      <c r="U12" s="572"/>
      <c r="V12" s="6"/>
      <c r="W12" s="6">
        <v>18</v>
      </c>
      <c r="X12" s="613"/>
      <c r="Y12" s="614"/>
      <c r="Z12" s="6"/>
      <c r="AA12" s="721" t="s">
        <v>152</v>
      </c>
      <c r="AB12" s="635"/>
      <c r="AC12" s="622"/>
      <c r="AD12" s="572">
        <v>360</v>
      </c>
      <c r="AE12" s="6"/>
      <c r="AF12" s="6"/>
      <c r="AG12" s="613"/>
      <c r="AH12" s="614" t="s">
        <v>484</v>
      </c>
      <c r="AI12" s="6"/>
      <c r="AJ12" s="6"/>
      <c r="AK12" s="635"/>
      <c r="AM12" s="572"/>
      <c r="AN12" s="6"/>
      <c r="AO12" s="6"/>
      <c r="AP12" s="613"/>
      <c r="AQ12" s="614"/>
      <c r="AR12" s="6"/>
      <c r="AS12" s="6"/>
      <c r="AT12" s="635"/>
    </row>
    <row r="13" spans="1:46" ht="40.5" customHeight="1" x14ac:dyDescent="0.25">
      <c r="A13" s="2206">
        <v>44840</v>
      </c>
      <c r="B13" s="574">
        <v>1</v>
      </c>
      <c r="C13" s="595"/>
      <c r="D13" s="596"/>
      <c r="E13" s="596">
        <v>112</v>
      </c>
      <c r="F13" s="597"/>
      <c r="G13" s="685"/>
      <c r="H13" s="619"/>
      <c r="I13" s="620" t="s">
        <v>152</v>
      </c>
      <c r="J13" s="635"/>
      <c r="K13" s="622"/>
      <c r="L13" s="572"/>
      <c r="M13" s="6"/>
      <c r="N13" s="6"/>
      <c r="O13" s="597"/>
      <c r="P13" s="818"/>
      <c r="Q13" s="6"/>
      <c r="R13" s="605"/>
      <c r="S13" s="635"/>
      <c r="T13" s="622"/>
      <c r="U13" s="572"/>
      <c r="V13" s="6"/>
      <c r="W13" s="6">
        <v>60</v>
      </c>
      <c r="X13" s="597"/>
      <c r="Y13" s="818"/>
      <c r="Z13" s="605"/>
      <c r="AA13" s="6" t="s">
        <v>152</v>
      </c>
      <c r="AB13" s="635"/>
      <c r="AC13" s="622"/>
      <c r="AD13" s="572"/>
      <c r="AE13" s="6"/>
      <c r="AF13" s="6"/>
      <c r="AG13" s="597"/>
      <c r="AH13" s="614"/>
      <c r="AI13" s="6"/>
      <c r="AJ13" s="6"/>
      <c r="AK13" s="635"/>
      <c r="AM13" s="572"/>
      <c r="AN13" s="6"/>
      <c r="AO13" s="6"/>
      <c r="AP13" s="597"/>
      <c r="AQ13" s="614"/>
      <c r="AR13" s="6"/>
      <c r="AS13" s="6"/>
      <c r="AT13" s="635"/>
    </row>
    <row r="14" spans="1:46" ht="34.15" customHeight="1" x14ac:dyDescent="0.25">
      <c r="A14" s="2205"/>
      <c r="B14" s="574">
        <v>2</v>
      </c>
      <c r="C14" s="595"/>
      <c r="D14" s="596"/>
      <c r="E14" s="596">
        <v>60</v>
      </c>
      <c r="F14" s="597"/>
      <c r="G14" s="685"/>
      <c r="H14" s="620"/>
      <c r="I14" s="620" t="s">
        <v>152</v>
      </c>
      <c r="J14" s="635"/>
      <c r="K14" s="622"/>
      <c r="L14" s="572"/>
      <c r="M14" s="6"/>
      <c r="N14" s="6"/>
      <c r="O14" s="597"/>
      <c r="P14" s="614"/>
      <c r="Q14" s="6"/>
      <c r="R14" s="6"/>
      <c r="S14" s="635"/>
      <c r="T14" s="622"/>
      <c r="U14" s="572"/>
      <c r="V14" s="6"/>
      <c r="W14" s="6">
        <v>40</v>
      </c>
      <c r="X14" s="597"/>
      <c r="Y14" s="818"/>
      <c r="Z14" s="605"/>
      <c r="AA14" s="605" t="s">
        <v>152</v>
      </c>
      <c r="AB14" s="635"/>
      <c r="AC14" s="622"/>
      <c r="AD14" s="572"/>
      <c r="AE14" s="6"/>
      <c r="AF14" s="6">
        <v>10</v>
      </c>
      <c r="AG14" s="597"/>
      <c r="AH14" s="818"/>
      <c r="AI14" s="6"/>
      <c r="AJ14" s="6" t="s">
        <v>485</v>
      </c>
      <c r="AK14" s="635"/>
      <c r="AM14" s="572"/>
      <c r="AN14" s="6"/>
      <c r="AO14" s="6"/>
      <c r="AP14" s="597"/>
      <c r="AQ14" s="818"/>
      <c r="AR14" s="6"/>
      <c r="AS14" s="6"/>
      <c r="AT14" s="635"/>
    </row>
    <row r="15" spans="1:46" ht="43.9" customHeight="1" x14ac:dyDescent="0.25">
      <c r="A15" s="2206">
        <v>44841</v>
      </c>
      <c r="B15" s="574">
        <v>1</v>
      </c>
      <c r="C15" s="595"/>
      <c r="D15" s="596"/>
      <c r="E15" s="6">
        <v>40</v>
      </c>
      <c r="F15" s="597"/>
      <c r="G15" s="685"/>
      <c r="H15" s="620"/>
      <c r="I15" s="620" t="s">
        <v>152</v>
      </c>
      <c r="J15" s="635"/>
      <c r="K15" s="622"/>
      <c r="L15" s="572"/>
      <c r="M15" s="6"/>
      <c r="N15" s="6"/>
      <c r="O15" s="597"/>
      <c r="P15" s="572"/>
      <c r="Q15" s="620"/>
      <c r="R15" s="6"/>
      <c r="S15" s="635"/>
      <c r="T15" s="622"/>
      <c r="U15" s="572"/>
      <c r="V15" s="6"/>
      <c r="W15" s="6">
        <v>30</v>
      </c>
      <c r="X15" s="597"/>
      <c r="Y15" s="572"/>
      <c r="Z15" s="620"/>
      <c r="AA15" s="728" t="s">
        <v>152</v>
      </c>
      <c r="AB15" s="635"/>
      <c r="AC15" s="622"/>
      <c r="AD15" s="572"/>
      <c r="AE15" s="6"/>
      <c r="AF15" s="622"/>
      <c r="AG15" s="597"/>
      <c r="AI15" s="692"/>
      <c r="AJ15" s="6"/>
      <c r="AK15" s="635"/>
      <c r="AM15" s="572"/>
      <c r="AN15" s="6"/>
      <c r="AO15" s="622"/>
      <c r="AP15" s="597"/>
      <c r="AR15" s="692"/>
      <c r="AS15" s="6"/>
      <c r="AT15" s="635"/>
    </row>
    <row r="16" spans="1:46" ht="37.5" customHeight="1" x14ac:dyDescent="0.25">
      <c r="A16" s="2205"/>
      <c r="B16" s="574">
        <v>2</v>
      </c>
      <c r="C16" s="595"/>
      <c r="D16" s="596"/>
      <c r="E16" s="596">
        <v>36</v>
      </c>
      <c r="F16" s="597"/>
      <c r="G16" s="684"/>
      <c r="H16" s="830"/>
      <c r="I16" s="620" t="s">
        <v>152</v>
      </c>
      <c r="J16" s="635"/>
      <c r="K16" s="622"/>
      <c r="L16" s="572"/>
      <c r="M16" s="6"/>
      <c r="N16" s="6"/>
      <c r="O16" s="597"/>
      <c r="P16" s="572"/>
      <c r="Q16" s="6"/>
      <c r="R16" s="6"/>
      <c r="S16" s="635"/>
      <c r="T16" s="622"/>
      <c r="U16" s="572"/>
      <c r="V16" s="6"/>
      <c r="W16" s="6"/>
      <c r="X16" s="597"/>
      <c r="Y16" s="619"/>
      <c r="Z16" s="619"/>
      <c r="AA16" s="6"/>
      <c r="AB16" s="635"/>
      <c r="AC16" s="622"/>
      <c r="AD16" s="572"/>
      <c r="AE16" s="6"/>
      <c r="AF16" s="6"/>
      <c r="AG16" s="597"/>
      <c r="AH16" s="572"/>
      <c r="AI16" s="6"/>
      <c r="AJ16" s="6"/>
      <c r="AK16" s="635"/>
      <c r="AM16" s="572"/>
      <c r="AN16" s="6"/>
      <c r="AO16" s="6">
        <v>316</v>
      </c>
      <c r="AP16" s="597"/>
      <c r="AQ16" s="572"/>
      <c r="AR16" s="6"/>
      <c r="AS16" s="6" t="s">
        <v>152</v>
      </c>
      <c r="AT16" s="635"/>
    </row>
    <row r="17" spans="1:46" ht="39" customHeight="1" x14ac:dyDescent="0.25">
      <c r="A17" s="2206">
        <v>44842</v>
      </c>
      <c r="B17" s="644">
        <v>1</v>
      </c>
      <c r="C17" s="595"/>
      <c r="D17" s="596">
        <v>10</v>
      </c>
      <c r="E17" s="596"/>
      <c r="F17" s="597"/>
      <c r="G17" s="685"/>
      <c r="H17" s="619" t="s">
        <v>486</v>
      </c>
      <c r="I17" s="620"/>
      <c r="J17" s="635"/>
      <c r="K17" s="622"/>
      <c r="L17" s="572"/>
      <c r="M17" s="6"/>
      <c r="N17" s="6"/>
      <c r="O17" s="597"/>
      <c r="P17" s="572"/>
      <c r="Q17" s="6"/>
      <c r="R17" s="6"/>
      <c r="S17" s="635"/>
      <c r="T17" s="622"/>
      <c r="U17" s="572"/>
      <c r="V17" s="6"/>
      <c r="W17" s="6"/>
      <c r="X17" s="597"/>
      <c r="Y17" s="619"/>
      <c r="Z17" s="619"/>
      <c r="AA17" s="6"/>
      <c r="AB17" s="635"/>
      <c r="AC17" s="622"/>
      <c r="AD17" s="572"/>
      <c r="AE17" s="6"/>
      <c r="AF17" s="6"/>
      <c r="AG17" s="597"/>
      <c r="AH17" s="572"/>
      <c r="AI17" s="6"/>
      <c r="AJ17" s="605"/>
      <c r="AK17" s="635"/>
      <c r="AM17" s="572"/>
      <c r="AN17" s="6"/>
      <c r="AO17" s="6"/>
      <c r="AP17" s="597"/>
      <c r="AQ17" s="572"/>
      <c r="AR17" s="6"/>
      <c r="AS17" s="605"/>
      <c r="AT17" s="635"/>
    </row>
    <row r="18" spans="1:46" ht="63.6" customHeight="1" x14ac:dyDescent="0.25">
      <c r="A18" s="2205"/>
      <c r="B18" s="574">
        <v>2</v>
      </c>
      <c r="C18" s="595"/>
      <c r="D18" s="596"/>
      <c r="E18" s="596"/>
      <c r="F18" s="597"/>
      <c r="G18" s="684"/>
      <c r="H18" s="620"/>
      <c r="I18" s="619"/>
      <c r="J18" s="635"/>
      <c r="K18" s="622"/>
      <c r="L18" s="572"/>
      <c r="M18" s="6"/>
      <c r="N18" s="6"/>
      <c r="O18" s="597"/>
      <c r="P18" s="572"/>
      <c r="Q18" s="6"/>
      <c r="R18" s="6"/>
      <c r="S18" s="635"/>
      <c r="T18" s="622"/>
      <c r="U18" s="572"/>
      <c r="V18" s="6"/>
      <c r="W18" s="6"/>
      <c r="X18" s="597"/>
      <c r="Y18" s="567"/>
      <c r="Z18" s="6"/>
      <c r="AA18" s="605"/>
      <c r="AB18" s="635"/>
      <c r="AC18" s="622"/>
      <c r="AD18" s="572"/>
      <c r="AE18" s="6"/>
      <c r="AF18" s="6">
        <v>251</v>
      </c>
      <c r="AG18" s="597"/>
      <c r="AH18" s="572"/>
      <c r="AI18" s="6"/>
      <c r="AJ18" s="605" t="s">
        <v>487</v>
      </c>
      <c r="AK18" s="635"/>
      <c r="AM18" s="572"/>
      <c r="AN18" s="6"/>
      <c r="AO18" s="6"/>
      <c r="AP18" s="597"/>
      <c r="AQ18" s="572"/>
      <c r="AR18" s="6"/>
      <c r="AS18" s="605"/>
      <c r="AT18" s="635"/>
    </row>
    <row r="19" spans="1:46" ht="33.6" customHeight="1" x14ac:dyDescent="0.25">
      <c r="A19" s="2206">
        <v>44843</v>
      </c>
      <c r="B19" s="574">
        <v>1</v>
      </c>
      <c r="C19" s="622"/>
      <c r="D19" s="596"/>
      <c r="E19" s="596"/>
      <c r="F19" s="597"/>
      <c r="G19" s="685"/>
      <c r="H19" s="619"/>
      <c r="I19" s="620"/>
      <c r="J19" s="635"/>
      <c r="K19" s="622"/>
      <c r="L19" s="572"/>
      <c r="M19" s="6"/>
      <c r="N19" s="6"/>
      <c r="O19" s="597"/>
      <c r="P19" s="572"/>
      <c r="Q19" s="6"/>
      <c r="R19" s="6"/>
      <c r="S19" s="635"/>
      <c r="T19" s="622"/>
      <c r="U19" s="572"/>
      <c r="V19" s="6"/>
      <c r="W19" s="6"/>
      <c r="X19" s="597"/>
      <c r="Y19" s="572"/>
      <c r="Z19" s="605"/>
      <c r="AA19" s="605"/>
      <c r="AB19" s="635"/>
      <c r="AC19" s="622"/>
      <c r="AD19" s="572"/>
      <c r="AE19" s="6"/>
      <c r="AF19" s="6"/>
      <c r="AG19" s="597"/>
      <c r="AH19" s="572"/>
      <c r="AI19" s="6"/>
      <c r="AJ19" s="605"/>
      <c r="AK19" s="635"/>
      <c r="AM19" s="572"/>
      <c r="AN19" s="6"/>
      <c r="AO19" s="6"/>
      <c r="AP19" s="597"/>
      <c r="AQ19" s="572"/>
      <c r="AR19" s="6"/>
      <c r="AS19" s="605"/>
      <c r="AT19" s="635"/>
    </row>
    <row r="20" spans="1:46" ht="56.45" customHeight="1" x14ac:dyDescent="0.25">
      <c r="A20" s="2205"/>
      <c r="B20" s="574">
        <v>2</v>
      </c>
      <c r="C20" s="595"/>
      <c r="D20" s="596"/>
      <c r="E20" s="596">
        <v>40</v>
      </c>
      <c r="F20" s="597"/>
      <c r="G20" s="685"/>
      <c r="H20" s="620"/>
      <c r="I20" s="620" t="s">
        <v>152</v>
      </c>
      <c r="J20" s="635"/>
      <c r="K20" s="622"/>
      <c r="L20" s="572"/>
      <c r="M20" s="6"/>
      <c r="N20" s="6"/>
      <c r="O20" s="597"/>
      <c r="P20" s="572"/>
      <c r="Q20" s="6"/>
      <c r="R20" s="6"/>
      <c r="S20" s="635"/>
      <c r="T20" s="622"/>
      <c r="U20" s="572"/>
      <c r="V20" s="250"/>
      <c r="W20" s="6">
        <v>56</v>
      </c>
      <c r="X20" s="597"/>
      <c r="Y20" s="572"/>
      <c r="Z20" s="605"/>
      <c r="AA20" s="724" t="s">
        <v>152</v>
      </c>
      <c r="AB20" s="635"/>
      <c r="AC20" s="622"/>
      <c r="AD20" s="572"/>
      <c r="AE20" s="6"/>
      <c r="AF20" s="6"/>
      <c r="AG20" s="597"/>
      <c r="AH20" s="567"/>
      <c r="AI20" s="6"/>
      <c r="AJ20" s="6"/>
      <c r="AK20" s="726"/>
      <c r="AM20" s="572"/>
      <c r="AN20" s="6"/>
      <c r="AO20" s="6"/>
      <c r="AP20" s="597"/>
      <c r="AQ20" s="567"/>
      <c r="AR20" s="6"/>
      <c r="AS20" s="6"/>
      <c r="AT20" s="726"/>
    </row>
    <row r="21" spans="1:46" ht="97.15" customHeight="1" x14ac:dyDescent="0.25">
      <c r="A21" s="2206">
        <v>44844</v>
      </c>
      <c r="B21" s="574">
        <v>1</v>
      </c>
      <c r="C21" s="595"/>
      <c r="D21" s="596"/>
      <c r="E21" s="596">
        <v>10</v>
      </c>
      <c r="F21" s="597"/>
      <c r="G21" s="688"/>
      <c r="H21" s="619"/>
      <c r="I21" s="620" t="s">
        <v>152</v>
      </c>
      <c r="J21" s="635"/>
      <c r="K21" s="622"/>
      <c r="L21" s="572"/>
      <c r="M21" s="6"/>
      <c r="N21" s="6"/>
      <c r="O21" s="597"/>
      <c r="P21" s="572"/>
      <c r="Q21" s="6"/>
      <c r="R21" s="6"/>
      <c r="S21" s="635"/>
      <c r="T21" s="622"/>
      <c r="U21" s="572"/>
      <c r="V21" s="6"/>
      <c r="W21" s="6">
        <v>20</v>
      </c>
      <c r="X21" s="597"/>
      <c r="Y21" s="572"/>
      <c r="Z21" s="6"/>
      <c r="AA21" s="605" t="s">
        <v>152</v>
      </c>
      <c r="AB21" s="635"/>
      <c r="AC21" s="622"/>
      <c r="AD21" s="572"/>
      <c r="AE21" s="6"/>
      <c r="AF21" s="6"/>
      <c r="AG21" s="597"/>
      <c r="AH21" s="572"/>
      <c r="AI21" s="6"/>
      <c r="AJ21" s="6"/>
      <c r="AK21" s="726"/>
      <c r="AM21" s="572"/>
      <c r="AN21" s="6"/>
      <c r="AO21" s="6"/>
      <c r="AP21" s="597"/>
      <c r="AQ21" s="572"/>
      <c r="AR21" s="6"/>
      <c r="AS21" s="50"/>
      <c r="AT21" s="635"/>
    </row>
    <row r="22" spans="1:46" ht="55.9" customHeight="1" x14ac:dyDescent="0.25">
      <c r="A22" s="2205"/>
      <c r="B22" s="574">
        <v>2</v>
      </c>
      <c r="C22" s="595"/>
      <c r="D22" s="596"/>
      <c r="E22" s="596"/>
      <c r="F22" s="597"/>
      <c r="G22" s="816"/>
      <c r="H22" s="620"/>
      <c r="I22" s="620"/>
      <c r="J22" s="635"/>
      <c r="K22" s="622"/>
      <c r="L22" s="572"/>
      <c r="M22" s="6"/>
      <c r="N22" s="6"/>
      <c r="O22" s="597"/>
      <c r="P22" s="818"/>
      <c r="Q22" s="6"/>
      <c r="R22" s="6"/>
      <c r="S22" s="635"/>
      <c r="T22" s="622"/>
      <c r="U22" s="572"/>
      <c r="V22" s="6"/>
      <c r="W22" s="6"/>
      <c r="X22" s="597"/>
      <c r="Y22" s="572"/>
      <c r="Z22" s="6"/>
      <c r="AA22" s="605"/>
      <c r="AB22" s="635"/>
      <c r="AC22" s="622"/>
      <c r="AD22" s="572">
        <v>177</v>
      </c>
      <c r="AE22" s="6"/>
      <c r="AF22" s="6">
        <v>60</v>
      </c>
      <c r="AG22" s="597"/>
      <c r="AH22" s="567" t="s">
        <v>489</v>
      </c>
      <c r="AI22" s="6"/>
      <c r="AJ22" s="6" t="s">
        <v>45</v>
      </c>
      <c r="AK22" s="726"/>
      <c r="AM22" s="572"/>
      <c r="AN22" s="6"/>
      <c r="AO22" s="6"/>
      <c r="AP22" s="597"/>
      <c r="AQ22" s="572"/>
      <c r="AR22" s="6"/>
      <c r="AS22" s="50"/>
      <c r="AT22" s="635"/>
    </row>
    <row r="23" spans="1:46" ht="37.9" customHeight="1" x14ac:dyDescent="0.25">
      <c r="A23" s="2206">
        <v>44845</v>
      </c>
      <c r="B23" s="644">
        <v>1</v>
      </c>
      <c r="C23" s="595"/>
      <c r="D23" s="596"/>
      <c r="E23" s="596"/>
      <c r="F23" s="597"/>
      <c r="G23" s="685"/>
      <c r="H23" s="619"/>
      <c r="I23" s="620"/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>
        <v>20</v>
      </c>
      <c r="V23" s="6"/>
      <c r="W23" s="6"/>
      <c r="X23" s="597"/>
      <c r="Y23" s="684" t="s">
        <v>490</v>
      </c>
      <c r="Z23" s="619"/>
      <c r="AA23" s="620"/>
      <c r="AB23" s="635"/>
      <c r="AC23" s="622"/>
      <c r="AD23" s="572"/>
      <c r="AE23" s="6"/>
      <c r="AF23" s="6"/>
      <c r="AG23" s="597"/>
      <c r="AH23" s="6"/>
      <c r="AI23" s="619"/>
      <c r="AJ23" s="620"/>
      <c r="AK23" s="726"/>
      <c r="AM23" s="572"/>
      <c r="AN23" s="6"/>
      <c r="AO23" s="6"/>
      <c r="AP23" s="597"/>
      <c r="AQ23" s="6"/>
      <c r="AR23" s="619"/>
      <c r="AS23" s="692"/>
      <c r="AT23" s="635"/>
    </row>
    <row r="24" spans="1:46" ht="49.9" customHeight="1" x14ac:dyDescent="0.25">
      <c r="A24" s="2205"/>
      <c r="B24" s="574">
        <v>2</v>
      </c>
      <c r="C24" s="595"/>
      <c r="D24" s="596"/>
      <c r="E24" s="596"/>
      <c r="F24" s="597"/>
      <c r="G24" s="685"/>
      <c r="H24" s="619"/>
      <c r="I24" s="620"/>
      <c r="J24" s="635"/>
      <c r="K24" s="622"/>
      <c r="L24" s="572"/>
      <c r="M24" s="6"/>
      <c r="N24" s="6">
        <v>16</v>
      </c>
      <c r="O24" s="597"/>
      <c r="P24" s="685"/>
      <c r="Q24" s="619"/>
      <c r="R24" s="620" t="s">
        <v>152</v>
      </c>
      <c r="S24" s="635"/>
      <c r="T24" s="622"/>
      <c r="U24" s="572"/>
      <c r="V24" s="6"/>
      <c r="W24" s="6"/>
      <c r="X24" s="597"/>
      <c r="Y24" s="685"/>
      <c r="Z24" s="619"/>
      <c r="AA24" s="620"/>
      <c r="AB24" s="635"/>
      <c r="AC24" s="622"/>
      <c r="AD24" s="572"/>
      <c r="AE24" s="6"/>
      <c r="AF24" s="6"/>
      <c r="AG24" s="597"/>
      <c r="AH24" s="6"/>
      <c r="AI24" s="619"/>
      <c r="AJ24" s="6"/>
      <c r="AK24" s="726"/>
      <c r="AM24" s="572"/>
      <c r="AN24" s="6"/>
      <c r="AO24" s="6"/>
      <c r="AP24" s="597"/>
      <c r="AQ24" s="6"/>
      <c r="AR24" s="619"/>
      <c r="AS24" s="50"/>
      <c r="AT24" s="635"/>
    </row>
    <row r="25" spans="1:46" ht="46.15" customHeight="1" x14ac:dyDescent="0.25">
      <c r="A25" s="2206">
        <v>44846</v>
      </c>
      <c r="B25" s="574">
        <v>1</v>
      </c>
      <c r="C25" s="595"/>
      <c r="D25" s="596"/>
      <c r="E25" s="596"/>
      <c r="F25" s="597"/>
      <c r="G25" s="685"/>
      <c r="H25" s="619"/>
      <c r="I25" s="620"/>
      <c r="J25" s="635"/>
      <c r="K25" s="622"/>
      <c r="L25" s="572"/>
      <c r="M25" s="6"/>
      <c r="N25" s="6"/>
      <c r="O25" s="597"/>
      <c r="P25" s="572"/>
      <c r="Q25" s="619"/>
      <c r="R25" s="6"/>
      <c r="S25" s="635"/>
      <c r="T25" s="622"/>
      <c r="U25" s="572"/>
      <c r="V25" s="6"/>
      <c r="W25" s="6"/>
      <c r="X25" s="597"/>
      <c r="Y25" s="572"/>
      <c r="Z25" s="6"/>
      <c r="AA25" s="605"/>
      <c r="AB25" s="635"/>
      <c r="AC25" s="622"/>
      <c r="AD25" s="572"/>
      <c r="AE25" s="6"/>
      <c r="AF25" s="6"/>
      <c r="AG25" s="597"/>
      <c r="AH25" s="6"/>
      <c r="AI25" s="6"/>
      <c r="AJ25" s="6"/>
      <c r="AK25" s="726"/>
      <c r="AM25" s="572"/>
      <c r="AN25" s="6"/>
      <c r="AO25" s="6"/>
      <c r="AP25" s="597"/>
      <c r="AQ25" s="6"/>
      <c r="AR25" s="6"/>
      <c r="AS25" s="50"/>
      <c r="AT25" s="635"/>
    </row>
    <row r="26" spans="1:46" ht="42" customHeight="1" x14ac:dyDescent="0.25">
      <c r="A26" s="2205"/>
      <c r="B26" s="574">
        <v>2</v>
      </c>
      <c r="C26" s="595"/>
      <c r="D26" s="596"/>
      <c r="E26" s="596"/>
      <c r="F26" s="597"/>
      <c r="G26" s="685"/>
      <c r="H26" s="620"/>
      <c r="I26" s="692"/>
      <c r="J26" s="635"/>
      <c r="K26" s="622"/>
      <c r="L26" s="572"/>
      <c r="M26" s="6"/>
      <c r="N26" s="6"/>
      <c r="O26" s="597"/>
      <c r="P26" s="685"/>
      <c r="Q26" s="620"/>
      <c r="R26" s="620"/>
      <c r="S26" s="635"/>
      <c r="T26" s="622"/>
      <c r="U26" s="572">
        <v>540</v>
      </c>
      <c r="V26" s="596"/>
      <c r="W26" s="6">
        <v>60</v>
      </c>
      <c r="X26" s="597"/>
      <c r="Y26" s="685" t="s">
        <v>491</v>
      </c>
      <c r="Z26" s="620"/>
      <c r="AA26" s="620" t="s">
        <v>331</v>
      </c>
      <c r="AB26" s="635"/>
      <c r="AC26" s="622"/>
      <c r="AD26" s="572"/>
      <c r="AE26" s="596"/>
      <c r="AF26" s="6"/>
      <c r="AG26" s="597"/>
      <c r="AH26" s="6"/>
      <c r="AI26" s="6"/>
      <c r="AJ26" s="6"/>
      <c r="AK26" s="726"/>
      <c r="AM26" s="572"/>
      <c r="AN26" s="596"/>
      <c r="AO26" s="6"/>
      <c r="AP26" s="597"/>
      <c r="AQ26" s="6"/>
      <c r="AR26" s="6"/>
      <c r="AS26" s="50"/>
      <c r="AT26" s="635"/>
    </row>
    <row r="27" spans="1:46" ht="49.9" customHeight="1" x14ac:dyDescent="0.25">
      <c r="A27" s="2206">
        <v>44847</v>
      </c>
      <c r="B27" s="644">
        <v>1</v>
      </c>
      <c r="C27" s="595"/>
      <c r="D27" s="596"/>
      <c r="E27" s="596"/>
      <c r="F27" s="597"/>
      <c r="G27" s="685"/>
      <c r="H27" s="619"/>
      <c r="I27" s="692"/>
      <c r="J27" s="635"/>
      <c r="K27" s="622"/>
      <c r="L27" s="572"/>
      <c r="M27" s="6"/>
      <c r="N27" s="6"/>
      <c r="O27" s="597"/>
      <c r="P27" s="685"/>
      <c r="Q27" s="619"/>
      <c r="R27" s="620"/>
      <c r="S27" s="635"/>
      <c r="T27" s="622"/>
      <c r="U27" s="572"/>
      <c r="V27" s="6"/>
      <c r="W27" s="6"/>
      <c r="X27" s="613"/>
      <c r="Y27" s="685"/>
      <c r="Z27" s="619"/>
      <c r="AA27" s="620"/>
      <c r="AB27" s="635"/>
      <c r="AC27" s="622"/>
      <c r="AD27" s="572"/>
      <c r="AE27" s="6">
        <v>10</v>
      </c>
      <c r="AF27" s="6"/>
      <c r="AG27" s="613"/>
      <c r="AH27" s="6"/>
      <c r="AI27" s="6" t="s">
        <v>492</v>
      </c>
      <c r="AJ27" s="620"/>
      <c r="AK27" s="726"/>
      <c r="AM27" s="572"/>
      <c r="AN27" s="6">
        <v>140</v>
      </c>
      <c r="AO27" s="6"/>
      <c r="AP27" s="613"/>
      <c r="AQ27" s="6"/>
      <c r="AR27" s="6" t="s">
        <v>493</v>
      </c>
      <c r="AS27" s="692"/>
      <c r="AT27" s="635"/>
    </row>
    <row r="28" spans="1:46" ht="49.15" customHeight="1" x14ac:dyDescent="0.25">
      <c r="A28" s="2205"/>
      <c r="B28" s="574">
        <v>2</v>
      </c>
      <c r="C28" s="595"/>
      <c r="D28" s="596"/>
      <c r="E28" s="596"/>
      <c r="F28" s="597"/>
      <c r="G28" s="620"/>
      <c r="H28" s="620"/>
      <c r="I28" s="692"/>
      <c r="J28" s="635"/>
      <c r="K28" s="622"/>
      <c r="L28" s="572"/>
      <c r="M28" s="6"/>
      <c r="N28" s="6"/>
      <c r="O28" s="597"/>
      <c r="P28" s="620"/>
      <c r="Q28" s="620"/>
      <c r="R28" s="620"/>
      <c r="S28" s="634"/>
      <c r="T28" s="622"/>
      <c r="U28" s="572">
        <v>24</v>
      </c>
      <c r="V28" s="6"/>
      <c r="X28" s="597"/>
      <c r="Y28" s="620" t="s">
        <v>494</v>
      </c>
      <c r="Z28" s="6"/>
      <c r="AA28" s="692"/>
      <c r="AB28" s="635"/>
      <c r="AC28" s="622"/>
      <c r="AD28" s="572"/>
      <c r="AE28" s="6"/>
      <c r="AF28" s="6"/>
      <c r="AG28" s="597"/>
      <c r="AH28" s="605"/>
      <c r="AI28" s="6"/>
      <c r="AJ28" s="692"/>
      <c r="AK28" s="634"/>
      <c r="AM28" s="572"/>
      <c r="AN28" s="6"/>
      <c r="AO28" s="6"/>
      <c r="AP28" s="597"/>
      <c r="AQ28" s="605"/>
      <c r="AR28" s="6"/>
      <c r="AS28" s="692"/>
      <c r="AT28" s="634"/>
    </row>
    <row r="29" spans="1:46" ht="57" customHeight="1" x14ac:dyDescent="0.25">
      <c r="A29" s="2206">
        <v>44848</v>
      </c>
      <c r="B29" s="574">
        <v>1</v>
      </c>
      <c r="C29" s="595">
        <v>185</v>
      </c>
      <c r="D29" s="596"/>
      <c r="E29" s="596"/>
      <c r="F29" s="597"/>
      <c r="G29" s="684" t="s">
        <v>495</v>
      </c>
      <c r="H29" s="619"/>
      <c r="I29" s="692"/>
      <c r="J29" s="635"/>
      <c r="K29" s="622"/>
      <c r="L29" s="572"/>
      <c r="M29" s="6"/>
      <c r="N29" s="6"/>
      <c r="O29" s="597"/>
      <c r="P29" s="685"/>
      <c r="Q29" s="619"/>
      <c r="R29" s="620"/>
      <c r="S29" s="635"/>
      <c r="T29" s="622"/>
      <c r="U29" s="572"/>
      <c r="V29" s="6"/>
      <c r="W29" s="6"/>
      <c r="X29" s="597"/>
      <c r="Y29" s="685"/>
      <c r="Z29" s="619"/>
      <c r="AA29" s="692"/>
      <c r="AB29" s="635"/>
      <c r="AC29" s="622"/>
      <c r="AD29" s="572"/>
      <c r="AE29" s="6">
        <v>102</v>
      </c>
      <c r="AF29" s="6"/>
      <c r="AG29" s="597"/>
      <c r="AH29" s="685"/>
      <c r="AI29" s="620" t="s">
        <v>496</v>
      </c>
      <c r="AJ29" s="620"/>
      <c r="AK29" s="613"/>
      <c r="AM29" s="572"/>
      <c r="AN29" s="6"/>
      <c r="AO29" s="6"/>
      <c r="AP29" s="597"/>
      <c r="AQ29" s="685"/>
      <c r="AR29" s="619"/>
      <c r="AS29" s="620"/>
      <c r="AT29" s="613"/>
    </row>
    <row r="30" spans="1:46" ht="39.75" customHeight="1" x14ac:dyDescent="0.25">
      <c r="A30" s="2205"/>
      <c r="B30" s="644">
        <v>2</v>
      </c>
      <c r="C30" s="595"/>
      <c r="D30" s="596"/>
      <c r="E30" s="596"/>
      <c r="F30" s="597"/>
      <c r="G30" s="685"/>
      <c r="H30" s="619"/>
      <c r="I30" s="620"/>
      <c r="J30" s="635"/>
      <c r="K30" s="622"/>
      <c r="L30" s="572"/>
      <c r="M30" s="6"/>
      <c r="N30" s="6"/>
      <c r="O30" s="597"/>
      <c r="P30" s="685"/>
      <c r="Q30" s="620"/>
      <c r="R30" s="620"/>
      <c r="S30" s="635"/>
      <c r="T30" s="622"/>
      <c r="U30" s="572"/>
      <c r="V30" s="6"/>
      <c r="W30" s="6"/>
      <c r="X30" s="597"/>
      <c r="Y30" s="685"/>
      <c r="Z30" s="619"/>
      <c r="AA30" s="620"/>
      <c r="AB30" s="613"/>
      <c r="AC30" s="622"/>
      <c r="AD30" s="572"/>
      <c r="AE30" s="6"/>
      <c r="AF30" s="6"/>
      <c r="AG30" s="597"/>
      <c r="AH30" s="685"/>
      <c r="AI30" s="619"/>
      <c r="AJ30" s="620"/>
      <c r="AK30" s="613"/>
      <c r="AM30" s="572"/>
      <c r="AN30" s="6"/>
      <c r="AO30" s="6"/>
      <c r="AP30" s="597"/>
      <c r="AQ30" s="685"/>
      <c r="AR30" s="619"/>
      <c r="AS30" s="620"/>
      <c r="AT30" s="613"/>
    </row>
    <row r="31" spans="1:46" ht="48.6" customHeight="1" x14ac:dyDescent="0.25">
      <c r="A31" s="2206">
        <v>44849</v>
      </c>
      <c r="B31" s="574">
        <v>1</v>
      </c>
      <c r="C31" s="595"/>
      <c r="D31" s="596"/>
      <c r="E31" s="596">
        <v>53</v>
      </c>
      <c r="F31" s="597"/>
      <c r="G31" s="685"/>
      <c r="H31" s="619"/>
      <c r="I31" s="620" t="s">
        <v>152</v>
      </c>
      <c r="J31" s="635"/>
      <c r="K31" s="622"/>
      <c r="L31" s="572"/>
      <c r="M31" s="6"/>
      <c r="N31" s="6"/>
      <c r="O31" s="597"/>
      <c r="P31" s="614"/>
      <c r="Q31" s="6"/>
      <c r="R31" s="6"/>
      <c r="S31" s="635"/>
      <c r="T31" s="622"/>
      <c r="U31" s="572"/>
      <c r="V31" s="6"/>
      <c r="W31" s="6"/>
      <c r="X31" s="597"/>
      <c r="Y31" s="614"/>
      <c r="Z31" s="6"/>
      <c r="AA31" s="6"/>
      <c r="AB31" s="635"/>
      <c r="AC31" s="622"/>
      <c r="AD31" s="572"/>
      <c r="AE31" s="6"/>
      <c r="AF31" s="6">
        <v>40</v>
      </c>
      <c r="AG31" s="597"/>
      <c r="AH31" s="614"/>
      <c r="AI31" s="6"/>
      <c r="AJ31" s="6" t="s">
        <v>152</v>
      </c>
      <c r="AK31" s="635"/>
      <c r="AM31" s="572"/>
      <c r="AN31" s="6"/>
      <c r="AO31" s="6"/>
      <c r="AP31" s="597"/>
      <c r="AQ31" s="614"/>
      <c r="AR31" s="6"/>
      <c r="AS31" s="6"/>
      <c r="AT31" s="635"/>
    </row>
    <row r="32" spans="1:46" ht="42.75" customHeight="1" x14ac:dyDescent="0.25">
      <c r="A32" s="2205"/>
      <c r="B32" s="574">
        <v>2</v>
      </c>
      <c r="C32" s="595"/>
      <c r="D32" s="596"/>
      <c r="E32" s="596"/>
      <c r="F32" s="597"/>
      <c r="G32" s="685"/>
      <c r="H32" s="619"/>
      <c r="I32" s="692"/>
      <c r="J32" s="687"/>
      <c r="K32" s="622"/>
      <c r="L32" s="572"/>
      <c r="M32" s="6"/>
      <c r="N32" s="6"/>
      <c r="O32" s="613"/>
      <c r="P32" s="614"/>
      <c r="Q32" s="6"/>
      <c r="R32" s="6"/>
      <c r="S32" s="764"/>
      <c r="T32" s="622"/>
      <c r="U32" s="572"/>
      <c r="V32" s="6"/>
      <c r="W32" s="6"/>
      <c r="X32" s="613"/>
      <c r="Y32" s="614"/>
      <c r="Z32" s="605"/>
      <c r="AA32" s="692"/>
      <c r="AB32" s="635"/>
      <c r="AC32" s="622"/>
      <c r="AD32" s="572"/>
      <c r="AE32" s="6"/>
      <c r="AF32" s="6"/>
      <c r="AG32" s="613"/>
      <c r="AH32" s="614"/>
      <c r="AI32" s="605"/>
      <c r="AJ32" s="6"/>
      <c r="AK32" s="613"/>
      <c r="AM32" s="572"/>
      <c r="AN32" s="6"/>
      <c r="AO32" s="6"/>
      <c r="AP32" s="613"/>
      <c r="AQ32" s="614"/>
      <c r="AR32" s="605"/>
      <c r="AS32" s="6"/>
      <c r="AT32" s="613"/>
    </row>
    <row r="33" spans="1:46" ht="43.15" customHeight="1" x14ac:dyDescent="0.25">
      <c r="A33" s="2206">
        <v>44850</v>
      </c>
      <c r="B33" s="574">
        <v>1</v>
      </c>
      <c r="C33" s="595"/>
      <c r="D33" s="596"/>
      <c r="E33" s="596"/>
      <c r="F33" s="597"/>
      <c r="G33" s="685"/>
      <c r="H33" s="619"/>
      <c r="I33" s="692"/>
      <c r="J33" s="687"/>
      <c r="K33" s="622"/>
      <c r="L33" s="572"/>
      <c r="M33" s="6"/>
      <c r="N33" s="6"/>
      <c r="O33" s="613"/>
      <c r="P33" s="614"/>
      <c r="Q33" s="6"/>
      <c r="R33" s="6"/>
      <c r="S33" s="613"/>
      <c r="T33" s="622"/>
      <c r="U33" s="572"/>
      <c r="V33" s="6"/>
      <c r="W33" s="6"/>
      <c r="X33" s="613"/>
      <c r="Y33" s="614"/>
      <c r="Z33" s="6"/>
      <c r="AA33" s="605"/>
      <c r="AB33" s="613"/>
      <c r="AC33" s="622"/>
      <c r="AD33" s="572"/>
      <c r="AE33" s="6"/>
      <c r="AF33" s="6"/>
      <c r="AG33" s="613"/>
      <c r="AH33" s="614"/>
      <c r="AI33" s="605"/>
      <c r="AJ33" s="6"/>
      <c r="AK33" s="613"/>
      <c r="AM33" s="572"/>
      <c r="AN33" s="6"/>
      <c r="AO33" s="6"/>
      <c r="AP33" s="613"/>
      <c r="AQ33" s="614"/>
      <c r="AR33" s="605"/>
      <c r="AS33" s="6"/>
      <c r="AT33" s="613"/>
    </row>
    <row r="34" spans="1:46" ht="37.15" customHeight="1" x14ac:dyDescent="0.25">
      <c r="A34" s="2205"/>
      <c r="B34" s="644">
        <v>2</v>
      </c>
      <c r="C34" s="596"/>
      <c r="D34" s="596"/>
      <c r="E34" s="596"/>
      <c r="F34" s="829"/>
      <c r="G34" s="685"/>
      <c r="H34" s="620"/>
      <c r="I34" s="620"/>
      <c r="J34" s="687"/>
      <c r="K34" s="622"/>
      <c r="L34" s="572"/>
      <c r="M34" s="6"/>
      <c r="N34" s="6"/>
      <c r="O34" s="613"/>
      <c r="P34" s="614"/>
      <c r="Q34" s="620"/>
      <c r="R34" s="6"/>
      <c r="S34" s="635"/>
      <c r="T34" s="622"/>
      <c r="U34" s="572"/>
      <c r="V34" s="6"/>
      <c r="W34" s="6"/>
      <c r="X34" s="613"/>
      <c r="Y34" s="6"/>
      <c r="Z34" s="605"/>
      <c r="AA34" s="620"/>
      <c r="AB34" s="635"/>
      <c r="AC34" s="622"/>
      <c r="AD34" s="572"/>
      <c r="AE34" s="6"/>
      <c r="AF34" s="6"/>
      <c r="AG34" s="613"/>
      <c r="AH34" s="614"/>
      <c r="AI34" s="6"/>
      <c r="AJ34" s="6"/>
      <c r="AK34" s="613"/>
      <c r="AM34" s="572"/>
      <c r="AN34" s="6"/>
      <c r="AO34" s="6"/>
      <c r="AP34" s="613"/>
      <c r="AQ34" s="614"/>
      <c r="AR34" s="6"/>
      <c r="AS34" s="6"/>
      <c r="AT34" s="613"/>
    </row>
    <row r="35" spans="1:46" ht="54" customHeight="1" x14ac:dyDescent="0.25">
      <c r="A35" s="2206">
        <v>44851</v>
      </c>
      <c r="B35" s="574">
        <v>1</v>
      </c>
      <c r="C35" s="596"/>
      <c r="D35" s="596"/>
      <c r="E35" s="50"/>
      <c r="F35" s="828"/>
      <c r="G35" s="567"/>
      <c r="H35" s="614"/>
      <c r="I35" s="605"/>
      <c r="J35" s="687"/>
      <c r="K35" s="622"/>
      <c r="L35" s="572"/>
      <c r="M35" s="6"/>
      <c r="N35" s="6"/>
      <c r="O35" s="613"/>
      <c r="P35" s="567"/>
      <c r="Q35" s="822"/>
      <c r="R35" s="620"/>
      <c r="S35" s="635"/>
      <c r="T35" s="622"/>
      <c r="U35" s="572"/>
      <c r="V35" s="6"/>
      <c r="W35" s="50"/>
      <c r="X35" s="634"/>
      <c r="Y35" s="567"/>
      <c r="Z35" s="6"/>
      <c r="AA35" s="605"/>
      <c r="AB35" s="613"/>
      <c r="AC35" s="622"/>
      <c r="AD35" s="572"/>
      <c r="AE35" s="6"/>
      <c r="AF35" s="6"/>
      <c r="AG35" s="826"/>
      <c r="AH35" s="567"/>
      <c r="AI35" s="6"/>
      <c r="AJ35" s="605"/>
      <c r="AK35" s="613"/>
      <c r="AM35" s="572"/>
      <c r="AN35" s="6"/>
      <c r="AO35" s="50"/>
      <c r="AP35" s="634"/>
      <c r="AQ35" s="567"/>
      <c r="AR35" s="6"/>
      <c r="AS35" s="605"/>
      <c r="AT35" s="613"/>
    </row>
    <row r="36" spans="1:46" ht="75" customHeight="1" x14ac:dyDescent="0.25">
      <c r="A36" s="2205"/>
      <c r="B36" s="574">
        <v>2</v>
      </c>
      <c r="C36" s="6"/>
      <c r="D36" s="6"/>
      <c r="E36" s="50"/>
      <c r="F36" s="828"/>
      <c r="G36" s="567"/>
      <c r="H36" s="826"/>
      <c r="I36" s="605"/>
      <c r="J36" s="635"/>
      <c r="K36" s="622"/>
      <c r="L36" s="567"/>
      <c r="M36" s="6"/>
      <c r="N36" s="6"/>
      <c r="O36" s="826"/>
      <c r="P36" s="567"/>
      <c r="Q36" s="605"/>
      <c r="R36" s="605"/>
      <c r="S36" s="635"/>
      <c r="T36" s="622"/>
      <c r="U36" s="572"/>
      <c r="V36" s="6"/>
      <c r="W36" s="6"/>
      <c r="X36" s="826"/>
      <c r="Y36" s="567"/>
      <c r="Z36" s="605"/>
      <c r="AA36" s="605"/>
      <c r="AB36" s="613"/>
      <c r="AC36" s="622"/>
      <c r="AD36" s="572"/>
      <c r="AE36" s="6">
        <v>70</v>
      </c>
      <c r="AF36" s="50"/>
      <c r="AG36" s="634"/>
      <c r="AH36" s="567"/>
      <c r="AI36" s="605" t="s">
        <v>497</v>
      </c>
      <c r="AJ36" s="605"/>
      <c r="AK36" s="613"/>
      <c r="AM36" s="572"/>
      <c r="AN36" s="6"/>
      <c r="AO36" s="6"/>
      <c r="AP36" s="826"/>
      <c r="AQ36" s="567"/>
      <c r="AR36" s="605"/>
      <c r="AS36" s="605"/>
      <c r="AT36" s="613"/>
    </row>
    <row r="37" spans="1:46" ht="89.45" customHeight="1" x14ac:dyDescent="0.25">
      <c r="A37" s="2206">
        <v>44852</v>
      </c>
      <c r="B37" s="644">
        <v>1</v>
      </c>
      <c r="C37" s="596"/>
      <c r="D37" s="596"/>
      <c r="E37" s="6"/>
      <c r="F37" s="50"/>
      <c r="G37" s="825"/>
      <c r="H37" s="826"/>
      <c r="I37" s="605"/>
      <c r="J37" s="635"/>
      <c r="K37" s="622"/>
      <c r="L37" s="572"/>
      <c r="M37" s="6"/>
      <c r="N37" s="6"/>
      <c r="O37" s="727"/>
      <c r="P37" s="614"/>
      <c r="Q37" s="6"/>
      <c r="R37" s="6"/>
      <c r="S37" s="613"/>
      <c r="T37" s="622"/>
      <c r="U37" s="572"/>
      <c r="V37" s="6"/>
      <c r="W37" s="6"/>
      <c r="X37" s="613"/>
      <c r="Y37" s="614"/>
      <c r="Z37" s="605"/>
      <c r="AA37" s="605"/>
      <c r="AB37" s="635"/>
      <c r="AC37" s="622"/>
      <c r="AD37" s="572"/>
      <c r="AE37" s="6"/>
      <c r="AF37" s="6"/>
      <c r="AG37" s="613"/>
      <c r="AH37" s="614"/>
      <c r="AI37" s="6"/>
      <c r="AJ37" s="6"/>
      <c r="AK37" s="613"/>
      <c r="AM37" s="572"/>
      <c r="AN37" s="6"/>
      <c r="AO37" s="6"/>
      <c r="AP37" s="613"/>
      <c r="AQ37" s="614"/>
      <c r="AR37" s="6"/>
      <c r="AS37" s="6"/>
      <c r="AT37" s="613"/>
    </row>
    <row r="38" spans="1:46" ht="63" customHeight="1" x14ac:dyDescent="0.25">
      <c r="A38" s="2205"/>
      <c r="B38" s="574">
        <v>2</v>
      </c>
      <c r="C38" s="595"/>
      <c r="D38" s="596"/>
      <c r="E38" s="596"/>
      <c r="F38" s="829"/>
      <c r="G38" s="685"/>
      <c r="H38" s="619"/>
      <c r="I38" s="6"/>
      <c r="J38" s="635"/>
      <c r="K38" s="622"/>
      <c r="L38" s="572"/>
      <c r="M38" s="6"/>
      <c r="N38" s="6"/>
      <c r="O38" s="613"/>
      <c r="P38" s="818"/>
      <c r="Q38" s="6"/>
      <c r="R38" s="6"/>
      <c r="S38" s="635"/>
      <c r="T38" s="622"/>
      <c r="U38" s="572"/>
      <c r="V38" s="6"/>
      <c r="W38" s="6"/>
      <c r="X38" s="613"/>
      <c r="Y38" s="614"/>
      <c r="Z38" s="605"/>
      <c r="AA38" s="6"/>
      <c r="AB38" s="635"/>
      <c r="AC38" s="622"/>
      <c r="AD38" s="572">
        <v>500</v>
      </c>
      <c r="AE38" s="6"/>
      <c r="AF38" s="6"/>
      <c r="AG38" s="613"/>
      <c r="AH38" s="827" t="s">
        <v>498</v>
      </c>
      <c r="AI38" s="6"/>
      <c r="AJ38" s="605"/>
      <c r="AK38" s="635"/>
      <c r="AM38" s="572"/>
      <c r="AN38" s="6"/>
      <c r="AO38" s="6"/>
      <c r="AP38" s="613"/>
      <c r="AQ38" s="614"/>
      <c r="AR38" s="6"/>
      <c r="AS38" s="605"/>
      <c r="AT38" s="635"/>
    </row>
    <row r="39" spans="1:46" ht="39" customHeight="1" x14ac:dyDescent="0.25">
      <c r="A39" s="2206">
        <v>44853</v>
      </c>
      <c r="B39" s="574">
        <v>1</v>
      </c>
      <c r="C39" s="595"/>
      <c r="D39" s="596"/>
      <c r="E39" s="596">
        <v>12</v>
      </c>
      <c r="F39" s="597"/>
      <c r="G39" s="685"/>
      <c r="H39" s="619"/>
      <c r="I39" s="692" t="s">
        <v>152</v>
      </c>
      <c r="J39" s="687"/>
      <c r="K39" s="622"/>
      <c r="L39" s="572"/>
      <c r="M39" s="6"/>
      <c r="N39" s="6"/>
      <c r="O39" s="613"/>
      <c r="P39" s="614"/>
      <c r="Q39" s="6"/>
      <c r="R39" s="6"/>
      <c r="S39" s="613"/>
      <c r="T39" s="622"/>
      <c r="U39" s="572"/>
      <c r="V39" s="6"/>
      <c r="W39" s="6">
        <v>10</v>
      </c>
      <c r="X39" s="613"/>
      <c r="Y39" s="614"/>
      <c r="Z39" s="605"/>
      <c r="AA39" s="605" t="s">
        <v>152</v>
      </c>
      <c r="AB39" s="635"/>
      <c r="AC39" s="622"/>
      <c r="AD39" s="572"/>
      <c r="AE39" s="6"/>
      <c r="AF39" s="6"/>
      <c r="AG39" s="613"/>
      <c r="AH39" s="614"/>
      <c r="AI39" s="6"/>
      <c r="AJ39" s="6"/>
      <c r="AK39" s="613"/>
      <c r="AM39" s="572"/>
      <c r="AN39" s="6"/>
      <c r="AO39" s="6"/>
      <c r="AP39" s="613"/>
      <c r="AQ39" s="614"/>
      <c r="AR39" s="6"/>
      <c r="AS39" s="6"/>
      <c r="AT39" s="613"/>
    </row>
    <row r="40" spans="1:46" ht="59.45" customHeight="1" x14ac:dyDescent="0.25">
      <c r="A40" s="2205"/>
      <c r="B40" s="574">
        <v>2</v>
      </c>
      <c r="C40" s="595"/>
      <c r="D40" s="596"/>
      <c r="E40" s="596">
        <v>20</v>
      </c>
      <c r="F40" s="613"/>
      <c r="G40" s="685"/>
      <c r="H40" s="619"/>
      <c r="I40" s="692" t="s">
        <v>152</v>
      </c>
      <c r="J40" s="635"/>
      <c r="K40" s="622"/>
      <c r="L40" s="572"/>
      <c r="M40" s="6"/>
      <c r="N40" s="6"/>
      <c r="O40" s="613"/>
      <c r="P40" s="614"/>
      <c r="Q40" s="6"/>
      <c r="R40" s="6"/>
      <c r="S40" s="635"/>
      <c r="T40" s="622"/>
      <c r="U40" s="572"/>
      <c r="V40" s="6"/>
      <c r="W40" s="6"/>
      <c r="X40" s="613"/>
      <c r="Y40" s="614"/>
      <c r="Z40" s="605"/>
      <c r="AA40" s="605"/>
      <c r="AB40" s="635"/>
      <c r="AC40" s="622"/>
      <c r="AD40" s="572"/>
      <c r="AE40" s="6"/>
      <c r="AF40" s="6"/>
      <c r="AG40" s="613"/>
      <c r="AH40" s="614"/>
      <c r="AI40" s="6"/>
      <c r="AJ40" s="6"/>
      <c r="AK40" s="635"/>
      <c r="AM40" s="572"/>
      <c r="AN40" s="6"/>
      <c r="AO40" s="6"/>
      <c r="AP40" s="613"/>
      <c r="AQ40" s="614"/>
      <c r="AR40" s="6"/>
      <c r="AS40" s="6"/>
      <c r="AT40" s="635"/>
    </row>
    <row r="41" spans="1:46" ht="57" customHeight="1" x14ac:dyDescent="0.25">
      <c r="A41" s="2206">
        <v>44854</v>
      </c>
      <c r="B41" s="574">
        <v>1</v>
      </c>
      <c r="C41" s="595"/>
      <c r="D41" s="596"/>
      <c r="E41" s="596">
        <v>41</v>
      </c>
      <c r="F41" s="613"/>
      <c r="G41" s="685"/>
      <c r="H41" s="620"/>
      <c r="I41" s="692" t="s">
        <v>152</v>
      </c>
      <c r="J41" s="687"/>
      <c r="K41" s="622"/>
      <c r="L41" s="572"/>
      <c r="M41" s="6"/>
      <c r="N41" s="6"/>
      <c r="O41" s="613"/>
      <c r="P41" s="614"/>
      <c r="Q41" s="6"/>
      <c r="R41" s="6"/>
      <c r="S41" s="635"/>
      <c r="T41" s="622"/>
      <c r="U41" s="572"/>
      <c r="V41" s="6"/>
      <c r="W41" s="6">
        <v>32</v>
      </c>
      <c r="X41" s="613"/>
      <c r="Y41" s="614"/>
      <c r="Z41" s="605"/>
      <c r="AA41" s="605" t="s">
        <v>152</v>
      </c>
      <c r="AB41" s="613"/>
      <c r="AC41" s="622"/>
      <c r="AD41" s="572"/>
      <c r="AE41" s="6">
        <v>20</v>
      </c>
      <c r="AF41" s="6"/>
      <c r="AG41" s="613"/>
      <c r="AH41" s="614"/>
      <c r="AI41" s="605" t="s">
        <v>499</v>
      </c>
      <c r="AJ41" s="6"/>
      <c r="AK41" s="613"/>
      <c r="AM41" s="572"/>
      <c r="AN41" s="6"/>
      <c r="AO41" s="6"/>
      <c r="AP41" s="613"/>
      <c r="AQ41" s="614"/>
      <c r="AR41" s="605"/>
      <c r="AS41" s="6"/>
      <c r="AT41" s="613"/>
    </row>
    <row r="42" spans="1:46" ht="52.9" customHeight="1" x14ac:dyDescent="0.25">
      <c r="A42" s="2205"/>
      <c r="B42" s="574">
        <v>2</v>
      </c>
      <c r="C42" s="596"/>
      <c r="D42" s="596"/>
      <c r="E42" s="596">
        <v>28</v>
      </c>
      <c r="F42" s="613"/>
      <c r="G42" s="685"/>
      <c r="H42" s="619"/>
      <c r="I42" s="692" t="s">
        <v>152</v>
      </c>
      <c r="J42" s="687"/>
      <c r="K42" s="622"/>
      <c r="L42" s="572"/>
      <c r="M42" s="6"/>
      <c r="N42" s="6"/>
      <c r="O42" s="613"/>
      <c r="P42" s="614"/>
      <c r="Q42" s="6"/>
      <c r="R42" s="6"/>
      <c r="S42" s="635"/>
      <c r="T42" s="622"/>
      <c r="U42" s="572"/>
      <c r="V42" s="6"/>
      <c r="W42" s="6"/>
      <c r="X42" s="613"/>
      <c r="Y42" s="818"/>
      <c r="Z42" s="6"/>
      <c r="AA42" s="605"/>
      <c r="AB42" s="635"/>
      <c r="AC42" s="622"/>
      <c r="AD42" s="572">
        <v>13</v>
      </c>
      <c r="AE42" s="6"/>
      <c r="AF42" s="6"/>
      <c r="AG42" s="613"/>
      <c r="AH42" s="614" t="s">
        <v>500</v>
      </c>
      <c r="AI42" s="6"/>
      <c r="AJ42" s="6"/>
      <c r="AK42" s="613"/>
      <c r="AM42" s="572"/>
      <c r="AN42" s="6"/>
      <c r="AO42" s="6"/>
      <c r="AP42" s="613"/>
      <c r="AQ42" s="614"/>
      <c r="AR42" s="6"/>
      <c r="AS42" s="6"/>
      <c r="AT42" s="613"/>
    </row>
    <row r="43" spans="1:46" ht="19.899999999999999" customHeight="1" x14ac:dyDescent="0.25">
      <c r="A43" s="2206">
        <v>44855</v>
      </c>
      <c r="B43" s="574">
        <v>1</v>
      </c>
      <c r="C43" s="596"/>
      <c r="D43" s="596"/>
      <c r="E43" s="596"/>
      <c r="F43" s="597"/>
      <c r="G43" s="619"/>
      <c r="H43" s="619"/>
      <c r="I43" s="620"/>
      <c r="J43" s="635"/>
      <c r="K43" s="622"/>
      <c r="L43" s="572"/>
      <c r="M43" s="6"/>
      <c r="N43" s="6"/>
      <c r="O43" s="613"/>
      <c r="P43" s="614"/>
      <c r="Q43" s="6"/>
      <c r="R43" s="6"/>
      <c r="S43" s="613"/>
      <c r="T43" s="622"/>
      <c r="U43" s="572"/>
      <c r="V43" s="6"/>
      <c r="W43" s="6"/>
      <c r="X43" s="613"/>
      <c r="Y43" s="614"/>
      <c r="Z43" s="6"/>
      <c r="AA43" s="620"/>
      <c r="AB43" s="613"/>
      <c r="AC43" s="622"/>
      <c r="AD43" s="572"/>
      <c r="AE43" s="6"/>
      <c r="AF43" s="6"/>
      <c r="AG43" s="613"/>
      <c r="AH43" s="605"/>
      <c r="AI43" s="620"/>
      <c r="AJ43" s="6"/>
      <c r="AK43" s="613"/>
      <c r="AM43" s="572"/>
      <c r="AN43" s="6"/>
      <c r="AO43" s="6"/>
      <c r="AP43" s="613"/>
      <c r="AQ43" s="605"/>
      <c r="AR43" s="620"/>
      <c r="AS43" s="6"/>
      <c r="AT43" s="613"/>
    </row>
    <row r="44" spans="1:46" ht="36" customHeight="1" x14ac:dyDescent="0.25">
      <c r="A44" s="2205"/>
      <c r="B44" s="574">
        <v>2</v>
      </c>
      <c r="C44" s="596"/>
      <c r="D44" s="596">
        <v>10</v>
      </c>
      <c r="E44" s="596"/>
      <c r="F44" s="597"/>
      <c r="G44" s="619"/>
      <c r="H44" s="619" t="s">
        <v>501</v>
      </c>
      <c r="I44" s="692"/>
      <c r="J44" s="635"/>
      <c r="K44" s="622"/>
      <c r="L44" s="572"/>
      <c r="M44" s="6"/>
      <c r="N44" s="6"/>
      <c r="O44" s="613"/>
      <c r="P44" s="614"/>
      <c r="Q44" s="6"/>
      <c r="R44" s="605"/>
      <c r="S44" s="764"/>
      <c r="T44" s="622"/>
      <c r="U44" s="572"/>
      <c r="V44" s="6"/>
      <c r="W44" s="596">
        <v>25</v>
      </c>
      <c r="X44" s="597"/>
      <c r="Y44" s="619"/>
      <c r="Z44" s="619"/>
      <c r="AA44" s="605" t="s">
        <v>152</v>
      </c>
      <c r="AB44" s="635"/>
      <c r="AC44" s="622"/>
      <c r="AD44" s="572"/>
      <c r="AE44" s="6"/>
      <c r="AF44" s="6"/>
      <c r="AG44" s="613"/>
      <c r="AH44" s="614"/>
      <c r="AI44" s="605"/>
      <c r="AJ44" s="605"/>
      <c r="AK44" s="613"/>
      <c r="AM44" s="572"/>
      <c r="AN44" s="6"/>
      <c r="AO44" s="6"/>
      <c r="AP44" s="613"/>
      <c r="AQ44" s="614"/>
      <c r="AR44" s="605"/>
      <c r="AS44" s="605"/>
      <c r="AT44" s="613"/>
    </row>
    <row r="45" spans="1:46" ht="36" customHeight="1" x14ac:dyDescent="0.25">
      <c r="A45" s="2206">
        <v>44856</v>
      </c>
      <c r="B45" s="574">
        <v>1</v>
      </c>
      <c r="C45" s="596"/>
      <c r="D45" s="596">
        <v>11</v>
      </c>
      <c r="E45" s="596"/>
      <c r="F45" s="597"/>
      <c r="G45" s="619"/>
      <c r="H45" s="619" t="s">
        <v>501</v>
      </c>
      <c r="I45" s="620"/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"/>
      <c r="W45" s="6">
        <v>10</v>
      </c>
      <c r="X45" s="613"/>
      <c r="Y45" s="614"/>
      <c r="Z45" s="6"/>
      <c r="AA45" s="605" t="s">
        <v>152</v>
      </c>
      <c r="AB45" s="613"/>
      <c r="AC45" s="622"/>
      <c r="AD45" s="572"/>
      <c r="AE45" s="6"/>
      <c r="AF45" s="6"/>
      <c r="AG45" s="613"/>
      <c r="AH45" s="614"/>
      <c r="AI45" s="605"/>
      <c r="AJ45" s="6"/>
      <c r="AK45" s="613"/>
      <c r="AM45" s="572"/>
      <c r="AN45" s="6"/>
      <c r="AO45" s="6"/>
      <c r="AP45" s="613"/>
      <c r="AQ45" s="614"/>
      <c r="AR45" s="605"/>
      <c r="AS45" s="6"/>
      <c r="AT45" s="613"/>
    </row>
    <row r="46" spans="1:46" ht="46.15" customHeight="1" x14ac:dyDescent="0.25">
      <c r="A46" s="2205"/>
      <c r="B46" s="574">
        <v>2</v>
      </c>
      <c r="C46" s="596"/>
      <c r="D46" s="596">
        <v>9</v>
      </c>
      <c r="E46" s="596">
        <v>20</v>
      </c>
      <c r="F46" s="597"/>
      <c r="G46" s="619"/>
      <c r="H46" s="619" t="s">
        <v>501</v>
      </c>
      <c r="I46" s="692" t="s">
        <v>152</v>
      </c>
      <c r="J46" s="635"/>
      <c r="K46" s="622"/>
      <c r="L46" s="572"/>
      <c r="M46" s="6"/>
      <c r="N46" s="6"/>
      <c r="O46" s="785"/>
      <c r="P46" s="614"/>
      <c r="Q46" s="620"/>
      <c r="R46" s="6"/>
      <c r="S46" s="635"/>
      <c r="T46" s="622"/>
      <c r="U46" s="572"/>
      <c r="V46" s="6"/>
      <c r="W46" s="6">
        <v>28</v>
      </c>
      <c r="X46" s="613"/>
      <c r="Y46" s="614"/>
      <c r="Z46" s="6"/>
      <c r="AA46" s="605" t="s">
        <v>152</v>
      </c>
      <c r="AB46" s="635"/>
      <c r="AC46" s="622"/>
      <c r="AD46" s="572"/>
      <c r="AE46" s="6"/>
      <c r="AF46" s="6"/>
      <c r="AG46" s="613"/>
      <c r="AH46" s="818"/>
      <c r="AI46" s="6"/>
      <c r="AJ46" s="6"/>
      <c r="AK46" s="635"/>
      <c r="AM46" s="572"/>
      <c r="AN46" s="6"/>
      <c r="AO46" s="6"/>
      <c r="AP46" s="613"/>
      <c r="AQ46" s="818"/>
      <c r="AR46" s="6"/>
      <c r="AS46" s="6"/>
      <c r="AT46" s="635"/>
    </row>
    <row r="47" spans="1:46" ht="41.45" customHeight="1" x14ac:dyDescent="0.25">
      <c r="A47" s="2206">
        <v>44857</v>
      </c>
      <c r="B47" s="574">
        <v>1</v>
      </c>
      <c r="C47" s="596"/>
      <c r="D47" s="596"/>
      <c r="E47" s="596">
        <v>38</v>
      </c>
      <c r="F47" s="597"/>
      <c r="G47" s="620"/>
      <c r="H47" s="619"/>
      <c r="I47" s="692" t="s">
        <v>152</v>
      </c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>
        <v>18</v>
      </c>
      <c r="X47" s="613"/>
      <c r="Y47" s="614"/>
      <c r="Z47" s="605"/>
      <c r="AA47" s="605" t="s">
        <v>152</v>
      </c>
      <c r="AB47" s="635"/>
      <c r="AC47" s="622"/>
      <c r="AD47" s="572"/>
      <c r="AE47" s="6"/>
      <c r="AF47" s="6">
        <v>10</v>
      </c>
      <c r="AG47" s="613"/>
      <c r="AH47" s="818"/>
      <c r="AI47" s="620"/>
      <c r="AJ47" s="6" t="s">
        <v>152</v>
      </c>
      <c r="AK47" s="613"/>
      <c r="AM47" s="572"/>
      <c r="AN47" s="6"/>
      <c r="AO47" s="6"/>
      <c r="AP47" s="613"/>
      <c r="AQ47" s="818"/>
      <c r="AR47" s="620"/>
      <c r="AS47" s="6"/>
      <c r="AT47" s="613"/>
    </row>
    <row r="48" spans="1:46" ht="42.75" customHeight="1" x14ac:dyDescent="0.25">
      <c r="A48" s="2205"/>
      <c r="B48" s="574">
        <v>2</v>
      </c>
      <c r="C48" s="596"/>
      <c r="D48" s="596"/>
      <c r="E48" s="596">
        <v>10</v>
      </c>
      <c r="F48" s="597"/>
      <c r="G48" s="620"/>
      <c r="H48" s="620"/>
      <c r="I48" s="692" t="s">
        <v>152</v>
      </c>
      <c r="J48" s="687"/>
      <c r="K48" s="622"/>
      <c r="L48" s="572"/>
      <c r="M48" s="6"/>
      <c r="N48" s="6"/>
      <c r="O48" s="613"/>
      <c r="P48" s="614"/>
      <c r="Q48" s="620"/>
      <c r="R48" s="605"/>
      <c r="S48" s="635"/>
      <c r="T48" s="622"/>
      <c r="U48" s="572"/>
      <c r="V48" s="6"/>
      <c r="W48" s="6">
        <v>10</v>
      </c>
      <c r="X48" s="613"/>
      <c r="Y48" s="818"/>
      <c r="Z48" s="6"/>
      <c r="AA48" s="605" t="s">
        <v>152</v>
      </c>
      <c r="AB48" s="613"/>
      <c r="AC48" s="622"/>
      <c r="AD48" s="572"/>
      <c r="AE48" s="6"/>
      <c r="AF48" s="6">
        <v>10</v>
      </c>
      <c r="AG48" s="613"/>
      <c r="AH48" s="614"/>
      <c r="AI48" s="605"/>
      <c r="AJ48" s="6" t="s">
        <v>152</v>
      </c>
      <c r="AK48" s="613"/>
      <c r="AM48" s="572"/>
      <c r="AN48" s="6"/>
      <c r="AO48" s="6"/>
      <c r="AP48" s="613"/>
      <c r="AQ48" s="614"/>
      <c r="AR48" s="605"/>
      <c r="AS48" s="6"/>
      <c r="AT48" s="613"/>
    </row>
    <row r="49" spans="1:46" ht="29.45" customHeight="1" x14ac:dyDescent="0.25">
      <c r="A49" s="2206">
        <v>44858</v>
      </c>
      <c r="B49" s="574">
        <v>1</v>
      </c>
      <c r="C49" s="596"/>
      <c r="D49" s="596"/>
      <c r="E49" s="596">
        <v>20</v>
      </c>
      <c r="F49" s="597"/>
      <c r="G49" s="620"/>
      <c r="H49" s="619"/>
      <c r="I49" s="692" t="s">
        <v>152</v>
      </c>
      <c r="J49" s="687"/>
      <c r="K49" s="622"/>
      <c r="L49" s="572"/>
      <c r="M49" s="6"/>
      <c r="N49" s="6"/>
      <c r="O49" s="613"/>
      <c r="P49" s="614"/>
      <c r="Q49" s="6"/>
      <c r="R49" s="6"/>
      <c r="S49" s="613"/>
      <c r="T49" s="622"/>
      <c r="U49" s="572"/>
      <c r="V49" s="6"/>
      <c r="W49" s="6">
        <v>10</v>
      </c>
      <c r="X49" s="613"/>
      <c r="Y49" s="614"/>
      <c r="Z49" s="605"/>
      <c r="AA49" s="605" t="s">
        <v>152</v>
      </c>
      <c r="AB49" s="635"/>
      <c r="AC49" s="622"/>
      <c r="AD49" s="572"/>
      <c r="AE49" s="6"/>
      <c r="AF49" s="6"/>
      <c r="AG49" s="613"/>
      <c r="AH49" s="614"/>
      <c r="AI49" s="605"/>
      <c r="AJ49" s="6"/>
      <c r="AK49" s="613"/>
      <c r="AM49" s="572"/>
      <c r="AN49" s="6"/>
      <c r="AO49" s="6"/>
      <c r="AP49" s="613"/>
      <c r="AQ49" s="614"/>
      <c r="AR49" s="605"/>
      <c r="AS49" s="6"/>
      <c r="AT49" s="613"/>
    </row>
    <row r="50" spans="1:46" ht="28.9" customHeight="1" x14ac:dyDescent="0.25">
      <c r="A50" s="2205"/>
      <c r="B50" s="574">
        <v>2</v>
      </c>
      <c r="C50" s="596"/>
      <c r="D50" s="596"/>
      <c r="E50" s="596"/>
      <c r="F50" s="597"/>
      <c r="G50" s="619"/>
      <c r="H50" s="619"/>
      <c r="I50" s="620"/>
      <c r="J50" s="635"/>
      <c r="K50" s="622"/>
      <c r="L50" s="572"/>
      <c r="M50" s="6"/>
      <c r="N50" s="6"/>
      <c r="O50" s="613"/>
      <c r="P50" s="614"/>
      <c r="Q50" s="605"/>
      <c r="R50" s="605"/>
      <c r="S50" s="764"/>
      <c r="T50" s="622"/>
      <c r="U50" s="572"/>
      <c r="V50" s="6"/>
      <c r="W50" s="6"/>
      <c r="X50" s="613"/>
      <c r="Y50" s="818"/>
      <c r="Z50" s="605"/>
      <c r="AA50" s="605"/>
      <c r="AB50" s="613"/>
      <c r="AC50" s="622"/>
      <c r="AD50" s="572"/>
      <c r="AE50" s="6"/>
      <c r="AF50" s="6"/>
      <c r="AG50" s="613"/>
      <c r="AH50" s="614"/>
      <c r="AI50" s="6"/>
      <c r="AJ50" s="605"/>
      <c r="AK50" s="613"/>
      <c r="AM50" s="572"/>
      <c r="AN50" s="6"/>
      <c r="AO50" s="6"/>
      <c r="AP50" s="613"/>
      <c r="AQ50" s="614"/>
      <c r="AR50" s="6"/>
      <c r="AS50" s="605"/>
      <c r="AT50" s="613"/>
    </row>
    <row r="51" spans="1:46" ht="34.9" customHeight="1" x14ac:dyDescent="0.25">
      <c r="A51" s="2206">
        <v>44859</v>
      </c>
      <c r="B51" s="574">
        <v>1</v>
      </c>
      <c r="C51" s="596"/>
      <c r="D51" s="596"/>
      <c r="E51" s="596"/>
      <c r="F51" s="597"/>
      <c r="G51" s="619"/>
      <c r="H51" s="619"/>
      <c r="I51" s="692"/>
      <c r="J51" s="635"/>
      <c r="K51" s="622"/>
      <c r="L51" s="572"/>
      <c r="M51" s="6"/>
      <c r="N51" s="6"/>
      <c r="O51" s="613"/>
      <c r="P51" s="614"/>
      <c r="Q51" s="620"/>
      <c r="R51" s="6"/>
      <c r="S51" s="613"/>
      <c r="T51" s="622"/>
      <c r="U51" s="572"/>
      <c r="V51" s="6"/>
      <c r="W51" s="6"/>
      <c r="X51" s="613"/>
      <c r="Y51" s="818"/>
      <c r="Z51" s="6"/>
      <c r="AA51" s="605"/>
      <c r="AB51" s="613"/>
      <c r="AC51" s="622"/>
      <c r="AD51" s="572"/>
      <c r="AE51" s="6"/>
      <c r="AF51" s="6"/>
      <c r="AG51" s="613"/>
      <c r="AH51" s="614"/>
      <c r="AI51" s="6"/>
      <c r="AJ51" s="6"/>
      <c r="AK51" s="613"/>
      <c r="AM51" s="572"/>
      <c r="AN51" s="6"/>
      <c r="AO51" s="6"/>
      <c r="AP51" s="613"/>
      <c r="AQ51" s="614"/>
      <c r="AR51" s="6"/>
      <c r="AS51" s="6"/>
      <c r="AT51" s="613"/>
    </row>
    <row r="52" spans="1:46" ht="31.9" customHeight="1" x14ac:dyDescent="0.25">
      <c r="A52" s="2205"/>
      <c r="B52" s="574">
        <v>2</v>
      </c>
      <c r="C52" s="596">
        <v>20</v>
      </c>
      <c r="D52" s="596"/>
      <c r="E52" s="596">
        <v>20</v>
      </c>
      <c r="F52" s="597"/>
      <c r="G52" s="620" t="s">
        <v>502</v>
      </c>
      <c r="H52" s="620"/>
      <c r="I52" s="692" t="s">
        <v>152</v>
      </c>
      <c r="J52" s="635"/>
      <c r="K52" s="622"/>
      <c r="L52" s="572"/>
      <c r="M52" s="6"/>
      <c r="N52" s="6"/>
      <c r="O52" s="613"/>
      <c r="P52" s="614"/>
      <c r="Q52" s="6"/>
      <c r="R52" s="6"/>
      <c r="S52" s="635"/>
      <c r="T52" s="622"/>
      <c r="U52" s="572"/>
      <c r="V52" s="6"/>
      <c r="W52" s="6">
        <v>10</v>
      </c>
      <c r="X52" s="613"/>
      <c r="Y52" s="818"/>
      <c r="Z52" s="605"/>
      <c r="AA52" s="605" t="s">
        <v>152</v>
      </c>
      <c r="AB52" s="635"/>
      <c r="AC52" s="622"/>
      <c r="AD52" s="572"/>
      <c r="AE52" s="6">
        <v>10</v>
      </c>
      <c r="AF52" s="6">
        <v>10</v>
      </c>
      <c r="AG52" s="613"/>
      <c r="AH52" s="614"/>
      <c r="AI52" s="6" t="s">
        <v>503</v>
      </c>
      <c r="AJ52" s="6" t="s">
        <v>152</v>
      </c>
      <c r="AK52" s="613"/>
      <c r="AM52" s="572">
        <v>21</v>
      </c>
      <c r="AN52" s="613">
        <v>428</v>
      </c>
      <c r="AO52" s="613"/>
      <c r="AP52" s="613"/>
      <c r="AQ52" s="614" t="s">
        <v>97</v>
      </c>
      <c r="AR52" s="613" t="s">
        <v>504</v>
      </c>
      <c r="AS52" s="6"/>
      <c r="AT52" s="613"/>
    </row>
    <row r="53" spans="1:46" ht="73.150000000000006" customHeight="1" x14ac:dyDescent="0.25">
      <c r="A53" s="2206">
        <v>44860</v>
      </c>
      <c r="B53" s="574">
        <v>1</v>
      </c>
      <c r="C53" s="596"/>
      <c r="D53" s="596"/>
      <c r="E53" s="596"/>
      <c r="F53" s="597"/>
      <c r="G53" s="619"/>
      <c r="H53" s="619"/>
      <c r="I53" s="692"/>
      <c r="J53" s="635"/>
      <c r="K53" s="622"/>
      <c r="L53" s="572"/>
      <c r="M53" s="6"/>
      <c r="N53" s="6"/>
      <c r="O53" s="613"/>
      <c r="P53" s="818"/>
      <c r="Q53" s="6"/>
      <c r="R53" s="6"/>
      <c r="S53" s="635"/>
      <c r="T53" s="622"/>
      <c r="U53" s="572"/>
      <c r="V53" s="6"/>
      <c r="W53" s="6"/>
      <c r="X53" s="613"/>
      <c r="Y53" s="818"/>
      <c r="Z53" s="6"/>
      <c r="AA53" s="605"/>
      <c r="AB53" s="613"/>
      <c r="AC53" s="622"/>
      <c r="AD53" s="572"/>
      <c r="AE53" s="605"/>
      <c r="AF53" s="6"/>
      <c r="AG53" s="613"/>
      <c r="AH53" s="614"/>
      <c r="AI53" s="605"/>
      <c r="AJ53" s="605"/>
      <c r="AK53" s="613"/>
      <c r="AM53" s="572"/>
      <c r="AN53" s="605"/>
      <c r="AO53" s="6">
        <v>152</v>
      </c>
      <c r="AP53" s="613"/>
      <c r="AQ53" s="614"/>
      <c r="AR53" s="605"/>
      <c r="AS53" s="605" t="s">
        <v>401</v>
      </c>
      <c r="AT53" s="613"/>
    </row>
    <row r="54" spans="1:46" ht="76.900000000000006" customHeight="1" x14ac:dyDescent="0.25">
      <c r="A54" s="2205"/>
      <c r="B54" s="813">
        <v>2</v>
      </c>
      <c r="C54" s="596"/>
      <c r="D54" s="596"/>
      <c r="E54" s="596">
        <v>65</v>
      </c>
      <c r="F54" s="597"/>
      <c r="G54" s="619"/>
      <c r="H54" s="619"/>
      <c r="I54" s="619" t="s">
        <v>152</v>
      </c>
      <c r="J54" s="635"/>
      <c r="K54" s="622"/>
      <c r="L54" s="572"/>
      <c r="M54" s="6"/>
      <c r="N54" s="6"/>
      <c r="O54" s="597"/>
      <c r="P54" s="619"/>
      <c r="Q54" s="619"/>
      <c r="R54" s="619"/>
      <c r="S54" s="635"/>
      <c r="T54" s="622"/>
      <c r="U54" s="572"/>
      <c r="V54" s="6"/>
      <c r="W54" s="6">
        <v>20</v>
      </c>
      <c r="X54" s="597"/>
      <c r="Y54" s="619"/>
      <c r="Z54" s="620"/>
      <c r="AA54" s="620" t="s">
        <v>152</v>
      </c>
      <c r="AB54" s="635"/>
      <c r="AC54" s="622"/>
      <c r="AD54" s="572"/>
      <c r="AE54" s="6"/>
      <c r="AF54" s="6"/>
      <c r="AG54" s="597"/>
      <c r="AH54" s="619"/>
      <c r="AI54" s="619"/>
      <c r="AJ54" s="619"/>
      <c r="AK54" s="635"/>
      <c r="AM54" s="572"/>
      <c r="AN54" s="6"/>
      <c r="AO54" s="6">
        <v>16</v>
      </c>
      <c r="AP54" s="597"/>
      <c r="AQ54" s="619"/>
      <c r="AR54" s="619"/>
      <c r="AS54" s="619" t="s">
        <v>401</v>
      </c>
      <c r="AT54" s="635"/>
    </row>
    <row r="55" spans="1:46" ht="31.9" customHeight="1" x14ac:dyDescent="0.25">
      <c r="A55" s="2206">
        <v>44861</v>
      </c>
      <c r="B55" s="574">
        <v>1</v>
      </c>
      <c r="C55" s="595"/>
      <c r="D55" s="596"/>
      <c r="E55" s="596">
        <v>22</v>
      </c>
      <c r="F55" s="597"/>
      <c r="G55" s="619"/>
      <c r="H55" s="619"/>
      <c r="I55" s="620" t="s">
        <v>152</v>
      </c>
      <c r="J55" s="687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>
        <v>18</v>
      </c>
      <c r="X55" s="613"/>
      <c r="Y55" s="614"/>
      <c r="Z55" s="619"/>
      <c r="AA55" s="620" t="s">
        <v>152</v>
      </c>
      <c r="AB55" s="635"/>
      <c r="AC55" s="622"/>
      <c r="AD55" s="572"/>
      <c r="AE55" s="6"/>
      <c r="AF55" s="6">
        <v>10</v>
      </c>
      <c r="AG55" s="613"/>
      <c r="AH55" s="614"/>
      <c r="AI55" s="6"/>
      <c r="AJ55" s="605" t="s">
        <v>152</v>
      </c>
      <c r="AK55" s="613"/>
      <c r="AM55" s="572"/>
      <c r="AN55" s="6"/>
      <c r="AO55" s="6"/>
      <c r="AP55" s="613"/>
      <c r="AQ55" s="614"/>
      <c r="AR55" s="6"/>
      <c r="AS55" s="605"/>
      <c r="AT55" s="613"/>
    </row>
    <row r="56" spans="1:46" ht="97.9" customHeight="1" x14ac:dyDescent="0.25">
      <c r="A56" s="2205"/>
      <c r="B56" s="813">
        <v>2</v>
      </c>
      <c r="C56" s="595"/>
      <c r="D56" s="596"/>
      <c r="E56" s="596">
        <v>35</v>
      </c>
      <c r="F56" s="597"/>
      <c r="G56" s="620"/>
      <c r="H56" s="619"/>
      <c r="I56" s="620" t="s">
        <v>152</v>
      </c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/>
      <c r="V56" s="6"/>
      <c r="W56" s="6">
        <v>15</v>
      </c>
      <c r="X56" s="597"/>
      <c r="Y56" s="620"/>
      <c r="Z56" s="619"/>
      <c r="AA56" s="620" t="s">
        <v>152</v>
      </c>
      <c r="AB56" s="635"/>
      <c r="AC56" s="622"/>
      <c r="AD56" s="572"/>
      <c r="AE56" s="6"/>
      <c r="AF56" s="6"/>
      <c r="AG56" s="597"/>
      <c r="AH56" s="620"/>
      <c r="AI56" s="619"/>
      <c r="AJ56" s="620"/>
      <c r="AK56" s="635"/>
      <c r="AM56" s="572"/>
      <c r="AN56" s="6"/>
      <c r="AO56" s="6"/>
      <c r="AP56" s="597"/>
      <c r="AQ56" s="620"/>
      <c r="AR56" s="619"/>
      <c r="AS56" s="620"/>
      <c r="AT56" s="635"/>
    </row>
    <row r="57" spans="1:46" ht="45.6" customHeight="1" x14ac:dyDescent="0.25">
      <c r="A57" s="2206">
        <v>44862</v>
      </c>
      <c r="B57" s="574">
        <v>1</v>
      </c>
      <c r="C57" s="595"/>
      <c r="D57" s="596"/>
      <c r="E57" s="596"/>
      <c r="F57" s="597"/>
      <c r="G57" s="620"/>
      <c r="H57" s="619"/>
      <c r="I57" s="620"/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/>
      <c r="X57" s="597"/>
      <c r="Y57" s="620"/>
      <c r="Z57" s="619"/>
      <c r="AA57" s="620"/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/>
      <c r="AP57" s="597"/>
      <c r="AQ57" s="620"/>
      <c r="AR57" s="619"/>
      <c r="AS57" s="620"/>
      <c r="AT57" s="635"/>
    </row>
    <row r="58" spans="1:46" ht="39.6" customHeight="1" x14ac:dyDescent="0.25">
      <c r="A58" s="2205"/>
      <c r="B58" s="813">
        <v>2</v>
      </c>
      <c r="C58" s="595"/>
      <c r="D58" s="596"/>
      <c r="E58" s="596"/>
      <c r="F58" s="597"/>
      <c r="G58" s="620"/>
      <c r="H58" s="619"/>
      <c r="I58" s="620"/>
      <c r="J58" s="635"/>
      <c r="K58" s="622"/>
      <c r="L58" s="572"/>
      <c r="M58" s="6"/>
      <c r="N58" s="6"/>
      <c r="O58" s="613"/>
      <c r="P58" s="614"/>
      <c r="Q58" s="6"/>
      <c r="R58" s="6"/>
      <c r="S58" s="635"/>
      <c r="T58" s="622"/>
      <c r="U58" s="572"/>
      <c r="V58" s="6"/>
      <c r="W58" s="6"/>
      <c r="X58" s="613"/>
      <c r="Y58" s="614"/>
      <c r="Z58" s="605"/>
      <c r="AA58" s="620"/>
      <c r="AB58" s="613"/>
      <c r="AC58" s="622"/>
      <c r="AD58" s="572"/>
      <c r="AE58" s="6"/>
      <c r="AF58" s="6"/>
      <c r="AG58" s="613"/>
      <c r="AH58" s="614"/>
      <c r="AI58" s="6"/>
      <c r="AJ58" s="6"/>
      <c r="AK58" s="613"/>
      <c r="AM58" s="572"/>
      <c r="AN58" s="6"/>
      <c r="AO58" s="6"/>
      <c r="AP58" s="613"/>
      <c r="AQ58" s="614"/>
      <c r="AR58" s="6"/>
      <c r="AS58" s="6"/>
      <c r="AT58" s="613"/>
    </row>
    <row r="59" spans="1:46" ht="34.15" customHeight="1" x14ac:dyDescent="0.25">
      <c r="A59" s="2206">
        <v>44863</v>
      </c>
      <c r="B59" s="574">
        <v>1</v>
      </c>
      <c r="C59" s="595"/>
      <c r="D59" s="596"/>
      <c r="E59" s="596"/>
      <c r="F59" s="597"/>
      <c r="G59" s="619"/>
      <c r="H59" s="619"/>
      <c r="I59" s="692"/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/>
      <c r="X59" s="613"/>
      <c r="Y59" s="614"/>
      <c r="Z59" s="6"/>
      <c r="AA59" s="605"/>
      <c r="AB59" s="613"/>
      <c r="AC59" s="622"/>
      <c r="AD59" s="572"/>
      <c r="AE59" s="6"/>
      <c r="AF59" s="6"/>
      <c r="AG59" s="613"/>
      <c r="AH59" s="818"/>
      <c r="AI59" s="6"/>
      <c r="AJ59" s="620"/>
      <c r="AK59" s="613"/>
      <c r="AM59" s="572"/>
      <c r="AN59" s="6"/>
      <c r="AO59" s="6"/>
      <c r="AP59" s="613"/>
      <c r="AQ59" s="818"/>
      <c r="AR59" s="6"/>
      <c r="AS59" s="620"/>
      <c r="AT59" s="613"/>
    </row>
    <row r="60" spans="1:46" ht="53.45" customHeight="1" x14ac:dyDescent="0.25">
      <c r="A60" s="2205"/>
      <c r="B60" s="813">
        <v>2</v>
      </c>
      <c r="C60" s="595"/>
      <c r="D60" s="596"/>
      <c r="E60" s="596"/>
      <c r="F60" s="597"/>
      <c r="G60" s="619"/>
      <c r="H60" s="620"/>
      <c r="I60" s="692"/>
      <c r="J60" s="635"/>
      <c r="K60" s="622"/>
      <c r="L60" s="572"/>
      <c r="M60" s="6"/>
      <c r="N60" s="6"/>
      <c r="O60" s="613"/>
      <c r="P60" s="614"/>
      <c r="Q60" s="6"/>
      <c r="R60" s="6"/>
      <c r="S60" s="635"/>
      <c r="T60" s="622"/>
      <c r="U60" s="572"/>
      <c r="V60" s="6"/>
      <c r="W60" s="6"/>
      <c r="X60" s="613"/>
      <c r="Y60" s="818"/>
      <c r="Z60" s="605"/>
      <c r="AA60" s="605"/>
      <c r="AB60" s="635"/>
      <c r="AC60" s="622"/>
      <c r="AD60" s="572"/>
      <c r="AE60" s="6"/>
      <c r="AF60" s="6"/>
      <c r="AG60" s="613"/>
      <c r="AH60" s="614"/>
      <c r="AI60" s="6"/>
      <c r="AJ60" s="605"/>
      <c r="AK60" s="635"/>
      <c r="AM60" s="572"/>
      <c r="AN60" s="6"/>
      <c r="AO60" s="6"/>
      <c r="AP60" s="613"/>
      <c r="AQ60" s="614"/>
      <c r="AR60" s="6"/>
      <c r="AS60" s="605"/>
      <c r="AT60" s="635"/>
    </row>
    <row r="61" spans="1:46" ht="19.899999999999999" customHeight="1" x14ac:dyDescent="0.25">
      <c r="A61" s="2206">
        <v>44864</v>
      </c>
      <c r="B61" s="574">
        <v>1</v>
      </c>
      <c r="C61" s="821"/>
      <c r="D61" s="823"/>
      <c r="E61" s="596"/>
      <c r="F61" s="749"/>
      <c r="G61" s="619"/>
      <c r="H61" s="822"/>
      <c r="I61" s="692"/>
      <c r="J61" s="687"/>
      <c r="K61" s="622"/>
      <c r="L61" s="572"/>
      <c r="M61" s="6"/>
      <c r="N61" s="6"/>
      <c r="O61" s="613"/>
      <c r="P61" s="752"/>
      <c r="Q61" s="819"/>
      <c r="R61" s="819"/>
      <c r="S61" s="753"/>
      <c r="T61" s="622"/>
      <c r="U61" s="572"/>
      <c r="V61" s="6"/>
      <c r="W61" s="6"/>
      <c r="X61" s="613"/>
      <c r="Y61" s="818"/>
      <c r="Z61" s="605"/>
      <c r="AA61" s="605"/>
      <c r="AB61" s="753"/>
      <c r="AC61" s="622"/>
      <c r="AD61" s="572"/>
      <c r="AE61" s="6"/>
      <c r="AF61" s="6"/>
      <c r="AG61" s="613"/>
      <c r="AH61" s="614"/>
      <c r="AI61" s="6"/>
      <c r="AJ61" s="605"/>
      <c r="AK61" s="753"/>
      <c r="AM61" s="572"/>
      <c r="AN61" s="6"/>
      <c r="AO61" s="6"/>
      <c r="AP61" s="613"/>
      <c r="AQ61" s="614"/>
      <c r="AR61" s="6"/>
      <c r="AS61" s="605"/>
      <c r="AT61" s="753"/>
    </row>
    <row r="62" spans="1:46" ht="19.899999999999999" customHeight="1" x14ac:dyDescent="0.25">
      <c r="A62" s="2205"/>
      <c r="B62" s="813">
        <v>2</v>
      </c>
      <c r="C62" s="821"/>
      <c r="D62" s="823"/>
      <c r="E62" s="823"/>
      <c r="F62" s="749"/>
      <c r="G62" s="815"/>
      <c r="H62" s="822"/>
      <c r="I62" s="692"/>
      <c r="J62" s="687"/>
      <c r="K62" s="622"/>
      <c r="L62" s="572"/>
      <c r="M62" s="6"/>
      <c r="N62" s="6"/>
      <c r="O62" s="613"/>
      <c r="P62" s="752"/>
      <c r="Q62" s="819"/>
      <c r="R62" s="819"/>
      <c r="S62" s="753"/>
      <c r="T62" s="622"/>
      <c r="U62" s="572"/>
      <c r="V62" s="6"/>
      <c r="W62" s="6"/>
      <c r="X62" s="613"/>
      <c r="Y62" s="818"/>
      <c r="Z62" s="605"/>
      <c r="AA62" s="605"/>
      <c r="AB62" s="753"/>
      <c r="AC62" s="622"/>
      <c r="AD62" s="572"/>
      <c r="AE62" s="6"/>
      <c r="AF62" s="6"/>
      <c r="AG62" s="613"/>
      <c r="AH62" s="614"/>
      <c r="AI62" s="6"/>
      <c r="AJ62" s="605"/>
      <c r="AK62" s="753"/>
      <c r="AM62" s="572"/>
      <c r="AN62" s="6"/>
      <c r="AO62" s="6"/>
      <c r="AP62" s="613"/>
      <c r="AQ62" s="614"/>
      <c r="AR62" s="6"/>
      <c r="AS62" s="605"/>
      <c r="AT62" s="753"/>
    </row>
    <row r="63" spans="1:46" ht="19.899999999999999" customHeight="1" x14ac:dyDescent="0.25">
      <c r="A63" s="2206">
        <v>44865</v>
      </c>
      <c r="B63" s="574">
        <v>1</v>
      </c>
      <c r="C63" s="706"/>
      <c r="D63" s="707"/>
      <c r="E63" s="707"/>
      <c r="F63" s="708"/>
      <c r="G63" s="717"/>
      <c r="H63" s="709"/>
      <c r="I63" s="620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/>
      <c r="X63" s="597"/>
      <c r="Y63" s="685"/>
      <c r="Z63" s="619"/>
      <c r="AA63" s="6"/>
      <c r="AB63" s="817"/>
      <c r="AC63" s="622"/>
      <c r="AD63" s="572"/>
      <c r="AE63" s="6"/>
      <c r="AF63" s="6"/>
      <c r="AG63" s="597"/>
      <c r="AH63" s="685"/>
      <c r="AI63" s="619"/>
      <c r="AJ63" s="619"/>
      <c r="AK63" s="705"/>
      <c r="AM63" s="572"/>
      <c r="AN63" s="6"/>
      <c r="AO63" s="6"/>
      <c r="AP63" s="597"/>
      <c r="AQ63" s="685"/>
      <c r="AR63" s="619"/>
      <c r="AS63" s="619"/>
      <c r="AT63" s="705"/>
    </row>
    <row r="64" spans="1:46" ht="19.899999999999999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636"/>
      <c r="AQ64" s="637"/>
      <c r="AR64" s="638"/>
      <c r="AS64" s="638"/>
      <c r="AT64" s="713"/>
    </row>
    <row r="65" spans="1:42" x14ac:dyDescent="0.25">
      <c r="A65" s="524" t="s">
        <v>225</v>
      </c>
      <c r="C65" s="768">
        <f>SUM(C3:C64)</f>
        <v>205</v>
      </c>
      <c r="D65" s="525">
        <f>SUM(D3:D64)</f>
        <v>40</v>
      </c>
      <c r="E65" s="768">
        <f>SUM(E3:E64)</f>
        <v>1111</v>
      </c>
      <c r="F65" s="525">
        <f>SUM(F3:F64)</f>
        <v>0</v>
      </c>
      <c r="L65" s="525">
        <f>SUM(L3:L64)</f>
        <v>0</v>
      </c>
      <c r="M65" s="525">
        <f>SUM(M3:M64)</f>
        <v>0</v>
      </c>
      <c r="N65" s="525">
        <f>SUM(N3:N64)</f>
        <v>16</v>
      </c>
      <c r="O65" s="525">
        <f>SUM(O3:O64)</f>
        <v>0</v>
      </c>
      <c r="U65" s="525">
        <f>SUM(U3:U64)</f>
        <v>1161</v>
      </c>
      <c r="V65" s="525">
        <f>SUM(V3:V64)</f>
        <v>0</v>
      </c>
      <c r="W65" s="525">
        <f>SUM(W3:W64)</f>
        <v>844</v>
      </c>
      <c r="X65" s="525">
        <f>SUM(X3:X64)</f>
        <v>0</v>
      </c>
      <c r="AD65" s="525">
        <f>SUM(AD3:AD64)</f>
        <v>1050</v>
      </c>
      <c r="AE65" s="525">
        <f>SUM(AE3:AE64)</f>
        <v>212</v>
      </c>
      <c r="AF65" s="525">
        <f>SUM(AF3:AF64)</f>
        <v>746</v>
      </c>
      <c r="AG65" s="525">
        <f>SUM(AG3:AG64)</f>
        <v>0</v>
      </c>
      <c r="AM65" s="525">
        <f>SUM(AM3:AM64)</f>
        <v>67</v>
      </c>
      <c r="AN65" s="525">
        <f>SUM(AN3:AN64)</f>
        <v>568</v>
      </c>
      <c r="AO65" s="525">
        <f>SUM(AO3:AO64)</f>
        <v>484</v>
      </c>
      <c r="AP65" s="525">
        <f>SUM(AP3:AP64)</f>
        <v>0</v>
      </c>
    </row>
    <row r="73" spans="1:42" ht="15.75" thickBot="1" x14ac:dyDescent="0.3"/>
    <row r="74" spans="1:42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2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2" ht="21.75" customHeight="1" x14ac:dyDescent="0.3">
      <c r="B76" s="651" t="s">
        <v>218</v>
      </c>
      <c r="C76" s="652">
        <f>C65</f>
        <v>205</v>
      </c>
      <c r="D76" s="653">
        <f>C76/60</f>
        <v>3.4166666666666665</v>
      </c>
      <c r="E76" s="652">
        <f>D65</f>
        <v>40</v>
      </c>
      <c r="F76" s="654">
        <f>E76/60</f>
        <v>0.66666666666666663</v>
      </c>
      <c r="G76" s="652">
        <f>E65</f>
        <v>1111</v>
      </c>
      <c r="H76" s="653">
        <f>G76/60</f>
        <v>18.516666666666666</v>
      </c>
      <c r="I76" s="652">
        <f>F65</f>
        <v>0</v>
      </c>
      <c r="J76" s="653">
        <f>I76/60</f>
        <v>0</v>
      </c>
    </row>
    <row r="77" spans="1:42" ht="19.5" customHeight="1" x14ac:dyDescent="0.3">
      <c r="B77" s="651" t="s">
        <v>219</v>
      </c>
      <c r="C77" s="655">
        <f>L65</f>
        <v>0</v>
      </c>
      <c r="D77" s="656">
        <f t="shared" ref="D77:F79" si="0">C77/60</f>
        <v>0</v>
      </c>
      <c r="E77" s="655">
        <f>M65</f>
        <v>0</v>
      </c>
      <c r="F77" s="657">
        <f t="shared" si="0"/>
        <v>0</v>
      </c>
      <c r="G77" s="655">
        <f>N65</f>
        <v>16</v>
      </c>
      <c r="H77" s="656">
        <f t="shared" ref="H77:J79" si="1">G77/60</f>
        <v>0.26666666666666666</v>
      </c>
      <c r="I77" s="655">
        <f>O65</f>
        <v>0</v>
      </c>
      <c r="J77" s="656">
        <f t="shared" si="1"/>
        <v>0</v>
      </c>
    </row>
    <row r="78" spans="1:42" ht="20.25" customHeight="1" x14ac:dyDescent="0.3">
      <c r="B78" s="651" t="s">
        <v>220</v>
      </c>
      <c r="C78" s="655">
        <f>U65</f>
        <v>1161</v>
      </c>
      <c r="D78" s="656">
        <f t="shared" si="0"/>
        <v>19.350000000000001</v>
      </c>
      <c r="E78" s="655">
        <f>V65</f>
        <v>0</v>
      </c>
      <c r="F78" s="657">
        <f t="shared" si="0"/>
        <v>0</v>
      </c>
      <c r="G78" s="655">
        <f>W65</f>
        <v>844</v>
      </c>
      <c r="H78" s="656">
        <f t="shared" si="1"/>
        <v>14.066666666666666</v>
      </c>
      <c r="I78" s="655">
        <f>X65</f>
        <v>0</v>
      </c>
      <c r="J78" s="656">
        <f t="shared" si="1"/>
        <v>0</v>
      </c>
    </row>
    <row r="79" spans="1:42" ht="22.5" customHeight="1" thickBot="1" x14ac:dyDescent="0.35">
      <c r="B79" s="651" t="s">
        <v>221</v>
      </c>
      <c r="C79" s="658">
        <f>AD65</f>
        <v>1050</v>
      </c>
      <c r="D79" s="659">
        <f t="shared" si="0"/>
        <v>17.5</v>
      </c>
      <c r="E79" s="658">
        <f>AE65</f>
        <v>212</v>
      </c>
      <c r="F79" s="660">
        <f t="shared" si="0"/>
        <v>3.5333333333333332</v>
      </c>
      <c r="G79" s="658">
        <f>AF65</f>
        <v>746</v>
      </c>
      <c r="H79" s="659">
        <f t="shared" si="1"/>
        <v>12.433333333333334</v>
      </c>
      <c r="I79" s="658">
        <f>AG65</f>
        <v>0</v>
      </c>
      <c r="J79" s="659">
        <f t="shared" si="1"/>
        <v>0</v>
      </c>
    </row>
    <row r="80" spans="1:42" ht="22.5" customHeight="1" thickBot="1" x14ac:dyDescent="0.35">
      <c r="B80" s="651" t="s">
        <v>488</v>
      </c>
      <c r="C80" s="824">
        <f>AM65</f>
        <v>67</v>
      </c>
      <c r="D80" s="659">
        <f>C80/60</f>
        <v>1.1166666666666667</v>
      </c>
      <c r="E80" s="824">
        <f>AN65</f>
        <v>568</v>
      </c>
      <c r="F80" s="660">
        <f>E80/60</f>
        <v>9.4666666666666668</v>
      </c>
      <c r="G80" s="824">
        <f>AO65</f>
        <v>484</v>
      </c>
      <c r="H80" s="659">
        <f>G80/60</f>
        <v>8.0666666666666664</v>
      </c>
      <c r="I80" s="824">
        <f>AP65</f>
        <v>0</v>
      </c>
      <c r="J80" s="659">
        <f>I80/60</f>
        <v>0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41.383333333333333</v>
      </c>
      <c r="E82" s="666"/>
      <c r="F82" s="667">
        <f>SUM(F76:F80)</f>
        <v>13.666666666666668</v>
      </c>
      <c r="G82" s="666"/>
      <c r="H82" s="667">
        <f>SUM(H76:H80)</f>
        <v>53.349999999999994</v>
      </c>
      <c r="I82" s="666"/>
      <c r="J82" s="668">
        <f>AVERAGE(J76:J80)</f>
        <v>0</v>
      </c>
    </row>
  </sheetData>
  <mergeCells count="45">
    <mergeCell ref="A9:A10"/>
    <mergeCell ref="C1:F1"/>
    <mergeCell ref="G1:J1"/>
    <mergeCell ref="L1:O1"/>
    <mergeCell ref="P1:S1"/>
    <mergeCell ref="AD1:AG1"/>
    <mergeCell ref="AH1:AK1"/>
    <mergeCell ref="A3:A4"/>
    <mergeCell ref="A5:A6"/>
    <mergeCell ref="A7:A8"/>
    <mergeCell ref="U1:X1"/>
    <mergeCell ref="Y1:AB1"/>
    <mergeCell ref="A33:A34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7:A38"/>
    <mergeCell ref="A39:A40"/>
    <mergeCell ref="A41:A42"/>
    <mergeCell ref="A43:A44"/>
    <mergeCell ref="A45:A46"/>
    <mergeCell ref="I74:J74"/>
    <mergeCell ref="AM1:AP1"/>
    <mergeCell ref="AQ1:AT1"/>
    <mergeCell ref="A59:A60"/>
    <mergeCell ref="A61:A62"/>
    <mergeCell ref="A63:A64"/>
    <mergeCell ref="C74:D74"/>
    <mergeCell ref="E74:F74"/>
    <mergeCell ref="G74:H74"/>
    <mergeCell ref="A47:A48"/>
    <mergeCell ref="A49:A50"/>
    <mergeCell ref="A51:A52"/>
    <mergeCell ref="A53:A54"/>
    <mergeCell ref="A55:A56"/>
    <mergeCell ref="A57:A58"/>
    <mergeCell ref="A35:A36"/>
  </mergeCells>
  <pageMargins left="0.7" right="0.7" top="0.75" bottom="0.75" header="0.3" footer="0.3"/>
  <pageSetup paperSize="9" orientation="portrait" horizontalDpi="180" verticalDpi="18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2"/>
  <sheetViews>
    <sheetView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76" sqref="L76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2.85546875" style="524" customWidth="1"/>
    <col min="5" max="5" width="15.7109375" style="524" customWidth="1"/>
    <col min="6" max="6" width="16.85546875" style="524" customWidth="1"/>
    <col min="7" max="7" width="21.140625" style="524" customWidth="1"/>
    <col min="8" max="8" width="28.42578125" style="524" customWidth="1"/>
    <col min="9" max="9" width="30.42578125" style="524" customWidth="1"/>
    <col min="10" max="10" width="24.5703125" style="524" customWidth="1"/>
    <col min="11" max="14" width="10.7109375" style="524" customWidth="1"/>
    <col min="15" max="15" width="17" style="524" customWidth="1"/>
    <col min="16" max="16" width="23" style="524" customWidth="1"/>
    <col min="17" max="17" width="25.7109375" style="524" customWidth="1"/>
    <col min="18" max="18" width="30.42578125" style="524" customWidth="1"/>
    <col min="19" max="19" width="24.28515625" style="524" customWidth="1"/>
    <col min="20" max="24" width="10.7109375" style="524" customWidth="1"/>
    <col min="25" max="25" width="28" style="524" customWidth="1"/>
    <col min="26" max="26" width="23.85546875" style="524" customWidth="1"/>
    <col min="27" max="27" width="32.42578125" style="524" customWidth="1"/>
    <col min="28" max="28" width="21.140625" style="524" customWidth="1"/>
    <col min="29" max="33" width="10.7109375" style="524" customWidth="1"/>
    <col min="34" max="34" width="30.42578125" style="524" customWidth="1"/>
    <col min="35" max="35" width="25.42578125" style="524" customWidth="1"/>
    <col min="36" max="36" width="23.7109375" style="524" customWidth="1"/>
    <col min="37" max="37" width="23" style="524" customWidth="1"/>
    <col min="38" max="38" width="8.85546875" style="524"/>
    <col min="39" max="42" width="10.7109375" style="524" customWidth="1"/>
    <col min="43" max="43" width="23.5703125" style="524" customWidth="1"/>
    <col min="44" max="44" width="24" style="524" customWidth="1"/>
    <col min="45" max="45" width="23.7109375" style="524" customWidth="1"/>
    <col min="46" max="46" width="23" style="524" customWidth="1"/>
    <col min="47" max="16384" width="8.85546875" style="524"/>
  </cols>
  <sheetData>
    <row r="1" spans="1:46" x14ac:dyDescent="0.25">
      <c r="C1" s="2217" t="s">
        <v>1</v>
      </c>
      <c r="D1" s="2212"/>
      <c r="E1" s="2212"/>
      <c r="F1" s="2212"/>
      <c r="G1" s="2211" t="s">
        <v>206</v>
      </c>
      <c r="H1" s="2209"/>
      <c r="I1" s="2209"/>
      <c r="J1" s="2210"/>
      <c r="L1" s="2212" t="s">
        <v>4</v>
      </c>
      <c r="M1" s="2212"/>
      <c r="N1" s="2212"/>
      <c r="O1" s="2212"/>
      <c r="P1" s="2209" t="s">
        <v>206</v>
      </c>
      <c r="Q1" s="2209"/>
      <c r="R1" s="2209"/>
      <c r="S1" s="2210"/>
      <c r="U1" s="2212" t="s">
        <v>2</v>
      </c>
      <c r="V1" s="2212"/>
      <c r="W1" s="2212"/>
      <c r="X1" s="2212"/>
      <c r="Y1" s="2209" t="s">
        <v>206</v>
      </c>
      <c r="Z1" s="2209"/>
      <c r="AA1" s="2209"/>
      <c r="AB1" s="2210"/>
      <c r="AD1" s="2212" t="s">
        <v>5</v>
      </c>
      <c r="AE1" s="2212"/>
      <c r="AF1" s="2212"/>
      <c r="AG1" s="2212"/>
      <c r="AH1" s="2209" t="s">
        <v>206</v>
      </c>
      <c r="AI1" s="2209"/>
      <c r="AJ1" s="2209"/>
      <c r="AK1" s="2210"/>
      <c r="AM1" s="2212" t="s">
        <v>482</v>
      </c>
      <c r="AN1" s="2212"/>
      <c r="AO1" s="2212"/>
      <c r="AP1" s="2212"/>
      <c r="AQ1" s="2209" t="s">
        <v>206</v>
      </c>
      <c r="AR1" s="2209"/>
      <c r="AS1" s="2209"/>
      <c r="AT1" s="2210"/>
    </row>
    <row r="2" spans="1:46" ht="42.6" customHeight="1" x14ac:dyDescent="0.25">
      <c r="A2" s="832" t="s">
        <v>0</v>
      </c>
      <c r="B2" s="528" t="s">
        <v>198</v>
      </c>
      <c r="C2" s="529" t="s">
        <v>199</v>
      </c>
      <c r="D2" s="526" t="s">
        <v>200</v>
      </c>
      <c r="E2" s="526" t="s">
        <v>201</v>
      </c>
      <c r="F2" s="526" t="s">
        <v>204</v>
      </c>
      <c r="G2" s="575" t="s">
        <v>199</v>
      </c>
      <c r="H2" s="575" t="s">
        <v>200</v>
      </c>
      <c r="I2" s="575" t="s">
        <v>201</v>
      </c>
      <c r="J2" s="575" t="s">
        <v>204</v>
      </c>
      <c r="K2" s="524" t="s">
        <v>269</v>
      </c>
      <c r="L2" s="526" t="s">
        <v>199</v>
      </c>
      <c r="M2" s="526" t="s">
        <v>200</v>
      </c>
      <c r="N2" s="526" t="s">
        <v>201</v>
      </c>
      <c r="O2" s="526" t="s">
        <v>204</v>
      </c>
      <c r="P2" s="527" t="s">
        <v>199</v>
      </c>
      <c r="Q2" s="526" t="s">
        <v>200</v>
      </c>
      <c r="R2" s="526" t="s">
        <v>201</v>
      </c>
      <c r="S2" s="526" t="s">
        <v>204</v>
      </c>
      <c r="U2" s="526" t="s">
        <v>199</v>
      </c>
      <c r="V2" s="526" t="s">
        <v>200</v>
      </c>
      <c r="W2" s="526" t="s">
        <v>201</v>
      </c>
      <c r="X2" s="526" t="s">
        <v>204</v>
      </c>
      <c r="Y2" s="650" t="s">
        <v>199</v>
      </c>
      <c r="Z2" s="526" t="s">
        <v>200</v>
      </c>
      <c r="AA2" s="526" t="s">
        <v>201</v>
      </c>
      <c r="AB2" s="526" t="s">
        <v>204</v>
      </c>
      <c r="AD2" s="526" t="s">
        <v>199</v>
      </c>
      <c r="AE2" s="526" t="s">
        <v>200</v>
      </c>
      <c r="AF2" s="526" t="s">
        <v>201</v>
      </c>
      <c r="AG2" s="526" t="s">
        <v>204</v>
      </c>
      <c r="AH2" s="527" t="s">
        <v>199</v>
      </c>
      <c r="AI2" s="526" t="s">
        <v>200</v>
      </c>
      <c r="AJ2" s="526" t="s">
        <v>201</v>
      </c>
      <c r="AK2" s="526" t="s">
        <v>204</v>
      </c>
      <c r="AM2" s="526" t="s">
        <v>199</v>
      </c>
      <c r="AN2" s="526" t="s">
        <v>200</v>
      </c>
      <c r="AO2" s="526" t="s">
        <v>201</v>
      </c>
      <c r="AP2" s="526" t="s">
        <v>204</v>
      </c>
      <c r="AQ2" s="527" t="s">
        <v>199</v>
      </c>
      <c r="AR2" s="526" t="s">
        <v>200</v>
      </c>
      <c r="AS2" s="526" t="s">
        <v>201</v>
      </c>
      <c r="AT2" s="526" t="s">
        <v>204</v>
      </c>
    </row>
    <row r="3" spans="1:46" ht="30" customHeight="1" x14ac:dyDescent="0.25">
      <c r="A3" s="2206">
        <v>44866</v>
      </c>
      <c r="B3" s="834">
        <v>1</v>
      </c>
      <c r="C3" s="592"/>
      <c r="D3" s="593"/>
      <c r="E3" s="847">
        <v>10</v>
      </c>
      <c r="F3" s="594"/>
      <c r="G3" s="685"/>
      <c r="H3" s="619"/>
      <c r="I3" s="848" t="s">
        <v>505</v>
      </c>
      <c r="J3" s="686"/>
      <c r="K3" s="622"/>
      <c r="L3" s="612"/>
      <c r="M3" s="630"/>
      <c r="N3" s="630"/>
      <c r="O3" s="628"/>
      <c r="P3" s="629"/>
      <c r="Q3" s="699"/>
      <c r="R3" s="700"/>
      <c r="S3" s="628"/>
      <c r="T3" s="622"/>
      <c r="U3" s="612"/>
      <c r="V3" s="630"/>
      <c r="W3" s="630"/>
      <c r="X3" s="613"/>
      <c r="Y3" s="839"/>
      <c r="Z3" s="629"/>
      <c r="AA3" s="719"/>
      <c r="AB3" s="720"/>
      <c r="AC3" s="622"/>
      <c r="AD3" s="612"/>
      <c r="AE3" s="630"/>
      <c r="AF3" s="6"/>
      <c r="AG3" s="628"/>
      <c r="AH3" s="629"/>
      <c r="AI3" s="630"/>
      <c r="AJ3" s="6"/>
      <c r="AK3" s="628"/>
      <c r="AM3" s="612"/>
      <c r="AN3" s="630"/>
      <c r="AO3" s="6"/>
      <c r="AP3" s="628"/>
      <c r="AQ3" s="629"/>
      <c r="AR3" s="630"/>
      <c r="AS3" s="6"/>
      <c r="AT3" s="628"/>
    </row>
    <row r="4" spans="1:46" ht="40.9" customHeight="1" x14ac:dyDescent="0.25">
      <c r="A4" s="2205"/>
      <c r="B4" s="574">
        <v>2</v>
      </c>
      <c r="C4" s="595"/>
      <c r="D4" s="596"/>
      <c r="E4" s="596"/>
      <c r="F4" s="597"/>
      <c r="G4" s="685"/>
      <c r="H4" s="619"/>
      <c r="I4" s="620"/>
      <c r="J4" s="687"/>
      <c r="K4" s="622"/>
      <c r="L4" s="572"/>
      <c r="M4" s="6"/>
      <c r="N4" s="6"/>
      <c r="O4" s="613"/>
      <c r="P4" s="614"/>
      <c r="Q4" s="619"/>
      <c r="R4" s="841"/>
      <c r="S4" s="613"/>
      <c r="T4" s="622"/>
      <c r="U4" s="572"/>
      <c r="V4" s="605"/>
      <c r="W4" s="6"/>
      <c r="X4" s="613"/>
      <c r="Y4" s="839"/>
      <c r="Z4" s="6"/>
      <c r="AA4" s="698"/>
      <c r="AB4" s="722"/>
      <c r="AC4" s="622"/>
      <c r="AD4" s="572"/>
      <c r="AE4" s="6"/>
      <c r="AF4" s="6">
        <v>35</v>
      </c>
      <c r="AG4" s="613"/>
      <c r="AH4" s="614"/>
      <c r="AI4" s="6"/>
      <c r="AJ4" s="6" t="s">
        <v>506</v>
      </c>
      <c r="AK4" s="613"/>
      <c r="AM4" s="572"/>
      <c r="AN4" s="6"/>
      <c r="AO4" s="6"/>
      <c r="AP4" s="613"/>
      <c r="AQ4" s="614"/>
      <c r="AR4" s="6"/>
      <c r="AS4" s="6"/>
      <c r="AT4" s="613"/>
    </row>
    <row r="5" spans="1:46" ht="39.6" customHeight="1" x14ac:dyDescent="0.25">
      <c r="A5" s="2206">
        <v>44867</v>
      </c>
      <c r="B5" s="574">
        <v>1</v>
      </c>
      <c r="C5" s="595"/>
      <c r="D5" s="596"/>
      <c r="E5" s="596"/>
      <c r="F5" s="597"/>
      <c r="G5" s="685"/>
      <c r="H5" s="619"/>
      <c r="I5" s="620"/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/>
      <c r="X5" s="613"/>
      <c r="Y5" s="839"/>
      <c r="Z5" s="6"/>
      <c r="AA5" s="698"/>
      <c r="AB5" s="723"/>
      <c r="AC5" s="622"/>
      <c r="AD5" s="572"/>
      <c r="AE5" s="6"/>
      <c r="AF5" s="6"/>
      <c r="AG5" s="613"/>
      <c r="AH5" s="614"/>
      <c r="AI5" s="6"/>
      <c r="AJ5" s="6"/>
      <c r="AK5" s="613"/>
      <c r="AM5" s="572"/>
      <c r="AN5" s="6"/>
      <c r="AO5" s="6">
        <v>17</v>
      </c>
      <c r="AP5" s="613"/>
      <c r="AQ5" s="614"/>
      <c r="AR5" s="6"/>
      <c r="AS5" s="6" t="s">
        <v>152</v>
      </c>
      <c r="AT5" s="613"/>
    </row>
    <row r="6" spans="1:46" ht="39" customHeight="1" x14ac:dyDescent="0.25">
      <c r="A6" s="2205"/>
      <c r="B6" s="574">
        <v>2</v>
      </c>
      <c r="C6" s="595"/>
      <c r="D6" s="596"/>
      <c r="E6" s="596"/>
      <c r="F6" s="597"/>
      <c r="G6" s="685"/>
      <c r="H6" s="619"/>
      <c r="I6" s="620"/>
      <c r="J6" s="687"/>
      <c r="K6" s="622"/>
      <c r="L6" s="572"/>
      <c r="M6" s="6"/>
      <c r="N6" s="6"/>
      <c r="O6" s="613"/>
      <c r="P6" s="614"/>
      <c r="Q6" s="619"/>
      <c r="R6" s="6"/>
      <c r="S6" s="613"/>
      <c r="T6" s="622"/>
      <c r="U6" s="572">
        <v>300</v>
      </c>
      <c r="V6" s="6"/>
      <c r="W6" s="6"/>
      <c r="X6" s="613"/>
      <c r="Y6" s="845" t="s">
        <v>507</v>
      </c>
      <c r="Z6" s="6"/>
      <c r="AA6" s="698"/>
      <c r="AB6" s="613"/>
      <c r="AC6" s="622"/>
      <c r="AD6" s="572"/>
      <c r="AE6" s="6"/>
      <c r="AF6" s="6">
        <v>11</v>
      </c>
      <c r="AG6" s="613"/>
      <c r="AH6" s="614"/>
      <c r="AI6" s="6"/>
      <c r="AJ6" s="6" t="s">
        <v>508</v>
      </c>
      <c r="AK6" s="613"/>
      <c r="AM6" s="572">
        <v>40</v>
      </c>
      <c r="AN6" s="6"/>
      <c r="AO6" s="6">
        <v>23</v>
      </c>
      <c r="AP6" s="613"/>
      <c r="AQ6" s="614"/>
      <c r="AR6" s="6"/>
      <c r="AS6" s="6" t="s">
        <v>152</v>
      </c>
      <c r="AT6" s="613"/>
    </row>
    <row r="7" spans="1:46" ht="33" customHeight="1" x14ac:dyDescent="0.25">
      <c r="A7" s="2206">
        <v>44868</v>
      </c>
      <c r="B7" s="574">
        <v>1</v>
      </c>
      <c r="C7" s="595"/>
      <c r="D7" s="596"/>
      <c r="E7" s="596">
        <v>10</v>
      </c>
      <c r="F7" s="597"/>
      <c r="G7" s="685"/>
      <c r="H7" s="620"/>
      <c r="I7" s="620" t="s">
        <v>509</v>
      </c>
      <c r="J7" s="687"/>
      <c r="K7" s="622"/>
      <c r="L7" s="572"/>
      <c r="M7" s="614"/>
      <c r="N7" s="6"/>
      <c r="O7" s="613"/>
      <c r="P7" s="614"/>
      <c r="Q7" s="614"/>
      <c r="R7" s="6"/>
      <c r="S7" s="613"/>
      <c r="T7" s="622"/>
      <c r="U7" s="572"/>
      <c r="V7" s="6"/>
      <c r="W7" s="6"/>
      <c r="X7" s="613"/>
      <c r="Y7" s="614"/>
      <c r="Z7" s="6"/>
      <c r="AA7" s="6"/>
      <c r="AB7" s="613"/>
      <c r="AC7" s="622"/>
      <c r="AD7" s="572"/>
      <c r="AE7" s="6"/>
      <c r="AF7" s="6"/>
      <c r="AG7" s="613"/>
      <c r="AH7" s="614"/>
      <c r="AI7" s="6"/>
      <c r="AJ7" s="6"/>
      <c r="AK7" s="613"/>
      <c r="AM7" s="572"/>
      <c r="AN7" s="6"/>
      <c r="AO7" s="6"/>
      <c r="AP7" s="613"/>
      <c r="AQ7" s="614"/>
      <c r="AR7" s="6"/>
      <c r="AS7" s="6"/>
      <c r="AT7" s="613"/>
    </row>
    <row r="8" spans="1:46" ht="33.6" customHeight="1" x14ac:dyDescent="0.25">
      <c r="A8" s="2205"/>
      <c r="B8" s="574">
        <v>2</v>
      </c>
      <c r="C8" s="595">
        <v>720</v>
      </c>
      <c r="D8" s="596"/>
      <c r="E8" s="596"/>
      <c r="F8" s="597"/>
      <c r="G8" s="684" t="s">
        <v>510</v>
      </c>
      <c r="H8" s="620"/>
      <c r="I8" s="620"/>
      <c r="J8" s="635"/>
      <c r="K8" s="622"/>
      <c r="L8" s="572"/>
      <c r="M8" s="6"/>
      <c r="N8" s="6"/>
      <c r="O8" s="613"/>
      <c r="P8" s="839"/>
      <c r="Q8" s="605"/>
      <c r="R8" s="605"/>
      <c r="S8" s="635"/>
      <c r="T8" s="622"/>
      <c r="U8" s="572"/>
      <c r="V8" s="831"/>
      <c r="W8" s="614"/>
      <c r="X8" s="613"/>
      <c r="Y8" s="839"/>
      <c r="Z8" s="6"/>
      <c r="AA8" s="6"/>
      <c r="AB8" s="635"/>
      <c r="AC8" s="622"/>
      <c r="AD8" s="572"/>
      <c r="AE8" s="6"/>
      <c r="AF8" s="6"/>
      <c r="AG8" s="613"/>
      <c r="AH8" s="614"/>
      <c r="AI8" s="6"/>
      <c r="AJ8" s="6"/>
      <c r="AK8" s="635"/>
      <c r="AM8" s="572"/>
      <c r="AN8" s="6"/>
      <c r="AO8" s="6"/>
      <c r="AP8" s="613"/>
      <c r="AQ8" s="614"/>
      <c r="AR8" s="6"/>
      <c r="AS8" s="6"/>
      <c r="AT8" s="635"/>
    </row>
    <row r="9" spans="1:46" ht="40.15" customHeight="1" x14ac:dyDescent="0.25">
      <c r="A9" s="2206">
        <v>44869</v>
      </c>
      <c r="B9" s="574">
        <v>1</v>
      </c>
      <c r="C9" s="595">
        <v>13</v>
      </c>
      <c r="D9" s="596">
        <v>16</v>
      </c>
      <c r="E9" s="596"/>
      <c r="F9" s="597"/>
      <c r="G9" s="684" t="s">
        <v>510</v>
      </c>
      <c r="H9" s="619" t="s">
        <v>511</v>
      </c>
      <c r="I9" s="619"/>
      <c r="J9" s="635"/>
      <c r="K9" s="622"/>
      <c r="L9" s="572"/>
      <c r="M9" s="6">
        <v>18</v>
      </c>
      <c r="N9" s="6"/>
      <c r="O9" s="613"/>
      <c r="P9" s="839"/>
      <c r="Q9" s="619" t="s">
        <v>511</v>
      </c>
      <c r="R9" s="605"/>
      <c r="S9" s="635"/>
      <c r="T9" s="622"/>
      <c r="U9" s="572"/>
      <c r="V9" s="6"/>
      <c r="W9" s="6"/>
      <c r="X9" s="613"/>
      <c r="Y9" s="614"/>
      <c r="Z9" s="6"/>
      <c r="AA9" s="6"/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/>
      <c r="AN9" s="6"/>
      <c r="AO9" s="6"/>
      <c r="AP9" s="613"/>
      <c r="AQ9" s="614"/>
      <c r="AR9" s="6"/>
      <c r="AS9" s="6"/>
      <c r="AT9" s="635"/>
    </row>
    <row r="10" spans="1:46" ht="47.45" customHeight="1" x14ac:dyDescent="0.25">
      <c r="A10" s="2205"/>
      <c r="B10" s="574">
        <v>2</v>
      </c>
      <c r="C10" s="595"/>
      <c r="D10" s="596"/>
      <c r="E10" s="596">
        <v>16</v>
      </c>
      <c r="F10" s="597"/>
      <c r="G10" s="685"/>
      <c r="H10" s="619"/>
      <c r="I10" s="620" t="s">
        <v>506</v>
      </c>
      <c r="J10" s="635"/>
      <c r="K10" s="622"/>
      <c r="L10" s="572"/>
      <c r="M10" s="6"/>
      <c r="N10" s="6"/>
      <c r="O10" s="613"/>
      <c r="P10" s="839"/>
      <c r="Q10" s="6"/>
      <c r="R10" s="605"/>
      <c r="S10" s="635"/>
      <c r="T10" s="622"/>
      <c r="U10" s="572"/>
      <c r="V10" s="6"/>
      <c r="W10" s="6"/>
      <c r="X10" s="613"/>
      <c r="Y10" s="572"/>
      <c r="Z10" s="839"/>
      <c r="AA10" s="6"/>
      <c r="AB10" s="635"/>
      <c r="AC10" s="622"/>
      <c r="AD10" s="572">
        <v>194</v>
      </c>
      <c r="AE10" s="6"/>
      <c r="AF10" s="6"/>
      <c r="AG10" s="613"/>
      <c r="AH10" s="845" t="s">
        <v>512</v>
      </c>
      <c r="AI10" s="6"/>
      <c r="AJ10" s="6"/>
      <c r="AK10" s="635"/>
      <c r="AM10" s="572"/>
      <c r="AN10" s="6"/>
      <c r="AO10" s="6"/>
      <c r="AP10" s="613"/>
      <c r="AQ10" s="614"/>
      <c r="AR10" s="6"/>
      <c r="AS10" s="6"/>
      <c r="AT10" s="635"/>
    </row>
    <row r="11" spans="1:46" ht="30.75" customHeight="1" x14ac:dyDescent="0.25">
      <c r="A11" s="2206">
        <v>44870</v>
      </c>
      <c r="B11" s="574">
        <v>1</v>
      </c>
      <c r="C11" s="595"/>
      <c r="D11" s="596"/>
      <c r="E11" s="596">
        <v>31</v>
      </c>
      <c r="F11" s="597"/>
      <c r="G11" s="684"/>
      <c r="H11" s="619"/>
      <c r="I11" s="620" t="s">
        <v>152</v>
      </c>
      <c r="J11" s="687"/>
      <c r="K11" s="622"/>
      <c r="L11" s="572"/>
      <c r="M11" s="6"/>
      <c r="N11" s="6"/>
      <c r="O11" s="613"/>
      <c r="P11" s="839"/>
      <c r="Q11" s="6"/>
      <c r="R11" s="605"/>
      <c r="S11" s="613"/>
      <c r="T11" s="622"/>
      <c r="U11" s="572"/>
      <c r="V11" s="6"/>
      <c r="W11" s="6"/>
      <c r="X11" s="613"/>
      <c r="Y11" s="614"/>
      <c r="Z11" s="6"/>
      <c r="AA11" s="6"/>
      <c r="AB11" s="613"/>
      <c r="AC11" s="622"/>
      <c r="AD11" s="572"/>
      <c r="AE11" s="6"/>
      <c r="AF11" s="6"/>
      <c r="AG11" s="613"/>
      <c r="AH11" s="614"/>
      <c r="AI11" s="6"/>
      <c r="AJ11" s="6"/>
      <c r="AK11" s="613"/>
      <c r="AM11" s="572"/>
      <c r="AN11" s="6"/>
      <c r="AO11" s="6"/>
      <c r="AP11" s="613"/>
      <c r="AQ11" s="614"/>
      <c r="AR11" s="6"/>
      <c r="AS11" s="6"/>
      <c r="AT11" s="613"/>
    </row>
    <row r="12" spans="1:46" ht="36.6" customHeight="1" x14ac:dyDescent="0.25">
      <c r="A12" s="2205"/>
      <c r="B12" s="574">
        <v>2</v>
      </c>
      <c r="C12" s="595"/>
      <c r="D12" s="596"/>
      <c r="E12" s="596">
        <v>84</v>
      </c>
      <c r="F12" s="597"/>
      <c r="G12" s="685"/>
      <c r="H12" s="619"/>
      <c r="I12" s="620" t="s">
        <v>514</v>
      </c>
      <c r="J12" s="635"/>
      <c r="K12" s="622"/>
      <c r="L12" s="572"/>
      <c r="M12" s="6"/>
      <c r="N12" s="6"/>
      <c r="O12" s="613"/>
      <c r="P12" s="839"/>
      <c r="Q12" s="6"/>
      <c r="R12" s="605"/>
      <c r="S12" s="635"/>
      <c r="T12" s="622"/>
      <c r="U12" s="572">
        <v>140</v>
      </c>
      <c r="V12" s="6"/>
      <c r="W12" s="6"/>
      <c r="X12" s="613"/>
      <c r="Y12" s="614" t="s">
        <v>513</v>
      </c>
      <c r="Z12" s="6"/>
      <c r="AA12" s="721"/>
      <c r="AB12" s="635"/>
      <c r="AC12" s="622"/>
      <c r="AD12" s="572"/>
      <c r="AE12" s="6"/>
      <c r="AF12" s="6"/>
      <c r="AG12" s="613"/>
      <c r="AH12" s="614"/>
      <c r="AI12" s="6"/>
      <c r="AJ12" s="6"/>
      <c r="AK12" s="635"/>
      <c r="AM12" s="572"/>
      <c r="AN12" s="6"/>
      <c r="AO12" s="6">
        <v>10</v>
      </c>
      <c r="AP12" s="613"/>
      <c r="AQ12" s="614"/>
      <c r="AR12" s="6"/>
      <c r="AS12" s="6" t="s">
        <v>152</v>
      </c>
      <c r="AT12" s="635"/>
    </row>
    <row r="13" spans="1:46" ht="40.5" customHeight="1" x14ac:dyDescent="0.25">
      <c r="A13" s="2206">
        <v>44871</v>
      </c>
      <c r="B13" s="574">
        <v>1</v>
      </c>
      <c r="C13" s="595"/>
      <c r="D13" s="596"/>
      <c r="E13" s="596">
        <v>28</v>
      </c>
      <c r="F13" s="597"/>
      <c r="G13" s="685"/>
      <c r="H13" s="619"/>
      <c r="I13" s="620" t="s">
        <v>152</v>
      </c>
      <c r="J13" s="635"/>
      <c r="K13" s="622"/>
      <c r="L13" s="572"/>
      <c r="M13" s="6"/>
      <c r="N13" s="6"/>
      <c r="O13" s="597"/>
      <c r="P13" s="839"/>
      <c r="Q13" s="6"/>
      <c r="R13" s="605"/>
      <c r="S13" s="635"/>
      <c r="T13" s="622"/>
      <c r="U13" s="572"/>
      <c r="V13" s="6"/>
      <c r="W13" s="6"/>
      <c r="X13" s="597"/>
      <c r="Y13" s="839"/>
      <c r="Z13" s="605"/>
      <c r="AA13" s="6"/>
      <c r="AB13" s="635"/>
      <c r="AC13" s="622"/>
      <c r="AD13" s="572"/>
      <c r="AE13" s="6"/>
      <c r="AF13" s="6"/>
      <c r="AG13" s="597"/>
      <c r="AH13" s="614"/>
      <c r="AI13" s="6"/>
      <c r="AJ13" s="6"/>
      <c r="AK13" s="635"/>
      <c r="AM13" s="572">
        <v>34</v>
      </c>
      <c r="AN13" s="6"/>
      <c r="AO13" s="6">
        <v>46</v>
      </c>
      <c r="AP13" s="597"/>
      <c r="AQ13" s="614" t="s">
        <v>113</v>
      </c>
      <c r="AR13" s="6"/>
      <c r="AS13" s="6" t="s">
        <v>152</v>
      </c>
      <c r="AT13" s="635"/>
    </row>
    <row r="14" spans="1:46" ht="34.15" customHeight="1" x14ac:dyDescent="0.25">
      <c r="A14" s="2205"/>
      <c r="B14" s="574">
        <v>2</v>
      </c>
      <c r="C14" s="595"/>
      <c r="D14" s="596"/>
      <c r="E14" s="596">
        <v>52</v>
      </c>
      <c r="F14" s="597"/>
      <c r="G14" s="685"/>
      <c r="H14" s="620"/>
      <c r="I14" s="620" t="s">
        <v>152</v>
      </c>
      <c r="J14" s="635"/>
      <c r="K14" s="622"/>
      <c r="L14" s="572"/>
      <c r="M14" s="6"/>
      <c r="N14" s="6"/>
      <c r="O14" s="597"/>
      <c r="P14" s="614"/>
      <c r="Q14" s="6"/>
      <c r="R14" s="6"/>
      <c r="S14" s="635"/>
      <c r="T14" s="622"/>
      <c r="U14" s="572"/>
      <c r="V14" s="6"/>
      <c r="W14" s="6">
        <v>30</v>
      </c>
      <c r="X14" s="597"/>
      <c r="Y14" s="839"/>
      <c r="Z14" s="605"/>
      <c r="AA14" s="605" t="s">
        <v>152</v>
      </c>
      <c r="AB14" s="635"/>
      <c r="AC14" s="622"/>
      <c r="AD14" s="572"/>
      <c r="AE14" s="6"/>
      <c r="AF14" s="6">
        <v>25</v>
      </c>
      <c r="AG14" s="597"/>
      <c r="AH14" s="839"/>
      <c r="AI14" s="6"/>
      <c r="AJ14" s="6" t="s">
        <v>506</v>
      </c>
      <c r="AK14" s="635"/>
      <c r="AM14" s="572"/>
      <c r="AN14" s="6"/>
      <c r="AO14" s="6">
        <v>64</v>
      </c>
      <c r="AP14" s="597"/>
      <c r="AQ14" s="839"/>
      <c r="AR14" s="6"/>
      <c r="AS14" s="6" t="s">
        <v>152</v>
      </c>
      <c r="AT14" s="635"/>
    </row>
    <row r="15" spans="1:46" ht="43.9" customHeight="1" x14ac:dyDescent="0.25">
      <c r="A15" s="2206">
        <v>44872</v>
      </c>
      <c r="B15" s="574">
        <v>1</v>
      </c>
      <c r="C15" s="595"/>
      <c r="D15" s="596">
        <v>72</v>
      </c>
      <c r="E15" s="6">
        <v>12</v>
      </c>
      <c r="F15" s="597"/>
      <c r="G15" s="685"/>
      <c r="H15" s="620" t="s">
        <v>276</v>
      </c>
      <c r="I15" s="620" t="s">
        <v>152</v>
      </c>
      <c r="J15" s="635"/>
      <c r="K15" s="622"/>
      <c r="L15" s="572"/>
      <c r="M15" s="6">
        <v>76</v>
      </c>
      <c r="N15" s="6"/>
      <c r="O15" s="597"/>
      <c r="P15" s="572"/>
      <c r="Q15" s="620" t="s">
        <v>276</v>
      </c>
      <c r="R15" s="6"/>
      <c r="S15" s="635"/>
      <c r="T15" s="622"/>
      <c r="U15" s="572"/>
      <c r="V15" s="6">
        <v>23</v>
      </c>
      <c r="W15" s="6">
        <v>17</v>
      </c>
      <c r="X15" s="597"/>
      <c r="Y15" s="572"/>
      <c r="Z15" s="620" t="s">
        <v>515</v>
      </c>
      <c r="AA15" s="728" t="s">
        <v>152</v>
      </c>
      <c r="AB15" s="635"/>
      <c r="AC15" s="622"/>
      <c r="AD15" s="572"/>
      <c r="AE15" s="6">
        <v>25</v>
      </c>
      <c r="AF15" s="622"/>
      <c r="AG15" s="597"/>
      <c r="AI15" s="692" t="s">
        <v>515</v>
      </c>
      <c r="AJ15" s="6"/>
      <c r="AK15" s="635"/>
      <c r="AM15" s="572"/>
      <c r="AN15" s="6"/>
      <c r="AO15" s="622"/>
      <c r="AP15" s="597"/>
      <c r="AR15" s="692"/>
      <c r="AS15" s="6"/>
      <c r="AT15" s="635"/>
    </row>
    <row r="16" spans="1:46" ht="37.5" customHeight="1" x14ac:dyDescent="0.25">
      <c r="A16" s="2205"/>
      <c r="B16" s="574">
        <v>2</v>
      </c>
      <c r="C16" s="595"/>
      <c r="D16" s="596"/>
      <c r="E16" s="596">
        <v>33</v>
      </c>
      <c r="F16" s="597"/>
      <c r="G16" s="684"/>
      <c r="H16" s="830"/>
      <c r="I16" s="620" t="s">
        <v>152</v>
      </c>
      <c r="J16" s="635"/>
      <c r="K16" s="622"/>
      <c r="L16" s="572"/>
      <c r="M16" s="6"/>
      <c r="N16" s="6"/>
      <c r="O16" s="597"/>
      <c r="P16" s="572"/>
      <c r="Q16" s="6"/>
      <c r="R16" s="6"/>
      <c r="S16" s="635"/>
      <c r="T16" s="622"/>
      <c r="U16" s="572"/>
      <c r="V16" s="6"/>
      <c r="W16" s="6"/>
      <c r="X16" s="597"/>
      <c r="Y16" s="619"/>
      <c r="Z16" s="619"/>
      <c r="AA16" s="6"/>
      <c r="AB16" s="635"/>
      <c r="AC16" s="622"/>
      <c r="AD16" s="572"/>
      <c r="AE16" s="6"/>
      <c r="AF16" s="6"/>
      <c r="AG16" s="597"/>
      <c r="AH16" s="572"/>
      <c r="AI16" s="6"/>
      <c r="AJ16" s="6"/>
      <c r="AK16" s="635"/>
      <c r="AM16" s="572"/>
      <c r="AN16" s="6"/>
      <c r="AO16" s="6">
        <v>345</v>
      </c>
      <c r="AP16" s="597"/>
      <c r="AQ16" s="572"/>
      <c r="AR16" s="6"/>
      <c r="AS16" s="6" t="s">
        <v>516</v>
      </c>
      <c r="AT16" s="635"/>
    </row>
    <row r="17" spans="1:46" ht="39" customHeight="1" x14ac:dyDescent="0.25">
      <c r="A17" s="2206">
        <v>44873</v>
      </c>
      <c r="B17" s="644">
        <v>1</v>
      </c>
      <c r="C17" s="595"/>
      <c r="D17" s="596"/>
      <c r="E17" s="596">
        <v>17</v>
      </c>
      <c r="F17" s="597"/>
      <c r="G17" s="685"/>
      <c r="H17" s="619"/>
      <c r="I17" s="620" t="s">
        <v>152</v>
      </c>
      <c r="J17" s="635"/>
      <c r="K17" s="622"/>
      <c r="L17" s="572"/>
      <c r="M17" s="6"/>
      <c r="N17" s="6"/>
      <c r="O17" s="597"/>
      <c r="P17" s="572"/>
      <c r="Q17" s="6"/>
      <c r="R17" s="6"/>
      <c r="S17" s="635"/>
      <c r="T17" s="622"/>
      <c r="U17" s="572"/>
      <c r="V17" s="6"/>
      <c r="W17" s="6">
        <v>33</v>
      </c>
      <c r="X17" s="597"/>
      <c r="Y17" s="619"/>
      <c r="Z17" s="619"/>
      <c r="AA17" s="6" t="s">
        <v>517</v>
      </c>
      <c r="AB17" s="635"/>
      <c r="AC17" s="622"/>
      <c r="AD17" s="572"/>
      <c r="AE17" s="6"/>
      <c r="AF17" s="6"/>
      <c r="AG17" s="597"/>
      <c r="AH17" s="572"/>
      <c r="AI17" s="6"/>
      <c r="AJ17" s="605"/>
      <c r="AK17" s="635"/>
      <c r="AM17" s="572"/>
      <c r="AN17" s="6"/>
      <c r="AO17" s="6">
        <v>25</v>
      </c>
      <c r="AP17" s="597"/>
      <c r="AQ17" s="572"/>
      <c r="AR17" s="6"/>
      <c r="AS17" s="605" t="s">
        <v>152</v>
      </c>
      <c r="AT17" s="635"/>
    </row>
    <row r="18" spans="1:46" ht="63.6" customHeight="1" x14ac:dyDescent="0.25">
      <c r="A18" s="2205"/>
      <c r="B18" s="574">
        <v>2</v>
      </c>
      <c r="C18" s="595"/>
      <c r="D18" s="596"/>
      <c r="E18" s="596">
        <v>30</v>
      </c>
      <c r="F18" s="597"/>
      <c r="G18" s="684"/>
      <c r="H18" s="620"/>
      <c r="I18" s="619" t="s">
        <v>152</v>
      </c>
      <c r="J18" s="635"/>
      <c r="K18" s="622"/>
      <c r="L18" s="572"/>
      <c r="M18" s="6"/>
      <c r="N18" s="6"/>
      <c r="O18" s="597"/>
      <c r="P18" s="572"/>
      <c r="Q18" s="6"/>
      <c r="R18" s="6"/>
      <c r="S18" s="635"/>
      <c r="T18" s="622"/>
      <c r="U18" s="572"/>
      <c r="V18" s="6"/>
      <c r="W18" s="6"/>
      <c r="X18" s="597"/>
      <c r="Y18" s="567"/>
      <c r="Z18" s="6"/>
      <c r="AA18" s="605"/>
      <c r="AB18" s="635"/>
      <c r="AC18" s="622"/>
      <c r="AD18" s="572"/>
      <c r="AE18" s="6"/>
      <c r="AF18" s="6"/>
      <c r="AG18" s="597"/>
      <c r="AH18" s="572"/>
      <c r="AI18" s="6"/>
      <c r="AJ18" s="605"/>
      <c r="AK18" s="635"/>
      <c r="AM18" s="572"/>
      <c r="AN18" s="6"/>
      <c r="AO18" s="6">
        <v>35</v>
      </c>
      <c r="AP18" s="597"/>
      <c r="AQ18" s="572"/>
      <c r="AR18" s="6"/>
      <c r="AS18" s="605" t="s">
        <v>152</v>
      </c>
      <c r="AT18" s="635"/>
    </row>
    <row r="19" spans="1:46" ht="33.6" customHeight="1" x14ac:dyDescent="0.25">
      <c r="A19" s="2206">
        <v>44874</v>
      </c>
      <c r="B19" s="574">
        <v>1</v>
      </c>
      <c r="C19" s="622"/>
      <c r="D19" s="596"/>
      <c r="E19" s="596">
        <v>33</v>
      </c>
      <c r="F19" s="597"/>
      <c r="G19" s="685"/>
      <c r="H19" s="619"/>
      <c r="I19" s="620" t="s">
        <v>152</v>
      </c>
      <c r="J19" s="635"/>
      <c r="K19" s="622"/>
      <c r="L19" s="572"/>
      <c r="M19" s="6"/>
      <c r="N19" s="6"/>
      <c r="O19" s="597"/>
      <c r="P19" s="572"/>
      <c r="Q19" s="6"/>
      <c r="R19" s="6"/>
      <c r="S19" s="635"/>
      <c r="T19" s="622"/>
      <c r="U19" s="572"/>
      <c r="V19" s="6"/>
      <c r="W19" s="6">
        <v>10</v>
      </c>
      <c r="X19" s="597"/>
      <c r="Y19" s="572"/>
      <c r="Z19" s="605"/>
      <c r="AA19" s="605" t="s">
        <v>152</v>
      </c>
      <c r="AB19" s="635"/>
      <c r="AC19" s="622"/>
      <c r="AD19" s="572"/>
      <c r="AE19" s="6"/>
      <c r="AF19" s="6"/>
      <c r="AG19" s="597"/>
      <c r="AH19" s="572"/>
      <c r="AI19" s="6"/>
      <c r="AJ19" s="605"/>
      <c r="AK19" s="635"/>
      <c r="AM19" s="572"/>
      <c r="AN19" s="6"/>
      <c r="AO19" s="6"/>
      <c r="AP19" s="597"/>
      <c r="AQ19" s="572"/>
      <c r="AR19" s="6"/>
      <c r="AS19" s="605"/>
      <c r="AT19" s="635"/>
    </row>
    <row r="20" spans="1:46" ht="56.45" customHeight="1" x14ac:dyDescent="0.25">
      <c r="A20" s="2205"/>
      <c r="B20" s="574">
        <v>2</v>
      </c>
      <c r="C20" s="595"/>
      <c r="D20" s="596"/>
      <c r="E20" s="596">
        <v>21</v>
      </c>
      <c r="F20" s="597"/>
      <c r="G20" s="685"/>
      <c r="H20" s="620"/>
      <c r="I20" s="620" t="s">
        <v>152</v>
      </c>
      <c r="J20" s="635"/>
      <c r="K20" s="622"/>
      <c r="L20" s="572">
        <v>273</v>
      </c>
      <c r="M20" s="6"/>
      <c r="N20" s="6"/>
      <c r="O20" s="597"/>
      <c r="P20" s="572" t="s">
        <v>45</v>
      </c>
      <c r="Q20" s="6"/>
      <c r="R20" s="6"/>
      <c r="S20" s="635"/>
      <c r="T20" s="622"/>
      <c r="U20" s="572"/>
      <c r="V20" s="250"/>
      <c r="W20" s="6"/>
      <c r="X20" s="597"/>
      <c r="Y20" s="572"/>
      <c r="Z20" s="605"/>
      <c r="AA20" s="724"/>
      <c r="AB20" s="635"/>
      <c r="AC20" s="622"/>
      <c r="AD20" s="572"/>
      <c r="AE20" s="6"/>
      <c r="AF20" s="6"/>
      <c r="AG20" s="597"/>
      <c r="AH20" s="567"/>
      <c r="AI20" s="6"/>
      <c r="AJ20" s="6"/>
      <c r="AK20" s="726"/>
      <c r="AM20" s="572"/>
      <c r="AN20" s="6"/>
      <c r="AO20" s="6">
        <v>30</v>
      </c>
      <c r="AP20" s="597"/>
      <c r="AQ20" s="567"/>
      <c r="AR20" s="6"/>
      <c r="AS20" s="6" t="s">
        <v>152</v>
      </c>
      <c r="AT20" s="726"/>
    </row>
    <row r="21" spans="1:46" ht="97.15" customHeight="1" x14ac:dyDescent="0.25">
      <c r="A21" s="2206">
        <v>44875</v>
      </c>
      <c r="B21" s="574">
        <v>1</v>
      </c>
      <c r="C21" s="595"/>
      <c r="D21" s="596"/>
      <c r="E21" s="596"/>
      <c r="F21" s="597"/>
      <c r="G21" s="688"/>
      <c r="H21" s="619"/>
      <c r="I21" s="620"/>
      <c r="J21" s="635"/>
      <c r="K21" s="622"/>
      <c r="L21" s="572"/>
      <c r="M21" s="6"/>
      <c r="N21" s="6"/>
      <c r="O21" s="597"/>
      <c r="P21" s="572"/>
      <c r="Q21" s="6"/>
      <c r="R21" s="6"/>
      <c r="S21" s="635"/>
      <c r="T21" s="622"/>
      <c r="U21" s="572"/>
      <c r="V21" s="6"/>
      <c r="W21" s="6"/>
      <c r="X21" s="597"/>
      <c r="Y21" s="572"/>
      <c r="Z21" s="6"/>
      <c r="AA21" s="605"/>
      <c r="AB21" s="635"/>
      <c r="AC21" s="622"/>
      <c r="AD21" s="572"/>
      <c r="AE21" s="6"/>
      <c r="AF21" s="6"/>
      <c r="AG21" s="597"/>
      <c r="AH21" s="572"/>
      <c r="AI21" s="6"/>
      <c r="AJ21" s="6"/>
      <c r="AK21" s="726"/>
      <c r="AM21" s="572"/>
      <c r="AN21" s="6"/>
      <c r="AO21" s="6"/>
      <c r="AP21" s="597"/>
      <c r="AQ21" s="572"/>
      <c r="AR21" s="605"/>
      <c r="AS21" s="50"/>
      <c r="AT21" s="635"/>
    </row>
    <row r="22" spans="1:46" ht="55.9" customHeight="1" x14ac:dyDescent="0.25">
      <c r="A22" s="2205"/>
      <c r="B22" s="574">
        <v>2</v>
      </c>
      <c r="C22" s="595"/>
      <c r="D22" s="596"/>
      <c r="E22" s="596"/>
      <c r="F22" s="597"/>
      <c r="G22" s="836"/>
      <c r="H22" s="620"/>
      <c r="I22" s="620"/>
      <c r="J22" s="635"/>
      <c r="K22" s="622"/>
      <c r="L22" s="572"/>
      <c r="M22" s="6"/>
      <c r="N22" s="6"/>
      <c r="O22" s="597"/>
      <c r="P22" s="839"/>
      <c r="Q22" s="6"/>
      <c r="R22" s="6"/>
      <c r="S22" s="635"/>
      <c r="T22" s="622"/>
      <c r="U22" s="572"/>
      <c r="V22" s="6"/>
      <c r="W22" s="6"/>
      <c r="X22" s="597"/>
      <c r="Y22" s="572"/>
      <c r="Z22" s="6"/>
      <c r="AA22" s="605"/>
      <c r="AB22" s="635"/>
      <c r="AC22" s="622"/>
      <c r="AD22" s="572"/>
      <c r="AE22" s="6"/>
      <c r="AF22" s="6"/>
      <c r="AG22" s="597"/>
      <c r="AH22" s="567"/>
      <c r="AI22" s="6"/>
      <c r="AJ22" s="6"/>
      <c r="AK22" s="726"/>
      <c r="AM22" s="572"/>
      <c r="AN22" s="6">
        <v>41</v>
      </c>
      <c r="AO22" s="6"/>
      <c r="AP22" s="597"/>
      <c r="AQ22" s="572"/>
      <c r="AR22" s="605" t="s">
        <v>518</v>
      </c>
      <c r="AS22" s="50"/>
      <c r="AT22" s="635"/>
    </row>
    <row r="23" spans="1:46" ht="37.9" customHeight="1" x14ac:dyDescent="0.25">
      <c r="A23" s="2206">
        <v>44876</v>
      </c>
      <c r="B23" s="644">
        <v>1</v>
      </c>
      <c r="C23" s="595"/>
      <c r="D23" s="596"/>
      <c r="E23" s="596">
        <v>17</v>
      </c>
      <c r="F23" s="597"/>
      <c r="G23" s="685"/>
      <c r="H23" s="619"/>
      <c r="I23" s="620" t="s">
        <v>152</v>
      </c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/>
      <c r="V23" s="6"/>
      <c r="W23" s="6"/>
      <c r="X23" s="597"/>
      <c r="Y23" s="684"/>
      <c r="Z23" s="619"/>
      <c r="AA23" s="620"/>
      <c r="AB23" s="635"/>
      <c r="AC23" s="622"/>
      <c r="AD23" s="572"/>
      <c r="AE23" s="6"/>
      <c r="AF23" s="6"/>
      <c r="AG23" s="597"/>
      <c r="AH23" s="6"/>
      <c r="AI23" s="619"/>
      <c r="AJ23" s="620"/>
      <c r="AK23" s="726"/>
      <c r="AM23" s="572"/>
      <c r="AN23" s="6"/>
      <c r="AO23" s="6"/>
      <c r="AP23" s="597"/>
      <c r="AQ23" s="6"/>
      <c r="AR23" s="619"/>
      <c r="AS23" s="692"/>
      <c r="AT23" s="635"/>
    </row>
    <row r="24" spans="1:46" ht="49.9" customHeight="1" x14ac:dyDescent="0.25">
      <c r="A24" s="2205"/>
      <c r="B24" s="574">
        <v>2</v>
      </c>
      <c r="C24" s="595"/>
      <c r="D24" s="596"/>
      <c r="E24" s="596"/>
      <c r="F24" s="597"/>
      <c r="G24" s="685"/>
      <c r="H24" s="619"/>
      <c r="I24" s="620"/>
      <c r="J24" s="635"/>
      <c r="K24" s="622"/>
      <c r="L24" s="572"/>
      <c r="M24" s="6"/>
      <c r="N24" s="6"/>
      <c r="O24" s="597"/>
      <c r="P24" s="685"/>
      <c r="Q24" s="619"/>
      <c r="R24" s="620"/>
      <c r="S24" s="635"/>
      <c r="T24" s="622"/>
      <c r="U24" s="572"/>
      <c r="V24" s="6"/>
      <c r="W24" s="6">
        <v>28</v>
      </c>
      <c r="X24" s="597"/>
      <c r="Y24" s="685"/>
      <c r="Z24" s="619"/>
      <c r="AA24" s="620" t="s">
        <v>331</v>
      </c>
      <c r="AB24" s="635"/>
      <c r="AC24" s="622"/>
      <c r="AD24" s="572"/>
      <c r="AE24" s="6"/>
      <c r="AF24" s="6"/>
      <c r="AG24" s="597"/>
      <c r="AH24" s="6"/>
      <c r="AI24" s="619"/>
      <c r="AJ24" s="6"/>
      <c r="AK24" s="726"/>
      <c r="AM24" s="572"/>
      <c r="AN24" s="6"/>
      <c r="AO24" s="6">
        <v>25</v>
      </c>
      <c r="AP24" s="597"/>
      <c r="AQ24" s="6"/>
      <c r="AR24" s="619"/>
      <c r="AS24" s="50" t="s">
        <v>152</v>
      </c>
      <c r="AT24" s="635"/>
    </row>
    <row r="25" spans="1:46" ht="46.15" customHeight="1" x14ac:dyDescent="0.25">
      <c r="A25" s="2206">
        <v>44877</v>
      </c>
      <c r="B25" s="574">
        <v>1</v>
      </c>
      <c r="C25" s="595"/>
      <c r="D25" s="596"/>
      <c r="E25" s="596"/>
      <c r="F25" s="597"/>
      <c r="G25" s="685"/>
      <c r="H25" s="619"/>
      <c r="I25" s="620"/>
      <c r="J25" s="635"/>
      <c r="K25" s="622"/>
      <c r="L25" s="572"/>
      <c r="M25" s="6"/>
      <c r="N25" s="6"/>
      <c r="O25" s="597"/>
      <c r="P25" s="572"/>
      <c r="Q25" s="619"/>
      <c r="R25" s="6"/>
      <c r="S25" s="635"/>
      <c r="T25" s="622"/>
      <c r="U25" s="572"/>
      <c r="V25" s="6">
        <v>8</v>
      </c>
      <c r="W25" s="6"/>
      <c r="X25" s="597"/>
      <c r="Y25" s="572"/>
      <c r="Z25" s="605" t="s">
        <v>519</v>
      </c>
      <c r="AA25" s="605"/>
      <c r="AB25" s="635"/>
      <c r="AC25" s="622"/>
      <c r="AD25" s="572"/>
      <c r="AE25" s="6"/>
      <c r="AF25" s="6"/>
      <c r="AG25" s="597"/>
      <c r="AH25" s="6"/>
      <c r="AI25" s="6"/>
      <c r="AJ25" s="6"/>
      <c r="AK25" s="726"/>
      <c r="AM25" s="572"/>
      <c r="AN25" s="6"/>
      <c r="AO25" s="6">
        <v>20</v>
      </c>
      <c r="AP25" s="597"/>
      <c r="AQ25" s="6"/>
      <c r="AR25" s="6"/>
      <c r="AS25" s="50" t="s">
        <v>152</v>
      </c>
      <c r="AT25" s="635"/>
    </row>
    <row r="26" spans="1:46" ht="42" customHeight="1" x14ac:dyDescent="0.25">
      <c r="A26" s="2205"/>
      <c r="B26" s="574">
        <v>2</v>
      </c>
      <c r="C26" s="595"/>
      <c r="D26" s="596"/>
      <c r="E26" s="596"/>
      <c r="F26" s="597"/>
      <c r="G26" s="685"/>
      <c r="H26" s="620"/>
      <c r="I26" s="692"/>
      <c r="J26" s="635"/>
      <c r="K26" s="622"/>
      <c r="L26" s="572"/>
      <c r="M26" s="6"/>
      <c r="N26" s="6"/>
      <c r="O26" s="597"/>
      <c r="P26" s="685"/>
      <c r="Q26" s="620"/>
      <c r="R26" s="620"/>
      <c r="S26" s="635"/>
      <c r="T26" s="622"/>
      <c r="U26" s="572"/>
      <c r="V26" s="596"/>
      <c r="W26" s="6"/>
      <c r="X26" s="597"/>
      <c r="Y26" s="685"/>
      <c r="Z26" s="620"/>
      <c r="AA26" s="620"/>
      <c r="AB26" s="635"/>
      <c r="AC26" s="622"/>
      <c r="AD26" s="572"/>
      <c r="AE26" s="596"/>
      <c r="AF26" s="6"/>
      <c r="AG26" s="597"/>
      <c r="AH26" s="6"/>
      <c r="AI26" s="6"/>
      <c r="AJ26" s="6"/>
      <c r="AK26" s="726"/>
      <c r="AM26" s="572"/>
      <c r="AN26" s="596"/>
      <c r="AO26" s="6">
        <v>24</v>
      </c>
      <c r="AP26" s="597"/>
      <c r="AQ26" s="6"/>
      <c r="AR26" s="6"/>
      <c r="AS26" s="50" t="s">
        <v>152</v>
      </c>
      <c r="AT26" s="635"/>
    </row>
    <row r="27" spans="1:46" ht="49.9" customHeight="1" x14ac:dyDescent="0.25">
      <c r="A27" s="2206">
        <v>44878</v>
      </c>
      <c r="B27" s="644">
        <v>1</v>
      </c>
      <c r="C27" s="595"/>
      <c r="D27" s="596">
        <v>6</v>
      </c>
      <c r="E27" s="596">
        <v>22</v>
      </c>
      <c r="F27" s="597"/>
      <c r="G27" s="685"/>
      <c r="H27" s="619" t="s">
        <v>276</v>
      </c>
      <c r="I27" s="692" t="s">
        <v>152</v>
      </c>
      <c r="J27" s="635"/>
      <c r="K27" s="622"/>
      <c r="L27" s="572"/>
      <c r="M27" s="6"/>
      <c r="N27" s="6"/>
      <c r="O27" s="597"/>
      <c r="P27" s="685"/>
      <c r="Q27" s="619"/>
      <c r="R27" s="620"/>
      <c r="S27" s="635"/>
      <c r="T27" s="622"/>
      <c r="U27" s="572"/>
      <c r="V27" s="6"/>
      <c r="W27" s="6">
        <v>45</v>
      </c>
      <c r="X27" s="613"/>
      <c r="Y27" s="685"/>
      <c r="Z27" s="619"/>
      <c r="AA27" s="620" t="s">
        <v>152</v>
      </c>
      <c r="AB27" s="635"/>
      <c r="AC27" s="622"/>
      <c r="AD27" s="572"/>
      <c r="AE27" s="6"/>
      <c r="AF27" s="6">
        <v>11</v>
      </c>
      <c r="AG27" s="613"/>
      <c r="AH27" s="6"/>
      <c r="AI27" s="6"/>
      <c r="AJ27" s="620" t="s">
        <v>152</v>
      </c>
      <c r="AK27" s="726"/>
      <c r="AM27" s="572"/>
      <c r="AN27" s="6"/>
      <c r="AO27" s="6"/>
      <c r="AP27" s="613"/>
      <c r="AQ27" s="6"/>
      <c r="AR27" s="6"/>
      <c r="AS27" s="692"/>
      <c r="AT27" s="635"/>
    </row>
    <row r="28" spans="1:46" ht="49.15" customHeight="1" x14ac:dyDescent="0.25">
      <c r="A28" s="2205"/>
      <c r="B28" s="574">
        <v>2</v>
      </c>
      <c r="C28" s="595"/>
      <c r="D28" s="596">
        <v>10</v>
      </c>
      <c r="E28" s="596">
        <v>29</v>
      </c>
      <c r="F28" s="597"/>
      <c r="G28" s="620"/>
      <c r="H28" s="620" t="s">
        <v>520</v>
      </c>
      <c r="I28" s="692" t="s">
        <v>152</v>
      </c>
      <c r="J28" s="635"/>
      <c r="K28" s="622"/>
      <c r="L28" s="572"/>
      <c r="M28" s="6"/>
      <c r="N28" s="6"/>
      <c r="O28" s="597"/>
      <c r="P28" s="620"/>
      <c r="Q28" s="620"/>
      <c r="R28" s="620"/>
      <c r="S28" s="634"/>
      <c r="T28" s="622"/>
      <c r="U28" s="572"/>
      <c r="V28" s="6">
        <v>10</v>
      </c>
      <c r="W28" s="622">
        <v>23</v>
      </c>
      <c r="X28" s="597"/>
      <c r="Y28" s="620"/>
      <c r="Z28" s="6" t="s">
        <v>520</v>
      </c>
      <c r="AA28" s="692" t="s">
        <v>152</v>
      </c>
      <c r="AB28" s="635"/>
      <c r="AC28" s="622"/>
      <c r="AD28" s="572"/>
      <c r="AE28" s="6">
        <v>47</v>
      </c>
      <c r="AF28" s="6"/>
      <c r="AG28" s="597"/>
      <c r="AH28" s="605"/>
      <c r="AI28" s="6" t="s">
        <v>520</v>
      </c>
      <c r="AJ28" s="692"/>
      <c r="AK28" s="634"/>
      <c r="AM28" s="572"/>
      <c r="AN28" s="6"/>
      <c r="AO28" s="6"/>
      <c r="AP28" s="597"/>
      <c r="AQ28" s="605"/>
      <c r="AR28" s="6"/>
      <c r="AS28" s="692"/>
      <c r="AT28" s="634"/>
    </row>
    <row r="29" spans="1:46" ht="57" customHeight="1" x14ac:dyDescent="0.25">
      <c r="A29" s="2206">
        <v>44879</v>
      </c>
      <c r="B29" s="574">
        <v>1</v>
      </c>
      <c r="C29" s="595"/>
      <c r="D29" s="596"/>
      <c r="E29" s="596"/>
      <c r="F29" s="597"/>
      <c r="G29" s="684"/>
      <c r="H29" s="619"/>
      <c r="I29" s="692"/>
      <c r="J29" s="635"/>
      <c r="K29" s="622"/>
      <c r="L29" s="572"/>
      <c r="M29" s="6"/>
      <c r="N29" s="6"/>
      <c r="O29" s="597"/>
      <c r="P29" s="685"/>
      <c r="Q29" s="619"/>
      <c r="R29" s="620"/>
      <c r="S29" s="635"/>
      <c r="T29" s="622"/>
      <c r="U29" s="572"/>
      <c r="V29" s="6"/>
      <c r="W29" s="6"/>
      <c r="X29" s="597"/>
      <c r="Y29" s="685"/>
      <c r="Z29" s="619"/>
      <c r="AA29" s="692"/>
      <c r="AB29" s="635"/>
      <c r="AC29" s="622"/>
      <c r="AD29" s="572"/>
      <c r="AE29" s="6"/>
      <c r="AF29" s="6"/>
      <c r="AG29" s="597"/>
      <c r="AH29" s="685"/>
      <c r="AI29" s="620"/>
      <c r="AJ29" s="620"/>
      <c r="AK29" s="613"/>
      <c r="AM29" s="572"/>
      <c r="AN29" s="6"/>
      <c r="AO29" s="6"/>
      <c r="AP29" s="597"/>
      <c r="AQ29" s="685"/>
      <c r="AR29" s="619"/>
      <c r="AS29" s="620"/>
      <c r="AT29" s="613"/>
    </row>
    <row r="30" spans="1:46" ht="39.75" customHeight="1" x14ac:dyDescent="0.25">
      <c r="A30" s="2205"/>
      <c r="B30" s="644">
        <v>2</v>
      </c>
      <c r="C30" s="595"/>
      <c r="D30" s="596"/>
      <c r="E30" s="596"/>
      <c r="F30" s="597"/>
      <c r="G30" s="685"/>
      <c r="H30" s="619"/>
      <c r="I30" s="620"/>
      <c r="J30" s="635"/>
      <c r="K30" s="622"/>
      <c r="L30" s="572"/>
      <c r="M30" s="6"/>
      <c r="N30" s="6"/>
      <c r="O30" s="597"/>
      <c r="P30" s="685"/>
      <c r="Q30" s="620"/>
      <c r="R30" s="620"/>
      <c r="S30" s="635"/>
      <c r="T30" s="622"/>
      <c r="U30" s="572"/>
      <c r="V30" s="6"/>
      <c r="W30" s="6"/>
      <c r="X30" s="597"/>
      <c r="Y30" s="685"/>
      <c r="Z30" s="619"/>
      <c r="AA30" s="620"/>
      <c r="AB30" s="613"/>
      <c r="AC30" s="622"/>
      <c r="AD30" s="572"/>
      <c r="AE30" s="6"/>
      <c r="AF30" s="6"/>
      <c r="AG30" s="597"/>
      <c r="AH30" s="685"/>
      <c r="AI30" s="619"/>
      <c r="AJ30" s="620"/>
      <c r="AK30" s="613"/>
      <c r="AM30" s="572"/>
      <c r="AN30" s="6"/>
      <c r="AO30" s="6">
        <v>29</v>
      </c>
      <c r="AP30" s="597"/>
      <c r="AQ30" s="685"/>
      <c r="AR30" s="619"/>
      <c r="AS30" s="620" t="s">
        <v>152</v>
      </c>
      <c r="AT30" s="613"/>
    </row>
    <row r="31" spans="1:46" ht="48.6" customHeight="1" x14ac:dyDescent="0.25">
      <c r="A31" s="2206">
        <v>44880</v>
      </c>
      <c r="B31" s="574">
        <v>1</v>
      </c>
      <c r="C31" s="595"/>
      <c r="D31" s="596"/>
      <c r="E31" s="596">
        <v>28</v>
      </c>
      <c r="F31" s="597"/>
      <c r="G31" s="685"/>
      <c r="H31" s="619"/>
      <c r="I31" s="620" t="s">
        <v>152</v>
      </c>
      <c r="J31" s="635"/>
      <c r="K31" s="622"/>
      <c r="L31" s="572"/>
      <c r="M31" s="6"/>
      <c r="N31" s="6"/>
      <c r="O31" s="597"/>
      <c r="P31" s="614"/>
      <c r="Q31" s="6"/>
      <c r="R31" s="6"/>
      <c r="S31" s="635"/>
      <c r="T31" s="622"/>
      <c r="U31" s="572"/>
      <c r="V31" s="6"/>
      <c r="W31" s="6"/>
      <c r="X31" s="597"/>
      <c r="Y31" s="614"/>
      <c r="Z31" s="6"/>
      <c r="AA31" s="6"/>
      <c r="AB31" s="635"/>
      <c r="AC31" s="622"/>
      <c r="AD31" s="572"/>
      <c r="AE31" s="6"/>
      <c r="AF31" s="6">
        <v>17</v>
      </c>
      <c r="AG31" s="597"/>
      <c r="AH31" s="614"/>
      <c r="AI31" s="6"/>
      <c r="AJ31" s="6" t="s">
        <v>508</v>
      </c>
      <c r="AK31" s="635"/>
      <c r="AM31" s="572"/>
      <c r="AN31" s="6"/>
      <c r="AO31" s="6"/>
      <c r="AP31" s="597"/>
      <c r="AQ31" s="614"/>
      <c r="AR31" s="6"/>
      <c r="AS31" s="6"/>
      <c r="AT31" s="635"/>
    </row>
    <row r="32" spans="1:46" ht="42.75" customHeight="1" x14ac:dyDescent="0.25">
      <c r="A32" s="2205"/>
      <c r="B32" s="574">
        <v>2</v>
      </c>
      <c r="C32" s="595"/>
      <c r="D32" s="596"/>
      <c r="E32" s="596">
        <v>38</v>
      </c>
      <c r="F32" s="597"/>
      <c r="G32" s="685"/>
      <c r="H32" s="619"/>
      <c r="I32" s="692" t="s">
        <v>152</v>
      </c>
      <c r="J32" s="687"/>
      <c r="K32" s="622"/>
      <c r="L32" s="572"/>
      <c r="M32" s="6"/>
      <c r="N32" s="6"/>
      <c r="O32" s="613"/>
      <c r="P32" s="614"/>
      <c r="Q32" s="6"/>
      <c r="R32" s="6"/>
      <c r="S32" s="764"/>
      <c r="T32" s="622"/>
      <c r="U32" s="572"/>
      <c r="V32" s="6"/>
      <c r="W32" s="6">
        <v>30</v>
      </c>
      <c r="X32" s="613"/>
      <c r="Y32" s="614"/>
      <c r="Z32" s="605"/>
      <c r="AA32" s="692" t="s">
        <v>521</v>
      </c>
      <c r="AB32" s="635"/>
      <c r="AC32" s="622"/>
      <c r="AD32" s="572"/>
      <c r="AE32" s="6"/>
      <c r="AF32" s="6">
        <v>14</v>
      </c>
      <c r="AG32" s="613"/>
      <c r="AH32" s="614"/>
      <c r="AI32" s="605"/>
      <c r="AJ32" s="6" t="s">
        <v>152</v>
      </c>
      <c r="AK32" s="613"/>
      <c r="AM32" s="572"/>
      <c r="AN32" s="6"/>
      <c r="AO32" s="6">
        <v>18</v>
      </c>
      <c r="AP32" s="613"/>
      <c r="AQ32" s="614"/>
      <c r="AR32" s="605"/>
      <c r="AS32" s="6" t="s">
        <v>152</v>
      </c>
      <c r="AT32" s="613"/>
    </row>
    <row r="33" spans="1:46" ht="43.15" customHeight="1" x14ac:dyDescent="0.25">
      <c r="A33" s="2206">
        <v>44881</v>
      </c>
      <c r="B33" s="574">
        <v>1</v>
      </c>
      <c r="C33" s="595"/>
      <c r="D33" s="596"/>
      <c r="E33" s="596"/>
      <c r="F33" s="597"/>
      <c r="G33" s="685"/>
      <c r="H33" s="619"/>
      <c r="I33" s="692"/>
      <c r="J33" s="687"/>
      <c r="K33" s="622"/>
      <c r="L33" s="572"/>
      <c r="M33" s="6"/>
      <c r="N33" s="6"/>
      <c r="O33" s="613"/>
      <c r="P33" s="614"/>
      <c r="Q33" s="6"/>
      <c r="R33" s="6"/>
      <c r="S33" s="613"/>
      <c r="T33" s="622"/>
      <c r="U33" s="572"/>
      <c r="V33" s="6"/>
      <c r="W33" s="6"/>
      <c r="X33" s="613"/>
      <c r="Y33" s="614"/>
      <c r="Z33" s="6"/>
      <c r="AA33" s="605"/>
      <c r="AB33" s="613"/>
      <c r="AC33" s="622"/>
      <c r="AD33" s="572"/>
      <c r="AE33" s="6"/>
      <c r="AF33" s="6"/>
      <c r="AG33" s="613"/>
      <c r="AH33" s="614"/>
      <c r="AI33" s="605"/>
      <c r="AJ33" s="6"/>
      <c r="AK33" s="613"/>
      <c r="AM33" s="572"/>
      <c r="AN33" s="6"/>
      <c r="AO33" s="6"/>
      <c r="AP33" s="613"/>
      <c r="AQ33" s="614"/>
      <c r="AR33" s="605"/>
      <c r="AS33" s="6"/>
      <c r="AT33" s="613"/>
    </row>
    <row r="34" spans="1:46" ht="37.15" customHeight="1" x14ac:dyDescent="0.25">
      <c r="A34" s="2205"/>
      <c r="B34" s="644">
        <v>2</v>
      </c>
      <c r="C34" s="596"/>
      <c r="D34" s="596"/>
      <c r="E34" s="596">
        <v>40</v>
      </c>
      <c r="F34" s="829"/>
      <c r="G34" s="685"/>
      <c r="H34" s="620"/>
      <c r="I34" s="620" t="s">
        <v>152</v>
      </c>
      <c r="J34" s="687"/>
      <c r="K34" s="622"/>
      <c r="L34" s="572"/>
      <c r="M34" s="6"/>
      <c r="N34" s="6"/>
      <c r="O34" s="613"/>
      <c r="P34" s="614"/>
      <c r="Q34" s="620"/>
      <c r="R34" s="6"/>
      <c r="S34" s="635"/>
      <c r="T34" s="622"/>
      <c r="U34" s="572"/>
      <c r="V34" s="6"/>
      <c r="W34" s="6"/>
      <c r="X34" s="613"/>
      <c r="Y34" s="6"/>
      <c r="Z34" s="605"/>
      <c r="AA34" s="620"/>
      <c r="AB34" s="635"/>
      <c r="AC34" s="622"/>
      <c r="AD34" s="572"/>
      <c r="AE34" s="6"/>
      <c r="AF34" s="6"/>
      <c r="AG34" s="613"/>
      <c r="AH34" s="614"/>
      <c r="AI34" s="6"/>
      <c r="AJ34" s="6"/>
      <c r="AK34" s="613"/>
      <c r="AM34" s="572"/>
      <c r="AN34" s="6"/>
      <c r="AO34" s="6"/>
      <c r="AP34" s="613"/>
      <c r="AQ34" s="614"/>
      <c r="AR34" s="6"/>
      <c r="AS34" s="6"/>
      <c r="AT34" s="613"/>
    </row>
    <row r="35" spans="1:46" ht="37.9" customHeight="1" x14ac:dyDescent="0.25">
      <c r="A35" s="2206">
        <v>44882</v>
      </c>
      <c r="B35" s="574">
        <v>1</v>
      </c>
      <c r="C35" s="596"/>
      <c r="D35" s="596"/>
      <c r="E35" s="50">
        <v>32</v>
      </c>
      <c r="F35" s="828"/>
      <c r="G35" s="567"/>
      <c r="H35" s="614"/>
      <c r="I35" s="605" t="s">
        <v>152</v>
      </c>
      <c r="J35" s="687"/>
      <c r="K35" s="622"/>
      <c r="L35" s="572"/>
      <c r="M35" s="6"/>
      <c r="N35" s="6"/>
      <c r="O35" s="613"/>
      <c r="P35" s="567"/>
      <c r="Q35" s="843"/>
      <c r="R35" s="620"/>
      <c r="S35" s="635"/>
      <c r="T35" s="622"/>
      <c r="U35" s="572"/>
      <c r="V35" s="6"/>
      <c r="W35" s="50"/>
      <c r="X35" s="634"/>
      <c r="Y35" s="567"/>
      <c r="Z35" s="6"/>
      <c r="AA35" s="605"/>
      <c r="AB35" s="613"/>
      <c r="AC35" s="622"/>
      <c r="AD35" s="572"/>
      <c r="AE35" s="6"/>
      <c r="AF35" s="6">
        <v>46</v>
      </c>
      <c r="AG35" s="839"/>
      <c r="AH35" s="567"/>
      <c r="AI35" s="6"/>
      <c r="AJ35" s="605" t="s">
        <v>522</v>
      </c>
      <c r="AK35" s="613"/>
      <c r="AM35" s="572"/>
      <c r="AN35" s="6"/>
      <c r="AO35" s="50"/>
      <c r="AP35" s="634"/>
      <c r="AQ35" s="567"/>
      <c r="AR35" s="6"/>
      <c r="AS35" s="605"/>
      <c r="AT35" s="613"/>
    </row>
    <row r="36" spans="1:46" ht="41.45" customHeight="1" x14ac:dyDescent="0.25">
      <c r="A36" s="2205"/>
      <c r="B36" s="574">
        <v>2</v>
      </c>
      <c r="C36" s="6"/>
      <c r="D36" s="6"/>
      <c r="E36" s="50">
        <v>50</v>
      </c>
      <c r="F36" s="828"/>
      <c r="G36" s="567"/>
      <c r="H36" s="839"/>
      <c r="I36" s="605" t="s">
        <v>523</v>
      </c>
      <c r="J36" s="635"/>
      <c r="K36" s="622"/>
      <c r="L36" s="567"/>
      <c r="M36" s="6"/>
      <c r="N36" s="6"/>
      <c r="O36" s="839"/>
      <c r="P36" s="567"/>
      <c r="Q36" s="605"/>
      <c r="R36" s="605"/>
      <c r="S36" s="635"/>
      <c r="T36" s="622"/>
      <c r="U36" s="572"/>
      <c r="V36" s="6"/>
      <c r="W36" s="6">
        <v>29</v>
      </c>
      <c r="X36" s="839"/>
      <c r="Y36" s="567"/>
      <c r="Z36" s="605"/>
      <c r="AA36" s="605" t="s">
        <v>152</v>
      </c>
      <c r="AB36" s="613"/>
      <c r="AC36" s="622"/>
      <c r="AD36" s="572"/>
      <c r="AE36" s="6"/>
      <c r="AF36" s="50">
        <v>22</v>
      </c>
      <c r="AG36" s="634"/>
      <c r="AH36" s="567"/>
      <c r="AI36" s="605"/>
      <c r="AJ36" s="605" t="s">
        <v>152</v>
      </c>
      <c r="AK36" s="613"/>
      <c r="AM36" s="572"/>
      <c r="AN36" s="6"/>
      <c r="AO36" s="6"/>
      <c r="AP36" s="839"/>
      <c r="AQ36" s="567"/>
      <c r="AR36" s="605"/>
      <c r="AS36" s="605"/>
      <c r="AT36" s="613"/>
    </row>
    <row r="37" spans="1:46" ht="38.450000000000003" customHeight="1" x14ac:dyDescent="0.25">
      <c r="A37" s="2206">
        <v>44883</v>
      </c>
      <c r="B37" s="644">
        <v>1</v>
      </c>
      <c r="C37" s="596"/>
      <c r="D37" s="596"/>
      <c r="E37" s="6"/>
      <c r="F37" s="50"/>
      <c r="G37" s="837"/>
      <c r="H37" s="846"/>
      <c r="I37" s="605"/>
      <c r="J37" s="635"/>
      <c r="K37" s="622"/>
      <c r="L37" s="572"/>
      <c r="M37" s="6"/>
      <c r="N37" s="6"/>
      <c r="O37" s="727"/>
      <c r="P37" s="614"/>
      <c r="Q37" s="6"/>
      <c r="R37" s="6"/>
      <c r="S37" s="613"/>
      <c r="T37" s="622"/>
      <c r="U37" s="572"/>
      <c r="V37" s="6"/>
      <c r="W37" s="6">
        <v>10</v>
      </c>
      <c r="X37" s="613"/>
      <c r="Y37" s="614"/>
      <c r="Z37" s="605"/>
      <c r="AA37" s="605" t="s">
        <v>152</v>
      </c>
      <c r="AB37" s="635"/>
      <c r="AC37" s="622"/>
      <c r="AD37" s="572"/>
      <c r="AE37" s="6"/>
      <c r="AF37" s="6"/>
      <c r="AG37" s="613"/>
      <c r="AH37" s="614"/>
      <c r="AI37" s="6"/>
      <c r="AJ37" s="6"/>
      <c r="AK37" s="613"/>
      <c r="AM37" s="572"/>
      <c r="AN37" s="6"/>
      <c r="AO37" s="6"/>
      <c r="AP37" s="613"/>
      <c r="AQ37" s="614"/>
      <c r="AR37" s="6"/>
      <c r="AS37" s="6"/>
      <c r="AT37" s="613"/>
    </row>
    <row r="38" spans="1:46" ht="36" customHeight="1" x14ac:dyDescent="0.25">
      <c r="A38" s="2205"/>
      <c r="B38" s="574">
        <v>2</v>
      </c>
      <c r="C38" s="595"/>
      <c r="D38" s="596">
        <v>57</v>
      </c>
      <c r="E38" s="596">
        <v>20</v>
      </c>
      <c r="F38" s="829"/>
      <c r="G38" s="685"/>
      <c r="H38" s="846" t="s">
        <v>524</v>
      </c>
      <c r="I38" s="6" t="s">
        <v>152</v>
      </c>
      <c r="J38" s="635"/>
      <c r="K38" s="622"/>
      <c r="L38" s="572"/>
      <c r="M38" s="6">
        <v>66</v>
      </c>
      <c r="N38" s="6"/>
      <c r="O38" s="613"/>
      <c r="P38" s="839"/>
      <c r="Q38" s="846" t="s">
        <v>524</v>
      </c>
      <c r="R38" s="6"/>
      <c r="S38" s="635"/>
      <c r="T38" s="622"/>
      <c r="U38" s="572"/>
      <c r="V38" s="6"/>
      <c r="W38" s="6">
        <v>47</v>
      </c>
      <c r="X38" s="613"/>
      <c r="Y38" s="614"/>
      <c r="Z38" s="605"/>
      <c r="AA38" s="6" t="s">
        <v>152</v>
      </c>
      <c r="AB38" s="635"/>
      <c r="AC38" s="622"/>
      <c r="AD38" s="572"/>
      <c r="AE38" s="6"/>
      <c r="AF38" s="6"/>
      <c r="AG38" s="613"/>
      <c r="AH38" s="839"/>
      <c r="AI38" s="6"/>
      <c r="AJ38" s="605"/>
      <c r="AK38" s="635"/>
      <c r="AM38" s="572"/>
      <c r="AN38" s="6"/>
      <c r="AO38" s="6"/>
      <c r="AP38" s="613"/>
      <c r="AQ38" s="614"/>
      <c r="AR38" s="6"/>
      <c r="AS38" s="605"/>
      <c r="AT38" s="635"/>
    </row>
    <row r="39" spans="1:46" ht="39" customHeight="1" x14ac:dyDescent="0.25">
      <c r="A39" s="2206">
        <v>44884</v>
      </c>
      <c r="B39" s="574">
        <v>1</v>
      </c>
      <c r="C39" s="595"/>
      <c r="D39" s="596">
        <v>11</v>
      </c>
      <c r="E39" s="596">
        <v>20</v>
      </c>
      <c r="F39" s="597"/>
      <c r="G39" s="685"/>
      <c r="H39" s="619" t="s">
        <v>525</v>
      </c>
      <c r="I39" s="692" t="s">
        <v>152</v>
      </c>
      <c r="J39" s="687"/>
      <c r="K39" s="622"/>
      <c r="L39" s="572"/>
      <c r="M39" s="6">
        <v>13</v>
      </c>
      <c r="N39" s="6"/>
      <c r="O39" s="613"/>
      <c r="P39" s="614"/>
      <c r="Q39" s="619" t="s">
        <v>525</v>
      </c>
      <c r="R39" s="6"/>
      <c r="S39" s="613"/>
      <c r="T39" s="622"/>
      <c r="U39" s="572"/>
      <c r="V39" s="6"/>
      <c r="W39" s="6">
        <v>26</v>
      </c>
      <c r="X39" s="613"/>
      <c r="Y39" s="614"/>
      <c r="Z39" s="605"/>
      <c r="AA39" s="605" t="s">
        <v>152</v>
      </c>
      <c r="AB39" s="635"/>
      <c r="AC39" s="622"/>
      <c r="AD39" s="572"/>
      <c r="AE39" s="6"/>
      <c r="AF39" s="6"/>
      <c r="AG39" s="613"/>
      <c r="AH39" s="614"/>
      <c r="AI39" s="6"/>
      <c r="AJ39" s="6"/>
      <c r="AK39" s="613"/>
      <c r="AM39" s="572"/>
      <c r="AN39" s="6"/>
      <c r="AO39" s="6"/>
      <c r="AP39" s="613"/>
      <c r="AQ39" s="614"/>
      <c r="AR39" s="6"/>
      <c r="AS39" s="6"/>
      <c r="AT39" s="613"/>
    </row>
    <row r="40" spans="1:46" ht="35.450000000000003" customHeight="1" x14ac:dyDescent="0.25">
      <c r="A40" s="2205"/>
      <c r="B40" s="574">
        <v>2</v>
      </c>
      <c r="C40" s="595"/>
      <c r="D40" s="596"/>
      <c r="E40" s="596"/>
      <c r="F40" s="613"/>
      <c r="G40" s="685"/>
      <c r="H40" s="619"/>
      <c r="I40" s="692"/>
      <c r="J40" s="635"/>
      <c r="K40" s="622"/>
      <c r="L40" s="572"/>
      <c r="M40" s="6"/>
      <c r="N40" s="6"/>
      <c r="O40" s="613"/>
      <c r="P40" s="614"/>
      <c r="Q40" s="6"/>
      <c r="R40" s="6"/>
      <c r="S40" s="635"/>
      <c r="T40" s="622"/>
      <c r="U40" s="572"/>
      <c r="V40" s="6"/>
      <c r="W40" s="6">
        <v>55</v>
      </c>
      <c r="X40" s="613"/>
      <c r="Y40" s="614"/>
      <c r="Z40" s="605"/>
      <c r="AA40" s="605" t="s">
        <v>152</v>
      </c>
      <c r="AB40" s="635"/>
      <c r="AC40" s="622"/>
      <c r="AD40" s="572">
        <v>80</v>
      </c>
      <c r="AE40" s="6"/>
      <c r="AF40" s="6"/>
      <c r="AG40" s="613"/>
      <c r="AH40" s="614" t="s">
        <v>526</v>
      </c>
      <c r="AI40" s="6"/>
      <c r="AJ40" s="6"/>
      <c r="AK40" s="635"/>
      <c r="AM40" s="572"/>
      <c r="AN40" s="6"/>
      <c r="AO40" s="6"/>
      <c r="AP40" s="613"/>
      <c r="AQ40" s="614"/>
      <c r="AR40" s="6"/>
      <c r="AS40" s="6"/>
      <c r="AT40" s="635"/>
    </row>
    <row r="41" spans="1:46" ht="39.6" customHeight="1" x14ac:dyDescent="0.25">
      <c r="A41" s="2206">
        <v>44885</v>
      </c>
      <c r="B41" s="574">
        <v>1</v>
      </c>
      <c r="C41" s="595"/>
      <c r="D41" s="596"/>
      <c r="E41" s="596">
        <v>10</v>
      </c>
      <c r="F41" s="613"/>
      <c r="G41" s="685"/>
      <c r="H41" s="620"/>
      <c r="I41" s="692" t="s">
        <v>152</v>
      </c>
      <c r="J41" s="687"/>
      <c r="K41" s="622"/>
      <c r="L41" s="572"/>
      <c r="M41" s="6"/>
      <c r="N41" s="6"/>
      <c r="O41" s="613"/>
      <c r="P41" s="614"/>
      <c r="Q41" s="6"/>
      <c r="R41" s="6"/>
      <c r="S41" s="635"/>
      <c r="T41" s="622"/>
      <c r="U41" s="572"/>
      <c r="V41" s="6">
        <v>19</v>
      </c>
      <c r="W41" s="6"/>
      <c r="X41" s="613"/>
      <c r="Y41" s="614"/>
      <c r="Z41" s="605" t="s">
        <v>525</v>
      </c>
      <c r="AA41" s="605"/>
      <c r="AB41" s="613"/>
      <c r="AC41" s="622"/>
      <c r="AD41" s="572"/>
      <c r="AE41" s="6">
        <v>24</v>
      </c>
      <c r="AF41" s="6"/>
      <c r="AG41" s="613"/>
      <c r="AH41" s="614" t="s">
        <v>525</v>
      </c>
      <c r="AI41" s="605"/>
      <c r="AJ41" s="6"/>
      <c r="AK41" s="613"/>
      <c r="AM41" s="572"/>
      <c r="AN41" s="6"/>
      <c r="AO41" s="6"/>
      <c r="AP41" s="613"/>
      <c r="AQ41" s="614"/>
      <c r="AR41" s="605"/>
      <c r="AS41" s="6"/>
      <c r="AT41" s="613"/>
    </row>
    <row r="42" spans="1:46" ht="33" customHeight="1" x14ac:dyDescent="0.25">
      <c r="A42" s="2205"/>
      <c r="B42" s="574">
        <v>2</v>
      </c>
      <c r="C42" s="596"/>
      <c r="D42" s="596"/>
      <c r="E42" s="596">
        <v>55</v>
      </c>
      <c r="F42" s="613"/>
      <c r="G42" s="685"/>
      <c r="H42" s="619"/>
      <c r="I42" s="692" t="s">
        <v>152</v>
      </c>
      <c r="J42" s="687"/>
      <c r="K42" s="622"/>
      <c r="L42" s="572"/>
      <c r="M42" s="6"/>
      <c r="N42" s="6"/>
      <c r="O42" s="613"/>
      <c r="P42" s="614"/>
      <c r="Q42" s="6"/>
      <c r="R42" s="6"/>
      <c r="S42" s="635"/>
      <c r="T42" s="622"/>
      <c r="U42" s="572"/>
      <c r="V42" s="6"/>
      <c r="W42" s="6">
        <v>20</v>
      </c>
      <c r="X42" s="613"/>
      <c r="Y42" s="839"/>
      <c r="Z42" s="6"/>
      <c r="AA42" s="605" t="s">
        <v>152</v>
      </c>
      <c r="AB42" s="635"/>
      <c r="AC42" s="622"/>
      <c r="AD42" s="572"/>
      <c r="AE42" s="6"/>
      <c r="AF42" s="6"/>
      <c r="AG42" s="613"/>
      <c r="AH42" s="614"/>
      <c r="AI42" s="6"/>
      <c r="AJ42" s="6"/>
      <c r="AK42" s="613"/>
      <c r="AM42" s="572"/>
      <c r="AN42" s="6"/>
      <c r="AO42" s="6"/>
      <c r="AP42" s="613"/>
      <c r="AQ42" s="614"/>
      <c r="AR42" s="6"/>
      <c r="AS42" s="6"/>
      <c r="AT42" s="613"/>
    </row>
    <row r="43" spans="1:46" ht="33.6" customHeight="1" x14ac:dyDescent="0.25">
      <c r="A43" s="2206">
        <v>44886</v>
      </c>
      <c r="B43" s="574">
        <v>1</v>
      </c>
      <c r="C43" s="596"/>
      <c r="D43" s="596"/>
      <c r="E43" s="596">
        <v>36</v>
      </c>
      <c r="F43" s="597"/>
      <c r="G43" s="619"/>
      <c r="H43" s="619"/>
      <c r="I43" s="620" t="s">
        <v>527</v>
      </c>
      <c r="J43" s="635"/>
      <c r="K43" s="622"/>
      <c r="L43" s="572"/>
      <c r="M43" s="6"/>
      <c r="N43" s="6"/>
      <c r="O43" s="613"/>
      <c r="P43" s="614"/>
      <c r="Q43" s="6"/>
      <c r="R43" s="6"/>
      <c r="S43" s="613"/>
      <c r="T43" s="622"/>
      <c r="U43" s="572"/>
      <c r="V43" s="6"/>
      <c r="W43" s="6">
        <v>13</v>
      </c>
      <c r="X43" s="613"/>
      <c r="Y43" s="614"/>
      <c r="Z43" s="6"/>
      <c r="AA43" s="620" t="s">
        <v>152</v>
      </c>
      <c r="AB43" s="613"/>
      <c r="AC43" s="622"/>
      <c r="AD43" s="572"/>
      <c r="AE43" s="6"/>
      <c r="AF43" s="6">
        <v>8</v>
      </c>
      <c r="AG43" s="613"/>
      <c r="AH43" s="605"/>
      <c r="AI43" s="620"/>
      <c r="AJ43" s="6" t="s">
        <v>152</v>
      </c>
      <c r="AK43" s="613"/>
      <c r="AM43" s="572"/>
      <c r="AN43" s="6"/>
      <c r="AO43" s="6"/>
      <c r="AP43" s="613"/>
      <c r="AQ43" s="605"/>
      <c r="AR43" s="620"/>
      <c r="AS43" s="6"/>
      <c r="AT43" s="613"/>
    </row>
    <row r="44" spans="1:46" ht="36" customHeight="1" x14ac:dyDescent="0.25">
      <c r="A44" s="2205"/>
      <c r="B44" s="574">
        <v>2</v>
      </c>
      <c r="C44" s="596"/>
      <c r="D44" s="596"/>
      <c r="E44" s="596"/>
      <c r="F44" s="597"/>
      <c r="G44" s="619"/>
      <c r="H44" s="619"/>
      <c r="I44" s="692"/>
      <c r="J44" s="635"/>
      <c r="K44" s="622"/>
      <c r="L44" s="572"/>
      <c r="M44" s="6"/>
      <c r="N44" s="6"/>
      <c r="O44" s="613"/>
      <c r="P44" s="614"/>
      <c r="Q44" s="6"/>
      <c r="R44" s="605"/>
      <c r="S44" s="764"/>
      <c r="T44" s="622"/>
      <c r="U44" s="572">
        <v>329</v>
      </c>
      <c r="V44" s="6"/>
      <c r="W44" s="596">
        <v>15</v>
      </c>
      <c r="X44" s="597"/>
      <c r="Y44" s="619" t="s">
        <v>528</v>
      </c>
      <c r="Z44" s="619"/>
      <c r="AA44" s="605" t="s">
        <v>152</v>
      </c>
      <c r="AB44" s="635"/>
      <c r="AC44" s="622"/>
      <c r="AD44" s="572"/>
      <c r="AE44" s="6"/>
      <c r="AF44" s="6"/>
      <c r="AG44" s="613"/>
      <c r="AH44" s="614"/>
      <c r="AI44" s="605"/>
      <c r="AJ44" s="605"/>
      <c r="AK44" s="613"/>
      <c r="AM44" s="572"/>
      <c r="AN44" s="6"/>
      <c r="AO44" s="6"/>
      <c r="AP44" s="613"/>
      <c r="AQ44" s="614"/>
      <c r="AR44" s="605"/>
      <c r="AS44" s="605"/>
      <c r="AT44" s="613"/>
    </row>
    <row r="45" spans="1:46" ht="36" customHeight="1" x14ac:dyDescent="0.25">
      <c r="A45" s="2206">
        <v>44887</v>
      </c>
      <c r="B45" s="574">
        <v>1</v>
      </c>
      <c r="C45" s="596"/>
      <c r="D45" s="596"/>
      <c r="E45" s="596">
        <v>15</v>
      </c>
      <c r="F45" s="597"/>
      <c r="G45" s="619"/>
      <c r="H45" s="619"/>
      <c r="I45" s="620" t="s">
        <v>152</v>
      </c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>
        <v>470</v>
      </c>
      <c r="V45" s="6"/>
      <c r="W45" s="6"/>
      <c r="X45" s="613"/>
      <c r="Y45" s="619" t="s">
        <v>528</v>
      </c>
      <c r="Z45" s="6"/>
      <c r="AA45" s="605"/>
      <c r="AB45" s="613"/>
      <c r="AC45" s="622"/>
      <c r="AD45" s="572"/>
      <c r="AE45" s="6"/>
      <c r="AF45" s="6"/>
      <c r="AG45" s="613"/>
      <c r="AH45" s="614"/>
      <c r="AI45" s="605"/>
      <c r="AJ45" s="6"/>
      <c r="AK45" s="613"/>
      <c r="AM45" s="572"/>
      <c r="AN45" s="6"/>
      <c r="AO45" s="6"/>
      <c r="AP45" s="613"/>
      <c r="AQ45" s="614"/>
      <c r="AR45" s="605"/>
      <c r="AS45" s="6"/>
      <c r="AT45" s="613"/>
    </row>
    <row r="46" spans="1:46" ht="34.15" customHeight="1" x14ac:dyDescent="0.25">
      <c r="A46" s="2205"/>
      <c r="B46" s="574">
        <v>2</v>
      </c>
      <c r="C46" s="596"/>
      <c r="D46" s="596"/>
      <c r="E46" s="596">
        <v>10</v>
      </c>
      <c r="F46" s="597"/>
      <c r="G46" s="619"/>
      <c r="H46" s="619"/>
      <c r="I46" s="620" t="s">
        <v>152</v>
      </c>
      <c r="J46" s="635"/>
      <c r="K46" s="622"/>
      <c r="L46" s="572"/>
      <c r="M46" s="6"/>
      <c r="N46" s="6"/>
      <c r="O46" s="785"/>
      <c r="P46" s="614"/>
      <c r="Q46" s="620"/>
      <c r="R46" s="6"/>
      <c r="S46" s="635"/>
      <c r="T46" s="622"/>
      <c r="U46" s="572"/>
      <c r="V46" s="6"/>
      <c r="W46" s="6">
        <v>10</v>
      </c>
      <c r="X46" s="613"/>
      <c r="Y46" s="614"/>
      <c r="Z46" s="6"/>
      <c r="AA46" s="605" t="s">
        <v>152</v>
      </c>
      <c r="AB46" s="635"/>
      <c r="AC46" s="622"/>
      <c r="AD46" s="572"/>
      <c r="AE46" s="6"/>
      <c r="AF46" s="6"/>
      <c r="AG46" s="613"/>
      <c r="AH46" s="839"/>
      <c r="AI46" s="6"/>
      <c r="AJ46" s="6"/>
      <c r="AK46" s="635"/>
      <c r="AM46" s="572"/>
      <c r="AN46" s="6"/>
      <c r="AO46" s="6"/>
      <c r="AP46" s="613"/>
      <c r="AQ46" s="839"/>
      <c r="AR46" s="6"/>
      <c r="AS46" s="6"/>
      <c r="AT46" s="635"/>
    </row>
    <row r="47" spans="1:46" ht="36" customHeight="1" x14ac:dyDescent="0.25">
      <c r="A47" s="2206">
        <v>44888</v>
      </c>
      <c r="B47" s="574">
        <v>1</v>
      </c>
      <c r="C47" s="596"/>
      <c r="D47" s="596"/>
      <c r="E47" s="596"/>
      <c r="F47" s="597"/>
      <c r="G47" s="620"/>
      <c r="H47" s="619"/>
      <c r="I47" s="692"/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/>
      <c r="X47" s="613"/>
      <c r="Y47" s="614"/>
      <c r="Z47" s="605"/>
      <c r="AA47" s="605"/>
      <c r="AB47" s="635"/>
      <c r="AC47" s="622"/>
      <c r="AD47" s="572"/>
      <c r="AE47" s="6"/>
      <c r="AF47" s="6"/>
      <c r="AG47" s="613"/>
      <c r="AH47" s="839"/>
      <c r="AI47" s="620"/>
      <c r="AJ47" s="6"/>
      <c r="AK47" s="613"/>
      <c r="AM47" s="572"/>
      <c r="AN47" s="6"/>
      <c r="AO47" s="6"/>
      <c r="AP47" s="613"/>
      <c r="AQ47" s="839"/>
      <c r="AR47" s="620"/>
      <c r="AS47" s="6"/>
      <c r="AT47" s="613"/>
    </row>
    <row r="48" spans="1:46" ht="34.9" customHeight="1" x14ac:dyDescent="0.25">
      <c r="A48" s="2205"/>
      <c r="B48" s="574">
        <v>2</v>
      </c>
      <c r="C48" s="596"/>
      <c r="D48" s="596">
        <v>125</v>
      </c>
      <c r="E48" s="596">
        <v>16</v>
      </c>
      <c r="F48" s="597"/>
      <c r="G48" s="620"/>
      <c r="H48" s="620" t="s">
        <v>530</v>
      </c>
      <c r="I48" s="692" t="s">
        <v>529</v>
      </c>
      <c r="J48" s="687"/>
      <c r="K48" s="622"/>
      <c r="L48" s="572"/>
      <c r="M48" s="6"/>
      <c r="N48" s="6"/>
      <c r="O48" s="613"/>
      <c r="P48" s="614"/>
      <c r="Q48" s="620"/>
      <c r="R48" s="605"/>
      <c r="S48" s="635"/>
      <c r="T48" s="622"/>
      <c r="U48" s="572"/>
      <c r="V48" s="6"/>
      <c r="W48" s="6">
        <v>12</v>
      </c>
      <c r="X48" s="613"/>
      <c r="Y48" s="839"/>
      <c r="Z48" s="6"/>
      <c r="AA48" s="605" t="s">
        <v>152</v>
      </c>
      <c r="AB48" s="613"/>
      <c r="AC48" s="622"/>
      <c r="AD48" s="572"/>
      <c r="AE48" s="6"/>
      <c r="AF48" s="6">
        <v>10</v>
      </c>
      <c r="AG48" s="613"/>
      <c r="AH48" s="614"/>
      <c r="AI48" s="605"/>
      <c r="AJ48" s="6" t="s">
        <v>152</v>
      </c>
      <c r="AK48" s="613"/>
      <c r="AM48" s="572"/>
      <c r="AN48" s="6"/>
      <c r="AO48" s="6"/>
      <c r="AP48" s="613"/>
      <c r="AQ48" s="614"/>
      <c r="AR48" s="605"/>
      <c r="AS48" s="6"/>
      <c r="AT48" s="613"/>
    </row>
    <row r="49" spans="1:46" ht="36" customHeight="1" x14ac:dyDescent="0.25">
      <c r="A49" s="2206">
        <v>44889</v>
      </c>
      <c r="B49" s="574">
        <v>1</v>
      </c>
      <c r="C49" s="596"/>
      <c r="D49" s="596"/>
      <c r="E49" s="596">
        <v>87</v>
      </c>
      <c r="F49" s="597"/>
      <c r="G49" s="620"/>
      <c r="H49" s="619"/>
      <c r="I49" s="692" t="s">
        <v>152</v>
      </c>
      <c r="J49" s="687"/>
      <c r="K49" s="622"/>
      <c r="L49" s="572"/>
      <c r="M49" s="6"/>
      <c r="N49" s="6"/>
      <c r="O49" s="613"/>
      <c r="P49" s="614"/>
      <c r="Q49" s="6"/>
      <c r="R49" s="6"/>
      <c r="S49" s="613"/>
      <c r="T49" s="622"/>
      <c r="U49" s="572"/>
      <c r="V49" s="6"/>
      <c r="W49" s="6">
        <v>30</v>
      </c>
      <c r="X49" s="613"/>
      <c r="Y49" s="614"/>
      <c r="Z49" s="605"/>
      <c r="AA49" s="605" t="s">
        <v>152</v>
      </c>
      <c r="AB49" s="635"/>
      <c r="AC49" s="622"/>
      <c r="AD49" s="572"/>
      <c r="AE49" s="6"/>
      <c r="AF49" s="6"/>
      <c r="AG49" s="613"/>
      <c r="AH49" s="614"/>
      <c r="AI49" s="605"/>
      <c r="AJ49" s="6"/>
      <c r="AK49" s="613"/>
      <c r="AM49" s="572"/>
      <c r="AN49" s="6"/>
      <c r="AO49" s="6"/>
      <c r="AP49" s="613"/>
      <c r="AQ49" s="614"/>
      <c r="AR49" s="605"/>
      <c r="AS49" s="6"/>
      <c r="AT49" s="613"/>
    </row>
    <row r="50" spans="1:46" ht="33" customHeight="1" x14ac:dyDescent="0.25">
      <c r="A50" s="2205"/>
      <c r="B50" s="574">
        <v>2</v>
      </c>
      <c r="C50" s="596"/>
      <c r="D50" s="596"/>
      <c r="E50" s="596">
        <v>7</v>
      </c>
      <c r="F50" s="597"/>
      <c r="G50" s="619"/>
      <c r="H50" s="619"/>
      <c r="I50" s="692" t="s">
        <v>152</v>
      </c>
      <c r="J50" s="635"/>
      <c r="K50" s="622"/>
      <c r="L50" s="572"/>
      <c r="M50" s="6"/>
      <c r="N50" s="6"/>
      <c r="O50" s="613"/>
      <c r="P50" s="614"/>
      <c r="Q50" s="605"/>
      <c r="R50" s="605"/>
      <c r="S50" s="764"/>
      <c r="T50" s="622"/>
      <c r="U50" s="572"/>
      <c r="V50" s="6"/>
      <c r="W50" s="6"/>
      <c r="X50" s="613"/>
      <c r="Y50" s="839"/>
      <c r="Z50" s="605"/>
      <c r="AA50" s="605"/>
      <c r="AB50" s="613"/>
      <c r="AC50" s="622"/>
      <c r="AD50" s="572"/>
      <c r="AE50" s="6"/>
      <c r="AF50" s="6"/>
      <c r="AG50" s="613"/>
      <c r="AH50" s="614"/>
      <c r="AI50" s="6"/>
      <c r="AJ50" s="605"/>
      <c r="AK50" s="613"/>
      <c r="AM50" s="572"/>
      <c r="AN50" s="6"/>
      <c r="AO50" s="6"/>
      <c r="AP50" s="613"/>
      <c r="AQ50" s="614"/>
      <c r="AR50" s="6"/>
      <c r="AS50" s="605"/>
      <c r="AT50" s="613"/>
    </row>
    <row r="51" spans="1:46" ht="34.9" customHeight="1" x14ac:dyDescent="0.25">
      <c r="A51" s="2206">
        <v>44890</v>
      </c>
      <c r="B51" s="574">
        <v>1</v>
      </c>
      <c r="C51" s="596"/>
      <c r="D51" s="596"/>
      <c r="E51" s="596"/>
      <c r="F51" s="597"/>
      <c r="G51" s="619"/>
      <c r="H51" s="619"/>
      <c r="I51" s="692"/>
      <c r="J51" s="635"/>
      <c r="K51" s="622"/>
      <c r="L51" s="572"/>
      <c r="M51" s="6"/>
      <c r="N51" s="6"/>
      <c r="O51" s="613"/>
      <c r="P51" s="614"/>
      <c r="Q51" s="620"/>
      <c r="R51" s="6"/>
      <c r="S51" s="613"/>
      <c r="T51" s="622"/>
      <c r="U51" s="572"/>
      <c r="V51" s="6"/>
      <c r="W51" s="6"/>
      <c r="X51" s="613"/>
      <c r="Y51" s="839"/>
      <c r="Z51" s="6"/>
      <c r="AA51" s="605"/>
      <c r="AB51" s="613"/>
      <c r="AC51" s="622"/>
      <c r="AD51" s="572"/>
      <c r="AE51" s="6"/>
      <c r="AF51" s="6"/>
      <c r="AG51" s="613"/>
      <c r="AH51" s="614"/>
      <c r="AI51" s="6"/>
      <c r="AJ51" s="6"/>
      <c r="AK51" s="613"/>
      <c r="AM51" s="572"/>
      <c r="AN51" s="6"/>
      <c r="AO51" s="6"/>
      <c r="AP51" s="613"/>
      <c r="AQ51" s="614"/>
      <c r="AR51" s="6"/>
      <c r="AS51" s="6"/>
      <c r="AT51" s="613"/>
    </row>
    <row r="52" spans="1:46" ht="31.9" customHeight="1" x14ac:dyDescent="0.25">
      <c r="A52" s="2205"/>
      <c r="B52" s="574">
        <v>2</v>
      </c>
      <c r="C52" s="596"/>
      <c r="D52" s="596"/>
      <c r="E52" s="596">
        <v>7</v>
      </c>
      <c r="F52" s="597"/>
      <c r="G52" s="620"/>
      <c r="H52" s="620"/>
      <c r="I52" s="692" t="s">
        <v>152</v>
      </c>
      <c r="J52" s="635"/>
      <c r="K52" s="622"/>
      <c r="L52" s="572"/>
      <c r="M52" s="6"/>
      <c r="N52" s="6"/>
      <c r="O52" s="613"/>
      <c r="P52" s="614"/>
      <c r="Q52" s="6"/>
      <c r="R52" s="6"/>
      <c r="S52" s="635"/>
      <c r="T52" s="622"/>
      <c r="U52" s="572"/>
      <c r="V52" s="6"/>
      <c r="W52" s="6">
        <v>25</v>
      </c>
      <c r="X52" s="613"/>
      <c r="Y52" s="839"/>
      <c r="Z52" s="605"/>
      <c r="AA52" s="605" t="s">
        <v>152</v>
      </c>
      <c r="AB52" s="635"/>
      <c r="AC52" s="622"/>
      <c r="AD52" s="572"/>
      <c r="AE52" s="6"/>
      <c r="AF52" s="6">
        <v>20</v>
      </c>
      <c r="AG52" s="613"/>
      <c r="AH52" s="614"/>
      <c r="AI52" s="6"/>
      <c r="AJ52" s="6" t="s">
        <v>152</v>
      </c>
      <c r="AK52" s="613"/>
      <c r="AM52" s="572"/>
      <c r="AN52" s="613"/>
      <c r="AO52" s="613"/>
      <c r="AP52" s="613"/>
      <c r="AQ52" s="614"/>
      <c r="AR52" s="613"/>
      <c r="AS52" s="6"/>
      <c r="AT52" s="613"/>
    </row>
    <row r="53" spans="1:46" ht="40.15" customHeight="1" x14ac:dyDescent="0.25">
      <c r="A53" s="2206">
        <v>44891</v>
      </c>
      <c r="B53" s="574">
        <v>1</v>
      </c>
      <c r="C53" s="596"/>
      <c r="D53" s="596"/>
      <c r="E53" s="596"/>
      <c r="F53" s="597"/>
      <c r="G53" s="619"/>
      <c r="H53" s="619"/>
      <c r="I53" s="692"/>
      <c r="J53" s="635"/>
      <c r="K53" s="622"/>
      <c r="L53" s="572"/>
      <c r="M53" s="6"/>
      <c r="N53" s="6"/>
      <c r="O53" s="613"/>
      <c r="P53" s="839"/>
      <c r="Q53" s="6"/>
      <c r="R53" s="6"/>
      <c r="S53" s="635"/>
      <c r="T53" s="622"/>
      <c r="U53" s="572"/>
      <c r="V53" s="6"/>
      <c r="W53" s="6"/>
      <c r="X53" s="613"/>
      <c r="Y53" s="839"/>
      <c r="Z53" s="6"/>
      <c r="AA53" s="605"/>
      <c r="AB53" s="613"/>
      <c r="AC53" s="622"/>
      <c r="AD53" s="572"/>
      <c r="AE53" s="605"/>
      <c r="AF53" s="6"/>
      <c r="AG53" s="613"/>
      <c r="AH53" s="614"/>
      <c r="AI53" s="605"/>
      <c r="AJ53" s="605"/>
      <c r="AK53" s="613"/>
      <c r="AM53" s="572"/>
      <c r="AN53" s="605"/>
      <c r="AO53" s="6"/>
      <c r="AP53" s="613"/>
      <c r="AQ53" s="614"/>
      <c r="AR53" s="605"/>
      <c r="AS53" s="605"/>
      <c r="AT53" s="613"/>
    </row>
    <row r="54" spans="1:46" ht="39.6" customHeight="1" x14ac:dyDescent="0.25">
      <c r="A54" s="2205"/>
      <c r="B54" s="833">
        <v>2</v>
      </c>
      <c r="C54" s="596"/>
      <c r="D54" s="596"/>
      <c r="E54" s="596">
        <v>15</v>
      </c>
      <c r="F54" s="597"/>
      <c r="G54" s="619"/>
      <c r="H54" s="619"/>
      <c r="I54" s="692" t="s">
        <v>152</v>
      </c>
      <c r="J54" s="635"/>
      <c r="K54" s="622"/>
      <c r="L54" s="572"/>
      <c r="M54" s="6"/>
      <c r="N54" s="6"/>
      <c r="O54" s="597"/>
      <c r="P54" s="619"/>
      <c r="Q54" s="619"/>
      <c r="R54" s="619"/>
      <c r="S54" s="635"/>
      <c r="T54" s="622"/>
      <c r="U54" s="572"/>
      <c r="V54" s="6"/>
      <c r="W54" s="6">
        <v>15</v>
      </c>
      <c r="X54" s="597"/>
      <c r="Y54" s="619"/>
      <c r="Z54" s="620"/>
      <c r="AA54" s="605" t="s">
        <v>152</v>
      </c>
      <c r="AB54" s="635"/>
      <c r="AC54" s="622"/>
      <c r="AD54" s="572"/>
      <c r="AE54" s="6"/>
      <c r="AF54" s="6">
        <v>15</v>
      </c>
      <c r="AG54" s="597"/>
      <c r="AH54" s="619"/>
      <c r="AI54" s="619"/>
      <c r="AJ54" s="6" t="s">
        <v>152</v>
      </c>
      <c r="AK54" s="635"/>
      <c r="AM54" s="572"/>
      <c r="AN54" s="6"/>
      <c r="AO54" s="6"/>
      <c r="AP54" s="597"/>
      <c r="AQ54" s="619"/>
      <c r="AR54" s="619"/>
      <c r="AS54" s="619"/>
      <c r="AT54" s="635"/>
    </row>
    <row r="55" spans="1:46" ht="39.6" customHeight="1" x14ac:dyDescent="0.25">
      <c r="A55" s="2206">
        <v>44892</v>
      </c>
      <c r="B55" s="574">
        <v>1</v>
      </c>
      <c r="C55" s="595"/>
      <c r="D55" s="596"/>
      <c r="E55" s="596">
        <v>16</v>
      </c>
      <c r="F55" s="597"/>
      <c r="G55" s="619"/>
      <c r="H55" s="619"/>
      <c r="I55" s="620" t="s">
        <v>232</v>
      </c>
      <c r="J55" s="687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>
        <v>20</v>
      </c>
      <c r="X55" s="613"/>
      <c r="Y55" s="614"/>
      <c r="Z55" s="619"/>
      <c r="AA55" s="620" t="s">
        <v>523</v>
      </c>
      <c r="AB55" s="635"/>
      <c r="AC55" s="622"/>
      <c r="AD55" s="572"/>
      <c r="AE55" s="6"/>
      <c r="AF55" s="6"/>
      <c r="AG55" s="613"/>
      <c r="AH55" s="614"/>
      <c r="AI55" s="6"/>
      <c r="AJ55" s="605"/>
      <c r="AK55" s="613"/>
      <c r="AM55" s="572"/>
      <c r="AN55" s="6"/>
      <c r="AO55" s="6"/>
      <c r="AP55" s="613"/>
      <c r="AQ55" s="614"/>
      <c r="AR55" s="6"/>
      <c r="AS55" s="605"/>
      <c r="AT55" s="613"/>
    </row>
    <row r="56" spans="1:46" ht="40.9" customHeight="1" x14ac:dyDescent="0.25">
      <c r="A56" s="2205"/>
      <c r="B56" s="833">
        <v>2</v>
      </c>
      <c r="C56" s="595"/>
      <c r="D56" s="596"/>
      <c r="E56" s="596">
        <v>30</v>
      </c>
      <c r="F56" s="597"/>
      <c r="G56" s="620"/>
      <c r="H56" s="619"/>
      <c r="I56" s="620" t="s">
        <v>191</v>
      </c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/>
      <c r="V56" s="6"/>
      <c r="W56" s="6">
        <v>76</v>
      </c>
      <c r="X56" s="597"/>
      <c r="Y56" s="620"/>
      <c r="Z56" s="619"/>
      <c r="AA56" s="620" t="s">
        <v>531</v>
      </c>
      <c r="AB56" s="635"/>
      <c r="AC56" s="622"/>
      <c r="AD56" s="572"/>
      <c r="AE56" s="6"/>
      <c r="AF56" s="6"/>
      <c r="AG56" s="597"/>
      <c r="AH56" s="620"/>
      <c r="AI56" s="619"/>
      <c r="AJ56" s="620"/>
      <c r="AK56" s="635"/>
      <c r="AM56" s="572"/>
      <c r="AN56" s="6"/>
      <c r="AO56" s="6"/>
      <c r="AP56" s="597"/>
      <c r="AQ56" s="620"/>
      <c r="AR56" s="619"/>
      <c r="AS56" s="620"/>
      <c r="AT56" s="635"/>
    </row>
    <row r="57" spans="1:46" ht="37.9" customHeight="1" x14ac:dyDescent="0.25">
      <c r="A57" s="2206">
        <v>44893</v>
      </c>
      <c r="B57" s="574">
        <v>1</v>
      </c>
      <c r="C57" s="595"/>
      <c r="D57" s="596"/>
      <c r="E57" s="596">
        <v>10</v>
      </c>
      <c r="F57" s="597"/>
      <c r="G57" s="620"/>
      <c r="H57" s="619"/>
      <c r="I57" s="692" t="s">
        <v>152</v>
      </c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/>
      <c r="X57" s="597"/>
      <c r="Y57" s="620"/>
      <c r="Z57" s="619"/>
      <c r="AA57" s="620"/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/>
      <c r="AP57" s="597"/>
      <c r="AQ57" s="620"/>
      <c r="AR57" s="619"/>
      <c r="AS57" s="620"/>
      <c r="AT57" s="635"/>
    </row>
    <row r="58" spans="1:46" ht="35.450000000000003" customHeight="1" x14ac:dyDescent="0.25">
      <c r="A58" s="2205"/>
      <c r="B58" s="833">
        <v>2</v>
      </c>
      <c r="C58" s="595"/>
      <c r="D58" s="596"/>
      <c r="E58" s="596"/>
      <c r="F58" s="597"/>
      <c r="G58" s="620"/>
      <c r="H58" s="619"/>
      <c r="I58" s="620"/>
      <c r="J58" s="635"/>
      <c r="K58" s="622"/>
      <c r="L58" s="572"/>
      <c r="M58" s="6"/>
      <c r="N58" s="6"/>
      <c r="O58" s="613"/>
      <c r="P58" s="614"/>
      <c r="Q58" s="6"/>
      <c r="R58" s="6"/>
      <c r="S58" s="635"/>
      <c r="T58" s="622"/>
      <c r="U58" s="572"/>
      <c r="V58" s="6"/>
      <c r="W58" s="6"/>
      <c r="X58" s="613"/>
      <c r="Y58" s="614"/>
      <c r="Z58" s="605"/>
      <c r="AA58" s="620"/>
      <c r="AB58" s="613"/>
      <c r="AC58" s="622"/>
      <c r="AD58" s="572"/>
      <c r="AE58" s="6"/>
      <c r="AF58" s="6"/>
      <c r="AG58" s="613"/>
      <c r="AH58" s="614"/>
      <c r="AI58" s="6"/>
      <c r="AJ58" s="6"/>
      <c r="AK58" s="613"/>
      <c r="AM58" s="572"/>
      <c r="AN58" s="6"/>
      <c r="AO58" s="6"/>
      <c r="AP58" s="613"/>
      <c r="AQ58" s="614"/>
      <c r="AR58" s="6"/>
      <c r="AS58" s="6"/>
      <c r="AT58" s="613"/>
    </row>
    <row r="59" spans="1:46" ht="34.15" customHeight="1" x14ac:dyDescent="0.25">
      <c r="A59" s="2206">
        <v>44894</v>
      </c>
      <c r="B59" s="574">
        <v>1</v>
      </c>
      <c r="C59" s="595"/>
      <c r="D59" s="596"/>
      <c r="E59" s="596"/>
      <c r="F59" s="597"/>
      <c r="G59" s="619"/>
      <c r="H59" s="619"/>
      <c r="I59" s="692"/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/>
      <c r="X59" s="613"/>
      <c r="Y59" s="614"/>
      <c r="Z59" s="6"/>
      <c r="AA59" s="605"/>
      <c r="AB59" s="613"/>
      <c r="AC59" s="622"/>
      <c r="AD59" s="572"/>
      <c r="AE59" s="6"/>
      <c r="AF59" s="6"/>
      <c r="AG59" s="613"/>
      <c r="AH59" s="839"/>
      <c r="AI59" s="6"/>
      <c r="AJ59" s="620"/>
      <c r="AK59" s="613"/>
      <c r="AM59" s="572"/>
      <c r="AN59" s="6"/>
      <c r="AO59" s="6"/>
      <c r="AP59" s="613"/>
      <c r="AQ59" s="839"/>
      <c r="AR59" s="6"/>
      <c r="AS59" s="620"/>
      <c r="AT59" s="613"/>
    </row>
    <row r="60" spans="1:46" ht="36" customHeight="1" x14ac:dyDescent="0.25">
      <c r="A60" s="2205"/>
      <c r="B60" s="833">
        <v>2</v>
      </c>
      <c r="C60" s="595"/>
      <c r="D60" s="596"/>
      <c r="E60" s="596"/>
      <c r="F60" s="597"/>
      <c r="G60" s="619"/>
      <c r="H60" s="620"/>
      <c r="I60" s="692"/>
      <c r="J60" s="635"/>
      <c r="K60" s="622"/>
      <c r="L60" s="572"/>
      <c r="M60" s="6"/>
      <c r="N60" s="6"/>
      <c r="O60" s="613"/>
      <c r="P60" s="614"/>
      <c r="Q60" s="6"/>
      <c r="R60" s="6"/>
      <c r="S60" s="635"/>
      <c r="T60" s="622"/>
      <c r="U60" s="572"/>
      <c r="V60" s="6"/>
      <c r="W60" s="6"/>
      <c r="X60" s="613"/>
      <c r="Y60" s="839"/>
      <c r="Z60" s="605"/>
      <c r="AA60" s="605"/>
      <c r="AB60" s="635"/>
      <c r="AC60" s="622"/>
      <c r="AD60" s="572"/>
      <c r="AE60" s="6"/>
      <c r="AF60" s="6"/>
      <c r="AG60" s="613"/>
      <c r="AH60" s="614"/>
      <c r="AI60" s="6"/>
      <c r="AJ60" s="605"/>
      <c r="AK60" s="635"/>
      <c r="AM60" s="572"/>
      <c r="AN60" s="6"/>
      <c r="AO60" s="6"/>
      <c r="AP60" s="613"/>
      <c r="AQ60" s="614"/>
      <c r="AR60" s="6"/>
      <c r="AS60" s="605"/>
      <c r="AT60" s="635"/>
    </row>
    <row r="61" spans="1:46" ht="32.450000000000003" customHeight="1" x14ac:dyDescent="0.25">
      <c r="A61" s="2206">
        <v>44895</v>
      </c>
      <c r="B61" s="574">
        <v>1</v>
      </c>
      <c r="C61" s="842"/>
      <c r="D61" s="844"/>
      <c r="E61" s="596"/>
      <c r="F61" s="749"/>
      <c r="G61" s="619"/>
      <c r="H61" s="843"/>
      <c r="I61" s="692"/>
      <c r="J61" s="687"/>
      <c r="K61" s="622"/>
      <c r="L61" s="572"/>
      <c r="M61" s="6"/>
      <c r="N61" s="6"/>
      <c r="O61" s="613"/>
      <c r="P61" s="752"/>
      <c r="Q61" s="840"/>
      <c r="R61" s="840"/>
      <c r="S61" s="753"/>
      <c r="T61" s="622"/>
      <c r="U61" s="572"/>
      <c r="V61" s="6"/>
      <c r="W61" s="6"/>
      <c r="X61" s="613"/>
      <c r="Y61" s="839"/>
      <c r="Z61" s="605"/>
      <c r="AA61" s="605"/>
      <c r="AB61" s="753"/>
      <c r="AC61" s="622"/>
      <c r="AD61" s="572"/>
      <c r="AE61" s="6"/>
      <c r="AF61" s="6"/>
      <c r="AG61" s="613"/>
      <c r="AH61" s="614"/>
      <c r="AI61" s="6"/>
      <c r="AJ61" s="605"/>
      <c r="AK61" s="753"/>
      <c r="AM61" s="572"/>
      <c r="AN61" s="6"/>
      <c r="AO61" s="6"/>
      <c r="AP61" s="613"/>
      <c r="AQ61" s="614"/>
      <c r="AR61" s="6"/>
      <c r="AS61" s="605"/>
      <c r="AT61" s="753"/>
    </row>
    <row r="62" spans="1:46" ht="33" customHeight="1" x14ac:dyDescent="0.25">
      <c r="A62" s="2205"/>
      <c r="B62" s="833">
        <v>2</v>
      </c>
      <c r="C62" s="842"/>
      <c r="D62" s="844"/>
      <c r="E62" s="844"/>
      <c r="F62" s="749"/>
      <c r="G62" s="835"/>
      <c r="H62" s="843"/>
      <c r="I62" s="692"/>
      <c r="J62" s="687"/>
      <c r="K62" s="622"/>
      <c r="L62" s="572"/>
      <c r="M62" s="6"/>
      <c r="N62" s="6"/>
      <c r="O62" s="613"/>
      <c r="P62" s="752"/>
      <c r="Q62" s="840"/>
      <c r="R62" s="840"/>
      <c r="S62" s="753"/>
      <c r="T62" s="622"/>
      <c r="U62" s="572"/>
      <c r="V62" s="6"/>
      <c r="W62" s="6"/>
      <c r="X62" s="613"/>
      <c r="Y62" s="839"/>
      <c r="Z62" s="605"/>
      <c r="AA62" s="605"/>
      <c r="AB62" s="753"/>
      <c r="AC62" s="622"/>
      <c r="AD62" s="572"/>
      <c r="AE62" s="6"/>
      <c r="AF62" s="6"/>
      <c r="AG62" s="613"/>
      <c r="AH62" s="614"/>
      <c r="AI62" s="6"/>
      <c r="AJ62" s="605"/>
      <c r="AK62" s="753"/>
      <c r="AM62" s="572"/>
      <c r="AN62" s="6"/>
      <c r="AO62" s="6"/>
      <c r="AP62" s="613"/>
      <c r="AQ62" s="614"/>
      <c r="AR62" s="6"/>
      <c r="AS62" s="605"/>
      <c r="AT62" s="753"/>
    </row>
    <row r="63" spans="1:46" ht="33.6" customHeight="1" x14ac:dyDescent="0.25">
      <c r="A63" s="2206"/>
      <c r="B63" s="574">
        <v>1</v>
      </c>
      <c r="C63" s="706"/>
      <c r="D63" s="707"/>
      <c r="E63" s="707"/>
      <c r="F63" s="708"/>
      <c r="G63" s="717"/>
      <c r="H63" s="709"/>
      <c r="I63" s="620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/>
      <c r="X63" s="597"/>
      <c r="Y63" s="685"/>
      <c r="Z63" s="619"/>
      <c r="AA63" s="6"/>
      <c r="AB63" s="838"/>
      <c r="AC63" s="622"/>
      <c r="AD63" s="572"/>
      <c r="AE63" s="6"/>
      <c r="AF63" s="6"/>
      <c r="AG63" s="597"/>
      <c r="AH63" s="685"/>
      <c r="AI63" s="619"/>
      <c r="AJ63" s="619"/>
      <c r="AK63" s="705"/>
      <c r="AM63" s="572"/>
      <c r="AN63" s="6"/>
      <c r="AO63" s="6"/>
      <c r="AP63" s="597"/>
      <c r="AQ63" s="685"/>
      <c r="AR63" s="619"/>
      <c r="AS63" s="619"/>
      <c r="AT63" s="705"/>
    </row>
    <row r="64" spans="1:46" ht="30.6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636"/>
      <c r="AQ64" s="637"/>
      <c r="AR64" s="638"/>
      <c r="AS64" s="638"/>
      <c r="AT64" s="713"/>
    </row>
    <row r="65" spans="1:42" x14ac:dyDescent="0.25">
      <c r="A65" s="524" t="s">
        <v>225</v>
      </c>
      <c r="C65" s="768">
        <f>SUM(C3:C64)</f>
        <v>733</v>
      </c>
      <c r="D65" s="525">
        <f>SUM(D3:D64)</f>
        <v>297</v>
      </c>
      <c r="E65" s="768">
        <f>SUM(E3:E64)</f>
        <v>987</v>
      </c>
      <c r="F65" s="525">
        <f>SUM(F3:F64)</f>
        <v>0</v>
      </c>
      <c r="L65" s="525">
        <f>SUM(L3:L64)</f>
        <v>273</v>
      </c>
      <c r="M65" s="525">
        <f>SUM(M3:M64)</f>
        <v>173</v>
      </c>
      <c r="N65" s="525">
        <f>SUM(N3:N64)</f>
        <v>0</v>
      </c>
      <c r="O65" s="525">
        <f>SUM(O3:O64)</f>
        <v>0</v>
      </c>
      <c r="U65" s="525">
        <f>SUM(U3:U64)</f>
        <v>1239</v>
      </c>
      <c r="V65" s="525">
        <f>SUM(V3:V64)</f>
        <v>60</v>
      </c>
      <c r="W65" s="525">
        <f>SUM(W3:W64)</f>
        <v>619</v>
      </c>
      <c r="X65" s="525">
        <f>SUM(X3:X64)</f>
        <v>0</v>
      </c>
      <c r="AD65" s="525">
        <f>SUM(AD3:AD64)</f>
        <v>274</v>
      </c>
      <c r="AE65" s="525">
        <f>SUM(AE3:AE64)</f>
        <v>96</v>
      </c>
      <c r="AF65" s="525">
        <f>SUM(AF3:AF64)</f>
        <v>234</v>
      </c>
      <c r="AG65" s="525">
        <f>SUM(AG3:AG64)</f>
        <v>0</v>
      </c>
      <c r="AM65" s="525">
        <f>SUM(AM3:AM64)</f>
        <v>74</v>
      </c>
      <c r="AN65" s="525">
        <f>SUM(AN3:AN64)</f>
        <v>41</v>
      </c>
      <c r="AO65" s="525">
        <f>SUM(AO3:AO64)</f>
        <v>711</v>
      </c>
      <c r="AP65" s="525">
        <f>SUM(AP3:AP64)</f>
        <v>0</v>
      </c>
    </row>
    <row r="73" spans="1:42" ht="15.75" thickBot="1" x14ac:dyDescent="0.3"/>
    <row r="74" spans="1:42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2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2" ht="21.75" customHeight="1" x14ac:dyDescent="0.3">
      <c r="B76" s="651" t="s">
        <v>218</v>
      </c>
      <c r="C76" s="652">
        <f>C65</f>
        <v>733</v>
      </c>
      <c r="D76" s="653">
        <f>C76/60</f>
        <v>12.216666666666667</v>
      </c>
      <c r="E76" s="652">
        <f>D65</f>
        <v>297</v>
      </c>
      <c r="F76" s="654">
        <f>E76/60</f>
        <v>4.95</v>
      </c>
      <c r="G76" s="652">
        <f>E65</f>
        <v>987</v>
      </c>
      <c r="H76" s="653">
        <f>G76/60</f>
        <v>16.45</v>
      </c>
      <c r="I76" s="652">
        <f>F65</f>
        <v>0</v>
      </c>
      <c r="J76" s="653">
        <f>I76/60</f>
        <v>0</v>
      </c>
    </row>
    <row r="77" spans="1:42" ht="19.5" customHeight="1" x14ac:dyDescent="0.3">
      <c r="B77" s="651" t="s">
        <v>219</v>
      </c>
      <c r="C77" s="655">
        <f>L65</f>
        <v>273</v>
      </c>
      <c r="D77" s="656">
        <f t="shared" ref="D77:F79" si="0">C77/60</f>
        <v>4.55</v>
      </c>
      <c r="E77" s="655">
        <f>M65</f>
        <v>173</v>
      </c>
      <c r="F77" s="657">
        <f t="shared" si="0"/>
        <v>2.8833333333333333</v>
      </c>
      <c r="G77" s="655">
        <f>N65</f>
        <v>0</v>
      </c>
      <c r="H77" s="656">
        <f t="shared" ref="H77:J79" si="1">G77/60</f>
        <v>0</v>
      </c>
      <c r="I77" s="655">
        <f>O65</f>
        <v>0</v>
      </c>
      <c r="J77" s="656">
        <f t="shared" si="1"/>
        <v>0</v>
      </c>
    </row>
    <row r="78" spans="1:42" ht="20.25" customHeight="1" x14ac:dyDescent="0.3">
      <c r="B78" s="651" t="s">
        <v>220</v>
      </c>
      <c r="C78" s="655">
        <f>U65</f>
        <v>1239</v>
      </c>
      <c r="D78" s="656">
        <f t="shared" si="0"/>
        <v>20.65</v>
      </c>
      <c r="E78" s="655">
        <f>V65</f>
        <v>60</v>
      </c>
      <c r="F78" s="657">
        <f t="shared" si="0"/>
        <v>1</v>
      </c>
      <c r="G78" s="655">
        <f>W65</f>
        <v>619</v>
      </c>
      <c r="H78" s="656">
        <f t="shared" si="1"/>
        <v>10.316666666666666</v>
      </c>
      <c r="I78" s="655">
        <f>X65</f>
        <v>0</v>
      </c>
      <c r="J78" s="656">
        <f t="shared" si="1"/>
        <v>0</v>
      </c>
    </row>
    <row r="79" spans="1:42" ht="22.5" customHeight="1" thickBot="1" x14ac:dyDescent="0.35">
      <c r="B79" s="651" t="s">
        <v>221</v>
      </c>
      <c r="C79" s="658">
        <f>AD65</f>
        <v>274</v>
      </c>
      <c r="D79" s="659">
        <f t="shared" si="0"/>
        <v>4.5666666666666664</v>
      </c>
      <c r="E79" s="658">
        <f>AE65</f>
        <v>96</v>
      </c>
      <c r="F79" s="660">
        <f t="shared" si="0"/>
        <v>1.6</v>
      </c>
      <c r="G79" s="658">
        <f>AF65</f>
        <v>234</v>
      </c>
      <c r="H79" s="659">
        <f t="shared" si="1"/>
        <v>3.9</v>
      </c>
      <c r="I79" s="658">
        <f>AG65</f>
        <v>0</v>
      </c>
      <c r="J79" s="659">
        <f t="shared" si="1"/>
        <v>0</v>
      </c>
    </row>
    <row r="80" spans="1:42" ht="22.5" customHeight="1" thickBot="1" x14ac:dyDescent="0.35">
      <c r="B80" s="651" t="s">
        <v>488</v>
      </c>
      <c r="C80" s="850">
        <f>AM65</f>
        <v>74</v>
      </c>
      <c r="D80" s="849">
        <f>C80/60</f>
        <v>1.2333333333333334</v>
      </c>
      <c r="E80" s="850">
        <f>AN65</f>
        <v>41</v>
      </c>
      <c r="F80" s="851">
        <f>E80/60</f>
        <v>0.68333333333333335</v>
      </c>
      <c r="G80" s="850">
        <f>AO65</f>
        <v>711</v>
      </c>
      <c r="H80" s="849">
        <f>G80/60</f>
        <v>11.85</v>
      </c>
      <c r="I80" s="850">
        <f>AP65</f>
        <v>0</v>
      </c>
      <c r="J80" s="849">
        <f>I80/60</f>
        <v>0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43.216666666666669</v>
      </c>
      <c r="E82" s="666"/>
      <c r="F82" s="667">
        <f>SUM(F76:F80)</f>
        <v>11.116666666666667</v>
      </c>
      <c r="G82" s="666"/>
      <c r="H82" s="667">
        <f>SUM(H76:H80)</f>
        <v>42.516666666666666</v>
      </c>
      <c r="I82" s="666"/>
      <c r="J82" s="668">
        <f>AVERAGE(J76:J80)</f>
        <v>0</v>
      </c>
    </row>
  </sheetData>
  <mergeCells count="45">
    <mergeCell ref="A5:A6"/>
    <mergeCell ref="C1:F1"/>
    <mergeCell ref="G1:J1"/>
    <mergeCell ref="L1:O1"/>
    <mergeCell ref="P1:S1"/>
    <mergeCell ref="AD1:AG1"/>
    <mergeCell ref="AH1:AK1"/>
    <mergeCell ref="AM1:AP1"/>
    <mergeCell ref="AQ1:AT1"/>
    <mergeCell ref="A3:A4"/>
    <mergeCell ref="U1:X1"/>
    <mergeCell ref="Y1:AB1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</mergeCells>
  <pageMargins left="0.7" right="0.7" top="0.75" bottom="0.75" header="0.3" footer="0.3"/>
  <pageSetup paperSize="9" orientation="portrait" horizontalDpi="180" verticalDpi="18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2"/>
  <sheetViews>
    <sheetView zoomScale="55" zoomScaleNormal="55" workbookViewId="0">
      <pane xSplit="2" ySplit="2" topLeftCell="C54" activePane="bottomRight" state="frozen"/>
      <selection pane="topRight" activeCell="C1" sqref="C1"/>
      <selection pane="bottomLeft" activeCell="A3" sqref="A3"/>
      <selection pane="bottomRight" activeCell="H78" sqref="H78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2.85546875" style="524" customWidth="1"/>
    <col min="5" max="5" width="15.7109375" style="524" customWidth="1"/>
    <col min="6" max="6" width="16.85546875" style="524" customWidth="1"/>
    <col min="7" max="7" width="21.140625" style="524" customWidth="1"/>
    <col min="8" max="8" width="27.28515625" style="524" customWidth="1"/>
    <col min="9" max="9" width="22" style="524" customWidth="1"/>
    <col min="10" max="10" width="22.28515625" style="524" customWidth="1"/>
    <col min="11" max="14" width="10.7109375" style="524" customWidth="1"/>
    <col min="15" max="15" width="17" style="524" customWidth="1"/>
    <col min="16" max="16" width="23" style="524" customWidth="1"/>
    <col min="17" max="17" width="25.7109375" style="524" customWidth="1"/>
    <col min="18" max="18" width="30.42578125" style="524" customWidth="1"/>
    <col min="19" max="19" width="24.28515625" style="524" customWidth="1"/>
    <col min="20" max="24" width="10.7109375" style="524" customWidth="1"/>
    <col min="25" max="25" width="28" style="524" customWidth="1"/>
    <col min="26" max="26" width="23.85546875" style="524" customWidth="1"/>
    <col min="27" max="27" width="32.42578125" style="524" customWidth="1"/>
    <col min="28" max="28" width="21.140625" style="524" customWidth="1"/>
    <col min="29" max="33" width="10.7109375" style="524" customWidth="1"/>
    <col min="34" max="34" width="30.42578125" style="524" customWidth="1"/>
    <col min="35" max="35" width="25.42578125" style="524" customWidth="1"/>
    <col min="36" max="36" width="24.140625" style="524" customWidth="1"/>
    <col min="37" max="37" width="23" style="524" customWidth="1"/>
    <col min="38" max="38" width="8.85546875" style="524"/>
    <col min="39" max="42" width="10.7109375" style="524" customWidth="1"/>
    <col min="43" max="43" width="16.85546875" style="524" customWidth="1"/>
    <col min="44" max="44" width="15.140625" style="524" customWidth="1"/>
    <col min="45" max="45" width="17.5703125" style="524" customWidth="1"/>
    <col min="46" max="46" width="21.140625" style="524" bestFit="1" customWidth="1"/>
    <col min="47" max="16384" width="8.85546875" style="524"/>
  </cols>
  <sheetData>
    <row r="1" spans="1:46" x14ac:dyDescent="0.25">
      <c r="C1" s="2217" t="s">
        <v>1</v>
      </c>
      <c r="D1" s="2212"/>
      <c r="E1" s="2212"/>
      <c r="F1" s="2212"/>
      <c r="G1" s="2211" t="s">
        <v>206</v>
      </c>
      <c r="H1" s="2209"/>
      <c r="I1" s="2209"/>
      <c r="J1" s="2210"/>
      <c r="L1" s="2212" t="s">
        <v>4</v>
      </c>
      <c r="M1" s="2212"/>
      <c r="N1" s="2212"/>
      <c r="O1" s="2212"/>
      <c r="P1" s="2209" t="s">
        <v>206</v>
      </c>
      <c r="Q1" s="2209"/>
      <c r="R1" s="2209"/>
      <c r="S1" s="2210"/>
      <c r="U1" s="2212" t="s">
        <v>2</v>
      </c>
      <c r="V1" s="2212"/>
      <c r="W1" s="2212"/>
      <c r="X1" s="2212"/>
      <c r="Y1" s="2209" t="s">
        <v>206</v>
      </c>
      <c r="Z1" s="2209"/>
      <c r="AA1" s="2209"/>
      <c r="AB1" s="2210"/>
      <c r="AD1" s="2212" t="s">
        <v>5</v>
      </c>
      <c r="AE1" s="2212"/>
      <c r="AF1" s="2212"/>
      <c r="AG1" s="2212"/>
      <c r="AH1" s="2209" t="s">
        <v>206</v>
      </c>
      <c r="AI1" s="2209"/>
      <c r="AJ1" s="2209"/>
      <c r="AK1" s="2210"/>
      <c r="AM1" s="2212" t="s">
        <v>482</v>
      </c>
      <c r="AN1" s="2212"/>
      <c r="AO1" s="2212"/>
      <c r="AP1" s="2212"/>
      <c r="AQ1" s="2209" t="s">
        <v>206</v>
      </c>
      <c r="AR1" s="2209"/>
      <c r="AS1" s="2209"/>
      <c r="AT1" s="2210"/>
    </row>
    <row r="2" spans="1:46" ht="42.6" customHeight="1" x14ac:dyDescent="0.25">
      <c r="A2" s="852" t="s">
        <v>0</v>
      </c>
      <c r="B2" s="528" t="s">
        <v>198</v>
      </c>
      <c r="C2" s="529" t="s">
        <v>199</v>
      </c>
      <c r="D2" s="526" t="s">
        <v>200</v>
      </c>
      <c r="E2" s="526" t="s">
        <v>201</v>
      </c>
      <c r="F2" s="526" t="s">
        <v>204</v>
      </c>
      <c r="G2" s="575" t="s">
        <v>199</v>
      </c>
      <c r="H2" s="575" t="s">
        <v>200</v>
      </c>
      <c r="I2" s="575" t="s">
        <v>201</v>
      </c>
      <c r="J2" s="575" t="s">
        <v>204</v>
      </c>
      <c r="K2" s="524" t="s">
        <v>269</v>
      </c>
      <c r="L2" s="526" t="s">
        <v>199</v>
      </c>
      <c r="M2" s="526" t="s">
        <v>200</v>
      </c>
      <c r="N2" s="526" t="s">
        <v>201</v>
      </c>
      <c r="O2" s="526" t="s">
        <v>204</v>
      </c>
      <c r="P2" s="527" t="s">
        <v>199</v>
      </c>
      <c r="Q2" s="526" t="s">
        <v>200</v>
      </c>
      <c r="R2" s="526" t="s">
        <v>201</v>
      </c>
      <c r="S2" s="526" t="s">
        <v>204</v>
      </c>
      <c r="U2" s="526" t="s">
        <v>199</v>
      </c>
      <c r="V2" s="526" t="s">
        <v>200</v>
      </c>
      <c r="W2" s="526" t="s">
        <v>201</v>
      </c>
      <c r="X2" s="526" t="s">
        <v>204</v>
      </c>
      <c r="Y2" s="650" t="s">
        <v>199</v>
      </c>
      <c r="Z2" s="526" t="s">
        <v>200</v>
      </c>
      <c r="AA2" s="526" t="s">
        <v>201</v>
      </c>
      <c r="AB2" s="526" t="s">
        <v>204</v>
      </c>
      <c r="AD2" s="526" t="s">
        <v>199</v>
      </c>
      <c r="AE2" s="526" t="s">
        <v>200</v>
      </c>
      <c r="AF2" s="526" t="s">
        <v>201</v>
      </c>
      <c r="AG2" s="526" t="s">
        <v>204</v>
      </c>
      <c r="AH2" s="527" t="s">
        <v>199</v>
      </c>
      <c r="AI2" s="526" t="s">
        <v>200</v>
      </c>
      <c r="AJ2" s="526" t="s">
        <v>201</v>
      </c>
      <c r="AK2" s="526" t="s">
        <v>204</v>
      </c>
      <c r="AM2" s="526" t="s">
        <v>199</v>
      </c>
      <c r="AN2" s="526" t="s">
        <v>200</v>
      </c>
      <c r="AO2" s="526" t="s">
        <v>201</v>
      </c>
      <c r="AP2" s="526" t="s">
        <v>204</v>
      </c>
      <c r="AQ2" s="527" t="s">
        <v>199</v>
      </c>
      <c r="AR2" s="526" t="s">
        <v>200</v>
      </c>
      <c r="AS2" s="526" t="s">
        <v>201</v>
      </c>
      <c r="AT2" s="526" t="s">
        <v>204</v>
      </c>
    </row>
    <row r="3" spans="1:46" ht="30" customHeight="1" x14ac:dyDescent="0.25">
      <c r="A3" s="2206">
        <v>44896</v>
      </c>
      <c r="B3" s="854">
        <v>1</v>
      </c>
      <c r="C3" s="592"/>
      <c r="D3" s="593"/>
      <c r="E3" s="847">
        <v>43</v>
      </c>
      <c r="F3" s="594"/>
      <c r="G3" s="685"/>
      <c r="H3" s="619"/>
      <c r="I3" s="848" t="s">
        <v>325</v>
      </c>
      <c r="J3" s="686"/>
      <c r="K3" s="622"/>
      <c r="L3" s="612"/>
      <c r="M3" s="630"/>
      <c r="N3" s="630"/>
      <c r="O3" s="628"/>
      <c r="P3" s="629"/>
      <c r="Q3" s="699"/>
      <c r="R3" s="700"/>
      <c r="S3" s="628"/>
      <c r="T3" s="622"/>
      <c r="U3" s="612"/>
      <c r="V3" s="630"/>
      <c r="W3" s="630">
        <v>22</v>
      </c>
      <c r="X3" s="613"/>
      <c r="Y3" s="859"/>
      <c r="Z3" s="629"/>
      <c r="AA3" s="719" t="s">
        <v>325</v>
      </c>
      <c r="AB3" s="720"/>
      <c r="AC3" s="622"/>
      <c r="AD3" s="612"/>
      <c r="AE3" s="630"/>
      <c r="AF3" s="6"/>
      <c r="AG3" s="628"/>
      <c r="AH3" s="629"/>
      <c r="AI3" s="630"/>
      <c r="AJ3" s="6"/>
      <c r="AK3" s="628"/>
      <c r="AM3" s="612"/>
      <c r="AN3" s="630"/>
      <c r="AO3" s="6"/>
      <c r="AP3" s="628"/>
      <c r="AQ3" s="629"/>
      <c r="AR3" s="630"/>
      <c r="AS3" s="6"/>
      <c r="AT3" s="628"/>
    </row>
    <row r="4" spans="1:46" ht="36.6" customHeight="1" x14ac:dyDescent="0.25">
      <c r="A4" s="2205"/>
      <c r="B4" s="574">
        <v>2</v>
      </c>
      <c r="C4" s="595"/>
      <c r="D4" s="596"/>
      <c r="E4" s="596">
        <v>48</v>
      </c>
      <c r="F4" s="597"/>
      <c r="G4" s="685"/>
      <c r="H4" s="619"/>
      <c r="I4" s="620" t="s">
        <v>532</v>
      </c>
      <c r="J4" s="687"/>
      <c r="K4" s="622"/>
      <c r="L4" s="572"/>
      <c r="M4" s="6"/>
      <c r="N4" s="6"/>
      <c r="O4" s="613"/>
      <c r="P4" s="614"/>
      <c r="Q4" s="619"/>
      <c r="R4" s="861"/>
      <c r="S4" s="613"/>
      <c r="T4" s="622"/>
      <c r="U4" s="572"/>
      <c r="V4" s="605"/>
      <c r="W4" s="6">
        <v>48</v>
      </c>
      <c r="X4" s="613"/>
      <c r="Y4" s="859"/>
      <c r="Z4" s="6"/>
      <c r="AA4" s="698" t="s">
        <v>533</v>
      </c>
      <c r="AB4" s="722"/>
      <c r="AC4" s="622"/>
      <c r="AD4" s="572"/>
      <c r="AE4" s="6"/>
      <c r="AF4" s="6">
        <v>10</v>
      </c>
      <c r="AG4" s="613"/>
      <c r="AH4" s="614"/>
      <c r="AI4" s="6"/>
      <c r="AJ4" s="6" t="s">
        <v>325</v>
      </c>
      <c r="AK4" s="613"/>
      <c r="AM4" s="572"/>
      <c r="AN4" s="6"/>
      <c r="AO4" s="6">
        <v>6</v>
      </c>
      <c r="AP4" s="613"/>
      <c r="AQ4" s="614"/>
      <c r="AR4" s="6"/>
      <c r="AS4" s="6" t="s">
        <v>325</v>
      </c>
      <c r="AT4" s="613"/>
    </row>
    <row r="5" spans="1:46" ht="28.9" customHeight="1" x14ac:dyDescent="0.25">
      <c r="A5" s="2206">
        <v>44897</v>
      </c>
      <c r="B5" s="574">
        <v>1</v>
      </c>
      <c r="C5" s="595"/>
      <c r="D5" s="596"/>
      <c r="E5" s="596"/>
      <c r="F5" s="597"/>
      <c r="G5" s="685"/>
      <c r="H5" s="619"/>
      <c r="I5" s="620"/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/>
      <c r="X5" s="613"/>
      <c r="Y5" s="859"/>
      <c r="Z5" s="6"/>
      <c r="AA5" s="698"/>
      <c r="AB5" s="723"/>
      <c r="AC5" s="622"/>
      <c r="AD5" s="572"/>
      <c r="AE5" s="6"/>
      <c r="AF5" s="6"/>
      <c r="AG5" s="613"/>
      <c r="AH5" s="614"/>
      <c r="AI5" s="6"/>
      <c r="AJ5" s="6"/>
      <c r="AK5" s="613"/>
      <c r="AM5" s="572"/>
      <c r="AN5" s="6"/>
      <c r="AO5" s="6">
        <v>125</v>
      </c>
      <c r="AP5" s="613"/>
      <c r="AQ5" s="614"/>
      <c r="AR5" s="6"/>
      <c r="AS5" s="605" t="s">
        <v>535</v>
      </c>
      <c r="AT5" s="613"/>
    </row>
    <row r="6" spans="1:46" ht="52.15" customHeight="1" x14ac:dyDescent="0.25">
      <c r="A6" s="2205"/>
      <c r="B6" s="574">
        <v>2</v>
      </c>
      <c r="C6" s="595">
        <v>68</v>
      </c>
      <c r="D6" s="596"/>
      <c r="E6" s="596"/>
      <c r="F6" s="597"/>
      <c r="G6" s="684" t="s">
        <v>534</v>
      </c>
      <c r="H6" s="619"/>
      <c r="I6" s="620"/>
      <c r="J6" s="687"/>
      <c r="K6" s="622"/>
      <c r="L6" s="572"/>
      <c r="M6" s="6"/>
      <c r="N6" s="6"/>
      <c r="O6" s="613"/>
      <c r="P6" s="614"/>
      <c r="Q6" s="619"/>
      <c r="R6" s="6"/>
      <c r="S6" s="613"/>
      <c r="T6" s="622"/>
      <c r="U6" s="572"/>
      <c r="V6" s="6"/>
      <c r="W6" s="6">
        <v>190</v>
      </c>
      <c r="X6" s="613"/>
      <c r="Y6" s="859"/>
      <c r="Z6" s="6"/>
      <c r="AA6" s="698" t="s">
        <v>535</v>
      </c>
      <c r="AB6" s="613"/>
      <c r="AC6" s="622"/>
      <c r="AD6" s="572"/>
      <c r="AE6" s="6"/>
      <c r="AF6" s="6"/>
      <c r="AG6" s="613"/>
      <c r="AH6" s="614"/>
      <c r="AI6" s="6"/>
      <c r="AJ6" s="6"/>
      <c r="AK6" s="613"/>
      <c r="AM6" s="572"/>
      <c r="AN6" s="6"/>
      <c r="AO6" s="6">
        <v>188</v>
      </c>
      <c r="AP6" s="613"/>
      <c r="AQ6" s="614"/>
      <c r="AR6" s="6"/>
      <c r="AS6" s="605" t="s">
        <v>535</v>
      </c>
      <c r="AT6" s="613"/>
    </row>
    <row r="7" spans="1:46" ht="33" customHeight="1" x14ac:dyDescent="0.25">
      <c r="A7" s="2206">
        <v>44898</v>
      </c>
      <c r="B7" s="574">
        <v>1</v>
      </c>
      <c r="C7" s="595"/>
      <c r="D7" s="596"/>
      <c r="E7" s="596">
        <v>45</v>
      </c>
      <c r="F7" s="597"/>
      <c r="G7" s="685"/>
      <c r="H7" s="620"/>
      <c r="I7" s="620" t="s">
        <v>536</v>
      </c>
      <c r="J7" s="687"/>
      <c r="K7" s="622"/>
      <c r="L7" s="572"/>
      <c r="M7" s="614"/>
      <c r="N7" s="6"/>
      <c r="O7" s="613"/>
      <c r="P7" s="614"/>
      <c r="Q7" s="614"/>
      <c r="R7" s="6"/>
      <c r="S7" s="613"/>
      <c r="T7" s="622"/>
      <c r="U7" s="572"/>
      <c r="V7" s="6"/>
      <c r="W7" s="6">
        <v>173</v>
      </c>
      <c r="X7" s="613"/>
      <c r="Y7" s="614"/>
      <c r="Z7" s="6"/>
      <c r="AA7" s="620" t="s">
        <v>536</v>
      </c>
      <c r="AB7" s="613"/>
      <c r="AC7" s="622"/>
      <c r="AD7" s="572"/>
      <c r="AE7" s="6"/>
      <c r="AF7" s="6">
        <v>324</v>
      </c>
      <c r="AG7" s="613"/>
      <c r="AH7" s="614"/>
      <c r="AI7" s="6"/>
      <c r="AJ7" s="620" t="s">
        <v>536</v>
      </c>
      <c r="AK7" s="613"/>
      <c r="AM7" s="572"/>
      <c r="AN7" s="6"/>
      <c r="AO7" s="6">
        <v>15</v>
      </c>
      <c r="AP7" s="613"/>
      <c r="AQ7" s="614"/>
      <c r="AR7" s="6"/>
      <c r="AS7" s="620" t="s">
        <v>536</v>
      </c>
      <c r="AT7" s="613"/>
    </row>
    <row r="8" spans="1:46" ht="33.6" customHeight="1" x14ac:dyDescent="0.25">
      <c r="A8" s="2205"/>
      <c r="B8" s="574">
        <v>2</v>
      </c>
      <c r="C8" s="595"/>
      <c r="D8" s="596"/>
      <c r="E8" s="596">
        <v>57</v>
      </c>
      <c r="F8" s="597"/>
      <c r="G8" s="684"/>
      <c r="H8" s="620"/>
      <c r="I8" s="620" t="s">
        <v>97</v>
      </c>
      <c r="J8" s="635"/>
      <c r="K8" s="622"/>
      <c r="L8" s="572"/>
      <c r="M8" s="6"/>
      <c r="N8" s="6"/>
      <c r="O8" s="613"/>
      <c r="P8" s="859"/>
      <c r="Q8" s="605"/>
      <c r="R8" s="605"/>
      <c r="S8" s="635"/>
      <c r="T8" s="622"/>
      <c r="U8" s="572"/>
      <c r="V8" s="831"/>
      <c r="W8" s="614"/>
      <c r="X8" s="613"/>
      <c r="Y8" s="859"/>
      <c r="Z8" s="6"/>
      <c r="AA8" s="6"/>
      <c r="AB8" s="635"/>
      <c r="AC8" s="622"/>
      <c r="AD8" s="572"/>
      <c r="AE8" s="6"/>
      <c r="AF8" s="6">
        <v>298</v>
      </c>
      <c r="AG8" s="613"/>
      <c r="AH8" s="614"/>
      <c r="AI8" s="6"/>
      <c r="AJ8" s="605" t="s">
        <v>537</v>
      </c>
      <c r="AK8" s="635"/>
      <c r="AM8" s="572"/>
      <c r="AN8" s="6"/>
      <c r="AO8" s="6"/>
      <c r="AP8" s="613"/>
      <c r="AQ8" s="614"/>
      <c r="AR8" s="6"/>
      <c r="AS8" s="6"/>
      <c r="AT8" s="635"/>
    </row>
    <row r="9" spans="1:46" ht="36" customHeight="1" x14ac:dyDescent="0.25">
      <c r="A9" s="2206">
        <v>44899</v>
      </c>
      <c r="B9" s="574">
        <v>1</v>
      </c>
      <c r="C9" s="595"/>
      <c r="D9" s="596"/>
      <c r="E9" s="596"/>
      <c r="F9" s="597"/>
      <c r="G9" s="684"/>
      <c r="H9" s="619"/>
      <c r="I9" s="619"/>
      <c r="J9" s="635"/>
      <c r="K9" s="622"/>
      <c r="L9" s="572"/>
      <c r="M9" s="6"/>
      <c r="N9" s="6"/>
      <c r="O9" s="613"/>
      <c r="P9" s="859"/>
      <c r="Q9" s="619"/>
      <c r="R9" s="605"/>
      <c r="S9" s="635"/>
      <c r="T9" s="622"/>
      <c r="U9" s="572"/>
      <c r="V9" s="6"/>
      <c r="W9" s="6">
        <v>194</v>
      </c>
      <c r="X9" s="613"/>
      <c r="Y9" s="614"/>
      <c r="Z9" s="6"/>
      <c r="AA9" s="620" t="s">
        <v>538</v>
      </c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/>
      <c r="AN9" s="6"/>
      <c r="AO9" s="6"/>
      <c r="AP9" s="613"/>
      <c r="AQ9" s="614"/>
      <c r="AR9" s="6"/>
      <c r="AS9" s="6"/>
      <c r="AT9" s="635"/>
    </row>
    <row r="10" spans="1:46" ht="33" customHeight="1" x14ac:dyDescent="0.25">
      <c r="A10" s="2205"/>
      <c r="B10" s="574">
        <v>2</v>
      </c>
      <c r="C10" s="595"/>
      <c r="D10" s="596"/>
      <c r="E10" s="596"/>
      <c r="F10" s="597">
        <v>447</v>
      </c>
      <c r="G10" s="685"/>
      <c r="H10" s="619"/>
      <c r="I10" s="620"/>
      <c r="J10" s="635" t="s">
        <v>539</v>
      </c>
      <c r="K10" s="622"/>
      <c r="L10" s="572"/>
      <c r="M10" s="6"/>
      <c r="N10" s="6"/>
      <c r="O10" s="613">
        <v>479</v>
      </c>
      <c r="P10" s="859"/>
      <c r="Q10" s="6"/>
      <c r="R10" s="605"/>
      <c r="S10" s="635" t="s">
        <v>539</v>
      </c>
      <c r="T10" s="622"/>
      <c r="U10" s="572">
        <v>720</v>
      </c>
      <c r="V10" s="6"/>
      <c r="W10" s="6"/>
      <c r="X10" s="613"/>
      <c r="Y10" s="572" t="s">
        <v>45</v>
      </c>
      <c r="Z10" s="859"/>
      <c r="AA10" s="6"/>
      <c r="AB10" s="635"/>
      <c r="AC10" s="622"/>
      <c r="AD10" s="572"/>
      <c r="AE10" s="6"/>
      <c r="AF10" s="6"/>
      <c r="AG10" s="613">
        <v>484</v>
      </c>
      <c r="AH10" s="859"/>
      <c r="AI10" s="6"/>
      <c r="AJ10" s="6"/>
      <c r="AK10" s="635" t="s">
        <v>539</v>
      </c>
      <c r="AM10" s="572">
        <v>508</v>
      </c>
      <c r="AN10" s="6"/>
      <c r="AO10" s="6"/>
      <c r="AP10" s="613"/>
      <c r="AQ10" s="614"/>
      <c r="AR10" s="6"/>
      <c r="AS10" s="6"/>
      <c r="AT10" s="635" t="s">
        <v>539</v>
      </c>
    </row>
    <row r="11" spans="1:46" ht="30.75" customHeight="1" x14ac:dyDescent="0.25">
      <c r="A11" s="2206">
        <v>44900</v>
      </c>
      <c r="B11" s="574">
        <v>1</v>
      </c>
      <c r="C11" s="595"/>
      <c r="D11" s="596"/>
      <c r="E11" s="596"/>
      <c r="F11" s="597"/>
      <c r="G11" s="684"/>
      <c r="H11" s="619"/>
      <c r="I11" s="620"/>
      <c r="J11" s="687"/>
      <c r="K11" s="622"/>
      <c r="L11" s="572"/>
      <c r="M11" s="6">
        <v>30</v>
      </c>
      <c r="N11" s="6"/>
      <c r="O11" s="613"/>
      <c r="P11" s="859"/>
      <c r="Q11" s="6" t="s">
        <v>541</v>
      </c>
      <c r="R11" s="605"/>
      <c r="S11" s="613"/>
      <c r="T11" s="622"/>
      <c r="U11" s="572">
        <v>720</v>
      </c>
      <c r="V11" s="6"/>
      <c r="W11" s="6"/>
      <c r="X11" s="613"/>
      <c r="Y11" s="614" t="s">
        <v>45</v>
      </c>
      <c r="Z11" s="6"/>
      <c r="AA11" s="6"/>
      <c r="AB11" s="613"/>
      <c r="AC11" s="622"/>
      <c r="AD11" s="572"/>
      <c r="AE11" s="6"/>
      <c r="AF11" s="6"/>
      <c r="AG11" s="613"/>
      <c r="AH11" s="614"/>
      <c r="AI11" s="6"/>
      <c r="AJ11" s="6"/>
      <c r="AK11" s="613"/>
      <c r="AM11" s="572"/>
      <c r="AN11" s="6"/>
      <c r="AO11" s="6"/>
      <c r="AP11" s="613"/>
      <c r="AQ11" s="614"/>
      <c r="AR11" s="6"/>
      <c r="AS11" s="6"/>
      <c r="AT11" s="613"/>
    </row>
    <row r="12" spans="1:46" ht="36.6" customHeight="1" x14ac:dyDescent="0.25">
      <c r="A12" s="2205"/>
      <c r="B12" s="574">
        <v>2</v>
      </c>
      <c r="C12" s="595"/>
      <c r="D12" s="596"/>
      <c r="E12" s="596">
        <v>97</v>
      </c>
      <c r="F12" s="597"/>
      <c r="G12" s="685"/>
      <c r="H12" s="619"/>
      <c r="I12" s="620" t="s">
        <v>152</v>
      </c>
      <c r="J12" s="635"/>
      <c r="K12" s="622"/>
      <c r="L12" s="572"/>
      <c r="M12" s="6">
        <v>61</v>
      </c>
      <c r="N12" s="6"/>
      <c r="O12" s="613"/>
      <c r="P12" s="859"/>
      <c r="Q12" s="6" t="s">
        <v>540</v>
      </c>
      <c r="R12" s="605"/>
      <c r="S12" s="635"/>
      <c r="T12" s="622"/>
      <c r="U12" s="572">
        <v>720</v>
      </c>
      <c r="V12" s="6"/>
      <c r="W12" s="6"/>
      <c r="X12" s="613"/>
      <c r="Y12" s="614" t="s">
        <v>45</v>
      </c>
      <c r="Z12" s="6"/>
      <c r="AA12" s="721"/>
      <c r="AB12" s="635"/>
      <c r="AC12" s="622"/>
      <c r="AD12" s="572"/>
      <c r="AE12" s="6"/>
      <c r="AF12" s="6">
        <v>39</v>
      </c>
      <c r="AG12" s="613"/>
      <c r="AH12" s="614"/>
      <c r="AI12" s="6"/>
      <c r="AJ12" s="6" t="s">
        <v>152</v>
      </c>
      <c r="AK12" s="635"/>
      <c r="AM12" s="572"/>
      <c r="AN12" s="6"/>
      <c r="AO12" s="6">
        <v>108</v>
      </c>
      <c r="AP12" s="613"/>
      <c r="AQ12" s="614"/>
      <c r="AR12" s="6"/>
      <c r="AS12" s="6" t="s">
        <v>542</v>
      </c>
      <c r="AT12" s="635"/>
    </row>
    <row r="13" spans="1:46" ht="34.9" customHeight="1" x14ac:dyDescent="0.25">
      <c r="A13" s="2206">
        <v>44901</v>
      </c>
      <c r="B13" s="574">
        <v>1</v>
      </c>
      <c r="C13" s="595"/>
      <c r="D13" s="596"/>
      <c r="E13" s="596">
        <v>68</v>
      </c>
      <c r="F13" s="597"/>
      <c r="G13" s="685"/>
      <c r="H13" s="619"/>
      <c r="I13" s="620" t="s">
        <v>152</v>
      </c>
      <c r="J13" s="635"/>
      <c r="K13" s="622"/>
      <c r="L13" s="572"/>
      <c r="M13" s="6"/>
      <c r="N13" s="6"/>
      <c r="O13" s="597"/>
      <c r="P13" s="859"/>
      <c r="Q13" s="6"/>
      <c r="R13" s="605"/>
      <c r="S13" s="635"/>
      <c r="T13" s="622"/>
      <c r="U13" s="572">
        <v>720</v>
      </c>
      <c r="V13" s="6"/>
      <c r="W13" s="6"/>
      <c r="X13" s="597"/>
      <c r="Y13" s="865" t="s">
        <v>45</v>
      </c>
      <c r="Z13" s="605"/>
      <c r="AA13" s="6"/>
      <c r="AB13" s="635"/>
      <c r="AC13" s="622"/>
      <c r="AD13" s="572"/>
      <c r="AE13" s="6"/>
      <c r="AF13" s="6"/>
      <c r="AG13" s="597"/>
      <c r="AH13" s="614"/>
      <c r="AI13" s="6"/>
      <c r="AJ13" s="6"/>
      <c r="AK13" s="635"/>
      <c r="AM13" s="572"/>
      <c r="AN13" s="6"/>
      <c r="AO13" s="6"/>
      <c r="AP13" s="597"/>
      <c r="AQ13" s="614"/>
      <c r="AR13" s="6"/>
      <c r="AS13" s="6"/>
      <c r="AT13" s="635"/>
    </row>
    <row r="14" spans="1:46" ht="27.6" customHeight="1" x14ac:dyDescent="0.25">
      <c r="A14" s="2205"/>
      <c r="B14" s="574">
        <v>2</v>
      </c>
      <c r="C14" s="595"/>
      <c r="D14" s="596">
        <v>10</v>
      </c>
      <c r="E14" s="596">
        <v>122</v>
      </c>
      <c r="F14" s="597"/>
      <c r="G14" s="685"/>
      <c r="H14" s="620" t="s">
        <v>540</v>
      </c>
      <c r="I14" s="620" t="s">
        <v>152</v>
      </c>
      <c r="J14" s="635"/>
      <c r="K14" s="622"/>
      <c r="L14" s="572"/>
      <c r="M14" s="6"/>
      <c r="N14" s="6"/>
      <c r="O14" s="597"/>
      <c r="P14" s="614"/>
      <c r="Q14" s="6"/>
      <c r="R14" s="6"/>
      <c r="S14" s="635"/>
      <c r="T14" s="622"/>
      <c r="U14" s="572">
        <v>720</v>
      </c>
      <c r="V14" s="6"/>
      <c r="W14" s="6"/>
      <c r="X14" s="597"/>
      <c r="Y14" s="865" t="s">
        <v>45</v>
      </c>
      <c r="Z14" s="605"/>
      <c r="AA14" s="605"/>
      <c r="AB14" s="635"/>
      <c r="AC14" s="622"/>
      <c r="AD14" s="572"/>
      <c r="AE14" s="6"/>
      <c r="AF14" s="6">
        <v>13</v>
      </c>
      <c r="AG14" s="597"/>
      <c r="AH14" s="859"/>
      <c r="AI14" s="6"/>
      <c r="AJ14" s="6" t="s">
        <v>152</v>
      </c>
      <c r="AK14" s="635"/>
      <c r="AM14" s="572"/>
      <c r="AN14" s="6"/>
      <c r="AO14" s="6"/>
      <c r="AP14" s="597"/>
      <c r="AQ14" s="859"/>
      <c r="AR14" s="6"/>
      <c r="AS14" s="6"/>
      <c r="AT14" s="635"/>
    </row>
    <row r="15" spans="1:46" ht="34.9" customHeight="1" x14ac:dyDescent="0.25">
      <c r="A15" s="2206">
        <v>44902</v>
      </c>
      <c r="B15" s="574">
        <v>1</v>
      </c>
      <c r="C15" s="595"/>
      <c r="D15" s="596"/>
      <c r="E15" s="6">
        <v>93</v>
      </c>
      <c r="F15" s="597"/>
      <c r="G15" s="685"/>
      <c r="H15" s="620"/>
      <c r="I15" s="620" t="s">
        <v>152</v>
      </c>
      <c r="J15" s="635"/>
      <c r="K15" s="622"/>
      <c r="L15" s="572"/>
      <c r="M15" s="6"/>
      <c r="N15" s="6"/>
      <c r="O15" s="597"/>
      <c r="P15" s="572"/>
      <c r="Q15" s="620"/>
      <c r="R15" s="6"/>
      <c r="S15" s="635"/>
      <c r="T15" s="622"/>
      <c r="U15" s="572">
        <v>720</v>
      </c>
      <c r="V15" s="6"/>
      <c r="W15" s="6"/>
      <c r="X15" s="597"/>
      <c r="Y15" s="572" t="s">
        <v>45</v>
      </c>
      <c r="Z15" s="620"/>
      <c r="AA15" s="728"/>
      <c r="AB15" s="635"/>
      <c r="AC15" s="622"/>
      <c r="AD15" s="572"/>
      <c r="AE15" s="6"/>
      <c r="AF15" s="622"/>
      <c r="AG15" s="597"/>
      <c r="AI15" s="692"/>
      <c r="AJ15" s="6"/>
      <c r="AK15" s="635"/>
      <c r="AM15" s="572"/>
      <c r="AN15" s="6"/>
      <c r="AO15" s="622">
        <v>89</v>
      </c>
      <c r="AP15" s="597"/>
      <c r="AR15" s="692"/>
      <c r="AS15" s="6" t="s">
        <v>152</v>
      </c>
      <c r="AT15" s="635"/>
    </row>
    <row r="16" spans="1:46" ht="31.9" customHeight="1" x14ac:dyDescent="0.25">
      <c r="A16" s="2205"/>
      <c r="B16" s="574">
        <v>2</v>
      </c>
      <c r="C16" s="595"/>
      <c r="D16" s="596"/>
      <c r="E16" s="596">
        <v>150</v>
      </c>
      <c r="F16" s="597"/>
      <c r="G16" s="684"/>
      <c r="H16" s="830"/>
      <c r="I16" s="620" t="s">
        <v>152</v>
      </c>
      <c r="J16" s="635"/>
      <c r="K16" s="622"/>
      <c r="L16" s="572"/>
      <c r="M16" s="6"/>
      <c r="N16" s="6"/>
      <c r="O16" s="597"/>
      <c r="P16" s="572"/>
      <c r="Q16" s="6"/>
      <c r="R16" s="6"/>
      <c r="S16" s="635"/>
      <c r="T16" s="622"/>
      <c r="U16" s="572"/>
      <c r="V16" s="6"/>
      <c r="W16" s="6">
        <v>696</v>
      </c>
      <c r="X16" s="597"/>
      <c r="Y16" s="619"/>
      <c r="Z16" s="619"/>
      <c r="AA16" s="6" t="s">
        <v>239</v>
      </c>
      <c r="AB16" s="635"/>
      <c r="AC16" s="622"/>
      <c r="AD16" s="572"/>
      <c r="AE16" s="6"/>
      <c r="AF16" s="6"/>
      <c r="AG16" s="597"/>
      <c r="AH16" s="572"/>
      <c r="AI16" s="6"/>
      <c r="AJ16" s="6"/>
      <c r="AK16" s="635"/>
      <c r="AM16" s="572"/>
      <c r="AN16" s="6"/>
      <c r="AO16" s="6">
        <v>34</v>
      </c>
      <c r="AP16" s="597"/>
      <c r="AQ16" s="572"/>
      <c r="AR16" s="6"/>
      <c r="AS16" s="6" t="s">
        <v>152</v>
      </c>
      <c r="AT16" s="635"/>
    </row>
    <row r="17" spans="1:46" ht="39" customHeight="1" x14ac:dyDescent="0.25">
      <c r="A17" s="2206">
        <v>44903</v>
      </c>
      <c r="B17" s="644">
        <v>1</v>
      </c>
      <c r="C17" s="595"/>
      <c r="D17" s="596"/>
      <c r="E17" s="596">
        <v>55</v>
      </c>
      <c r="F17" s="597"/>
      <c r="G17" s="685"/>
      <c r="H17" s="619"/>
      <c r="I17" s="620" t="s">
        <v>152</v>
      </c>
      <c r="J17" s="635"/>
      <c r="K17" s="622"/>
      <c r="L17" s="572"/>
      <c r="M17" s="6"/>
      <c r="N17" s="6"/>
      <c r="O17" s="597"/>
      <c r="P17" s="572"/>
      <c r="Q17" s="6"/>
      <c r="R17" s="6"/>
      <c r="S17" s="635"/>
      <c r="T17" s="622"/>
      <c r="U17" s="572"/>
      <c r="V17" s="6"/>
      <c r="W17" s="6">
        <v>85</v>
      </c>
      <c r="X17" s="597"/>
      <c r="Y17" s="619"/>
      <c r="Z17" s="619"/>
      <c r="AA17" s="6" t="s">
        <v>152</v>
      </c>
      <c r="AB17" s="635"/>
      <c r="AC17" s="622"/>
      <c r="AD17" s="572"/>
      <c r="AE17" s="6"/>
      <c r="AF17" s="6">
        <v>8</v>
      </c>
      <c r="AG17" s="597"/>
      <c r="AH17" s="572"/>
      <c r="AI17" s="6"/>
      <c r="AJ17" s="605" t="s">
        <v>152</v>
      </c>
      <c r="AK17" s="635"/>
      <c r="AM17" s="572"/>
      <c r="AN17" s="6"/>
      <c r="AO17" s="6"/>
      <c r="AP17" s="597"/>
      <c r="AQ17" s="572"/>
      <c r="AR17" s="6"/>
      <c r="AS17" s="605"/>
      <c r="AT17" s="635"/>
    </row>
    <row r="18" spans="1:46" ht="54" customHeight="1" x14ac:dyDescent="0.25">
      <c r="A18" s="2205"/>
      <c r="B18" s="574">
        <v>2</v>
      </c>
      <c r="C18" s="595"/>
      <c r="D18" s="596"/>
      <c r="E18" s="596">
        <v>75</v>
      </c>
      <c r="F18" s="597"/>
      <c r="G18" s="684"/>
      <c r="H18" s="620"/>
      <c r="I18" s="619" t="s">
        <v>152</v>
      </c>
      <c r="J18" s="635"/>
      <c r="K18" s="622"/>
      <c r="L18" s="572"/>
      <c r="M18" s="6"/>
      <c r="N18" s="6"/>
      <c r="O18" s="597"/>
      <c r="P18" s="572"/>
      <c r="Q18" s="6"/>
      <c r="R18" s="6"/>
      <c r="S18" s="635"/>
      <c r="T18" s="622"/>
      <c r="U18" s="572"/>
      <c r="V18" s="6"/>
      <c r="W18" s="6">
        <v>101</v>
      </c>
      <c r="X18" s="597"/>
      <c r="Y18" s="567"/>
      <c r="Z18" s="6"/>
      <c r="AA18" s="605" t="s">
        <v>152</v>
      </c>
      <c r="AB18" s="635"/>
      <c r="AC18" s="622"/>
      <c r="AD18" s="572"/>
      <c r="AE18" s="6"/>
      <c r="AF18" s="6"/>
      <c r="AG18" s="597"/>
      <c r="AH18" s="572"/>
      <c r="AI18" s="6"/>
      <c r="AJ18" s="605"/>
      <c r="AK18" s="635"/>
      <c r="AM18" s="572"/>
      <c r="AN18" s="6"/>
      <c r="AO18" s="6"/>
      <c r="AP18" s="597"/>
      <c r="AQ18" s="572"/>
      <c r="AR18" s="6"/>
      <c r="AS18" s="605"/>
      <c r="AT18" s="635"/>
    </row>
    <row r="19" spans="1:46" ht="33.6" customHeight="1" x14ac:dyDescent="0.25">
      <c r="A19" s="2206">
        <v>44904</v>
      </c>
      <c r="B19" s="574">
        <v>1</v>
      </c>
      <c r="C19" s="622"/>
      <c r="D19" s="596"/>
      <c r="E19" s="596">
        <v>86</v>
      </c>
      <c r="F19" s="597"/>
      <c r="G19" s="685"/>
      <c r="H19" s="619"/>
      <c r="I19" s="620" t="s">
        <v>152</v>
      </c>
      <c r="J19" s="635"/>
      <c r="K19" s="622"/>
      <c r="L19" s="572">
        <v>112</v>
      </c>
      <c r="M19" s="6"/>
      <c r="N19" s="6"/>
      <c r="O19" s="597"/>
      <c r="P19" s="572" t="s">
        <v>45</v>
      </c>
      <c r="Q19" s="6"/>
      <c r="R19" s="6"/>
      <c r="S19" s="635"/>
      <c r="T19" s="622"/>
      <c r="U19" s="572"/>
      <c r="V19" s="6"/>
      <c r="W19" s="6">
        <v>159</v>
      </c>
      <c r="X19" s="597"/>
      <c r="Y19" s="572"/>
      <c r="Z19" s="605"/>
      <c r="AA19" s="605" t="s">
        <v>152</v>
      </c>
      <c r="AB19" s="635"/>
      <c r="AC19" s="622"/>
      <c r="AD19" s="572"/>
      <c r="AE19" s="6"/>
      <c r="AF19" s="6"/>
      <c r="AG19" s="597"/>
      <c r="AH19" s="572"/>
      <c r="AI19" s="6"/>
      <c r="AJ19" s="605"/>
      <c r="AK19" s="635"/>
      <c r="AM19" s="572"/>
      <c r="AN19" s="6"/>
      <c r="AO19" s="6"/>
      <c r="AP19" s="597"/>
      <c r="AQ19" s="572"/>
      <c r="AR19" s="6"/>
      <c r="AS19" s="605"/>
      <c r="AT19" s="635"/>
    </row>
    <row r="20" spans="1:46" ht="31.15" customHeight="1" x14ac:dyDescent="0.25">
      <c r="A20" s="2205"/>
      <c r="B20" s="574">
        <v>2</v>
      </c>
      <c r="C20" s="595"/>
      <c r="D20" s="596"/>
      <c r="E20" s="596">
        <v>19</v>
      </c>
      <c r="F20" s="597">
        <v>540</v>
      </c>
      <c r="G20" s="685"/>
      <c r="H20" s="620"/>
      <c r="I20" s="620" t="s">
        <v>152</v>
      </c>
      <c r="J20" s="635" t="s">
        <v>543</v>
      </c>
      <c r="K20" s="622"/>
      <c r="L20" s="572">
        <v>720</v>
      </c>
      <c r="M20" s="6"/>
      <c r="N20" s="6"/>
      <c r="O20" s="597"/>
      <c r="P20" s="572" t="s">
        <v>45</v>
      </c>
      <c r="Q20" s="6"/>
      <c r="R20" s="6"/>
      <c r="S20" s="635"/>
      <c r="T20" s="622"/>
      <c r="U20" s="572"/>
      <c r="V20" s="250"/>
      <c r="W20" s="6">
        <v>48</v>
      </c>
      <c r="X20" s="597">
        <v>540</v>
      </c>
      <c r="Y20" s="572"/>
      <c r="Z20" s="605"/>
      <c r="AA20" s="724" t="s">
        <v>152</v>
      </c>
      <c r="AB20" s="635" t="s">
        <v>543</v>
      </c>
      <c r="AC20" s="622"/>
      <c r="AD20" s="572"/>
      <c r="AE20" s="6"/>
      <c r="AF20" s="6"/>
      <c r="AG20" s="597">
        <v>540</v>
      </c>
      <c r="AH20" s="567"/>
      <c r="AI20" s="6"/>
      <c r="AJ20" s="6"/>
      <c r="AK20" s="726" t="s">
        <v>543</v>
      </c>
      <c r="AM20" s="572"/>
      <c r="AN20" s="6"/>
      <c r="AO20" s="6"/>
      <c r="AP20" s="597">
        <v>540</v>
      </c>
      <c r="AQ20" s="567"/>
      <c r="AR20" s="6"/>
      <c r="AS20" s="6"/>
      <c r="AT20" s="726" t="s">
        <v>543</v>
      </c>
    </row>
    <row r="21" spans="1:46" ht="39.6" customHeight="1" x14ac:dyDescent="0.25">
      <c r="A21" s="2206">
        <v>44905</v>
      </c>
      <c r="B21" s="574">
        <v>1</v>
      </c>
      <c r="C21" s="595"/>
      <c r="D21" s="596"/>
      <c r="E21" s="596">
        <v>61</v>
      </c>
      <c r="F21" s="597">
        <v>49</v>
      </c>
      <c r="G21" s="688"/>
      <c r="H21" s="619"/>
      <c r="I21" s="620" t="s">
        <v>152</v>
      </c>
      <c r="J21" s="635" t="s">
        <v>543</v>
      </c>
      <c r="K21" s="622"/>
      <c r="L21" s="572">
        <v>720</v>
      </c>
      <c r="M21" s="6"/>
      <c r="N21" s="6"/>
      <c r="O21" s="597"/>
      <c r="P21" s="572" t="s">
        <v>45</v>
      </c>
      <c r="Q21" s="6"/>
      <c r="R21" s="6"/>
      <c r="S21" s="635"/>
      <c r="T21" s="622"/>
      <c r="U21" s="572"/>
      <c r="V21" s="6"/>
      <c r="W21" s="6">
        <v>103</v>
      </c>
      <c r="X21" s="597">
        <v>65</v>
      </c>
      <c r="Y21" s="572"/>
      <c r="Z21" s="6"/>
      <c r="AA21" s="605" t="s">
        <v>152</v>
      </c>
      <c r="AB21" s="635" t="s">
        <v>543</v>
      </c>
      <c r="AC21" s="622"/>
      <c r="AD21" s="572"/>
      <c r="AE21" s="6"/>
      <c r="AF21" s="6">
        <v>23</v>
      </c>
      <c r="AG21" s="597">
        <v>52</v>
      </c>
      <c r="AH21" s="572"/>
      <c r="AI21" s="6"/>
      <c r="AJ21" s="6" t="s">
        <v>152</v>
      </c>
      <c r="AK21" s="726" t="s">
        <v>543</v>
      </c>
      <c r="AM21" s="572"/>
      <c r="AN21" s="6"/>
      <c r="AO21" s="6"/>
      <c r="AP21" s="597">
        <v>160</v>
      </c>
      <c r="AQ21" s="572"/>
      <c r="AR21" s="605"/>
      <c r="AS21" s="50"/>
      <c r="AT21" s="635"/>
    </row>
    <row r="22" spans="1:46" ht="31.9" customHeight="1" x14ac:dyDescent="0.25">
      <c r="A22" s="2205"/>
      <c r="B22" s="574">
        <v>2</v>
      </c>
      <c r="C22" s="595"/>
      <c r="D22" s="596"/>
      <c r="E22" s="596">
        <v>164</v>
      </c>
      <c r="F22" s="597"/>
      <c r="G22" s="856"/>
      <c r="H22" s="620"/>
      <c r="I22" s="620" t="s">
        <v>544</v>
      </c>
      <c r="J22" s="635"/>
      <c r="K22" s="622"/>
      <c r="L22" s="572">
        <v>720</v>
      </c>
      <c r="M22" s="6"/>
      <c r="N22" s="6"/>
      <c r="O22" s="597"/>
      <c r="P22" s="865" t="s">
        <v>45</v>
      </c>
      <c r="Q22" s="6"/>
      <c r="R22" s="6"/>
      <c r="S22" s="635"/>
      <c r="T22" s="622"/>
      <c r="U22" s="572"/>
      <c r="V22" s="6"/>
      <c r="W22" s="6">
        <v>257</v>
      </c>
      <c r="X22" s="597"/>
      <c r="Y22" s="572"/>
      <c r="Z22" s="6"/>
      <c r="AA22" s="605" t="s">
        <v>544</v>
      </c>
      <c r="AB22" s="635"/>
      <c r="AC22" s="622"/>
      <c r="AD22" s="572">
        <v>45</v>
      </c>
      <c r="AE22" s="6"/>
      <c r="AF22" s="6"/>
      <c r="AG22" s="597"/>
      <c r="AH22" s="567" t="s">
        <v>545</v>
      </c>
      <c r="AI22" s="6"/>
      <c r="AJ22" s="6"/>
      <c r="AK22" s="726"/>
      <c r="AM22" s="572"/>
      <c r="AN22" s="6"/>
      <c r="AO22" s="6"/>
      <c r="AP22" s="597"/>
      <c r="AQ22" s="572"/>
      <c r="AR22" s="605"/>
      <c r="AS22" s="50"/>
      <c r="AT22" s="635"/>
    </row>
    <row r="23" spans="1:46" ht="37.9" customHeight="1" x14ac:dyDescent="0.25">
      <c r="A23" s="2206">
        <v>44906</v>
      </c>
      <c r="B23" s="644">
        <v>1</v>
      </c>
      <c r="C23" s="595"/>
      <c r="D23" s="596"/>
      <c r="E23" s="596">
        <v>116</v>
      </c>
      <c r="F23" s="597"/>
      <c r="G23" s="685"/>
      <c r="H23" s="619"/>
      <c r="I23" s="620" t="s">
        <v>152</v>
      </c>
      <c r="J23" s="635"/>
      <c r="K23" s="622"/>
      <c r="L23" s="572"/>
      <c r="M23" s="6"/>
      <c r="N23" s="6">
        <v>720</v>
      </c>
      <c r="O23" s="597"/>
      <c r="P23" s="685"/>
      <c r="Q23" s="619"/>
      <c r="R23" s="620" t="s">
        <v>239</v>
      </c>
      <c r="S23" s="635"/>
      <c r="T23" s="622"/>
      <c r="U23" s="572"/>
      <c r="V23" s="6"/>
      <c r="W23" s="6">
        <v>156</v>
      </c>
      <c r="X23" s="597"/>
      <c r="Y23" s="684"/>
      <c r="Z23" s="619"/>
      <c r="AA23" s="620" t="s">
        <v>546</v>
      </c>
      <c r="AB23" s="635"/>
      <c r="AC23" s="622"/>
      <c r="AD23" s="572"/>
      <c r="AE23" s="6"/>
      <c r="AF23" s="6">
        <v>134</v>
      </c>
      <c r="AG23" s="597"/>
      <c r="AH23" s="6"/>
      <c r="AI23" s="619"/>
      <c r="AJ23" s="620" t="s">
        <v>152</v>
      </c>
      <c r="AK23" s="726"/>
      <c r="AM23" s="572"/>
      <c r="AN23" s="6"/>
      <c r="AO23" s="6"/>
      <c r="AP23" s="597"/>
      <c r="AQ23" s="6"/>
      <c r="AR23" s="619"/>
      <c r="AS23" s="692"/>
      <c r="AT23" s="635"/>
    </row>
    <row r="24" spans="1:46" ht="49.9" customHeight="1" x14ac:dyDescent="0.25">
      <c r="A24" s="2205"/>
      <c r="B24" s="574">
        <v>2</v>
      </c>
      <c r="C24" s="595"/>
      <c r="D24" s="596"/>
      <c r="E24" s="596">
        <v>10</v>
      </c>
      <c r="F24" s="597"/>
      <c r="G24" s="685"/>
      <c r="H24" s="619"/>
      <c r="I24" s="620" t="s">
        <v>401</v>
      </c>
      <c r="J24" s="635"/>
      <c r="K24" s="622"/>
      <c r="L24" s="572"/>
      <c r="M24" s="6"/>
      <c r="N24" s="6">
        <v>80</v>
      </c>
      <c r="O24" s="597"/>
      <c r="P24" s="685"/>
      <c r="Q24" s="619"/>
      <c r="R24" s="620" t="s">
        <v>239</v>
      </c>
      <c r="S24" s="635"/>
      <c r="T24" s="622"/>
      <c r="U24" s="572"/>
      <c r="V24" s="6">
        <v>10</v>
      </c>
      <c r="W24" s="6">
        <v>20</v>
      </c>
      <c r="X24" s="597"/>
      <c r="Y24" s="685"/>
      <c r="Z24" s="619" t="s">
        <v>547</v>
      </c>
      <c r="AA24" s="620" t="s">
        <v>548</v>
      </c>
      <c r="AB24" s="635"/>
      <c r="AC24" s="622"/>
      <c r="AD24" s="572"/>
      <c r="AE24" s="6"/>
      <c r="AF24" s="6"/>
      <c r="AG24" s="597"/>
      <c r="AH24" s="6"/>
      <c r="AI24" s="619"/>
      <c r="AJ24" s="6"/>
      <c r="AK24" s="726"/>
      <c r="AM24" s="572"/>
      <c r="AN24" s="6"/>
      <c r="AO24" s="6">
        <v>81</v>
      </c>
      <c r="AP24" s="597"/>
      <c r="AQ24" s="6"/>
      <c r="AR24" s="619"/>
      <c r="AS24" s="828" t="s">
        <v>549</v>
      </c>
      <c r="AT24" s="635"/>
    </row>
    <row r="25" spans="1:46" ht="46.15" customHeight="1" x14ac:dyDescent="0.25">
      <c r="A25" s="2206">
        <v>44907</v>
      </c>
      <c r="B25" s="574">
        <v>1</v>
      </c>
      <c r="C25" s="595"/>
      <c r="D25" s="596"/>
      <c r="E25" s="596">
        <v>40</v>
      </c>
      <c r="F25" s="597"/>
      <c r="G25" s="685"/>
      <c r="H25" s="619"/>
      <c r="I25" s="620" t="s">
        <v>152</v>
      </c>
      <c r="J25" s="635"/>
      <c r="K25" s="622"/>
      <c r="L25" s="572"/>
      <c r="M25" s="6"/>
      <c r="N25" s="6"/>
      <c r="O25" s="597"/>
      <c r="P25" s="572"/>
      <c r="Q25" s="619"/>
      <c r="R25" s="6"/>
      <c r="S25" s="635"/>
      <c r="T25" s="622"/>
      <c r="U25" s="572"/>
      <c r="V25" s="6"/>
      <c r="W25" s="6">
        <v>56</v>
      </c>
      <c r="X25" s="597"/>
      <c r="Y25" s="572"/>
      <c r="Z25" s="605"/>
      <c r="AA25" s="605" t="s">
        <v>152</v>
      </c>
      <c r="AB25" s="635"/>
      <c r="AC25" s="622"/>
      <c r="AD25" s="572"/>
      <c r="AE25" s="6"/>
      <c r="AF25" s="6"/>
      <c r="AG25" s="597"/>
      <c r="AH25" s="6"/>
      <c r="AI25" s="6"/>
      <c r="AJ25" s="6"/>
      <c r="AK25" s="726"/>
      <c r="AM25" s="572"/>
      <c r="AN25" s="6"/>
      <c r="AO25" s="6">
        <v>185</v>
      </c>
      <c r="AP25" s="597"/>
      <c r="AQ25" s="6"/>
      <c r="AR25" s="6"/>
      <c r="AS25" s="50" t="s">
        <v>152</v>
      </c>
      <c r="AT25" s="635"/>
    </row>
    <row r="26" spans="1:46" ht="42" customHeight="1" x14ac:dyDescent="0.25">
      <c r="A26" s="2205"/>
      <c r="B26" s="574">
        <v>2</v>
      </c>
      <c r="C26" s="595"/>
      <c r="D26" s="596"/>
      <c r="E26" s="596">
        <v>87</v>
      </c>
      <c r="F26" s="597">
        <v>100</v>
      </c>
      <c r="G26" s="685"/>
      <c r="H26" s="620"/>
      <c r="I26" s="692" t="s">
        <v>152</v>
      </c>
      <c r="J26" s="635" t="s">
        <v>543</v>
      </c>
      <c r="K26" s="622"/>
      <c r="L26" s="572"/>
      <c r="M26" s="6"/>
      <c r="N26" s="6"/>
      <c r="O26" s="597">
        <v>88</v>
      </c>
      <c r="P26" s="685"/>
      <c r="Q26" s="620"/>
      <c r="R26" s="620"/>
      <c r="S26" s="635" t="s">
        <v>543</v>
      </c>
      <c r="T26" s="622"/>
      <c r="U26" s="572"/>
      <c r="V26" s="596"/>
      <c r="W26" s="6">
        <v>112</v>
      </c>
      <c r="X26" s="597">
        <v>92</v>
      </c>
      <c r="Y26" s="685"/>
      <c r="Z26" s="620"/>
      <c r="AA26" s="620" t="s">
        <v>152</v>
      </c>
      <c r="AB26" s="635" t="s">
        <v>543</v>
      </c>
      <c r="AC26" s="622"/>
      <c r="AD26" s="572"/>
      <c r="AE26" s="596"/>
      <c r="AF26" s="6"/>
      <c r="AG26" s="597">
        <v>98</v>
      </c>
      <c r="AH26" s="6"/>
      <c r="AI26" s="6"/>
      <c r="AJ26" s="6"/>
      <c r="AK26" s="726" t="s">
        <v>543</v>
      </c>
      <c r="AM26" s="572"/>
      <c r="AN26" s="596"/>
      <c r="AO26" s="6"/>
      <c r="AP26" s="597">
        <v>100</v>
      </c>
      <c r="AQ26" s="6"/>
      <c r="AR26" s="6"/>
      <c r="AS26" s="50"/>
      <c r="AT26" s="635" t="s">
        <v>543</v>
      </c>
    </row>
    <row r="27" spans="1:46" ht="49.9" customHeight="1" x14ac:dyDescent="0.25">
      <c r="A27" s="2206">
        <v>44908</v>
      </c>
      <c r="B27" s="644">
        <v>1</v>
      </c>
      <c r="C27" s="595"/>
      <c r="D27" s="596"/>
      <c r="E27" s="596">
        <v>64</v>
      </c>
      <c r="F27" s="597"/>
      <c r="G27" s="685"/>
      <c r="H27" s="619"/>
      <c r="I27" s="692" t="s">
        <v>152</v>
      </c>
      <c r="J27" s="635"/>
      <c r="K27" s="622"/>
      <c r="L27" s="572"/>
      <c r="M27" s="6"/>
      <c r="N27" s="6"/>
      <c r="O27" s="597"/>
      <c r="P27" s="685"/>
      <c r="Q27" s="619"/>
      <c r="R27" s="620"/>
      <c r="S27" s="635"/>
      <c r="T27" s="622"/>
      <c r="U27" s="572"/>
      <c r="V27" s="6"/>
      <c r="W27" s="6"/>
      <c r="X27" s="613"/>
      <c r="Y27" s="685"/>
      <c r="Z27" s="619"/>
      <c r="AA27" s="620"/>
      <c r="AB27" s="635"/>
      <c r="AC27" s="622"/>
      <c r="AD27" s="572"/>
      <c r="AE27" s="6"/>
      <c r="AF27" s="6"/>
      <c r="AG27" s="613"/>
      <c r="AH27" s="6"/>
      <c r="AI27" s="6"/>
      <c r="AJ27" s="620"/>
      <c r="AK27" s="726"/>
      <c r="AM27" s="572"/>
      <c r="AN27" s="6"/>
      <c r="AO27" s="6">
        <v>73</v>
      </c>
      <c r="AP27" s="613"/>
      <c r="AQ27" s="6"/>
      <c r="AR27" s="6"/>
      <c r="AS27" s="692" t="s">
        <v>152</v>
      </c>
      <c r="AT27" s="635"/>
    </row>
    <row r="28" spans="1:46" ht="49.15" customHeight="1" x14ac:dyDescent="0.25">
      <c r="A28" s="2205"/>
      <c r="B28" s="574">
        <v>2</v>
      </c>
      <c r="C28" s="595"/>
      <c r="D28" s="596"/>
      <c r="E28" s="596">
        <v>45</v>
      </c>
      <c r="F28" s="597"/>
      <c r="G28" s="620"/>
      <c r="H28" s="620"/>
      <c r="I28" s="692" t="s">
        <v>152</v>
      </c>
      <c r="J28" s="635"/>
      <c r="K28" s="622"/>
      <c r="L28" s="572"/>
      <c r="M28" s="6"/>
      <c r="N28" s="6"/>
      <c r="O28" s="597"/>
      <c r="P28" s="620"/>
      <c r="Q28" s="620"/>
      <c r="R28" s="620"/>
      <c r="S28" s="634"/>
      <c r="T28" s="622"/>
      <c r="U28" s="572"/>
      <c r="V28" s="6"/>
      <c r="W28" s="622"/>
      <c r="X28" s="597"/>
      <c r="Y28" s="620"/>
      <c r="Z28" s="6"/>
      <c r="AA28" s="692"/>
      <c r="AB28" s="635"/>
      <c r="AC28" s="622"/>
      <c r="AD28" s="572"/>
      <c r="AE28" s="6"/>
      <c r="AF28" s="6">
        <v>8</v>
      </c>
      <c r="AG28" s="597"/>
      <c r="AH28" s="605"/>
      <c r="AI28" s="6"/>
      <c r="AJ28" s="692" t="s">
        <v>325</v>
      </c>
      <c r="AK28" s="634"/>
      <c r="AM28" s="572"/>
      <c r="AN28" s="6"/>
      <c r="AO28" s="6">
        <v>33</v>
      </c>
      <c r="AP28" s="597"/>
      <c r="AQ28" s="605"/>
      <c r="AR28" s="6"/>
      <c r="AS28" s="692" t="s">
        <v>152</v>
      </c>
      <c r="AT28" s="634"/>
    </row>
    <row r="29" spans="1:46" ht="45" customHeight="1" x14ac:dyDescent="0.25">
      <c r="A29" s="2206">
        <v>44909</v>
      </c>
      <c r="B29" s="574">
        <v>1</v>
      </c>
      <c r="C29" s="595"/>
      <c r="D29" s="596"/>
      <c r="E29" s="596">
        <v>10</v>
      </c>
      <c r="F29" s="597"/>
      <c r="G29" s="684"/>
      <c r="H29" s="619"/>
      <c r="I29" s="692" t="s">
        <v>152</v>
      </c>
      <c r="J29" s="635"/>
      <c r="K29" s="622"/>
      <c r="L29" s="572"/>
      <c r="M29" s="6"/>
      <c r="N29" s="6"/>
      <c r="O29" s="597"/>
      <c r="P29" s="685"/>
      <c r="Q29" s="619"/>
      <c r="R29" s="620"/>
      <c r="S29" s="635"/>
      <c r="T29" s="622"/>
      <c r="U29" s="572"/>
      <c r="V29" s="6"/>
      <c r="W29" s="6">
        <v>5</v>
      </c>
      <c r="X29" s="597"/>
      <c r="Y29" s="685"/>
      <c r="Z29" s="619"/>
      <c r="AA29" s="692" t="s">
        <v>152</v>
      </c>
      <c r="AB29" s="635"/>
      <c r="AC29" s="622"/>
      <c r="AD29" s="572"/>
      <c r="AE29" s="6"/>
      <c r="AF29" s="6"/>
      <c r="AG29" s="597"/>
      <c r="AH29" s="685"/>
      <c r="AI29" s="620"/>
      <c r="AJ29" s="620"/>
      <c r="AK29" s="613"/>
      <c r="AM29" s="572"/>
      <c r="AN29" s="6"/>
      <c r="AO29" s="6">
        <v>46</v>
      </c>
      <c r="AP29" s="597"/>
      <c r="AQ29" s="685"/>
      <c r="AR29" s="619"/>
      <c r="AS29" s="620" t="s">
        <v>152</v>
      </c>
      <c r="AT29" s="613"/>
    </row>
    <row r="30" spans="1:46" ht="30.6" customHeight="1" x14ac:dyDescent="0.25">
      <c r="A30" s="2205"/>
      <c r="B30" s="644">
        <v>2</v>
      </c>
      <c r="C30" s="595"/>
      <c r="D30" s="596">
        <v>13</v>
      </c>
      <c r="E30" s="596">
        <v>103</v>
      </c>
      <c r="F30" s="597"/>
      <c r="G30" s="685"/>
      <c r="H30" s="619"/>
      <c r="I30" s="620" t="s">
        <v>152</v>
      </c>
      <c r="J30" s="635"/>
      <c r="K30" s="622"/>
      <c r="L30" s="572"/>
      <c r="M30" s="6">
        <v>24</v>
      </c>
      <c r="N30" s="6"/>
      <c r="O30" s="597"/>
      <c r="P30" s="685"/>
      <c r="Q30" s="620"/>
      <c r="R30" s="620"/>
      <c r="S30" s="635"/>
      <c r="T30" s="622"/>
      <c r="U30" s="572"/>
      <c r="V30" s="6"/>
      <c r="W30" s="6">
        <v>57</v>
      </c>
      <c r="X30" s="597"/>
      <c r="Y30" s="685"/>
      <c r="Z30" s="619"/>
      <c r="AA30" s="620" t="s">
        <v>152</v>
      </c>
      <c r="AB30" s="613"/>
      <c r="AC30" s="622"/>
      <c r="AD30" s="572"/>
      <c r="AE30" s="6"/>
      <c r="AF30" s="6">
        <v>50</v>
      </c>
      <c r="AG30" s="597"/>
      <c r="AH30" s="685"/>
      <c r="AI30" s="619"/>
      <c r="AJ30" s="620" t="s">
        <v>152</v>
      </c>
      <c r="AK30" s="613"/>
      <c r="AM30" s="572"/>
      <c r="AN30" s="6"/>
      <c r="AO30" s="6"/>
      <c r="AP30" s="597"/>
      <c r="AQ30" s="685"/>
      <c r="AR30" s="619"/>
      <c r="AS30" s="620"/>
      <c r="AT30" s="613"/>
    </row>
    <row r="31" spans="1:46" ht="39.6" customHeight="1" x14ac:dyDescent="0.25">
      <c r="A31" s="2206">
        <v>44910</v>
      </c>
      <c r="B31" s="574">
        <v>1</v>
      </c>
      <c r="C31" s="595"/>
      <c r="D31" s="596"/>
      <c r="E31" s="596"/>
      <c r="F31" s="597"/>
      <c r="G31" s="685"/>
      <c r="H31" s="619"/>
      <c r="I31" s="620"/>
      <c r="J31" s="635"/>
      <c r="K31" s="622"/>
      <c r="L31" s="572"/>
      <c r="M31" s="6">
        <v>10</v>
      </c>
      <c r="N31" s="6">
        <v>348</v>
      </c>
      <c r="O31" s="597"/>
      <c r="P31" s="614"/>
      <c r="Q31" s="6" t="s">
        <v>550</v>
      </c>
      <c r="R31" s="6" t="s">
        <v>552</v>
      </c>
      <c r="S31" s="635"/>
      <c r="T31" s="622"/>
      <c r="U31" s="572">
        <v>27</v>
      </c>
      <c r="V31" s="6"/>
      <c r="W31" s="6"/>
      <c r="X31" s="597"/>
      <c r="Y31" s="865" t="s">
        <v>551</v>
      </c>
      <c r="Z31" s="6"/>
      <c r="AA31" s="6"/>
      <c r="AB31" s="635"/>
      <c r="AC31" s="622"/>
      <c r="AD31" s="572"/>
      <c r="AE31" s="6"/>
      <c r="AF31" s="6"/>
      <c r="AG31" s="597"/>
      <c r="AH31" s="614"/>
      <c r="AI31" s="6"/>
      <c r="AJ31" s="6"/>
      <c r="AK31" s="635"/>
      <c r="AM31" s="572"/>
      <c r="AN31" s="6"/>
      <c r="AO31" s="6">
        <v>55</v>
      </c>
      <c r="AP31" s="597"/>
      <c r="AQ31" s="614"/>
      <c r="AR31" s="6"/>
      <c r="AS31" s="6" t="s">
        <v>542</v>
      </c>
      <c r="AT31" s="635"/>
    </row>
    <row r="32" spans="1:46" ht="28.15" customHeight="1" x14ac:dyDescent="0.25">
      <c r="A32" s="2205"/>
      <c r="B32" s="574">
        <v>2</v>
      </c>
      <c r="C32" s="595"/>
      <c r="D32" s="596"/>
      <c r="E32" s="596"/>
      <c r="F32" s="597"/>
      <c r="G32" s="685"/>
      <c r="H32" s="619"/>
      <c r="I32" s="692"/>
      <c r="J32" s="687"/>
      <c r="K32" s="622"/>
      <c r="L32" s="572"/>
      <c r="M32" s="6"/>
      <c r="N32" s="6"/>
      <c r="O32" s="613"/>
      <c r="P32" s="614"/>
      <c r="Q32" s="6"/>
      <c r="R32" s="6"/>
      <c r="S32" s="764"/>
      <c r="T32" s="622"/>
      <c r="U32" s="572"/>
      <c r="V32" s="6">
        <v>29</v>
      </c>
      <c r="W32" s="6"/>
      <c r="X32" s="613"/>
      <c r="Y32" s="614"/>
      <c r="Z32" s="605" t="s">
        <v>553</v>
      </c>
      <c r="AA32" s="692"/>
      <c r="AB32" s="635"/>
      <c r="AC32" s="622"/>
      <c r="AD32" s="572"/>
      <c r="AE32" s="6"/>
      <c r="AF32" s="6"/>
      <c r="AG32" s="613"/>
      <c r="AH32" s="614"/>
      <c r="AI32" s="605"/>
      <c r="AJ32" s="6"/>
      <c r="AK32" s="613"/>
      <c r="AM32" s="572"/>
      <c r="AN32" s="6"/>
      <c r="AO32" s="6">
        <v>109</v>
      </c>
      <c r="AP32" s="613"/>
      <c r="AQ32" s="614"/>
      <c r="AR32" s="605"/>
      <c r="AS32" s="6" t="s">
        <v>542</v>
      </c>
      <c r="AT32" s="613"/>
    </row>
    <row r="33" spans="1:46" ht="43.15" customHeight="1" x14ac:dyDescent="0.25">
      <c r="A33" s="2206">
        <v>44911</v>
      </c>
      <c r="B33" s="574">
        <v>1</v>
      </c>
      <c r="C33" s="595"/>
      <c r="D33" s="596"/>
      <c r="E33" s="596"/>
      <c r="F33" s="597"/>
      <c r="G33" s="685"/>
      <c r="H33" s="619"/>
      <c r="I33" s="692"/>
      <c r="J33" s="687"/>
      <c r="K33" s="622"/>
      <c r="L33" s="572"/>
      <c r="M33" s="6"/>
      <c r="N33" s="6"/>
      <c r="O33" s="613"/>
      <c r="P33" s="614"/>
      <c r="Q33" s="6"/>
      <c r="R33" s="6"/>
      <c r="S33" s="613"/>
      <c r="T33" s="622"/>
      <c r="U33" s="572"/>
      <c r="V33" s="6"/>
      <c r="W33" s="6"/>
      <c r="X33" s="613"/>
      <c r="Y33" s="614"/>
      <c r="Z33" s="6"/>
      <c r="AA33" s="605"/>
      <c r="AB33" s="613"/>
      <c r="AC33" s="622"/>
      <c r="AD33" s="572"/>
      <c r="AE33" s="6"/>
      <c r="AF33" s="6"/>
      <c r="AG33" s="613"/>
      <c r="AH33" s="614"/>
      <c r="AI33" s="605"/>
      <c r="AJ33" s="6"/>
      <c r="AK33" s="613"/>
      <c r="AM33" s="572"/>
      <c r="AN33" s="6"/>
      <c r="AO33" s="6">
        <v>20</v>
      </c>
      <c r="AP33" s="613"/>
      <c r="AQ33" s="614"/>
      <c r="AR33" s="605"/>
      <c r="AS33" s="6" t="s">
        <v>542</v>
      </c>
      <c r="AT33" s="613"/>
    </row>
    <row r="34" spans="1:46" ht="37.15" customHeight="1" x14ac:dyDescent="0.25">
      <c r="A34" s="2205"/>
      <c r="B34" s="644">
        <v>2</v>
      </c>
      <c r="C34" s="596"/>
      <c r="D34" s="596"/>
      <c r="E34" s="596"/>
      <c r="F34" s="829"/>
      <c r="G34" s="685"/>
      <c r="H34" s="620"/>
      <c r="I34" s="620"/>
      <c r="J34" s="687"/>
      <c r="K34" s="622"/>
      <c r="L34" s="572"/>
      <c r="M34" s="6"/>
      <c r="N34" s="6"/>
      <c r="O34" s="613"/>
      <c r="P34" s="614"/>
      <c r="Q34" s="620"/>
      <c r="R34" s="6"/>
      <c r="S34" s="635"/>
      <c r="T34" s="622"/>
      <c r="U34" s="572"/>
      <c r="V34" s="6"/>
      <c r="W34" s="6"/>
      <c r="X34" s="613"/>
      <c r="Y34" s="6"/>
      <c r="Z34" s="605"/>
      <c r="AA34" s="620"/>
      <c r="AB34" s="635"/>
      <c r="AC34" s="622"/>
      <c r="AD34" s="572"/>
      <c r="AE34" s="6"/>
      <c r="AF34" s="6"/>
      <c r="AG34" s="613"/>
      <c r="AH34" s="614"/>
      <c r="AI34" s="6"/>
      <c r="AJ34" s="6"/>
      <c r="AK34" s="613"/>
      <c r="AM34" s="572"/>
      <c r="AN34" s="6"/>
      <c r="AO34" s="6"/>
      <c r="AP34" s="613"/>
      <c r="AQ34" s="614"/>
      <c r="AR34" s="6"/>
      <c r="AS34" s="6"/>
      <c r="AT34" s="613"/>
    </row>
    <row r="35" spans="1:46" ht="37.9" customHeight="1" x14ac:dyDescent="0.25">
      <c r="A35" s="2206">
        <v>44912</v>
      </c>
      <c r="B35" s="574">
        <v>1</v>
      </c>
      <c r="C35" s="596"/>
      <c r="D35" s="596"/>
      <c r="E35" s="50"/>
      <c r="F35" s="828"/>
      <c r="G35" s="567"/>
      <c r="H35" s="614"/>
      <c r="I35" s="605"/>
      <c r="J35" s="687"/>
      <c r="K35" s="622"/>
      <c r="L35" s="572"/>
      <c r="M35" s="6"/>
      <c r="N35" s="6"/>
      <c r="O35" s="613"/>
      <c r="P35" s="567"/>
      <c r="Q35" s="863"/>
      <c r="R35" s="620"/>
      <c r="S35" s="635"/>
      <c r="T35" s="622"/>
      <c r="U35" s="572"/>
      <c r="V35" s="6"/>
      <c r="W35" s="50"/>
      <c r="X35" s="634"/>
      <c r="Y35" s="567"/>
      <c r="Z35" s="6"/>
      <c r="AA35" s="605"/>
      <c r="AB35" s="613"/>
      <c r="AC35" s="622"/>
      <c r="AD35" s="572"/>
      <c r="AE35" s="6"/>
      <c r="AF35" s="6"/>
      <c r="AG35" s="859"/>
      <c r="AH35" s="567"/>
      <c r="AI35" s="6"/>
      <c r="AJ35" s="605"/>
      <c r="AK35" s="613"/>
      <c r="AM35" s="572"/>
      <c r="AN35" s="6"/>
      <c r="AO35" s="50"/>
      <c r="AP35" s="634"/>
      <c r="AQ35" s="567"/>
      <c r="AR35" s="6"/>
      <c r="AS35" s="605"/>
      <c r="AT35" s="613"/>
    </row>
    <row r="36" spans="1:46" ht="41.45" customHeight="1" x14ac:dyDescent="0.25">
      <c r="A36" s="2205"/>
      <c r="B36" s="574">
        <v>2</v>
      </c>
      <c r="C36" s="6"/>
      <c r="D36" s="6"/>
      <c r="E36" s="50"/>
      <c r="F36" s="828"/>
      <c r="G36" s="567"/>
      <c r="H36" s="859"/>
      <c r="I36" s="605"/>
      <c r="J36" s="635"/>
      <c r="K36" s="622"/>
      <c r="L36" s="567"/>
      <c r="M36" s="6"/>
      <c r="N36" s="6"/>
      <c r="O36" s="859"/>
      <c r="P36" s="567"/>
      <c r="Q36" s="605"/>
      <c r="R36" s="605"/>
      <c r="S36" s="635"/>
      <c r="T36" s="622"/>
      <c r="U36" s="572"/>
      <c r="V36" s="6"/>
      <c r="W36" s="6"/>
      <c r="X36" s="859"/>
      <c r="Y36" s="567"/>
      <c r="Z36" s="605"/>
      <c r="AA36" s="605"/>
      <c r="AB36" s="613"/>
      <c r="AC36" s="622"/>
      <c r="AD36" s="572"/>
      <c r="AE36" s="6"/>
      <c r="AF36" s="50"/>
      <c r="AG36" s="634"/>
      <c r="AH36" s="567"/>
      <c r="AI36" s="605"/>
      <c r="AJ36" s="605"/>
      <c r="AK36" s="613"/>
      <c r="AM36" s="572"/>
      <c r="AN36" s="6"/>
      <c r="AO36" s="6"/>
      <c r="AP36" s="859"/>
      <c r="AQ36" s="567"/>
      <c r="AR36" s="605"/>
      <c r="AS36" s="605"/>
      <c r="AT36" s="613"/>
    </row>
    <row r="37" spans="1:46" ht="38.450000000000003" customHeight="1" x14ac:dyDescent="0.25">
      <c r="A37" s="2206">
        <v>44913</v>
      </c>
      <c r="B37" s="644">
        <v>1</v>
      </c>
      <c r="C37" s="596"/>
      <c r="D37" s="596"/>
      <c r="E37" s="6">
        <v>20</v>
      </c>
      <c r="F37" s="50"/>
      <c r="G37" s="857"/>
      <c r="H37" s="859"/>
      <c r="I37" s="620" t="s">
        <v>152</v>
      </c>
      <c r="J37" s="635"/>
      <c r="K37" s="622"/>
      <c r="L37" s="572"/>
      <c r="M37" s="6"/>
      <c r="N37" s="6"/>
      <c r="O37" s="727"/>
      <c r="P37" s="614"/>
      <c r="Q37" s="6"/>
      <c r="R37" s="6"/>
      <c r="S37" s="613"/>
      <c r="T37" s="622"/>
      <c r="U37" s="572"/>
      <c r="V37" s="6"/>
      <c r="W37" s="6">
        <v>15</v>
      </c>
      <c r="X37" s="613"/>
      <c r="Y37" s="614"/>
      <c r="Z37" s="605"/>
      <c r="AA37" s="620" t="s">
        <v>152</v>
      </c>
      <c r="AB37" s="635"/>
      <c r="AC37" s="622"/>
      <c r="AD37" s="572"/>
      <c r="AE37" s="6"/>
      <c r="AF37" s="6"/>
      <c r="AG37" s="613"/>
      <c r="AH37" s="614"/>
      <c r="AI37" s="6"/>
      <c r="AJ37" s="6"/>
      <c r="AK37" s="613"/>
      <c r="AM37" s="572"/>
      <c r="AN37" s="6"/>
      <c r="AO37" s="6"/>
      <c r="AP37" s="613"/>
      <c r="AQ37" s="614"/>
      <c r="AR37" s="6"/>
      <c r="AS37" s="6"/>
      <c r="AT37" s="613"/>
    </row>
    <row r="38" spans="1:46" ht="36" customHeight="1" x14ac:dyDescent="0.25">
      <c r="A38" s="2205"/>
      <c r="B38" s="574">
        <v>2</v>
      </c>
      <c r="C38" s="595"/>
      <c r="D38" s="596"/>
      <c r="E38" s="596">
        <v>272</v>
      </c>
      <c r="F38" s="829"/>
      <c r="G38" s="685"/>
      <c r="H38" s="859"/>
      <c r="I38" s="6" t="s">
        <v>554</v>
      </c>
      <c r="J38" s="635"/>
      <c r="K38" s="622"/>
      <c r="L38" s="572"/>
      <c r="M38" s="6"/>
      <c r="N38" s="6"/>
      <c r="O38" s="613"/>
      <c r="P38" s="859"/>
      <c r="Q38" s="859"/>
      <c r="R38" s="6"/>
      <c r="S38" s="635"/>
      <c r="T38" s="622"/>
      <c r="U38" s="572"/>
      <c r="V38" s="6"/>
      <c r="W38" s="6"/>
      <c r="X38" s="613"/>
      <c r="Y38" s="614"/>
      <c r="Z38" s="605"/>
      <c r="AA38" s="6"/>
      <c r="AB38" s="635"/>
      <c r="AC38" s="622"/>
      <c r="AD38" s="572"/>
      <c r="AE38" s="6"/>
      <c r="AF38" s="6"/>
      <c r="AG38" s="613"/>
      <c r="AH38" s="859"/>
      <c r="AI38" s="6"/>
      <c r="AJ38" s="605"/>
      <c r="AK38" s="635"/>
      <c r="AM38" s="572"/>
      <c r="AN38" s="6"/>
      <c r="AO38" s="6"/>
      <c r="AP38" s="613"/>
      <c r="AQ38" s="614"/>
      <c r="AR38" s="6"/>
      <c r="AS38" s="605"/>
      <c r="AT38" s="635"/>
    </row>
    <row r="39" spans="1:46" ht="39" customHeight="1" x14ac:dyDescent="0.25">
      <c r="A39" s="2206">
        <v>44914</v>
      </c>
      <c r="B39" s="574">
        <v>1</v>
      </c>
      <c r="C39" s="595"/>
      <c r="D39" s="596"/>
      <c r="E39" s="596">
        <v>20</v>
      </c>
      <c r="F39" s="597"/>
      <c r="G39" s="685"/>
      <c r="H39" s="619"/>
      <c r="I39" s="620" t="s">
        <v>152</v>
      </c>
      <c r="J39" s="687"/>
      <c r="K39" s="622"/>
      <c r="L39" s="572"/>
      <c r="M39" s="6"/>
      <c r="N39" s="6"/>
      <c r="O39" s="613"/>
      <c r="P39" s="614"/>
      <c r="Q39" s="619"/>
      <c r="R39" s="6"/>
      <c r="S39" s="613"/>
      <c r="T39" s="622"/>
      <c r="U39" s="572"/>
      <c r="V39" s="6"/>
      <c r="W39" s="6">
        <v>50</v>
      </c>
      <c r="X39" s="613"/>
      <c r="Y39" s="614"/>
      <c r="Z39" s="605"/>
      <c r="AA39" s="620" t="s">
        <v>152</v>
      </c>
      <c r="AB39" s="635"/>
      <c r="AC39" s="622"/>
      <c r="AD39" s="572"/>
      <c r="AE39" s="6"/>
      <c r="AF39" s="6"/>
      <c r="AG39" s="613"/>
      <c r="AH39" s="614"/>
      <c r="AI39" s="6"/>
      <c r="AJ39" s="6"/>
      <c r="AK39" s="613"/>
      <c r="AM39" s="572"/>
      <c r="AN39" s="6"/>
      <c r="AO39" s="6"/>
      <c r="AP39" s="613"/>
      <c r="AQ39" s="614"/>
      <c r="AR39" s="6"/>
      <c r="AS39" s="6"/>
      <c r="AT39" s="613"/>
    </row>
    <row r="40" spans="1:46" ht="35.450000000000003" customHeight="1" x14ac:dyDescent="0.25">
      <c r="A40" s="2205"/>
      <c r="B40" s="574">
        <v>2</v>
      </c>
      <c r="C40" s="595"/>
      <c r="D40" s="596"/>
      <c r="E40" s="596">
        <v>15</v>
      </c>
      <c r="F40" s="613"/>
      <c r="G40" s="685"/>
      <c r="H40" s="619"/>
      <c r="I40" s="620" t="s">
        <v>152</v>
      </c>
      <c r="J40" s="635"/>
      <c r="K40" s="622"/>
      <c r="L40" s="572"/>
      <c r="M40" s="6"/>
      <c r="N40" s="6"/>
      <c r="O40" s="613"/>
      <c r="P40" s="614"/>
      <c r="Q40" s="6"/>
      <c r="R40" s="6"/>
      <c r="S40" s="635"/>
      <c r="T40" s="622"/>
      <c r="U40" s="572"/>
      <c r="V40" s="6"/>
      <c r="W40" s="6">
        <v>40</v>
      </c>
      <c r="X40" s="613"/>
      <c r="Y40" s="614"/>
      <c r="Z40" s="605"/>
      <c r="AA40" s="620" t="s">
        <v>152</v>
      </c>
      <c r="AB40" s="635"/>
      <c r="AC40" s="622"/>
      <c r="AD40" s="572"/>
      <c r="AE40" s="6"/>
      <c r="AF40" s="6"/>
      <c r="AG40" s="613"/>
      <c r="AH40" s="614"/>
      <c r="AI40" s="6"/>
      <c r="AJ40" s="6"/>
      <c r="AK40" s="635"/>
      <c r="AM40" s="572"/>
      <c r="AN40" s="6"/>
      <c r="AO40" s="6"/>
      <c r="AP40" s="613"/>
      <c r="AQ40" s="614"/>
      <c r="AR40" s="6"/>
      <c r="AS40" s="6"/>
      <c r="AT40" s="635"/>
    </row>
    <row r="41" spans="1:46" ht="39.6" customHeight="1" x14ac:dyDescent="0.25">
      <c r="A41" s="2206">
        <v>44915</v>
      </c>
      <c r="B41" s="574">
        <v>1</v>
      </c>
      <c r="C41" s="595"/>
      <c r="D41" s="596"/>
      <c r="E41" s="596"/>
      <c r="F41" s="613"/>
      <c r="G41" s="685"/>
      <c r="H41" s="620"/>
      <c r="I41" s="692"/>
      <c r="J41" s="687"/>
      <c r="K41" s="622"/>
      <c r="L41" s="572"/>
      <c r="M41" s="6"/>
      <c r="N41" s="6"/>
      <c r="O41" s="613"/>
      <c r="P41" s="614"/>
      <c r="Q41" s="6"/>
      <c r="R41" s="6"/>
      <c r="S41" s="635"/>
      <c r="T41" s="622"/>
      <c r="U41" s="572"/>
      <c r="V41" s="6"/>
      <c r="W41" s="6"/>
      <c r="X41" s="613"/>
      <c r="Y41" s="614"/>
      <c r="Z41" s="605"/>
      <c r="AA41" s="605"/>
      <c r="AB41" s="613"/>
      <c r="AC41" s="622"/>
      <c r="AD41" s="572"/>
      <c r="AE41" s="6"/>
      <c r="AF41" s="6"/>
      <c r="AG41" s="613"/>
      <c r="AH41" s="614"/>
      <c r="AI41" s="605"/>
      <c r="AJ41" s="6"/>
      <c r="AK41" s="613"/>
      <c r="AM41" s="572"/>
      <c r="AN41" s="6"/>
      <c r="AO41" s="6"/>
      <c r="AP41" s="613"/>
      <c r="AQ41" s="614"/>
      <c r="AR41" s="605"/>
      <c r="AS41" s="6"/>
      <c r="AT41" s="613"/>
    </row>
    <row r="42" spans="1:46" ht="33" customHeight="1" x14ac:dyDescent="0.25">
      <c r="A42" s="2205"/>
      <c r="B42" s="574">
        <v>2</v>
      </c>
      <c r="C42" s="596"/>
      <c r="D42" s="596"/>
      <c r="E42" s="596">
        <v>13</v>
      </c>
      <c r="F42" s="613"/>
      <c r="G42" s="685"/>
      <c r="H42" s="619"/>
      <c r="I42" s="620" t="s">
        <v>152</v>
      </c>
      <c r="J42" s="687"/>
      <c r="K42" s="622"/>
      <c r="L42" s="572">
        <v>518</v>
      </c>
      <c r="M42" s="6"/>
      <c r="N42" s="6"/>
      <c r="O42" s="613"/>
      <c r="P42" s="614" t="s">
        <v>473</v>
      </c>
      <c r="Q42" s="6"/>
      <c r="R42" s="6"/>
      <c r="S42" s="635"/>
      <c r="T42" s="622"/>
      <c r="U42" s="572"/>
      <c r="V42" s="6"/>
      <c r="W42" s="6">
        <v>77</v>
      </c>
      <c r="X42" s="613"/>
      <c r="Y42" s="859"/>
      <c r="Z42" s="6"/>
      <c r="AA42" s="620" t="s">
        <v>152</v>
      </c>
      <c r="AB42" s="635"/>
      <c r="AC42" s="622"/>
      <c r="AD42" s="572"/>
      <c r="AE42" s="6"/>
      <c r="AF42" s="6"/>
      <c r="AG42" s="613"/>
      <c r="AH42" s="614"/>
      <c r="AI42" s="6"/>
      <c r="AJ42" s="6"/>
      <c r="AK42" s="613"/>
      <c r="AM42" s="572"/>
      <c r="AN42" s="6"/>
      <c r="AO42" s="6">
        <v>129</v>
      </c>
      <c r="AP42" s="613"/>
      <c r="AQ42" s="614"/>
      <c r="AR42" s="6"/>
      <c r="AS42" s="6" t="s">
        <v>542</v>
      </c>
      <c r="AT42" s="613"/>
    </row>
    <row r="43" spans="1:46" ht="33.6" customHeight="1" x14ac:dyDescent="0.25">
      <c r="A43" s="2206">
        <v>44916</v>
      </c>
      <c r="B43" s="574">
        <v>1</v>
      </c>
      <c r="C43" s="596"/>
      <c r="D43" s="596"/>
      <c r="E43" s="596"/>
      <c r="F43" s="597"/>
      <c r="G43" s="619"/>
      <c r="H43" s="619"/>
      <c r="I43" s="620"/>
      <c r="J43" s="635"/>
      <c r="K43" s="622"/>
      <c r="L43" s="572"/>
      <c r="M43" s="6"/>
      <c r="N43" s="6"/>
      <c r="O43" s="613"/>
      <c r="P43" s="614"/>
      <c r="Q43" s="6"/>
      <c r="R43" s="6"/>
      <c r="S43" s="613"/>
      <c r="T43" s="622"/>
      <c r="U43" s="572"/>
      <c r="V43" s="6"/>
      <c r="W43" s="6"/>
      <c r="X43" s="613"/>
      <c r="Y43" s="614"/>
      <c r="Z43" s="6"/>
      <c r="AA43" s="620"/>
      <c r="AB43" s="613"/>
      <c r="AC43" s="622"/>
      <c r="AD43" s="572"/>
      <c r="AE43" s="6"/>
      <c r="AF43" s="6"/>
      <c r="AG43" s="613"/>
      <c r="AH43" s="605"/>
      <c r="AI43" s="620"/>
      <c r="AJ43" s="6"/>
      <c r="AK43" s="613"/>
      <c r="AM43" s="572"/>
      <c r="AN43" s="6"/>
      <c r="AO43" s="6"/>
      <c r="AP43" s="613"/>
      <c r="AQ43" s="605"/>
      <c r="AR43" s="620"/>
      <c r="AS43" s="6"/>
      <c r="AT43" s="613"/>
    </row>
    <row r="44" spans="1:46" ht="36" customHeight="1" x14ac:dyDescent="0.25">
      <c r="A44" s="2205"/>
      <c r="B44" s="574">
        <v>2</v>
      </c>
      <c r="C44" s="596"/>
      <c r="D44" s="596"/>
      <c r="E44" s="596">
        <v>75</v>
      </c>
      <c r="F44" s="597"/>
      <c r="G44" s="619"/>
      <c r="H44" s="619"/>
      <c r="I44" s="692" t="s">
        <v>555</v>
      </c>
      <c r="J44" s="635"/>
      <c r="K44" s="622"/>
      <c r="L44" s="572"/>
      <c r="M44" s="6"/>
      <c r="N44" s="6"/>
      <c r="O44" s="613"/>
      <c r="P44" s="614"/>
      <c r="Q44" s="6"/>
      <c r="R44" s="605"/>
      <c r="S44" s="764"/>
      <c r="T44" s="622"/>
      <c r="U44" s="572"/>
      <c r="V44" s="6"/>
      <c r="W44" s="596">
        <v>35</v>
      </c>
      <c r="X44" s="597"/>
      <c r="Y44" s="619"/>
      <c r="Z44" s="619"/>
      <c r="AA44" s="620" t="s">
        <v>152</v>
      </c>
      <c r="AB44" s="635"/>
      <c r="AC44" s="622"/>
      <c r="AD44" s="572"/>
      <c r="AE44" s="6"/>
      <c r="AF44" s="6"/>
      <c r="AG44" s="613"/>
      <c r="AH44" s="614"/>
      <c r="AI44" s="605"/>
      <c r="AJ44" s="605"/>
      <c r="AK44" s="613"/>
      <c r="AM44" s="572"/>
      <c r="AN44" s="6"/>
      <c r="AO44" s="6"/>
      <c r="AP44" s="613"/>
      <c r="AQ44" s="614"/>
      <c r="AR44" s="605"/>
      <c r="AS44" s="605"/>
      <c r="AT44" s="613"/>
    </row>
    <row r="45" spans="1:46" ht="36" customHeight="1" x14ac:dyDescent="0.25">
      <c r="A45" s="2206">
        <v>44917</v>
      </c>
      <c r="B45" s="574">
        <v>1</v>
      </c>
      <c r="C45" s="596"/>
      <c r="D45" s="596"/>
      <c r="E45" s="596">
        <v>35</v>
      </c>
      <c r="F45" s="597"/>
      <c r="G45" s="619"/>
      <c r="H45" s="619"/>
      <c r="I45" s="620" t="s">
        <v>152</v>
      </c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"/>
      <c r="W45" s="6">
        <v>55</v>
      </c>
      <c r="X45" s="613"/>
      <c r="Y45" s="619"/>
      <c r="Z45" s="6"/>
      <c r="AA45" s="620" t="s">
        <v>152</v>
      </c>
      <c r="AB45" s="613"/>
      <c r="AC45" s="622"/>
      <c r="AD45" s="572"/>
      <c r="AE45" s="6"/>
      <c r="AF45" s="6"/>
      <c r="AG45" s="613"/>
      <c r="AH45" s="614"/>
      <c r="AI45" s="605"/>
      <c r="AJ45" s="6"/>
      <c r="AK45" s="613"/>
      <c r="AM45" s="572"/>
      <c r="AN45" s="6"/>
      <c r="AO45" s="6"/>
      <c r="AP45" s="613"/>
      <c r="AQ45" s="614"/>
      <c r="AR45" s="605"/>
      <c r="AS45" s="6"/>
      <c r="AT45" s="613"/>
    </row>
    <row r="46" spans="1:46" ht="34.15" customHeight="1" x14ac:dyDescent="0.25">
      <c r="A46" s="2205"/>
      <c r="B46" s="574">
        <v>2</v>
      </c>
      <c r="C46" s="596"/>
      <c r="D46" s="596"/>
      <c r="E46" s="596">
        <v>38</v>
      </c>
      <c r="F46" s="597"/>
      <c r="G46" s="619"/>
      <c r="H46" s="619"/>
      <c r="I46" s="620" t="s">
        <v>152</v>
      </c>
      <c r="J46" s="635"/>
      <c r="K46" s="622"/>
      <c r="L46" s="572"/>
      <c r="M46" s="6"/>
      <c r="N46" s="6"/>
      <c r="O46" s="785"/>
      <c r="P46" s="614"/>
      <c r="Q46" s="620"/>
      <c r="R46" s="6"/>
      <c r="S46" s="635"/>
      <c r="T46" s="622"/>
      <c r="U46" s="572"/>
      <c r="V46" s="6"/>
      <c r="W46" s="6">
        <v>9</v>
      </c>
      <c r="X46" s="613"/>
      <c r="Y46" s="614"/>
      <c r="Z46" s="6"/>
      <c r="AA46" s="620" t="s">
        <v>152</v>
      </c>
      <c r="AB46" s="635"/>
      <c r="AC46" s="622"/>
      <c r="AD46" s="572"/>
      <c r="AE46" s="6"/>
      <c r="AF46" s="6"/>
      <c r="AG46" s="613"/>
      <c r="AH46" s="859"/>
      <c r="AI46" s="6"/>
      <c r="AJ46" s="6"/>
      <c r="AK46" s="635"/>
      <c r="AM46" s="572"/>
      <c r="AN46" s="6"/>
      <c r="AO46" s="6">
        <v>32</v>
      </c>
      <c r="AP46" s="613"/>
      <c r="AQ46" s="859"/>
      <c r="AR46" s="6"/>
      <c r="AS46" s="50" t="s">
        <v>152</v>
      </c>
      <c r="AT46" s="635"/>
    </row>
    <row r="47" spans="1:46" ht="36" customHeight="1" x14ac:dyDescent="0.25">
      <c r="A47" s="2206">
        <v>44918</v>
      </c>
      <c r="B47" s="574">
        <v>1</v>
      </c>
      <c r="C47" s="596"/>
      <c r="D47" s="596"/>
      <c r="E47" s="596">
        <v>25</v>
      </c>
      <c r="F47" s="597"/>
      <c r="G47" s="620"/>
      <c r="H47" s="619"/>
      <c r="I47" s="620" t="s">
        <v>152</v>
      </c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>
        <v>20</v>
      </c>
      <c r="X47" s="613"/>
      <c r="Y47" s="614"/>
      <c r="Z47" s="605"/>
      <c r="AA47" s="620" t="s">
        <v>152</v>
      </c>
      <c r="AB47" s="635"/>
      <c r="AC47" s="622"/>
      <c r="AD47" s="572"/>
      <c r="AE47" s="6"/>
      <c r="AF47" s="6"/>
      <c r="AG47" s="613"/>
      <c r="AH47" s="859"/>
      <c r="AI47" s="620"/>
      <c r="AJ47" s="6"/>
      <c r="AK47" s="613"/>
      <c r="AM47" s="572"/>
      <c r="AN47" s="6"/>
      <c r="AO47" s="6">
        <v>15</v>
      </c>
      <c r="AP47" s="613"/>
      <c r="AQ47" s="859"/>
      <c r="AR47" s="620"/>
      <c r="AS47" s="50" t="s">
        <v>152</v>
      </c>
      <c r="AT47" s="613"/>
    </row>
    <row r="48" spans="1:46" ht="34.9" customHeight="1" x14ac:dyDescent="0.25">
      <c r="A48" s="2205"/>
      <c r="B48" s="574">
        <v>2</v>
      </c>
      <c r="C48" s="596"/>
      <c r="D48" s="596"/>
      <c r="E48" s="596">
        <v>10</v>
      </c>
      <c r="F48" s="597"/>
      <c r="G48" s="620"/>
      <c r="H48" s="620"/>
      <c r="I48" s="620" t="s">
        <v>152</v>
      </c>
      <c r="J48" s="687"/>
      <c r="K48" s="622"/>
      <c r="L48" s="572"/>
      <c r="M48" s="6"/>
      <c r="N48" s="6"/>
      <c r="O48" s="613"/>
      <c r="P48" s="614"/>
      <c r="Q48" s="620"/>
      <c r="R48" s="605"/>
      <c r="S48" s="635"/>
      <c r="T48" s="622"/>
      <c r="U48" s="572"/>
      <c r="V48" s="6"/>
      <c r="W48" s="6">
        <v>59</v>
      </c>
      <c r="X48" s="613"/>
      <c r="Y48" s="859"/>
      <c r="Z48" s="6"/>
      <c r="AA48" s="620" t="s">
        <v>152</v>
      </c>
      <c r="AB48" s="613"/>
      <c r="AC48" s="622"/>
      <c r="AD48" s="572">
        <v>75</v>
      </c>
      <c r="AE48" s="6"/>
      <c r="AF48" s="6"/>
      <c r="AG48" s="613"/>
      <c r="AH48" s="873" t="s">
        <v>556</v>
      </c>
      <c r="AI48" s="605"/>
      <c r="AJ48" s="6"/>
      <c r="AK48" s="613"/>
      <c r="AM48" s="572"/>
      <c r="AN48" s="6"/>
      <c r="AO48" s="6">
        <v>10</v>
      </c>
      <c r="AP48" s="613"/>
      <c r="AQ48" s="614"/>
      <c r="AR48" s="605"/>
      <c r="AS48" s="50" t="s">
        <v>152</v>
      </c>
      <c r="AT48" s="613"/>
    </row>
    <row r="49" spans="1:46" ht="36" customHeight="1" x14ac:dyDescent="0.25">
      <c r="A49" s="2206">
        <v>44919</v>
      </c>
      <c r="B49" s="574">
        <v>1</v>
      </c>
      <c r="C49" s="596"/>
      <c r="D49" s="596"/>
      <c r="E49" s="596">
        <v>12</v>
      </c>
      <c r="F49" s="597"/>
      <c r="G49" s="620"/>
      <c r="H49" s="619"/>
      <c r="I49" s="620" t="s">
        <v>152</v>
      </c>
      <c r="J49" s="687"/>
      <c r="K49" s="622"/>
      <c r="L49" s="572"/>
      <c r="M49" s="6"/>
      <c r="N49" s="6"/>
      <c r="O49" s="613"/>
      <c r="P49" s="614"/>
      <c r="Q49" s="6"/>
      <c r="R49" s="6"/>
      <c r="S49" s="613"/>
      <c r="T49" s="622"/>
      <c r="U49" s="572"/>
      <c r="V49" s="6"/>
      <c r="W49" s="6">
        <v>14</v>
      </c>
      <c r="X49" s="613"/>
      <c r="Y49" s="614"/>
      <c r="Z49" s="605"/>
      <c r="AA49" s="605" t="s">
        <v>97</v>
      </c>
      <c r="AB49" s="635"/>
      <c r="AC49" s="622"/>
      <c r="AD49" s="572"/>
      <c r="AE49" s="6"/>
      <c r="AF49" s="6"/>
      <c r="AG49" s="613"/>
      <c r="AH49" s="614"/>
      <c r="AI49" s="605"/>
      <c r="AJ49" s="6"/>
      <c r="AK49" s="613"/>
      <c r="AM49" s="572"/>
      <c r="AN49" s="6"/>
      <c r="AO49" s="6"/>
      <c r="AP49" s="613"/>
      <c r="AQ49" s="614"/>
      <c r="AR49" s="605"/>
      <c r="AS49" s="6"/>
      <c r="AT49" s="613"/>
    </row>
    <row r="50" spans="1:46" ht="33" customHeight="1" x14ac:dyDescent="0.25">
      <c r="A50" s="2205"/>
      <c r="B50" s="574">
        <v>2</v>
      </c>
      <c r="C50" s="596"/>
      <c r="D50" s="596"/>
      <c r="E50" s="596">
        <v>12</v>
      </c>
      <c r="F50" s="597"/>
      <c r="G50" s="619"/>
      <c r="H50" s="619"/>
      <c r="I50" s="620" t="s">
        <v>152</v>
      </c>
      <c r="J50" s="635"/>
      <c r="K50" s="622"/>
      <c r="L50" s="572"/>
      <c r="M50" s="6"/>
      <c r="N50" s="6"/>
      <c r="O50" s="613"/>
      <c r="P50" s="614"/>
      <c r="Q50" s="605"/>
      <c r="R50" s="605"/>
      <c r="S50" s="764"/>
      <c r="T50" s="622"/>
      <c r="U50" s="572"/>
      <c r="V50" s="6"/>
      <c r="W50" s="6">
        <v>25</v>
      </c>
      <c r="X50" s="613"/>
      <c r="Y50" s="859"/>
      <c r="Z50" s="605"/>
      <c r="AA50" s="620" t="s">
        <v>152</v>
      </c>
      <c r="AB50" s="613"/>
      <c r="AC50" s="622"/>
      <c r="AD50" s="572"/>
      <c r="AE50" s="6"/>
      <c r="AF50" s="6">
        <v>18</v>
      </c>
      <c r="AG50" s="613"/>
      <c r="AH50" s="614"/>
      <c r="AI50" s="6"/>
      <c r="AJ50" s="605" t="s">
        <v>557</v>
      </c>
      <c r="AK50" s="613"/>
      <c r="AM50" s="572"/>
      <c r="AN50" s="6"/>
      <c r="AO50" s="6"/>
      <c r="AP50" s="613"/>
      <c r="AQ50" s="614"/>
      <c r="AR50" s="6"/>
      <c r="AS50" s="605"/>
      <c r="AT50" s="613"/>
    </row>
    <row r="51" spans="1:46" ht="44.45" customHeight="1" x14ac:dyDescent="0.25">
      <c r="A51" s="2206">
        <v>44920</v>
      </c>
      <c r="B51" s="574">
        <v>1</v>
      </c>
      <c r="C51" s="596"/>
      <c r="D51" s="596"/>
      <c r="E51" s="596">
        <v>25</v>
      </c>
      <c r="F51" s="597"/>
      <c r="G51" s="619"/>
      <c r="H51" s="619"/>
      <c r="I51" s="692" t="s">
        <v>338</v>
      </c>
      <c r="J51" s="635"/>
      <c r="K51" s="622"/>
      <c r="L51" s="572"/>
      <c r="M51" s="6"/>
      <c r="N51" s="6"/>
      <c r="O51" s="613"/>
      <c r="P51" s="614"/>
      <c r="Q51" s="620"/>
      <c r="R51" s="6"/>
      <c r="S51" s="613"/>
      <c r="T51" s="622"/>
      <c r="U51" s="572"/>
      <c r="V51" s="6"/>
      <c r="W51" s="6"/>
      <c r="X51" s="613"/>
      <c r="Y51" s="859"/>
      <c r="Z51" s="6"/>
      <c r="AA51" s="605"/>
      <c r="AB51" s="613"/>
      <c r="AC51" s="622"/>
      <c r="AD51" s="572"/>
      <c r="AE51" s="6"/>
      <c r="AF51" s="6"/>
      <c r="AG51" s="613"/>
      <c r="AH51" s="614"/>
      <c r="AI51" s="6"/>
      <c r="AJ51" s="6"/>
      <c r="AK51" s="613"/>
      <c r="AM51" s="572"/>
      <c r="AN51" s="6"/>
      <c r="AO51" s="6"/>
      <c r="AP51" s="613"/>
      <c r="AQ51" s="614"/>
      <c r="AR51" s="6"/>
      <c r="AS51" s="6"/>
      <c r="AT51" s="613"/>
    </row>
    <row r="52" spans="1:46" ht="31.9" customHeight="1" x14ac:dyDescent="0.25">
      <c r="A52" s="2205"/>
      <c r="B52" s="574">
        <v>2</v>
      </c>
      <c r="C52" s="596"/>
      <c r="D52" s="596"/>
      <c r="E52" s="596">
        <v>40</v>
      </c>
      <c r="F52" s="597"/>
      <c r="G52" s="620"/>
      <c r="H52" s="620"/>
      <c r="I52" s="620" t="s">
        <v>152</v>
      </c>
      <c r="J52" s="635"/>
      <c r="K52" s="622"/>
      <c r="L52" s="572"/>
      <c r="M52" s="6"/>
      <c r="N52" s="6"/>
      <c r="O52" s="613"/>
      <c r="P52" s="614"/>
      <c r="Q52" s="6"/>
      <c r="R52" s="6"/>
      <c r="S52" s="635"/>
      <c r="T52" s="622"/>
      <c r="U52" s="572"/>
      <c r="V52" s="6"/>
      <c r="W52" s="6">
        <v>18</v>
      </c>
      <c r="X52" s="613"/>
      <c r="Y52" s="859"/>
      <c r="Z52" s="605"/>
      <c r="AA52" s="620" t="s">
        <v>152</v>
      </c>
      <c r="AB52" s="635"/>
      <c r="AC52" s="622"/>
      <c r="AD52" s="572"/>
      <c r="AE52" s="6"/>
      <c r="AF52" s="6"/>
      <c r="AG52" s="613"/>
      <c r="AH52" s="614"/>
      <c r="AI52" s="6"/>
      <c r="AJ52" s="6"/>
      <c r="AK52" s="613"/>
      <c r="AM52" s="572"/>
      <c r="AN52" s="613"/>
      <c r="AO52" s="613"/>
      <c r="AP52" s="613"/>
      <c r="AQ52" s="614"/>
      <c r="AR52" s="613"/>
      <c r="AS52" s="6"/>
      <c r="AT52" s="613"/>
    </row>
    <row r="53" spans="1:46" ht="40.15" customHeight="1" x14ac:dyDescent="0.25">
      <c r="A53" s="2206">
        <v>44921</v>
      </c>
      <c r="B53" s="574">
        <v>1</v>
      </c>
      <c r="C53" s="596"/>
      <c r="D53" s="596"/>
      <c r="E53" s="596">
        <v>28</v>
      </c>
      <c r="F53" s="597"/>
      <c r="G53" s="619"/>
      <c r="H53" s="619"/>
      <c r="I53" s="620" t="s">
        <v>558</v>
      </c>
      <c r="J53" s="635"/>
      <c r="K53" s="622"/>
      <c r="L53" s="572"/>
      <c r="M53" s="6"/>
      <c r="N53" s="6"/>
      <c r="O53" s="613"/>
      <c r="P53" s="859"/>
      <c r="Q53" s="6"/>
      <c r="R53" s="6"/>
      <c r="S53" s="635"/>
      <c r="T53" s="622"/>
      <c r="U53" s="572"/>
      <c r="V53" s="6"/>
      <c r="W53" s="6"/>
      <c r="X53" s="613"/>
      <c r="Y53" s="859"/>
      <c r="Z53" s="6"/>
      <c r="AA53" s="605"/>
      <c r="AB53" s="613"/>
      <c r="AC53" s="622"/>
      <c r="AD53" s="572"/>
      <c r="AE53" s="605"/>
      <c r="AF53" s="6"/>
      <c r="AG53" s="613"/>
      <c r="AH53" s="614"/>
      <c r="AI53" s="605"/>
      <c r="AJ53" s="605"/>
      <c r="AK53" s="613"/>
      <c r="AM53" s="572"/>
      <c r="AN53" s="605"/>
      <c r="AO53" s="6"/>
      <c r="AP53" s="613"/>
      <c r="AQ53" s="614"/>
      <c r="AR53" s="605"/>
      <c r="AS53" s="605"/>
      <c r="AT53" s="613"/>
    </row>
    <row r="54" spans="1:46" ht="39.6" customHeight="1" x14ac:dyDescent="0.25">
      <c r="A54" s="2205"/>
      <c r="B54" s="853">
        <v>2</v>
      </c>
      <c r="C54" s="596"/>
      <c r="D54" s="596"/>
      <c r="E54" s="596">
        <v>69</v>
      </c>
      <c r="F54" s="597"/>
      <c r="G54" s="619"/>
      <c r="H54" s="619"/>
      <c r="I54" s="620" t="s">
        <v>152</v>
      </c>
      <c r="J54" s="635"/>
      <c r="K54" s="622"/>
      <c r="L54" s="572"/>
      <c r="M54" s="6"/>
      <c r="N54" s="6"/>
      <c r="O54" s="597"/>
      <c r="P54" s="619"/>
      <c r="Q54" s="619"/>
      <c r="R54" s="619"/>
      <c r="S54" s="635"/>
      <c r="T54" s="622"/>
      <c r="U54" s="572"/>
      <c r="V54" s="6"/>
      <c r="W54" s="6">
        <v>16</v>
      </c>
      <c r="X54" s="597"/>
      <c r="Y54" s="619"/>
      <c r="Z54" s="620"/>
      <c r="AA54" s="620" t="s">
        <v>152</v>
      </c>
      <c r="AB54" s="635"/>
      <c r="AC54" s="622"/>
      <c r="AD54" s="572"/>
      <c r="AE54" s="6"/>
      <c r="AF54" s="6"/>
      <c r="AG54" s="597"/>
      <c r="AH54" s="619"/>
      <c r="AI54" s="619"/>
      <c r="AJ54" s="6"/>
      <c r="AK54" s="635"/>
      <c r="AM54" s="572"/>
      <c r="AN54" s="6"/>
      <c r="AO54" s="6"/>
      <c r="AP54" s="597"/>
      <c r="AQ54" s="619"/>
      <c r="AR54" s="619"/>
      <c r="AS54" s="619"/>
      <c r="AT54" s="635"/>
    </row>
    <row r="55" spans="1:46" ht="39.6" customHeight="1" x14ac:dyDescent="0.25">
      <c r="A55" s="2206">
        <v>44922</v>
      </c>
      <c r="B55" s="574">
        <v>1</v>
      </c>
      <c r="C55" s="595"/>
      <c r="D55" s="596"/>
      <c r="E55" s="596"/>
      <c r="F55" s="597"/>
      <c r="G55" s="619"/>
      <c r="H55" s="619"/>
      <c r="I55" s="620"/>
      <c r="J55" s="687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>
        <v>10</v>
      </c>
      <c r="X55" s="613"/>
      <c r="Y55" s="614"/>
      <c r="Z55" s="619"/>
      <c r="AA55" s="620" t="s">
        <v>152</v>
      </c>
      <c r="AB55" s="635"/>
      <c r="AC55" s="622"/>
      <c r="AD55" s="572"/>
      <c r="AE55" s="6"/>
      <c r="AF55" s="6">
        <v>15</v>
      </c>
      <c r="AG55" s="613"/>
      <c r="AH55" s="614"/>
      <c r="AI55" s="6"/>
      <c r="AJ55" s="620" t="s">
        <v>152</v>
      </c>
      <c r="AK55" s="613"/>
      <c r="AM55" s="572"/>
      <c r="AN55" s="6"/>
      <c r="AO55" s="6"/>
      <c r="AP55" s="613"/>
      <c r="AQ55" s="614"/>
      <c r="AR55" s="6"/>
      <c r="AS55" s="605"/>
      <c r="AT55" s="613"/>
    </row>
    <row r="56" spans="1:46" ht="40.9" customHeight="1" x14ac:dyDescent="0.25">
      <c r="A56" s="2205"/>
      <c r="B56" s="853">
        <v>2</v>
      </c>
      <c r="C56" s="595"/>
      <c r="D56" s="596"/>
      <c r="E56" s="596">
        <v>95</v>
      </c>
      <c r="F56" s="597"/>
      <c r="G56" s="620"/>
      <c r="H56" s="619"/>
      <c r="I56" s="620" t="s">
        <v>152</v>
      </c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/>
      <c r="V56" s="6"/>
      <c r="W56" s="6">
        <v>17</v>
      </c>
      <c r="X56" s="597"/>
      <c r="Y56" s="620"/>
      <c r="Z56" s="619"/>
      <c r="AA56" s="620" t="s">
        <v>152</v>
      </c>
      <c r="AB56" s="635"/>
      <c r="AC56" s="622"/>
      <c r="AD56" s="572"/>
      <c r="AE56" s="6"/>
      <c r="AF56" s="6">
        <v>10</v>
      </c>
      <c r="AG56" s="597"/>
      <c r="AH56" s="620"/>
      <c r="AI56" s="619"/>
      <c r="AJ56" s="620" t="s">
        <v>152</v>
      </c>
      <c r="AK56" s="635"/>
      <c r="AM56" s="572"/>
      <c r="AN56" s="6"/>
      <c r="AO56" s="6"/>
      <c r="AP56" s="597"/>
      <c r="AQ56" s="620"/>
      <c r="AR56" s="619"/>
      <c r="AS56" s="620"/>
      <c r="AT56" s="635"/>
    </row>
    <row r="57" spans="1:46" ht="37.9" customHeight="1" x14ac:dyDescent="0.25">
      <c r="A57" s="2206">
        <v>44923</v>
      </c>
      <c r="B57" s="574">
        <v>1</v>
      </c>
      <c r="C57" s="595"/>
      <c r="D57" s="596"/>
      <c r="E57" s="596">
        <v>35</v>
      </c>
      <c r="F57" s="597"/>
      <c r="G57" s="620"/>
      <c r="H57" s="619"/>
      <c r="I57" s="620" t="s">
        <v>558</v>
      </c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>
        <v>27</v>
      </c>
      <c r="X57" s="597"/>
      <c r="Y57" s="620"/>
      <c r="Z57" s="619"/>
      <c r="AA57" s="620" t="s">
        <v>558</v>
      </c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/>
      <c r="AP57" s="597"/>
      <c r="AQ57" s="620"/>
      <c r="AR57" s="619"/>
      <c r="AS57" s="620"/>
      <c r="AT57" s="635"/>
    </row>
    <row r="58" spans="1:46" ht="35.450000000000003" customHeight="1" x14ac:dyDescent="0.25">
      <c r="A58" s="2205"/>
      <c r="B58" s="853">
        <v>2</v>
      </c>
      <c r="C58" s="595"/>
      <c r="D58" s="596"/>
      <c r="E58" s="596">
        <v>13</v>
      </c>
      <c r="F58" s="597"/>
      <c r="G58" s="620"/>
      <c r="H58" s="619"/>
      <c r="I58" s="620" t="s">
        <v>97</v>
      </c>
      <c r="J58" s="635"/>
      <c r="K58" s="622"/>
      <c r="L58" s="572"/>
      <c r="M58" s="6"/>
      <c r="N58" s="6"/>
      <c r="O58" s="613"/>
      <c r="P58" s="614"/>
      <c r="Q58" s="6"/>
      <c r="R58" s="6"/>
      <c r="S58" s="635"/>
      <c r="T58" s="622"/>
      <c r="U58" s="572"/>
      <c r="V58" s="6"/>
      <c r="W58" s="6">
        <v>20</v>
      </c>
      <c r="X58" s="613"/>
      <c r="Y58" s="614"/>
      <c r="Z58" s="605"/>
      <c r="AA58" s="620" t="s">
        <v>152</v>
      </c>
      <c r="AB58" s="613"/>
      <c r="AC58" s="622"/>
      <c r="AD58" s="572"/>
      <c r="AE58" s="6"/>
      <c r="AF58" s="6">
        <v>5</v>
      </c>
      <c r="AG58" s="613"/>
      <c r="AH58" s="614"/>
      <c r="AI58" s="6"/>
      <c r="AJ58" s="6" t="s">
        <v>336</v>
      </c>
      <c r="AK58" s="613"/>
      <c r="AM58" s="572"/>
      <c r="AN58" s="6"/>
      <c r="AO58" s="6">
        <v>34</v>
      </c>
      <c r="AP58" s="613"/>
      <c r="AQ58" s="614"/>
      <c r="AR58" s="6"/>
      <c r="AS58" s="50" t="s">
        <v>152</v>
      </c>
      <c r="AT58" s="613"/>
    </row>
    <row r="59" spans="1:46" ht="34.15" customHeight="1" x14ac:dyDescent="0.25">
      <c r="A59" s="2206">
        <v>44924</v>
      </c>
      <c r="B59" s="574">
        <v>1</v>
      </c>
      <c r="C59" s="595"/>
      <c r="D59" s="596"/>
      <c r="E59" s="596">
        <v>13</v>
      </c>
      <c r="F59" s="597"/>
      <c r="G59" s="619"/>
      <c r="H59" s="619"/>
      <c r="I59" s="620" t="s">
        <v>558</v>
      </c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>
        <v>20</v>
      </c>
      <c r="X59" s="613"/>
      <c r="Y59" s="614"/>
      <c r="Z59" s="6"/>
      <c r="AA59" s="620" t="s">
        <v>152</v>
      </c>
      <c r="AB59" s="613"/>
      <c r="AC59" s="622"/>
      <c r="AD59" s="572"/>
      <c r="AE59" s="6"/>
      <c r="AF59" s="6"/>
      <c r="AG59" s="613"/>
      <c r="AH59" s="859"/>
      <c r="AI59" s="6"/>
      <c r="AJ59" s="620"/>
      <c r="AK59" s="613"/>
      <c r="AM59" s="572"/>
      <c r="AN59" s="6"/>
      <c r="AO59" s="6"/>
      <c r="AP59" s="613"/>
      <c r="AQ59" s="859"/>
      <c r="AR59" s="6"/>
      <c r="AS59" s="620"/>
      <c r="AT59" s="613"/>
    </row>
    <row r="60" spans="1:46" ht="36" customHeight="1" x14ac:dyDescent="0.25">
      <c r="A60" s="2205"/>
      <c r="B60" s="853">
        <v>2</v>
      </c>
      <c r="C60" s="595"/>
      <c r="D60" s="596"/>
      <c r="E60" s="596">
        <v>21</v>
      </c>
      <c r="F60" s="597"/>
      <c r="G60" s="619"/>
      <c r="H60" s="620"/>
      <c r="I60" s="620" t="s">
        <v>152</v>
      </c>
      <c r="J60" s="635"/>
      <c r="K60" s="622"/>
      <c r="L60" s="572"/>
      <c r="M60" s="6"/>
      <c r="N60" s="6"/>
      <c r="O60" s="613"/>
      <c r="P60" s="614"/>
      <c r="Q60" s="6"/>
      <c r="R60" s="6"/>
      <c r="S60" s="635"/>
      <c r="T60" s="622"/>
      <c r="U60" s="572"/>
      <c r="V60" s="6"/>
      <c r="W60" s="6"/>
      <c r="X60" s="613"/>
      <c r="Y60" s="859"/>
      <c r="Z60" s="605"/>
      <c r="AA60" s="605"/>
      <c r="AB60" s="635"/>
      <c r="AC60" s="622"/>
      <c r="AD60" s="572"/>
      <c r="AE60" s="6"/>
      <c r="AF60" s="6"/>
      <c r="AG60" s="613"/>
      <c r="AH60" s="614"/>
      <c r="AI60" s="6"/>
      <c r="AJ60" s="605"/>
      <c r="AK60" s="635"/>
      <c r="AM60" s="572"/>
      <c r="AN60" s="6"/>
      <c r="AO60" s="6"/>
      <c r="AP60" s="613"/>
      <c r="AQ60" s="614"/>
      <c r="AR60" s="6"/>
      <c r="AS60" s="605"/>
      <c r="AT60" s="635"/>
    </row>
    <row r="61" spans="1:46" ht="32.450000000000003" customHeight="1" x14ac:dyDescent="0.25">
      <c r="A61" s="2206">
        <v>44925</v>
      </c>
      <c r="B61" s="574">
        <v>1</v>
      </c>
      <c r="C61" s="862"/>
      <c r="D61" s="864"/>
      <c r="E61" s="596">
        <v>26</v>
      </c>
      <c r="F61" s="749"/>
      <c r="G61" s="619"/>
      <c r="H61" s="863"/>
      <c r="I61" s="620" t="s">
        <v>152</v>
      </c>
      <c r="J61" s="687"/>
      <c r="K61" s="622"/>
      <c r="L61" s="572"/>
      <c r="M61" s="6"/>
      <c r="N61" s="6"/>
      <c r="O61" s="613"/>
      <c r="P61" s="752"/>
      <c r="Q61" s="860"/>
      <c r="R61" s="860"/>
      <c r="S61" s="753"/>
      <c r="T61" s="622"/>
      <c r="U61" s="572"/>
      <c r="V61" s="6"/>
      <c r="W61" s="6">
        <v>17</v>
      </c>
      <c r="X61" s="613"/>
      <c r="Y61" s="859"/>
      <c r="Z61" s="605"/>
      <c r="AA61" s="620" t="s">
        <v>152</v>
      </c>
      <c r="AB61" s="753"/>
      <c r="AC61" s="622"/>
      <c r="AD61" s="572"/>
      <c r="AE61" s="6"/>
      <c r="AF61" s="6">
        <v>10</v>
      </c>
      <c r="AG61" s="613"/>
      <c r="AH61" s="614"/>
      <c r="AI61" s="6"/>
      <c r="AJ61" s="6" t="s">
        <v>336</v>
      </c>
      <c r="AK61" s="753"/>
      <c r="AM61" s="572"/>
      <c r="AN61" s="6"/>
      <c r="AO61" s="6"/>
      <c r="AP61" s="613"/>
      <c r="AQ61" s="614"/>
      <c r="AR61" s="6"/>
      <c r="AS61" s="605"/>
      <c r="AT61" s="753"/>
    </row>
    <row r="62" spans="1:46" ht="33" customHeight="1" x14ac:dyDescent="0.25">
      <c r="A62" s="2205"/>
      <c r="B62" s="853">
        <v>2</v>
      </c>
      <c r="C62" s="862"/>
      <c r="D62" s="864"/>
      <c r="E62" s="864">
        <v>31</v>
      </c>
      <c r="F62" s="749"/>
      <c r="G62" s="855"/>
      <c r="H62" s="863"/>
      <c r="I62" s="620" t="s">
        <v>152</v>
      </c>
      <c r="J62" s="687"/>
      <c r="K62" s="622"/>
      <c r="L62" s="572"/>
      <c r="M62" s="6"/>
      <c r="N62" s="6"/>
      <c r="O62" s="613"/>
      <c r="P62" s="752"/>
      <c r="Q62" s="860"/>
      <c r="R62" s="860"/>
      <c r="S62" s="753"/>
      <c r="T62" s="622"/>
      <c r="U62" s="572"/>
      <c r="V62" s="6"/>
      <c r="W62" s="6">
        <v>14</v>
      </c>
      <c r="X62" s="613"/>
      <c r="Y62" s="859"/>
      <c r="Z62" s="605"/>
      <c r="AA62" s="620" t="s">
        <v>152</v>
      </c>
      <c r="AB62" s="753"/>
      <c r="AC62" s="622"/>
      <c r="AD62" s="572"/>
      <c r="AE62" s="6"/>
      <c r="AF62" s="6"/>
      <c r="AG62" s="613"/>
      <c r="AH62" s="614"/>
      <c r="AI62" s="6"/>
      <c r="AJ62" s="605"/>
      <c r="AK62" s="753"/>
      <c r="AM62" s="572"/>
      <c r="AN62" s="6"/>
      <c r="AO62" s="6"/>
      <c r="AP62" s="613"/>
      <c r="AQ62" s="614"/>
      <c r="AR62" s="6"/>
      <c r="AS62" s="605"/>
      <c r="AT62" s="753"/>
    </row>
    <row r="63" spans="1:46" ht="33.6" customHeight="1" x14ac:dyDescent="0.25">
      <c r="A63" s="2206">
        <v>44926</v>
      </c>
      <c r="B63" s="574">
        <v>1</v>
      </c>
      <c r="C63" s="706"/>
      <c r="D63" s="707"/>
      <c r="E63" s="707">
        <v>5</v>
      </c>
      <c r="F63" s="708"/>
      <c r="G63" s="717"/>
      <c r="H63" s="709"/>
      <c r="I63" s="620" t="s">
        <v>152</v>
      </c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>
        <v>25</v>
      </c>
      <c r="X63" s="597"/>
      <c r="Y63" s="685"/>
      <c r="Z63" s="619"/>
      <c r="AA63" s="6" t="s">
        <v>559</v>
      </c>
      <c r="AB63" s="858"/>
      <c r="AC63" s="622"/>
      <c r="AD63" s="572"/>
      <c r="AE63" s="6"/>
      <c r="AF63" s="6"/>
      <c r="AG63" s="597"/>
      <c r="AH63" s="685"/>
      <c r="AI63" s="619"/>
      <c r="AJ63" s="619"/>
      <c r="AK63" s="705"/>
      <c r="AM63" s="572"/>
      <c r="AN63" s="6"/>
      <c r="AO63" s="6"/>
      <c r="AP63" s="597"/>
      <c r="AQ63" s="685"/>
      <c r="AR63" s="619"/>
      <c r="AS63" s="619"/>
      <c r="AT63" s="705"/>
    </row>
    <row r="64" spans="1:46" ht="30.6" customHeight="1" x14ac:dyDescent="0.25">
      <c r="A64" s="2205"/>
      <c r="B64" s="711">
        <v>2</v>
      </c>
      <c r="C64" s="729"/>
      <c r="D64" s="730"/>
      <c r="E64" s="730">
        <v>25</v>
      </c>
      <c r="F64" s="731"/>
      <c r="G64" s="732"/>
      <c r="H64" s="733"/>
      <c r="I64" s="620" t="s">
        <v>152</v>
      </c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636"/>
      <c r="AQ64" s="637"/>
      <c r="AR64" s="638"/>
      <c r="AS64" s="638"/>
      <c r="AT64" s="713"/>
    </row>
    <row r="65" spans="1:42" ht="23.45" customHeight="1" x14ac:dyDescent="0.25">
      <c r="A65" s="524" t="s">
        <v>225</v>
      </c>
      <c r="C65" s="768">
        <f>SUM(C3:C64)</f>
        <v>68</v>
      </c>
      <c r="D65" s="525">
        <f>SUM(D3:D64)</f>
        <v>23</v>
      </c>
      <c r="E65" s="768">
        <f>SUM(E3:E64)</f>
        <v>2631</v>
      </c>
      <c r="F65" s="525">
        <f>SUM(F3:F64)</f>
        <v>1136</v>
      </c>
      <c r="L65" s="525">
        <f>SUM(L3:L64)</f>
        <v>2790</v>
      </c>
      <c r="M65" s="525">
        <f>SUM(M3:M64)</f>
        <v>125</v>
      </c>
      <c r="N65" s="525">
        <f>SUM(N3:N64)</f>
        <v>1148</v>
      </c>
      <c r="O65" s="525">
        <f>SUM(O3:O64)</f>
        <v>567</v>
      </c>
      <c r="U65" s="525">
        <f>SUM(U3:U64)</f>
        <v>4347</v>
      </c>
      <c r="V65" s="525">
        <f>SUM(V3:V64)</f>
        <v>39</v>
      </c>
      <c r="W65" s="525">
        <f>SUM(W3:W64)</f>
        <v>3065</v>
      </c>
      <c r="X65" s="525">
        <f>SUM(X3:X64)</f>
        <v>697</v>
      </c>
      <c r="AD65" s="525">
        <f>SUM(AD3:AD64)</f>
        <v>120</v>
      </c>
      <c r="AE65" s="525">
        <f>SUM(AE3:AE64)</f>
        <v>0</v>
      </c>
      <c r="AF65" s="525">
        <f>SUM(AF3:AF64)</f>
        <v>965</v>
      </c>
      <c r="AG65" s="525">
        <f>SUM(AG3:AG64)</f>
        <v>1174</v>
      </c>
      <c r="AM65" s="525">
        <f>SUM(AM3:AM64)</f>
        <v>508</v>
      </c>
      <c r="AN65" s="525">
        <f>SUM(AN3:AN64)</f>
        <v>0</v>
      </c>
      <c r="AO65" s="525">
        <f>SUM(AO3:AO64)</f>
        <v>1387</v>
      </c>
      <c r="AP65" s="525">
        <f>SUM(AP3:AP64)</f>
        <v>800</v>
      </c>
    </row>
    <row r="73" spans="1:42" ht="15.75" thickBot="1" x14ac:dyDescent="0.3"/>
    <row r="74" spans="1:42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2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2" ht="21.75" customHeight="1" x14ac:dyDescent="0.3">
      <c r="B76" s="651" t="s">
        <v>218</v>
      </c>
      <c r="C76" s="652">
        <f>C65</f>
        <v>68</v>
      </c>
      <c r="D76" s="653">
        <f>C76/60</f>
        <v>1.1333333333333333</v>
      </c>
      <c r="E76" s="652">
        <f>D65</f>
        <v>23</v>
      </c>
      <c r="F76" s="654">
        <f>E76/60</f>
        <v>0.38333333333333336</v>
      </c>
      <c r="G76" s="652">
        <f>E65</f>
        <v>2631</v>
      </c>
      <c r="H76" s="653">
        <f>G76/60</f>
        <v>43.85</v>
      </c>
      <c r="I76" s="652">
        <f>F65</f>
        <v>1136</v>
      </c>
      <c r="J76" s="653">
        <f>I76/60</f>
        <v>18.933333333333334</v>
      </c>
    </row>
    <row r="77" spans="1:42" ht="19.5" customHeight="1" x14ac:dyDescent="0.3">
      <c r="B77" s="651" t="s">
        <v>219</v>
      </c>
      <c r="C77" s="655">
        <f>L65</f>
        <v>2790</v>
      </c>
      <c r="D77" s="656">
        <f t="shared" ref="D77:F79" si="0">C77/60</f>
        <v>46.5</v>
      </c>
      <c r="E77" s="655">
        <f>M65</f>
        <v>125</v>
      </c>
      <c r="F77" s="657">
        <f t="shared" si="0"/>
        <v>2.0833333333333335</v>
      </c>
      <c r="G77" s="655">
        <f>N65</f>
        <v>1148</v>
      </c>
      <c r="H77" s="656">
        <f t="shared" ref="H77:J79" si="1">G77/60</f>
        <v>19.133333333333333</v>
      </c>
      <c r="I77" s="655">
        <f>O65</f>
        <v>567</v>
      </c>
      <c r="J77" s="656">
        <f t="shared" si="1"/>
        <v>9.4499999999999993</v>
      </c>
    </row>
    <row r="78" spans="1:42" ht="20.25" customHeight="1" x14ac:dyDescent="0.3">
      <c r="B78" s="651" t="s">
        <v>220</v>
      </c>
      <c r="C78" s="655">
        <f>U65</f>
        <v>4347</v>
      </c>
      <c r="D78" s="656">
        <f t="shared" si="0"/>
        <v>72.45</v>
      </c>
      <c r="E78" s="655">
        <f>V65</f>
        <v>39</v>
      </c>
      <c r="F78" s="657">
        <f t="shared" si="0"/>
        <v>0.65</v>
      </c>
      <c r="G78" s="655">
        <f>W65</f>
        <v>3065</v>
      </c>
      <c r="H78" s="656">
        <f t="shared" si="1"/>
        <v>51.083333333333336</v>
      </c>
      <c r="I78" s="655">
        <f>X65</f>
        <v>697</v>
      </c>
      <c r="J78" s="656">
        <f t="shared" si="1"/>
        <v>11.616666666666667</v>
      </c>
    </row>
    <row r="79" spans="1:42" ht="22.5" customHeight="1" thickBot="1" x14ac:dyDescent="0.35">
      <c r="B79" s="651" t="s">
        <v>221</v>
      </c>
      <c r="C79" s="658">
        <f>AD65</f>
        <v>120</v>
      </c>
      <c r="D79" s="659">
        <f t="shared" si="0"/>
        <v>2</v>
      </c>
      <c r="E79" s="658">
        <f>AE65</f>
        <v>0</v>
      </c>
      <c r="F79" s="660">
        <f t="shared" si="0"/>
        <v>0</v>
      </c>
      <c r="G79" s="658">
        <f>AF65</f>
        <v>965</v>
      </c>
      <c r="H79" s="659">
        <f t="shared" si="1"/>
        <v>16.083333333333332</v>
      </c>
      <c r="I79" s="658">
        <f>AG65</f>
        <v>1174</v>
      </c>
      <c r="J79" s="659">
        <f t="shared" si="1"/>
        <v>19.566666666666666</v>
      </c>
    </row>
    <row r="80" spans="1:42" ht="22.5" customHeight="1" thickBot="1" x14ac:dyDescent="0.35">
      <c r="B80" s="651" t="s">
        <v>488</v>
      </c>
      <c r="C80" s="850">
        <f>AM65</f>
        <v>508</v>
      </c>
      <c r="D80" s="849">
        <f>C80/60</f>
        <v>8.4666666666666668</v>
      </c>
      <c r="E80" s="850">
        <f>AN65</f>
        <v>0</v>
      </c>
      <c r="F80" s="851">
        <f>E80/60</f>
        <v>0</v>
      </c>
      <c r="G80" s="850">
        <f>AO65</f>
        <v>1387</v>
      </c>
      <c r="H80" s="849">
        <f>G80/60</f>
        <v>23.116666666666667</v>
      </c>
      <c r="I80" s="850">
        <f>AP65</f>
        <v>800</v>
      </c>
      <c r="J80" s="849">
        <f>I80/60</f>
        <v>13.333333333333334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130.55000000000001</v>
      </c>
      <c r="E82" s="666"/>
      <c r="F82" s="667">
        <f>SUM(F76:F80)</f>
        <v>3.1166666666666667</v>
      </c>
      <c r="G82" s="666"/>
      <c r="H82" s="667">
        <f>SUM(H76:H80)</f>
        <v>153.26666666666668</v>
      </c>
      <c r="I82" s="666"/>
      <c r="J82" s="668">
        <f>AVERAGE(J76:J80)</f>
        <v>14.579999999999998</v>
      </c>
    </row>
  </sheetData>
  <mergeCells count="45"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D1:AG1"/>
    <mergeCell ref="AH1:AK1"/>
    <mergeCell ref="AM1:AP1"/>
    <mergeCell ref="AQ1:AT1"/>
    <mergeCell ref="A3:A4"/>
    <mergeCell ref="U1:X1"/>
    <mergeCell ref="Y1:AB1"/>
    <mergeCell ref="A5:A6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2"/>
  <sheetViews>
    <sheetView zoomScale="55" zoomScaleNormal="55" workbookViewId="0">
      <pane xSplit="2" ySplit="2" topLeftCell="C57" activePane="bottomRight" state="frozen"/>
      <selection pane="topRight" activeCell="C1" sqref="C1"/>
      <selection pane="bottomLeft" activeCell="A3" sqref="A3"/>
      <selection pane="bottomRight" activeCell="P78" sqref="P78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2.85546875" style="524" customWidth="1"/>
    <col min="5" max="5" width="15.7109375" style="524" customWidth="1"/>
    <col min="6" max="6" width="16.85546875" style="524" customWidth="1"/>
    <col min="7" max="7" width="21.140625" style="524" customWidth="1"/>
    <col min="8" max="8" width="27.28515625" style="524" customWidth="1"/>
    <col min="9" max="9" width="22" style="524" customWidth="1"/>
    <col min="10" max="10" width="22.28515625" style="524" customWidth="1"/>
    <col min="11" max="14" width="10.7109375" style="524" customWidth="1"/>
    <col min="15" max="15" width="17" style="524" customWidth="1"/>
    <col min="16" max="16" width="23" style="524" customWidth="1"/>
    <col min="17" max="17" width="25.7109375" style="524" customWidth="1"/>
    <col min="18" max="18" width="30.42578125" style="524" customWidth="1"/>
    <col min="19" max="19" width="24.28515625" style="524" customWidth="1"/>
    <col min="20" max="24" width="10.7109375" style="524" customWidth="1"/>
    <col min="25" max="25" width="28" style="524" customWidth="1"/>
    <col min="26" max="26" width="23.85546875" style="524" customWidth="1"/>
    <col min="27" max="27" width="32.42578125" style="524" customWidth="1"/>
    <col min="28" max="28" width="21.140625" style="524" customWidth="1"/>
    <col min="29" max="33" width="10.7109375" style="524" customWidth="1"/>
    <col min="34" max="34" width="30.42578125" style="524" customWidth="1"/>
    <col min="35" max="35" width="25.42578125" style="524" customWidth="1"/>
    <col min="36" max="36" width="24.140625" style="524" customWidth="1"/>
    <col min="37" max="37" width="23" style="524" customWidth="1"/>
    <col min="38" max="38" width="8.85546875" style="524"/>
    <col min="39" max="42" width="10.7109375" style="524" customWidth="1"/>
    <col min="43" max="43" width="16.85546875" style="524" customWidth="1"/>
    <col min="44" max="44" width="15.140625" style="524" customWidth="1"/>
    <col min="45" max="45" width="17.5703125" style="524" customWidth="1"/>
    <col min="46" max="46" width="21.140625" style="524" bestFit="1" customWidth="1"/>
    <col min="47" max="16384" width="8.85546875" style="524"/>
  </cols>
  <sheetData>
    <row r="1" spans="1:46" x14ac:dyDescent="0.25">
      <c r="C1" s="2217" t="s">
        <v>1</v>
      </c>
      <c r="D1" s="2212"/>
      <c r="E1" s="2212"/>
      <c r="F1" s="2212"/>
      <c r="G1" s="2211" t="s">
        <v>206</v>
      </c>
      <c r="H1" s="2209"/>
      <c r="I1" s="2209"/>
      <c r="J1" s="2210"/>
      <c r="L1" s="2212" t="s">
        <v>4</v>
      </c>
      <c r="M1" s="2212"/>
      <c r="N1" s="2212"/>
      <c r="O1" s="2212"/>
      <c r="P1" s="2209" t="s">
        <v>206</v>
      </c>
      <c r="Q1" s="2209"/>
      <c r="R1" s="2209"/>
      <c r="S1" s="2210"/>
      <c r="U1" s="2212" t="s">
        <v>2</v>
      </c>
      <c r="V1" s="2212"/>
      <c r="W1" s="2212"/>
      <c r="X1" s="2212"/>
      <c r="Y1" s="2209" t="s">
        <v>206</v>
      </c>
      <c r="Z1" s="2209"/>
      <c r="AA1" s="2209"/>
      <c r="AB1" s="2210"/>
      <c r="AD1" s="2212" t="s">
        <v>5</v>
      </c>
      <c r="AE1" s="2212"/>
      <c r="AF1" s="2212"/>
      <c r="AG1" s="2212"/>
      <c r="AH1" s="2209" t="s">
        <v>206</v>
      </c>
      <c r="AI1" s="2209"/>
      <c r="AJ1" s="2209"/>
      <c r="AK1" s="2210"/>
      <c r="AM1" s="2212" t="s">
        <v>482</v>
      </c>
      <c r="AN1" s="2212"/>
      <c r="AO1" s="2212"/>
      <c r="AP1" s="2212"/>
      <c r="AQ1" s="2209" t="s">
        <v>206</v>
      </c>
      <c r="AR1" s="2209"/>
      <c r="AS1" s="2209"/>
      <c r="AT1" s="2210"/>
    </row>
    <row r="2" spans="1:46" ht="42.6" customHeight="1" x14ac:dyDescent="0.25">
      <c r="A2" s="866" t="s">
        <v>0</v>
      </c>
      <c r="B2" s="528" t="s">
        <v>198</v>
      </c>
      <c r="C2" s="529" t="s">
        <v>199</v>
      </c>
      <c r="D2" s="526" t="s">
        <v>200</v>
      </c>
      <c r="E2" s="526" t="s">
        <v>201</v>
      </c>
      <c r="F2" s="526" t="s">
        <v>204</v>
      </c>
      <c r="G2" s="575" t="s">
        <v>199</v>
      </c>
      <c r="H2" s="575" t="s">
        <v>200</v>
      </c>
      <c r="I2" s="575" t="s">
        <v>201</v>
      </c>
      <c r="J2" s="575" t="s">
        <v>204</v>
      </c>
      <c r="K2" s="524" t="s">
        <v>269</v>
      </c>
      <c r="L2" s="526" t="s">
        <v>199</v>
      </c>
      <c r="M2" s="526" t="s">
        <v>200</v>
      </c>
      <c r="N2" s="526" t="s">
        <v>201</v>
      </c>
      <c r="O2" s="526" t="s">
        <v>204</v>
      </c>
      <c r="P2" s="527" t="s">
        <v>199</v>
      </c>
      <c r="Q2" s="526" t="s">
        <v>200</v>
      </c>
      <c r="R2" s="526" t="s">
        <v>201</v>
      </c>
      <c r="S2" s="526" t="s">
        <v>204</v>
      </c>
      <c r="U2" s="526" t="s">
        <v>199</v>
      </c>
      <c r="V2" s="526" t="s">
        <v>200</v>
      </c>
      <c r="W2" s="526" t="s">
        <v>201</v>
      </c>
      <c r="X2" s="526" t="s">
        <v>204</v>
      </c>
      <c r="Y2" s="650" t="s">
        <v>199</v>
      </c>
      <c r="Z2" s="526" t="s">
        <v>200</v>
      </c>
      <c r="AA2" s="526" t="s">
        <v>201</v>
      </c>
      <c r="AB2" s="526" t="s">
        <v>204</v>
      </c>
      <c r="AD2" s="526" t="s">
        <v>199</v>
      </c>
      <c r="AE2" s="526" t="s">
        <v>200</v>
      </c>
      <c r="AF2" s="526" t="s">
        <v>201</v>
      </c>
      <c r="AG2" s="526" t="s">
        <v>204</v>
      </c>
      <c r="AH2" s="527" t="s">
        <v>199</v>
      </c>
      <c r="AI2" s="526" t="s">
        <v>200</v>
      </c>
      <c r="AJ2" s="526" t="s">
        <v>201</v>
      </c>
      <c r="AK2" s="526" t="s">
        <v>204</v>
      </c>
      <c r="AM2" s="526" t="s">
        <v>199</v>
      </c>
      <c r="AN2" s="526" t="s">
        <v>200</v>
      </c>
      <c r="AO2" s="526" t="s">
        <v>201</v>
      </c>
      <c r="AP2" s="526" t="s">
        <v>204</v>
      </c>
      <c r="AQ2" s="527" t="s">
        <v>199</v>
      </c>
      <c r="AR2" s="526" t="s">
        <v>200</v>
      </c>
      <c r="AS2" s="526" t="s">
        <v>201</v>
      </c>
      <c r="AT2" s="526" t="s">
        <v>204</v>
      </c>
    </row>
    <row r="3" spans="1:46" ht="30" customHeight="1" x14ac:dyDescent="0.25">
      <c r="A3" s="2206">
        <v>44927</v>
      </c>
      <c r="B3" s="868">
        <v>1</v>
      </c>
      <c r="C3" s="592"/>
      <c r="D3" s="593"/>
      <c r="E3" s="847">
        <v>8</v>
      </c>
      <c r="F3" s="594"/>
      <c r="G3" s="685"/>
      <c r="H3" s="619"/>
      <c r="I3" s="848" t="s">
        <v>152</v>
      </c>
      <c r="J3" s="686"/>
      <c r="K3" s="622"/>
      <c r="L3" s="612"/>
      <c r="M3" s="630"/>
      <c r="N3" s="630"/>
      <c r="O3" s="628"/>
      <c r="P3" s="629"/>
      <c r="Q3" s="699"/>
      <c r="R3" s="700"/>
      <c r="S3" s="628"/>
      <c r="T3" s="622"/>
      <c r="U3" s="612"/>
      <c r="V3" s="630"/>
      <c r="W3" s="630"/>
      <c r="X3" s="613"/>
      <c r="Y3" s="873"/>
      <c r="Z3" s="629"/>
      <c r="AA3" s="719"/>
      <c r="AB3" s="720"/>
      <c r="AC3" s="622"/>
      <c r="AD3" s="612"/>
      <c r="AE3" s="630"/>
      <c r="AF3" s="6">
        <v>13</v>
      </c>
      <c r="AG3" s="628"/>
      <c r="AH3" s="629"/>
      <c r="AI3" s="630"/>
      <c r="AJ3" s="605" t="s">
        <v>560</v>
      </c>
      <c r="AK3" s="628"/>
      <c r="AM3" s="612"/>
      <c r="AN3" s="630"/>
      <c r="AO3" s="6"/>
      <c r="AP3" s="628"/>
      <c r="AQ3" s="629"/>
      <c r="AR3" s="630"/>
      <c r="AS3" s="6"/>
      <c r="AT3" s="628"/>
    </row>
    <row r="4" spans="1:46" ht="36.6" customHeight="1" x14ac:dyDescent="0.25">
      <c r="A4" s="2205"/>
      <c r="B4" s="574">
        <v>2</v>
      </c>
      <c r="C4" s="595"/>
      <c r="D4" s="596"/>
      <c r="E4" s="596">
        <v>28</v>
      </c>
      <c r="F4" s="597"/>
      <c r="G4" s="685"/>
      <c r="H4" s="619"/>
      <c r="I4" s="620" t="s">
        <v>152</v>
      </c>
      <c r="J4" s="687"/>
      <c r="K4" s="622"/>
      <c r="L4" s="572"/>
      <c r="M4" s="6"/>
      <c r="N4" s="6"/>
      <c r="O4" s="613"/>
      <c r="P4" s="614"/>
      <c r="Q4" s="619"/>
      <c r="R4" s="875"/>
      <c r="S4" s="613"/>
      <c r="T4" s="622"/>
      <c r="U4" s="572"/>
      <c r="V4" s="605"/>
      <c r="W4" s="6">
        <v>25</v>
      </c>
      <c r="X4" s="613"/>
      <c r="Y4" s="873"/>
      <c r="Z4" s="6"/>
      <c r="AA4" s="698" t="s">
        <v>152</v>
      </c>
      <c r="AB4" s="722"/>
      <c r="AC4" s="622"/>
      <c r="AD4" s="572"/>
      <c r="AE4" s="6"/>
      <c r="AF4" s="6">
        <v>8</v>
      </c>
      <c r="AG4" s="613"/>
      <c r="AH4" s="614"/>
      <c r="AI4" s="6"/>
      <c r="AJ4" s="6" t="s">
        <v>336</v>
      </c>
      <c r="AK4" s="613"/>
      <c r="AM4" s="572"/>
      <c r="AN4" s="6"/>
      <c r="AO4" s="6"/>
      <c r="AP4" s="613"/>
      <c r="AQ4" s="614"/>
      <c r="AR4" s="6"/>
      <c r="AS4" s="6"/>
      <c r="AT4" s="613"/>
    </row>
    <row r="5" spans="1:46" ht="28.9" customHeight="1" x14ac:dyDescent="0.25">
      <c r="A5" s="2206">
        <v>44928</v>
      </c>
      <c r="B5" s="574">
        <v>1</v>
      </c>
      <c r="C5" s="595"/>
      <c r="D5" s="596"/>
      <c r="E5" s="596"/>
      <c r="F5" s="597"/>
      <c r="G5" s="685"/>
      <c r="H5" s="619"/>
      <c r="I5" s="620"/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/>
      <c r="X5" s="613"/>
      <c r="Y5" s="873"/>
      <c r="Z5" s="6"/>
      <c r="AA5" s="698"/>
      <c r="AB5" s="723"/>
      <c r="AC5" s="622"/>
      <c r="AD5" s="572"/>
      <c r="AE5" s="6"/>
      <c r="AF5" s="6">
        <v>30</v>
      </c>
      <c r="AG5" s="613"/>
      <c r="AH5" s="614"/>
      <c r="AI5" s="6"/>
      <c r="AJ5" s="6" t="s">
        <v>561</v>
      </c>
      <c r="AK5" s="613"/>
      <c r="AM5" s="572"/>
      <c r="AN5" s="6"/>
      <c r="AO5" s="6"/>
      <c r="AP5" s="613"/>
      <c r="AQ5" s="614"/>
      <c r="AR5" s="6"/>
      <c r="AS5" s="605"/>
      <c r="AT5" s="613"/>
    </row>
    <row r="6" spans="1:46" ht="52.15" customHeight="1" x14ac:dyDescent="0.25">
      <c r="A6" s="2205"/>
      <c r="B6" s="574">
        <v>2</v>
      </c>
      <c r="C6" s="595">
        <v>108</v>
      </c>
      <c r="D6" s="596"/>
      <c r="E6" s="596"/>
      <c r="F6" s="597"/>
      <c r="G6" s="684" t="s">
        <v>563</v>
      </c>
      <c r="H6" s="619"/>
      <c r="I6" s="620"/>
      <c r="J6" s="687"/>
      <c r="K6" s="622"/>
      <c r="L6" s="572"/>
      <c r="M6" s="6"/>
      <c r="N6" s="6"/>
      <c r="O6" s="613"/>
      <c r="P6" s="614"/>
      <c r="Q6" s="619"/>
      <c r="R6" s="6"/>
      <c r="S6" s="613"/>
      <c r="T6" s="622"/>
      <c r="U6" s="572"/>
      <c r="V6" s="6"/>
      <c r="W6" s="6"/>
      <c r="X6" s="613"/>
      <c r="Y6" s="873"/>
      <c r="Z6" s="6"/>
      <c r="AA6" s="698"/>
      <c r="AB6" s="613"/>
      <c r="AC6" s="622"/>
      <c r="AD6" s="572">
        <v>327</v>
      </c>
      <c r="AE6" s="6"/>
      <c r="AF6" s="6">
        <v>10</v>
      </c>
      <c r="AG6" s="613"/>
      <c r="AH6" s="614" t="s">
        <v>45</v>
      </c>
      <c r="AI6" s="6"/>
      <c r="AJ6" s="620" t="s">
        <v>562</v>
      </c>
      <c r="AK6" s="613"/>
      <c r="AM6" s="572"/>
      <c r="AN6" s="6"/>
      <c r="AO6" s="6"/>
      <c r="AP6" s="613"/>
      <c r="AQ6" s="614"/>
      <c r="AR6" s="6"/>
      <c r="AS6" s="605"/>
      <c r="AT6" s="613"/>
    </row>
    <row r="7" spans="1:46" ht="33" customHeight="1" x14ac:dyDescent="0.25">
      <c r="A7" s="2206">
        <v>44929</v>
      </c>
      <c r="B7" s="574">
        <v>1</v>
      </c>
      <c r="C7" s="595"/>
      <c r="D7" s="596"/>
      <c r="E7" s="596">
        <v>30</v>
      </c>
      <c r="F7" s="597"/>
      <c r="G7" s="685"/>
      <c r="H7" s="620"/>
      <c r="I7" s="620" t="s">
        <v>152</v>
      </c>
      <c r="J7" s="687"/>
      <c r="K7" s="622"/>
      <c r="L7" s="572"/>
      <c r="M7" s="614"/>
      <c r="N7" s="6"/>
      <c r="O7" s="613"/>
      <c r="P7" s="614"/>
      <c r="Q7" s="614"/>
      <c r="R7" s="6"/>
      <c r="S7" s="613"/>
      <c r="T7" s="622"/>
      <c r="U7" s="572"/>
      <c r="V7" s="6"/>
      <c r="W7" s="6"/>
      <c r="X7" s="613"/>
      <c r="Y7" s="614"/>
      <c r="Z7" s="6"/>
      <c r="AA7" s="620"/>
      <c r="AB7" s="613"/>
      <c r="AC7" s="622"/>
      <c r="AD7" s="572"/>
      <c r="AE7" s="6"/>
      <c r="AF7" s="6">
        <v>10</v>
      </c>
      <c r="AG7" s="613"/>
      <c r="AH7" s="614"/>
      <c r="AI7" s="6"/>
      <c r="AJ7" s="620" t="s">
        <v>522</v>
      </c>
      <c r="AK7" s="613"/>
      <c r="AM7" s="572"/>
      <c r="AN7" s="6"/>
      <c r="AO7" s="6"/>
      <c r="AP7" s="613"/>
      <c r="AQ7" s="614"/>
      <c r="AR7" s="6"/>
      <c r="AS7" s="620"/>
      <c r="AT7" s="613"/>
    </row>
    <row r="8" spans="1:46" ht="55.15" customHeight="1" x14ac:dyDescent="0.25">
      <c r="A8" s="2205"/>
      <c r="B8" s="574">
        <v>2</v>
      </c>
      <c r="C8" s="595"/>
      <c r="D8" s="596"/>
      <c r="E8" s="596"/>
      <c r="F8" s="597"/>
      <c r="G8" s="684"/>
      <c r="H8" s="620"/>
      <c r="I8" s="620"/>
      <c r="J8" s="635"/>
      <c r="K8" s="622"/>
      <c r="L8" s="572"/>
      <c r="M8" s="6"/>
      <c r="N8" s="6"/>
      <c r="O8" s="613"/>
      <c r="P8" s="873"/>
      <c r="Q8" s="605"/>
      <c r="R8" s="605"/>
      <c r="S8" s="635"/>
      <c r="T8" s="622"/>
      <c r="U8" s="572"/>
      <c r="V8" s="831"/>
      <c r="W8" s="614"/>
      <c r="X8" s="613"/>
      <c r="Y8" s="873"/>
      <c r="Z8" s="6"/>
      <c r="AA8" s="6"/>
      <c r="AB8" s="635"/>
      <c r="AC8" s="622"/>
      <c r="AD8" s="572"/>
      <c r="AE8" s="6">
        <v>68</v>
      </c>
      <c r="AF8" s="6"/>
      <c r="AG8" s="613"/>
      <c r="AH8" s="614"/>
      <c r="AI8" s="605" t="s">
        <v>564</v>
      </c>
      <c r="AJ8" s="605"/>
      <c r="AK8" s="635"/>
      <c r="AM8" s="572"/>
      <c r="AN8" s="6"/>
      <c r="AO8" s="6"/>
      <c r="AP8" s="613"/>
      <c r="AQ8" s="614"/>
      <c r="AR8" s="6"/>
      <c r="AS8" s="6"/>
      <c r="AT8" s="635"/>
    </row>
    <row r="9" spans="1:46" ht="36" customHeight="1" x14ac:dyDescent="0.25">
      <c r="A9" s="2206">
        <v>44930</v>
      </c>
      <c r="B9" s="574">
        <v>1</v>
      </c>
      <c r="C9" s="595"/>
      <c r="D9" s="596"/>
      <c r="E9" s="596"/>
      <c r="F9" s="597"/>
      <c r="G9" s="684"/>
      <c r="H9" s="619"/>
      <c r="I9" s="619"/>
      <c r="J9" s="635"/>
      <c r="K9" s="622"/>
      <c r="L9" s="572"/>
      <c r="M9" s="6">
        <v>207</v>
      </c>
      <c r="N9" s="6"/>
      <c r="O9" s="613"/>
      <c r="P9" s="873"/>
      <c r="Q9" s="620" t="s">
        <v>566</v>
      </c>
      <c r="R9" s="605"/>
      <c r="S9" s="635"/>
      <c r="T9" s="622"/>
      <c r="U9" s="572"/>
      <c r="V9" s="6"/>
      <c r="W9" s="6">
        <v>48</v>
      </c>
      <c r="X9" s="613"/>
      <c r="Y9" s="614"/>
      <c r="Z9" s="6"/>
      <c r="AA9" s="620" t="s">
        <v>565</v>
      </c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/>
      <c r="AN9" s="6"/>
      <c r="AO9" s="6"/>
      <c r="AP9" s="613"/>
      <c r="AQ9" s="614"/>
      <c r="AR9" s="6"/>
      <c r="AS9" s="6"/>
      <c r="AT9" s="635"/>
    </row>
    <row r="10" spans="1:46" ht="98.45" customHeight="1" x14ac:dyDescent="0.25">
      <c r="A10" s="2205"/>
      <c r="B10" s="574">
        <v>2</v>
      </c>
      <c r="C10" s="595"/>
      <c r="D10" s="596"/>
      <c r="E10" s="596">
        <v>17</v>
      </c>
      <c r="F10" s="597"/>
      <c r="G10" s="685"/>
      <c r="H10" s="619"/>
      <c r="I10" s="620" t="s">
        <v>567</v>
      </c>
      <c r="J10" s="635"/>
      <c r="K10" s="622"/>
      <c r="L10" s="572"/>
      <c r="M10" s="6"/>
      <c r="N10" s="6"/>
      <c r="O10" s="613"/>
      <c r="P10" s="873"/>
      <c r="Q10" s="6"/>
      <c r="R10" s="605"/>
      <c r="S10" s="635"/>
      <c r="T10" s="622"/>
      <c r="U10" s="572">
        <v>270</v>
      </c>
      <c r="V10" s="6">
        <v>114</v>
      </c>
      <c r="W10" s="6">
        <v>33</v>
      </c>
      <c r="X10" s="613"/>
      <c r="Y10" s="567" t="s">
        <v>568</v>
      </c>
      <c r="Z10" s="879" t="s">
        <v>569</v>
      </c>
      <c r="AA10" s="6" t="s">
        <v>521</v>
      </c>
      <c r="AB10" s="635"/>
      <c r="AC10" s="622"/>
      <c r="AD10" s="572"/>
      <c r="AE10" s="6"/>
      <c r="AF10" s="6">
        <v>33</v>
      </c>
      <c r="AG10" s="613"/>
      <c r="AH10" s="873"/>
      <c r="AI10" s="6"/>
      <c r="AJ10" s="6" t="s">
        <v>570</v>
      </c>
      <c r="AK10" s="635"/>
      <c r="AM10" s="572"/>
      <c r="AN10" s="6"/>
      <c r="AO10" s="6"/>
      <c r="AP10" s="613"/>
      <c r="AQ10" s="614"/>
      <c r="AR10" s="6"/>
      <c r="AS10" s="6"/>
      <c r="AT10" s="635"/>
    </row>
    <row r="11" spans="1:46" ht="30.75" customHeight="1" x14ac:dyDescent="0.25">
      <c r="A11" s="2206">
        <v>44931</v>
      </c>
      <c r="B11" s="574">
        <v>1</v>
      </c>
      <c r="C11" s="595"/>
      <c r="D11" s="596"/>
      <c r="E11" s="596"/>
      <c r="F11" s="597"/>
      <c r="G11" s="684"/>
      <c r="H11" s="619"/>
      <c r="I11" s="620"/>
      <c r="J11" s="687"/>
      <c r="K11" s="622"/>
      <c r="L11" s="572"/>
      <c r="M11" s="6"/>
      <c r="N11" s="6"/>
      <c r="O11" s="613"/>
      <c r="P11" s="873"/>
      <c r="Q11" s="6"/>
      <c r="R11" s="605"/>
      <c r="S11" s="613"/>
      <c r="T11" s="622"/>
      <c r="U11" s="572"/>
      <c r="V11" s="6"/>
      <c r="W11" s="6"/>
      <c r="X11" s="613"/>
      <c r="Y11" s="614"/>
      <c r="Z11" s="6"/>
      <c r="AA11" s="6"/>
      <c r="AB11" s="613"/>
      <c r="AC11" s="622"/>
      <c r="AD11" s="572"/>
      <c r="AE11" s="6"/>
      <c r="AF11" s="6"/>
      <c r="AG11" s="613"/>
      <c r="AH11" s="614"/>
      <c r="AI11" s="6"/>
      <c r="AJ11" s="6"/>
      <c r="AK11" s="613"/>
      <c r="AM11" s="572"/>
      <c r="AN11" s="6"/>
      <c r="AO11" s="6"/>
      <c r="AP11" s="613"/>
      <c r="AQ11" s="614"/>
      <c r="AR11" s="6"/>
      <c r="AS11" s="6"/>
      <c r="AT11" s="613"/>
    </row>
    <row r="12" spans="1:46" ht="36.6" customHeight="1" x14ac:dyDescent="0.25">
      <c r="A12" s="2205"/>
      <c r="B12" s="574">
        <v>2</v>
      </c>
      <c r="C12" s="595"/>
      <c r="D12" s="596"/>
      <c r="E12" s="596"/>
      <c r="F12" s="597"/>
      <c r="G12" s="685"/>
      <c r="H12" s="619"/>
      <c r="I12" s="620"/>
      <c r="J12" s="635"/>
      <c r="K12" s="622"/>
      <c r="L12" s="572"/>
      <c r="M12" s="6"/>
      <c r="N12" s="6"/>
      <c r="O12" s="613"/>
      <c r="P12" s="873"/>
      <c r="Q12" s="6"/>
      <c r="R12" s="605"/>
      <c r="S12" s="635"/>
      <c r="T12" s="622"/>
      <c r="U12" s="572"/>
      <c r="V12" s="6"/>
      <c r="W12" s="6"/>
      <c r="X12" s="613"/>
      <c r="Y12" s="614"/>
      <c r="Z12" s="6"/>
      <c r="AA12" s="721"/>
      <c r="AB12" s="635"/>
      <c r="AC12" s="622"/>
      <c r="AD12" s="572"/>
      <c r="AE12" s="6"/>
      <c r="AF12" s="6"/>
      <c r="AG12" s="613"/>
      <c r="AH12" s="614"/>
      <c r="AI12" s="6"/>
      <c r="AJ12" s="6"/>
      <c r="AK12" s="635"/>
      <c r="AM12" s="572"/>
      <c r="AN12" s="6"/>
      <c r="AO12" s="6"/>
      <c r="AP12" s="613"/>
      <c r="AQ12" s="614"/>
      <c r="AR12" s="6"/>
      <c r="AS12" s="6"/>
      <c r="AT12" s="635"/>
    </row>
    <row r="13" spans="1:46" ht="34.9" customHeight="1" x14ac:dyDescent="0.25">
      <c r="A13" s="2206">
        <v>44932</v>
      </c>
      <c r="B13" s="574">
        <v>1</v>
      </c>
      <c r="C13" s="595"/>
      <c r="D13" s="596"/>
      <c r="E13" s="596"/>
      <c r="F13" s="597"/>
      <c r="G13" s="685"/>
      <c r="H13" s="619"/>
      <c r="I13" s="620"/>
      <c r="J13" s="635"/>
      <c r="K13" s="622"/>
      <c r="L13" s="572"/>
      <c r="M13" s="6"/>
      <c r="N13" s="6"/>
      <c r="O13" s="597"/>
      <c r="P13" s="873"/>
      <c r="Q13" s="6"/>
      <c r="R13" s="605"/>
      <c r="S13" s="635"/>
      <c r="T13" s="622"/>
      <c r="U13" s="572"/>
      <c r="V13" s="6"/>
      <c r="W13" s="6"/>
      <c r="X13" s="597"/>
      <c r="Y13" s="873"/>
      <c r="Z13" s="605"/>
      <c r="AA13" s="6"/>
      <c r="AB13" s="635"/>
      <c r="AC13" s="622"/>
      <c r="AD13" s="572"/>
      <c r="AE13" s="6"/>
      <c r="AF13" s="6"/>
      <c r="AG13" s="597"/>
      <c r="AH13" s="614"/>
      <c r="AI13" s="6"/>
      <c r="AJ13" s="6"/>
      <c r="AK13" s="635"/>
      <c r="AM13" s="572"/>
      <c r="AN13" s="6"/>
      <c r="AO13" s="6"/>
      <c r="AP13" s="597"/>
      <c r="AQ13" s="614"/>
      <c r="AR13" s="6"/>
      <c r="AS13" s="6"/>
      <c r="AT13" s="635"/>
    </row>
    <row r="14" spans="1:46" ht="27.6" customHeight="1" x14ac:dyDescent="0.25">
      <c r="A14" s="2205"/>
      <c r="B14" s="574">
        <v>2</v>
      </c>
      <c r="C14" s="595"/>
      <c r="D14" s="596"/>
      <c r="E14" s="596"/>
      <c r="F14" s="597"/>
      <c r="G14" s="685"/>
      <c r="H14" s="620"/>
      <c r="I14" s="620"/>
      <c r="J14" s="635"/>
      <c r="K14" s="622"/>
      <c r="L14" s="572"/>
      <c r="M14" s="6"/>
      <c r="N14" s="6"/>
      <c r="O14" s="597"/>
      <c r="P14" s="614"/>
      <c r="Q14" s="6"/>
      <c r="R14" s="6"/>
      <c r="S14" s="635"/>
      <c r="T14" s="622"/>
      <c r="U14" s="572"/>
      <c r="V14" s="6"/>
      <c r="W14" s="6"/>
      <c r="X14" s="597"/>
      <c r="Y14" s="873"/>
      <c r="Z14" s="605"/>
      <c r="AA14" s="605"/>
      <c r="AB14" s="635"/>
      <c r="AC14" s="622"/>
      <c r="AD14" s="572"/>
      <c r="AE14" s="6"/>
      <c r="AF14" s="6"/>
      <c r="AG14" s="597"/>
      <c r="AH14" s="873"/>
      <c r="AI14" s="6"/>
      <c r="AJ14" s="6"/>
      <c r="AK14" s="635"/>
      <c r="AM14" s="572"/>
      <c r="AN14" s="6"/>
      <c r="AO14" s="6"/>
      <c r="AP14" s="597"/>
      <c r="AQ14" s="873"/>
      <c r="AR14" s="6"/>
      <c r="AS14" s="6"/>
      <c r="AT14" s="635"/>
    </row>
    <row r="15" spans="1:46" ht="48" customHeight="1" x14ac:dyDescent="0.25">
      <c r="A15" s="2206">
        <v>44933</v>
      </c>
      <c r="B15" s="574">
        <v>1</v>
      </c>
      <c r="C15" s="595"/>
      <c r="D15" s="596"/>
      <c r="E15" s="6">
        <v>270</v>
      </c>
      <c r="F15" s="597"/>
      <c r="G15" s="685"/>
      <c r="H15" s="620"/>
      <c r="I15" s="620" t="s">
        <v>572</v>
      </c>
      <c r="J15" s="635"/>
      <c r="K15" s="622"/>
      <c r="L15" s="572"/>
      <c r="M15" s="6">
        <v>200</v>
      </c>
      <c r="N15" s="6"/>
      <c r="O15" s="597"/>
      <c r="P15" s="572"/>
      <c r="Q15" s="620" t="s">
        <v>571</v>
      </c>
      <c r="R15" s="6"/>
      <c r="S15" s="635"/>
      <c r="T15" s="622"/>
      <c r="U15" s="572"/>
      <c r="V15" s="6"/>
      <c r="W15" s="6"/>
      <c r="X15" s="597"/>
      <c r="Y15" s="572"/>
      <c r="Z15" s="620"/>
      <c r="AA15" s="728"/>
      <c r="AB15" s="635"/>
      <c r="AC15" s="622"/>
      <c r="AD15" s="572"/>
      <c r="AE15" s="6"/>
      <c r="AF15" s="622"/>
      <c r="AG15" s="597"/>
      <c r="AI15" s="692"/>
      <c r="AJ15" s="6"/>
      <c r="AK15" s="635"/>
      <c r="AM15" s="572"/>
      <c r="AN15" s="6"/>
      <c r="AO15" s="622"/>
      <c r="AP15" s="597"/>
      <c r="AR15" s="692"/>
      <c r="AS15" s="6"/>
      <c r="AT15" s="635"/>
    </row>
    <row r="16" spans="1:46" ht="31.9" customHeight="1" x14ac:dyDescent="0.25">
      <c r="A16" s="2205"/>
      <c r="B16" s="574">
        <v>2</v>
      </c>
      <c r="C16" s="595"/>
      <c r="D16" s="596"/>
      <c r="E16" s="596"/>
      <c r="F16" s="597"/>
      <c r="G16" s="684"/>
      <c r="H16" s="830"/>
      <c r="I16" s="620"/>
      <c r="J16" s="635"/>
      <c r="K16" s="622"/>
      <c r="L16" s="572"/>
      <c r="M16" s="6"/>
      <c r="N16" s="6"/>
      <c r="O16" s="597"/>
      <c r="P16" s="572"/>
      <c r="Q16" s="6"/>
      <c r="R16" s="6"/>
      <c r="S16" s="635"/>
      <c r="T16" s="622"/>
      <c r="U16" s="572"/>
      <c r="V16" s="6"/>
      <c r="W16" s="6"/>
      <c r="X16" s="597"/>
      <c r="Y16" s="619"/>
      <c r="Z16" s="619"/>
      <c r="AA16" s="6"/>
      <c r="AB16" s="635"/>
      <c r="AC16" s="622"/>
      <c r="AD16" s="572">
        <v>683</v>
      </c>
      <c r="AE16" s="6"/>
      <c r="AF16" s="6"/>
      <c r="AG16" s="597"/>
      <c r="AH16" s="572" t="s">
        <v>45</v>
      </c>
      <c r="AI16" s="6"/>
      <c r="AJ16" s="6"/>
      <c r="AK16" s="635"/>
      <c r="AM16" s="572"/>
      <c r="AN16" s="6"/>
      <c r="AO16" s="6"/>
      <c r="AP16" s="597"/>
      <c r="AQ16" s="572"/>
      <c r="AR16" s="6"/>
      <c r="AS16" s="6"/>
      <c r="AT16" s="635"/>
    </row>
    <row r="17" spans="1:46" ht="39" customHeight="1" x14ac:dyDescent="0.25">
      <c r="A17" s="2206">
        <v>44934</v>
      </c>
      <c r="B17" s="644">
        <v>1</v>
      </c>
      <c r="C17" s="595"/>
      <c r="D17" s="596"/>
      <c r="E17" s="596"/>
      <c r="F17" s="597"/>
      <c r="G17" s="685"/>
      <c r="H17" s="619"/>
      <c r="I17" s="620"/>
      <c r="J17" s="635"/>
      <c r="K17" s="622"/>
      <c r="L17" s="572"/>
      <c r="M17" s="6"/>
      <c r="N17" s="6"/>
      <c r="O17" s="597"/>
      <c r="P17" s="572"/>
      <c r="Q17" s="6"/>
      <c r="R17" s="6"/>
      <c r="S17" s="635"/>
      <c r="T17" s="622"/>
      <c r="U17" s="572"/>
      <c r="V17" s="6"/>
      <c r="W17" s="6"/>
      <c r="X17" s="597"/>
      <c r="Y17" s="619"/>
      <c r="Z17" s="619"/>
      <c r="AA17" s="6"/>
      <c r="AB17" s="635"/>
      <c r="AC17" s="622"/>
      <c r="AD17" s="572">
        <v>720</v>
      </c>
      <c r="AE17" s="6"/>
      <c r="AF17" s="6"/>
      <c r="AG17" s="597"/>
      <c r="AH17" s="572" t="s">
        <v>45</v>
      </c>
      <c r="AI17" s="6"/>
      <c r="AJ17" s="605"/>
      <c r="AK17" s="635"/>
      <c r="AM17" s="572"/>
      <c r="AN17" s="6"/>
      <c r="AO17" s="6"/>
      <c r="AP17" s="597"/>
      <c r="AQ17" s="572"/>
      <c r="AR17" s="6"/>
      <c r="AS17" s="605"/>
      <c r="AT17" s="635"/>
    </row>
    <row r="18" spans="1:46" ht="54" customHeight="1" x14ac:dyDescent="0.25">
      <c r="A18" s="2205"/>
      <c r="B18" s="574">
        <v>2</v>
      </c>
      <c r="C18" s="595"/>
      <c r="D18" s="596"/>
      <c r="E18" s="596"/>
      <c r="F18" s="597"/>
      <c r="G18" s="684"/>
      <c r="H18" s="620"/>
      <c r="I18" s="619"/>
      <c r="J18" s="635"/>
      <c r="K18" s="622"/>
      <c r="L18" s="572"/>
      <c r="M18" s="6"/>
      <c r="N18" s="6"/>
      <c r="O18" s="597"/>
      <c r="P18" s="572"/>
      <c r="Q18" s="6"/>
      <c r="R18" s="6"/>
      <c r="S18" s="635"/>
      <c r="T18" s="622"/>
      <c r="U18" s="572"/>
      <c r="V18" s="6"/>
      <c r="W18" s="6"/>
      <c r="X18" s="597"/>
      <c r="Y18" s="567"/>
      <c r="Z18" s="6"/>
      <c r="AA18" s="605"/>
      <c r="AB18" s="635"/>
      <c r="AC18" s="622"/>
      <c r="AD18" s="572">
        <v>420</v>
      </c>
      <c r="AE18" s="6"/>
      <c r="AF18" s="6"/>
      <c r="AG18" s="597"/>
      <c r="AH18" s="572" t="s">
        <v>45</v>
      </c>
      <c r="AI18" s="6"/>
      <c r="AJ18" s="605"/>
      <c r="AK18" s="635"/>
      <c r="AM18" s="572"/>
      <c r="AN18" s="6"/>
      <c r="AO18" s="6"/>
      <c r="AP18" s="597"/>
      <c r="AQ18" s="572"/>
      <c r="AR18" s="6"/>
      <c r="AS18" s="605"/>
      <c r="AT18" s="635"/>
    </row>
    <row r="19" spans="1:46" ht="33.6" customHeight="1" x14ac:dyDescent="0.25">
      <c r="A19" s="2206">
        <v>44935</v>
      </c>
      <c r="B19" s="574">
        <v>1</v>
      </c>
      <c r="C19" s="622"/>
      <c r="D19" s="596"/>
      <c r="E19" s="596"/>
      <c r="F19" s="597">
        <v>720</v>
      </c>
      <c r="G19" s="572"/>
      <c r="H19" s="6"/>
      <c r="I19" s="6"/>
      <c r="J19" s="635" t="s">
        <v>573</v>
      </c>
      <c r="K19" s="622"/>
      <c r="L19" s="572"/>
      <c r="M19" s="6"/>
      <c r="N19" s="6"/>
      <c r="O19" s="597">
        <v>720</v>
      </c>
      <c r="P19" s="572"/>
      <c r="Q19" s="6"/>
      <c r="R19" s="6"/>
      <c r="S19" s="635" t="s">
        <v>573</v>
      </c>
      <c r="T19" s="622"/>
      <c r="U19" s="572"/>
      <c r="V19" s="6"/>
      <c r="W19" s="6"/>
      <c r="X19" s="597">
        <v>720</v>
      </c>
      <c r="Y19" s="572"/>
      <c r="Z19" s="605"/>
      <c r="AA19" s="605"/>
      <c r="AB19" s="635" t="s">
        <v>573</v>
      </c>
      <c r="AC19" s="622"/>
      <c r="AD19" s="572"/>
      <c r="AE19" s="6"/>
      <c r="AF19" s="6"/>
      <c r="AG19" s="597">
        <v>720</v>
      </c>
      <c r="AH19" s="572"/>
      <c r="AI19" s="6"/>
      <c r="AJ19" s="6"/>
      <c r="AK19" s="635" t="s">
        <v>573</v>
      </c>
      <c r="AM19" s="572"/>
      <c r="AN19" s="6"/>
      <c r="AO19" s="6"/>
      <c r="AP19" s="597">
        <v>720</v>
      </c>
      <c r="AQ19" s="572"/>
      <c r="AR19" s="6"/>
      <c r="AS19" s="6"/>
      <c r="AT19" s="635" t="s">
        <v>573</v>
      </c>
    </row>
    <row r="20" spans="1:46" ht="31.15" customHeight="1" x14ac:dyDescent="0.25">
      <c r="A20" s="2205"/>
      <c r="B20" s="574">
        <v>2</v>
      </c>
      <c r="C20" s="595"/>
      <c r="D20" s="596"/>
      <c r="E20" s="596"/>
      <c r="F20" s="597">
        <v>279</v>
      </c>
      <c r="G20" s="572"/>
      <c r="H20" s="605"/>
      <c r="I20" s="724"/>
      <c r="J20" s="635" t="s">
        <v>573</v>
      </c>
      <c r="K20" s="622"/>
      <c r="L20" s="572"/>
      <c r="M20" s="6"/>
      <c r="N20" s="6"/>
      <c r="O20" s="597">
        <v>279</v>
      </c>
      <c r="P20" s="572"/>
      <c r="Q20" s="605"/>
      <c r="R20" s="724"/>
      <c r="S20" s="635" t="s">
        <v>573</v>
      </c>
      <c r="T20" s="622"/>
      <c r="U20" s="572"/>
      <c r="V20" s="250"/>
      <c r="W20" s="6"/>
      <c r="X20" s="597">
        <v>279</v>
      </c>
      <c r="Y20" s="572"/>
      <c r="Z20" s="605"/>
      <c r="AA20" s="724"/>
      <c r="AB20" s="635" t="s">
        <v>573</v>
      </c>
      <c r="AC20" s="622"/>
      <c r="AD20" s="572"/>
      <c r="AE20" s="6"/>
      <c r="AF20" s="6"/>
      <c r="AG20" s="597">
        <v>279</v>
      </c>
      <c r="AH20" s="572"/>
      <c r="AI20" s="605"/>
      <c r="AJ20" s="724"/>
      <c r="AK20" s="635" t="s">
        <v>573</v>
      </c>
      <c r="AM20" s="572"/>
      <c r="AN20" s="6"/>
      <c r="AO20" s="6"/>
      <c r="AP20" s="597">
        <v>279</v>
      </c>
      <c r="AQ20" s="572"/>
      <c r="AR20" s="605"/>
      <c r="AS20" s="724"/>
      <c r="AT20" s="635" t="s">
        <v>573</v>
      </c>
    </row>
    <row r="21" spans="1:46" ht="39.6" customHeight="1" x14ac:dyDescent="0.25">
      <c r="A21" s="2206">
        <v>44936</v>
      </c>
      <c r="B21" s="574">
        <v>1</v>
      </c>
      <c r="C21" s="595"/>
      <c r="D21" s="596"/>
      <c r="E21" s="596"/>
      <c r="F21" s="597"/>
      <c r="G21" s="688"/>
      <c r="H21" s="619"/>
      <c r="I21" s="620"/>
      <c r="J21" s="635"/>
      <c r="K21" s="622"/>
      <c r="L21" s="572"/>
      <c r="M21" s="6"/>
      <c r="N21" s="6"/>
      <c r="O21" s="597"/>
      <c r="P21" s="572"/>
      <c r="Q21" s="6"/>
      <c r="R21" s="6"/>
      <c r="S21" s="635"/>
      <c r="T21" s="622"/>
      <c r="U21" s="572"/>
      <c r="V21" s="6"/>
      <c r="W21" s="6"/>
      <c r="X21" s="597"/>
      <c r="Y21" s="572"/>
      <c r="Z21" s="6"/>
      <c r="AA21" s="605"/>
      <c r="AB21" s="635"/>
      <c r="AC21" s="622"/>
      <c r="AD21" s="572"/>
      <c r="AE21" s="6"/>
      <c r="AF21" s="6"/>
      <c r="AG21" s="597"/>
      <c r="AH21" s="572"/>
      <c r="AI21" s="6"/>
      <c r="AJ21" s="6"/>
      <c r="AK21" s="726"/>
      <c r="AM21" s="572"/>
      <c r="AN21" s="6"/>
      <c r="AO21" s="6"/>
      <c r="AP21" s="597"/>
      <c r="AQ21" s="572"/>
      <c r="AR21" s="605"/>
      <c r="AS21" s="50"/>
      <c r="AT21" s="635"/>
    </row>
    <row r="22" spans="1:46" ht="31.9" customHeight="1" x14ac:dyDescent="0.25">
      <c r="A22" s="2205"/>
      <c r="B22" s="574">
        <v>2</v>
      </c>
      <c r="C22" s="595"/>
      <c r="D22" s="596"/>
      <c r="E22" s="596"/>
      <c r="F22" s="597"/>
      <c r="G22" s="870"/>
      <c r="H22" s="620"/>
      <c r="I22" s="620"/>
      <c r="J22" s="635"/>
      <c r="K22" s="622"/>
      <c r="L22" s="572"/>
      <c r="M22" s="6"/>
      <c r="N22" s="6"/>
      <c r="O22" s="597"/>
      <c r="P22" s="873"/>
      <c r="Q22" s="6"/>
      <c r="R22" s="6"/>
      <c r="S22" s="635"/>
      <c r="T22" s="622"/>
      <c r="U22" s="572"/>
      <c r="V22" s="6"/>
      <c r="W22" s="6"/>
      <c r="X22" s="597"/>
      <c r="Y22" s="572"/>
      <c r="Z22" s="6"/>
      <c r="AA22" s="605"/>
      <c r="AB22" s="635"/>
      <c r="AC22" s="622"/>
      <c r="AD22" s="572"/>
      <c r="AE22" s="6"/>
      <c r="AF22" s="6"/>
      <c r="AG22" s="597"/>
      <c r="AH22" s="567"/>
      <c r="AI22" s="6"/>
      <c r="AJ22" s="6"/>
      <c r="AK22" s="726"/>
      <c r="AM22" s="572"/>
      <c r="AN22" s="6"/>
      <c r="AO22" s="6"/>
      <c r="AP22" s="597"/>
      <c r="AQ22" s="572"/>
      <c r="AR22" s="605"/>
      <c r="AS22" s="50"/>
      <c r="AT22" s="635"/>
    </row>
    <row r="23" spans="1:46" ht="37.9" customHeight="1" x14ac:dyDescent="0.25">
      <c r="A23" s="2206">
        <v>44937</v>
      </c>
      <c r="B23" s="644">
        <v>1</v>
      </c>
      <c r="C23" s="595"/>
      <c r="D23" s="596"/>
      <c r="E23" s="596"/>
      <c r="F23" s="597"/>
      <c r="G23" s="685"/>
      <c r="H23" s="619"/>
      <c r="I23" s="620"/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/>
      <c r="V23" s="6"/>
      <c r="W23" s="6"/>
      <c r="X23" s="597"/>
      <c r="Y23" s="684"/>
      <c r="Z23" s="619"/>
      <c r="AA23" s="620"/>
      <c r="AB23" s="635"/>
      <c r="AC23" s="622"/>
      <c r="AD23" s="572"/>
      <c r="AE23" s="6"/>
      <c r="AF23" s="6"/>
      <c r="AG23" s="597"/>
      <c r="AH23" s="6"/>
      <c r="AI23" s="619"/>
      <c r="AJ23" s="620"/>
      <c r="AK23" s="726"/>
      <c r="AM23" s="572"/>
      <c r="AN23" s="6"/>
      <c r="AO23" s="6"/>
      <c r="AP23" s="597"/>
      <c r="AQ23" s="6"/>
      <c r="AR23" s="619"/>
      <c r="AS23" s="692"/>
      <c r="AT23" s="635"/>
    </row>
    <row r="24" spans="1:46" ht="49.9" customHeight="1" x14ac:dyDescent="0.25">
      <c r="A24" s="2205"/>
      <c r="B24" s="574">
        <v>2</v>
      </c>
      <c r="C24" s="595"/>
      <c r="D24" s="596"/>
      <c r="E24" s="596"/>
      <c r="F24" s="597"/>
      <c r="G24" s="685"/>
      <c r="H24" s="619"/>
      <c r="I24" s="620"/>
      <c r="J24" s="635"/>
      <c r="K24" s="622"/>
      <c r="L24" s="572"/>
      <c r="M24" s="6"/>
      <c r="N24" s="6"/>
      <c r="O24" s="597"/>
      <c r="P24" s="685"/>
      <c r="Q24" s="619"/>
      <c r="R24" s="620"/>
      <c r="S24" s="635"/>
      <c r="T24" s="622"/>
      <c r="U24" s="572"/>
      <c r="V24" s="6"/>
      <c r="W24" s="6"/>
      <c r="X24" s="597"/>
      <c r="Y24" s="685"/>
      <c r="Z24" s="619"/>
      <c r="AA24" s="620"/>
      <c r="AB24" s="635"/>
      <c r="AC24" s="622"/>
      <c r="AD24" s="572"/>
      <c r="AE24" s="6"/>
      <c r="AF24" s="6"/>
      <c r="AG24" s="597"/>
      <c r="AH24" s="6"/>
      <c r="AI24" s="619"/>
      <c r="AJ24" s="6"/>
      <c r="AK24" s="726"/>
      <c r="AM24" s="572"/>
      <c r="AN24" s="6"/>
      <c r="AO24" s="6"/>
      <c r="AP24" s="597"/>
      <c r="AQ24" s="6"/>
      <c r="AR24" s="619"/>
      <c r="AS24" s="828"/>
      <c r="AT24" s="635"/>
    </row>
    <row r="25" spans="1:46" ht="46.15" customHeight="1" x14ac:dyDescent="0.25">
      <c r="A25" s="2206">
        <v>44938</v>
      </c>
      <c r="B25" s="574">
        <v>1</v>
      </c>
      <c r="C25" s="595"/>
      <c r="D25" s="596"/>
      <c r="E25" s="596"/>
      <c r="F25" s="597"/>
      <c r="G25" s="685"/>
      <c r="H25" s="619"/>
      <c r="I25" s="620"/>
      <c r="J25" s="635"/>
      <c r="K25" s="622"/>
      <c r="L25" s="572"/>
      <c r="M25" s="6"/>
      <c r="N25" s="6"/>
      <c r="O25" s="597"/>
      <c r="P25" s="572"/>
      <c r="Q25" s="619"/>
      <c r="R25" s="6"/>
      <c r="S25" s="635"/>
      <c r="T25" s="622"/>
      <c r="U25" s="572"/>
      <c r="V25" s="6"/>
      <c r="W25" s="6"/>
      <c r="X25" s="597"/>
      <c r="Y25" s="572"/>
      <c r="Z25" s="605"/>
      <c r="AA25" s="605"/>
      <c r="AB25" s="635"/>
      <c r="AC25" s="622"/>
      <c r="AD25" s="572"/>
      <c r="AE25" s="6"/>
      <c r="AF25" s="6"/>
      <c r="AG25" s="597"/>
      <c r="AH25" s="6"/>
      <c r="AI25" s="6"/>
      <c r="AJ25" s="6"/>
      <c r="AK25" s="726"/>
      <c r="AM25" s="572"/>
      <c r="AN25" s="6"/>
      <c r="AO25" s="6"/>
      <c r="AP25" s="597"/>
      <c r="AQ25" s="6"/>
      <c r="AR25" s="6"/>
      <c r="AS25" s="50"/>
      <c r="AT25" s="635"/>
    </row>
    <row r="26" spans="1:46" ht="42" customHeight="1" x14ac:dyDescent="0.25">
      <c r="A26" s="2205"/>
      <c r="B26" s="574">
        <v>2</v>
      </c>
      <c r="C26" s="595"/>
      <c r="D26" s="596"/>
      <c r="E26" s="596"/>
      <c r="F26" s="597"/>
      <c r="G26" s="685"/>
      <c r="H26" s="620"/>
      <c r="I26" s="692"/>
      <c r="J26" s="635"/>
      <c r="K26" s="622"/>
      <c r="L26" s="572"/>
      <c r="M26" s="6"/>
      <c r="N26" s="6"/>
      <c r="O26" s="597"/>
      <c r="P26" s="685"/>
      <c r="Q26" s="620"/>
      <c r="R26" s="620"/>
      <c r="S26" s="635"/>
      <c r="T26" s="622"/>
      <c r="U26" s="572"/>
      <c r="V26" s="596"/>
      <c r="W26" s="6"/>
      <c r="X26" s="597"/>
      <c r="Y26" s="685"/>
      <c r="Z26" s="620"/>
      <c r="AA26" s="620"/>
      <c r="AB26" s="635"/>
      <c r="AC26" s="622"/>
      <c r="AD26" s="572"/>
      <c r="AE26" s="596"/>
      <c r="AF26" s="6"/>
      <c r="AG26" s="597"/>
      <c r="AH26" s="6"/>
      <c r="AI26" s="6"/>
      <c r="AJ26" s="6"/>
      <c r="AK26" s="726"/>
      <c r="AM26" s="572"/>
      <c r="AN26" s="596"/>
      <c r="AO26" s="6"/>
      <c r="AP26" s="597"/>
      <c r="AQ26" s="6"/>
      <c r="AR26" s="6"/>
      <c r="AS26" s="50"/>
      <c r="AT26" s="635"/>
    </row>
    <row r="27" spans="1:46" ht="49.9" customHeight="1" x14ac:dyDescent="0.25">
      <c r="A27" s="2206">
        <v>44939</v>
      </c>
      <c r="B27" s="644">
        <v>1</v>
      </c>
      <c r="C27" s="595"/>
      <c r="D27" s="596"/>
      <c r="E27" s="596"/>
      <c r="F27" s="597"/>
      <c r="G27" s="685"/>
      <c r="H27" s="619"/>
      <c r="I27" s="692"/>
      <c r="J27" s="635"/>
      <c r="K27" s="622"/>
      <c r="L27" s="572"/>
      <c r="M27" s="6"/>
      <c r="N27" s="6"/>
      <c r="O27" s="597"/>
      <c r="P27" s="685"/>
      <c r="Q27" s="619"/>
      <c r="R27" s="620"/>
      <c r="S27" s="635"/>
      <c r="T27" s="622"/>
      <c r="U27" s="572"/>
      <c r="V27" s="6"/>
      <c r="W27" s="6"/>
      <c r="X27" s="613"/>
      <c r="Y27" s="685"/>
      <c r="Z27" s="619"/>
      <c r="AA27" s="620"/>
      <c r="AB27" s="635"/>
      <c r="AC27" s="622"/>
      <c r="AD27" s="572"/>
      <c r="AE27" s="6"/>
      <c r="AF27" s="6"/>
      <c r="AG27" s="613"/>
      <c r="AH27" s="6"/>
      <c r="AI27" s="6"/>
      <c r="AJ27" s="620"/>
      <c r="AK27" s="726"/>
      <c r="AM27" s="572"/>
      <c r="AN27" s="6"/>
      <c r="AO27" s="6"/>
      <c r="AP27" s="613"/>
      <c r="AQ27" s="6"/>
      <c r="AR27" s="6"/>
      <c r="AS27" s="692"/>
      <c r="AT27" s="635"/>
    </row>
    <row r="28" spans="1:46" ht="49.15" customHeight="1" x14ac:dyDescent="0.25">
      <c r="A28" s="2205"/>
      <c r="B28" s="574">
        <v>2</v>
      </c>
      <c r="C28" s="595"/>
      <c r="D28" s="596"/>
      <c r="E28" s="596"/>
      <c r="F28" s="597"/>
      <c r="G28" s="620"/>
      <c r="H28" s="620"/>
      <c r="I28" s="692"/>
      <c r="J28" s="635"/>
      <c r="K28" s="622"/>
      <c r="L28" s="572"/>
      <c r="M28" s="6"/>
      <c r="N28" s="6"/>
      <c r="O28" s="597"/>
      <c r="P28" s="620"/>
      <c r="Q28" s="620"/>
      <c r="R28" s="620"/>
      <c r="S28" s="634"/>
      <c r="T28" s="622"/>
      <c r="U28" s="572"/>
      <c r="V28" s="6"/>
      <c r="W28" s="622"/>
      <c r="X28" s="597"/>
      <c r="Y28" s="620"/>
      <c r="Z28" s="6"/>
      <c r="AA28" s="692"/>
      <c r="AB28" s="635"/>
      <c r="AC28" s="622"/>
      <c r="AD28" s="572"/>
      <c r="AE28" s="6"/>
      <c r="AF28" s="6"/>
      <c r="AG28" s="597"/>
      <c r="AH28" s="605"/>
      <c r="AI28" s="6"/>
      <c r="AJ28" s="692"/>
      <c r="AK28" s="634"/>
      <c r="AM28" s="572"/>
      <c r="AN28" s="6"/>
      <c r="AO28" s="6"/>
      <c r="AP28" s="597"/>
      <c r="AQ28" s="605"/>
      <c r="AR28" s="6"/>
      <c r="AS28" s="692"/>
      <c r="AT28" s="634"/>
    </row>
    <row r="29" spans="1:46" ht="45" customHeight="1" x14ac:dyDescent="0.25">
      <c r="A29" s="2206">
        <v>44940</v>
      </c>
      <c r="B29" s="574">
        <v>1</v>
      </c>
      <c r="C29" s="595"/>
      <c r="D29" s="596"/>
      <c r="E29" s="596"/>
      <c r="F29" s="597"/>
      <c r="G29" s="684"/>
      <c r="H29" s="619"/>
      <c r="I29" s="692"/>
      <c r="J29" s="635"/>
      <c r="K29" s="622"/>
      <c r="L29" s="572"/>
      <c r="M29" s="6"/>
      <c r="N29" s="6"/>
      <c r="O29" s="597"/>
      <c r="P29" s="685"/>
      <c r="Q29" s="619"/>
      <c r="R29" s="620"/>
      <c r="S29" s="635"/>
      <c r="T29" s="622"/>
      <c r="U29" s="572"/>
      <c r="V29" s="6"/>
      <c r="W29" s="6"/>
      <c r="X29" s="597"/>
      <c r="Y29" s="685"/>
      <c r="Z29" s="619"/>
      <c r="AA29" s="692"/>
      <c r="AB29" s="635"/>
      <c r="AC29" s="622"/>
      <c r="AD29" s="572"/>
      <c r="AE29" s="6"/>
      <c r="AF29" s="6"/>
      <c r="AG29" s="597"/>
      <c r="AH29" s="685"/>
      <c r="AI29" s="620"/>
      <c r="AJ29" s="620"/>
      <c r="AK29" s="613"/>
      <c r="AM29" s="572"/>
      <c r="AN29" s="6"/>
      <c r="AO29" s="6"/>
      <c r="AP29" s="597"/>
      <c r="AQ29" s="685"/>
      <c r="AR29" s="619"/>
      <c r="AS29" s="620"/>
      <c r="AT29" s="613"/>
    </row>
    <row r="30" spans="1:46" ht="30.6" customHeight="1" x14ac:dyDescent="0.25">
      <c r="A30" s="2205"/>
      <c r="B30" s="644">
        <v>2</v>
      </c>
      <c r="C30" s="595"/>
      <c r="D30" s="596"/>
      <c r="E30" s="596"/>
      <c r="F30" s="597"/>
      <c r="G30" s="685"/>
      <c r="H30" s="619"/>
      <c r="I30" s="620"/>
      <c r="J30" s="635"/>
      <c r="K30" s="622"/>
      <c r="L30" s="572"/>
      <c r="M30" s="6"/>
      <c r="N30" s="6"/>
      <c r="O30" s="597"/>
      <c r="P30" s="685"/>
      <c r="Q30" s="620"/>
      <c r="R30" s="620"/>
      <c r="S30" s="635"/>
      <c r="T30" s="622"/>
      <c r="U30" s="572"/>
      <c r="V30" s="6"/>
      <c r="W30" s="6"/>
      <c r="X30" s="597"/>
      <c r="Y30" s="685"/>
      <c r="Z30" s="619"/>
      <c r="AA30" s="620"/>
      <c r="AB30" s="613"/>
      <c r="AC30" s="622"/>
      <c r="AD30" s="572"/>
      <c r="AE30" s="6"/>
      <c r="AF30" s="6"/>
      <c r="AG30" s="597"/>
      <c r="AH30" s="685"/>
      <c r="AI30" s="619"/>
      <c r="AJ30" s="620"/>
      <c r="AK30" s="613"/>
      <c r="AM30" s="572"/>
      <c r="AN30" s="6"/>
      <c r="AO30" s="6"/>
      <c r="AP30" s="597"/>
      <c r="AQ30" s="685"/>
      <c r="AR30" s="619"/>
      <c r="AS30" s="620"/>
      <c r="AT30" s="613"/>
    </row>
    <row r="31" spans="1:46" ht="39.6" customHeight="1" x14ac:dyDescent="0.25">
      <c r="A31" s="2206">
        <v>44941</v>
      </c>
      <c r="B31" s="574">
        <v>1</v>
      </c>
      <c r="C31" s="595"/>
      <c r="D31" s="596"/>
      <c r="E31" s="596"/>
      <c r="F31" s="597"/>
      <c r="G31" s="685"/>
      <c r="H31" s="619"/>
      <c r="I31" s="620"/>
      <c r="J31" s="635"/>
      <c r="K31" s="622"/>
      <c r="L31" s="572"/>
      <c r="M31" s="6"/>
      <c r="N31" s="6"/>
      <c r="O31" s="597"/>
      <c r="P31" s="614"/>
      <c r="Q31" s="6"/>
      <c r="R31" s="6"/>
      <c r="S31" s="635"/>
      <c r="T31" s="622"/>
      <c r="U31" s="572"/>
      <c r="V31" s="6"/>
      <c r="W31" s="6"/>
      <c r="X31" s="597"/>
      <c r="Y31" s="873"/>
      <c r="Z31" s="6"/>
      <c r="AA31" s="6"/>
      <c r="AB31" s="635"/>
      <c r="AC31" s="622"/>
      <c r="AD31" s="572"/>
      <c r="AE31" s="6"/>
      <c r="AF31" s="6"/>
      <c r="AG31" s="597"/>
      <c r="AH31" s="614"/>
      <c r="AI31" s="6"/>
      <c r="AJ31" s="6"/>
      <c r="AK31" s="635"/>
      <c r="AM31" s="572"/>
      <c r="AN31" s="6"/>
      <c r="AO31" s="6"/>
      <c r="AP31" s="597"/>
      <c r="AQ31" s="614"/>
      <c r="AR31" s="6"/>
      <c r="AS31" s="6"/>
      <c r="AT31" s="635"/>
    </row>
    <row r="32" spans="1:46" ht="28.15" customHeight="1" x14ac:dyDescent="0.25">
      <c r="A32" s="2205"/>
      <c r="B32" s="574">
        <v>2</v>
      </c>
      <c r="C32" s="595"/>
      <c r="D32" s="596"/>
      <c r="E32" s="596"/>
      <c r="F32" s="597"/>
      <c r="G32" s="685"/>
      <c r="H32" s="619"/>
      <c r="I32" s="692"/>
      <c r="J32" s="687"/>
      <c r="K32" s="622"/>
      <c r="L32" s="572"/>
      <c r="M32" s="6"/>
      <c r="N32" s="6"/>
      <c r="O32" s="613"/>
      <c r="P32" s="614"/>
      <c r="Q32" s="6"/>
      <c r="R32" s="6"/>
      <c r="S32" s="764"/>
      <c r="T32" s="622"/>
      <c r="U32" s="572"/>
      <c r="V32" s="6"/>
      <c r="W32" s="6"/>
      <c r="X32" s="613"/>
      <c r="Y32" s="614"/>
      <c r="Z32" s="605"/>
      <c r="AA32" s="692"/>
      <c r="AB32" s="635"/>
      <c r="AC32" s="622"/>
      <c r="AD32" s="572"/>
      <c r="AE32" s="6"/>
      <c r="AF32" s="6"/>
      <c r="AG32" s="613"/>
      <c r="AH32" s="614"/>
      <c r="AI32" s="605"/>
      <c r="AJ32" s="6"/>
      <c r="AK32" s="613"/>
      <c r="AM32" s="572"/>
      <c r="AN32" s="6"/>
      <c r="AO32" s="6"/>
      <c r="AP32" s="613"/>
      <c r="AQ32" s="614"/>
      <c r="AR32" s="605"/>
      <c r="AS32" s="6"/>
      <c r="AT32" s="613"/>
    </row>
    <row r="33" spans="1:46" ht="43.15" customHeight="1" x14ac:dyDescent="0.25">
      <c r="A33" s="2206">
        <v>44942</v>
      </c>
      <c r="B33" s="574">
        <v>1</v>
      </c>
      <c r="C33" s="595"/>
      <c r="D33" s="596"/>
      <c r="E33" s="596"/>
      <c r="F33" s="597"/>
      <c r="G33" s="685"/>
      <c r="H33" s="619"/>
      <c r="I33" s="692"/>
      <c r="J33" s="687"/>
      <c r="K33" s="622"/>
      <c r="L33" s="572"/>
      <c r="M33" s="6"/>
      <c r="N33" s="6"/>
      <c r="O33" s="613"/>
      <c r="P33" s="614"/>
      <c r="Q33" s="6"/>
      <c r="R33" s="6"/>
      <c r="S33" s="613"/>
      <c r="T33" s="622"/>
      <c r="U33" s="572"/>
      <c r="V33" s="6"/>
      <c r="W33" s="6"/>
      <c r="X33" s="613"/>
      <c r="Y33" s="614"/>
      <c r="Z33" s="6"/>
      <c r="AA33" s="605"/>
      <c r="AB33" s="613"/>
      <c r="AC33" s="622"/>
      <c r="AD33" s="572"/>
      <c r="AE33" s="6"/>
      <c r="AF33" s="6"/>
      <c r="AG33" s="613"/>
      <c r="AH33" s="614"/>
      <c r="AI33" s="605"/>
      <c r="AJ33" s="6"/>
      <c r="AK33" s="613"/>
      <c r="AM33" s="572"/>
      <c r="AN33" s="6"/>
      <c r="AO33" s="6"/>
      <c r="AP33" s="613"/>
      <c r="AQ33" s="614"/>
      <c r="AR33" s="605"/>
      <c r="AS33" s="6"/>
      <c r="AT33" s="613"/>
    </row>
    <row r="34" spans="1:46" ht="37.15" customHeight="1" x14ac:dyDescent="0.25">
      <c r="A34" s="2205"/>
      <c r="B34" s="644">
        <v>2</v>
      </c>
      <c r="C34" s="596"/>
      <c r="D34" s="596"/>
      <c r="E34" s="596"/>
      <c r="F34" s="829"/>
      <c r="G34" s="685"/>
      <c r="H34" s="620"/>
      <c r="I34" s="620"/>
      <c r="J34" s="687"/>
      <c r="K34" s="622"/>
      <c r="L34" s="572"/>
      <c r="M34" s="6"/>
      <c r="N34" s="6"/>
      <c r="O34" s="613"/>
      <c r="P34" s="614"/>
      <c r="Q34" s="620"/>
      <c r="R34" s="6"/>
      <c r="S34" s="635"/>
      <c r="T34" s="622"/>
      <c r="U34" s="572"/>
      <c r="V34" s="6"/>
      <c r="W34" s="6"/>
      <c r="X34" s="613"/>
      <c r="Y34" s="6"/>
      <c r="Z34" s="605"/>
      <c r="AA34" s="620"/>
      <c r="AB34" s="635"/>
      <c r="AC34" s="622"/>
      <c r="AD34" s="572"/>
      <c r="AE34" s="6"/>
      <c r="AF34" s="6"/>
      <c r="AG34" s="613"/>
      <c r="AH34" s="614"/>
      <c r="AI34" s="6"/>
      <c r="AJ34" s="6"/>
      <c r="AK34" s="613"/>
      <c r="AM34" s="572"/>
      <c r="AN34" s="6"/>
      <c r="AO34" s="6"/>
      <c r="AP34" s="613"/>
      <c r="AQ34" s="614"/>
      <c r="AR34" s="6"/>
      <c r="AS34" s="6"/>
      <c r="AT34" s="613"/>
    </row>
    <row r="35" spans="1:46" ht="37.9" customHeight="1" x14ac:dyDescent="0.25">
      <c r="A35" s="2206">
        <v>44943</v>
      </c>
      <c r="B35" s="574">
        <v>1</v>
      </c>
      <c r="C35" s="596"/>
      <c r="D35" s="596"/>
      <c r="E35" s="50"/>
      <c r="F35" s="828"/>
      <c r="G35" s="567"/>
      <c r="H35" s="614"/>
      <c r="I35" s="605"/>
      <c r="J35" s="687"/>
      <c r="K35" s="622"/>
      <c r="L35" s="572"/>
      <c r="M35" s="6"/>
      <c r="N35" s="6"/>
      <c r="O35" s="613"/>
      <c r="P35" s="567"/>
      <c r="Q35" s="877"/>
      <c r="R35" s="620"/>
      <c r="S35" s="635"/>
      <c r="T35" s="622"/>
      <c r="U35" s="572"/>
      <c r="V35" s="6"/>
      <c r="W35" s="50"/>
      <c r="X35" s="634"/>
      <c r="Y35" s="567"/>
      <c r="Z35" s="6"/>
      <c r="AA35" s="605"/>
      <c r="AB35" s="613"/>
      <c r="AC35" s="622"/>
      <c r="AD35" s="572"/>
      <c r="AE35" s="6"/>
      <c r="AF35" s="6"/>
      <c r="AG35" s="873"/>
      <c r="AH35" s="567"/>
      <c r="AI35" s="6"/>
      <c r="AJ35" s="605"/>
      <c r="AK35" s="613"/>
      <c r="AM35" s="572"/>
      <c r="AN35" s="6"/>
      <c r="AO35" s="50"/>
      <c r="AP35" s="634"/>
      <c r="AQ35" s="567"/>
      <c r="AR35" s="6"/>
      <c r="AS35" s="605"/>
      <c r="AT35" s="613"/>
    </row>
    <row r="36" spans="1:46" ht="41.45" customHeight="1" x14ac:dyDescent="0.25">
      <c r="A36" s="2205"/>
      <c r="B36" s="574">
        <v>2</v>
      </c>
      <c r="C36" s="6"/>
      <c r="D36" s="6"/>
      <c r="E36" s="50"/>
      <c r="F36" s="828"/>
      <c r="G36" s="567"/>
      <c r="H36" s="873"/>
      <c r="I36" s="605"/>
      <c r="J36" s="635"/>
      <c r="K36" s="622"/>
      <c r="L36" s="567"/>
      <c r="M36" s="6"/>
      <c r="N36" s="6"/>
      <c r="O36" s="873"/>
      <c r="P36" s="567"/>
      <c r="Q36" s="605"/>
      <c r="R36" s="605"/>
      <c r="S36" s="635"/>
      <c r="T36" s="622"/>
      <c r="U36" s="572"/>
      <c r="V36" s="6"/>
      <c r="W36" s="6"/>
      <c r="X36" s="873"/>
      <c r="Y36" s="567"/>
      <c r="Z36" s="605"/>
      <c r="AA36" s="605"/>
      <c r="AB36" s="613"/>
      <c r="AC36" s="622"/>
      <c r="AD36" s="572"/>
      <c r="AE36" s="6"/>
      <c r="AF36" s="50"/>
      <c r="AG36" s="634"/>
      <c r="AH36" s="567"/>
      <c r="AI36" s="605"/>
      <c r="AJ36" s="605"/>
      <c r="AK36" s="613"/>
      <c r="AM36" s="572"/>
      <c r="AN36" s="6"/>
      <c r="AO36" s="6"/>
      <c r="AP36" s="873"/>
      <c r="AQ36" s="567"/>
      <c r="AR36" s="605"/>
      <c r="AS36" s="605"/>
      <c r="AT36" s="613"/>
    </row>
    <row r="37" spans="1:46" ht="38.450000000000003" customHeight="1" x14ac:dyDescent="0.25">
      <c r="A37" s="2206">
        <v>44944</v>
      </c>
      <c r="B37" s="644">
        <v>1</v>
      </c>
      <c r="C37" s="596"/>
      <c r="D37" s="596"/>
      <c r="E37" s="6"/>
      <c r="F37" s="50"/>
      <c r="G37" s="871"/>
      <c r="H37" s="873"/>
      <c r="I37" s="605"/>
      <c r="J37" s="635"/>
      <c r="K37" s="622"/>
      <c r="L37" s="572"/>
      <c r="M37" s="6"/>
      <c r="N37" s="6"/>
      <c r="O37" s="727"/>
      <c r="P37" s="614"/>
      <c r="Q37" s="6"/>
      <c r="R37" s="6"/>
      <c r="S37" s="613"/>
      <c r="T37" s="622"/>
      <c r="U37" s="572"/>
      <c r="V37" s="6"/>
      <c r="W37" s="6"/>
      <c r="X37" s="613"/>
      <c r="Y37" s="614"/>
      <c r="Z37" s="605"/>
      <c r="AA37" s="605"/>
      <c r="AB37" s="635"/>
      <c r="AC37" s="622"/>
      <c r="AD37" s="572"/>
      <c r="AE37" s="6"/>
      <c r="AF37" s="6"/>
      <c r="AG37" s="613"/>
      <c r="AH37" s="614"/>
      <c r="AI37" s="6"/>
      <c r="AJ37" s="6"/>
      <c r="AK37" s="613"/>
      <c r="AM37" s="572"/>
      <c r="AN37" s="6"/>
      <c r="AO37" s="6"/>
      <c r="AP37" s="613"/>
      <c r="AQ37" s="614"/>
      <c r="AR37" s="6"/>
      <c r="AS37" s="6"/>
      <c r="AT37" s="613"/>
    </row>
    <row r="38" spans="1:46" ht="36" customHeight="1" x14ac:dyDescent="0.25">
      <c r="A38" s="2205"/>
      <c r="B38" s="574">
        <v>2</v>
      </c>
      <c r="C38" s="595"/>
      <c r="D38" s="596"/>
      <c r="E38" s="596">
        <v>41</v>
      </c>
      <c r="F38" s="829"/>
      <c r="G38" s="685"/>
      <c r="H38" s="873"/>
      <c r="I38" s="605" t="s">
        <v>521</v>
      </c>
      <c r="J38" s="635"/>
      <c r="K38" s="622"/>
      <c r="L38" s="572"/>
      <c r="M38" s="6">
        <v>31</v>
      </c>
      <c r="N38" s="6"/>
      <c r="O38" s="613"/>
      <c r="P38" s="873"/>
      <c r="Q38" s="880" t="s">
        <v>574</v>
      </c>
      <c r="R38" s="6"/>
      <c r="S38" s="635"/>
      <c r="T38" s="622"/>
      <c r="U38" s="572"/>
      <c r="V38" s="6"/>
      <c r="W38" s="6"/>
      <c r="X38" s="613"/>
      <c r="Y38" s="614"/>
      <c r="Z38" s="605"/>
      <c r="AA38" s="6"/>
      <c r="AB38" s="635"/>
      <c r="AC38" s="622"/>
      <c r="AD38" s="572"/>
      <c r="AE38" s="6"/>
      <c r="AF38" s="6"/>
      <c r="AG38" s="613"/>
      <c r="AH38" s="873"/>
      <c r="AI38" s="6"/>
      <c r="AJ38" s="605"/>
      <c r="AK38" s="635"/>
      <c r="AM38" s="572"/>
      <c r="AN38" s="6"/>
      <c r="AO38" s="6"/>
      <c r="AP38" s="613"/>
      <c r="AQ38" s="614"/>
      <c r="AR38" s="6"/>
      <c r="AS38" s="605"/>
      <c r="AT38" s="635"/>
    </row>
    <row r="39" spans="1:46" ht="39" customHeight="1" x14ac:dyDescent="0.25">
      <c r="A39" s="2206">
        <v>44945</v>
      </c>
      <c r="B39" s="574">
        <v>1</v>
      </c>
      <c r="C39" s="595"/>
      <c r="D39" s="596"/>
      <c r="E39" s="596"/>
      <c r="F39" s="597"/>
      <c r="G39" s="685"/>
      <c r="H39" s="619"/>
      <c r="I39" s="692"/>
      <c r="J39" s="687"/>
      <c r="K39" s="622"/>
      <c r="L39" s="572"/>
      <c r="M39" s="6"/>
      <c r="N39" s="6"/>
      <c r="O39" s="613"/>
      <c r="P39" s="614"/>
      <c r="Q39" s="619"/>
      <c r="R39" s="6"/>
      <c r="S39" s="613"/>
      <c r="T39" s="622"/>
      <c r="U39" s="572"/>
      <c r="V39" s="6"/>
      <c r="W39" s="6">
        <v>17</v>
      </c>
      <c r="X39" s="613"/>
      <c r="Y39" s="614"/>
      <c r="Z39" s="605"/>
      <c r="AA39" s="605" t="s">
        <v>336</v>
      </c>
      <c r="AB39" s="635"/>
      <c r="AC39" s="622"/>
      <c r="AD39" s="572"/>
      <c r="AE39" s="6"/>
      <c r="AF39" s="6"/>
      <c r="AG39" s="613"/>
      <c r="AH39" s="614"/>
      <c r="AI39" s="6"/>
      <c r="AJ39" s="6"/>
      <c r="AK39" s="613"/>
      <c r="AM39" s="572"/>
      <c r="AN39" s="6"/>
      <c r="AO39" s="6"/>
      <c r="AP39" s="613"/>
      <c r="AQ39" s="614"/>
      <c r="AR39" s="6"/>
      <c r="AS39" s="6"/>
      <c r="AT39" s="613"/>
    </row>
    <row r="40" spans="1:46" ht="35.450000000000003" customHeight="1" x14ac:dyDescent="0.25">
      <c r="A40" s="2205"/>
      <c r="B40" s="574">
        <v>2</v>
      </c>
      <c r="C40" s="595"/>
      <c r="D40" s="596"/>
      <c r="E40" s="596"/>
      <c r="F40" s="613"/>
      <c r="G40" s="685"/>
      <c r="H40" s="619"/>
      <c r="I40" s="692"/>
      <c r="J40" s="635"/>
      <c r="K40" s="622"/>
      <c r="L40" s="572"/>
      <c r="M40" s="6"/>
      <c r="N40" s="6"/>
      <c r="O40" s="613"/>
      <c r="P40" s="614"/>
      <c r="Q40" s="6"/>
      <c r="R40" s="6"/>
      <c r="S40" s="635"/>
      <c r="T40" s="622"/>
      <c r="U40" s="572"/>
      <c r="V40" s="6"/>
      <c r="W40" s="6"/>
      <c r="X40" s="613"/>
      <c r="Y40" s="614"/>
      <c r="Z40" s="605"/>
      <c r="AA40" s="605"/>
      <c r="AB40" s="635"/>
      <c r="AC40" s="622"/>
      <c r="AD40" s="572"/>
      <c r="AE40" s="6"/>
      <c r="AF40" s="6"/>
      <c r="AG40" s="613"/>
      <c r="AH40" s="614"/>
      <c r="AI40" s="6"/>
      <c r="AJ40" s="6"/>
      <c r="AK40" s="635"/>
      <c r="AM40" s="572"/>
      <c r="AN40" s="6"/>
      <c r="AO40" s="6"/>
      <c r="AP40" s="613"/>
      <c r="AQ40" s="614"/>
      <c r="AR40" s="6"/>
      <c r="AS40" s="6"/>
      <c r="AT40" s="635"/>
    </row>
    <row r="41" spans="1:46" ht="39.6" customHeight="1" x14ac:dyDescent="0.25">
      <c r="A41" s="2206">
        <v>44946</v>
      </c>
      <c r="B41" s="574">
        <v>1</v>
      </c>
      <c r="C41" s="595"/>
      <c r="D41" s="596"/>
      <c r="E41" s="596"/>
      <c r="F41" s="613"/>
      <c r="G41" s="685"/>
      <c r="H41" s="620"/>
      <c r="I41" s="692"/>
      <c r="J41" s="687"/>
      <c r="K41" s="622"/>
      <c r="L41" s="572"/>
      <c r="M41" s="6"/>
      <c r="N41" s="6"/>
      <c r="O41" s="613"/>
      <c r="P41" s="614"/>
      <c r="Q41" s="6"/>
      <c r="R41" s="6"/>
      <c r="S41" s="635"/>
      <c r="T41" s="622"/>
      <c r="U41" s="572"/>
      <c r="V41" s="6"/>
      <c r="W41" s="6"/>
      <c r="X41" s="613"/>
      <c r="Y41" s="614"/>
      <c r="Z41" s="605"/>
      <c r="AA41" s="605"/>
      <c r="AB41" s="613"/>
      <c r="AC41" s="622"/>
      <c r="AD41" s="572">
        <v>20</v>
      </c>
      <c r="AE41" s="6"/>
      <c r="AF41" s="6"/>
      <c r="AG41" s="613"/>
      <c r="AH41" s="614" t="s">
        <v>288</v>
      </c>
      <c r="AI41" s="605"/>
      <c r="AJ41" s="6"/>
      <c r="AK41" s="613"/>
      <c r="AM41" s="572"/>
      <c r="AN41" s="6"/>
      <c r="AO41" s="6"/>
      <c r="AP41" s="613"/>
      <c r="AQ41" s="614"/>
      <c r="AR41" s="605"/>
      <c r="AS41" s="6"/>
      <c r="AT41" s="613"/>
    </row>
    <row r="42" spans="1:46" ht="33" customHeight="1" x14ac:dyDescent="0.25">
      <c r="A42" s="2205"/>
      <c r="B42" s="574">
        <v>2</v>
      </c>
      <c r="C42" s="596"/>
      <c r="D42" s="596"/>
      <c r="E42" s="596"/>
      <c r="F42" s="613"/>
      <c r="G42" s="685"/>
      <c r="H42" s="619"/>
      <c r="I42" s="692"/>
      <c r="J42" s="687"/>
      <c r="K42" s="622"/>
      <c r="L42" s="572"/>
      <c r="M42" s="6"/>
      <c r="N42" s="6"/>
      <c r="O42" s="613"/>
      <c r="P42" s="614"/>
      <c r="Q42" s="6"/>
      <c r="R42" s="6"/>
      <c r="S42" s="635"/>
      <c r="T42" s="622"/>
      <c r="U42" s="572"/>
      <c r="V42" s="6"/>
      <c r="W42" s="6">
        <v>10</v>
      </c>
      <c r="X42" s="613"/>
      <c r="Y42" s="873"/>
      <c r="Z42" s="6"/>
      <c r="AA42" s="605" t="s">
        <v>336</v>
      </c>
      <c r="AB42" s="635"/>
      <c r="AC42" s="622"/>
      <c r="AD42" s="572"/>
      <c r="AE42" s="6"/>
      <c r="AF42" s="6"/>
      <c r="AG42" s="613"/>
      <c r="AH42" s="614"/>
      <c r="AI42" s="6"/>
      <c r="AJ42" s="6"/>
      <c r="AK42" s="613"/>
      <c r="AM42" s="572"/>
      <c r="AN42" s="6"/>
      <c r="AO42" s="6"/>
      <c r="AP42" s="613"/>
      <c r="AQ42" s="614"/>
      <c r="AR42" s="6"/>
      <c r="AS42" s="6"/>
      <c r="AT42" s="613"/>
    </row>
    <row r="43" spans="1:46" ht="33.6" customHeight="1" x14ac:dyDescent="0.25">
      <c r="A43" s="2206">
        <v>44947</v>
      </c>
      <c r="B43" s="574">
        <v>1</v>
      </c>
      <c r="C43" s="596"/>
      <c r="D43" s="596"/>
      <c r="E43" s="596"/>
      <c r="F43" s="597"/>
      <c r="G43" s="619"/>
      <c r="H43" s="619"/>
      <c r="I43" s="620"/>
      <c r="J43" s="635"/>
      <c r="K43" s="622"/>
      <c r="L43" s="572"/>
      <c r="M43" s="6"/>
      <c r="N43" s="6"/>
      <c r="O43" s="613"/>
      <c r="P43" s="614"/>
      <c r="Q43" s="6"/>
      <c r="R43" s="6"/>
      <c r="S43" s="613"/>
      <c r="T43" s="622"/>
      <c r="U43" s="572"/>
      <c r="V43" s="6">
        <v>7</v>
      </c>
      <c r="W43" s="6"/>
      <c r="X43" s="613"/>
      <c r="Y43" s="614"/>
      <c r="Z43" s="6" t="s">
        <v>410</v>
      </c>
      <c r="AA43" s="620"/>
      <c r="AB43" s="613"/>
      <c r="AC43" s="622"/>
      <c r="AD43" s="572"/>
      <c r="AE43" s="6"/>
      <c r="AF43" s="6"/>
      <c r="AG43" s="613"/>
      <c r="AH43" s="605"/>
      <c r="AI43" s="620"/>
      <c r="AJ43" s="6"/>
      <c r="AK43" s="613"/>
      <c r="AM43" s="572"/>
      <c r="AN43" s="6"/>
      <c r="AO43" s="6"/>
      <c r="AP43" s="613"/>
      <c r="AQ43" s="605"/>
      <c r="AR43" s="620"/>
      <c r="AS43" s="6"/>
      <c r="AT43" s="613"/>
    </row>
    <row r="44" spans="1:46" ht="36" customHeight="1" x14ac:dyDescent="0.25">
      <c r="A44" s="2205"/>
      <c r="B44" s="574">
        <v>2</v>
      </c>
      <c r="C44" s="596"/>
      <c r="D44" s="596"/>
      <c r="E44" s="596"/>
      <c r="F44" s="597"/>
      <c r="G44" s="619"/>
      <c r="H44" s="619"/>
      <c r="I44" s="692"/>
      <c r="J44" s="635"/>
      <c r="K44" s="622"/>
      <c r="L44" s="572"/>
      <c r="M44" s="6"/>
      <c r="N44" s="6"/>
      <c r="O44" s="613"/>
      <c r="P44" s="614"/>
      <c r="Q44" s="6"/>
      <c r="R44" s="605"/>
      <c r="S44" s="764"/>
      <c r="T44" s="622"/>
      <c r="U44" s="572"/>
      <c r="V44" s="6"/>
      <c r="W44" s="596">
        <v>20</v>
      </c>
      <c r="X44" s="597"/>
      <c r="Y44" s="619"/>
      <c r="Z44" s="619"/>
      <c r="AA44" s="605" t="s">
        <v>401</v>
      </c>
      <c r="AB44" s="635"/>
      <c r="AC44" s="622"/>
      <c r="AD44" s="572"/>
      <c r="AE44" s="6"/>
      <c r="AF44" s="6"/>
      <c r="AG44" s="613"/>
      <c r="AH44" s="614"/>
      <c r="AI44" s="605"/>
      <c r="AJ44" s="605"/>
      <c r="AK44" s="613"/>
      <c r="AM44" s="572"/>
      <c r="AN44" s="6"/>
      <c r="AO44" s="6"/>
      <c r="AP44" s="613"/>
      <c r="AQ44" s="614"/>
      <c r="AR44" s="605"/>
      <c r="AS44" s="605"/>
      <c r="AT44" s="613"/>
    </row>
    <row r="45" spans="1:46" ht="36" customHeight="1" x14ac:dyDescent="0.25">
      <c r="A45" s="2206">
        <v>44948</v>
      </c>
      <c r="B45" s="574">
        <v>1</v>
      </c>
      <c r="C45" s="596"/>
      <c r="D45" s="596"/>
      <c r="E45" s="596">
        <v>18</v>
      </c>
      <c r="F45" s="597"/>
      <c r="G45" s="619"/>
      <c r="H45" s="619"/>
      <c r="I45" s="620" t="s">
        <v>558</v>
      </c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"/>
      <c r="W45" s="6">
        <v>18</v>
      </c>
      <c r="X45" s="613"/>
      <c r="Y45" s="619"/>
      <c r="Z45" s="6"/>
      <c r="AA45" s="605" t="s">
        <v>575</v>
      </c>
      <c r="AB45" s="613"/>
      <c r="AC45" s="622"/>
      <c r="AD45" s="572"/>
      <c r="AE45" s="6"/>
      <c r="AF45" s="6"/>
      <c r="AG45" s="613"/>
      <c r="AH45" s="614"/>
      <c r="AI45" s="605"/>
      <c r="AJ45" s="6"/>
      <c r="AK45" s="613"/>
      <c r="AM45" s="572"/>
      <c r="AN45" s="6"/>
      <c r="AO45" s="6"/>
      <c r="AP45" s="613"/>
      <c r="AQ45" s="614"/>
      <c r="AR45" s="605"/>
      <c r="AS45" s="6"/>
      <c r="AT45" s="613"/>
    </row>
    <row r="46" spans="1:46" ht="34.15" customHeight="1" x14ac:dyDescent="0.25">
      <c r="A46" s="2205"/>
      <c r="B46" s="574">
        <v>2</v>
      </c>
      <c r="C46" s="596"/>
      <c r="D46" s="596"/>
      <c r="E46" s="596"/>
      <c r="F46" s="597"/>
      <c r="G46" s="619"/>
      <c r="H46" s="619"/>
      <c r="I46" s="620"/>
      <c r="J46" s="635"/>
      <c r="K46" s="622"/>
      <c r="L46" s="572"/>
      <c r="M46" s="6"/>
      <c r="N46" s="6"/>
      <c r="O46" s="785"/>
      <c r="P46" s="614"/>
      <c r="Q46" s="620"/>
      <c r="R46" s="6"/>
      <c r="S46" s="635"/>
      <c r="T46" s="622"/>
      <c r="U46" s="572"/>
      <c r="V46" s="6"/>
      <c r="W46" s="6"/>
      <c r="X46" s="613"/>
      <c r="Y46" s="614"/>
      <c r="Z46" s="6"/>
      <c r="AA46" s="605"/>
      <c r="AB46" s="635"/>
      <c r="AC46" s="622"/>
      <c r="AD46" s="572"/>
      <c r="AE46" s="6"/>
      <c r="AF46" s="6"/>
      <c r="AG46" s="613"/>
      <c r="AH46" s="873"/>
      <c r="AI46" s="6"/>
      <c r="AJ46" s="6"/>
      <c r="AK46" s="635"/>
      <c r="AM46" s="572"/>
      <c r="AN46" s="6"/>
      <c r="AO46" s="6"/>
      <c r="AP46" s="613"/>
      <c r="AQ46" s="873"/>
      <c r="AR46" s="6"/>
      <c r="AS46" s="6"/>
      <c r="AT46" s="635"/>
    </row>
    <row r="47" spans="1:46" ht="36" customHeight="1" x14ac:dyDescent="0.25">
      <c r="A47" s="2206">
        <v>44949</v>
      </c>
      <c r="B47" s="574">
        <v>1</v>
      </c>
      <c r="C47" s="596"/>
      <c r="D47" s="596"/>
      <c r="E47" s="596">
        <v>13</v>
      </c>
      <c r="F47" s="597"/>
      <c r="G47" s="620"/>
      <c r="H47" s="619"/>
      <c r="I47" s="692" t="s">
        <v>576</v>
      </c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>
        <v>21</v>
      </c>
      <c r="X47" s="613"/>
      <c r="Y47" s="614"/>
      <c r="Z47" s="605"/>
      <c r="AA47" s="605" t="s">
        <v>577</v>
      </c>
      <c r="AB47" s="635"/>
      <c r="AC47" s="622"/>
      <c r="AD47" s="572"/>
      <c r="AE47" s="6"/>
      <c r="AF47" s="6"/>
      <c r="AG47" s="613"/>
      <c r="AH47" s="873"/>
      <c r="AI47" s="620"/>
      <c r="AJ47" s="6"/>
      <c r="AK47" s="613"/>
      <c r="AM47" s="572"/>
      <c r="AN47" s="6"/>
      <c r="AO47" s="6"/>
      <c r="AP47" s="613"/>
      <c r="AQ47" s="873"/>
      <c r="AR47" s="620"/>
      <c r="AS47" s="6"/>
      <c r="AT47" s="613"/>
    </row>
    <row r="48" spans="1:46" ht="34.9" customHeight="1" x14ac:dyDescent="0.25">
      <c r="A48" s="2205"/>
      <c r="B48" s="574">
        <v>2</v>
      </c>
      <c r="C48" s="596"/>
      <c r="D48" s="596"/>
      <c r="E48" s="596"/>
      <c r="F48" s="597"/>
      <c r="G48" s="620"/>
      <c r="H48" s="620"/>
      <c r="I48" s="692"/>
      <c r="J48" s="687"/>
      <c r="K48" s="622"/>
      <c r="L48" s="572"/>
      <c r="M48" s="6"/>
      <c r="N48" s="6"/>
      <c r="O48" s="613"/>
      <c r="P48" s="614"/>
      <c r="Q48" s="620"/>
      <c r="R48" s="605"/>
      <c r="S48" s="635"/>
      <c r="T48" s="622"/>
      <c r="U48" s="572"/>
      <c r="V48" s="6"/>
      <c r="W48" s="6"/>
      <c r="X48" s="613"/>
      <c r="Y48" s="873"/>
      <c r="Z48" s="6"/>
      <c r="AA48" s="605"/>
      <c r="AB48" s="613"/>
      <c r="AC48" s="622"/>
      <c r="AD48" s="572"/>
      <c r="AE48" s="6"/>
      <c r="AF48" s="6"/>
      <c r="AG48" s="613"/>
      <c r="AH48" s="614"/>
      <c r="AI48" s="605"/>
      <c r="AJ48" s="6"/>
      <c r="AK48" s="613"/>
      <c r="AM48" s="572"/>
      <c r="AN48" s="6"/>
      <c r="AO48" s="6"/>
      <c r="AP48" s="613"/>
      <c r="AQ48" s="614"/>
      <c r="AR48" s="605"/>
      <c r="AS48" s="6"/>
      <c r="AT48" s="613"/>
    </row>
    <row r="49" spans="1:46" ht="36" customHeight="1" x14ac:dyDescent="0.25">
      <c r="A49" s="2206">
        <v>44950</v>
      </c>
      <c r="B49" s="574">
        <v>1</v>
      </c>
      <c r="C49" s="596"/>
      <c r="D49" s="596"/>
      <c r="E49" s="596"/>
      <c r="F49" s="597"/>
      <c r="G49" s="620"/>
      <c r="H49" s="619"/>
      <c r="I49" s="692"/>
      <c r="J49" s="687"/>
      <c r="K49" s="622"/>
      <c r="L49" s="572"/>
      <c r="M49" s="6"/>
      <c r="N49" s="6"/>
      <c r="O49" s="613"/>
      <c r="P49" s="614"/>
      <c r="Q49" s="6"/>
      <c r="R49" s="6"/>
      <c r="S49" s="613"/>
      <c r="T49" s="622"/>
      <c r="U49" s="572"/>
      <c r="V49" s="6"/>
      <c r="W49" s="6"/>
      <c r="X49" s="613"/>
      <c r="Y49" s="614"/>
      <c r="Z49" s="605"/>
      <c r="AA49" s="605"/>
      <c r="AB49" s="635"/>
      <c r="AC49" s="622"/>
      <c r="AD49" s="572"/>
      <c r="AE49" s="6"/>
      <c r="AF49" s="6"/>
      <c r="AG49" s="613"/>
      <c r="AH49" s="614"/>
      <c r="AI49" s="605"/>
      <c r="AJ49" s="6"/>
      <c r="AK49" s="613"/>
      <c r="AM49" s="572"/>
      <c r="AN49" s="6"/>
      <c r="AO49" s="6"/>
      <c r="AP49" s="613"/>
      <c r="AQ49" s="614"/>
      <c r="AR49" s="605"/>
      <c r="AS49" s="6"/>
      <c r="AT49" s="613"/>
    </row>
    <row r="50" spans="1:46" ht="33" customHeight="1" x14ac:dyDescent="0.25">
      <c r="A50" s="2205"/>
      <c r="B50" s="574">
        <v>2</v>
      </c>
      <c r="C50" s="596"/>
      <c r="D50" s="596"/>
      <c r="E50" s="596"/>
      <c r="F50" s="597"/>
      <c r="G50" s="619"/>
      <c r="H50" s="619"/>
      <c r="I50" s="692"/>
      <c r="J50" s="635"/>
      <c r="K50" s="622"/>
      <c r="L50" s="572"/>
      <c r="M50" s="6"/>
      <c r="N50" s="6"/>
      <c r="O50" s="613"/>
      <c r="P50" s="614"/>
      <c r="Q50" s="605"/>
      <c r="R50" s="605"/>
      <c r="S50" s="764"/>
      <c r="T50" s="622"/>
      <c r="U50" s="572"/>
      <c r="V50" s="6"/>
      <c r="W50" s="6">
        <v>10</v>
      </c>
      <c r="X50" s="613"/>
      <c r="Y50" s="873"/>
      <c r="Z50" s="605"/>
      <c r="AA50" s="605" t="s">
        <v>578</v>
      </c>
      <c r="AB50" s="613"/>
      <c r="AC50" s="622"/>
      <c r="AD50" s="572"/>
      <c r="AE50" s="6"/>
      <c r="AF50" s="6">
        <v>19</v>
      </c>
      <c r="AG50" s="613"/>
      <c r="AH50" s="880"/>
      <c r="AI50" s="605"/>
      <c r="AJ50" s="605" t="s">
        <v>522</v>
      </c>
      <c r="AK50" s="613"/>
      <c r="AM50" s="572"/>
      <c r="AN50" s="6"/>
      <c r="AO50" s="6"/>
      <c r="AP50" s="613"/>
      <c r="AQ50" s="614"/>
      <c r="AR50" s="6"/>
      <c r="AS50" s="605"/>
      <c r="AT50" s="613"/>
    </row>
    <row r="51" spans="1:46" ht="34.9" customHeight="1" x14ac:dyDescent="0.25">
      <c r="A51" s="2206">
        <v>44951</v>
      </c>
      <c r="B51" s="574">
        <v>1</v>
      </c>
      <c r="C51" s="596"/>
      <c r="D51" s="596"/>
      <c r="E51" s="596"/>
      <c r="F51" s="597"/>
      <c r="G51" s="619"/>
      <c r="H51" s="619"/>
      <c r="I51" s="692"/>
      <c r="J51" s="635"/>
      <c r="K51" s="622"/>
      <c r="L51" s="572"/>
      <c r="M51" s="6"/>
      <c r="N51" s="6"/>
      <c r="O51" s="613"/>
      <c r="P51" s="614"/>
      <c r="Q51" s="620"/>
      <c r="R51" s="6"/>
      <c r="S51" s="613"/>
      <c r="T51" s="622"/>
      <c r="U51" s="572"/>
      <c r="V51" s="6"/>
      <c r="W51" s="6"/>
      <c r="X51" s="613"/>
      <c r="Y51" s="873"/>
      <c r="Z51" s="6"/>
      <c r="AA51" s="605"/>
      <c r="AB51" s="613"/>
      <c r="AC51" s="622"/>
      <c r="AD51" s="572"/>
      <c r="AE51" s="6"/>
      <c r="AF51" s="6"/>
      <c r="AG51" s="613"/>
      <c r="AH51" s="614"/>
      <c r="AI51" s="6"/>
      <c r="AJ51" s="6"/>
      <c r="AK51" s="613"/>
      <c r="AM51" s="572"/>
      <c r="AN51" s="6"/>
      <c r="AO51" s="6"/>
      <c r="AP51" s="613"/>
      <c r="AQ51" s="614"/>
      <c r="AR51" s="6"/>
      <c r="AS51" s="6"/>
      <c r="AT51" s="613"/>
    </row>
    <row r="52" spans="1:46" ht="31.9" customHeight="1" x14ac:dyDescent="0.25">
      <c r="A52" s="2205"/>
      <c r="B52" s="574">
        <v>2</v>
      </c>
      <c r="C52" s="596"/>
      <c r="D52" s="596"/>
      <c r="E52" s="596"/>
      <c r="F52" s="597"/>
      <c r="G52" s="620"/>
      <c r="H52" s="620"/>
      <c r="I52" s="692"/>
      <c r="J52" s="635"/>
      <c r="K52" s="622"/>
      <c r="L52" s="572"/>
      <c r="M52" s="6"/>
      <c r="N52" s="6"/>
      <c r="O52" s="613"/>
      <c r="P52" s="614"/>
      <c r="Q52" s="6"/>
      <c r="R52" s="6"/>
      <c r="S52" s="635"/>
      <c r="T52" s="622"/>
      <c r="U52" s="572"/>
      <c r="V52" s="6"/>
      <c r="W52" s="6"/>
      <c r="X52" s="613"/>
      <c r="Y52" s="873"/>
      <c r="Z52" s="605"/>
      <c r="AA52" s="605"/>
      <c r="AB52" s="635"/>
      <c r="AC52" s="622"/>
      <c r="AD52" s="572"/>
      <c r="AE52" s="6"/>
      <c r="AF52" s="6"/>
      <c r="AG52" s="613"/>
      <c r="AH52" s="614"/>
      <c r="AI52" s="6"/>
      <c r="AJ52" s="6"/>
      <c r="AK52" s="613"/>
      <c r="AM52" s="572"/>
      <c r="AN52" s="613"/>
      <c r="AO52" s="613"/>
      <c r="AP52" s="613"/>
      <c r="AQ52" s="614"/>
      <c r="AR52" s="613"/>
      <c r="AS52" s="6"/>
      <c r="AT52" s="613"/>
    </row>
    <row r="53" spans="1:46" ht="40.15" customHeight="1" x14ac:dyDescent="0.25">
      <c r="A53" s="2206">
        <v>44952</v>
      </c>
      <c r="B53" s="574">
        <v>1</v>
      </c>
      <c r="C53" s="596"/>
      <c r="D53" s="596"/>
      <c r="E53" s="596"/>
      <c r="F53" s="597"/>
      <c r="G53" s="619"/>
      <c r="H53" s="619"/>
      <c r="I53" s="692"/>
      <c r="J53" s="635"/>
      <c r="K53" s="622"/>
      <c r="L53" s="572"/>
      <c r="M53" s="6"/>
      <c r="N53" s="6"/>
      <c r="O53" s="613"/>
      <c r="P53" s="873"/>
      <c r="Q53" s="6"/>
      <c r="R53" s="6"/>
      <c r="S53" s="635"/>
      <c r="T53" s="622"/>
      <c r="U53" s="572"/>
      <c r="V53" s="6"/>
      <c r="W53" s="6"/>
      <c r="X53" s="613"/>
      <c r="Y53" s="873"/>
      <c r="Z53" s="6"/>
      <c r="AA53" s="605"/>
      <c r="AB53" s="613"/>
      <c r="AC53" s="622"/>
      <c r="AD53" s="572"/>
      <c r="AE53" s="605"/>
      <c r="AF53" s="6"/>
      <c r="AG53" s="613"/>
      <c r="AH53" s="614"/>
      <c r="AI53" s="605"/>
      <c r="AJ53" s="605"/>
      <c r="AK53" s="613"/>
      <c r="AM53" s="572"/>
      <c r="AN53" s="605"/>
      <c r="AO53" s="6"/>
      <c r="AP53" s="613"/>
      <c r="AQ53" s="614"/>
      <c r="AR53" s="605"/>
      <c r="AS53" s="605"/>
      <c r="AT53" s="613"/>
    </row>
    <row r="54" spans="1:46" ht="39.6" customHeight="1" x14ac:dyDescent="0.25">
      <c r="A54" s="2205"/>
      <c r="B54" s="867">
        <v>2</v>
      </c>
      <c r="C54" s="596"/>
      <c r="D54" s="596"/>
      <c r="E54" s="596"/>
      <c r="F54" s="597"/>
      <c r="G54" s="619"/>
      <c r="H54" s="619"/>
      <c r="I54" s="692"/>
      <c r="J54" s="635"/>
      <c r="K54" s="622"/>
      <c r="L54" s="572"/>
      <c r="M54" s="6"/>
      <c r="N54" s="6"/>
      <c r="O54" s="597"/>
      <c r="P54" s="619"/>
      <c r="Q54" s="619"/>
      <c r="R54" s="619"/>
      <c r="S54" s="635"/>
      <c r="T54" s="622"/>
      <c r="U54" s="572"/>
      <c r="V54" s="6"/>
      <c r="W54" s="6"/>
      <c r="X54" s="597"/>
      <c r="Y54" s="619"/>
      <c r="Z54" s="620"/>
      <c r="AA54" s="605"/>
      <c r="AB54" s="635"/>
      <c r="AC54" s="622"/>
      <c r="AD54" s="572"/>
      <c r="AE54" s="6"/>
      <c r="AF54" s="6"/>
      <c r="AG54" s="597"/>
      <c r="AH54" s="619"/>
      <c r="AI54" s="619"/>
      <c r="AJ54" s="6"/>
      <c r="AK54" s="635"/>
      <c r="AM54" s="572"/>
      <c r="AN54" s="6"/>
      <c r="AO54" s="6"/>
      <c r="AP54" s="597"/>
      <c r="AQ54" s="619"/>
      <c r="AR54" s="619"/>
      <c r="AS54" s="619"/>
      <c r="AT54" s="635"/>
    </row>
    <row r="55" spans="1:46" ht="39.6" customHeight="1" x14ac:dyDescent="0.25">
      <c r="A55" s="2206">
        <v>44953</v>
      </c>
      <c r="B55" s="574">
        <v>1</v>
      </c>
      <c r="C55" s="595"/>
      <c r="D55" s="596"/>
      <c r="E55" s="596"/>
      <c r="F55" s="597"/>
      <c r="G55" s="619"/>
      <c r="H55" s="619"/>
      <c r="I55" s="620"/>
      <c r="J55" s="687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/>
      <c r="X55" s="613"/>
      <c r="Y55" s="614"/>
      <c r="Z55" s="619"/>
      <c r="AA55" s="620"/>
      <c r="AB55" s="635"/>
      <c r="AC55" s="622"/>
      <c r="AD55" s="572"/>
      <c r="AE55" s="6"/>
      <c r="AF55" s="6"/>
      <c r="AG55" s="613"/>
      <c r="AH55" s="614"/>
      <c r="AI55" s="6"/>
      <c r="AJ55" s="605"/>
      <c r="AK55" s="613"/>
      <c r="AM55" s="572"/>
      <c r="AN55" s="6"/>
      <c r="AO55" s="6"/>
      <c r="AP55" s="613"/>
      <c r="AQ55" s="614"/>
      <c r="AR55" s="6"/>
      <c r="AS55" s="605"/>
      <c r="AT55" s="613"/>
    </row>
    <row r="56" spans="1:46" ht="40.9" customHeight="1" x14ac:dyDescent="0.25">
      <c r="A56" s="2205"/>
      <c r="B56" s="867">
        <v>2</v>
      </c>
      <c r="C56" s="595"/>
      <c r="D56" s="596"/>
      <c r="E56" s="596"/>
      <c r="F56" s="597">
        <v>87</v>
      </c>
      <c r="G56" s="620"/>
      <c r="H56" s="619"/>
      <c r="I56" s="620"/>
      <c r="J56" s="635" t="s">
        <v>579</v>
      </c>
      <c r="K56" s="622"/>
      <c r="L56" s="572"/>
      <c r="M56" s="6"/>
      <c r="N56" s="6"/>
      <c r="O56" s="597">
        <v>87</v>
      </c>
      <c r="P56" s="620"/>
      <c r="Q56" s="619"/>
      <c r="R56" s="620"/>
      <c r="S56" s="635" t="s">
        <v>579</v>
      </c>
      <c r="T56" s="622"/>
      <c r="U56" s="572"/>
      <c r="V56" s="6"/>
      <c r="W56" s="6"/>
      <c r="X56" s="597">
        <v>87</v>
      </c>
      <c r="Y56" s="620"/>
      <c r="Z56" s="619"/>
      <c r="AA56" s="620"/>
      <c r="AB56" s="635" t="s">
        <v>579</v>
      </c>
      <c r="AC56" s="622"/>
      <c r="AD56" s="572"/>
      <c r="AE56" s="6"/>
      <c r="AF56" s="6"/>
      <c r="AG56" s="597">
        <v>87</v>
      </c>
      <c r="AH56" s="620"/>
      <c r="AI56" s="619"/>
      <c r="AJ56" s="620"/>
      <c r="AK56" s="635" t="s">
        <v>579</v>
      </c>
      <c r="AM56" s="572"/>
      <c r="AN56" s="6"/>
      <c r="AO56" s="6"/>
      <c r="AP56" s="597">
        <v>87</v>
      </c>
      <c r="AQ56" s="620"/>
      <c r="AR56" s="619"/>
      <c r="AS56" s="620"/>
      <c r="AT56" s="635" t="s">
        <v>579</v>
      </c>
    </row>
    <row r="57" spans="1:46" ht="37.9" customHeight="1" x14ac:dyDescent="0.25">
      <c r="A57" s="2206">
        <v>44954</v>
      </c>
      <c r="B57" s="574">
        <v>1</v>
      </c>
      <c r="C57" s="595"/>
      <c r="D57" s="596"/>
      <c r="E57" s="596"/>
      <c r="F57" s="597"/>
      <c r="G57" s="620"/>
      <c r="H57" s="619"/>
      <c r="I57" s="692"/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/>
      <c r="X57" s="597"/>
      <c r="Y57" s="620"/>
      <c r="Z57" s="619"/>
      <c r="AA57" s="620"/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/>
      <c r="AP57" s="597"/>
      <c r="AQ57" s="620"/>
      <c r="AR57" s="619"/>
      <c r="AS57" s="620"/>
      <c r="AT57" s="635"/>
    </row>
    <row r="58" spans="1:46" ht="35.450000000000003" customHeight="1" x14ac:dyDescent="0.25">
      <c r="A58" s="2205"/>
      <c r="B58" s="867">
        <v>2</v>
      </c>
      <c r="C58" s="595"/>
      <c r="D58" s="596"/>
      <c r="E58" s="596"/>
      <c r="F58" s="597"/>
      <c r="G58" s="620"/>
      <c r="H58" s="619"/>
      <c r="I58" s="620"/>
      <c r="J58" s="635"/>
      <c r="K58" s="622"/>
      <c r="L58" s="572"/>
      <c r="M58" s="6"/>
      <c r="N58" s="6"/>
      <c r="O58" s="613"/>
      <c r="P58" s="614"/>
      <c r="Q58" s="6"/>
      <c r="R58" s="6"/>
      <c r="S58" s="635"/>
      <c r="T58" s="622"/>
      <c r="U58" s="572"/>
      <c r="V58" s="6"/>
      <c r="W58" s="6"/>
      <c r="X58" s="613"/>
      <c r="Y58" s="614"/>
      <c r="Z58" s="605"/>
      <c r="AA58" s="620"/>
      <c r="AB58" s="613"/>
      <c r="AC58" s="622"/>
      <c r="AD58" s="572"/>
      <c r="AE58" s="6"/>
      <c r="AF58" s="6"/>
      <c r="AG58" s="613"/>
      <c r="AH58" s="614"/>
      <c r="AI58" s="6"/>
      <c r="AJ58" s="6"/>
      <c r="AK58" s="613"/>
      <c r="AM58" s="572"/>
      <c r="AN58" s="6"/>
      <c r="AO58" s="6"/>
      <c r="AP58" s="613"/>
      <c r="AQ58" s="614"/>
      <c r="AR58" s="6"/>
      <c r="AS58" s="6"/>
      <c r="AT58" s="613"/>
    </row>
    <row r="59" spans="1:46" ht="34.15" customHeight="1" x14ac:dyDescent="0.25">
      <c r="A59" s="2206">
        <v>44955</v>
      </c>
      <c r="B59" s="574">
        <v>1</v>
      </c>
      <c r="C59" s="595"/>
      <c r="D59" s="596"/>
      <c r="E59" s="596"/>
      <c r="F59" s="597"/>
      <c r="G59" s="619"/>
      <c r="H59" s="619"/>
      <c r="I59" s="692"/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/>
      <c r="X59" s="613"/>
      <c r="Y59" s="614"/>
      <c r="Z59" s="6"/>
      <c r="AA59" s="605"/>
      <c r="AB59" s="613"/>
      <c r="AC59" s="622"/>
      <c r="AD59" s="572"/>
      <c r="AE59" s="6"/>
      <c r="AF59" s="6"/>
      <c r="AG59" s="613"/>
      <c r="AH59" s="873"/>
      <c r="AI59" s="6"/>
      <c r="AJ59" s="620"/>
      <c r="AK59" s="613"/>
      <c r="AM59" s="572"/>
      <c r="AN59" s="6"/>
      <c r="AO59" s="6"/>
      <c r="AP59" s="613"/>
      <c r="AQ59" s="873"/>
      <c r="AR59" s="6"/>
      <c r="AS59" s="620"/>
      <c r="AT59" s="613"/>
    </row>
    <row r="60" spans="1:46" ht="36" customHeight="1" x14ac:dyDescent="0.25">
      <c r="A60" s="2205"/>
      <c r="B60" s="867">
        <v>2</v>
      </c>
      <c r="C60" s="595"/>
      <c r="D60" s="596"/>
      <c r="E60" s="596"/>
      <c r="F60" s="597"/>
      <c r="G60" s="619"/>
      <c r="H60" s="620"/>
      <c r="I60" s="692"/>
      <c r="J60" s="635"/>
      <c r="K60" s="622"/>
      <c r="L60" s="572"/>
      <c r="M60" s="6"/>
      <c r="N60" s="6"/>
      <c r="O60" s="613"/>
      <c r="P60" s="614"/>
      <c r="Q60" s="6"/>
      <c r="R60" s="6"/>
      <c r="S60" s="635"/>
      <c r="T60" s="622"/>
      <c r="U60" s="572"/>
      <c r="V60" s="6"/>
      <c r="W60" s="6"/>
      <c r="X60" s="613"/>
      <c r="Y60" s="873"/>
      <c r="Z60" s="605"/>
      <c r="AA60" s="605"/>
      <c r="AB60" s="635"/>
      <c r="AC60" s="622"/>
      <c r="AD60" s="572"/>
      <c r="AE60" s="6"/>
      <c r="AF60" s="6"/>
      <c r="AG60" s="613"/>
      <c r="AH60" s="614"/>
      <c r="AI60" s="6"/>
      <c r="AJ60" s="605"/>
      <c r="AK60" s="635"/>
      <c r="AM60" s="572"/>
      <c r="AN60" s="6"/>
      <c r="AO60" s="6"/>
      <c r="AP60" s="613"/>
      <c r="AQ60" s="614"/>
      <c r="AR60" s="6"/>
      <c r="AS60" s="605"/>
      <c r="AT60" s="635"/>
    </row>
    <row r="61" spans="1:46" ht="32.450000000000003" customHeight="1" x14ac:dyDescent="0.25">
      <c r="A61" s="2206">
        <v>44956</v>
      </c>
      <c r="B61" s="574">
        <v>1</v>
      </c>
      <c r="C61" s="876"/>
      <c r="D61" s="878"/>
      <c r="E61" s="596"/>
      <c r="F61" s="749"/>
      <c r="G61" s="619"/>
      <c r="H61" s="877"/>
      <c r="I61" s="692"/>
      <c r="J61" s="687"/>
      <c r="K61" s="622"/>
      <c r="L61" s="572"/>
      <c r="M61" s="6"/>
      <c r="N61" s="6"/>
      <c r="O61" s="613"/>
      <c r="P61" s="752"/>
      <c r="Q61" s="874"/>
      <c r="R61" s="874"/>
      <c r="S61" s="753"/>
      <c r="T61" s="622"/>
      <c r="U61" s="572"/>
      <c r="V61" s="6"/>
      <c r="W61" s="6"/>
      <c r="X61" s="613"/>
      <c r="Y61" s="873"/>
      <c r="Z61" s="605"/>
      <c r="AA61" s="605"/>
      <c r="AB61" s="753"/>
      <c r="AC61" s="622"/>
      <c r="AD61" s="572"/>
      <c r="AE61" s="6"/>
      <c r="AF61" s="6"/>
      <c r="AG61" s="613"/>
      <c r="AH61" s="614"/>
      <c r="AI61" s="6"/>
      <c r="AJ61" s="605"/>
      <c r="AK61" s="753"/>
      <c r="AM61" s="572"/>
      <c r="AN61" s="6"/>
      <c r="AO61" s="6"/>
      <c r="AP61" s="613"/>
      <c r="AQ61" s="614"/>
      <c r="AR61" s="6"/>
      <c r="AS61" s="605"/>
      <c r="AT61" s="753"/>
    </row>
    <row r="62" spans="1:46" ht="33" customHeight="1" x14ac:dyDescent="0.25">
      <c r="A62" s="2205"/>
      <c r="B62" s="867">
        <v>2</v>
      </c>
      <c r="C62" s="876"/>
      <c r="D62" s="878"/>
      <c r="E62" s="878"/>
      <c r="F62" s="749"/>
      <c r="G62" s="869"/>
      <c r="H62" s="877"/>
      <c r="I62" s="692"/>
      <c r="J62" s="687"/>
      <c r="K62" s="622"/>
      <c r="L62" s="572"/>
      <c r="M62" s="6"/>
      <c r="N62" s="6"/>
      <c r="O62" s="613"/>
      <c r="P62" s="752"/>
      <c r="Q62" s="874"/>
      <c r="R62" s="874"/>
      <c r="S62" s="753"/>
      <c r="T62" s="622"/>
      <c r="U62" s="572"/>
      <c r="V62" s="6"/>
      <c r="W62" s="6"/>
      <c r="X62" s="613"/>
      <c r="Y62" s="873"/>
      <c r="Z62" s="605"/>
      <c r="AA62" s="605"/>
      <c r="AB62" s="753"/>
      <c r="AC62" s="622"/>
      <c r="AD62" s="572"/>
      <c r="AE62" s="6"/>
      <c r="AF62" s="6"/>
      <c r="AG62" s="613"/>
      <c r="AH62" s="614"/>
      <c r="AI62" s="6"/>
      <c r="AJ62" s="605"/>
      <c r="AK62" s="753"/>
      <c r="AM62" s="572"/>
      <c r="AN62" s="6"/>
      <c r="AO62" s="6"/>
      <c r="AP62" s="613"/>
      <c r="AQ62" s="614"/>
      <c r="AR62" s="6"/>
      <c r="AS62" s="605"/>
      <c r="AT62" s="753"/>
    </row>
    <row r="63" spans="1:46" ht="33.6" customHeight="1" x14ac:dyDescent="0.25">
      <c r="A63" s="2206">
        <v>44957</v>
      </c>
      <c r="B63" s="574">
        <v>1</v>
      </c>
      <c r="C63" s="706"/>
      <c r="D63" s="707"/>
      <c r="E63" s="707"/>
      <c r="F63" s="708"/>
      <c r="G63" s="717"/>
      <c r="H63" s="709"/>
      <c r="I63" s="620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>
        <v>146</v>
      </c>
      <c r="X63" s="597"/>
      <c r="Y63" s="685"/>
      <c r="Z63" s="619"/>
      <c r="AA63" s="6" t="s">
        <v>580</v>
      </c>
      <c r="AB63" s="872"/>
      <c r="AC63" s="622"/>
      <c r="AD63" s="572"/>
      <c r="AE63" s="6"/>
      <c r="AF63" s="6">
        <v>148</v>
      </c>
      <c r="AG63" s="597"/>
      <c r="AH63" s="685"/>
      <c r="AI63" s="619"/>
      <c r="AJ63" s="6" t="s">
        <v>580</v>
      </c>
      <c r="AK63" s="705"/>
      <c r="AM63" s="572"/>
      <c r="AN63" s="6"/>
      <c r="AO63" s="6"/>
      <c r="AP63" s="597"/>
      <c r="AQ63" s="685"/>
      <c r="AR63" s="619"/>
      <c r="AS63" s="619"/>
      <c r="AT63" s="705"/>
    </row>
    <row r="64" spans="1:46" ht="30.6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636"/>
      <c r="AQ64" s="637"/>
      <c r="AR64" s="638"/>
      <c r="AS64" s="638"/>
      <c r="AT64" s="713"/>
    </row>
    <row r="65" spans="1:42" ht="23.45" customHeight="1" x14ac:dyDescent="0.25">
      <c r="A65" s="524" t="s">
        <v>225</v>
      </c>
      <c r="C65" s="768">
        <f>SUM(C3:C64)</f>
        <v>108</v>
      </c>
      <c r="D65" s="525">
        <f>SUM(D3:D64)</f>
        <v>0</v>
      </c>
      <c r="E65" s="768">
        <f>SUM(E3:E64)</f>
        <v>425</v>
      </c>
      <c r="F65" s="525">
        <f>SUM(F3:F64)</f>
        <v>1086</v>
      </c>
      <c r="L65" s="525">
        <f>SUM(L3:L64)</f>
        <v>0</v>
      </c>
      <c r="M65" s="525">
        <f>SUM(M3:M64)</f>
        <v>438</v>
      </c>
      <c r="N65" s="525">
        <f>SUM(N3:N64)</f>
        <v>0</v>
      </c>
      <c r="O65" s="525">
        <f>SUM(O3:O64)</f>
        <v>1086</v>
      </c>
      <c r="U65" s="525">
        <f>SUM(U3:U64)</f>
        <v>270</v>
      </c>
      <c r="V65" s="525">
        <f>SUM(V3:V64)</f>
        <v>121</v>
      </c>
      <c r="W65" s="525">
        <f>SUM(W3:W64)</f>
        <v>348</v>
      </c>
      <c r="X65" s="525">
        <f>SUM(X3:X64)</f>
        <v>1086</v>
      </c>
      <c r="AD65" s="525">
        <f>SUM(AD3:AD64)</f>
        <v>2170</v>
      </c>
      <c r="AE65" s="525">
        <f>SUM(AE3:AE64)</f>
        <v>68</v>
      </c>
      <c r="AF65" s="525">
        <f>SUM(AF3:AF64)</f>
        <v>271</v>
      </c>
      <c r="AG65" s="525">
        <f>SUM(AG3:AG64)</f>
        <v>1086</v>
      </c>
      <c r="AM65" s="525">
        <f>SUM(AM3:AM64)</f>
        <v>0</v>
      </c>
      <c r="AN65" s="525">
        <f>SUM(AN3:AN64)</f>
        <v>0</v>
      </c>
      <c r="AO65" s="525">
        <f>SUM(AO3:AO64)</f>
        <v>0</v>
      </c>
      <c r="AP65" s="525">
        <f>SUM(AP3:AP64)</f>
        <v>1086</v>
      </c>
    </row>
    <row r="73" spans="1:42" ht="15.75" thickBot="1" x14ac:dyDescent="0.3"/>
    <row r="74" spans="1:42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2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2" ht="21.75" customHeight="1" x14ac:dyDescent="0.3">
      <c r="B76" s="651" t="s">
        <v>218</v>
      </c>
      <c r="C76" s="652">
        <f>C65</f>
        <v>108</v>
      </c>
      <c r="D76" s="653">
        <f>C76/60</f>
        <v>1.8</v>
      </c>
      <c r="E76" s="652">
        <f>D65</f>
        <v>0</v>
      </c>
      <c r="F76" s="654">
        <f>E76/60</f>
        <v>0</v>
      </c>
      <c r="G76" s="652">
        <f>E65</f>
        <v>425</v>
      </c>
      <c r="H76" s="653">
        <f>G76/60</f>
        <v>7.083333333333333</v>
      </c>
      <c r="I76" s="652">
        <f>F65</f>
        <v>1086</v>
      </c>
      <c r="J76" s="653">
        <f>I76/60</f>
        <v>18.100000000000001</v>
      </c>
    </row>
    <row r="77" spans="1:42" ht="19.5" customHeight="1" x14ac:dyDescent="0.3">
      <c r="B77" s="651" t="s">
        <v>219</v>
      </c>
      <c r="C77" s="655">
        <f>L65</f>
        <v>0</v>
      </c>
      <c r="D77" s="656">
        <f t="shared" ref="D77:F79" si="0">C77/60</f>
        <v>0</v>
      </c>
      <c r="E77" s="655">
        <f>M65</f>
        <v>438</v>
      </c>
      <c r="F77" s="657">
        <f t="shared" si="0"/>
        <v>7.3</v>
      </c>
      <c r="G77" s="655">
        <f>N65</f>
        <v>0</v>
      </c>
      <c r="H77" s="656">
        <f t="shared" ref="H77:J79" si="1">G77/60</f>
        <v>0</v>
      </c>
      <c r="I77" s="655">
        <f>O65</f>
        <v>1086</v>
      </c>
      <c r="J77" s="656">
        <f t="shared" si="1"/>
        <v>18.100000000000001</v>
      </c>
    </row>
    <row r="78" spans="1:42" ht="20.25" customHeight="1" x14ac:dyDescent="0.3">
      <c r="B78" s="651" t="s">
        <v>220</v>
      </c>
      <c r="C78" s="655">
        <f>U65</f>
        <v>270</v>
      </c>
      <c r="D78" s="656">
        <f t="shared" si="0"/>
        <v>4.5</v>
      </c>
      <c r="E78" s="655">
        <f>V65</f>
        <v>121</v>
      </c>
      <c r="F78" s="657">
        <f t="shared" si="0"/>
        <v>2.0166666666666666</v>
      </c>
      <c r="G78" s="655">
        <f>W65</f>
        <v>348</v>
      </c>
      <c r="H78" s="656">
        <f t="shared" si="1"/>
        <v>5.8</v>
      </c>
      <c r="I78" s="655">
        <f>X65</f>
        <v>1086</v>
      </c>
      <c r="J78" s="656">
        <f t="shared" si="1"/>
        <v>18.100000000000001</v>
      </c>
    </row>
    <row r="79" spans="1:42" ht="22.5" customHeight="1" thickBot="1" x14ac:dyDescent="0.35">
      <c r="B79" s="651" t="s">
        <v>221</v>
      </c>
      <c r="C79" s="658">
        <f>AD65</f>
        <v>2170</v>
      </c>
      <c r="D79" s="659">
        <f t="shared" si="0"/>
        <v>36.166666666666664</v>
      </c>
      <c r="E79" s="658">
        <f>AE65</f>
        <v>68</v>
      </c>
      <c r="F79" s="660">
        <f t="shared" si="0"/>
        <v>1.1333333333333333</v>
      </c>
      <c r="G79" s="658">
        <f>AF65</f>
        <v>271</v>
      </c>
      <c r="H79" s="659">
        <f t="shared" si="1"/>
        <v>4.5166666666666666</v>
      </c>
      <c r="I79" s="658">
        <f>AG65</f>
        <v>1086</v>
      </c>
      <c r="J79" s="659">
        <f t="shared" si="1"/>
        <v>18.100000000000001</v>
      </c>
    </row>
    <row r="80" spans="1:42" ht="22.5" customHeight="1" thickBot="1" x14ac:dyDescent="0.35">
      <c r="B80" s="651" t="s">
        <v>488</v>
      </c>
      <c r="C80" s="850">
        <f>AM65</f>
        <v>0</v>
      </c>
      <c r="D80" s="849">
        <f>C80/60</f>
        <v>0</v>
      </c>
      <c r="E80" s="850">
        <f>AN65</f>
        <v>0</v>
      </c>
      <c r="F80" s="851">
        <f>E80/60</f>
        <v>0</v>
      </c>
      <c r="G80" s="850">
        <f>AO65</f>
        <v>0</v>
      </c>
      <c r="H80" s="849">
        <f>G80/60</f>
        <v>0</v>
      </c>
      <c r="I80" s="850">
        <f>AP65</f>
        <v>1086</v>
      </c>
      <c r="J80" s="849">
        <f>I80/60</f>
        <v>18.100000000000001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42.466666666666661</v>
      </c>
      <c r="E82" s="666"/>
      <c r="F82" s="667">
        <f>SUM(F76:F80)</f>
        <v>10.45</v>
      </c>
      <c r="G82" s="666"/>
      <c r="H82" s="667">
        <f>SUM(H76:H80)</f>
        <v>17.399999999999999</v>
      </c>
      <c r="I82" s="666"/>
      <c r="J82" s="668">
        <f>AVERAGE(J76:J80)</f>
        <v>18.100000000000001</v>
      </c>
    </row>
  </sheetData>
  <mergeCells count="45">
    <mergeCell ref="A5:A6"/>
    <mergeCell ref="C1:F1"/>
    <mergeCell ref="G1:J1"/>
    <mergeCell ref="L1:O1"/>
    <mergeCell ref="P1:S1"/>
    <mergeCell ref="AD1:AG1"/>
    <mergeCell ref="AH1:AK1"/>
    <mergeCell ref="AM1:AP1"/>
    <mergeCell ref="AQ1:AT1"/>
    <mergeCell ref="A3:A4"/>
    <mergeCell ref="U1:X1"/>
    <mergeCell ref="Y1:AB1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</mergeCells>
  <pageMargins left="0.7" right="0.7" top="0.75" bottom="0.75" header="0.3" footer="0.3"/>
  <pageSetup paperSize="9" orientation="portrait" horizontalDpi="180" verticalDpi="18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2"/>
  <sheetViews>
    <sheetView zoomScale="55" zoomScaleNormal="55" workbookViewId="0">
      <pane xSplit="2" ySplit="2" topLeftCell="Z33" activePane="bottomRight" state="frozen"/>
      <selection pane="topRight" activeCell="C1" sqref="C1"/>
      <selection pane="bottomLeft" activeCell="A3" sqref="A3"/>
      <selection pane="bottomRight" activeCell="C8" sqref="C8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21.140625" style="524" customWidth="1"/>
    <col min="8" max="8" width="27.28515625" style="524" customWidth="1"/>
    <col min="9" max="9" width="22" style="524" customWidth="1"/>
    <col min="10" max="10" width="22.28515625" style="524" customWidth="1"/>
    <col min="11" max="11" width="20" style="524" customWidth="1"/>
    <col min="12" max="14" width="10.7109375" style="524" customWidth="1"/>
    <col min="15" max="15" width="17" style="524" customWidth="1"/>
    <col min="16" max="16" width="23" style="524" customWidth="1"/>
    <col min="17" max="17" width="25.7109375" style="524" customWidth="1"/>
    <col min="18" max="18" width="30.42578125" style="524" customWidth="1"/>
    <col min="19" max="19" width="24.28515625" style="524" customWidth="1"/>
    <col min="20" max="24" width="10.7109375" style="524" customWidth="1"/>
    <col min="25" max="25" width="28" style="524" customWidth="1"/>
    <col min="26" max="26" width="23.85546875" style="524" customWidth="1"/>
    <col min="27" max="27" width="32.42578125" style="524" customWidth="1"/>
    <col min="28" max="28" width="21.140625" style="524" customWidth="1"/>
    <col min="29" max="33" width="10.7109375" style="524" customWidth="1"/>
    <col min="34" max="34" width="26" style="524" customWidth="1"/>
    <col min="35" max="35" width="16.7109375" style="524" customWidth="1"/>
    <col min="36" max="36" width="21.85546875" style="524" customWidth="1"/>
    <col min="37" max="37" width="13.28515625" style="524" customWidth="1"/>
    <col min="38" max="38" width="8.85546875" style="524"/>
    <col min="39" max="42" width="10.7109375" style="524" customWidth="1"/>
    <col min="43" max="43" width="16.85546875" style="524" customWidth="1"/>
    <col min="44" max="44" width="15.140625" style="524" customWidth="1"/>
    <col min="45" max="45" width="17.5703125" style="524" customWidth="1"/>
    <col min="46" max="46" width="21.140625" style="524" bestFit="1" customWidth="1"/>
    <col min="47" max="16384" width="8.85546875" style="524"/>
  </cols>
  <sheetData>
    <row r="1" spans="1:46" x14ac:dyDescent="0.25">
      <c r="C1" s="2217" t="s">
        <v>1</v>
      </c>
      <c r="D1" s="2212"/>
      <c r="E1" s="2212"/>
      <c r="F1" s="2212"/>
      <c r="G1" s="2211" t="s">
        <v>206</v>
      </c>
      <c r="H1" s="2209"/>
      <c r="I1" s="2209"/>
      <c r="J1" s="2210"/>
      <c r="L1" s="2212" t="s">
        <v>4</v>
      </c>
      <c r="M1" s="2212"/>
      <c r="N1" s="2212"/>
      <c r="O1" s="2212"/>
      <c r="P1" s="2209" t="s">
        <v>206</v>
      </c>
      <c r="Q1" s="2209"/>
      <c r="R1" s="2209"/>
      <c r="S1" s="2210"/>
      <c r="U1" s="2212" t="s">
        <v>2</v>
      </c>
      <c r="V1" s="2212"/>
      <c r="W1" s="2212"/>
      <c r="X1" s="2212"/>
      <c r="Y1" s="2209" t="s">
        <v>206</v>
      </c>
      <c r="Z1" s="2209"/>
      <c r="AA1" s="2209"/>
      <c r="AB1" s="2210"/>
      <c r="AD1" s="2212" t="s">
        <v>5</v>
      </c>
      <c r="AE1" s="2212"/>
      <c r="AF1" s="2212"/>
      <c r="AG1" s="2212"/>
      <c r="AH1" s="2209" t="s">
        <v>206</v>
      </c>
      <c r="AI1" s="2209"/>
      <c r="AJ1" s="2209"/>
      <c r="AK1" s="2210"/>
      <c r="AM1" s="2212" t="s">
        <v>482</v>
      </c>
      <c r="AN1" s="2212"/>
      <c r="AO1" s="2212"/>
      <c r="AP1" s="2212"/>
      <c r="AQ1" s="2209" t="s">
        <v>206</v>
      </c>
      <c r="AR1" s="2209"/>
      <c r="AS1" s="2209"/>
      <c r="AT1" s="2210"/>
    </row>
    <row r="2" spans="1:46" ht="42.6" customHeight="1" x14ac:dyDescent="0.25">
      <c r="A2" s="881" t="s">
        <v>0</v>
      </c>
      <c r="B2" s="528" t="s">
        <v>198</v>
      </c>
      <c r="C2" s="529" t="s">
        <v>199</v>
      </c>
      <c r="D2" s="526" t="s">
        <v>200</v>
      </c>
      <c r="E2" s="526" t="s">
        <v>201</v>
      </c>
      <c r="F2" s="526" t="s">
        <v>204</v>
      </c>
      <c r="G2" s="575" t="s">
        <v>199</v>
      </c>
      <c r="H2" s="575" t="s">
        <v>200</v>
      </c>
      <c r="I2" s="575" t="s">
        <v>201</v>
      </c>
      <c r="J2" s="575" t="s">
        <v>204</v>
      </c>
      <c r="K2" s="524" t="s">
        <v>269</v>
      </c>
      <c r="L2" s="526" t="s">
        <v>199</v>
      </c>
      <c r="M2" s="526" t="s">
        <v>200</v>
      </c>
      <c r="N2" s="526" t="s">
        <v>201</v>
      </c>
      <c r="O2" s="526" t="s">
        <v>204</v>
      </c>
      <c r="P2" s="527" t="s">
        <v>199</v>
      </c>
      <c r="Q2" s="526" t="s">
        <v>200</v>
      </c>
      <c r="R2" s="526" t="s">
        <v>201</v>
      </c>
      <c r="S2" s="526" t="s">
        <v>204</v>
      </c>
      <c r="U2" s="526" t="s">
        <v>199</v>
      </c>
      <c r="V2" s="526" t="s">
        <v>200</v>
      </c>
      <c r="W2" s="526" t="s">
        <v>201</v>
      </c>
      <c r="X2" s="526" t="s">
        <v>204</v>
      </c>
      <c r="Y2" s="650" t="s">
        <v>199</v>
      </c>
      <c r="Z2" s="526" t="s">
        <v>200</v>
      </c>
      <c r="AA2" s="526" t="s">
        <v>201</v>
      </c>
      <c r="AB2" s="526" t="s">
        <v>204</v>
      </c>
      <c r="AD2" s="526" t="s">
        <v>199</v>
      </c>
      <c r="AE2" s="526" t="s">
        <v>200</v>
      </c>
      <c r="AF2" s="526" t="s">
        <v>201</v>
      </c>
      <c r="AG2" s="526" t="s">
        <v>204</v>
      </c>
      <c r="AH2" s="527" t="s">
        <v>199</v>
      </c>
      <c r="AI2" s="526" t="s">
        <v>200</v>
      </c>
      <c r="AJ2" s="526" t="s">
        <v>201</v>
      </c>
      <c r="AK2" s="526" t="s">
        <v>204</v>
      </c>
      <c r="AM2" s="526" t="s">
        <v>199</v>
      </c>
      <c r="AN2" s="526" t="s">
        <v>200</v>
      </c>
      <c r="AO2" s="526" t="s">
        <v>201</v>
      </c>
      <c r="AP2" s="526" t="s">
        <v>204</v>
      </c>
      <c r="AQ2" s="527" t="s">
        <v>199</v>
      </c>
      <c r="AR2" s="526" t="s">
        <v>200</v>
      </c>
      <c r="AS2" s="526" t="s">
        <v>201</v>
      </c>
      <c r="AT2" s="526" t="s">
        <v>204</v>
      </c>
    </row>
    <row r="3" spans="1:46" ht="30" customHeight="1" x14ac:dyDescent="0.25">
      <c r="A3" s="2206">
        <v>44958</v>
      </c>
      <c r="B3" s="883">
        <v>1</v>
      </c>
      <c r="C3" s="592"/>
      <c r="D3" s="593"/>
      <c r="E3" s="847">
        <v>50</v>
      </c>
      <c r="F3" s="594"/>
      <c r="G3" s="685"/>
      <c r="H3" s="619"/>
      <c r="I3" s="848" t="s">
        <v>558</v>
      </c>
      <c r="J3" s="686"/>
      <c r="K3" s="622"/>
      <c r="L3" s="612"/>
      <c r="M3" s="630"/>
      <c r="N3" s="630"/>
      <c r="O3" s="628"/>
      <c r="P3" s="629"/>
      <c r="Q3" s="699"/>
      <c r="R3" s="700"/>
      <c r="S3" s="628"/>
      <c r="T3" s="622"/>
      <c r="U3" s="612"/>
      <c r="V3" s="630"/>
      <c r="W3" s="630">
        <v>10</v>
      </c>
      <c r="X3" s="613"/>
      <c r="Y3" s="888"/>
      <c r="Z3" s="629"/>
      <c r="AA3" s="719" t="s">
        <v>152</v>
      </c>
      <c r="AB3" s="720"/>
      <c r="AC3" s="622"/>
      <c r="AD3" s="612"/>
      <c r="AE3" s="630"/>
      <c r="AF3" s="6"/>
      <c r="AG3" s="628"/>
      <c r="AH3" s="629"/>
      <c r="AI3" s="630"/>
      <c r="AJ3" s="605"/>
      <c r="AK3" s="628"/>
      <c r="AM3" s="612"/>
      <c r="AN3" s="630"/>
      <c r="AO3" s="6">
        <v>600</v>
      </c>
      <c r="AP3" s="628"/>
      <c r="AQ3" s="629"/>
      <c r="AR3" s="630"/>
      <c r="AS3" s="605" t="s">
        <v>581</v>
      </c>
      <c r="AT3" s="628"/>
    </row>
    <row r="4" spans="1:46" ht="51.6" customHeight="1" x14ac:dyDescent="0.25">
      <c r="A4" s="2205"/>
      <c r="B4" s="574">
        <v>2</v>
      </c>
      <c r="C4" s="595"/>
      <c r="D4" s="596"/>
      <c r="E4" s="596"/>
      <c r="F4" s="597"/>
      <c r="G4" s="685"/>
      <c r="H4" s="619"/>
      <c r="I4" s="620"/>
      <c r="J4" s="687"/>
      <c r="K4" s="622"/>
      <c r="L4" s="572"/>
      <c r="M4" s="6"/>
      <c r="N4" s="6"/>
      <c r="O4" s="613"/>
      <c r="P4" s="614"/>
      <c r="Q4" s="619"/>
      <c r="R4" s="890"/>
      <c r="S4" s="613"/>
      <c r="T4" s="622"/>
      <c r="U4" s="572"/>
      <c r="V4" s="605"/>
      <c r="W4" s="6"/>
      <c r="X4" s="613"/>
      <c r="Y4" s="888"/>
      <c r="Z4" s="6"/>
      <c r="AA4" s="698"/>
      <c r="AB4" s="722"/>
      <c r="AC4" s="622"/>
      <c r="AD4" s="572"/>
      <c r="AE4" s="6"/>
      <c r="AF4" s="6"/>
      <c r="AG4" s="613"/>
      <c r="AH4" s="614"/>
      <c r="AI4" s="6"/>
      <c r="AJ4" s="6"/>
      <c r="AK4" s="613"/>
      <c r="AM4" s="572"/>
      <c r="AN4" s="6"/>
      <c r="AO4" s="6">
        <v>420</v>
      </c>
      <c r="AP4" s="613"/>
      <c r="AQ4" s="614"/>
      <c r="AR4" s="6"/>
      <c r="AS4" s="605" t="s">
        <v>479</v>
      </c>
      <c r="AT4" s="613"/>
    </row>
    <row r="5" spans="1:46" ht="28.9" customHeight="1" x14ac:dyDescent="0.25">
      <c r="A5" s="2206">
        <v>44959</v>
      </c>
      <c r="B5" s="574">
        <v>1</v>
      </c>
      <c r="C5" s="595"/>
      <c r="D5" s="596"/>
      <c r="E5" s="596"/>
      <c r="F5" s="597"/>
      <c r="G5" s="685"/>
      <c r="H5" s="619"/>
      <c r="I5" s="620"/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/>
      <c r="X5" s="613"/>
      <c r="Y5" s="888"/>
      <c r="Z5" s="6"/>
      <c r="AA5" s="698"/>
      <c r="AB5" s="723"/>
      <c r="AC5" s="622"/>
      <c r="AD5" s="572"/>
      <c r="AE5" s="6"/>
      <c r="AF5" s="6"/>
      <c r="AG5" s="613"/>
      <c r="AH5" s="614"/>
      <c r="AI5" s="6"/>
      <c r="AJ5" s="6"/>
      <c r="AK5" s="613"/>
      <c r="AM5" s="572"/>
      <c r="AN5" s="6"/>
      <c r="AO5" s="6"/>
      <c r="AP5" s="613"/>
      <c r="AQ5" s="614"/>
      <c r="AR5" s="6"/>
      <c r="AS5" s="605"/>
      <c r="AT5" s="613"/>
    </row>
    <row r="6" spans="1:46" ht="52.15" customHeight="1" x14ac:dyDescent="0.25">
      <c r="A6" s="2205"/>
      <c r="B6" s="574">
        <v>2</v>
      </c>
      <c r="C6" s="595"/>
      <c r="D6" s="596"/>
      <c r="E6" s="596"/>
      <c r="F6" s="597"/>
      <c r="G6" s="684"/>
      <c r="H6" s="619"/>
      <c r="I6" s="620"/>
      <c r="J6" s="687"/>
      <c r="K6" s="622"/>
      <c r="L6" s="572"/>
      <c r="M6" s="6"/>
      <c r="N6" s="6"/>
      <c r="O6" s="613"/>
      <c r="P6" s="614"/>
      <c r="Q6" s="619"/>
      <c r="R6" s="6"/>
      <c r="S6" s="613"/>
      <c r="T6" s="622"/>
      <c r="U6" s="572"/>
      <c r="V6" s="6"/>
      <c r="W6" s="6">
        <v>32</v>
      </c>
      <c r="X6" s="613"/>
      <c r="Y6" s="888"/>
      <c r="Z6" s="6"/>
      <c r="AA6" s="698" t="s">
        <v>152</v>
      </c>
      <c r="AB6" s="613"/>
      <c r="AC6" s="622"/>
      <c r="AD6" s="572"/>
      <c r="AE6" s="6"/>
      <c r="AF6" s="6"/>
      <c r="AG6" s="613"/>
      <c r="AH6" s="614"/>
      <c r="AI6" s="6"/>
      <c r="AJ6" s="620"/>
      <c r="AK6" s="613"/>
      <c r="AM6" s="572"/>
      <c r="AN6" s="6"/>
      <c r="AO6" s="6">
        <v>100</v>
      </c>
      <c r="AP6" s="613"/>
      <c r="AQ6" s="614"/>
      <c r="AR6" s="6"/>
      <c r="AS6" s="605" t="s">
        <v>232</v>
      </c>
      <c r="AT6" s="613"/>
    </row>
    <row r="7" spans="1:46" ht="33" customHeight="1" x14ac:dyDescent="0.25">
      <c r="A7" s="2206">
        <v>44960</v>
      </c>
      <c r="B7" s="574">
        <v>1</v>
      </c>
      <c r="C7" s="595"/>
      <c r="D7" s="596"/>
      <c r="E7" s="596">
        <v>119</v>
      </c>
      <c r="F7" s="597"/>
      <c r="G7" s="685"/>
      <c r="H7" s="620"/>
      <c r="I7" s="620" t="s">
        <v>582</v>
      </c>
      <c r="J7" s="687"/>
      <c r="K7" s="622"/>
      <c r="L7" s="572"/>
      <c r="M7" s="614"/>
      <c r="N7" s="6"/>
      <c r="O7" s="613"/>
      <c r="P7" s="614"/>
      <c r="Q7" s="614"/>
      <c r="R7" s="6"/>
      <c r="S7" s="613"/>
      <c r="T7" s="622"/>
      <c r="U7" s="572"/>
      <c r="V7" s="6"/>
      <c r="W7" s="6">
        <v>28</v>
      </c>
      <c r="X7" s="613"/>
      <c r="Y7" s="614"/>
      <c r="Z7" s="6"/>
      <c r="AA7" s="620" t="s">
        <v>383</v>
      </c>
      <c r="AB7" s="613"/>
      <c r="AC7" s="622"/>
      <c r="AD7" s="572"/>
      <c r="AE7" s="6"/>
      <c r="AF7" s="6">
        <v>26</v>
      </c>
      <c r="AG7" s="613"/>
      <c r="AH7" s="614"/>
      <c r="AI7" s="6"/>
      <c r="AJ7" s="620" t="s">
        <v>383</v>
      </c>
      <c r="AK7" s="613"/>
      <c r="AM7" s="572"/>
      <c r="AN7" s="6"/>
      <c r="AO7" s="6"/>
      <c r="AP7" s="613"/>
      <c r="AQ7" s="614"/>
      <c r="AR7" s="6"/>
      <c r="AS7" s="620"/>
      <c r="AT7" s="613"/>
    </row>
    <row r="8" spans="1:46" ht="55.15" customHeight="1" x14ac:dyDescent="0.25">
      <c r="A8" s="2205"/>
      <c r="B8" s="574">
        <v>2</v>
      </c>
      <c r="C8" s="595">
        <v>531</v>
      </c>
      <c r="D8" s="596"/>
      <c r="E8" s="596"/>
      <c r="F8" s="597"/>
      <c r="G8" s="684" t="s">
        <v>583</v>
      </c>
      <c r="H8" s="620"/>
      <c r="I8" s="620"/>
      <c r="J8" s="635"/>
      <c r="K8" s="622"/>
      <c r="L8" s="572"/>
      <c r="M8" s="6"/>
      <c r="N8" s="6"/>
      <c r="O8" s="613"/>
      <c r="P8" s="888"/>
      <c r="Q8" s="605"/>
      <c r="R8" s="605"/>
      <c r="S8" s="635"/>
      <c r="T8" s="622"/>
      <c r="U8" s="572"/>
      <c r="V8" s="831"/>
      <c r="W8" s="6">
        <v>23</v>
      </c>
      <c r="X8" s="613"/>
      <c r="Y8" s="567"/>
      <c r="Z8" s="901"/>
      <c r="AA8" s="6" t="s">
        <v>152</v>
      </c>
      <c r="AB8" s="635"/>
      <c r="AC8" s="622"/>
      <c r="AD8" s="572"/>
      <c r="AE8" s="6"/>
      <c r="AF8" s="6"/>
      <c r="AG8" s="613"/>
      <c r="AH8" s="614"/>
      <c r="AI8" s="605"/>
      <c r="AJ8" s="605"/>
      <c r="AK8" s="635"/>
      <c r="AM8" s="572"/>
      <c r="AN8" s="6"/>
      <c r="AO8" s="6"/>
      <c r="AP8" s="613"/>
      <c r="AQ8" s="614"/>
      <c r="AR8" s="6"/>
      <c r="AS8" s="6"/>
      <c r="AT8" s="635"/>
    </row>
    <row r="9" spans="1:46" ht="36" customHeight="1" x14ac:dyDescent="0.25">
      <c r="A9" s="2206">
        <v>44961</v>
      </c>
      <c r="B9" s="574">
        <v>1</v>
      </c>
      <c r="C9" s="595"/>
      <c r="D9" s="596"/>
      <c r="E9" s="596"/>
      <c r="F9" s="597"/>
      <c r="G9" s="684"/>
      <c r="H9" s="619"/>
      <c r="I9" s="619"/>
      <c r="J9" s="635"/>
      <c r="K9" s="622"/>
      <c r="L9" s="572"/>
      <c r="M9" s="6"/>
      <c r="N9" s="6"/>
      <c r="O9" s="613"/>
      <c r="P9" s="888"/>
      <c r="Q9" s="620"/>
      <c r="R9" s="605"/>
      <c r="S9" s="635"/>
      <c r="T9" s="622"/>
      <c r="U9" s="572"/>
      <c r="V9" s="6"/>
      <c r="W9" s="6">
        <v>118</v>
      </c>
      <c r="X9" s="613"/>
      <c r="Y9" s="614"/>
      <c r="Z9" s="6"/>
      <c r="AA9" s="620" t="s">
        <v>582</v>
      </c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/>
      <c r="AN9" s="6"/>
      <c r="AO9" s="6"/>
      <c r="AP9" s="613"/>
      <c r="AQ9" s="614"/>
      <c r="AR9" s="6"/>
      <c r="AS9" s="6"/>
      <c r="AT9" s="635"/>
    </row>
    <row r="10" spans="1:46" ht="98.45" customHeight="1" x14ac:dyDescent="0.25">
      <c r="A10" s="2205"/>
      <c r="B10" s="574">
        <v>2</v>
      </c>
      <c r="C10" s="595"/>
      <c r="D10" s="596"/>
      <c r="E10" s="596"/>
      <c r="F10" s="597"/>
      <c r="G10" s="685"/>
      <c r="H10" s="619"/>
      <c r="I10" s="620"/>
      <c r="J10" s="635"/>
      <c r="K10" s="622"/>
      <c r="L10" s="572"/>
      <c r="M10" s="6"/>
      <c r="N10" s="6"/>
      <c r="O10" s="613"/>
      <c r="P10" s="888"/>
      <c r="Q10" s="6"/>
      <c r="R10" s="605"/>
      <c r="S10" s="635"/>
      <c r="T10" s="622"/>
      <c r="U10" s="572">
        <v>470</v>
      </c>
      <c r="V10" s="6"/>
      <c r="W10" s="6"/>
      <c r="X10" s="613"/>
      <c r="Y10" s="567" t="s">
        <v>583</v>
      </c>
      <c r="Z10" s="888"/>
      <c r="AA10" s="6"/>
      <c r="AB10" s="635"/>
      <c r="AC10" s="622"/>
      <c r="AD10" s="572"/>
      <c r="AE10" s="6">
        <v>23</v>
      </c>
      <c r="AF10" s="6"/>
      <c r="AG10" s="613"/>
      <c r="AH10" s="888"/>
      <c r="AI10" s="605" t="s">
        <v>550</v>
      </c>
      <c r="AJ10" s="6"/>
      <c r="AK10" s="635"/>
      <c r="AM10" s="572"/>
      <c r="AN10" s="6"/>
      <c r="AO10" s="6"/>
      <c r="AP10" s="613"/>
      <c r="AQ10" s="614"/>
      <c r="AR10" s="6"/>
      <c r="AS10" s="6"/>
      <c r="AT10" s="635"/>
    </row>
    <row r="11" spans="1:46" ht="30.75" customHeight="1" x14ac:dyDescent="0.25">
      <c r="A11" s="2206">
        <v>44962</v>
      </c>
      <c r="B11" s="574">
        <v>1</v>
      </c>
      <c r="C11" s="595"/>
      <c r="D11" s="596">
        <v>23</v>
      </c>
      <c r="E11" s="596"/>
      <c r="F11" s="597"/>
      <c r="G11" s="684"/>
      <c r="H11" s="619" t="s">
        <v>276</v>
      </c>
      <c r="I11" s="620"/>
      <c r="J11" s="687"/>
      <c r="K11" s="622"/>
      <c r="L11" s="572"/>
      <c r="M11" s="6"/>
      <c r="N11" s="6"/>
      <c r="O11" s="613"/>
      <c r="P11" s="888"/>
      <c r="Q11" s="6"/>
      <c r="R11" s="605"/>
      <c r="S11" s="613"/>
      <c r="T11" s="622"/>
      <c r="U11" s="572"/>
      <c r="V11" s="6"/>
      <c r="W11" s="6"/>
      <c r="X11" s="613"/>
      <c r="Y11" s="614"/>
      <c r="Z11" s="6"/>
      <c r="AA11" s="6"/>
      <c r="AB11" s="613"/>
      <c r="AC11" s="622"/>
      <c r="AD11" s="572"/>
      <c r="AE11" s="6"/>
      <c r="AF11" s="6">
        <v>100</v>
      </c>
      <c r="AG11" s="613"/>
      <c r="AH11" s="614"/>
      <c r="AI11" s="6"/>
      <c r="AJ11" s="6" t="s">
        <v>562</v>
      </c>
      <c r="AK11" s="613"/>
      <c r="AM11" s="572"/>
      <c r="AN11" s="6"/>
      <c r="AO11" s="6"/>
      <c r="AP11" s="613"/>
      <c r="AQ11" s="614"/>
      <c r="AR11" s="6"/>
      <c r="AS11" s="6"/>
      <c r="AT11" s="613"/>
    </row>
    <row r="12" spans="1:46" ht="36.6" customHeight="1" x14ac:dyDescent="0.25">
      <c r="A12" s="2205"/>
      <c r="B12" s="574">
        <v>2</v>
      </c>
      <c r="C12" s="595"/>
      <c r="D12" s="596">
        <v>147</v>
      </c>
      <c r="E12" s="596"/>
      <c r="F12" s="597"/>
      <c r="G12" s="685"/>
      <c r="H12" s="620" t="s">
        <v>584</v>
      </c>
      <c r="I12" s="620"/>
      <c r="J12" s="635"/>
      <c r="K12" s="622"/>
      <c r="L12" s="572"/>
      <c r="M12" s="6"/>
      <c r="N12" s="6"/>
      <c r="O12" s="613"/>
      <c r="P12" s="888"/>
      <c r="Q12" s="6"/>
      <c r="R12" s="605"/>
      <c r="S12" s="635"/>
      <c r="T12" s="622"/>
      <c r="U12" s="572"/>
      <c r="V12" s="6"/>
      <c r="W12" s="6"/>
      <c r="X12" s="613"/>
      <c r="Y12" s="614"/>
      <c r="Z12" s="6"/>
      <c r="AA12" s="721"/>
      <c r="AB12" s="635"/>
      <c r="AC12" s="622"/>
      <c r="AD12" s="572">
        <v>270</v>
      </c>
      <c r="AE12" s="6"/>
      <c r="AF12" s="6"/>
      <c r="AG12" s="613"/>
      <c r="AH12" s="614" t="s">
        <v>583</v>
      </c>
      <c r="AI12" s="6"/>
      <c r="AJ12" s="6"/>
      <c r="AK12" s="635"/>
      <c r="AM12" s="572"/>
      <c r="AN12" s="6"/>
      <c r="AO12" s="6"/>
      <c r="AP12" s="613"/>
      <c r="AQ12" s="614"/>
      <c r="AR12" s="6"/>
      <c r="AS12" s="6"/>
      <c r="AT12" s="635"/>
    </row>
    <row r="13" spans="1:46" ht="34.9" customHeight="1" x14ac:dyDescent="0.25">
      <c r="A13" s="2206">
        <v>44963</v>
      </c>
      <c r="B13" s="574">
        <v>1</v>
      </c>
      <c r="C13" s="595"/>
      <c r="D13" s="596"/>
      <c r="E13" s="596"/>
      <c r="F13" s="597"/>
      <c r="G13" s="685"/>
      <c r="H13" s="619"/>
      <c r="I13" s="620"/>
      <c r="J13" s="635"/>
      <c r="K13" s="622"/>
      <c r="L13" s="572"/>
      <c r="M13" s="6"/>
      <c r="N13" s="6"/>
      <c r="O13" s="597"/>
      <c r="P13" s="888"/>
      <c r="Q13" s="6"/>
      <c r="R13" s="605"/>
      <c r="S13" s="635"/>
      <c r="T13" s="622"/>
      <c r="U13" s="572"/>
      <c r="V13" s="6"/>
      <c r="W13" s="6"/>
      <c r="X13" s="597"/>
      <c r="Y13" s="888"/>
      <c r="Z13" s="605"/>
      <c r="AA13" s="6"/>
      <c r="AB13" s="635"/>
      <c r="AC13" s="622"/>
      <c r="AD13" s="572"/>
      <c r="AE13" s="6"/>
      <c r="AF13" s="6">
        <v>35</v>
      </c>
      <c r="AG13" s="597"/>
      <c r="AH13" s="614"/>
      <c r="AI13" s="6"/>
      <c r="AJ13" s="605" t="s">
        <v>585</v>
      </c>
      <c r="AK13" s="635"/>
      <c r="AM13" s="572"/>
      <c r="AN13" s="6"/>
      <c r="AO13" s="6">
        <v>101</v>
      </c>
      <c r="AP13" s="597"/>
      <c r="AQ13" s="614"/>
      <c r="AR13" s="6"/>
      <c r="AS13" s="6" t="s">
        <v>152</v>
      </c>
      <c r="AT13" s="635"/>
    </row>
    <row r="14" spans="1:46" ht="27.6" customHeight="1" x14ac:dyDescent="0.25">
      <c r="A14" s="2205"/>
      <c r="B14" s="574">
        <v>2</v>
      </c>
      <c r="C14" s="595"/>
      <c r="D14" s="596"/>
      <c r="E14" s="596"/>
      <c r="F14" s="597"/>
      <c r="G14" s="685"/>
      <c r="H14" s="620"/>
      <c r="I14" s="620"/>
      <c r="J14" s="635"/>
      <c r="K14" s="622"/>
      <c r="L14" s="572"/>
      <c r="M14" s="6"/>
      <c r="N14" s="6"/>
      <c r="O14" s="597"/>
      <c r="P14" s="614"/>
      <c r="Q14" s="6"/>
      <c r="R14" s="6"/>
      <c r="S14" s="635"/>
      <c r="T14" s="622"/>
      <c r="U14" s="572"/>
      <c r="V14" s="6"/>
      <c r="W14" s="6"/>
      <c r="X14" s="597"/>
      <c r="Y14" s="888"/>
      <c r="Z14" s="605"/>
      <c r="AA14" s="605"/>
      <c r="AB14" s="635"/>
      <c r="AC14" s="622"/>
      <c r="AD14" s="572"/>
      <c r="AE14" s="6"/>
      <c r="AF14" s="6"/>
      <c r="AG14" s="597"/>
      <c r="AH14" s="888"/>
      <c r="AI14" s="6"/>
      <c r="AJ14" s="6"/>
      <c r="AK14" s="635"/>
      <c r="AM14" s="572"/>
      <c r="AN14" s="6"/>
      <c r="AO14" s="6"/>
      <c r="AP14" s="597"/>
      <c r="AQ14" s="888"/>
      <c r="AR14" s="6"/>
      <c r="AS14" s="6"/>
      <c r="AT14" s="635"/>
    </row>
    <row r="15" spans="1:46" ht="48" customHeight="1" x14ac:dyDescent="0.25">
      <c r="A15" s="2206">
        <v>44964</v>
      </c>
      <c r="B15" s="574">
        <v>1</v>
      </c>
      <c r="C15" s="595"/>
      <c r="D15" s="596"/>
      <c r="E15" s="6"/>
      <c r="F15" s="597"/>
      <c r="G15" s="685"/>
      <c r="H15" s="620"/>
      <c r="I15" s="620"/>
      <c r="J15" s="635"/>
      <c r="K15" s="622"/>
      <c r="L15" s="572"/>
      <c r="M15" s="6"/>
      <c r="N15" s="6"/>
      <c r="O15" s="597"/>
      <c r="P15" s="572"/>
      <c r="Q15" s="620"/>
      <c r="R15" s="6"/>
      <c r="S15" s="635"/>
      <c r="T15" s="622"/>
      <c r="U15" s="572"/>
      <c r="V15" s="6"/>
      <c r="W15" s="6"/>
      <c r="X15" s="597"/>
      <c r="Y15" s="572"/>
      <c r="Z15" s="620"/>
      <c r="AA15" s="728"/>
      <c r="AB15" s="635"/>
      <c r="AC15" s="622"/>
      <c r="AD15" s="572"/>
      <c r="AE15" s="6"/>
      <c r="AF15" s="622"/>
      <c r="AG15" s="597"/>
      <c r="AI15" s="692"/>
      <c r="AJ15" s="6"/>
      <c r="AK15" s="635"/>
      <c r="AM15" s="572"/>
      <c r="AN15" s="6"/>
      <c r="AO15" s="622"/>
      <c r="AP15" s="597"/>
      <c r="AR15" s="692"/>
      <c r="AS15" s="6"/>
      <c r="AT15" s="635"/>
    </row>
    <row r="16" spans="1:46" ht="31.9" customHeight="1" x14ac:dyDescent="0.25">
      <c r="A16" s="2205"/>
      <c r="B16" s="574">
        <v>2</v>
      </c>
      <c r="C16" s="595"/>
      <c r="D16" s="596"/>
      <c r="E16" s="596"/>
      <c r="F16" s="597"/>
      <c r="G16" s="684"/>
      <c r="H16" s="830"/>
      <c r="I16" s="620"/>
      <c r="J16" s="635"/>
      <c r="K16" s="622"/>
      <c r="L16" s="572"/>
      <c r="M16" s="6"/>
      <c r="N16" s="6"/>
      <c r="O16" s="597"/>
      <c r="P16" s="572"/>
      <c r="Q16" s="6"/>
      <c r="R16" s="6"/>
      <c r="S16" s="635"/>
      <c r="T16" s="622"/>
      <c r="U16" s="572"/>
      <c r="V16" s="6"/>
      <c r="W16" s="6"/>
      <c r="X16" s="597"/>
      <c r="Y16" s="619"/>
      <c r="Z16" s="619"/>
      <c r="AA16" s="6"/>
      <c r="AB16" s="635"/>
      <c r="AC16" s="622"/>
      <c r="AD16" s="572"/>
      <c r="AE16" s="6"/>
      <c r="AF16" s="6"/>
      <c r="AG16" s="597"/>
      <c r="AH16" s="572"/>
      <c r="AI16" s="6"/>
      <c r="AJ16" s="6"/>
      <c r="AK16" s="635"/>
      <c r="AM16" s="572"/>
      <c r="AN16" s="6"/>
      <c r="AO16" s="6"/>
      <c r="AP16" s="597"/>
      <c r="AQ16" s="572"/>
      <c r="AR16" s="6"/>
      <c r="AS16" s="6"/>
      <c r="AT16" s="635"/>
    </row>
    <row r="17" spans="1:46" ht="39" customHeight="1" x14ac:dyDescent="0.25">
      <c r="A17" s="2206">
        <v>44965</v>
      </c>
      <c r="B17" s="644">
        <v>1</v>
      </c>
      <c r="C17" s="595"/>
      <c r="D17" s="596"/>
      <c r="E17" s="596"/>
      <c r="F17" s="597"/>
      <c r="G17" s="685"/>
      <c r="H17" s="619"/>
      <c r="I17" s="620"/>
      <c r="J17" s="635"/>
      <c r="K17" s="622"/>
      <c r="L17" s="572"/>
      <c r="M17" s="6"/>
      <c r="N17" s="6"/>
      <c r="O17" s="597"/>
      <c r="P17" s="572"/>
      <c r="Q17" s="6"/>
      <c r="R17" s="6"/>
      <c r="S17" s="635"/>
      <c r="T17" s="622"/>
      <c r="U17" s="572"/>
      <c r="V17" s="6"/>
      <c r="W17" s="6"/>
      <c r="X17" s="597"/>
      <c r="Y17" s="619"/>
      <c r="Z17" s="619"/>
      <c r="AA17" s="6"/>
      <c r="AB17" s="635"/>
      <c r="AC17" s="622"/>
      <c r="AD17" s="572"/>
      <c r="AE17" s="6"/>
      <c r="AF17" s="6"/>
      <c r="AG17" s="597"/>
      <c r="AH17" s="572"/>
      <c r="AI17" s="6"/>
      <c r="AJ17" s="605"/>
      <c r="AK17" s="635"/>
      <c r="AM17" s="572"/>
      <c r="AN17" s="6"/>
      <c r="AO17" s="6"/>
      <c r="AP17" s="597"/>
      <c r="AQ17" s="572"/>
      <c r="AR17" s="6"/>
      <c r="AS17" s="605"/>
      <c r="AT17" s="635"/>
    </row>
    <row r="18" spans="1:46" ht="54" customHeight="1" x14ac:dyDescent="0.25">
      <c r="A18" s="2205"/>
      <c r="B18" s="574">
        <v>2</v>
      </c>
      <c r="C18" s="595"/>
      <c r="D18" s="596"/>
      <c r="E18" s="596">
        <v>33</v>
      </c>
      <c r="F18" s="597"/>
      <c r="G18" s="684"/>
      <c r="H18" s="620"/>
      <c r="I18" s="620" t="s">
        <v>567</v>
      </c>
      <c r="J18" s="635"/>
      <c r="K18" s="622"/>
      <c r="L18" s="572"/>
      <c r="M18" s="6"/>
      <c r="N18" s="6"/>
      <c r="O18" s="597"/>
      <c r="P18" s="572"/>
      <c r="Q18" s="6"/>
      <c r="R18" s="6"/>
      <c r="S18" s="635"/>
      <c r="T18" s="622"/>
      <c r="U18" s="572"/>
      <c r="V18" s="6"/>
      <c r="W18" s="6"/>
      <c r="X18" s="597"/>
      <c r="Y18" s="567"/>
      <c r="Z18" s="6"/>
      <c r="AA18" s="605"/>
      <c r="AB18" s="635"/>
      <c r="AC18" s="622"/>
      <c r="AD18" s="572"/>
      <c r="AE18" s="6"/>
      <c r="AF18" s="6"/>
      <c r="AG18" s="597"/>
      <c r="AH18" s="572"/>
      <c r="AI18" s="6"/>
      <c r="AJ18" s="605"/>
      <c r="AK18" s="635"/>
      <c r="AM18" s="572"/>
      <c r="AN18" s="6"/>
      <c r="AO18" s="6"/>
      <c r="AP18" s="597"/>
      <c r="AQ18" s="572"/>
      <c r="AR18" s="6"/>
      <c r="AS18" s="605"/>
      <c r="AT18" s="635"/>
    </row>
    <row r="19" spans="1:46" ht="33.6" customHeight="1" x14ac:dyDescent="0.25">
      <c r="A19" s="2206">
        <v>44966</v>
      </c>
      <c r="B19" s="574">
        <v>1</v>
      </c>
      <c r="C19" s="622"/>
      <c r="D19" s="596"/>
      <c r="E19" s="596"/>
      <c r="F19" s="597"/>
      <c r="G19" s="572"/>
      <c r="H19" s="6"/>
      <c r="I19" s="6"/>
      <c r="J19" s="635"/>
      <c r="K19" s="622"/>
      <c r="L19" s="572"/>
      <c r="M19" s="6"/>
      <c r="N19" s="6"/>
      <c r="O19" s="597"/>
      <c r="P19" s="572"/>
      <c r="Q19" s="6"/>
      <c r="R19" s="6"/>
      <c r="S19" s="635"/>
      <c r="T19" s="622"/>
      <c r="U19" s="572"/>
      <c r="V19" s="6"/>
      <c r="W19" s="6"/>
      <c r="X19" s="597"/>
      <c r="Y19" s="572"/>
      <c r="Z19" s="605"/>
      <c r="AA19" s="605"/>
      <c r="AB19" s="635"/>
      <c r="AC19" s="622"/>
      <c r="AD19" s="572"/>
      <c r="AE19" s="6"/>
      <c r="AF19" s="6"/>
      <c r="AG19" s="597"/>
      <c r="AH19" s="572"/>
      <c r="AI19" s="6"/>
      <c r="AJ19" s="6"/>
      <c r="AK19" s="635"/>
      <c r="AM19" s="572"/>
      <c r="AN19" s="6"/>
      <c r="AO19" s="6"/>
      <c r="AP19" s="597"/>
      <c r="AQ19" s="572"/>
      <c r="AR19" s="6"/>
      <c r="AS19" s="6"/>
      <c r="AT19" s="635"/>
    </row>
    <row r="20" spans="1:46" ht="31.15" customHeight="1" x14ac:dyDescent="0.25">
      <c r="A20" s="2205"/>
      <c r="B20" s="574">
        <v>2</v>
      </c>
      <c r="C20" s="595"/>
      <c r="D20" s="596"/>
      <c r="E20" s="596"/>
      <c r="F20" s="597"/>
      <c r="G20" s="572"/>
      <c r="H20" s="605"/>
      <c r="I20" s="724"/>
      <c r="J20" s="635"/>
      <c r="K20" s="622"/>
      <c r="L20" s="572"/>
      <c r="M20" s="6"/>
      <c r="N20" s="6"/>
      <c r="O20" s="597"/>
      <c r="P20" s="572"/>
      <c r="Q20" s="605"/>
      <c r="R20" s="724"/>
      <c r="S20" s="635"/>
      <c r="T20" s="622"/>
      <c r="U20" s="572"/>
      <c r="V20" s="250"/>
      <c r="W20" s="6">
        <v>15</v>
      </c>
      <c r="X20" s="597"/>
      <c r="Y20" s="572"/>
      <c r="Z20" s="6"/>
      <c r="AA20" s="605" t="s">
        <v>325</v>
      </c>
      <c r="AB20" s="635"/>
      <c r="AC20" s="622"/>
      <c r="AD20" s="572"/>
      <c r="AE20" s="6"/>
      <c r="AF20" s="6"/>
      <c r="AG20" s="597"/>
      <c r="AH20" s="572"/>
      <c r="AI20" s="605"/>
      <c r="AJ20" s="724"/>
      <c r="AK20" s="635"/>
      <c r="AM20" s="572"/>
      <c r="AN20" s="6"/>
      <c r="AO20" s="6">
        <v>35</v>
      </c>
      <c r="AP20" s="597"/>
      <c r="AQ20" s="572"/>
      <c r="AR20" s="605"/>
      <c r="AS20" s="724" t="s">
        <v>325</v>
      </c>
      <c r="AT20" s="635"/>
    </row>
    <row r="21" spans="1:46" ht="39.6" customHeight="1" x14ac:dyDescent="0.25">
      <c r="A21" s="2206">
        <v>44967</v>
      </c>
      <c r="B21" s="574">
        <v>1</v>
      </c>
      <c r="C21" s="595"/>
      <c r="D21" s="596"/>
      <c r="E21" s="596">
        <v>24</v>
      </c>
      <c r="F21" s="597"/>
      <c r="G21" s="688"/>
      <c r="H21" s="619"/>
      <c r="I21" s="619" t="s">
        <v>97</v>
      </c>
      <c r="J21" s="635"/>
      <c r="K21" s="622"/>
      <c r="L21" s="572"/>
      <c r="M21" s="6"/>
      <c r="N21" s="6"/>
      <c r="O21" s="597"/>
      <c r="P21" s="572"/>
      <c r="Q21" s="6"/>
      <c r="R21" s="6"/>
      <c r="S21" s="635"/>
      <c r="T21" s="622"/>
      <c r="U21" s="572"/>
      <c r="V21" s="6"/>
      <c r="W21" s="6"/>
      <c r="X21" s="597"/>
      <c r="Y21" s="572"/>
      <c r="Z21" s="6"/>
      <c r="AA21" s="605"/>
      <c r="AB21" s="635"/>
      <c r="AC21" s="622"/>
      <c r="AD21" s="572"/>
      <c r="AE21" s="6"/>
      <c r="AF21" s="6"/>
      <c r="AG21" s="597"/>
      <c r="AH21" s="572"/>
      <c r="AI21" s="6"/>
      <c r="AJ21" s="6"/>
      <c r="AK21" s="726"/>
      <c r="AM21" s="572"/>
      <c r="AN21" s="6"/>
      <c r="AO21" s="6">
        <v>25</v>
      </c>
      <c r="AP21" s="597"/>
      <c r="AQ21" s="572"/>
      <c r="AR21" s="605"/>
      <c r="AS21" s="50" t="s">
        <v>325</v>
      </c>
      <c r="AT21" s="635"/>
    </row>
    <row r="22" spans="1:46" ht="31.9" customHeight="1" x14ac:dyDescent="0.25">
      <c r="A22" s="2205"/>
      <c r="B22" s="574">
        <v>2</v>
      </c>
      <c r="C22" s="595"/>
      <c r="D22" s="596"/>
      <c r="E22" s="596"/>
      <c r="F22" s="597"/>
      <c r="G22" s="885"/>
      <c r="H22" s="620"/>
      <c r="I22" s="620"/>
      <c r="J22" s="635"/>
      <c r="K22" s="622"/>
      <c r="L22" s="572"/>
      <c r="M22" s="6"/>
      <c r="N22" s="6"/>
      <c r="O22" s="597"/>
      <c r="P22" s="888"/>
      <c r="Q22" s="6"/>
      <c r="R22" s="6"/>
      <c r="S22" s="635"/>
      <c r="T22" s="622"/>
      <c r="U22" s="572"/>
      <c r="V22" s="6"/>
      <c r="W22" s="6">
        <v>27</v>
      </c>
      <c r="X22" s="597"/>
      <c r="Y22" s="572"/>
      <c r="Z22" s="6"/>
      <c r="AA22" s="605" t="s">
        <v>325</v>
      </c>
      <c r="AB22" s="635"/>
      <c r="AC22" s="622"/>
      <c r="AD22" s="572"/>
      <c r="AE22" s="6"/>
      <c r="AF22" s="6"/>
      <c r="AG22" s="597"/>
      <c r="AH22" s="567"/>
      <c r="AI22" s="6"/>
      <c r="AJ22" s="6"/>
      <c r="AK22" s="726"/>
      <c r="AM22" s="572"/>
      <c r="AN22" s="6"/>
      <c r="AO22" s="6">
        <v>40</v>
      </c>
      <c r="AP22" s="597"/>
      <c r="AQ22" s="572"/>
      <c r="AR22" s="605"/>
      <c r="AS22" s="50" t="s">
        <v>152</v>
      </c>
      <c r="AT22" s="635"/>
    </row>
    <row r="23" spans="1:46" ht="37.9" customHeight="1" x14ac:dyDescent="0.25">
      <c r="A23" s="2206">
        <v>44968</v>
      </c>
      <c r="B23" s="644">
        <v>1</v>
      </c>
      <c r="C23" s="595"/>
      <c r="D23" s="596"/>
      <c r="E23" s="596"/>
      <c r="F23" s="597"/>
      <c r="G23" s="685"/>
      <c r="H23" s="619"/>
      <c r="I23" s="620"/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/>
      <c r="V23" s="6"/>
      <c r="W23" s="6"/>
      <c r="X23" s="597"/>
      <c r="Y23" s="684"/>
      <c r="Z23" s="619"/>
      <c r="AA23" s="620"/>
      <c r="AB23" s="635"/>
      <c r="AC23" s="622"/>
      <c r="AD23" s="572"/>
      <c r="AE23" s="6"/>
      <c r="AF23" s="6"/>
      <c r="AG23" s="597"/>
      <c r="AH23" s="6"/>
      <c r="AI23" s="619"/>
      <c r="AJ23" s="620"/>
      <c r="AK23" s="726"/>
      <c r="AM23" s="572"/>
      <c r="AN23" s="6"/>
      <c r="AO23" s="6"/>
      <c r="AP23" s="597"/>
      <c r="AQ23" s="6"/>
      <c r="AR23" s="619"/>
      <c r="AS23" s="692"/>
      <c r="AT23" s="635"/>
    </row>
    <row r="24" spans="1:46" ht="49.9" customHeight="1" x14ac:dyDescent="0.25">
      <c r="A24" s="2205"/>
      <c r="B24" s="574">
        <v>2</v>
      </c>
      <c r="C24" s="595"/>
      <c r="D24" s="596"/>
      <c r="E24" s="596"/>
      <c r="F24" s="597"/>
      <c r="G24" s="685"/>
      <c r="H24" s="619"/>
      <c r="I24" s="620"/>
      <c r="J24" s="635"/>
      <c r="K24" s="622"/>
      <c r="L24" s="572"/>
      <c r="M24" s="6"/>
      <c r="N24" s="6"/>
      <c r="O24" s="597"/>
      <c r="P24" s="685"/>
      <c r="Q24" s="619"/>
      <c r="R24" s="620"/>
      <c r="S24" s="635"/>
      <c r="T24" s="622"/>
      <c r="U24" s="572"/>
      <c r="V24" s="6">
        <v>83</v>
      </c>
      <c r="W24" s="6"/>
      <c r="X24" s="597"/>
      <c r="Y24" s="685"/>
      <c r="Z24" s="620" t="s">
        <v>586</v>
      </c>
      <c r="AA24" s="620"/>
      <c r="AB24" s="635"/>
      <c r="AC24" s="622"/>
      <c r="AD24" s="572"/>
      <c r="AE24" s="6"/>
      <c r="AF24" s="6"/>
      <c r="AG24" s="597"/>
      <c r="AH24" s="6"/>
      <c r="AI24" s="619"/>
      <c r="AJ24" s="6"/>
      <c r="AK24" s="726"/>
      <c r="AM24" s="572"/>
      <c r="AN24" s="6"/>
      <c r="AO24" s="6"/>
      <c r="AP24" s="597"/>
      <c r="AQ24" s="6"/>
      <c r="AR24" s="619"/>
      <c r="AS24" s="828"/>
      <c r="AT24" s="635"/>
    </row>
    <row r="25" spans="1:46" ht="46.15" customHeight="1" x14ac:dyDescent="0.25">
      <c r="A25" s="2206">
        <v>44969</v>
      </c>
      <c r="B25" s="574">
        <v>1</v>
      </c>
      <c r="C25" s="595"/>
      <c r="D25" s="596"/>
      <c r="E25" s="596"/>
      <c r="F25" s="597"/>
      <c r="G25" s="685"/>
      <c r="H25" s="619"/>
      <c r="I25" s="620"/>
      <c r="J25" s="635"/>
      <c r="K25" s="622"/>
      <c r="L25" s="572"/>
      <c r="M25" s="6"/>
      <c r="N25" s="6"/>
      <c r="O25" s="597"/>
      <c r="P25" s="572"/>
      <c r="Q25" s="619"/>
      <c r="R25" s="6"/>
      <c r="S25" s="635"/>
      <c r="T25" s="622"/>
      <c r="U25" s="572"/>
      <c r="V25" s="6"/>
      <c r="W25" s="6"/>
      <c r="X25" s="597"/>
      <c r="Y25" s="572"/>
      <c r="Z25" s="605"/>
      <c r="AA25" s="605"/>
      <c r="AB25" s="635"/>
      <c r="AC25" s="622"/>
      <c r="AD25" s="572"/>
      <c r="AE25" s="6"/>
      <c r="AF25" s="6"/>
      <c r="AG25" s="597"/>
      <c r="AH25" s="6"/>
      <c r="AI25" s="6"/>
      <c r="AJ25" s="6"/>
      <c r="AK25" s="726"/>
      <c r="AM25" s="572"/>
      <c r="AN25" s="6"/>
      <c r="AO25" s="6"/>
      <c r="AP25" s="597"/>
      <c r="AQ25" s="6"/>
      <c r="AR25" s="6"/>
      <c r="AS25" s="50"/>
      <c r="AT25" s="635"/>
    </row>
    <row r="26" spans="1:46" ht="42" customHeight="1" x14ac:dyDescent="0.25">
      <c r="A26" s="2205"/>
      <c r="B26" s="574">
        <v>2</v>
      </c>
      <c r="C26" s="595"/>
      <c r="D26" s="596"/>
      <c r="E26" s="596">
        <v>80</v>
      </c>
      <c r="F26" s="597"/>
      <c r="G26" s="685"/>
      <c r="H26" s="620" t="s">
        <v>587</v>
      </c>
      <c r="I26" s="692"/>
      <c r="J26" s="635"/>
      <c r="K26" s="622"/>
      <c r="L26" s="572"/>
      <c r="M26" s="6"/>
      <c r="N26" s="6"/>
      <c r="O26" s="597"/>
      <c r="P26" s="685"/>
      <c r="Q26" s="620"/>
      <c r="R26" s="620"/>
      <c r="S26" s="635"/>
      <c r="T26" s="622"/>
      <c r="U26" s="572"/>
      <c r="V26" s="596"/>
      <c r="W26" s="6"/>
      <c r="X26" s="597"/>
      <c r="Y26" s="685"/>
      <c r="Z26" s="620"/>
      <c r="AA26" s="620"/>
      <c r="AB26" s="635"/>
      <c r="AC26" s="622"/>
      <c r="AD26" s="572"/>
      <c r="AE26" s="596"/>
      <c r="AF26" s="6"/>
      <c r="AG26" s="597"/>
      <c r="AH26" s="6"/>
      <c r="AI26" s="6"/>
      <c r="AJ26" s="6"/>
      <c r="AK26" s="726"/>
      <c r="AM26" s="572"/>
      <c r="AN26" s="596"/>
      <c r="AO26" s="6"/>
      <c r="AP26" s="597"/>
      <c r="AQ26" s="6"/>
      <c r="AR26" s="6"/>
      <c r="AS26" s="50"/>
      <c r="AT26" s="635"/>
    </row>
    <row r="27" spans="1:46" ht="49.9" customHeight="1" x14ac:dyDescent="0.25">
      <c r="A27" s="2206">
        <v>44970</v>
      </c>
      <c r="B27" s="644">
        <v>1</v>
      </c>
      <c r="C27" s="595"/>
      <c r="D27" s="596"/>
      <c r="E27" s="596"/>
      <c r="F27" s="597"/>
      <c r="G27" s="685"/>
      <c r="H27" s="619"/>
      <c r="I27" s="692"/>
      <c r="J27" s="635"/>
      <c r="K27" s="622"/>
      <c r="L27" s="572"/>
      <c r="M27" s="6"/>
      <c r="N27" s="6"/>
      <c r="O27" s="597"/>
      <c r="P27" s="685"/>
      <c r="Q27" s="619"/>
      <c r="R27" s="620"/>
      <c r="S27" s="635"/>
      <c r="T27" s="622"/>
      <c r="U27" s="572"/>
      <c r="V27" s="6"/>
      <c r="W27" s="6"/>
      <c r="X27" s="613"/>
      <c r="Y27" s="685"/>
      <c r="Z27" s="619"/>
      <c r="AA27" s="620"/>
      <c r="AB27" s="635"/>
      <c r="AC27" s="622"/>
      <c r="AD27" s="572"/>
      <c r="AE27" s="6"/>
      <c r="AF27" s="6"/>
      <c r="AG27" s="613"/>
      <c r="AH27" s="6"/>
      <c r="AI27" s="6"/>
      <c r="AJ27" s="620"/>
      <c r="AK27" s="726"/>
      <c r="AM27" s="572"/>
      <c r="AN27" s="6"/>
      <c r="AO27" s="6"/>
      <c r="AP27" s="613"/>
      <c r="AQ27" s="6"/>
      <c r="AR27" s="6"/>
      <c r="AS27" s="692"/>
      <c r="AT27" s="635"/>
    </row>
    <row r="28" spans="1:46" ht="49.15" customHeight="1" x14ac:dyDescent="0.25">
      <c r="A28" s="2205"/>
      <c r="B28" s="574">
        <v>2</v>
      </c>
      <c r="C28" s="595"/>
      <c r="D28" s="596"/>
      <c r="E28" s="596"/>
      <c r="F28" s="597"/>
      <c r="G28" s="620"/>
      <c r="H28" s="620"/>
      <c r="I28" s="692"/>
      <c r="J28" s="635"/>
      <c r="K28" s="622"/>
      <c r="L28" s="572"/>
      <c r="M28" s="6"/>
      <c r="N28" s="6"/>
      <c r="O28" s="597"/>
      <c r="P28" s="620"/>
      <c r="Q28" s="620"/>
      <c r="R28" s="620"/>
      <c r="S28" s="634"/>
      <c r="T28" s="622"/>
      <c r="U28" s="572"/>
      <c r="V28" s="6"/>
      <c r="W28" s="622"/>
      <c r="X28" s="597"/>
      <c r="Y28" s="620"/>
      <c r="Z28" s="6"/>
      <c r="AA28" s="692"/>
      <c r="AB28" s="635"/>
      <c r="AC28" s="622"/>
      <c r="AD28" s="572"/>
      <c r="AE28" s="6"/>
      <c r="AF28" s="6"/>
      <c r="AG28" s="597"/>
      <c r="AH28" s="605"/>
      <c r="AI28" s="6"/>
      <c r="AJ28" s="692"/>
      <c r="AK28" s="634"/>
      <c r="AM28" s="572"/>
      <c r="AN28" s="6"/>
      <c r="AO28" s="6"/>
      <c r="AP28" s="597"/>
      <c r="AQ28" s="605"/>
      <c r="AR28" s="6"/>
      <c r="AS28" s="692"/>
      <c r="AT28" s="634"/>
    </row>
    <row r="29" spans="1:46" ht="45" customHeight="1" x14ac:dyDescent="0.25">
      <c r="A29" s="2206">
        <v>44971</v>
      </c>
      <c r="B29" s="574">
        <v>1</v>
      </c>
      <c r="C29" s="595"/>
      <c r="D29" s="596"/>
      <c r="E29" s="596"/>
      <c r="F29" s="597"/>
      <c r="G29" s="684"/>
      <c r="H29" s="619"/>
      <c r="I29" s="692"/>
      <c r="J29" s="635"/>
      <c r="K29" s="622"/>
      <c r="L29" s="572"/>
      <c r="M29" s="6"/>
      <c r="N29" s="6"/>
      <c r="O29" s="597"/>
      <c r="P29" s="685"/>
      <c r="Q29" s="619"/>
      <c r="R29" s="620"/>
      <c r="S29" s="635"/>
      <c r="T29" s="622"/>
      <c r="U29" s="572"/>
      <c r="V29" s="6"/>
      <c r="W29" s="6"/>
      <c r="X29" s="597"/>
      <c r="Y29" s="685"/>
      <c r="Z29" s="619"/>
      <c r="AA29" s="692"/>
      <c r="AB29" s="635"/>
      <c r="AC29" s="622"/>
      <c r="AD29" s="572"/>
      <c r="AE29" s="6"/>
      <c r="AF29" s="6"/>
      <c r="AG29" s="597"/>
      <c r="AH29" s="685"/>
      <c r="AI29" s="620"/>
      <c r="AJ29" s="620"/>
      <c r="AK29" s="613"/>
      <c r="AM29" s="572"/>
      <c r="AN29" s="6"/>
      <c r="AO29" s="6"/>
      <c r="AP29" s="597"/>
      <c r="AQ29" s="685"/>
      <c r="AR29" s="619"/>
      <c r="AS29" s="620"/>
      <c r="AT29" s="613"/>
    </row>
    <row r="30" spans="1:46" ht="30.6" customHeight="1" x14ac:dyDescent="0.25">
      <c r="A30" s="2205"/>
      <c r="B30" s="644">
        <v>2</v>
      </c>
      <c r="C30" s="595"/>
      <c r="D30" s="596"/>
      <c r="E30" s="596"/>
      <c r="F30" s="597"/>
      <c r="G30" s="685"/>
      <c r="H30" s="619"/>
      <c r="I30" s="620"/>
      <c r="J30" s="635"/>
      <c r="K30" s="622"/>
      <c r="L30" s="572"/>
      <c r="M30" s="6"/>
      <c r="N30" s="6"/>
      <c r="O30" s="597"/>
      <c r="P30" s="685"/>
      <c r="Q30" s="620"/>
      <c r="R30" s="620"/>
      <c r="S30" s="635"/>
      <c r="T30" s="622"/>
      <c r="U30" s="572">
        <v>133</v>
      </c>
      <c r="V30" s="6"/>
      <c r="W30" s="6"/>
      <c r="X30" s="597"/>
      <c r="Y30" s="684" t="s">
        <v>588</v>
      </c>
      <c r="Z30" s="619"/>
      <c r="AA30" s="620"/>
      <c r="AB30" s="613"/>
      <c r="AC30" s="622"/>
      <c r="AD30" s="572"/>
      <c r="AE30" s="6"/>
      <c r="AF30" s="6"/>
      <c r="AG30" s="597"/>
      <c r="AH30" s="685"/>
      <c r="AI30" s="619"/>
      <c r="AJ30" s="620"/>
      <c r="AK30" s="613"/>
      <c r="AM30" s="572"/>
      <c r="AN30" s="6"/>
      <c r="AO30" s="6"/>
      <c r="AP30" s="597"/>
      <c r="AQ30" s="685"/>
      <c r="AR30" s="619"/>
      <c r="AS30" s="620"/>
      <c r="AT30" s="613"/>
    </row>
    <row r="31" spans="1:46" ht="39.6" customHeight="1" x14ac:dyDescent="0.25">
      <c r="A31" s="2206">
        <v>44972</v>
      </c>
      <c r="B31" s="574">
        <v>1</v>
      </c>
      <c r="C31" s="595"/>
      <c r="D31" s="596">
        <v>12</v>
      </c>
      <c r="E31" s="596"/>
      <c r="F31" s="597"/>
      <c r="G31" s="685"/>
      <c r="H31" s="619" t="s">
        <v>276</v>
      </c>
      <c r="I31" s="620"/>
      <c r="J31" s="635"/>
      <c r="K31" s="622"/>
      <c r="L31" s="572"/>
      <c r="M31" s="6"/>
      <c r="N31" s="6"/>
      <c r="O31" s="597"/>
      <c r="P31" s="614"/>
      <c r="Q31" s="6"/>
      <c r="R31" s="6"/>
      <c r="S31" s="635"/>
      <c r="T31" s="622"/>
      <c r="U31" s="572"/>
      <c r="V31" s="6"/>
      <c r="W31" s="6"/>
      <c r="X31" s="597"/>
      <c r="Y31" s="888"/>
      <c r="Z31" s="6"/>
      <c r="AA31" s="6"/>
      <c r="AB31" s="635"/>
      <c r="AC31" s="622"/>
      <c r="AD31" s="572"/>
      <c r="AE31" s="6"/>
      <c r="AF31" s="6"/>
      <c r="AG31" s="597"/>
      <c r="AH31" s="614"/>
      <c r="AI31" s="6"/>
      <c r="AJ31" s="6"/>
      <c r="AK31" s="635"/>
      <c r="AM31" s="572"/>
      <c r="AN31" s="6"/>
      <c r="AO31" s="6"/>
      <c r="AP31" s="597"/>
      <c r="AQ31" s="614"/>
      <c r="AR31" s="6"/>
      <c r="AS31" s="6"/>
      <c r="AT31" s="635"/>
    </row>
    <row r="32" spans="1:46" ht="28.15" customHeight="1" x14ac:dyDescent="0.25">
      <c r="A32" s="2205"/>
      <c r="B32" s="574">
        <v>2</v>
      </c>
      <c r="C32" s="595"/>
      <c r="D32" s="596"/>
      <c r="E32" s="596"/>
      <c r="F32" s="597"/>
      <c r="G32" s="685"/>
      <c r="H32" s="619"/>
      <c r="I32" s="692"/>
      <c r="J32" s="687"/>
      <c r="K32" s="622"/>
      <c r="L32" s="572"/>
      <c r="M32" s="6"/>
      <c r="N32" s="6"/>
      <c r="O32" s="613"/>
      <c r="P32" s="614"/>
      <c r="Q32" s="6"/>
      <c r="R32" s="6"/>
      <c r="S32" s="764"/>
      <c r="T32" s="622"/>
      <c r="U32" s="572"/>
      <c r="V32" s="6"/>
      <c r="W32" s="6"/>
      <c r="X32" s="613"/>
      <c r="Y32" s="614"/>
      <c r="Z32" s="605"/>
      <c r="AA32" s="692"/>
      <c r="AB32" s="635"/>
      <c r="AC32" s="622"/>
      <c r="AD32" s="572"/>
      <c r="AE32" s="6"/>
      <c r="AF32" s="6"/>
      <c r="AG32" s="613"/>
      <c r="AH32" s="614"/>
      <c r="AI32" s="605"/>
      <c r="AJ32" s="6"/>
      <c r="AK32" s="613"/>
      <c r="AM32" s="572"/>
      <c r="AN32" s="6"/>
      <c r="AO32" s="6"/>
      <c r="AP32" s="613"/>
      <c r="AQ32" s="614"/>
      <c r="AR32" s="605"/>
      <c r="AS32" s="6"/>
      <c r="AT32" s="613"/>
    </row>
    <row r="33" spans="1:46" ht="43.15" customHeight="1" x14ac:dyDescent="0.25">
      <c r="A33" s="2206">
        <v>44973</v>
      </c>
      <c r="B33" s="574">
        <v>1</v>
      </c>
      <c r="C33" s="595"/>
      <c r="D33" s="596"/>
      <c r="E33" s="596"/>
      <c r="F33" s="597"/>
      <c r="G33" s="685"/>
      <c r="H33" s="619"/>
      <c r="I33" s="692"/>
      <c r="J33" s="687"/>
      <c r="K33" s="622"/>
      <c r="L33" s="572"/>
      <c r="M33" s="6"/>
      <c r="N33" s="6"/>
      <c r="O33" s="613"/>
      <c r="P33" s="614"/>
      <c r="Q33" s="6"/>
      <c r="R33" s="6"/>
      <c r="S33" s="613"/>
      <c r="T33" s="622"/>
      <c r="U33" s="572"/>
      <c r="V33" s="6"/>
      <c r="W33" s="6"/>
      <c r="X33" s="613"/>
      <c r="Y33" s="614"/>
      <c r="Z33" s="6"/>
      <c r="AA33" s="605"/>
      <c r="AB33" s="613"/>
      <c r="AC33" s="622"/>
      <c r="AD33" s="572">
        <v>26</v>
      </c>
      <c r="AE33" s="6"/>
      <c r="AF33" s="6"/>
      <c r="AG33" s="613"/>
      <c r="AH33" s="614" t="s">
        <v>142</v>
      </c>
      <c r="AI33" s="605"/>
      <c r="AJ33" s="6"/>
      <c r="AK33" s="613"/>
      <c r="AM33" s="572"/>
      <c r="AN33" s="6"/>
      <c r="AO33" s="6"/>
      <c r="AP33" s="613"/>
      <c r="AQ33" s="614"/>
      <c r="AR33" s="605"/>
      <c r="AS33" s="6"/>
      <c r="AT33" s="613"/>
    </row>
    <row r="34" spans="1:46" ht="37.15" customHeight="1" x14ac:dyDescent="0.25">
      <c r="A34" s="2205"/>
      <c r="B34" s="644">
        <v>2</v>
      </c>
      <c r="C34" s="596"/>
      <c r="D34" s="596"/>
      <c r="E34" s="596"/>
      <c r="F34" s="829"/>
      <c r="G34" s="685"/>
      <c r="H34" s="620"/>
      <c r="I34" s="620"/>
      <c r="J34" s="687"/>
      <c r="K34" s="622"/>
      <c r="L34" s="572"/>
      <c r="M34" s="6"/>
      <c r="N34" s="6"/>
      <c r="O34" s="613"/>
      <c r="P34" s="614"/>
      <c r="Q34" s="620"/>
      <c r="R34" s="6"/>
      <c r="S34" s="635"/>
      <c r="T34" s="622"/>
      <c r="U34" s="572">
        <v>61</v>
      </c>
      <c r="V34" s="6"/>
      <c r="W34" s="6"/>
      <c r="X34" s="613"/>
      <c r="Y34" s="6" t="s">
        <v>142</v>
      </c>
      <c r="Z34" s="605"/>
      <c r="AA34" s="620"/>
      <c r="AB34" s="635"/>
      <c r="AC34" s="622"/>
      <c r="AD34" s="572"/>
      <c r="AE34" s="6"/>
      <c r="AF34" s="6">
        <v>40</v>
      </c>
      <c r="AG34" s="613"/>
      <c r="AH34" s="614"/>
      <c r="AI34" s="6"/>
      <c r="AJ34" s="6" t="s">
        <v>589</v>
      </c>
      <c r="AK34" s="613"/>
      <c r="AM34" s="572"/>
      <c r="AN34" s="6"/>
      <c r="AO34" s="6">
        <v>50</v>
      </c>
      <c r="AP34" s="613"/>
      <c r="AQ34" s="614"/>
      <c r="AR34" s="6"/>
      <c r="AS34" s="50" t="s">
        <v>152</v>
      </c>
      <c r="AT34" s="613"/>
    </row>
    <row r="35" spans="1:46" ht="37.9" customHeight="1" x14ac:dyDescent="0.25">
      <c r="A35" s="2206">
        <v>44974</v>
      </c>
      <c r="B35" s="574">
        <v>1</v>
      </c>
      <c r="C35" s="596"/>
      <c r="D35" s="596"/>
      <c r="E35" s="50"/>
      <c r="F35" s="828"/>
      <c r="G35" s="567"/>
      <c r="H35" s="614"/>
      <c r="I35" s="605"/>
      <c r="J35" s="687"/>
      <c r="K35" s="622"/>
      <c r="L35" s="572"/>
      <c r="M35" s="6"/>
      <c r="N35" s="6"/>
      <c r="O35" s="613"/>
      <c r="P35" s="567"/>
      <c r="Q35" s="892"/>
      <c r="R35" s="620"/>
      <c r="S35" s="635"/>
      <c r="T35" s="622"/>
      <c r="U35" s="572"/>
      <c r="V35" s="6"/>
      <c r="W35" s="50"/>
      <c r="X35" s="634"/>
      <c r="Y35" s="567"/>
      <c r="Z35" s="6"/>
      <c r="AA35" s="605"/>
      <c r="AB35" s="613"/>
      <c r="AC35" s="622"/>
      <c r="AD35" s="572"/>
      <c r="AE35" s="6"/>
      <c r="AF35" s="6"/>
      <c r="AG35" s="888"/>
      <c r="AH35" s="567"/>
      <c r="AI35" s="6"/>
      <c r="AJ35" s="605"/>
      <c r="AK35" s="613"/>
      <c r="AM35" s="572"/>
      <c r="AN35" s="6"/>
      <c r="AO35" s="50"/>
      <c r="AP35" s="634"/>
      <c r="AQ35" s="567"/>
      <c r="AR35" s="6"/>
      <c r="AS35" s="605"/>
      <c r="AT35" s="613"/>
    </row>
    <row r="36" spans="1:46" ht="41.45" customHeight="1" x14ac:dyDescent="0.25">
      <c r="A36" s="2205"/>
      <c r="B36" s="574">
        <v>2</v>
      </c>
      <c r="C36" s="6"/>
      <c r="D36" s="6"/>
      <c r="E36" s="50"/>
      <c r="F36" s="828"/>
      <c r="G36" s="567"/>
      <c r="H36" s="888"/>
      <c r="I36" s="605"/>
      <c r="J36" s="635"/>
      <c r="K36" s="622"/>
      <c r="L36" s="567"/>
      <c r="M36" s="6"/>
      <c r="N36" s="6"/>
      <c r="O36" s="888"/>
      <c r="P36" s="567"/>
      <c r="Q36" s="605"/>
      <c r="R36" s="605"/>
      <c r="S36" s="635"/>
      <c r="T36" s="622"/>
      <c r="U36" s="572"/>
      <c r="V36" s="6"/>
      <c r="W36" s="6"/>
      <c r="X36" s="888"/>
      <c r="Y36" s="567"/>
      <c r="Z36" s="605"/>
      <c r="AA36" s="605"/>
      <c r="AB36" s="613"/>
      <c r="AC36" s="622"/>
      <c r="AD36" s="572"/>
      <c r="AE36" s="6"/>
      <c r="AF36" s="50"/>
      <c r="AG36" s="634"/>
      <c r="AH36" s="567"/>
      <c r="AI36" s="605"/>
      <c r="AJ36" s="605"/>
      <c r="AK36" s="613"/>
      <c r="AM36" s="572"/>
      <c r="AN36" s="6"/>
      <c r="AO36" s="6"/>
      <c r="AP36" s="888"/>
      <c r="AQ36" s="567"/>
      <c r="AR36" s="605"/>
      <c r="AS36" s="605"/>
      <c r="AT36" s="613"/>
    </row>
    <row r="37" spans="1:46" ht="38.450000000000003" customHeight="1" x14ac:dyDescent="0.25">
      <c r="A37" s="2206">
        <v>44975</v>
      </c>
      <c r="B37" s="644">
        <v>1</v>
      </c>
      <c r="C37" s="596"/>
      <c r="D37" s="596"/>
      <c r="E37" s="6"/>
      <c r="F37" s="50"/>
      <c r="G37" s="886"/>
      <c r="H37" s="888"/>
      <c r="I37" s="605"/>
      <c r="J37" s="635"/>
      <c r="K37" s="622"/>
      <c r="L37" s="572"/>
      <c r="M37" s="6"/>
      <c r="N37" s="6"/>
      <c r="O37" s="727"/>
      <c r="P37" s="614"/>
      <c r="Q37" s="6"/>
      <c r="R37" s="6"/>
      <c r="S37" s="613"/>
      <c r="T37" s="622"/>
      <c r="U37" s="572"/>
      <c r="V37" s="6"/>
      <c r="W37" s="6"/>
      <c r="X37" s="613"/>
      <c r="Y37" s="614"/>
      <c r="Z37" s="605"/>
      <c r="AA37" s="605"/>
      <c r="AB37" s="635"/>
      <c r="AC37" s="622"/>
      <c r="AD37" s="572"/>
      <c r="AE37" s="6"/>
      <c r="AF37" s="6"/>
      <c r="AG37" s="613"/>
      <c r="AH37" s="614"/>
      <c r="AI37" s="6"/>
      <c r="AJ37" s="6"/>
      <c r="AK37" s="613"/>
      <c r="AM37" s="572"/>
      <c r="AN37" s="6"/>
      <c r="AO37" s="6"/>
      <c r="AP37" s="613"/>
      <c r="AQ37" s="614"/>
      <c r="AR37" s="6"/>
      <c r="AS37" s="6"/>
      <c r="AT37" s="613"/>
    </row>
    <row r="38" spans="1:46" ht="36" customHeight="1" x14ac:dyDescent="0.25">
      <c r="A38" s="2205"/>
      <c r="B38" s="574">
        <v>2</v>
      </c>
      <c r="C38" s="595"/>
      <c r="D38" s="596"/>
      <c r="E38" s="596">
        <v>55</v>
      </c>
      <c r="F38" s="829"/>
      <c r="G38" s="685"/>
      <c r="H38" s="901" t="s">
        <v>97</v>
      </c>
      <c r="I38" s="605"/>
      <c r="J38" s="635"/>
      <c r="K38" s="622"/>
      <c r="L38" s="572"/>
      <c r="M38" s="6"/>
      <c r="N38" s="6"/>
      <c r="O38" s="613"/>
      <c r="P38" s="888"/>
      <c r="Q38" s="888"/>
      <c r="R38" s="6"/>
      <c r="S38" s="635"/>
      <c r="T38" s="622"/>
      <c r="U38" s="572"/>
      <c r="V38" s="6"/>
      <c r="W38" s="6"/>
      <c r="X38" s="613"/>
      <c r="Y38" s="614"/>
      <c r="Z38" s="605"/>
      <c r="AA38" s="6"/>
      <c r="AB38" s="635"/>
      <c r="AC38" s="622"/>
      <c r="AD38" s="572"/>
      <c r="AE38" s="6"/>
      <c r="AF38" s="6"/>
      <c r="AG38" s="613"/>
      <c r="AH38" s="888"/>
      <c r="AI38" s="6"/>
      <c r="AJ38" s="605"/>
      <c r="AK38" s="635"/>
      <c r="AM38" s="572"/>
      <c r="AN38" s="6">
        <v>65</v>
      </c>
      <c r="AO38" s="6"/>
      <c r="AP38" s="613"/>
      <c r="AQ38" s="614"/>
      <c r="AR38" s="6" t="s">
        <v>590</v>
      </c>
      <c r="AS38" s="605"/>
      <c r="AT38" s="635"/>
    </row>
    <row r="39" spans="1:46" ht="39" customHeight="1" x14ac:dyDescent="0.25">
      <c r="A39" s="2206">
        <v>44976</v>
      </c>
      <c r="B39" s="574">
        <v>1</v>
      </c>
      <c r="C39" s="595"/>
      <c r="D39" s="596"/>
      <c r="E39" s="596"/>
      <c r="F39" s="597"/>
      <c r="G39" s="685"/>
      <c r="H39" s="619"/>
      <c r="I39" s="692"/>
      <c r="J39" s="687"/>
      <c r="K39" s="622"/>
      <c r="L39" s="572"/>
      <c r="M39" s="6"/>
      <c r="N39" s="6"/>
      <c r="O39" s="613"/>
      <c r="P39" s="614"/>
      <c r="Q39" s="619"/>
      <c r="R39" s="6"/>
      <c r="S39" s="613"/>
      <c r="T39" s="622"/>
      <c r="U39" s="572"/>
      <c r="V39" s="6"/>
      <c r="W39" s="6"/>
      <c r="X39" s="613"/>
      <c r="Y39" s="614"/>
      <c r="Z39" s="605"/>
      <c r="AA39" s="605"/>
      <c r="AB39" s="635"/>
      <c r="AC39" s="622"/>
      <c r="AD39" s="572"/>
      <c r="AE39" s="6"/>
      <c r="AF39" s="6"/>
      <c r="AG39" s="613"/>
      <c r="AH39" s="614"/>
      <c r="AI39" s="6"/>
      <c r="AJ39" s="6"/>
      <c r="AK39" s="613"/>
      <c r="AM39" s="572"/>
      <c r="AN39" s="6"/>
      <c r="AO39" s="6"/>
      <c r="AP39" s="613"/>
      <c r="AQ39" s="614"/>
      <c r="AR39" s="6"/>
      <c r="AS39" s="6"/>
      <c r="AT39" s="613"/>
    </row>
    <row r="40" spans="1:46" ht="35.450000000000003" customHeight="1" x14ac:dyDescent="0.25">
      <c r="A40" s="2205"/>
      <c r="B40" s="574">
        <v>2</v>
      </c>
      <c r="C40" s="595"/>
      <c r="D40" s="596"/>
      <c r="E40" s="596">
        <v>20</v>
      </c>
      <c r="F40" s="613"/>
      <c r="G40" s="685"/>
      <c r="H40" s="619"/>
      <c r="I40" s="692" t="s">
        <v>325</v>
      </c>
      <c r="J40" s="635"/>
      <c r="K40" s="622"/>
      <c r="L40" s="572"/>
      <c r="M40" s="6"/>
      <c r="N40" s="6"/>
      <c r="O40" s="613"/>
      <c r="P40" s="614"/>
      <c r="Q40" s="6"/>
      <c r="R40" s="6"/>
      <c r="S40" s="635"/>
      <c r="T40" s="622"/>
      <c r="U40" s="572">
        <v>35</v>
      </c>
      <c r="V40" s="6"/>
      <c r="W40" s="6">
        <v>30</v>
      </c>
      <c r="X40" s="613"/>
      <c r="Y40" s="614" t="s">
        <v>591</v>
      </c>
      <c r="Z40" s="605"/>
      <c r="AA40" s="605" t="s">
        <v>592</v>
      </c>
      <c r="AB40" s="635"/>
      <c r="AC40" s="622"/>
      <c r="AD40" s="572"/>
      <c r="AE40" s="6"/>
      <c r="AF40" s="6">
        <v>31</v>
      </c>
      <c r="AG40" s="613"/>
      <c r="AH40" s="614"/>
      <c r="AI40" s="6"/>
      <c r="AJ40" s="605" t="s">
        <v>593</v>
      </c>
      <c r="AK40" s="635"/>
      <c r="AM40" s="572"/>
      <c r="AN40" s="6"/>
      <c r="AO40" s="6"/>
      <c r="AP40" s="613"/>
      <c r="AQ40" s="614"/>
      <c r="AR40" s="6"/>
      <c r="AS40" s="6"/>
      <c r="AT40" s="635"/>
    </row>
    <row r="41" spans="1:46" ht="39.6" customHeight="1" x14ac:dyDescent="0.25">
      <c r="A41" s="2206">
        <v>44977</v>
      </c>
      <c r="B41" s="574">
        <v>1</v>
      </c>
      <c r="C41" s="595"/>
      <c r="D41" s="596"/>
      <c r="E41" s="596"/>
      <c r="F41" s="613"/>
      <c r="G41" s="685"/>
      <c r="H41" s="620"/>
      <c r="I41" s="692"/>
      <c r="J41" s="687"/>
      <c r="K41" s="622"/>
      <c r="L41" s="572"/>
      <c r="M41" s="6"/>
      <c r="N41" s="6"/>
      <c r="O41" s="613"/>
      <c r="P41" s="614"/>
      <c r="Q41" s="6"/>
      <c r="R41" s="6"/>
      <c r="S41" s="635"/>
      <c r="T41" s="622"/>
      <c r="U41" s="572"/>
      <c r="V41" s="6"/>
      <c r="W41" s="6"/>
      <c r="X41" s="613"/>
      <c r="Y41" s="614"/>
      <c r="Z41" s="605"/>
      <c r="AA41" s="605"/>
      <c r="AB41" s="613"/>
      <c r="AC41" s="622"/>
      <c r="AD41" s="572"/>
      <c r="AE41" s="6"/>
      <c r="AF41" s="6"/>
      <c r="AG41" s="613"/>
      <c r="AH41" s="614"/>
      <c r="AI41" s="605"/>
      <c r="AJ41" s="6"/>
      <c r="AK41" s="613"/>
      <c r="AM41" s="572"/>
      <c r="AN41" s="6"/>
      <c r="AO41" s="6"/>
      <c r="AP41" s="613"/>
      <c r="AQ41" s="614"/>
      <c r="AR41" s="605"/>
      <c r="AS41" s="6"/>
      <c r="AT41" s="613"/>
    </row>
    <row r="42" spans="1:46" ht="33" customHeight="1" x14ac:dyDescent="0.25">
      <c r="A42" s="2205"/>
      <c r="B42" s="574">
        <v>2</v>
      </c>
      <c r="C42" s="596"/>
      <c r="D42" s="596"/>
      <c r="E42" s="596"/>
      <c r="F42" s="613"/>
      <c r="G42" s="685"/>
      <c r="H42" s="619"/>
      <c r="I42" s="692"/>
      <c r="J42" s="687"/>
      <c r="K42" s="622"/>
      <c r="L42" s="572"/>
      <c r="M42" s="6"/>
      <c r="N42" s="6"/>
      <c r="O42" s="613"/>
      <c r="P42" s="614"/>
      <c r="Q42" s="6"/>
      <c r="R42" s="6"/>
      <c r="S42" s="635"/>
      <c r="T42" s="622"/>
      <c r="U42" s="572"/>
      <c r="V42" s="6"/>
      <c r="W42" s="6"/>
      <c r="X42" s="613"/>
      <c r="Y42" s="888"/>
      <c r="Z42" s="6"/>
      <c r="AA42" s="605"/>
      <c r="AB42" s="635"/>
      <c r="AC42" s="622"/>
      <c r="AD42" s="572">
        <v>25</v>
      </c>
      <c r="AE42" s="6"/>
      <c r="AF42" s="6">
        <v>13</v>
      </c>
      <c r="AG42" s="613"/>
      <c r="AH42" s="614" t="s">
        <v>113</v>
      </c>
      <c r="AI42" s="6"/>
      <c r="AJ42" s="605" t="s">
        <v>594</v>
      </c>
      <c r="AK42" s="613"/>
      <c r="AM42" s="572"/>
      <c r="AN42" s="6"/>
      <c r="AO42" s="6"/>
      <c r="AP42" s="613"/>
      <c r="AQ42" s="614"/>
      <c r="AR42" s="6"/>
      <c r="AS42" s="6"/>
      <c r="AT42" s="613"/>
    </row>
    <row r="43" spans="1:46" ht="33.6" customHeight="1" x14ac:dyDescent="0.25">
      <c r="A43" s="2206">
        <v>44978</v>
      </c>
      <c r="B43" s="574">
        <v>1</v>
      </c>
      <c r="C43" s="596"/>
      <c r="D43" s="596"/>
      <c r="E43" s="596">
        <v>10</v>
      </c>
      <c r="F43" s="597"/>
      <c r="G43" s="619"/>
      <c r="H43" s="619"/>
      <c r="I43" s="620" t="s">
        <v>509</v>
      </c>
      <c r="J43" s="635"/>
      <c r="K43" s="622"/>
      <c r="L43" s="572"/>
      <c r="M43" s="6"/>
      <c r="N43" s="6"/>
      <c r="O43" s="613"/>
      <c r="P43" s="614"/>
      <c r="Q43" s="6"/>
      <c r="R43" s="6"/>
      <c r="S43" s="613"/>
      <c r="T43" s="622"/>
      <c r="U43" s="572"/>
      <c r="V43" s="6"/>
      <c r="W43" s="6"/>
      <c r="X43" s="613"/>
      <c r="Y43" s="614"/>
      <c r="Z43" s="6"/>
      <c r="AA43" s="620"/>
      <c r="AB43" s="613"/>
      <c r="AC43" s="622"/>
      <c r="AD43" s="572"/>
      <c r="AE43" s="6"/>
      <c r="AF43" s="6"/>
      <c r="AG43" s="613"/>
      <c r="AH43" s="605"/>
      <c r="AI43" s="620"/>
      <c r="AJ43" s="6"/>
      <c r="AK43" s="613"/>
      <c r="AM43" s="572"/>
      <c r="AN43" s="6"/>
      <c r="AO43" s="6"/>
      <c r="AP43" s="613"/>
      <c r="AQ43" s="605"/>
      <c r="AR43" s="620"/>
      <c r="AS43" s="6"/>
      <c r="AT43" s="613"/>
    </row>
    <row r="44" spans="1:46" ht="36" customHeight="1" x14ac:dyDescent="0.25">
      <c r="A44" s="2205"/>
      <c r="B44" s="574">
        <v>2</v>
      </c>
      <c r="C44" s="596">
        <v>110</v>
      </c>
      <c r="D44" s="596">
        <v>110</v>
      </c>
      <c r="E44" s="596">
        <v>20</v>
      </c>
      <c r="F44" s="597"/>
      <c r="G44" s="619" t="s">
        <v>596</v>
      </c>
      <c r="H44" s="619" t="s">
        <v>513</v>
      </c>
      <c r="I44" s="692" t="s">
        <v>595</v>
      </c>
      <c r="J44" s="635"/>
      <c r="K44" s="622"/>
      <c r="L44" s="572"/>
      <c r="M44" s="6"/>
      <c r="N44" s="6"/>
      <c r="O44" s="613"/>
      <c r="P44" s="614"/>
      <c r="Q44" s="6"/>
      <c r="R44" s="605"/>
      <c r="S44" s="764"/>
      <c r="T44" s="622"/>
      <c r="U44" s="572"/>
      <c r="V44" s="6"/>
      <c r="W44" s="596"/>
      <c r="X44" s="597"/>
      <c r="Y44" s="619"/>
      <c r="Z44" s="619"/>
      <c r="AA44" s="605"/>
      <c r="AB44" s="635"/>
      <c r="AC44" s="622"/>
      <c r="AD44" s="572"/>
      <c r="AE44" s="6"/>
      <c r="AF44" s="6"/>
      <c r="AG44" s="613"/>
      <c r="AH44" s="614"/>
      <c r="AI44" s="605"/>
      <c r="AJ44" s="605"/>
      <c r="AK44" s="613"/>
      <c r="AM44" s="572"/>
      <c r="AN44" s="6"/>
      <c r="AO44" s="6"/>
      <c r="AP44" s="613"/>
      <c r="AQ44" s="614"/>
      <c r="AR44" s="605"/>
      <c r="AS44" s="605"/>
      <c r="AT44" s="613"/>
    </row>
    <row r="45" spans="1:46" ht="36" customHeight="1" x14ac:dyDescent="0.25">
      <c r="A45" s="2206">
        <v>44979</v>
      </c>
      <c r="B45" s="574">
        <v>1</v>
      </c>
      <c r="C45" s="596"/>
      <c r="D45" s="596"/>
      <c r="E45" s="596">
        <v>29</v>
      </c>
      <c r="F45" s="597"/>
      <c r="G45" s="619"/>
      <c r="H45" s="619"/>
      <c r="I45" s="620" t="s">
        <v>597</v>
      </c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"/>
      <c r="W45" s="6"/>
      <c r="X45" s="613"/>
      <c r="Y45" s="619"/>
      <c r="Z45" s="6"/>
      <c r="AA45" s="605"/>
      <c r="AB45" s="613"/>
      <c r="AC45" s="622"/>
      <c r="AD45" s="572"/>
      <c r="AE45" s="6"/>
      <c r="AF45" s="6"/>
      <c r="AG45" s="613"/>
      <c r="AH45" s="614"/>
      <c r="AI45" s="605"/>
      <c r="AJ45" s="6"/>
      <c r="AK45" s="613"/>
      <c r="AM45" s="572"/>
      <c r="AN45" s="6"/>
      <c r="AO45" s="6"/>
      <c r="AP45" s="613"/>
      <c r="AQ45" s="614"/>
      <c r="AR45" s="605"/>
      <c r="AS45" s="6"/>
      <c r="AT45" s="613"/>
    </row>
    <row r="46" spans="1:46" ht="34.15" customHeight="1" x14ac:dyDescent="0.25">
      <c r="A46" s="2205"/>
      <c r="B46" s="574">
        <v>2</v>
      </c>
      <c r="C46" s="596"/>
      <c r="D46" s="596"/>
      <c r="E46" s="596"/>
      <c r="F46" s="597"/>
      <c r="G46" s="619"/>
      <c r="H46" s="619"/>
      <c r="I46" s="620"/>
      <c r="J46" s="635"/>
      <c r="K46" s="622"/>
      <c r="L46" s="572"/>
      <c r="M46" s="6"/>
      <c r="N46" s="6"/>
      <c r="O46" s="785"/>
      <c r="P46" s="614"/>
      <c r="Q46" s="620"/>
      <c r="R46" s="6"/>
      <c r="S46" s="635"/>
      <c r="T46" s="622"/>
      <c r="U46" s="572"/>
      <c r="V46" s="6"/>
      <c r="W46" s="6"/>
      <c r="X46" s="613"/>
      <c r="Y46" s="614"/>
      <c r="Z46" s="6"/>
      <c r="AA46" s="605"/>
      <c r="AB46" s="635"/>
      <c r="AC46" s="622"/>
      <c r="AD46" s="572"/>
      <c r="AE46" s="6"/>
      <c r="AF46" s="6"/>
      <c r="AG46" s="613"/>
      <c r="AH46" s="888"/>
      <c r="AI46" s="6"/>
      <c r="AJ46" s="6"/>
      <c r="AK46" s="635"/>
      <c r="AM46" s="572"/>
      <c r="AN46" s="6"/>
      <c r="AO46" s="6"/>
      <c r="AP46" s="613"/>
      <c r="AQ46" s="888"/>
      <c r="AR46" s="6"/>
      <c r="AS46" s="6"/>
      <c r="AT46" s="635"/>
    </row>
    <row r="47" spans="1:46" ht="36" customHeight="1" x14ac:dyDescent="0.25">
      <c r="A47" s="2206">
        <v>44980</v>
      </c>
      <c r="B47" s="574">
        <v>1</v>
      </c>
      <c r="C47" s="596"/>
      <c r="D47" s="596"/>
      <c r="E47" s="596"/>
      <c r="F47" s="597"/>
      <c r="G47" s="620"/>
      <c r="H47" s="619"/>
      <c r="I47" s="692"/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/>
      <c r="X47" s="613"/>
      <c r="Y47" s="614"/>
      <c r="Z47" s="605"/>
      <c r="AA47" s="605"/>
      <c r="AB47" s="635"/>
      <c r="AC47" s="622"/>
      <c r="AD47" s="572"/>
      <c r="AE47" s="6"/>
      <c r="AF47" s="6"/>
      <c r="AG47" s="613"/>
      <c r="AH47" s="888"/>
      <c r="AI47" s="620"/>
      <c r="AJ47" s="6"/>
      <c r="AK47" s="613"/>
      <c r="AM47" s="572"/>
      <c r="AN47" s="6"/>
      <c r="AO47" s="6"/>
      <c r="AP47" s="613"/>
      <c r="AQ47" s="888"/>
      <c r="AR47" s="620"/>
      <c r="AS47" s="6"/>
      <c r="AT47" s="613"/>
    </row>
    <row r="48" spans="1:46" ht="34.9" customHeight="1" x14ac:dyDescent="0.25">
      <c r="A48" s="2205"/>
      <c r="B48" s="574">
        <v>2</v>
      </c>
      <c r="C48" s="596"/>
      <c r="D48" s="596"/>
      <c r="E48" s="596"/>
      <c r="F48" s="597"/>
      <c r="G48" s="620"/>
      <c r="H48" s="620"/>
      <c r="I48" s="692"/>
      <c r="J48" s="687"/>
      <c r="K48" s="622"/>
      <c r="L48" s="572"/>
      <c r="M48" s="6"/>
      <c r="N48" s="6"/>
      <c r="O48" s="613"/>
      <c r="P48" s="614"/>
      <c r="Q48" s="620"/>
      <c r="R48" s="605"/>
      <c r="S48" s="635"/>
      <c r="T48" s="622"/>
      <c r="U48" s="572"/>
      <c r="V48" s="6"/>
      <c r="W48" s="6"/>
      <c r="X48" s="613"/>
      <c r="Y48" s="888"/>
      <c r="Z48" s="6"/>
      <c r="AA48" s="605"/>
      <c r="AB48" s="613"/>
      <c r="AC48" s="622"/>
      <c r="AD48" s="572"/>
      <c r="AE48" s="6"/>
      <c r="AF48" s="6"/>
      <c r="AG48" s="613"/>
      <c r="AH48" s="614"/>
      <c r="AI48" s="605"/>
      <c r="AJ48" s="6"/>
      <c r="AK48" s="613"/>
      <c r="AM48" s="572"/>
      <c r="AN48" s="6"/>
      <c r="AO48" s="6"/>
      <c r="AP48" s="613"/>
      <c r="AQ48" s="614"/>
      <c r="AR48" s="605"/>
      <c r="AS48" s="6"/>
      <c r="AT48" s="613"/>
    </row>
    <row r="49" spans="1:46" ht="36" customHeight="1" x14ac:dyDescent="0.25">
      <c r="A49" s="2206">
        <v>44981</v>
      </c>
      <c r="B49" s="574">
        <v>1</v>
      </c>
      <c r="C49" s="596"/>
      <c r="D49" s="596"/>
      <c r="E49" s="596"/>
      <c r="F49" s="597"/>
      <c r="G49" s="620"/>
      <c r="H49" s="619"/>
      <c r="I49" s="692"/>
      <c r="J49" s="687"/>
      <c r="K49" s="622"/>
      <c r="L49" s="572"/>
      <c r="M49" s="6"/>
      <c r="N49" s="6"/>
      <c r="O49" s="613"/>
      <c r="P49" s="614"/>
      <c r="Q49" s="6"/>
      <c r="R49" s="6"/>
      <c r="S49" s="613"/>
      <c r="T49" s="622"/>
      <c r="U49" s="572"/>
      <c r="V49" s="6"/>
      <c r="W49" s="6"/>
      <c r="X49" s="613"/>
      <c r="Y49" s="614"/>
      <c r="Z49" s="605"/>
      <c r="AA49" s="605"/>
      <c r="AB49" s="635"/>
      <c r="AC49" s="622"/>
      <c r="AD49" s="572"/>
      <c r="AE49" s="6"/>
      <c r="AF49" s="6"/>
      <c r="AG49" s="613"/>
      <c r="AH49" s="614"/>
      <c r="AI49" s="605"/>
      <c r="AJ49" s="6"/>
      <c r="AK49" s="613"/>
      <c r="AM49" s="572"/>
      <c r="AN49" s="6"/>
      <c r="AO49" s="6"/>
      <c r="AP49" s="613"/>
      <c r="AQ49" s="614"/>
      <c r="AR49" s="605"/>
      <c r="AS49" s="6"/>
      <c r="AT49" s="613"/>
    </row>
    <row r="50" spans="1:46" ht="33" customHeight="1" x14ac:dyDescent="0.25">
      <c r="A50" s="2205"/>
      <c r="B50" s="574">
        <v>2</v>
      </c>
      <c r="C50" s="596"/>
      <c r="D50" s="596"/>
      <c r="E50" s="596"/>
      <c r="F50" s="597">
        <v>201</v>
      </c>
      <c r="G50" s="619"/>
      <c r="H50" s="619"/>
      <c r="I50" s="692"/>
      <c r="J50" s="635" t="s">
        <v>598</v>
      </c>
      <c r="K50" s="622"/>
      <c r="L50" s="572"/>
      <c r="M50" s="6"/>
      <c r="N50" s="6"/>
      <c r="O50" s="597">
        <v>201</v>
      </c>
      <c r="P50" s="619"/>
      <c r="Q50" s="619"/>
      <c r="R50" s="692"/>
      <c r="S50" s="635" t="s">
        <v>598</v>
      </c>
      <c r="T50" s="622"/>
      <c r="U50" s="572"/>
      <c r="V50" s="6"/>
      <c r="W50" s="6"/>
      <c r="X50" s="597">
        <v>201</v>
      </c>
      <c r="Y50" s="619"/>
      <c r="Z50" s="619"/>
      <c r="AA50" s="692"/>
      <c r="AB50" s="635" t="s">
        <v>598</v>
      </c>
      <c r="AC50" s="622"/>
      <c r="AD50" s="572"/>
      <c r="AE50" s="6"/>
      <c r="AF50" s="6"/>
      <c r="AG50" s="597">
        <v>201</v>
      </c>
      <c r="AH50" s="619"/>
      <c r="AI50" s="619"/>
      <c r="AJ50" s="692"/>
      <c r="AK50" s="635" t="s">
        <v>598</v>
      </c>
      <c r="AM50" s="572"/>
      <c r="AN50" s="6"/>
      <c r="AO50" s="6"/>
      <c r="AP50" s="597">
        <v>201</v>
      </c>
      <c r="AQ50" s="619"/>
      <c r="AR50" s="619"/>
      <c r="AS50" s="692"/>
      <c r="AT50" s="635" t="s">
        <v>598</v>
      </c>
    </row>
    <row r="51" spans="1:46" ht="34.9" customHeight="1" x14ac:dyDescent="0.25">
      <c r="A51" s="2206">
        <v>44982</v>
      </c>
      <c r="B51" s="574">
        <v>1</v>
      </c>
      <c r="C51" s="596"/>
      <c r="D51" s="596"/>
      <c r="E51" s="596"/>
      <c r="F51" s="597"/>
      <c r="G51" s="619"/>
      <c r="H51" s="619"/>
      <c r="I51" s="692"/>
      <c r="J51" s="635"/>
      <c r="K51" s="622"/>
      <c r="L51" s="572"/>
      <c r="M51" s="6"/>
      <c r="N51" s="6"/>
      <c r="O51" s="613"/>
      <c r="P51" s="614"/>
      <c r="Q51" s="620"/>
      <c r="R51" s="6"/>
      <c r="S51" s="613"/>
      <c r="T51" s="622"/>
      <c r="U51" s="572"/>
      <c r="V51" s="6"/>
      <c r="W51" s="6"/>
      <c r="X51" s="613"/>
      <c r="Y51" s="888"/>
      <c r="Z51" s="6"/>
      <c r="AA51" s="605"/>
      <c r="AB51" s="613"/>
      <c r="AC51" s="622"/>
      <c r="AD51" s="572"/>
      <c r="AE51" s="6"/>
      <c r="AF51" s="6"/>
      <c r="AG51" s="613"/>
      <c r="AH51" s="614"/>
      <c r="AI51" s="6"/>
      <c r="AJ51" s="6"/>
      <c r="AK51" s="613"/>
      <c r="AM51" s="572"/>
      <c r="AN51" s="6"/>
      <c r="AO51" s="6"/>
      <c r="AP51" s="613"/>
      <c r="AQ51" s="614"/>
      <c r="AR51" s="6"/>
      <c r="AS51" s="6"/>
      <c r="AT51" s="613"/>
    </row>
    <row r="52" spans="1:46" ht="31.9" customHeight="1" x14ac:dyDescent="0.25">
      <c r="A52" s="2205"/>
      <c r="B52" s="574">
        <v>2</v>
      </c>
      <c r="C52" s="596"/>
      <c r="D52" s="596"/>
      <c r="E52" s="596"/>
      <c r="F52" s="597"/>
      <c r="G52" s="620"/>
      <c r="H52" s="620"/>
      <c r="I52" s="692"/>
      <c r="J52" s="635"/>
      <c r="K52" s="622"/>
      <c r="L52" s="572"/>
      <c r="M52" s="6"/>
      <c r="N52" s="6"/>
      <c r="O52" s="613"/>
      <c r="P52" s="614"/>
      <c r="Q52" s="6"/>
      <c r="R52" s="6"/>
      <c r="S52" s="635"/>
      <c r="T52" s="622"/>
      <c r="U52" s="572"/>
      <c r="V52" s="6"/>
      <c r="W52" s="6"/>
      <c r="X52" s="613"/>
      <c r="Y52" s="888"/>
      <c r="Z52" s="605"/>
      <c r="AA52" s="605"/>
      <c r="AB52" s="635"/>
      <c r="AC52" s="622"/>
      <c r="AD52" s="572"/>
      <c r="AE52" s="6"/>
      <c r="AF52" s="6"/>
      <c r="AG52" s="613"/>
      <c r="AH52" s="614"/>
      <c r="AI52" s="6"/>
      <c r="AJ52" s="6"/>
      <c r="AK52" s="613"/>
      <c r="AM52" s="572">
        <v>469</v>
      </c>
      <c r="AN52" s="613"/>
      <c r="AO52" s="613"/>
      <c r="AP52" s="613"/>
      <c r="AQ52" s="907" t="s">
        <v>599</v>
      </c>
      <c r="AR52" s="613"/>
      <c r="AS52" s="6"/>
      <c r="AT52" s="613"/>
    </row>
    <row r="53" spans="1:46" ht="40.15" customHeight="1" x14ac:dyDescent="0.25">
      <c r="A53" s="2206">
        <v>44983</v>
      </c>
      <c r="B53" s="574">
        <v>1</v>
      </c>
      <c r="C53" s="596"/>
      <c r="D53" s="596"/>
      <c r="E53" s="596"/>
      <c r="F53" s="597"/>
      <c r="G53" s="619"/>
      <c r="H53" s="619"/>
      <c r="I53" s="692"/>
      <c r="J53" s="635"/>
      <c r="K53" s="622"/>
      <c r="L53" s="572"/>
      <c r="M53" s="6"/>
      <c r="N53" s="6"/>
      <c r="O53" s="613"/>
      <c r="P53" s="888"/>
      <c r="Q53" s="6"/>
      <c r="R53" s="6"/>
      <c r="S53" s="635"/>
      <c r="T53" s="622"/>
      <c r="U53" s="572"/>
      <c r="V53" s="6"/>
      <c r="W53" s="6"/>
      <c r="X53" s="613"/>
      <c r="Y53" s="888"/>
      <c r="Z53" s="6"/>
      <c r="AA53" s="605"/>
      <c r="AB53" s="613"/>
      <c r="AC53" s="622"/>
      <c r="AD53" s="572"/>
      <c r="AE53" s="605"/>
      <c r="AF53" s="6"/>
      <c r="AG53" s="613"/>
      <c r="AH53" s="614"/>
      <c r="AI53" s="605"/>
      <c r="AJ53" s="605"/>
      <c r="AK53" s="613"/>
      <c r="AM53" s="572"/>
      <c r="AN53" s="605"/>
      <c r="AO53" s="6"/>
      <c r="AP53" s="613"/>
      <c r="AQ53" s="614"/>
      <c r="AR53" s="605"/>
      <c r="AS53" s="605"/>
      <c r="AT53" s="613"/>
    </row>
    <row r="54" spans="1:46" ht="39.6" customHeight="1" x14ac:dyDescent="0.25">
      <c r="A54" s="2205"/>
      <c r="B54" s="882">
        <v>2</v>
      </c>
      <c r="C54" s="596"/>
      <c r="D54" s="596"/>
      <c r="E54" s="596"/>
      <c r="F54" s="597"/>
      <c r="G54" s="619"/>
      <c r="H54" s="619"/>
      <c r="I54" s="692"/>
      <c r="J54" s="635"/>
      <c r="K54" s="622"/>
      <c r="L54" s="572"/>
      <c r="M54" s="6"/>
      <c r="N54" s="6"/>
      <c r="O54" s="597"/>
      <c r="P54" s="619"/>
      <c r="Q54" s="619"/>
      <c r="R54" s="619"/>
      <c r="S54" s="635"/>
      <c r="T54" s="622"/>
      <c r="U54" s="572"/>
      <c r="V54" s="6"/>
      <c r="W54" s="6"/>
      <c r="X54" s="597"/>
      <c r="Y54" s="619"/>
      <c r="Z54" s="620"/>
      <c r="AA54" s="605"/>
      <c r="AB54" s="635"/>
      <c r="AC54" s="622"/>
      <c r="AD54" s="572"/>
      <c r="AE54" s="6"/>
      <c r="AF54" s="6"/>
      <c r="AG54" s="597"/>
      <c r="AH54" s="619"/>
      <c r="AI54" s="619"/>
      <c r="AJ54" s="6"/>
      <c r="AK54" s="635"/>
      <c r="AM54" s="572"/>
      <c r="AN54" s="6"/>
      <c r="AO54" s="6">
        <v>37</v>
      </c>
      <c r="AP54" s="597"/>
      <c r="AQ54" s="619"/>
      <c r="AR54" s="619"/>
      <c r="AS54" s="620" t="s">
        <v>521</v>
      </c>
      <c r="AT54" s="635"/>
    </row>
    <row r="55" spans="1:46" ht="39.6" customHeight="1" x14ac:dyDescent="0.25">
      <c r="A55" s="2206">
        <v>44984</v>
      </c>
      <c r="B55" s="574">
        <v>1</v>
      </c>
      <c r="C55" s="595"/>
      <c r="D55" s="596"/>
      <c r="E55" s="596">
        <v>10</v>
      </c>
      <c r="F55" s="597"/>
      <c r="G55" s="619"/>
      <c r="H55" s="619"/>
      <c r="I55" s="620" t="s">
        <v>97</v>
      </c>
      <c r="J55" s="687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>
        <v>18</v>
      </c>
      <c r="X55" s="613"/>
      <c r="Y55" s="614"/>
      <c r="Z55" s="619"/>
      <c r="AA55" s="620" t="s">
        <v>97</v>
      </c>
      <c r="AB55" s="635"/>
      <c r="AC55" s="622"/>
      <c r="AD55" s="572"/>
      <c r="AE55" s="6"/>
      <c r="AF55" s="6"/>
      <c r="AG55" s="613"/>
      <c r="AH55" s="614"/>
      <c r="AI55" s="6"/>
      <c r="AJ55" s="605"/>
      <c r="AK55" s="613"/>
      <c r="AM55" s="572"/>
      <c r="AN55" s="6"/>
      <c r="AO55" s="6"/>
      <c r="AP55" s="613"/>
      <c r="AQ55" s="614"/>
      <c r="AR55" s="6"/>
      <c r="AS55" s="605"/>
      <c r="AT55" s="613"/>
    </row>
    <row r="56" spans="1:46" ht="40.9" customHeight="1" x14ac:dyDescent="0.25">
      <c r="A56" s="2205"/>
      <c r="B56" s="882">
        <v>2</v>
      </c>
      <c r="C56" s="595"/>
      <c r="D56" s="596"/>
      <c r="E56" s="596"/>
      <c r="F56" s="597"/>
      <c r="G56" s="620"/>
      <c r="H56" s="619"/>
      <c r="I56" s="620"/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>
        <v>205</v>
      </c>
      <c r="V56" s="6">
        <v>205</v>
      </c>
      <c r="W56" s="6">
        <v>205</v>
      </c>
      <c r="X56" s="597"/>
      <c r="Y56" s="620" t="s">
        <v>583</v>
      </c>
      <c r="Z56" s="619" t="s">
        <v>583</v>
      </c>
      <c r="AA56" s="620" t="s">
        <v>583</v>
      </c>
      <c r="AB56" s="635"/>
      <c r="AC56" s="622"/>
      <c r="AD56" s="572"/>
      <c r="AE56" s="6"/>
      <c r="AF56" s="6"/>
      <c r="AG56" s="597"/>
      <c r="AH56" s="620"/>
      <c r="AI56" s="619"/>
      <c r="AJ56" s="620"/>
      <c r="AK56" s="635"/>
      <c r="AM56" s="572"/>
      <c r="AN56" s="6"/>
      <c r="AO56" s="6"/>
      <c r="AP56" s="597"/>
      <c r="AQ56" s="620"/>
      <c r="AR56" s="619"/>
      <c r="AS56" s="620"/>
      <c r="AT56" s="635"/>
    </row>
    <row r="57" spans="1:46" ht="37.9" customHeight="1" x14ac:dyDescent="0.25">
      <c r="A57" s="2206">
        <v>44985</v>
      </c>
      <c r="B57" s="574">
        <v>1</v>
      </c>
      <c r="C57" s="595"/>
      <c r="D57" s="596"/>
      <c r="E57" s="596"/>
      <c r="F57" s="597"/>
      <c r="G57" s="620"/>
      <c r="H57" s="619"/>
      <c r="I57" s="692"/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>
        <v>41</v>
      </c>
      <c r="X57" s="597"/>
      <c r="Y57" s="620"/>
      <c r="Z57" s="619"/>
      <c r="AA57" s="620" t="s">
        <v>600</v>
      </c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/>
      <c r="AP57" s="597"/>
      <c r="AQ57" s="620"/>
      <c r="AR57" s="619"/>
      <c r="AS57" s="620"/>
      <c r="AT57" s="635"/>
    </row>
    <row r="58" spans="1:46" ht="35.450000000000003" customHeight="1" x14ac:dyDescent="0.25">
      <c r="A58" s="2205"/>
      <c r="B58" s="882">
        <v>2</v>
      </c>
      <c r="C58" s="595">
        <v>174</v>
      </c>
      <c r="D58" s="596">
        <v>174</v>
      </c>
      <c r="E58" s="596">
        <v>174</v>
      </c>
      <c r="F58" s="597"/>
      <c r="G58" s="620" t="s">
        <v>583</v>
      </c>
      <c r="H58" s="619" t="s">
        <v>583</v>
      </c>
      <c r="I58" s="620" t="s">
        <v>583</v>
      </c>
      <c r="J58" s="635"/>
      <c r="K58" s="622"/>
      <c r="L58" s="572"/>
      <c r="M58" s="6"/>
      <c r="N58" s="6"/>
      <c r="O58" s="613"/>
      <c r="P58" s="614"/>
      <c r="Q58" s="6"/>
      <c r="R58" s="6"/>
      <c r="S58" s="635"/>
      <c r="T58" s="622"/>
      <c r="U58" s="572"/>
      <c r="V58" s="6"/>
      <c r="W58" s="6"/>
      <c r="X58" s="613"/>
      <c r="Y58" s="614"/>
      <c r="Z58" s="605"/>
      <c r="AA58" s="620"/>
      <c r="AB58" s="613"/>
      <c r="AC58" s="622"/>
      <c r="AD58" s="572"/>
      <c r="AE58" s="6"/>
      <c r="AF58" s="6"/>
      <c r="AG58" s="613"/>
      <c r="AH58" s="614"/>
      <c r="AI58" s="6"/>
      <c r="AJ58" s="6"/>
      <c r="AK58" s="613"/>
      <c r="AM58" s="572"/>
      <c r="AN58" s="6"/>
      <c r="AO58" s="6"/>
      <c r="AP58" s="613"/>
      <c r="AQ58" s="614"/>
      <c r="AR58" s="6"/>
      <c r="AS58" s="6"/>
      <c r="AT58" s="613"/>
    </row>
    <row r="59" spans="1:46" ht="34.15" customHeight="1" x14ac:dyDescent="0.25">
      <c r="A59" s="2206"/>
      <c r="B59" s="574">
        <v>1</v>
      </c>
      <c r="C59" s="595"/>
      <c r="D59" s="596"/>
      <c r="E59" s="596"/>
      <c r="F59" s="597"/>
      <c r="G59" s="619"/>
      <c r="H59" s="619"/>
      <c r="I59" s="692"/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/>
      <c r="X59" s="613"/>
      <c r="Y59" s="614"/>
      <c r="Z59" s="6"/>
      <c r="AA59" s="605"/>
      <c r="AB59" s="613"/>
      <c r="AC59" s="622"/>
      <c r="AD59" s="572"/>
      <c r="AE59" s="6"/>
      <c r="AF59" s="6"/>
      <c r="AG59" s="613"/>
      <c r="AH59" s="888"/>
      <c r="AI59" s="6"/>
      <c r="AJ59" s="620"/>
      <c r="AK59" s="613"/>
      <c r="AM59" s="572"/>
      <c r="AN59" s="6"/>
      <c r="AO59" s="6"/>
      <c r="AP59" s="613"/>
      <c r="AQ59" s="888"/>
      <c r="AR59" s="6"/>
      <c r="AS59" s="620"/>
      <c r="AT59" s="613"/>
    </row>
    <row r="60" spans="1:46" ht="36" customHeight="1" x14ac:dyDescent="0.25">
      <c r="A60" s="2205"/>
      <c r="B60" s="882">
        <v>2</v>
      </c>
      <c r="C60" s="595"/>
      <c r="D60" s="596"/>
      <c r="E60" s="596"/>
      <c r="F60" s="597"/>
      <c r="G60" s="619"/>
      <c r="H60" s="620"/>
      <c r="I60" s="692"/>
      <c r="J60" s="635"/>
      <c r="K60" s="622"/>
      <c r="L60" s="572"/>
      <c r="M60" s="6"/>
      <c r="N60" s="6"/>
      <c r="O60" s="613"/>
      <c r="P60" s="614"/>
      <c r="Q60" s="6"/>
      <c r="R60" s="6"/>
      <c r="S60" s="635"/>
      <c r="T60" s="622"/>
      <c r="U60" s="572"/>
      <c r="V60" s="6"/>
      <c r="W60" s="6"/>
      <c r="X60" s="613"/>
      <c r="Y60" s="888"/>
      <c r="Z60" s="605"/>
      <c r="AA60" s="605"/>
      <c r="AB60" s="635"/>
      <c r="AC60" s="622"/>
      <c r="AD60" s="572"/>
      <c r="AE60" s="6"/>
      <c r="AF60" s="6"/>
      <c r="AG60" s="613"/>
      <c r="AH60" s="614"/>
      <c r="AI60" s="6"/>
      <c r="AJ60" s="605"/>
      <c r="AK60" s="635"/>
      <c r="AM60" s="572"/>
      <c r="AN60" s="6"/>
      <c r="AO60" s="6"/>
      <c r="AP60" s="613"/>
      <c r="AQ60" s="614"/>
      <c r="AR60" s="6"/>
      <c r="AS60" s="605"/>
      <c r="AT60" s="635"/>
    </row>
    <row r="61" spans="1:46" ht="32.450000000000003" customHeight="1" x14ac:dyDescent="0.25">
      <c r="A61" s="2206"/>
      <c r="B61" s="574">
        <v>1</v>
      </c>
      <c r="C61" s="891"/>
      <c r="D61" s="893"/>
      <c r="E61" s="596"/>
      <c r="F61" s="749"/>
      <c r="G61" s="619"/>
      <c r="H61" s="892"/>
      <c r="I61" s="692"/>
      <c r="J61" s="687"/>
      <c r="K61" s="622"/>
      <c r="L61" s="572"/>
      <c r="M61" s="6"/>
      <c r="N61" s="6"/>
      <c r="O61" s="613"/>
      <c r="P61" s="752"/>
      <c r="Q61" s="889"/>
      <c r="R61" s="889"/>
      <c r="S61" s="753"/>
      <c r="T61" s="622"/>
      <c r="U61" s="572"/>
      <c r="V61" s="6"/>
      <c r="W61" s="6"/>
      <c r="X61" s="613"/>
      <c r="Y61" s="888"/>
      <c r="Z61" s="605"/>
      <c r="AA61" s="605"/>
      <c r="AB61" s="753"/>
      <c r="AC61" s="622"/>
      <c r="AD61" s="572"/>
      <c r="AE61" s="6"/>
      <c r="AF61" s="6"/>
      <c r="AG61" s="613"/>
      <c r="AH61" s="614"/>
      <c r="AI61" s="6"/>
      <c r="AJ61" s="605"/>
      <c r="AK61" s="753"/>
      <c r="AM61" s="572"/>
      <c r="AN61" s="6"/>
      <c r="AO61" s="6"/>
      <c r="AP61" s="613"/>
      <c r="AQ61" s="614"/>
      <c r="AR61" s="6"/>
      <c r="AS61" s="605"/>
      <c r="AT61" s="753"/>
    </row>
    <row r="62" spans="1:46" ht="33" customHeight="1" x14ac:dyDescent="0.25">
      <c r="A62" s="2205"/>
      <c r="B62" s="882">
        <v>2</v>
      </c>
      <c r="C62" s="891"/>
      <c r="D62" s="893"/>
      <c r="E62" s="893"/>
      <c r="F62" s="749"/>
      <c r="G62" s="884"/>
      <c r="H62" s="892"/>
      <c r="I62" s="692"/>
      <c r="J62" s="687"/>
      <c r="K62" s="622"/>
      <c r="L62" s="572"/>
      <c r="M62" s="6"/>
      <c r="N62" s="6"/>
      <c r="O62" s="613"/>
      <c r="P62" s="752"/>
      <c r="Q62" s="889"/>
      <c r="R62" s="889"/>
      <c r="S62" s="753"/>
      <c r="T62" s="622"/>
      <c r="U62" s="572"/>
      <c r="V62" s="6"/>
      <c r="W62" s="6"/>
      <c r="X62" s="613"/>
      <c r="Y62" s="888"/>
      <c r="Z62" s="605"/>
      <c r="AA62" s="605"/>
      <c r="AB62" s="753"/>
      <c r="AC62" s="622"/>
      <c r="AD62" s="572"/>
      <c r="AE62" s="6"/>
      <c r="AF62" s="6"/>
      <c r="AG62" s="613"/>
      <c r="AH62" s="614"/>
      <c r="AI62" s="6"/>
      <c r="AJ62" s="605"/>
      <c r="AK62" s="753"/>
      <c r="AM62" s="572"/>
      <c r="AN62" s="6"/>
      <c r="AO62" s="6"/>
      <c r="AP62" s="613"/>
      <c r="AQ62" s="614"/>
      <c r="AR62" s="6"/>
      <c r="AS62" s="605"/>
      <c r="AT62" s="753"/>
    </row>
    <row r="63" spans="1:46" ht="33.6" customHeight="1" x14ac:dyDescent="0.25">
      <c r="A63" s="2206"/>
      <c r="B63" s="574">
        <v>1</v>
      </c>
      <c r="C63" s="706"/>
      <c r="D63" s="707"/>
      <c r="E63" s="707"/>
      <c r="F63" s="708"/>
      <c r="G63" s="717"/>
      <c r="H63" s="709"/>
      <c r="I63" s="620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/>
      <c r="X63" s="597"/>
      <c r="Y63" s="685"/>
      <c r="Z63" s="619"/>
      <c r="AA63" s="6"/>
      <c r="AB63" s="887"/>
      <c r="AC63" s="622"/>
      <c r="AD63" s="572"/>
      <c r="AE63" s="6"/>
      <c r="AF63" s="6"/>
      <c r="AG63" s="597"/>
      <c r="AH63" s="685"/>
      <c r="AI63" s="619"/>
      <c r="AJ63" s="6"/>
      <c r="AK63" s="705"/>
      <c r="AM63" s="572"/>
      <c r="AN63" s="6"/>
      <c r="AO63" s="6"/>
      <c r="AP63" s="597"/>
      <c r="AQ63" s="685"/>
      <c r="AR63" s="619"/>
      <c r="AS63" s="619"/>
      <c r="AT63" s="705"/>
    </row>
    <row r="64" spans="1:46" ht="30.6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636"/>
      <c r="AQ64" s="637"/>
      <c r="AR64" s="638"/>
      <c r="AS64" s="638"/>
      <c r="AT64" s="713"/>
    </row>
    <row r="65" spans="1:42" ht="23.45" customHeight="1" x14ac:dyDescent="0.25">
      <c r="A65" s="524" t="s">
        <v>225</v>
      </c>
      <c r="C65" s="768">
        <f>SUM(C3:C64)</f>
        <v>815</v>
      </c>
      <c r="D65" s="525">
        <f>SUM(D3:D64)</f>
        <v>466</v>
      </c>
      <c r="E65" s="768">
        <f>SUM(E3:E64)</f>
        <v>624</v>
      </c>
      <c r="F65" s="525">
        <f>SUM(F3:F64)</f>
        <v>201</v>
      </c>
      <c r="L65" s="525">
        <f>SUM(L3:L64)</f>
        <v>0</v>
      </c>
      <c r="M65" s="525">
        <f>SUM(M3:M64)</f>
        <v>0</v>
      </c>
      <c r="N65" s="525">
        <f>SUM(N3:N64)</f>
        <v>0</v>
      </c>
      <c r="O65" s="525">
        <f>SUM(O3:O64)</f>
        <v>201</v>
      </c>
      <c r="U65" s="525">
        <f>SUM(U3:U64)</f>
        <v>904</v>
      </c>
      <c r="V65" s="525">
        <f>SUM(V3:V64)</f>
        <v>288</v>
      </c>
      <c r="W65" s="525">
        <f>SUM(W3:W64)</f>
        <v>547</v>
      </c>
      <c r="X65" s="525">
        <f>SUM(X3:X64)</f>
        <v>201</v>
      </c>
      <c r="AD65" s="525">
        <f>SUM(AD3:AD64)</f>
        <v>321</v>
      </c>
      <c r="AE65" s="525">
        <f>SUM(AE3:AE64)</f>
        <v>23</v>
      </c>
      <c r="AF65" s="525">
        <f>SUM(AF3:AF64)</f>
        <v>245</v>
      </c>
      <c r="AG65" s="525">
        <f>SUM(AG3:AG64)</f>
        <v>201</v>
      </c>
      <c r="AM65" s="525">
        <f>SUM(AM3:AM64)</f>
        <v>469</v>
      </c>
      <c r="AN65" s="525">
        <f>SUM(AN3:AN64)</f>
        <v>65</v>
      </c>
      <c r="AO65" s="525">
        <f>SUM(AO3:AO64)</f>
        <v>1408</v>
      </c>
      <c r="AP65" s="525">
        <f>SUM(AP3:AP64)</f>
        <v>201</v>
      </c>
    </row>
    <row r="73" spans="1:42" ht="15.75" thickBot="1" x14ac:dyDescent="0.3"/>
    <row r="74" spans="1:42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2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2" ht="21.75" customHeight="1" x14ac:dyDescent="0.3">
      <c r="B76" s="651" t="s">
        <v>218</v>
      </c>
      <c r="C76" s="652">
        <f>C65</f>
        <v>815</v>
      </c>
      <c r="D76" s="653">
        <f>C76/60</f>
        <v>13.583333333333334</v>
      </c>
      <c r="E76" s="652">
        <f>D65</f>
        <v>466</v>
      </c>
      <c r="F76" s="654">
        <f>E76/60</f>
        <v>7.7666666666666666</v>
      </c>
      <c r="G76" s="652">
        <f>E65</f>
        <v>624</v>
      </c>
      <c r="H76" s="653">
        <f>G76/60</f>
        <v>10.4</v>
      </c>
      <c r="I76" s="652">
        <f>F65</f>
        <v>201</v>
      </c>
      <c r="J76" s="653">
        <f>I76/60</f>
        <v>3.35</v>
      </c>
    </row>
    <row r="77" spans="1:42" ht="19.5" customHeight="1" x14ac:dyDescent="0.3">
      <c r="B77" s="651" t="s">
        <v>219</v>
      </c>
      <c r="C77" s="655">
        <f>L65</f>
        <v>0</v>
      </c>
      <c r="D77" s="656">
        <f t="shared" ref="D77:F79" si="0">C77/60</f>
        <v>0</v>
      </c>
      <c r="E77" s="655">
        <f>M65</f>
        <v>0</v>
      </c>
      <c r="F77" s="657">
        <f t="shared" si="0"/>
        <v>0</v>
      </c>
      <c r="G77" s="655">
        <f>N65</f>
        <v>0</v>
      </c>
      <c r="H77" s="656">
        <f t="shared" ref="H77:J79" si="1">G77/60</f>
        <v>0</v>
      </c>
      <c r="I77" s="655">
        <f>O65</f>
        <v>201</v>
      </c>
      <c r="J77" s="656">
        <f t="shared" si="1"/>
        <v>3.35</v>
      </c>
    </row>
    <row r="78" spans="1:42" ht="20.25" customHeight="1" x14ac:dyDescent="0.3">
      <c r="B78" s="651" t="s">
        <v>220</v>
      </c>
      <c r="C78" s="655">
        <f>U65</f>
        <v>904</v>
      </c>
      <c r="D78" s="656">
        <f t="shared" si="0"/>
        <v>15.066666666666666</v>
      </c>
      <c r="E78" s="655">
        <f>V65</f>
        <v>288</v>
      </c>
      <c r="F78" s="657">
        <f t="shared" si="0"/>
        <v>4.8</v>
      </c>
      <c r="G78" s="655">
        <f>W65</f>
        <v>547</v>
      </c>
      <c r="H78" s="656">
        <f>G78/60</f>
        <v>9.1166666666666671</v>
      </c>
      <c r="I78" s="655">
        <f>X65</f>
        <v>201</v>
      </c>
      <c r="J78" s="656">
        <f t="shared" si="1"/>
        <v>3.35</v>
      </c>
    </row>
    <row r="79" spans="1:42" ht="22.5" customHeight="1" thickBot="1" x14ac:dyDescent="0.35">
      <c r="B79" s="651" t="s">
        <v>221</v>
      </c>
      <c r="C79" s="658">
        <f>AD65</f>
        <v>321</v>
      </c>
      <c r="D79" s="659">
        <f t="shared" si="0"/>
        <v>5.35</v>
      </c>
      <c r="E79" s="658">
        <f>AE65</f>
        <v>23</v>
      </c>
      <c r="F79" s="660">
        <f t="shared" si="0"/>
        <v>0.38333333333333336</v>
      </c>
      <c r="G79" s="658">
        <f>AF65</f>
        <v>245</v>
      </c>
      <c r="H79" s="659">
        <f t="shared" si="1"/>
        <v>4.083333333333333</v>
      </c>
      <c r="I79" s="658">
        <f>AG65</f>
        <v>201</v>
      </c>
      <c r="J79" s="659">
        <f t="shared" si="1"/>
        <v>3.35</v>
      </c>
    </row>
    <row r="80" spans="1:42" ht="22.5" customHeight="1" thickBot="1" x14ac:dyDescent="0.35">
      <c r="B80" s="651" t="s">
        <v>488</v>
      </c>
      <c r="C80" s="850">
        <f>AM65</f>
        <v>469</v>
      </c>
      <c r="D80" s="849">
        <f>C80/60</f>
        <v>7.8166666666666664</v>
      </c>
      <c r="E80" s="850">
        <f>AN65</f>
        <v>65</v>
      </c>
      <c r="F80" s="851">
        <f>E80/60</f>
        <v>1.0833333333333333</v>
      </c>
      <c r="G80" s="850">
        <f>AO65</f>
        <v>1408</v>
      </c>
      <c r="H80" s="849">
        <f>G80/60</f>
        <v>23.466666666666665</v>
      </c>
      <c r="I80" s="850">
        <f>AP65</f>
        <v>201</v>
      </c>
      <c r="J80" s="849">
        <f>I80/60</f>
        <v>3.35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41.816666666666663</v>
      </c>
      <c r="E82" s="666"/>
      <c r="F82" s="667">
        <f>SUM(F76:F80)</f>
        <v>14.033333333333333</v>
      </c>
      <c r="G82" s="666"/>
      <c r="H82" s="667">
        <f>SUM(H76:H80)</f>
        <v>47.066666666666663</v>
      </c>
      <c r="I82" s="666"/>
      <c r="J82" s="668">
        <f>AVERAGE(J76:J80)</f>
        <v>3.35</v>
      </c>
    </row>
  </sheetData>
  <mergeCells count="45">
    <mergeCell ref="A5:A6"/>
    <mergeCell ref="C1:F1"/>
    <mergeCell ref="G1:J1"/>
    <mergeCell ref="L1:O1"/>
    <mergeCell ref="P1:S1"/>
    <mergeCell ref="AD1:AG1"/>
    <mergeCell ref="AH1:AK1"/>
    <mergeCell ref="AM1:AP1"/>
    <mergeCell ref="AQ1:AT1"/>
    <mergeCell ref="A3:A4"/>
    <mergeCell ref="U1:X1"/>
    <mergeCell ref="Y1:AB1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</mergeCells>
  <pageMargins left="0.7" right="0.7" top="0.75" bottom="0.75" header="0.3" footer="0.3"/>
  <pageSetup paperSize="9" orientation="portrait" horizontalDpi="180" verticalDpi="18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2"/>
  <sheetViews>
    <sheetView zoomScale="55" zoomScaleNormal="55" workbookViewId="0">
      <pane xSplit="2" ySplit="2" topLeftCell="C39" activePane="bottomRight" state="frozen"/>
      <selection pane="topRight" activeCell="C1" sqref="C1"/>
      <selection pane="bottomLeft" activeCell="A3" sqref="A3"/>
      <selection pane="bottomRight" activeCell="J88" sqref="J88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21.140625" style="524" customWidth="1"/>
    <col min="8" max="8" width="27.28515625" style="524" customWidth="1"/>
    <col min="9" max="9" width="22" style="524" customWidth="1"/>
    <col min="10" max="10" width="26.28515625" style="524" customWidth="1"/>
    <col min="11" max="14" width="10.7109375" style="524" customWidth="1"/>
    <col min="15" max="15" width="17" style="524" customWidth="1"/>
    <col min="16" max="16" width="23" style="524" customWidth="1"/>
    <col min="17" max="17" width="25.7109375" style="524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3.85546875" style="524" customWidth="1"/>
    <col min="27" max="27" width="32.42578125" style="524" customWidth="1"/>
    <col min="28" max="28" width="27" style="524" customWidth="1"/>
    <col min="29" max="33" width="10.7109375" style="524" customWidth="1"/>
    <col min="34" max="34" width="28.7109375" style="524" customWidth="1"/>
    <col min="35" max="35" width="18.5703125" style="524" customWidth="1"/>
    <col min="36" max="36" width="17" style="524" customWidth="1"/>
    <col min="37" max="37" width="26" style="524" customWidth="1"/>
    <col min="38" max="38" width="8.85546875" style="524"/>
    <col min="39" max="42" width="10.7109375" style="524" customWidth="1"/>
    <col min="43" max="43" width="16.85546875" style="524" customWidth="1"/>
    <col min="44" max="44" width="15.140625" style="524" customWidth="1"/>
    <col min="45" max="45" width="17.5703125" style="524" customWidth="1"/>
    <col min="46" max="46" width="24.7109375" style="524" customWidth="1"/>
    <col min="47" max="16384" width="8.85546875" style="524"/>
  </cols>
  <sheetData>
    <row r="1" spans="1:46" x14ac:dyDescent="0.25">
      <c r="C1" s="2217" t="s">
        <v>1</v>
      </c>
      <c r="D1" s="2212"/>
      <c r="E1" s="2212"/>
      <c r="F1" s="2212"/>
      <c r="G1" s="2211" t="s">
        <v>206</v>
      </c>
      <c r="H1" s="2209"/>
      <c r="I1" s="2209"/>
      <c r="J1" s="2210"/>
      <c r="L1" s="2212" t="s">
        <v>4</v>
      </c>
      <c r="M1" s="2212"/>
      <c r="N1" s="2212"/>
      <c r="O1" s="2212"/>
      <c r="P1" s="2209" t="s">
        <v>206</v>
      </c>
      <c r="Q1" s="2209"/>
      <c r="R1" s="2209"/>
      <c r="S1" s="2210"/>
      <c r="U1" s="2212" t="s">
        <v>2</v>
      </c>
      <c r="V1" s="2212"/>
      <c r="W1" s="2212"/>
      <c r="X1" s="2212"/>
      <c r="Y1" s="2209" t="s">
        <v>206</v>
      </c>
      <c r="Z1" s="2209"/>
      <c r="AA1" s="2209"/>
      <c r="AB1" s="2210"/>
      <c r="AD1" s="2212" t="s">
        <v>5</v>
      </c>
      <c r="AE1" s="2212"/>
      <c r="AF1" s="2212"/>
      <c r="AG1" s="2212"/>
      <c r="AH1" s="2209" t="s">
        <v>206</v>
      </c>
      <c r="AI1" s="2209"/>
      <c r="AJ1" s="2209"/>
      <c r="AK1" s="2210"/>
      <c r="AM1" s="2212" t="s">
        <v>482</v>
      </c>
      <c r="AN1" s="2212"/>
      <c r="AO1" s="2212"/>
      <c r="AP1" s="2212"/>
      <c r="AQ1" s="2209" t="s">
        <v>206</v>
      </c>
      <c r="AR1" s="2209"/>
      <c r="AS1" s="2209"/>
      <c r="AT1" s="2210"/>
    </row>
    <row r="2" spans="1:46" ht="42.6" customHeight="1" x14ac:dyDescent="0.25">
      <c r="A2" s="894" t="s">
        <v>0</v>
      </c>
      <c r="B2" s="528" t="s">
        <v>198</v>
      </c>
      <c r="C2" s="529" t="s">
        <v>199</v>
      </c>
      <c r="D2" s="526" t="s">
        <v>200</v>
      </c>
      <c r="E2" s="526" t="s">
        <v>201</v>
      </c>
      <c r="F2" s="526" t="s">
        <v>204</v>
      </c>
      <c r="G2" s="575" t="s">
        <v>199</v>
      </c>
      <c r="H2" s="575" t="s">
        <v>200</v>
      </c>
      <c r="I2" s="575" t="s">
        <v>201</v>
      </c>
      <c r="J2" s="575" t="s">
        <v>204</v>
      </c>
      <c r="K2" s="524" t="s">
        <v>269</v>
      </c>
      <c r="L2" s="526" t="s">
        <v>199</v>
      </c>
      <c r="M2" s="526" t="s">
        <v>200</v>
      </c>
      <c r="N2" s="526" t="s">
        <v>201</v>
      </c>
      <c r="O2" s="526" t="s">
        <v>204</v>
      </c>
      <c r="P2" s="527" t="s">
        <v>199</v>
      </c>
      <c r="Q2" s="526" t="s">
        <v>200</v>
      </c>
      <c r="R2" s="526" t="s">
        <v>201</v>
      </c>
      <c r="S2" s="526" t="s">
        <v>204</v>
      </c>
      <c r="U2" s="526" t="s">
        <v>199</v>
      </c>
      <c r="V2" s="526" t="s">
        <v>200</v>
      </c>
      <c r="W2" s="526" t="s">
        <v>201</v>
      </c>
      <c r="X2" s="526" t="s">
        <v>204</v>
      </c>
      <c r="Y2" s="650" t="s">
        <v>199</v>
      </c>
      <c r="Z2" s="526" t="s">
        <v>200</v>
      </c>
      <c r="AA2" s="526" t="s">
        <v>201</v>
      </c>
      <c r="AB2" s="526" t="s">
        <v>204</v>
      </c>
      <c r="AD2" s="526" t="s">
        <v>199</v>
      </c>
      <c r="AE2" s="526" t="s">
        <v>200</v>
      </c>
      <c r="AF2" s="526" t="s">
        <v>201</v>
      </c>
      <c r="AG2" s="526" t="s">
        <v>204</v>
      </c>
      <c r="AH2" s="527" t="s">
        <v>199</v>
      </c>
      <c r="AI2" s="526" t="s">
        <v>200</v>
      </c>
      <c r="AJ2" s="526" t="s">
        <v>201</v>
      </c>
      <c r="AK2" s="526" t="s">
        <v>204</v>
      </c>
      <c r="AM2" s="526" t="s">
        <v>199</v>
      </c>
      <c r="AN2" s="526" t="s">
        <v>200</v>
      </c>
      <c r="AO2" s="526" t="s">
        <v>201</v>
      </c>
      <c r="AP2" s="526" t="s">
        <v>204</v>
      </c>
      <c r="AQ2" s="527" t="s">
        <v>199</v>
      </c>
      <c r="AR2" s="526" t="s">
        <v>200</v>
      </c>
      <c r="AS2" s="526" t="s">
        <v>201</v>
      </c>
      <c r="AT2" s="526" t="s">
        <v>204</v>
      </c>
    </row>
    <row r="3" spans="1:46" ht="30" customHeight="1" x14ac:dyDescent="0.25">
      <c r="A3" s="2206">
        <v>44986</v>
      </c>
      <c r="B3" s="896">
        <v>1</v>
      </c>
      <c r="C3" s="592"/>
      <c r="D3" s="593"/>
      <c r="E3" s="847"/>
      <c r="F3" s="594"/>
      <c r="G3" s="685"/>
      <c r="H3" s="619"/>
      <c r="I3" s="848"/>
      <c r="J3" s="686"/>
      <c r="K3" s="622"/>
      <c r="L3" s="612"/>
      <c r="M3" s="630"/>
      <c r="N3" s="630"/>
      <c r="O3" s="628"/>
      <c r="P3" s="629"/>
      <c r="Q3" s="699"/>
      <c r="R3" s="700"/>
      <c r="S3" s="628"/>
      <c r="T3" s="622"/>
      <c r="U3" s="612"/>
      <c r="V3" s="630">
        <v>18</v>
      </c>
      <c r="W3" s="630"/>
      <c r="X3" s="613"/>
      <c r="Y3" s="901"/>
      <c r="Z3" s="629" t="s">
        <v>601</v>
      </c>
      <c r="AA3" s="719"/>
      <c r="AB3" s="720"/>
      <c r="AC3" s="622"/>
      <c r="AD3" s="612"/>
      <c r="AE3" s="630"/>
      <c r="AF3" s="6">
        <v>21</v>
      </c>
      <c r="AG3" s="628"/>
      <c r="AH3" s="629"/>
      <c r="AI3" s="629" t="s">
        <v>601</v>
      </c>
      <c r="AJ3" s="605"/>
      <c r="AK3" s="628"/>
      <c r="AM3" s="612"/>
      <c r="AN3" s="630"/>
      <c r="AO3" s="6"/>
      <c r="AP3" s="628"/>
      <c r="AQ3" s="629"/>
      <c r="AR3" s="630"/>
      <c r="AS3" s="6"/>
      <c r="AT3" s="628"/>
    </row>
    <row r="4" spans="1:46" ht="36.6" customHeight="1" x14ac:dyDescent="0.25">
      <c r="A4" s="2205"/>
      <c r="B4" s="574">
        <v>2</v>
      </c>
      <c r="C4" s="595"/>
      <c r="D4" s="596"/>
      <c r="E4" s="596"/>
      <c r="F4" s="597"/>
      <c r="G4" s="685"/>
      <c r="H4" s="619"/>
      <c r="I4" s="620"/>
      <c r="J4" s="687"/>
      <c r="K4" s="622"/>
      <c r="L4" s="572"/>
      <c r="M4" s="6"/>
      <c r="N4" s="6"/>
      <c r="O4" s="613"/>
      <c r="P4" s="614"/>
      <c r="Q4" s="619"/>
      <c r="R4" s="903"/>
      <c r="S4" s="613"/>
      <c r="T4" s="622"/>
      <c r="U4" s="572"/>
      <c r="V4" s="605"/>
      <c r="W4" s="6"/>
      <c r="X4" s="613"/>
      <c r="Y4" s="901"/>
      <c r="Z4" s="6"/>
      <c r="AA4" s="698"/>
      <c r="AB4" s="722"/>
      <c r="AC4" s="622"/>
      <c r="AD4" s="572"/>
      <c r="AE4" s="6"/>
      <c r="AF4" s="6"/>
      <c r="AG4" s="613"/>
      <c r="AH4" s="614"/>
      <c r="AI4" s="6"/>
      <c r="AJ4" s="6"/>
      <c r="AK4" s="613"/>
      <c r="AM4" s="572"/>
      <c r="AN4" s="6"/>
      <c r="AO4" s="6">
        <v>18</v>
      </c>
      <c r="AP4" s="613"/>
      <c r="AQ4" s="614"/>
      <c r="AR4" s="6"/>
      <c r="AS4" s="6" t="s">
        <v>97</v>
      </c>
      <c r="AT4" s="613"/>
    </row>
    <row r="5" spans="1:46" ht="28.9" customHeight="1" x14ac:dyDescent="0.25">
      <c r="A5" s="2206">
        <v>44987</v>
      </c>
      <c r="B5" s="574">
        <v>1</v>
      </c>
      <c r="C5" s="595"/>
      <c r="D5" s="596"/>
      <c r="E5" s="596"/>
      <c r="F5" s="597"/>
      <c r="G5" s="685"/>
      <c r="H5" s="619"/>
      <c r="I5" s="620"/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/>
      <c r="X5" s="613"/>
      <c r="Y5" s="901"/>
      <c r="Z5" s="6"/>
      <c r="AA5" s="698"/>
      <c r="AB5" s="723"/>
      <c r="AC5" s="622"/>
      <c r="AD5" s="572"/>
      <c r="AE5" s="6"/>
      <c r="AF5" s="6"/>
      <c r="AG5" s="613"/>
      <c r="AH5" s="614"/>
      <c r="AI5" s="6"/>
      <c r="AJ5" s="6"/>
      <c r="AK5" s="613"/>
      <c r="AM5" s="572"/>
      <c r="AN5" s="6"/>
      <c r="AO5" s="6"/>
      <c r="AP5" s="613"/>
      <c r="AQ5" s="614"/>
      <c r="AR5" s="6"/>
      <c r="AS5" s="605"/>
      <c r="AT5" s="613"/>
    </row>
    <row r="6" spans="1:46" ht="52.15" customHeight="1" x14ac:dyDescent="0.25">
      <c r="A6" s="2205"/>
      <c r="B6" s="574">
        <v>2</v>
      </c>
      <c r="C6" s="595"/>
      <c r="D6" s="596"/>
      <c r="E6" s="596"/>
      <c r="F6" s="597"/>
      <c r="G6" s="684"/>
      <c r="H6" s="619"/>
      <c r="I6" s="620"/>
      <c r="J6" s="687"/>
      <c r="K6" s="622"/>
      <c r="L6" s="572"/>
      <c r="M6" s="6"/>
      <c r="N6" s="6"/>
      <c r="O6" s="613"/>
      <c r="P6" s="614"/>
      <c r="Q6" s="619"/>
      <c r="R6" s="6"/>
      <c r="S6" s="613"/>
      <c r="T6" s="622"/>
      <c r="U6" s="572"/>
      <c r="V6" s="6"/>
      <c r="W6" s="6">
        <v>18</v>
      </c>
      <c r="X6" s="613"/>
      <c r="Y6" s="901"/>
      <c r="Z6" s="6"/>
      <c r="AA6" s="698" t="s">
        <v>325</v>
      </c>
      <c r="AB6" s="613"/>
      <c r="AC6" s="622"/>
      <c r="AD6" s="572"/>
      <c r="AE6" s="6"/>
      <c r="AF6" s="6"/>
      <c r="AG6" s="613"/>
      <c r="AH6" s="614"/>
      <c r="AI6" s="6"/>
      <c r="AJ6" s="620"/>
      <c r="AK6" s="613"/>
      <c r="AM6" s="572"/>
      <c r="AN6" s="6"/>
      <c r="AO6" s="6"/>
      <c r="AP6" s="613"/>
      <c r="AQ6" s="614"/>
      <c r="AR6" s="6"/>
      <c r="AS6" s="605"/>
      <c r="AT6" s="613"/>
    </row>
    <row r="7" spans="1:46" ht="33" customHeight="1" x14ac:dyDescent="0.25">
      <c r="A7" s="2206">
        <v>44988</v>
      </c>
      <c r="B7" s="574">
        <v>1</v>
      </c>
      <c r="C7" s="595"/>
      <c r="D7" s="596"/>
      <c r="E7" s="596"/>
      <c r="F7" s="597"/>
      <c r="G7" s="685"/>
      <c r="H7" s="620"/>
      <c r="I7" s="620"/>
      <c r="J7" s="687"/>
      <c r="K7" s="622"/>
      <c r="L7" s="572"/>
      <c r="M7" s="614"/>
      <c r="N7" s="6"/>
      <c r="O7" s="613"/>
      <c r="P7" s="614"/>
      <c r="Q7" s="614"/>
      <c r="R7" s="6"/>
      <c r="S7" s="613"/>
      <c r="T7" s="622"/>
      <c r="U7" s="572"/>
      <c r="V7" s="6"/>
      <c r="W7" s="6">
        <v>5</v>
      </c>
      <c r="X7" s="613"/>
      <c r="Y7" s="614"/>
      <c r="Z7" s="6"/>
      <c r="AA7" s="698" t="s">
        <v>325</v>
      </c>
      <c r="AB7" s="613"/>
      <c r="AC7" s="622"/>
      <c r="AD7" s="572"/>
      <c r="AE7" s="6"/>
      <c r="AF7" s="6"/>
      <c r="AG7" s="613"/>
      <c r="AH7" s="614"/>
      <c r="AI7" s="6"/>
      <c r="AJ7" s="620"/>
      <c r="AK7" s="613"/>
      <c r="AM7" s="572"/>
      <c r="AN7" s="6"/>
      <c r="AO7" s="6"/>
      <c r="AP7" s="613"/>
      <c r="AQ7" s="614"/>
      <c r="AR7" s="6"/>
      <c r="AS7" s="620"/>
      <c r="AT7" s="613"/>
    </row>
    <row r="8" spans="1:46" ht="55.15" customHeight="1" x14ac:dyDescent="0.25">
      <c r="A8" s="2205"/>
      <c r="B8" s="574">
        <v>2</v>
      </c>
      <c r="C8" s="595"/>
      <c r="D8" s="596"/>
      <c r="E8" s="596"/>
      <c r="F8" s="597"/>
      <c r="G8" s="684"/>
      <c r="H8" s="620"/>
      <c r="I8" s="620"/>
      <c r="J8" s="635"/>
      <c r="K8" s="622"/>
      <c r="L8" s="572">
        <v>122</v>
      </c>
      <c r="M8" s="6"/>
      <c r="N8" s="6"/>
      <c r="O8" s="613"/>
      <c r="P8" s="908" t="s">
        <v>602</v>
      </c>
      <c r="Q8" s="605"/>
      <c r="R8" s="605"/>
      <c r="S8" s="635"/>
      <c r="T8" s="622"/>
      <c r="U8" s="572"/>
      <c r="V8" s="831"/>
      <c r="W8" s="614"/>
      <c r="X8" s="613"/>
      <c r="Y8" s="901"/>
      <c r="Z8" s="6"/>
      <c r="AA8" s="6"/>
      <c r="AB8" s="635"/>
      <c r="AC8" s="622"/>
      <c r="AD8" s="572"/>
      <c r="AE8" s="6"/>
      <c r="AF8" s="6"/>
      <c r="AG8" s="613"/>
      <c r="AH8" s="614"/>
      <c r="AI8" s="605"/>
      <c r="AJ8" s="605"/>
      <c r="AK8" s="635"/>
      <c r="AM8" s="572"/>
      <c r="AN8" s="6"/>
      <c r="AO8" s="6"/>
      <c r="AP8" s="613"/>
      <c r="AQ8" s="614"/>
      <c r="AR8" s="6"/>
      <c r="AS8" s="6"/>
      <c r="AT8" s="635"/>
    </row>
    <row r="9" spans="1:46" ht="40.9" customHeight="1" x14ac:dyDescent="0.25">
      <c r="A9" s="2206">
        <v>44989</v>
      </c>
      <c r="B9" s="574">
        <v>1</v>
      </c>
      <c r="C9" s="595"/>
      <c r="D9" s="596"/>
      <c r="E9" s="596"/>
      <c r="F9" s="597"/>
      <c r="G9" s="684"/>
      <c r="H9" s="619"/>
      <c r="I9" s="619"/>
      <c r="J9" s="635"/>
      <c r="K9" s="622"/>
      <c r="L9" s="572"/>
      <c r="M9" s="6"/>
      <c r="N9" s="6"/>
      <c r="O9" s="613"/>
      <c r="P9" s="901"/>
      <c r="Q9" s="620"/>
      <c r="R9" s="605"/>
      <c r="S9" s="635"/>
      <c r="T9" s="622"/>
      <c r="U9" s="572"/>
      <c r="V9" s="6"/>
      <c r="W9" s="6"/>
      <c r="X9" s="613"/>
      <c r="Y9" s="614"/>
      <c r="Z9" s="6"/>
      <c r="AA9" s="620"/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/>
      <c r="AN9" s="6"/>
      <c r="AO9" s="6"/>
      <c r="AP9" s="613"/>
      <c r="AQ9" s="614"/>
      <c r="AR9" s="6"/>
      <c r="AS9" s="6"/>
      <c r="AT9" s="635"/>
    </row>
    <row r="10" spans="1:46" ht="28.15" customHeight="1" x14ac:dyDescent="0.25">
      <c r="A10" s="2205"/>
      <c r="B10" s="574">
        <v>2</v>
      </c>
      <c r="C10" s="595"/>
      <c r="D10" s="596"/>
      <c r="E10" s="596"/>
      <c r="F10" s="597"/>
      <c r="G10" s="685"/>
      <c r="H10" s="619"/>
      <c r="I10" s="620"/>
      <c r="J10" s="635"/>
      <c r="K10" s="622"/>
      <c r="L10" s="572"/>
      <c r="M10" s="6"/>
      <c r="N10" s="6"/>
      <c r="O10" s="613"/>
      <c r="P10" s="901"/>
      <c r="Q10" s="6"/>
      <c r="R10" s="605"/>
      <c r="S10" s="635"/>
      <c r="T10" s="622"/>
      <c r="U10" s="572"/>
      <c r="V10" s="6"/>
      <c r="W10" s="6"/>
      <c r="X10" s="613"/>
      <c r="Y10" s="567"/>
      <c r="Z10" s="901"/>
      <c r="AA10" s="6"/>
      <c r="AB10" s="635"/>
      <c r="AC10" s="622"/>
      <c r="AD10" s="572"/>
      <c r="AE10" s="6"/>
      <c r="AF10" s="6"/>
      <c r="AG10" s="613"/>
      <c r="AH10" s="901"/>
      <c r="AI10" s="6"/>
      <c r="AJ10" s="6"/>
      <c r="AK10" s="635"/>
      <c r="AM10" s="572"/>
      <c r="AN10" s="6"/>
      <c r="AO10" s="6"/>
      <c r="AP10" s="613"/>
      <c r="AQ10" s="614"/>
      <c r="AR10" s="6"/>
      <c r="AS10" s="6"/>
      <c r="AT10" s="635"/>
    </row>
    <row r="11" spans="1:46" ht="30.75" customHeight="1" x14ac:dyDescent="0.25">
      <c r="A11" s="2206">
        <v>44990</v>
      </c>
      <c r="B11" s="574">
        <v>1</v>
      </c>
      <c r="C11" s="595"/>
      <c r="D11" s="596"/>
      <c r="E11" s="596"/>
      <c r="F11" s="597"/>
      <c r="G11" s="684"/>
      <c r="H11" s="619"/>
      <c r="I11" s="620"/>
      <c r="J11" s="687"/>
      <c r="K11" s="622"/>
      <c r="L11" s="572"/>
      <c r="M11" s="6"/>
      <c r="N11" s="6"/>
      <c r="O11" s="613"/>
      <c r="P11" s="901"/>
      <c r="Q11" s="6"/>
      <c r="R11" s="605"/>
      <c r="S11" s="613"/>
      <c r="T11" s="622"/>
      <c r="U11" s="572"/>
      <c r="V11" s="6"/>
      <c r="W11" s="6"/>
      <c r="X11" s="613"/>
      <c r="Y11" s="614"/>
      <c r="Z11" s="6"/>
      <c r="AA11" s="6"/>
      <c r="AB11" s="613"/>
      <c r="AC11" s="622"/>
      <c r="AD11" s="572"/>
      <c r="AE11" s="6"/>
      <c r="AF11" s="6"/>
      <c r="AG11" s="613"/>
      <c r="AH11" s="614"/>
      <c r="AI11" s="6"/>
      <c r="AJ11" s="6"/>
      <c r="AK11" s="613"/>
      <c r="AM11" s="572"/>
      <c r="AN11" s="6"/>
      <c r="AO11" s="6"/>
      <c r="AP11" s="613"/>
      <c r="AQ11" s="614"/>
      <c r="AR11" s="6"/>
      <c r="AS11" s="6"/>
      <c r="AT11" s="613"/>
    </row>
    <row r="12" spans="1:46" ht="36.6" customHeight="1" x14ac:dyDescent="0.25">
      <c r="A12" s="2205"/>
      <c r="B12" s="574">
        <v>2</v>
      </c>
      <c r="C12" s="595"/>
      <c r="D12" s="596"/>
      <c r="E12" s="596"/>
      <c r="F12" s="597"/>
      <c r="G12" s="685"/>
      <c r="H12" s="619"/>
      <c r="I12" s="620"/>
      <c r="J12" s="635"/>
      <c r="K12" s="622"/>
      <c r="L12" s="572"/>
      <c r="M12" s="6"/>
      <c r="N12" s="6"/>
      <c r="O12" s="613"/>
      <c r="P12" s="901"/>
      <c r="Q12" s="6"/>
      <c r="R12" s="605"/>
      <c r="S12" s="635"/>
      <c r="T12" s="622"/>
      <c r="U12" s="572"/>
      <c r="V12" s="6"/>
      <c r="W12" s="6"/>
      <c r="X12" s="613"/>
      <c r="Y12" s="614"/>
      <c r="Z12" s="6"/>
      <c r="AA12" s="721"/>
      <c r="AB12" s="635"/>
      <c r="AC12" s="622"/>
      <c r="AD12" s="572"/>
      <c r="AE12" s="6"/>
      <c r="AF12" s="6"/>
      <c r="AG12" s="613"/>
      <c r="AH12" s="614"/>
      <c r="AI12" s="6"/>
      <c r="AJ12" s="6"/>
      <c r="AK12" s="635"/>
      <c r="AM12" s="572"/>
      <c r="AN12" s="6"/>
      <c r="AO12" s="6"/>
      <c r="AP12" s="613"/>
      <c r="AQ12" s="614"/>
      <c r="AR12" s="6"/>
      <c r="AS12" s="6"/>
      <c r="AT12" s="635"/>
    </row>
    <row r="13" spans="1:46" ht="34.9" customHeight="1" x14ac:dyDescent="0.25">
      <c r="A13" s="2206">
        <v>44991</v>
      </c>
      <c r="B13" s="574">
        <v>1</v>
      </c>
      <c r="C13" s="595"/>
      <c r="D13" s="596"/>
      <c r="E13" s="596"/>
      <c r="F13" s="597"/>
      <c r="G13" s="685"/>
      <c r="H13" s="619"/>
      <c r="I13" s="620"/>
      <c r="J13" s="635"/>
      <c r="K13" s="622"/>
      <c r="L13" s="572"/>
      <c r="M13" s="6"/>
      <c r="N13" s="6"/>
      <c r="O13" s="597"/>
      <c r="P13" s="901"/>
      <c r="Q13" s="6"/>
      <c r="R13" s="605"/>
      <c r="S13" s="635"/>
      <c r="T13" s="622"/>
      <c r="U13" s="572"/>
      <c r="V13" s="6"/>
      <c r="W13" s="6"/>
      <c r="X13" s="597"/>
      <c r="Y13" s="901"/>
      <c r="Z13" s="605"/>
      <c r="AA13" s="6"/>
      <c r="AB13" s="635"/>
      <c r="AC13" s="622"/>
      <c r="AD13" s="572"/>
      <c r="AE13" s="6"/>
      <c r="AF13" s="6"/>
      <c r="AG13" s="597"/>
      <c r="AH13" s="614"/>
      <c r="AI13" s="6"/>
      <c r="AJ13" s="6"/>
      <c r="AK13" s="635"/>
      <c r="AM13" s="572"/>
      <c r="AN13" s="6"/>
      <c r="AO13" s="6"/>
      <c r="AP13" s="597"/>
      <c r="AQ13" s="614"/>
      <c r="AR13" s="6"/>
      <c r="AS13" s="6"/>
      <c r="AT13" s="635"/>
    </row>
    <row r="14" spans="1:46" ht="27.6" customHeight="1" x14ac:dyDescent="0.25">
      <c r="A14" s="2205"/>
      <c r="B14" s="574">
        <v>2</v>
      </c>
      <c r="C14" s="595"/>
      <c r="D14" s="596"/>
      <c r="E14" s="596"/>
      <c r="F14" s="597"/>
      <c r="G14" s="685"/>
      <c r="H14" s="620"/>
      <c r="I14" s="620"/>
      <c r="J14" s="635"/>
      <c r="K14" s="622"/>
      <c r="L14" s="572"/>
      <c r="M14" s="6"/>
      <c r="N14" s="6"/>
      <c r="O14" s="597"/>
      <c r="P14" s="614"/>
      <c r="Q14" s="6"/>
      <c r="R14" s="6"/>
      <c r="S14" s="635"/>
      <c r="T14" s="622"/>
      <c r="U14" s="572"/>
      <c r="V14" s="6"/>
      <c r="W14" s="6"/>
      <c r="X14" s="597"/>
      <c r="Y14" s="901"/>
      <c r="Z14" s="605"/>
      <c r="AA14" s="605"/>
      <c r="AB14" s="635"/>
      <c r="AC14" s="622"/>
      <c r="AD14" s="572"/>
      <c r="AE14" s="6"/>
      <c r="AF14" s="6"/>
      <c r="AG14" s="597"/>
      <c r="AH14" s="901"/>
      <c r="AI14" s="6"/>
      <c r="AJ14" s="6"/>
      <c r="AK14" s="635"/>
      <c r="AM14" s="572"/>
      <c r="AN14" s="6"/>
      <c r="AO14" s="6"/>
      <c r="AP14" s="597"/>
      <c r="AQ14" s="901"/>
      <c r="AR14" s="6"/>
      <c r="AS14" s="6"/>
      <c r="AT14" s="635"/>
    </row>
    <row r="15" spans="1:46" ht="48" customHeight="1" x14ac:dyDescent="0.25">
      <c r="A15" s="2206">
        <v>44992</v>
      </c>
      <c r="B15" s="574">
        <v>1</v>
      </c>
      <c r="C15" s="595"/>
      <c r="D15" s="596"/>
      <c r="E15" s="6"/>
      <c r="F15" s="597"/>
      <c r="G15" s="685"/>
      <c r="H15" s="620"/>
      <c r="I15" s="620"/>
      <c r="J15" s="635"/>
      <c r="K15" s="622"/>
      <c r="L15" s="572"/>
      <c r="M15" s="6"/>
      <c r="N15" s="6"/>
      <c r="O15" s="597"/>
      <c r="P15" s="572"/>
      <c r="Q15" s="620"/>
      <c r="R15" s="6"/>
      <c r="S15" s="635"/>
      <c r="T15" s="622"/>
      <c r="U15" s="572"/>
      <c r="V15" s="6"/>
      <c r="W15" s="6"/>
      <c r="X15" s="597"/>
      <c r="Y15" s="572"/>
      <c r="Z15" s="620"/>
      <c r="AA15" s="728"/>
      <c r="AB15" s="635"/>
      <c r="AC15" s="622"/>
      <c r="AD15" s="572">
        <v>39</v>
      </c>
      <c r="AE15" s="6"/>
      <c r="AF15" s="622"/>
      <c r="AG15" s="597"/>
      <c r="AH15" s="910" t="s">
        <v>603</v>
      </c>
      <c r="AI15" s="692"/>
      <c r="AJ15" s="6"/>
      <c r="AK15" s="635"/>
      <c r="AM15" s="572"/>
      <c r="AN15" s="6"/>
      <c r="AO15" s="622"/>
      <c r="AP15" s="597"/>
      <c r="AR15" s="692"/>
      <c r="AS15" s="6"/>
      <c r="AT15" s="635"/>
    </row>
    <row r="16" spans="1:46" ht="54.6" customHeight="1" x14ac:dyDescent="0.25">
      <c r="A16" s="2205"/>
      <c r="B16" s="574">
        <v>2</v>
      </c>
      <c r="C16" s="595"/>
      <c r="D16" s="596"/>
      <c r="E16" s="596">
        <v>21</v>
      </c>
      <c r="F16" s="597">
        <v>100</v>
      </c>
      <c r="G16" s="684"/>
      <c r="H16" s="830"/>
      <c r="I16" s="620" t="s">
        <v>152</v>
      </c>
      <c r="J16" s="635" t="s">
        <v>604</v>
      </c>
      <c r="K16" s="622"/>
      <c r="L16" s="572">
        <v>35</v>
      </c>
      <c r="M16" s="6"/>
      <c r="N16" s="6"/>
      <c r="O16" s="597">
        <v>100</v>
      </c>
      <c r="P16" s="684" t="s">
        <v>605</v>
      </c>
      <c r="Q16" s="830"/>
      <c r="R16" s="620"/>
      <c r="S16" s="635" t="s">
        <v>604</v>
      </c>
      <c r="T16" s="622"/>
      <c r="U16" s="572"/>
      <c r="V16" s="6"/>
      <c r="W16" s="6"/>
      <c r="X16" s="597">
        <v>100</v>
      </c>
      <c r="Y16" s="684"/>
      <c r="Z16" s="830"/>
      <c r="AA16" s="620"/>
      <c r="AB16" s="635" t="s">
        <v>604</v>
      </c>
      <c r="AC16" s="622"/>
      <c r="AD16" s="572"/>
      <c r="AE16" s="6"/>
      <c r="AF16" s="6"/>
      <c r="AG16" s="597">
        <v>100</v>
      </c>
      <c r="AH16" s="684"/>
      <c r="AI16" s="830"/>
      <c r="AJ16" s="620"/>
      <c r="AK16" s="635" t="s">
        <v>604</v>
      </c>
      <c r="AM16" s="572"/>
      <c r="AN16" s="6"/>
      <c r="AO16" s="6"/>
      <c r="AP16" s="597">
        <v>100</v>
      </c>
      <c r="AQ16" s="684"/>
      <c r="AR16" s="830"/>
      <c r="AS16" s="620"/>
      <c r="AT16" s="635" t="s">
        <v>604</v>
      </c>
    </row>
    <row r="17" spans="1:46" ht="66" customHeight="1" x14ac:dyDescent="0.25">
      <c r="A17" s="2206">
        <v>44993</v>
      </c>
      <c r="B17" s="644">
        <v>1</v>
      </c>
      <c r="C17" s="595"/>
      <c r="D17" s="596"/>
      <c r="E17" s="596"/>
      <c r="F17" s="597">
        <v>425</v>
      </c>
      <c r="G17" s="685"/>
      <c r="H17" s="619"/>
      <c r="I17" s="620"/>
      <c r="J17" s="635" t="s">
        <v>606</v>
      </c>
      <c r="K17" s="622"/>
      <c r="L17" s="572"/>
      <c r="M17" s="6"/>
      <c r="N17" s="6"/>
      <c r="O17" s="597">
        <v>425</v>
      </c>
      <c r="P17" s="685"/>
      <c r="Q17" s="619"/>
      <c r="R17" s="620"/>
      <c r="S17" s="635" t="s">
        <v>606</v>
      </c>
      <c r="T17" s="622"/>
      <c r="U17" s="572"/>
      <c r="V17" s="6"/>
      <c r="W17" s="6"/>
      <c r="X17" s="597">
        <v>425</v>
      </c>
      <c r="Y17" s="685"/>
      <c r="Z17" s="619"/>
      <c r="AA17" s="620"/>
      <c r="AB17" s="635" t="s">
        <v>606</v>
      </c>
      <c r="AC17" s="622"/>
      <c r="AD17" s="572"/>
      <c r="AE17" s="6"/>
      <c r="AF17" s="6"/>
      <c r="AG17" s="597">
        <v>425</v>
      </c>
      <c r="AH17" s="685"/>
      <c r="AI17" s="619"/>
      <c r="AJ17" s="620"/>
      <c r="AK17" s="635" t="s">
        <v>606</v>
      </c>
      <c r="AM17" s="572"/>
      <c r="AN17" s="6"/>
      <c r="AO17" s="6"/>
      <c r="AP17" s="597">
        <v>425</v>
      </c>
      <c r="AQ17" s="685"/>
      <c r="AR17" s="619"/>
      <c r="AS17" s="620"/>
      <c r="AT17" s="635" t="s">
        <v>606</v>
      </c>
    </row>
    <row r="18" spans="1:46" ht="68.45" customHeight="1" x14ac:dyDescent="0.25">
      <c r="A18" s="2205"/>
      <c r="B18" s="574">
        <v>2</v>
      </c>
      <c r="C18" s="595"/>
      <c r="D18" s="596"/>
      <c r="E18" s="596"/>
      <c r="F18" s="597">
        <v>300</v>
      </c>
      <c r="G18" s="684"/>
      <c r="H18" s="620"/>
      <c r="I18" s="619"/>
      <c r="J18" s="635" t="s">
        <v>606</v>
      </c>
      <c r="K18" s="622"/>
      <c r="L18" s="572"/>
      <c r="M18" s="6"/>
      <c r="N18" s="6"/>
      <c r="O18" s="597">
        <v>300</v>
      </c>
      <c r="P18" s="684"/>
      <c r="Q18" s="620"/>
      <c r="R18" s="619"/>
      <c r="S18" s="635" t="s">
        <v>606</v>
      </c>
      <c r="T18" s="622"/>
      <c r="U18" s="572"/>
      <c r="V18" s="6"/>
      <c r="W18" s="6"/>
      <c r="X18" s="597">
        <v>300</v>
      </c>
      <c r="Y18" s="684"/>
      <c r="Z18" s="620"/>
      <c r="AA18" s="619"/>
      <c r="AB18" s="635" t="s">
        <v>606</v>
      </c>
      <c r="AC18" s="622"/>
      <c r="AD18" s="572"/>
      <c r="AE18" s="6"/>
      <c r="AF18" s="6"/>
      <c r="AG18" s="597">
        <v>300</v>
      </c>
      <c r="AH18" s="684"/>
      <c r="AI18" s="620"/>
      <c r="AJ18" s="619"/>
      <c r="AK18" s="635" t="s">
        <v>606</v>
      </c>
      <c r="AM18" s="572"/>
      <c r="AN18" s="6"/>
      <c r="AO18" s="6"/>
      <c r="AP18" s="597">
        <v>300</v>
      </c>
      <c r="AQ18" s="684"/>
      <c r="AR18" s="620"/>
      <c r="AS18" s="619"/>
      <c r="AT18" s="635" t="s">
        <v>606</v>
      </c>
    </row>
    <row r="19" spans="1:46" ht="33.6" customHeight="1" x14ac:dyDescent="0.25">
      <c r="A19" s="2206">
        <v>44994</v>
      </c>
      <c r="B19" s="574">
        <v>1</v>
      </c>
      <c r="C19" s="622"/>
      <c r="D19" s="596"/>
      <c r="E19" s="596"/>
      <c r="F19" s="597"/>
      <c r="G19" s="572"/>
      <c r="H19" s="6"/>
      <c r="I19" s="6"/>
      <c r="J19" s="635"/>
      <c r="K19" s="622"/>
      <c r="L19" s="572"/>
      <c r="M19" s="6"/>
      <c r="N19" s="6"/>
      <c r="O19" s="597"/>
      <c r="P19" s="572"/>
      <c r="Q19" s="6"/>
      <c r="R19" s="6"/>
      <c r="S19" s="635"/>
      <c r="T19" s="622"/>
      <c r="U19" s="572"/>
      <c r="V19" s="6"/>
      <c r="W19" s="6"/>
      <c r="X19" s="597"/>
      <c r="Y19" s="572"/>
      <c r="Z19" s="605"/>
      <c r="AA19" s="605"/>
      <c r="AB19" s="635"/>
      <c r="AC19" s="622"/>
      <c r="AD19" s="572"/>
      <c r="AE19" s="6"/>
      <c r="AF19" s="6"/>
      <c r="AG19" s="597"/>
      <c r="AH19" s="572"/>
      <c r="AI19" s="6"/>
      <c r="AJ19" s="6"/>
      <c r="AK19" s="635"/>
      <c r="AM19" s="572"/>
      <c r="AN19" s="6"/>
      <c r="AO19" s="6"/>
      <c r="AP19" s="597"/>
      <c r="AQ19" s="572"/>
      <c r="AR19" s="6"/>
      <c r="AS19" s="6"/>
      <c r="AT19" s="635"/>
    </row>
    <row r="20" spans="1:46" ht="31.15" customHeight="1" x14ac:dyDescent="0.25">
      <c r="A20" s="2205"/>
      <c r="B20" s="574">
        <v>2</v>
      </c>
      <c r="C20" s="595"/>
      <c r="D20" s="596"/>
      <c r="E20" s="596"/>
      <c r="F20" s="597"/>
      <c r="G20" s="572"/>
      <c r="H20" s="605"/>
      <c r="I20" s="724"/>
      <c r="J20" s="635"/>
      <c r="K20" s="622"/>
      <c r="L20" s="572"/>
      <c r="M20" s="6"/>
      <c r="N20" s="6"/>
      <c r="O20" s="597"/>
      <c r="P20" s="572"/>
      <c r="Q20" s="605"/>
      <c r="R20" s="724"/>
      <c r="S20" s="635"/>
      <c r="T20" s="622"/>
      <c r="U20" s="572"/>
      <c r="V20" s="250"/>
      <c r="W20" s="6">
        <v>13</v>
      </c>
      <c r="X20" s="597"/>
      <c r="Y20" s="572"/>
      <c r="Z20" s="605"/>
      <c r="AA20" s="724" t="s">
        <v>152</v>
      </c>
      <c r="AB20" s="635"/>
      <c r="AC20" s="622"/>
      <c r="AD20" s="572"/>
      <c r="AE20" s="6"/>
      <c r="AF20" s="6"/>
      <c r="AG20" s="597"/>
      <c r="AH20" s="572"/>
      <c r="AI20" s="605"/>
      <c r="AJ20" s="724"/>
      <c r="AK20" s="635"/>
      <c r="AM20" s="572"/>
      <c r="AN20" s="6"/>
      <c r="AO20" s="6"/>
      <c r="AP20" s="597"/>
      <c r="AQ20" s="572"/>
      <c r="AR20" s="605"/>
      <c r="AS20" s="724"/>
      <c r="AT20" s="635"/>
    </row>
    <row r="21" spans="1:46" ht="39.6" customHeight="1" x14ac:dyDescent="0.25">
      <c r="A21" s="2206">
        <v>44995</v>
      </c>
      <c r="B21" s="574">
        <v>1</v>
      </c>
      <c r="C21" s="595"/>
      <c r="D21" s="596"/>
      <c r="E21" s="596"/>
      <c r="F21" s="597"/>
      <c r="G21" s="688"/>
      <c r="H21" s="619"/>
      <c r="I21" s="620"/>
      <c r="J21" s="635"/>
      <c r="K21" s="622"/>
      <c r="L21" s="572"/>
      <c r="M21" s="6"/>
      <c r="N21" s="6"/>
      <c r="O21" s="597"/>
      <c r="P21" s="572"/>
      <c r="Q21" s="6"/>
      <c r="R21" s="6"/>
      <c r="S21" s="635"/>
      <c r="T21" s="622"/>
      <c r="U21" s="572"/>
      <c r="V21" s="6"/>
      <c r="W21" s="6"/>
      <c r="X21" s="597"/>
      <c r="Y21" s="572"/>
      <c r="Z21" s="6"/>
      <c r="AA21" s="605"/>
      <c r="AB21" s="635"/>
      <c r="AC21" s="622"/>
      <c r="AD21" s="572"/>
      <c r="AE21" s="6"/>
      <c r="AF21" s="6"/>
      <c r="AG21" s="597"/>
      <c r="AH21" s="572"/>
      <c r="AI21" s="6"/>
      <c r="AJ21" s="6"/>
      <c r="AK21" s="726"/>
      <c r="AM21" s="572"/>
      <c r="AN21" s="6"/>
      <c r="AO21" s="6"/>
      <c r="AP21" s="597"/>
      <c r="AQ21" s="572"/>
      <c r="AR21" s="605"/>
      <c r="AS21" s="50"/>
      <c r="AT21" s="635"/>
    </row>
    <row r="22" spans="1:46" ht="31.9" customHeight="1" x14ac:dyDescent="0.25">
      <c r="A22" s="2205"/>
      <c r="B22" s="574">
        <v>2</v>
      </c>
      <c r="C22" s="595"/>
      <c r="D22" s="596">
        <v>25</v>
      </c>
      <c r="E22" s="596"/>
      <c r="F22" s="597"/>
      <c r="G22" s="898"/>
      <c r="H22" s="620" t="s">
        <v>607</v>
      </c>
      <c r="I22" s="620"/>
      <c r="J22" s="635"/>
      <c r="K22" s="622"/>
      <c r="L22" s="572"/>
      <c r="M22" s="6"/>
      <c r="N22" s="6"/>
      <c r="O22" s="597"/>
      <c r="P22" s="901"/>
      <c r="Q22" s="6"/>
      <c r="R22" s="6"/>
      <c r="S22" s="635"/>
      <c r="T22" s="622"/>
      <c r="U22" s="572"/>
      <c r="V22" s="6"/>
      <c r="W22" s="6"/>
      <c r="X22" s="597"/>
      <c r="Y22" s="572"/>
      <c r="Z22" s="6"/>
      <c r="AA22" s="605"/>
      <c r="AB22" s="635"/>
      <c r="AC22" s="622"/>
      <c r="AD22" s="572"/>
      <c r="AE22" s="6"/>
      <c r="AF22" s="6"/>
      <c r="AG22" s="597"/>
      <c r="AH22" s="567"/>
      <c r="AI22" s="6"/>
      <c r="AJ22" s="6"/>
      <c r="AK22" s="726"/>
      <c r="AM22" s="572"/>
      <c r="AN22" s="6"/>
      <c r="AO22" s="6"/>
      <c r="AP22" s="597"/>
      <c r="AQ22" s="572"/>
      <c r="AR22" s="605"/>
      <c r="AS22" s="50"/>
      <c r="AT22" s="635"/>
    </row>
    <row r="23" spans="1:46" ht="37.9" customHeight="1" x14ac:dyDescent="0.25">
      <c r="A23" s="2206">
        <v>44996</v>
      </c>
      <c r="B23" s="644">
        <v>1</v>
      </c>
      <c r="C23" s="595"/>
      <c r="D23" s="596"/>
      <c r="E23" s="596"/>
      <c r="F23" s="597"/>
      <c r="G23" s="685"/>
      <c r="H23" s="619"/>
      <c r="I23" s="620"/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>
        <v>80</v>
      </c>
      <c r="V23" s="6"/>
      <c r="W23" s="6"/>
      <c r="X23" s="597"/>
      <c r="Y23" s="684" t="s">
        <v>608</v>
      </c>
      <c r="Z23" s="619"/>
      <c r="AA23" s="620"/>
      <c r="AB23" s="635"/>
      <c r="AC23" s="622"/>
      <c r="AD23" s="572"/>
      <c r="AE23" s="6"/>
      <c r="AF23" s="6"/>
      <c r="AG23" s="597"/>
      <c r="AH23" s="6"/>
      <c r="AI23" s="619"/>
      <c r="AJ23" s="620"/>
      <c r="AK23" s="726"/>
      <c r="AM23" s="572"/>
      <c r="AN23" s="6"/>
      <c r="AO23" s="6"/>
      <c r="AP23" s="597"/>
      <c r="AQ23" s="6"/>
      <c r="AR23" s="619"/>
      <c r="AS23" s="692"/>
      <c r="AT23" s="635"/>
    </row>
    <row r="24" spans="1:46" ht="49.9" customHeight="1" x14ac:dyDescent="0.25">
      <c r="A24" s="2205"/>
      <c r="B24" s="574">
        <v>2</v>
      </c>
      <c r="C24" s="595"/>
      <c r="D24" s="596"/>
      <c r="E24" s="596"/>
      <c r="F24" s="597"/>
      <c r="G24" s="685"/>
      <c r="H24" s="619"/>
      <c r="I24" s="620"/>
      <c r="J24" s="635"/>
      <c r="K24" s="622"/>
      <c r="L24" s="572"/>
      <c r="M24" s="6"/>
      <c r="N24" s="6"/>
      <c r="O24" s="597"/>
      <c r="P24" s="685"/>
      <c r="Q24" s="619"/>
      <c r="R24" s="620"/>
      <c r="S24" s="635"/>
      <c r="T24" s="622"/>
      <c r="U24" s="572"/>
      <c r="V24" s="6"/>
      <c r="W24" s="6"/>
      <c r="X24" s="597"/>
      <c r="Y24" s="685"/>
      <c r="Z24" s="619"/>
      <c r="AA24" s="620"/>
      <c r="AB24" s="635"/>
      <c r="AC24" s="622"/>
      <c r="AD24" s="572"/>
      <c r="AE24" s="6"/>
      <c r="AF24" s="6"/>
      <c r="AG24" s="597"/>
      <c r="AH24" s="6"/>
      <c r="AI24" s="619"/>
      <c r="AJ24" s="6"/>
      <c r="AK24" s="726"/>
      <c r="AM24" s="572"/>
      <c r="AN24" s="6"/>
      <c r="AO24" s="6"/>
      <c r="AP24" s="597"/>
      <c r="AQ24" s="6"/>
      <c r="AR24" s="619"/>
      <c r="AS24" s="828"/>
      <c r="AT24" s="635"/>
    </row>
    <row r="25" spans="1:46" ht="46.15" customHeight="1" x14ac:dyDescent="0.25">
      <c r="A25" s="2206">
        <v>44997</v>
      </c>
      <c r="B25" s="574">
        <v>1</v>
      </c>
      <c r="C25" s="595"/>
      <c r="D25" s="596"/>
      <c r="E25" s="596"/>
      <c r="F25" s="597"/>
      <c r="G25" s="685"/>
      <c r="H25" s="619"/>
      <c r="I25" s="620"/>
      <c r="J25" s="635"/>
      <c r="K25" s="622"/>
      <c r="L25" s="572"/>
      <c r="M25" s="6"/>
      <c r="N25" s="6"/>
      <c r="O25" s="597"/>
      <c r="P25" s="572"/>
      <c r="Q25" s="619"/>
      <c r="R25" s="6"/>
      <c r="S25" s="635"/>
      <c r="T25" s="622"/>
      <c r="U25" s="572"/>
      <c r="V25" s="6"/>
      <c r="W25" s="6"/>
      <c r="X25" s="597"/>
      <c r="Y25" s="572"/>
      <c r="Z25" s="605"/>
      <c r="AA25" s="605"/>
      <c r="AB25" s="635"/>
      <c r="AC25" s="622"/>
      <c r="AD25" s="572"/>
      <c r="AE25" s="6"/>
      <c r="AF25" s="6"/>
      <c r="AG25" s="597"/>
      <c r="AH25" s="6"/>
      <c r="AI25" s="6"/>
      <c r="AJ25" s="6"/>
      <c r="AK25" s="726"/>
      <c r="AM25" s="572"/>
      <c r="AN25" s="6"/>
      <c r="AO25" s="6"/>
      <c r="AP25" s="597"/>
      <c r="AQ25" s="6"/>
      <c r="AR25" s="6"/>
      <c r="AS25" s="50"/>
      <c r="AT25" s="635"/>
    </row>
    <row r="26" spans="1:46" ht="42" customHeight="1" x14ac:dyDescent="0.25">
      <c r="A26" s="2205"/>
      <c r="B26" s="574">
        <v>2</v>
      </c>
      <c r="C26" s="595"/>
      <c r="D26" s="596"/>
      <c r="E26" s="596"/>
      <c r="F26" s="597"/>
      <c r="G26" s="685"/>
      <c r="H26" s="620"/>
      <c r="I26" s="692"/>
      <c r="J26" s="635"/>
      <c r="K26" s="622"/>
      <c r="L26" s="572"/>
      <c r="M26" s="6"/>
      <c r="N26" s="6"/>
      <c r="O26" s="597"/>
      <c r="P26" s="685"/>
      <c r="Q26" s="620"/>
      <c r="R26" s="620"/>
      <c r="S26" s="635"/>
      <c r="T26" s="622"/>
      <c r="U26" s="572"/>
      <c r="V26" s="596"/>
      <c r="W26" s="6"/>
      <c r="X26" s="597"/>
      <c r="Y26" s="685"/>
      <c r="Z26" s="620"/>
      <c r="AA26" s="620"/>
      <c r="AB26" s="635"/>
      <c r="AC26" s="622"/>
      <c r="AD26" s="572"/>
      <c r="AE26" s="596"/>
      <c r="AF26" s="6"/>
      <c r="AG26" s="597"/>
      <c r="AH26" s="6"/>
      <c r="AI26" s="6"/>
      <c r="AJ26" s="6"/>
      <c r="AK26" s="726"/>
      <c r="AM26" s="572"/>
      <c r="AN26" s="596"/>
      <c r="AO26" s="6"/>
      <c r="AP26" s="597"/>
      <c r="AQ26" s="6"/>
      <c r="AR26" s="6"/>
      <c r="AS26" s="50"/>
      <c r="AT26" s="635"/>
    </row>
    <row r="27" spans="1:46" ht="49.9" customHeight="1" x14ac:dyDescent="0.25">
      <c r="A27" s="2206">
        <v>44998</v>
      </c>
      <c r="B27" s="644">
        <v>1</v>
      </c>
      <c r="C27" s="595"/>
      <c r="D27" s="596"/>
      <c r="E27" s="596">
        <v>13</v>
      </c>
      <c r="F27" s="597"/>
      <c r="G27" s="685"/>
      <c r="H27" s="619"/>
      <c r="I27" s="692" t="s">
        <v>152</v>
      </c>
      <c r="J27" s="635"/>
      <c r="K27" s="622"/>
      <c r="L27" s="572"/>
      <c r="M27" s="6"/>
      <c r="N27" s="6"/>
      <c r="O27" s="597"/>
      <c r="P27" s="685"/>
      <c r="Q27" s="619"/>
      <c r="R27" s="620"/>
      <c r="S27" s="635"/>
      <c r="T27" s="622"/>
      <c r="U27" s="572"/>
      <c r="V27" s="6"/>
      <c r="W27" s="6">
        <v>49</v>
      </c>
      <c r="X27" s="613"/>
      <c r="Y27" s="685"/>
      <c r="Z27" s="619"/>
      <c r="AA27" s="620" t="s">
        <v>609</v>
      </c>
      <c r="AB27" s="635"/>
      <c r="AC27" s="622"/>
      <c r="AD27" s="572"/>
      <c r="AE27" s="6"/>
      <c r="AF27" s="6"/>
      <c r="AG27" s="613"/>
      <c r="AH27" s="6"/>
      <c r="AI27" s="6"/>
      <c r="AJ27" s="620"/>
      <c r="AK27" s="726"/>
      <c r="AM27" s="572"/>
      <c r="AN27" s="6"/>
      <c r="AO27" s="6"/>
      <c r="AP27" s="613"/>
      <c r="AQ27" s="6"/>
      <c r="AR27" s="6"/>
      <c r="AS27" s="692"/>
      <c r="AT27" s="635"/>
    </row>
    <row r="28" spans="1:46" ht="49.15" customHeight="1" x14ac:dyDescent="0.25">
      <c r="A28" s="2205"/>
      <c r="B28" s="574">
        <v>2</v>
      </c>
      <c r="C28" s="595">
        <v>135</v>
      </c>
      <c r="D28" s="596"/>
      <c r="E28" s="596"/>
      <c r="F28" s="597"/>
      <c r="G28" s="620" t="s">
        <v>610</v>
      </c>
      <c r="H28" s="620"/>
      <c r="I28" s="692"/>
      <c r="J28" s="635"/>
      <c r="K28" s="622"/>
      <c r="L28" s="572"/>
      <c r="M28" s="6"/>
      <c r="N28" s="6"/>
      <c r="O28" s="597"/>
      <c r="P28" s="620"/>
      <c r="Q28" s="620"/>
      <c r="R28" s="620"/>
      <c r="S28" s="634"/>
      <c r="T28" s="622"/>
      <c r="U28" s="572"/>
      <c r="V28" s="6"/>
      <c r="W28" s="622"/>
      <c r="X28" s="597"/>
      <c r="Y28" s="620"/>
      <c r="Z28" s="6"/>
      <c r="AA28" s="692"/>
      <c r="AB28" s="635"/>
      <c r="AC28" s="622"/>
      <c r="AD28" s="572"/>
      <c r="AE28" s="6"/>
      <c r="AF28" s="6"/>
      <c r="AG28" s="597"/>
      <c r="AH28" s="605"/>
      <c r="AI28" s="6"/>
      <c r="AJ28" s="692"/>
      <c r="AK28" s="634"/>
      <c r="AM28" s="572"/>
      <c r="AN28" s="6"/>
      <c r="AO28" s="6"/>
      <c r="AP28" s="597"/>
      <c r="AQ28" s="605"/>
      <c r="AR28" s="6"/>
      <c r="AS28" s="692"/>
      <c r="AT28" s="634"/>
    </row>
    <row r="29" spans="1:46" ht="45" customHeight="1" x14ac:dyDescent="0.25">
      <c r="A29" s="2206">
        <v>44999</v>
      </c>
      <c r="B29" s="574">
        <v>1</v>
      </c>
      <c r="C29" s="595">
        <v>485</v>
      </c>
      <c r="D29" s="596"/>
      <c r="E29" s="596">
        <v>38</v>
      </c>
      <c r="F29" s="597"/>
      <c r="G29" s="620" t="s">
        <v>610</v>
      </c>
      <c r="H29" s="619"/>
      <c r="I29" s="692" t="s">
        <v>152</v>
      </c>
      <c r="J29" s="635"/>
      <c r="K29" s="622"/>
      <c r="L29" s="572"/>
      <c r="M29" s="6"/>
      <c r="N29" s="6"/>
      <c r="O29" s="597"/>
      <c r="P29" s="685"/>
      <c r="Q29" s="619"/>
      <c r="R29" s="620"/>
      <c r="S29" s="635"/>
      <c r="T29" s="622"/>
      <c r="U29" s="572"/>
      <c r="V29" s="6">
        <v>11</v>
      </c>
      <c r="W29" s="6"/>
      <c r="X29" s="597"/>
      <c r="Y29" s="685"/>
      <c r="Z29" s="619" t="s">
        <v>601</v>
      </c>
      <c r="AA29" s="692"/>
      <c r="AB29" s="635"/>
      <c r="AC29" s="622"/>
      <c r="AD29" s="572"/>
      <c r="AE29" s="6">
        <v>80</v>
      </c>
      <c r="AF29" s="6"/>
      <c r="AG29" s="597"/>
      <c r="AH29" s="685"/>
      <c r="AI29" s="619" t="s">
        <v>601</v>
      </c>
      <c r="AJ29" s="620"/>
      <c r="AK29" s="613"/>
      <c r="AM29" s="572"/>
      <c r="AN29" s="6"/>
      <c r="AO29" s="6"/>
      <c r="AP29" s="597"/>
      <c r="AQ29" s="685"/>
      <c r="AR29" s="619"/>
      <c r="AS29" s="620"/>
      <c r="AT29" s="613"/>
    </row>
    <row r="30" spans="1:46" ht="30.6" customHeight="1" x14ac:dyDescent="0.25">
      <c r="A30" s="2205"/>
      <c r="B30" s="644">
        <v>2</v>
      </c>
      <c r="C30" s="595"/>
      <c r="D30" s="596"/>
      <c r="E30" s="596"/>
      <c r="F30" s="597"/>
      <c r="G30" s="685"/>
      <c r="H30" s="619"/>
      <c r="I30" s="620"/>
      <c r="J30" s="635"/>
      <c r="K30" s="622"/>
      <c r="L30" s="572"/>
      <c r="M30" s="6"/>
      <c r="N30" s="6"/>
      <c r="O30" s="597"/>
      <c r="P30" s="685"/>
      <c r="Q30" s="620"/>
      <c r="R30" s="620"/>
      <c r="S30" s="635"/>
      <c r="T30" s="622"/>
      <c r="U30" s="572"/>
      <c r="V30" s="6"/>
      <c r="W30" s="6"/>
      <c r="X30" s="597"/>
      <c r="Y30" s="685"/>
      <c r="Z30" s="619"/>
      <c r="AA30" s="620"/>
      <c r="AB30" s="613"/>
      <c r="AC30" s="622"/>
      <c r="AD30" s="572"/>
      <c r="AE30" s="6"/>
      <c r="AF30" s="6"/>
      <c r="AG30" s="597"/>
      <c r="AH30" s="685"/>
      <c r="AI30" s="619"/>
      <c r="AJ30" s="620"/>
      <c r="AK30" s="613"/>
      <c r="AM30" s="572"/>
      <c r="AN30" s="6"/>
      <c r="AO30" s="6"/>
      <c r="AP30" s="597"/>
      <c r="AQ30" s="685"/>
      <c r="AR30" s="619"/>
      <c r="AS30" s="620"/>
      <c r="AT30" s="613"/>
    </row>
    <row r="31" spans="1:46" ht="39.6" customHeight="1" x14ac:dyDescent="0.25">
      <c r="A31" s="2206">
        <v>45000</v>
      </c>
      <c r="B31" s="574">
        <v>1</v>
      </c>
      <c r="C31" s="595"/>
      <c r="D31" s="596"/>
      <c r="E31" s="596"/>
      <c r="F31" s="597"/>
      <c r="G31" s="685"/>
      <c r="H31" s="619"/>
      <c r="I31" s="620"/>
      <c r="J31" s="635"/>
      <c r="K31" s="622"/>
      <c r="L31" s="572"/>
      <c r="M31" s="6"/>
      <c r="N31" s="6"/>
      <c r="O31" s="597"/>
      <c r="P31" s="614"/>
      <c r="Q31" s="6"/>
      <c r="R31" s="6"/>
      <c r="S31" s="635"/>
      <c r="T31" s="622"/>
      <c r="U31" s="572"/>
      <c r="V31" s="6"/>
      <c r="W31" s="6"/>
      <c r="X31" s="597"/>
      <c r="Y31" s="901"/>
      <c r="Z31" s="6"/>
      <c r="AA31" s="6"/>
      <c r="AB31" s="635"/>
      <c r="AC31" s="622"/>
      <c r="AD31" s="572"/>
      <c r="AE31" s="6"/>
      <c r="AF31" s="6"/>
      <c r="AG31" s="597"/>
      <c r="AH31" s="614"/>
      <c r="AI31" s="6"/>
      <c r="AJ31" s="6"/>
      <c r="AK31" s="635"/>
      <c r="AM31" s="572"/>
      <c r="AN31" s="6"/>
      <c r="AO31" s="6"/>
      <c r="AP31" s="597"/>
      <c r="AQ31" s="614"/>
      <c r="AR31" s="6"/>
      <c r="AS31" s="6"/>
      <c r="AT31" s="635"/>
    </row>
    <row r="32" spans="1:46" ht="28.15" customHeight="1" x14ac:dyDescent="0.25">
      <c r="A32" s="2205"/>
      <c r="B32" s="574">
        <v>2</v>
      </c>
      <c r="C32" s="595">
        <v>15</v>
      </c>
      <c r="D32" s="596">
        <v>15</v>
      </c>
      <c r="E32" s="596">
        <v>15</v>
      </c>
      <c r="F32" s="597"/>
      <c r="G32" s="685" t="s">
        <v>583</v>
      </c>
      <c r="H32" s="685" t="s">
        <v>583</v>
      </c>
      <c r="I32" s="685" t="s">
        <v>583</v>
      </c>
      <c r="J32" s="687"/>
      <c r="K32" s="622"/>
      <c r="L32" s="572"/>
      <c r="M32" s="6"/>
      <c r="N32" s="6"/>
      <c r="O32" s="613"/>
      <c r="P32" s="614"/>
      <c r="Q32" s="6"/>
      <c r="R32" s="6"/>
      <c r="S32" s="764"/>
      <c r="T32" s="622"/>
      <c r="U32" s="572"/>
      <c r="V32" s="6"/>
      <c r="W32" s="6"/>
      <c r="X32" s="613"/>
      <c r="Y32" s="614"/>
      <c r="Z32" s="605"/>
      <c r="AA32" s="692"/>
      <c r="AB32" s="635"/>
      <c r="AC32" s="622"/>
      <c r="AD32" s="572">
        <v>242</v>
      </c>
      <c r="AE32" s="6"/>
      <c r="AF32" s="6"/>
      <c r="AG32" s="613"/>
      <c r="AH32" s="614" t="s">
        <v>611</v>
      </c>
      <c r="AI32" s="605"/>
      <c r="AJ32" s="6"/>
      <c r="AK32" s="613"/>
      <c r="AM32" s="572"/>
      <c r="AN32" s="6"/>
      <c r="AO32" s="6"/>
      <c r="AP32" s="613"/>
      <c r="AQ32" s="614"/>
      <c r="AR32" s="605"/>
      <c r="AS32" s="6"/>
      <c r="AT32" s="613"/>
    </row>
    <row r="33" spans="1:46" ht="43.15" customHeight="1" x14ac:dyDescent="0.25">
      <c r="A33" s="2206">
        <v>45001</v>
      </c>
      <c r="B33" s="574">
        <v>1</v>
      </c>
      <c r="C33" s="595"/>
      <c r="D33" s="596"/>
      <c r="E33" s="596"/>
      <c r="F33" s="597"/>
      <c r="G33" s="685"/>
      <c r="H33" s="619"/>
      <c r="I33" s="692"/>
      <c r="J33" s="687"/>
      <c r="K33" s="622"/>
      <c r="L33" s="572"/>
      <c r="M33" s="6"/>
      <c r="N33" s="6"/>
      <c r="O33" s="613"/>
      <c r="P33" s="614"/>
      <c r="Q33" s="6"/>
      <c r="R33" s="6"/>
      <c r="S33" s="613"/>
      <c r="T33" s="622"/>
      <c r="U33" s="572"/>
      <c r="V33" s="6"/>
      <c r="W33" s="6"/>
      <c r="X33" s="613"/>
      <c r="Y33" s="614"/>
      <c r="Z33" s="6"/>
      <c r="AA33" s="605"/>
      <c r="AB33" s="613"/>
      <c r="AC33" s="622"/>
      <c r="AD33" s="572"/>
      <c r="AE33" s="6"/>
      <c r="AF33" s="6"/>
      <c r="AG33" s="613"/>
      <c r="AH33" s="614"/>
      <c r="AI33" s="605"/>
      <c r="AJ33" s="6"/>
      <c r="AK33" s="613"/>
      <c r="AM33" s="572"/>
      <c r="AN33" s="6"/>
      <c r="AO33" s="6"/>
      <c r="AP33" s="613"/>
      <c r="AQ33" s="614"/>
      <c r="AR33" s="605"/>
      <c r="AS33" s="6"/>
      <c r="AT33" s="613"/>
    </row>
    <row r="34" spans="1:46" ht="37.15" customHeight="1" x14ac:dyDescent="0.25">
      <c r="A34" s="2205"/>
      <c r="B34" s="644">
        <v>2</v>
      </c>
      <c r="C34" s="596"/>
      <c r="D34" s="596"/>
      <c r="E34" s="596"/>
      <c r="F34" s="829"/>
      <c r="G34" s="685"/>
      <c r="H34" s="620"/>
      <c r="I34" s="620"/>
      <c r="J34" s="687"/>
      <c r="K34" s="622"/>
      <c r="L34" s="572"/>
      <c r="M34" s="6"/>
      <c r="N34" s="6"/>
      <c r="O34" s="613"/>
      <c r="P34" s="614"/>
      <c r="Q34" s="620"/>
      <c r="R34" s="6"/>
      <c r="S34" s="635"/>
      <c r="T34" s="622"/>
      <c r="U34" s="572"/>
      <c r="V34" s="6"/>
      <c r="W34" s="6"/>
      <c r="X34" s="613"/>
      <c r="Y34" s="6"/>
      <c r="Z34" s="605"/>
      <c r="AA34" s="620"/>
      <c r="AB34" s="635"/>
      <c r="AC34" s="622"/>
      <c r="AD34" s="572"/>
      <c r="AE34" s="6"/>
      <c r="AF34" s="6"/>
      <c r="AG34" s="613"/>
      <c r="AH34" s="614"/>
      <c r="AI34" s="6"/>
      <c r="AJ34" s="6"/>
      <c r="AK34" s="613"/>
      <c r="AM34" s="572"/>
      <c r="AN34" s="6"/>
      <c r="AO34" s="6"/>
      <c r="AP34" s="613"/>
      <c r="AQ34" s="614"/>
      <c r="AR34" s="6"/>
      <c r="AS34" s="6"/>
      <c r="AT34" s="613"/>
    </row>
    <row r="35" spans="1:46" ht="37.9" customHeight="1" x14ac:dyDescent="0.25">
      <c r="A35" s="2206">
        <v>45002</v>
      </c>
      <c r="B35" s="574">
        <v>1</v>
      </c>
      <c r="C35" s="596"/>
      <c r="D35" s="596"/>
      <c r="E35" s="50"/>
      <c r="F35" s="828"/>
      <c r="G35" s="567"/>
      <c r="H35" s="614"/>
      <c r="I35" s="605"/>
      <c r="J35" s="687"/>
      <c r="K35" s="622"/>
      <c r="L35" s="572"/>
      <c r="M35" s="6"/>
      <c r="N35" s="6"/>
      <c r="O35" s="613"/>
      <c r="P35" s="567"/>
      <c r="Q35" s="905"/>
      <c r="R35" s="620"/>
      <c r="S35" s="635"/>
      <c r="T35" s="622"/>
      <c r="U35" s="572"/>
      <c r="V35" s="6"/>
      <c r="W35" s="50"/>
      <c r="X35" s="634"/>
      <c r="Y35" s="567"/>
      <c r="Z35" s="6"/>
      <c r="AA35" s="605"/>
      <c r="AB35" s="613"/>
      <c r="AC35" s="622"/>
      <c r="AD35" s="572"/>
      <c r="AE35" s="6"/>
      <c r="AF35" s="6"/>
      <c r="AG35" s="901"/>
      <c r="AH35" s="567"/>
      <c r="AI35" s="6"/>
      <c r="AJ35" s="605"/>
      <c r="AK35" s="613"/>
      <c r="AM35" s="572"/>
      <c r="AN35" s="6"/>
      <c r="AO35" s="50"/>
      <c r="AP35" s="634"/>
      <c r="AQ35" s="567"/>
      <c r="AR35" s="6"/>
      <c r="AS35" s="605"/>
      <c r="AT35" s="613"/>
    </row>
    <row r="36" spans="1:46" ht="41.45" customHeight="1" x14ac:dyDescent="0.25">
      <c r="A36" s="2205"/>
      <c r="B36" s="574">
        <v>2</v>
      </c>
      <c r="C36" s="6"/>
      <c r="D36" s="6"/>
      <c r="E36" s="50">
        <v>25</v>
      </c>
      <c r="F36" s="828"/>
      <c r="G36" s="567"/>
      <c r="H36" s="901"/>
      <c r="I36" s="692" t="s">
        <v>152</v>
      </c>
      <c r="J36" s="635"/>
      <c r="K36" s="622"/>
      <c r="L36" s="567"/>
      <c r="M36" s="6"/>
      <c r="N36" s="6"/>
      <c r="O36" s="901"/>
      <c r="P36" s="567"/>
      <c r="Q36" s="605"/>
      <c r="R36" s="605"/>
      <c r="S36" s="635"/>
      <c r="T36" s="622"/>
      <c r="U36" s="572"/>
      <c r="V36" s="6"/>
      <c r="W36" s="6">
        <v>30</v>
      </c>
      <c r="X36" s="901"/>
      <c r="Y36" s="567"/>
      <c r="Z36" s="605"/>
      <c r="AA36" s="724" t="s">
        <v>152</v>
      </c>
      <c r="AB36" s="613"/>
      <c r="AC36" s="622"/>
      <c r="AD36" s="572"/>
      <c r="AE36" s="6"/>
      <c r="AF36" s="50"/>
      <c r="AG36" s="634"/>
      <c r="AH36" s="567"/>
      <c r="AI36" s="605"/>
      <c r="AJ36" s="605"/>
      <c r="AK36" s="613"/>
      <c r="AM36" s="572"/>
      <c r="AN36" s="6"/>
      <c r="AO36" s="6"/>
      <c r="AP36" s="901"/>
      <c r="AQ36" s="567"/>
      <c r="AR36" s="605"/>
      <c r="AS36" s="605"/>
      <c r="AT36" s="613"/>
    </row>
    <row r="37" spans="1:46" ht="38.450000000000003" customHeight="1" x14ac:dyDescent="0.25">
      <c r="A37" s="2206">
        <v>45003</v>
      </c>
      <c r="B37" s="644">
        <v>1</v>
      </c>
      <c r="C37" s="596"/>
      <c r="D37" s="596"/>
      <c r="E37" s="6"/>
      <c r="F37" s="50"/>
      <c r="G37" s="899"/>
      <c r="H37" s="901"/>
      <c r="I37" s="605"/>
      <c r="J37" s="635"/>
      <c r="K37" s="622"/>
      <c r="L37" s="572"/>
      <c r="M37" s="6"/>
      <c r="N37" s="6"/>
      <c r="O37" s="727"/>
      <c r="P37" s="614"/>
      <c r="Q37" s="6"/>
      <c r="R37" s="6"/>
      <c r="S37" s="613"/>
      <c r="T37" s="622"/>
      <c r="U37" s="572"/>
      <c r="V37" s="6"/>
      <c r="W37" s="6"/>
      <c r="X37" s="613"/>
      <c r="Y37" s="614"/>
      <c r="Z37" s="605"/>
      <c r="AA37" s="605"/>
      <c r="AB37" s="635"/>
      <c r="AC37" s="622"/>
      <c r="AD37" s="572"/>
      <c r="AE37" s="6"/>
      <c r="AF37" s="6"/>
      <c r="AG37" s="613"/>
      <c r="AH37" s="614"/>
      <c r="AI37" s="6"/>
      <c r="AJ37" s="6"/>
      <c r="AK37" s="613"/>
      <c r="AM37" s="572"/>
      <c r="AN37" s="6"/>
      <c r="AO37" s="6"/>
      <c r="AP37" s="613"/>
      <c r="AQ37" s="614"/>
      <c r="AR37" s="6"/>
      <c r="AS37" s="6"/>
      <c r="AT37" s="613"/>
    </row>
    <row r="38" spans="1:46" ht="55.9" customHeight="1" x14ac:dyDescent="0.25">
      <c r="A38" s="2205"/>
      <c r="B38" s="574">
        <v>2</v>
      </c>
      <c r="C38" s="595"/>
      <c r="D38" s="596"/>
      <c r="E38" s="596"/>
      <c r="F38" s="829"/>
      <c r="G38" s="685"/>
      <c r="H38" s="901"/>
      <c r="I38" s="605"/>
      <c r="J38" s="635"/>
      <c r="K38" s="622"/>
      <c r="L38" s="572"/>
      <c r="M38" s="6">
        <v>72</v>
      </c>
      <c r="N38" s="6"/>
      <c r="O38" s="613"/>
      <c r="P38" s="901"/>
      <c r="Q38" s="909" t="s">
        <v>612</v>
      </c>
      <c r="R38" s="6"/>
      <c r="S38" s="635"/>
      <c r="T38" s="622"/>
      <c r="U38" s="572"/>
      <c r="V38" s="6"/>
      <c r="W38" s="6"/>
      <c r="X38" s="613"/>
      <c r="Y38" s="614"/>
      <c r="Z38" s="605"/>
      <c r="AA38" s="6"/>
      <c r="AB38" s="635"/>
      <c r="AC38" s="622"/>
      <c r="AD38" s="572"/>
      <c r="AE38" s="6"/>
      <c r="AF38" s="6"/>
      <c r="AG38" s="613"/>
      <c r="AH38" s="901"/>
      <c r="AI38" s="6"/>
      <c r="AJ38" s="605"/>
      <c r="AK38" s="635"/>
      <c r="AM38" s="572"/>
      <c r="AN38" s="6"/>
      <c r="AO38" s="6"/>
      <c r="AP38" s="613"/>
      <c r="AQ38" s="614"/>
      <c r="AR38" s="6"/>
      <c r="AS38" s="605"/>
      <c r="AT38" s="635"/>
    </row>
    <row r="39" spans="1:46" ht="39" customHeight="1" x14ac:dyDescent="0.25">
      <c r="A39" s="2206">
        <v>45004</v>
      </c>
      <c r="B39" s="574">
        <v>1</v>
      </c>
      <c r="C39" s="595"/>
      <c r="D39" s="596"/>
      <c r="E39" s="596"/>
      <c r="F39" s="597">
        <v>120</v>
      </c>
      <c r="G39" s="685"/>
      <c r="H39" s="619"/>
      <c r="I39" s="692"/>
      <c r="J39" s="687" t="s">
        <v>613</v>
      </c>
      <c r="K39" s="622"/>
      <c r="L39" s="572"/>
      <c r="M39" s="6"/>
      <c r="N39" s="6"/>
      <c r="O39" s="597">
        <v>120</v>
      </c>
      <c r="P39" s="685"/>
      <c r="Q39" s="619"/>
      <c r="R39" s="692"/>
      <c r="S39" s="687" t="s">
        <v>613</v>
      </c>
      <c r="T39" s="622"/>
      <c r="U39" s="572"/>
      <c r="V39" s="6"/>
      <c r="W39" s="6"/>
      <c r="X39" s="597">
        <v>120</v>
      </c>
      <c r="Y39" s="685"/>
      <c r="Z39" s="619"/>
      <c r="AA39" s="692"/>
      <c r="AB39" s="687" t="s">
        <v>613</v>
      </c>
      <c r="AC39" s="622"/>
      <c r="AD39" s="572"/>
      <c r="AE39" s="6"/>
      <c r="AF39" s="6"/>
      <c r="AG39" s="597">
        <v>120</v>
      </c>
      <c r="AH39" s="685"/>
      <c r="AI39" s="619"/>
      <c r="AJ39" s="692"/>
      <c r="AK39" s="687" t="s">
        <v>613</v>
      </c>
      <c r="AM39" s="572"/>
      <c r="AN39" s="6"/>
      <c r="AO39" s="6"/>
      <c r="AP39" s="597">
        <v>120</v>
      </c>
      <c r="AQ39" s="685"/>
      <c r="AR39" s="619"/>
      <c r="AS39" s="692"/>
      <c r="AT39" s="687" t="s">
        <v>613</v>
      </c>
    </row>
    <row r="40" spans="1:46" ht="72.599999999999994" customHeight="1" x14ac:dyDescent="0.25">
      <c r="A40" s="2205"/>
      <c r="B40" s="574">
        <v>2</v>
      </c>
      <c r="C40" s="595"/>
      <c r="D40" s="596">
        <v>358</v>
      </c>
      <c r="E40" s="596"/>
      <c r="F40" s="613">
        <v>123</v>
      </c>
      <c r="G40" s="685"/>
      <c r="H40" s="620" t="s">
        <v>614</v>
      </c>
      <c r="I40" s="692"/>
      <c r="J40" s="687" t="s">
        <v>613</v>
      </c>
      <c r="K40" s="622"/>
      <c r="L40" s="572"/>
      <c r="M40" s="6"/>
      <c r="N40" s="6"/>
      <c r="O40" s="613">
        <v>123</v>
      </c>
      <c r="P40" s="685"/>
      <c r="Q40" s="619"/>
      <c r="R40" s="692"/>
      <c r="S40" s="687" t="s">
        <v>613</v>
      </c>
      <c r="T40" s="622"/>
      <c r="U40" s="572"/>
      <c r="V40" s="6"/>
      <c r="W40" s="6"/>
      <c r="X40" s="613">
        <v>123</v>
      </c>
      <c r="Y40" s="685"/>
      <c r="Z40" s="619"/>
      <c r="AA40" s="692"/>
      <c r="AB40" s="687" t="s">
        <v>613</v>
      </c>
      <c r="AC40" s="622"/>
      <c r="AD40" s="572"/>
      <c r="AE40" s="6"/>
      <c r="AF40" s="6"/>
      <c r="AG40" s="613">
        <v>123</v>
      </c>
      <c r="AH40" s="685"/>
      <c r="AI40" s="619"/>
      <c r="AJ40" s="692"/>
      <c r="AK40" s="687" t="s">
        <v>613</v>
      </c>
      <c r="AM40" s="572"/>
      <c r="AN40" s="6"/>
      <c r="AO40" s="6"/>
      <c r="AP40" s="613">
        <v>123</v>
      </c>
      <c r="AQ40" s="685"/>
      <c r="AR40" s="619"/>
      <c r="AS40" s="692"/>
      <c r="AT40" s="687" t="s">
        <v>613</v>
      </c>
    </row>
    <row r="41" spans="1:46" ht="39.6" customHeight="1" x14ac:dyDescent="0.25">
      <c r="A41" s="2206">
        <v>45005</v>
      </c>
      <c r="B41" s="574">
        <v>1</v>
      </c>
      <c r="C41" s="595"/>
      <c r="D41" s="596"/>
      <c r="E41" s="596"/>
      <c r="F41" s="613"/>
      <c r="G41" s="685"/>
      <c r="H41" s="620"/>
      <c r="I41" s="692"/>
      <c r="J41" s="687"/>
      <c r="K41" s="622"/>
      <c r="L41" s="572"/>
      <c r="M41" s="6"/>
      <c r="N41" s="6"/>
      <c r="O41" s="613"/>
      <c r="P41" s="614"/>
      <c r="Q41" s="6"/>
      <c r="R41" s="6"/>
      <c r="S41" s="635"/>
      <c r="T41" s="622"/>
      <c r="U41" s="572"/>
      <c r="V41" s="6"/>
      <c r="W41" s="6"/>
      <c r="X41" s="613"/>
      <c r="Y41" s="614"/>
      <c r="Z41" s="605"/>
      <c r="AA41" s="605"/>
      <c r="AB41" s="613"/>
      <c r="AC41" s="622"/>
      <c r="AD41" s="572"/>
      <c r="AE41" s="6"/>
      <c r="AF41" s="6"/>
      <c r="AG41" s="613"/>
      <c r="AH41" s="614"/>
      <c r="AI41" s="605"/>
      <c r="AJ41" s="6"/>
      <c r="AK41" s="613"/>
      <c r="AM41" s="572"/>
      <c r="AN41" s="6"/>
      <c r="AO41" s="6"/>
      <c r="AP41" s="613"/>
      <c r="AQ41" s="614"/>
      <c r="AR41" s="605"/>
      <c r="AS41" s="6"/>
      <c r="AT41" s="613"/>
    </row>
    <row r="42" spans="1:46" ht="33" customHeight="1" x14ac:dyDescent="0.25">
      <c r="A42" s="2205"/>
      <c r="B42" s="574">
        <v>2</v>
      </c>
      <c r="C42" s="596"/>
      <c r="D42" s="596"/>
      <c r="E42" s="596"/>
      <c r="F42" s="613"/>
      <c r="G42" s="685"/>
      <c r="H42" s="619"/>
      <c r="I42" s="692"/>
      <c r="J42" s="687"/>
      <c r="K42" s="622"/>
      <c r="L42" s="572"/>
      <c r="M42" s="6"/>
      <c r="N42" s="6"/>
      <c r="O42" s="613"/>
      <c r="P42" s="614"/>
      <c r="Q42" s="6"/>
      <c r="R42" s="6"/>
      <c r="S42" s="635"/>
      <c r="T42" s="622"/>
      <c r="U42" s="572"/>
      <c r="V42" s="6"/>
      <c r="W42" s="6"/>
      <c r="X42" s="613"/>
      <c r="Y42" s="901"/>
      <c r="Z42" s="6"/>
      <c r="AA42" s="605"/>
      <c r="AB42" s="635"/>
      <c r="AC42" s="622"/>
      <c r="AD42" s="572"/>
      <c r="AE42" s="6"/>
      <c r="AF42" s="6"/>
      <c r="AG42" s="613"/>
      <c r="AH42" s="614"/>
      <c r="AI42" s="6"/>
      <c r="AJ42" s="6"/>
      <c r="AK42" s="613"/>
      <c r="AM42" s="572"/>
      <c r="AN42" s="6"/>
      <c r="AO42" s="6"/>
      <c r="AP42" s="613"/>
      <c r="AQ42" s="614"/>
      <c r="AR42" s="6"/>
      <c r="AS42" s="6"/>
      <c r="AT42" s="613"/>
    </row>
    <row r="43" spans="1:46" ht="33.6" customHeight="1" x14ac:dyDescent="0.25">
      <c r="A43" s="2206">
        <v>45006</v>
      </c>
      <c r="B43" s="574">
        <v>1</v>
      </c>
      <c r="C43" s="596"/>
      <c r="D43" s="596"/>
      <c r="E43" s="596"/>
      <c r="F43" s="597"/>
      <c r="G43" s="619"/>
      <c r="H43" s="619"/>
      <c r="I43" s="620"/>
      <c r="J43" s="635"/>
      <c r="K43" s="622"/>
      <c r="L43" s="572"/>
      <c r="M43" s="6"/>
      <c r="N43" s="6"/>
      <c r="O43" s="613"/>
      <c r="P43" s="614"/>
      <c r="Q43" s="6"/>
      <c r="R43" s="6"/>
      <c r="S43" s="613"/>
      <c r="T43" s="622"/>
      <c r="U43" s="572"/>
      <c r="V43" s="6"/>
      <c r="W43" s="6"/>
      <c r="X43" s="613"/>
      <c r="Y43" s="614"/>
      <c r="Z43" s="6"/>
      <c r="AA43" s="620"/>
      <c r="AB43" s="613"/>
      <c r="AC43" s="622"/>
      <c r="AD43" s="572"/>
      <c r="AE43" s="6"/>
      <c r="AF43" s="6"/>
      <c r="AG43" s="613"/>
      <c r="AH43" s="605"/>
      <c r="AI43" s="620"/>
      <c r="AJ43" s="6"/>
      <c r="AK43" s="613"/>
      <c r="AM43" s="572"/>
      <c r="AN43" s="6"/>
      <c r="AO43" s="6"/>
      <c r="AP43" s="613"/>
      <c r="AQ43" s="605"/>
      <c r="AR43" s="620"/>
      <c r="AS43" s="6"/>
      <c r="AT43" s="613"/>
    </row>
    <row r="44" spans="1:46" ht="36" customHeight="1" x14ac:dyDescent="0.25">
      <c r="A44" s="2205"/>
      <c r="B44" s="574">
        <v>2</v>
      </c>
      <c r="C44" s="596"/>
      <c r="D44" s="596"/>
      <c r="E44" s="596"/>
      <c r="F44" s="597"/>
      <c r="G44" s="619"/>
      <c r="H44" s="619"/>
      <c r="I44" s="692"/>
      <c r="J44" s="635"/>
      <c r="K44" s="622"/>
      <c r="L44" s="572"/>
      <c r="M44" s="6"/>
      <c r="N44" s="6"/>
      <c r="O44" s="613"/>
      <c r="P44" s="614"/>
      <c r="Q44" s="6"/>
      <c r="R44" s="605"/>
      <c r="S44" s="764"/>
      <c r="T44" s="622"/>
      <c r="U44" s="572"/>
      <c r="V44" s="6"/>
      <c r="W44" s="596"/>
      <c r="X44" s="597"/>
      <c r="Y44" s="619"/>
      <c r="Z44" s="619"/>
      <c r="AA44" s="605"/>
      <c r="AB44" s="635"/>
      <c r="AC44" s="622"/>
      <c r="AD44" s="572"/>
      <c r="AE44" s="6"/>
      <c r="AF44" s="6"/>
      <c r="AG44" s="613"/>
      <c r="AH44" s="614"/>
      <c r="AI44" s="605"/>
      <c r="AJ44" s="605"/>
      <c r="AK44" s="613"/>
      <c r="AM44" s="572"/>
      <c r="AN44" s="6"/>
      <c r="AO44" s="6"/>
      <c r="AP44" s="613"/>
      <c r="AQ44" s="614"/>
      <c r="AR44" s="605"/>
      <c r="AS44" s="605"/>
      <c r="AT44" s="613"/>
    </row>
    <row r="45" spans="1:46" ht="36" customHeight="1" x14ac:dyDescent="0.25">
      <c r="A45" s="2206">
        <v>45007</v>
      </c>
      <c r="B45" s="574">
        <v>1</v>
      </c>
      <c r="C45" s="596"/>
      <c r="D45" s="596"/>
      <c r="E45" s="596"/>
      <c r="F45" s="597"/>
      <c r="G45" s="619"/>
      <c r="H45" s="619"/>
      <c r="I45" s="620"/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"/>
      <c r="W45" s="6"/>
      <c r="X45" s="613"/>
      <c r="Y45" s="619"/>
      <c r="Z45" s="6"/>
      <c r="AA45" s="605"/>
      <c r="AB45" s="613"/>
      <c r="AC45" s="622"/>
      <c r="AD45" s="572"/>
      <c r="AE45" s="6"/>
      <c r="AF45" s="6"/>
      <c r="AG45" s="613"/>
      <c r="AH45" s="614"/>
      <c r="AI45" s="605"/>
      <c r="AJ45" s="6"/>
      <c r="AK45" s="613"/>
      <c r="AM45" s="572"/>
      <c r="AN45" s="6"/>
      <c r="AO45" s="6"/>
      <c r="AP45" s="613"/>
      <c r="AQ45" s="614"/>
      <c r="AR45" s="605"/>
      <c r="AS45" s="6"/>
      <c r="AT45" s="613"/>
    </row>
    <row r="46" spans="1:46" ht="34.15" customHeight="1" x14ac:dyDescent="0.25">
      <c r="A46" s="2205"/>
      <c r="B46" s="574">
        <v>2</v>
      </c>
      <c r="C46" s="596"/>
      <c r="D46" s="596"/>
      <c r="E46" s="596"/>
      <c r="F46" s="597"/>
      <c r="G46" s="619"/>
      <c r="H46" s="619"/>
      <c r="I46" s="620"/>
      <c r="J46" s="635"/>
      <c r="K46" s="622"/>
      <c r="L46" s="572"/>
      <c r="M46" s="6"/>
      <c r="N46" s="6"/>
      <c r="O46" s="785"/>
      <c r="P46" s="614"/>
      <c r="Q46" s="620"/>
      <c r="R46" s="6"/>
      <c r="S46" s="635"/>
      <c r="T46" s="622"/>
      <c r="U46" s="572"/>
      <c r="V46" s="6"/>
      <c r="W46" s="6"/>
      <c r="X46" s="613"/>
      <c r="Y46" s="614"/>
      <c r="Z46" s="6"/>
      <c r="AA46" s="605"/>
      <c r="AB46" s="635"/>
      <c r="AC46" s="622"/>
      <c r="AD46" s="572"/>
      <c r="AE46" s="6"/>
      <c r="AF46" s="6"/>
      <c r="AG46" s="613"/>
      <c r="AH46" s="901"/>
      <c r="AI46" s="6"/>
      <c r="AJ46" s="6"/>
      <c r="AK46" s="635"/>
      <c r="AM46" s="572"/>
      <c r="AN46" s="6"/>
      <c r="AO46" s="6">
        <v>43</v>
      </c>
      <c r="AP46" s="613"/>
      <c r="AQ46" s="901"/>
      <c r="AR46" s="6"/>
      <c r="AS46" s="6" t="s">
        <v>97</v>
      </c>
      <c r="AT46" s="635"/>
    </row>
    <row r="47" spans="1:46" ht="36" customHeight="1" x14ac:dyDescent="0.25">
      <c r="A47" s="2206">
        <v>45008</v>
      </c>
      <c r="B47" s="574">
        <v>1</v>
      </c>
      <c r="C47" s="596">
        <v>129</v>
      </c>
      <c r="D47" s="596"/>
      <c r="E47" s="596"/>
      <c r="F47" s="597"/>
      <c r="G47" s="620" t="s">
        <v>615</v>
      </c>
      <c r="H47" s="619"/>
      <c r="I47" s="692"/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/>
      <c r="X47" s="613"/>
      <c r="Y47" s="614"/>
      <c r="Z47" s="605"/>
      <c r="AA47" s="605"/>
      <c r="AB47" s="635"/>
      <c r="AC47" s="622"/>
      <c r="AD47" s="572"/>
      <c r="AE47" s="6"/>
      <c r="AF47" s="6"/>
      <c r="AG47" s="613"/>
      <c r="AH47" s="901"/>
      <c r="AI47" s="620"/>
      <c r="AJ47" s="6"/>
      <c r="AK47" s="613"/>
      <c r="AM47" s="572"/>
      <c r="AN47" s="6"/>
      <c r="AO47" s="6"/>
      <c r="AP47" s="613"/>
      <c r="AQ47" s="901"/>
      <c r="AR47" s="620"/>
      <c r="AS47" s="6"/>
      <c r="AT47" s="613"/>
    </row>
    <row r="48" spans="1:46" ht="34.9" customHeight="1" x14ac:dyDescent="0.25">
      <c r="A48" s="2205"/>
      <c r="B48" s="574">
        <v>2</v>
      </c>
      <c r="C48" s="596"/>
      <c r="D48" s="596"/>
      <c r="E48" s="596">
        <v>20</v>
      </c>
      <c r="F48" s="597"/>
      <c r="G48" s="620"/>
      <c r="H48" s="620"/>
      <c r="I48" s="692" t="s">
        <v>152</v>
      </c>
      <c r="J48" s="687"/>
      <c r="K48" s="622"/>
      <c r="L48" s="572"/>
      <c r="M48" s="6"/>
      <c r="N48" s="6"/>
      <c r="O48" s="613"/>
      <c r="P48" s="614"/>
      <c r="Q48" s="620"/>
      <c r="R48" s="605"/>
      <c r="S48" s="635"/>
      <c r="T48" s="622"/>
      <c r="U48" s="572"/>
      <c r="V48" s="6"/>
      <c r="W48" s="6">
        <v>29</v>
      </c>
      <c r="X48" s="613"/>
      <c r="Y48" s="901"/>
      <c r="Z48" s="6"/>
      <c r="AA48" s="605" t="s">
        <v>97</v>
      </c>
      <c r="AB48" s="613"/>
      <c r="AC48" s="622"/>
      <c r="AD48" s="572"/>
      <c r="AE48" s="6"/>
      <c r="AF48" s="6"/>
      <c r="AG48" s="613"/>
      <c r="AH48" s="614"/>
      <c r="AI48" s="605"/>
      <c r="AJ48" s="6"/>
      <c r="AK48" s="613"/>
      <c r="AM48" s="572"/>
      <c r="AN48" s="6"/>
      <c r="AO48" s="6"/>
      <c r="AP48" s="613"/>
      <c r="AQ48" s="614"/>
      <c r="AR48" s="605"/>
      <c r="AS48" s="6"/>
      <c r="AT48" s="613"/>
    </row>
    <row r="49" spans="1:46" ht="36" customHeight="1" x14ac:dyDescent="0.25">
      <c r="A49" s="2206">
        <v>45009</v>
      </c>
      <c r="B49" s="574">
        <v>1</v>
      </c>
      <c r="C49" s="596"/>
      <c r="D49" s="596"/>
      <c r="E49" s="596"/>
      <c r="F49" s="597"/>
      <c r="G49" s="620"/>
      <c r="H49" s="619"/>
      <c r="I49" s="692"/>
      <c r="J49" s="687"/>
      <c r="K49" s="622"/>
      <c r="L49" s="572"/>
      <c r="M49" s="6"/>
      <c r="N49" s="6"/>
      <c r="O49" s="613"/>
      <c r="P49" s="614"/>
      <c r="Q49" s="6"/>
      <c r="R49" s="6"/>
      <c r="S49" s="613"/>
      <c r="T49" s="622"/>
      <c r="U49" s="572"/>
      <c r="V49" s="6"/>
      <c r="W49" s="6"/>
      <c r="X49" s="613"/>
      <c r="Y49" s="614"/>
      <c r="Z49" s="605"/>
      <c r="AA49" s="605"/>
      <c r="AB49" s="635"/>
      <c r="AC49" s="622"/>
      <c r="AD49" s="572"/>
      <c r="AE49" s="6"/>
      <c r="AF49" s="6"/>
      <c r="AG49" s="613"/>
      <c r="AH49" s="614"/>
      <c r="AI49" s="605"/>
      <c r="AJ49" s="6"/>
      <c r="AK49" s="613"/>
      <c r="AM49" s="572"/>
      <c r="AN49" s="6"/>
      <c r="AO49" s="6"/>
      <c r="AP49" s="613"/>
      <c r="AQ49" s="614"/>
      <c r="AR49" s="605"/>
      <c r="AS49" s="6"/>
      <c r="AT49" s="613"/>
    </row>
    <row r="50" spans="1:46" ht="33" customHeight="1" x14ac:dyDescent="0.25">
      <c r="A50" s="2205"/>
      <c r="B50" s="574">
        <v>2</v>
      </c>
      <c r="C50" s="596"/>
      <c r="D50" s="596"/>
      <c r="E50" s="596"/>
      <c r="F50" s="597">
        <v>27</v>
      </c>
      <c r="G50" s="619"/>
      <c r="H50" s="619"/>
      <c r="I50" s="692"/>
      <c r="J50" s="635" t="s">
        <v>616</v>
      </c>
      <c r="K50" s="622"/>
      <c r="L50" s="572"/>
      <c r="M50" s="6"/>
      <c r="N50" s="6"/>
      <c r="O50" s="597">
        <v>27</v>
      </c>
      <c r="P50" s="619"/>
      <c r="Q50" s="619"/>
      <c r="R50" s="692"/>
      <c r="S50" s="635" t="s">
        <v>616</v>
      </c>
      <c r="T50" s="622"/>
      <c r="U50" s="572"/>
      <c r="V50" s="6"/>
      <c r="W50" s="6"/>
      <c r="X50" s="597">
        <v>27</v>
      </c>
      <c r="Y50" s="619"/>
      <c r="Z50" s="619"/>
      <c r="AA50" s="692"/>
      <c r="AB50" s="635" t="s">
        <v>616</v>
      </c>
      <c r="AC50" s="622"/>
      <c r="AD50" s="572"/>
      <c r="AE50" s="6"/>
      <c r="AF50" s="6"/>
      <c r="AG50" s="597">
        <v>27</v>
      </c>
      <c r="AH50" s="619"/>
      <c r="AI50" s="619"/>
      <c r="AJ50" s="692"/>
      <c r="AK50" s="635" t="s">
        <v>616</v>
      </c>
      <c r="AM50" s="572"/>
      <c r="AN50" s="6"/>
      <c r="AO50" s="6"/>
      <c r="AP50" s="597">
        <v>27</v>
      </c>
      <c r="AQ50" s="619"/>
      <c r="AR50" s="619"/>
      <c r="AS50" s="692"/>
      <c r="AT50" s="635" t="s">
        <v>616</v>
      </c>
    </row>
    <row r="51" spans="1:46" ht="34.9" customHeight="1" x14ac:dyDescent="0.25">
      <c r="A51" s="2206">
        <v>45010</v>
      </c>
      <c r="B51" s="574">
        <v>1</v>
      </c>
      <c r="C51" s="596"/>
      <c r="D51" s="596"/>
      <c r="E51" s="596"/>
      <c r="F51" s="597"/>
      <c r="G51" s="619"/>
      <c r="H51" s="619"/>
      <c r="I51" s="692"/>
      <c r="J51" s="635"/>
      <c r="K51" s="622"/>
      <c r="L51" s="572"/>
      <c r="M51" s="6"/>
      <c r="N51" s="6"/>
      <c r="O51" s="613"/>
      <c r="P51" s="614"/>
      <c r="Q51" s="620"/>
      <c r="R51" s="6"/>
      <c r="S51" s="613"/>
      <c r="T51" s="622"/>
      <c r="U51" s="572"/>
      <c r="V51" s="6"/>
      <c r="W51" s="6"/>
      <c r="X51" s="613"/>
      <c r="Y51" s="901"/>
      <c r="Z51" s="6"/>
      <c r="AA51" s="605"/>
      <c r="AB51" s="613"/>
      <c r="AC51" s="622"/>
      <c r="AD51" s="572"/>
      <c r="AE51" s="6"/>
      <c r="AF51" s="6"/>
      <c r="AG51" s="613"/>
      <c r="AH51" s="614"/>
      <c r="AI51" s="6"/>
      <c r="AJ51" s="6"/>
      <c r="AK51" s="613"/>
      <c r="AM51" s="572"/>
      <c r="AN51" s="6"/>
      <c r="AO51" s="6"/>
      <c r="AP51" s="613"/>
      <c r="AQ51" s="614"/>
      <c r="AR51" s="6"/>
      <c r="AS51" s="6"/>
      <c r="AT51" s="613"/>
    </row>
    <row r="52" spans="1:46" ht="49.15" customHeight="1" x14ac:dyDescent="0.25">
      <c r="A52" s="2205"/>
      <c r="B52" s="574">
        <v>2</v>
      </c>
      <c r="C52" s="596"/>
      <c r="D52" s="596"/>
      <c r="E52" s="596"/>
      <c r="F52" s="597">
        <v>322</v>
      </c>
      <c r="G52" s="620"/>
      <c r="H52" s="620"/>
      <c r="I52" s="692"/>
      <c r="J52" s="635" t="s">
        <v>617</v>
      </c>
      <c r="K52" s="622"/>
      <c r="L52" s="572"/>
      <c r="M52" s="6"/>
      <c r="N52" s="6"/>
      <c r="O52" s="597">
        <v>322</v>
      </c>
      <c r="P52" s="620"/>
      <c r="Q52" s="620"/>
      <c r="R52" s="692"/>
      <c r="S52" s="635" t="s">
        <v>617</v>
      </c>
      <c r="T52" s="622"/>
      <c r="U52" s="572"/>
      <c r="V52" s="6"/>
      <c r="W52" s="6"/>
      <c r="X52" s="597">
        <v>322</v>
      </c>
      <c r="Y52" s="620"/>
      <c r="Z52" s="620"/>
      <c r="AA52" s="692"/>
      <c r="AB52" s="635" t="s">
        <v>617</v>
      </c>
      <c r="AC52" s="622"/>
      <c r="AD52" s="572"/>
      <c r="AE52" s="6"/>
      <c r="AF52" s="6"/>
      <c r="AG52" s="597">
        <v>322</v>
      </c>
      <c r="AH52" s="620"/>
      <c r="AI52" s="620"/>
      <c r="AJ52" s="692"/>
      <c r="AK52" s="635" t="s">
        <v>617</v>
      </c>
      <c r="AM52" s="572"/>
      <c r="AN52" s="613"/>
      <c r="AO52" s="613"/>
      <c r="AP52" s="613"/>
      <c r="AQ52" s="614"/>
      <c r="AR52" s="613"/>
      <c r="AS52" s="6"/>
      <c r="AT52" s="613"/>
    </row>
    <row r="53" spans="1:46" ht="40.15" customHeight="1" x14ac:dyDescent="0.25">
      <c r="A53" s="2206">
        <v>45011</v>
      </c>
      <c r="B53" s="574">
        <v>1</v>
      </c>
      <c r="C53" s="596"/>
      <c r="D53" s="596"/>
      <c r="E53" s="596"/>
      <c r="F53" s="597"/>
      <c r="G53" s="619"/>
      <c r="H53" s="619"/>
      <c r="I53" s="692"/>
      <c r="J53" s="635"/>
      <c r="K53" s="622"/>
      <c r="L53" s="572"/>
      <c r="M53" s="6"/>
      <c r="N53" s="6"/>
      <c r="O53" s="613"/>
      <c r="P53" s="901"/>
      <c r="Q53" s="6"/>
      <c r="R53" s="6"/>
      <c r="S53" s="635"/>
      <c r="T53" s="622"/>
      <c r="U53" s="572"/>
      <c r="V53" s="6"/>
      <c r="W53" s="6"/>
      <c r="X53" s="613"/>
      <c r="Y53" s="901"/>
      <c r="Z53" s="6"/>
      <c r="AA53" s="605"/>
      <c r="AB53" s="613"/>
      <c r="AC53" s="622"/>
      <c r="AD53" s="572"/>
      <c r="AE53" s="605"/>
      <c r="AF53" s="6"/>
      <c r="AG53" s="613"/>
      <c r="AH53" s="614"/>
      <c r="AI53" s="605"/>
      <c r="AJ53" s="605"/>
      <c r="AK53" s="613"/>
      <c r="AM53" s="572"/>
      <c r="AN53" s="605"/>
      <c r="AO53" s="6">
        <v>11</v>
      </c>
      <c r="AP53" s="613"/>
      <c r="AQ53" s="614"/>
      <c r="AR53" s="605"/>
      <c r="AS53" s="6" t="s">
        <v>97</v>
      </c>
      <c r="AT53" s="613"/>
    </row>
    <row r="54" spans="1:46" ht="39.6" customHeight="1" x14ac:dyDescent="0.25">
      <c r="A54" s="2205"/>
      <c r="B54" s="895">
        <v>2</v>
      </c>
      <c r="C54" s="596"/>
      <c r="D54" s="596"/>
      <c r="E54" s="596">
        <v>28</v>
      </c>
      <c r="F54" s="597"/>
      <c r="G54" s="619"/>
      <c r="H54" s="619"/>
      <c r="I54" s="692" t="s">
        <v>618</v>
      </c>
      <c r="J54" s="635"/>
      <c r="K54" s="622"/>
      <c r="L54" s="572"/>
      <c r="M54" s="6"/>
      <c r="N54" s="6"/>
      <c r="O54" s="597"/>
      <c r="P54" s="619"/>
      <c r="Q54" s="619"/>
      <c r="R54" s="619"/>
      <c r="S54" s="635"/>
      <c r="T54" s="622"/>
      <c r="U54" s="572"/>
      <c r="V54" s="6">
        <v>14</v>
      </c>
      <c r="W54" s="6">
        <v>19</v>
      </c>
      <c r="X54" s="613"/>
      <c r="Y54" s="614"/>
      <c r="Z54" s="619" t="s">
        <v>276</v>
      </c>
      <c r="AA54" s="620" t="s">
        <v>152</v>
      </c>
      <c r="AB54" s="635"/>
      <c r="AC54" s="622"/>
      <c r="AD54" s="572"/>
      <c r="AE54" s="6">
        <v>14</v>
      </c>
      <c r="AF54" s="6"/>
      <c r="AG54" s="613"/>
      <c r="AH54" s="614"/>
      <c r="AI54" s="619" t="s">
        <v>276</v>
      </c>
      <c r="AJ54" s="6"/>
      <c r="AK54" s="635"/>
      <c r="AM54" s="572"/>
      <c r="AN54" s="6"/>
      <c r="AO54" s="6"/>
      <c r="AP54" s="597"/>
      <c r="AQ54" s="619"/>
      <c r="AR54" s="619"/>
      <c r="AS54" s="619"/>
      <c r="AT54" s="635"/>
    </row>
    <row r="55" spans="1:46" ht="39.6" customHeight="1" x14ac:dyDescent="0.25">
      <c r="A55" s="2206">
        <v>45012</v>
      </c>
      <c r="B55" s="574">
        <v>1</v>
      </c>
      <c r="C55" s="595"/>
      <c r="D55" s="596"/>
      <c r="E55" s="596">
        <v>35</v>
      </c>
      <c r="F55" s="597"/>
      <c r="G55" s="619"/>
      <c r="H55" s="619"/>
      <c r="I55" s="692" t="s">
        <v>152</v>
      </c>
      <c r="J55" s="687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>
        <v>25</v>
      </c>
      <c r="X55" s="613"/>
      <c r="Y55" s="614"/>
      <c r="Z55" s="619"/>
      <c r="AA55" s="620" t="s">
        <v>152</v>
      </c>
      <c r="AB55" s="635"/>
      <c r="AC55" s="622"/>
      <c r="AD55" s="572"/>
      <c r="AE55" s="6"/>
      <c r="AF55" s="6"/>
      <c r="AG55" s="613"/>
      <c r="AH55" s="614"/>
      <c r="AI55" s="619"/>
      <c r="AJ55" s="605"/>
      <c r="AK55" s="613"/>
      <c r="AM55" s="572"/>
      <c r="AN55" s="6"/>
      <c r="AO55" s="6"/>
      <c r="AP55" s="613"/>
      <c r="AQ55" s="614"/>
      <c r="AR55" s="6"/>
      <c r="AS55" s="605"/>
      <c r="AT55" s="613"/>
    </row>
    <row r="56" spans="1:46" ht="51.6" customHeight="1" x14ac:dyDescent="0.25">
      <c r="A56" s="2205"/>
      <c r="B56" s="895">
        <v>2</v>
      </c>
      <c r="C56" s="595"/>
      <c r="D56" s="596"/>
      <c r="E56" s="596"/>
      <c r="F56" s="597"/>
      <c r="G56" s="620"/>
      <c r="H56" s="619"/>
      <c r="I56" s="620"/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/>
      <c r="V56" s="6"/>
      <c r="W56" s="6">
        <v>15</v>
      </c>
      <c r="X56" s="597"/>
      <c r="Y56" s="620"/>
      <c r="Z56" s="619"/>
      <c r="AA56" s="620" t="s">
        <v>152</v>
      </c>
      <c r="AB56" s="635"/>
      <c r="AC56" s="622"/>
      <c r="AD56" s="572"/>
      <c r="AE56" s="6"/>
      <c r="AF56" s="6">
        <v>30</v>
      </c>
      <c r="AG56" s="597"/>
      <c r="AH56" s="620"/>
      <c r="AI56" s="619"/>
      <c r="AJ56" s="620" t="s">
        <v>619</v>
      </c>
      <c r="AK56" s="635"/>
      <c r="AM56" s="572"/>
      <c r="AN56" s="6"/>
      <c r="AO56" s="6"/>
      <c r="AP56" s="597"/>
      <c r="AQ56" s="620"/>
      <c r="AR56" s="619"/>
      <c r="AS56" s="620"/>
      <c r="AT56" s="635"/>
    </row>
    <row r="57" spans="1:46" ht="37.9" customHeight="1" x14ac:dyDescent="0.25">
      <c r="A57" s="2206">
        <v>45013</v>
      </c>
      <c r="B57" s="574">
        <v>1</v>
      </c>
      <c r="C57" s="595"/>
      <c r="D57" s="596"/>
      <c r="E57" s="596"/>
      <c r="F57" s="597"/>
      <c r="G57" s="620"/>
      <c r="H57" s="619"/>
      <c r="I57" s="692"/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/>
      <c r="X57" s="597"/>
      <c r="Y57" s="620"/>
      <c r="Z57" s="619"/>
      <c r="AA57" s="620"/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/>
      <c r="AP57" s="597"/>
      <c r="AQ57" s="620"/>
      <c r="AR57" s="619"/>
      <c r="AS57" s="620"/>
      <c r="AT57" s="635"/>
    </row>
    <row r="58" spans="1:46" ht="35.450000000000003" customHeight="1" x14ac:dyDescent="0.25">
      <c r="A58" s="2205"/>
      <c r="B58" s="895">
        <v>2</v>
      </c>
      <c r="C58" s="595"/>
      <c r="D58" s="596"/>
      <c r="E58" s="596"/>
      <c r="F58" s="597"/>
      <c r="G58" s="620"/>
      <c r="H58" s="619"/>
      <c r="I58" s="620"/>
      <c r="J58" s="635"/>
      <c r="K58" s="622"/>
      <c r="L58" s="572"/>
      <c r="M58" s="6"/>
      <c r="N58" s="6"/>
      <c r="O58" s="613"/>
      <c r="P58" s="614"/>
      <c r="Q58" s="6"/>
      <c r="R58" s="6"/>
      <c r="S58" s="635"/>
      <c r="T58" s="622"/>
      <c r="U58" s="572"/>
      <c r="V58" s="6"/>
      <c r="W58" s="6"/>
      <c r="X58" s="613"/>
      <c r="Y58" s="614"/>
      <c r="Z58" s="605"/>
      <c r="AA58" s="620"/>
      <c r="AB58" s="613"/>
      <c r="AC58" s="622"/>
      <c r="AD58" s="572"/>
      <c r="AE58" s="6"/>
      <c r="AF58" s="6"/>
      <c r="AG58" s="613"/>
      <c r="AH58" s="614"/>
      <c r="AI58" s="6"/>
      <c r="AJ58" s="6"/>
      <c r="AK58" s="613"/>
      <c r="AM58" s="572"/>
      <c r="AN58" s="6"/>
      <c r="AO58" s="6"/>
      <c r="AP58" s="613"/>
      <c r="AQ58" s="614"/>
      <c r="AR58" s="6"/>
      <c r="AS58" s="6"/>
      <c r="AT58" s="613"/>
    </row>
    <row r="59" spans="1:46" ht="34.15" customHeight="1" x14ac:dyDescent="0.25">
      <c r="A59" s="2206">
        <v>45014</v>
      </c>
      <c r="B59" s="574">
        <v>1</v>
      </c>
      <c r="C59" s="595"/>
      <c r="D59" s="596"/>
      <c r="E59" s="596"/>
      <c r="F59" s="597"/>
      <c r="G59" s="619"/>
      <c r="H59" s="619"/>
      <c r="I59" s="692"/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/>
      <c r="X59" s="613"/>
      <c r="Y59" s="614"/>
      <c r="Z59" s="6"/>
      <c r="AA59" s="605"/>
      <c r="AB59" s="613"/>
      <c r="AC59" s="622"/>
      <c r="AD59" s="572"/>
      <c r="AE59" s="6"/>
      <c r="AF59" s="6">
        <v>19</v>
      </c>
      <c r="AG59" s="613"/>
      <c r="AH59" s="901"/>
      <c r="AI59" s="6"/>
      <c r="AJ59" s="620" t="s">
        <v>97</v>
      </c>
      <c r="AK59" s="613"/>
      <c r="AM59" s="572"/>
      <c r="AN59" s="6"/>
      <c r="AO59" s="6"/>
      <c r="AP59" s="613"/>
      <c r="AQ59" s="901"/>
      <c r="AR59" s="6"/>
      <c r="AS59" s="620"/>
      <c r="AT59" s="613"/>
    </row>
    <row r="60" spans="1:46" ht="36" customHeight="1" x14ac:dyDescent="0.25">
      <c r="A60" s="2205"/>
      <c r="B60" s="895">
        <v>2</v>
      </c>
      <c r="C60" s="595"/>
      <c r="D60" s="596">
        <v>62</v>
      </c>
      <c r="E60" s="596"/>
      <c r="F60" s="597"/>
      <c r="G60" s="619"/>
      <c r="H60" s="620" t="s">
        <v>620</v>
      </c>
      <c r="I60" s="692"/>
      <c r="J60" s="635"/>
      <c r="K60" s="622"/>
      <c r="L60" s="572"/>
      <c r="M60" s="6"/>
      <c r="N60" s="6"/>
      <c r="O60" s="613"/>
      <c r="P60" s="614"/>
      <c r="Q60" s="6"/>
      <c r="R60" s="6"/>
      <c r="S60" s="635"/>
      <c r="T60" s="622"/>
      <c r="U60" s="572"/>
      <c r="V60" s="6"/>
      <c r="W60" s="6"/>
      <c r="X60" s="613"/>
      <c r="Y60" s="901"/>
      <c r="Z60" s="605"/>
      <c r="AA60" s="605"/>
      <c r="AB60" s="635"/>
      <c r="AC60" s="622"/>
      <c r="AD60" s="572"/>
      <c r="AE60" s="6"/>
      <c r="AF60" s="6"/>
      <c r="AG60" s="613"/>
      <c r="AH60" s="614"/>
      <c r="AI60" s="6"/>
      <c r="AJ60" s="605"/>
      <c r="AK60" s="635"/>
      <c r="AM60" s="572"/>
      <c r="AN60" s="6"/>
      <c r="AO60" s="6"/>
      <c r="AP60" s="613"/>
      <c r="AQ60" s="614"/>
      <c r="AR60" s="6"/>
      <c r="AS60" s="605"/>
      <c r="AT60" s="635"/>
    </row>
    <row r="61" spans="1:46" ht="32.450000000000003" customHeight="1" x14ac:dyDescent="0.25">
      <c r="A61" s="2206">
        <v>45015</v>
      </c>
      <c r="B61" s="574">
        <v>1</v>
      </c>
      <c r="C61" s="904"/>
      <c r="D61" s="906"/>
      <c r="E61" s="596"/>
      <c r="F61" s="749"/>
      <c r="G61" s="619"/>
      <c r="H61" s="905"/>
      <c r="I61" s="692"/>
      <c r="J61" s="687"/>
      <c r="K61" s="622"/>
      <c r="L61" s="572"/>
      <c r="M61" s="6"/>
      <c r="N61" s="6"/>
      <c r="O61" s="613"/>
      <c r="P61" s="752"/>
      <c r="Q61" s="902"/>
      <c r="R61" s="902"/>
      <c r="S61" s="753"/>
      <c r="T61" s="622"/>
      <c r="U61" s="572"/>
      <c r="V61" s="6"/>
      <c r="W61" s="6"/>
      <c r="X61" s="613"/>
      <c r="Y61" s="901"/>
      <c r="Z61" s="605"/>
      <c r="AA61" s="605"/>
      <c r="AB61" s="753"/>
      <c r="AC61" s="622"/>
      <c r="AD61" s="572"/>
      <c r="AE61" s="6"/>
      <c r="AF61" s="6"/>
      <c r="AG61" s="613"/>
      <c r="AH61" s="614"/>
      <c r="AI61" s="6"/>
      <c r="AJ61" s="605"/>
      <c r="AK61" s="753"/>
      <c r="AM61" s="572"/>
      <c r="AN61" s="6"/>
      <c r="AO61" s="6"/>
      <c r="AP61" s="613"/>
      <c r="AQ61" s="614"/>
      <c r="AR61" s="6"/>
      <c r="AS61" s="605"/>
      <c r="AT61" s="753"/>
    </row>
    <row r="62" spans="1:46" ht="33" customHeight="1" x14ac:dyDescent="0.25">
      <c r="A62" s="2205"/>
      <c r="B62" s="895">
        <v>2</v>
      </c>
      <c r="C62" s="904"/>
      <c r="D62" s="906"/>
      <c r="E62" s="906"/>
      <c r="F62" s="749"/>
      <c r="G62" s="897"/>
      <c r="H62" s="905"/>
      <c r="I62" s="692"/>
      <c r="J62" s="687"/>
      <c r="K62" s="622"/>
      <c r="L62" s="572"/>
      <c r="M62" s="6"/>
      <c r="N62" s="6"/>
      <c r="O62" s="613"/>
      <c r="P62" s="752"/>
      <c r="Q62" s="902"/>
      <c r="R62" s="902"/>
      <c r="S62" s="753"/>
      <c r="T62" s="622"/>
      <c r="U62" s="572"/>
      <c r="V62" s="6"/>
      <c r="W62" s="6"/>
      <c r="X62" s="613"/>
      <c r="Y62" s="901"/>
      <c r="Z62" s="605"/>
      <c r="AA62" s="605"/>
      <c r="AB62" s="753"/>
      <c r="AC62" s="622"/>
      <c r="AD62" s="572"/>
      <c r="AE62" s="6"/>
      <c r="AF62" s="6"/>
      <c r="AG62" s="613"/>
      <c r="AH62" s="614"/>
      <c r="AI62" s="6"/>
      <c r="AJ62" s="605"/>
      <c r="AK62" s="753"/>
      <c r="AM62" s="572"/>
      <c r="AN62" s="6"/>
      <c r="AO62" s="6"/>
      <c r="AP62" s="613"/>
      <c r="AQ62" s="614"/>
      <c r="AR62" s="6"/>
      <c r="AS62" s="605"/>
      <c r="AT62" s="753"/>
    </row>
    <row r="63" spans="1:46" ht="33.6" customHeight="1" x14ac:dyDescent="0.25">
      <c r="A63" s="2206">
        <v>45016</v>
      </c>
      <c r="B63" s="574">
        <v>1</v>
      </c>
      <c r="C63" s="706"/>
      <c r="D63" s="707"/>
      <c r="E63" s="707"/>
      <c r="F63" s="708"/>
      <c r="G63" s="717"/>
      <c r="H63" s="709"/>
      <c r="I63" s="620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>
        <v>23</v>
      </c>
      <c r="X63" s="597"/>
      <c r="Y63" s="685"/>
      <c r="Z63" s="619"/>
      <c r="AA63" s="6" t="s">
        <v>97</v>
      </c>
      <c r="AB63" s="900"/>
      <c r="AC63" s="622"/>
      <c r="AD63" s="572"/>
      <c r="AE63" s="6"/>
      <c r="AF63" s="6"/>
      <c r="AG63" s="597"/>
      <c r="AH63" s="685"/>
      <c r="AI63" s="619"/>
      <c r="AJ63" s="6"/>
      <c r="AK63" s="705"/>
      <c r="AM63" s="572"/>
      <c r="AN63" s="6"/>
      <c r="AO63" s="6"/>
      <c r="AP63" s="597"/>
      <c r="AQ63" s="685"/>
      <c r="AR63" s="619"/>
      <c r="AS63" s="619"/>
      <c r="AT63" s="705"/>
    </row>
    <row r="64" spans="1:46" ht="30.6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636"/>
      <c r="AQ64" s="637"/>
      <c r="AR64" s="638"/>
      <c r="AS64" s="638"/>
      <c r="AT64" s="713"/>
    </row>
    <row r="65" spans="1:42" ht="23.45" customHeight="1" x14ac:dyDescent="0.25">
      <c r="A65" s="524" t="s">
        <v>225</v>
      </c>
      <c r="C65" s="768">
        <f>SUM(C3:C64)</f>
        <v>764</v>
      </c>
      <c r="D65" s="525">
        <f>SUM(D3:D64)</f>
        <v>460</v>
      </c>
      <c r="E65" s="768">
        <f>SUM(E3:E64)</f>
        <v>195</v>
      </c>
      <c r="F65" s="525">
        <f>SUM(F3:F64)</f>
        <v>1417</v>
      </c>
      <c r="L65" s="525">
        <f>SUM(L3:L64)</f>
        <v>157</v>
      </c>
      <c r="M65" s="525">
        <f>SUM(M3:M64)</f>
        <v>72</v>
      </c>
      <c r="N65" s="525">
        <f>SUM(N3:N64)</f>
        <v>0</v>
      </c>
      <c r="O65" s="525">
        <f>SUM(O3:O64)</f>
        <v>1417</v>
      </c>
      <c r="U65" s="525">
        <f>SUM(U3:U64)</f>
        <v>80</v>
      </c>
      <c r="V65" s="525">
        <f>SUM(V3:V64)</f>
        <v>43</v>
      </c>
      <c r="W65" s="525">
        <f>SUM(W3:W64)</f>
        <v>226</v>
      </c>
      <c r="X65" s="525">
        <f>SUM(X3:X64)</f>
        <v>1417</v>
      </c>
      <c r="AD65" s="525">
        <f>SUM(AD3:AD64)</f>
        <v>281</v>
      </c>
      <c r="AE65" s="525">
        <f>SUM(AE3:AE64)</f>
        <v>94</v>
      </c>
      <c r="AF65" s="525">
        <f>SUM(AF3:AF64)</f>
        <v>70</v>
      </c>
      <c r="AG65" s="525">
        <f>SUM(AG3:AG64)</f>
        <v>1417</v>
      </c>
      <c r="AM65" s="525">
        <f>SUM(AM3:AM64)</f>
        <v>0</v>
      </c>
      <c r="AN65" s="525">
        <f>SUM(AN3:AN64)</f>
        <v>0</v>
      </c>
      <c r="AO65" s="525">
        <f>SUM(AO3:AO64)</f>
        <v>72</v>
      </c>
      <c r="AP65" s="525">
        <f>SUM(AP3:AP64)</f>
        <v>1095</v>
      </c>
    </row>
    <row r="73" spans="1:42" ht="15.75" thickBot="1" x14ac:dyDescent="0.3"/>
    <row r="74" spans="1:42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2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2" ht="21.75" customHeight="1" x14ac:dyDescent="0.3">
      <c r="B76" s="651" t="s">
        <v>218</v>
      </c>
      <c r="C76" s="652">
        <f>C65</f>
        <v>764</v>
      </c>
      <c r="D76" s="653">
        <f>C76/60</f>
        <v>12.733333333333333</v>
      </c>
      <c r="E76" s="652">
        <f>D65</f>
        <v>460</v>
      </c>
      <c r="F76" s="654">
        <f>E76/60</f>
        <v>7.666666666666667</v>
      </c>
      <c r="G76" s="652">
        <f>E65</f>
        <v>195</v>
      </c>
      <c r="H76" s="653">
        <f>G76/60</f>
        <v>3.25</v>
      </c>
      <c r="I76" s="652">
        <f>F65</f>
        <v>1417</v>
      </c>
      <c r="J76" s="653">
        <f>I76/60</f>
        <v>23.616666666666667</v>
      </c>
    </row>
    <row r="77" spans="1:42" ht="19.5" customHeight="1" x14ac:dyDescent="0.3">
      <c r="B77" s="651" t="s">
        <v>219</v>
      </c>
      <c r="C77" s="655">
        <f>L65</f>
        <v>157</v>
      </c>
      <c r="D77" s="656">
        <f t="shared" ref="D77:F79" si="0">C77/60</f>
        <v>2.6166666666666667</v>
      </c>
      <c r="E77" s="655">
        <f>M65</f>
        <v>72</v>
      </c>
      <c r="F77" s="657">
        <f t="shared" si="0"/>
        <v>1.2</v>
      </c>
      <c r="G77" s="655">
        <f>N65</f>
        <v>0</v>
      </c>
      <c r="H77" s="656">
        <f t="shared" ref="H77:J79" si="1">G77/60</f>
        <v>0</v>
      </c>
      <c r="I77" s="655">
        <f>O65</f>
        <v>1417</v>
      </c>
      <c r="J77" s="656">
        <f t="shared" si="1"/>
        <v>23.616666666666667</v>
      </c>
    </row>
    <row r="78" spans="1:42" ht="20.25" customHeight="1" x14ac:dyDescent="0.3">
      <c r="B78" s="651" t="s">
        <v>220</v>
      </c>
      <c r="C78" s="655">
        <f>U65</f>
        <v>80</v>
      </c>
      <c r="D78" s="656">
        <f t="shared" si="0"/>
        <v>1.3333333333333333</v>
      </c>
      <c r="E78" s="655">
        <f>V65</f>
        <v>43</v>
      </c>
      <c r="F78" s="657">
        <f t="shared" si="0"/>
        <v>0.71666666666666667</v>
      </c>
      <c r="G78" s="655">
        <f>W65</f>
        <v>226</v>
      </c>
      <c r="H78" s="656">
        <f t="shared" si="1"/>
        <v>3.7666666666666666</v>
      </c>
      <c r="I78" s="655">
        <f>X65</f>
        <v>1417</v>
      </c>
      <c r="J78" s="656">
        <f t="shared" si="1"/>
        <v>23.616666666666667</v>
      </c>
    </row>
    <row r="79" spans="1:42" ht="22.5" customHeight="1" thickBot="1" x14ac:dyDescent="0.35">
      <c r="B79" s="651" t="s">
        <v>221</v>
      </c>
      <c r="C79" s="658">
        <f>AD65</f>
        <v>281</v>
      </c>
      <c r="D79" s="659">
        <f t="shared" si="0"/>
        <v>4.6833333333333336</v>
      </c>
      <c r="E79" s="658">
        <f>AE65</f>
        <v>94</v>
      </c>
      <c r="F79" s="660">
        <f t="shared" si="0"/>
        <v>1.5666666666666667</v>
      </c>
      <c r="G79" s="658">
        <f>AF65</f>
        <v>70</v>
      </c>
      <c r="H79" s="659">
        <f t="shared" si="1"/>
        <v>1.1666666666666667</v>
      </c>
      <c r="I79" s="658">
        <f>AG65</f>
        <v>1417</v>
      </c>
      <c r="J79" s="659">
        <f t="shared" si="1"/>
        <v>23.616666666666667</v>
      </c>
    </row>
    <row r="80" spans="1:42" ht="22.5" customHeight="1" thickBot="1" x14ac:dyDescent="0.35">
      <c r="B80" s="651" t="s">
        <v>488</v>
      </c>
      <c r="C80" s="850">
        <f>AM65</f>
        <v>0</v>
      </c>
      <c r="D80" s="849">
        <f>C80/60</f>
        <v>0</v>
      </c>
      <c r="E80" s="850">
        <f>AN65</f>
        <v>0</v>
      </c>
      <c r="F80" s="851">
        <f>E80/60</f>
        <v>0</v>
      </c>
      <c r="G80" s="850">
        <f>AO65</f>
        <v>72</v>
      </c>
      <c r="H80" s="849">
        <f>G80/60</f>
        <v>1.2</v>
      </c>
      <c r="I80" s="850">
        <f>AP65</f>
        <v>1095</v>
      </c>
      <c r="J80" s="849">
        <f>I80/60</f>
        <v>18.25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21.366666666666667</v>
      </c>
      <c r="E82" s="666"/>
      <c r="F82" s="667">
        <f>SUM(F76:F80)</f>
        <v>11.15</v>
      </c>
      <c r="G82" s="666"/>
      <c r="H82" s="667">
        <f>SUM(H76:H80)</f>
        <v>9.3833333333333329</v>
      </c>
      <c r="I82" s="666"/>
      <c r="J82" s="668">
        <f>AVERAGE(J76:J80)</f>
        <v>22.543333333333333</v>
      </c>
    </row>
  </sheetData>
  <mergeCells count="45"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D1:AG1"/>
    <mergeCell ref="AH1:AK1"/>
    <mergeCell ref="AM1:AP1"/>
    <mergeCell ref="AQ1:AT1"/>
    <mergeCell ref="A3:A4"/>
    <mergeCell ref="U1:X1"/>
    <mergeCell ref="Y1:AB1"/>
    <mergeCell ref="A5:A6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2"/>
  <sheetViews>
    <sheetView zoomScale="55" zoomScaleNormal="55" workbookViewId="0">
      <pane xSplit="2" ySplit="2" topLeftCell="C30" activePane="bottomRight" state="frozen"/>
      <selection pane="topRight" activeCell="C1" sqref="C1"/>
      <selection pane="bottomLeft" activeCell="A3" sqref="A3"/>
      <selection pane="bottomRight" activeCell="C36" sqref="C36:C40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21.140625" style="524" customWidth="1"/>
    <col min="8" max="8" width="27.28515625" style="524" customWidth="1"/>
    <col min="9" max="9" width="22" style="524" customWidth="1"/>
    <col min="10" max="10" width="23.5703125" style="524" customWidth="1"/>
    <col min="11" max="14" width="10.7109375" style="524" customWidth="1"/>
    <col min="15" max="15" width="17" style="524" customWidth="1"/>
    <col min="16" max="16" width="23" style="524" customWidth="1"/>
    <col min="17" max="17" width="25.7109375" style="524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3.85546875" style="524" customWidth="1"/>
    <col min="27" max="27" width="32.42578125" style="524" customWidth="1"/>
    <col min="28" max="28" width="27" style="524" customWidth="1"/>
    <col min="29" max="33" width="10.7109375" style="524" customWidth="1"/>
    <col min="34" max="34" width="28.7109375" style="524" customWidth="1"/>
    <col min="35" max="35" width="18.5703125" style="524" customWidth="1"/>
    <col min="36" max="36" width="25.28515625" style="524" customWidth="1"/>
    <col min="37" max="37" width="26" style="524" customWidth="1"/>
    <col min="38" max="38" width="8.85546875" style="524"/>
    <col min="39" max="42" width="10.7109375" style="524" customWidth="1"/>
    <col min="43" max="43" width="16.85546875" style="524" customWidth="1"/>
    <col min="44" max="44" width="15.140625" style="524" customWidth="1"/>
    <col min="45" max="45" width="24.42578125" style="524" customWidth="1"/>
    <col min="46" max="46" width="24.7109375" style="524" customWidth="1"/>
    <col min="47" max="16384" width="8.85546875" style="524"/>
  </cols>
  <sheetData>
    <row r="1" spans="1:46" x14ac:dyDescent="0.25">
      <c r="C1" s="2217" t="s">
        <v>1</v>
      </c>
      <c r="D1" s="2212"/>
      <c r="E1" s="2212"/>
      <c r="F1" s="2212"/>
      <c r="G1" s="2211" t="s">
        <v>206</v>
      </c>
      <c r="H1" s="2209"/>
      <c r="I1" s="2209"/>
      <c r="J1" s="2210"/>
      <c r="L1" s="2212" t="s">
        <v>4</v>
      </c>
      <c r="M1" s="2212"/>
      <c r="N1" s="2212"/>
      <c r="O1" s="2212"/>
      <c r="P1" s="2209" t="s">
        <v>206</v>
      </c>
      <c r="Q1" s="2209"/>
      <c r="R1" s="2209"/>
      <c r="S1" s="2210"/>
      <c r="U1" s="2212" t="s">
        <v>2</v>
      </c>
      <c r="V1" s="2212"/>
      <c r="W1" s="2212"/>
      <c r="X1" s="2212"/>
      <c r="Y1" s="2209" t="s">
        <v>206</v>
      </c>
      <c r="Z1" s="2209"/>
      <c r="AA1" s="2209"/>
      <c r="AB1" s="2210"/>
      <c r="AD1" s="2212" t="s">
        <v>5</v>
      </c>
      <c r="AE1" s="2212"/>
      <c r="AF1" s="2212"/>
      <c r="AG1" s="2212"/>
      <c r="AH1" s="2209" t="s">
        <v>206</v>
      </c>
      <c r="AI1" s="2209"/>
      <c r="AJ1" s="2209"/>
      <c r="AK1" s="2210"/>
      <c r="AM1" s="2212" t="s">
        <v>482</v>
      </c>
      <c r="AN1" s="2212"/>
      <c r="AO1" s="2212"/>
      <c r="AP1" s="2212"/>
      <c r="AQ1" s="2209" t="s">
        <v>206</v>
      </c>
      <c r="AR1" s="2209"/>
      <c r="AS1" s="2209"/>
      <c r="AT1" s="2210"/>
    </row>
    <row r="2" spans="1:46" ht="42.6" customHeight="1" x14ac:dyDescent="0.25">
      <c r="A2" s="911" t="s">
        <v>0</v>
      </c>
      <c r="B2" s="528" t="s">
        <v>198</v>
      </c>
      <c r="C2" s="529" t="s">
        <v>199</v>
      </c>
      <c r="D2" s="526" t="s">
        <v>200</v>
      </c>
      <c r="E2" s="526" t="s">
        <v>201</v>
      </c>
      <c r="F2" s="526" t="s">
        <v>204</v>
      </c>
      <c r="G2" s="575" t="s">
        <v>199</v>
      </c>
      <c r="H2" s="575" t="s">
        <v>200</v>
      </c>
      <c r="I2" s="575" t="s">
        <v>201</v>
      </c>
      <c r="J2" s="575" t="s">
        <v>204</v>
      </c>
      <c r="K2" s="524" t="s">
        <v>269</v>
      </c>
      <c r="L2" s="526" t="s">
        <v>199</v>
      </c>
      <c r="M2" s="526" t="s">
        <v>200</v>
      </c>
      <c r="N2" s="526" t="s">
        <v>201</v>
      </c>
      <c r="O2" s="526" t="s">
        <v>204</v>
      </c>
      <c r="P2" s="527" t="s">
        <v>199</v>
      </c>
      <c r="Q2" s="526" t="s">
        <v>200</v>
      </c>
      <c r="R2" s="526" t="s">
        <v>201</v>
      </c>
      <c r="S2" s="526" t="s">
        <v>204</v>
      </c>
      <c r="U2" s="526" t="s">
        <v>199</v>
      </c>
      <c r="V2" s="526" t="s">
        <v>200</v>
      </c>
      <c r="W2" s="526" t="s">
        <v>201</v>
      </c>
      <c r="X2" s="526" t="s">
        <v>204</v>
      </c>
      <c r="Y2" s="650" t="s">
        <v>199</v>
      </c>
      <c r="Z2" s="526" t="s">
        <v>200</v>
      </c>
      <c r="AA2" s="526" t="s">
        <v>201</v>
      </c>
      <c r="AB2" s="526" t="s">
        <v>204</v>
      </c>
      <c r="AD2" s="526" t="s">
        <v>199</v>
      </c>
      <c r="AE2" s="526" t="s">
        <v>200</v>
      </c>
      <c r="AF2" s="526" t="s">
        <v>201</v>
      </c>
      <c r="AG2" s="526" t="s">
        <v>204</v>
      </c>
      <c r="AH2" s="527" t="s">
        <v>199</v>
      </c>
      <c r="AI2" s="526" t="s">
        <v>200</v>
      </c>
      <c r="AJ2" s="526" t="s">
        <v>201</v>
      </c>
      <c r="AK2" s="526" t="s">
        <v>204</v>
      </c>
      <c r="AM2" s="526" t="s">
        <v>199</v>
      </c>
      <c r="AN2" s="526" t="s">
        <v>200</v>
      </c>
      <c r="AO2" s="526" t="s">
        <v>201</v>
      </c>
      <c r="AP2" s="526" t="s">
        <v>204</v>
      </c>
      <c r="AQ2" s="527" t="s">
        <v>199</v>
      </c>
      <c r="AR2" s="526" t="s">
        <v>200</v>
      </c>
      <c r="AS2" s="526" t="s">
        <v>201</v>
      </c>
      <c r="AT2" s="526" t="s">
        <v>204</v>
      </c>
    </row>
    <row r="3" spans="1:46" ht="30" customHeight="1" x14ac:dyDescent="0.25">
      <c r="A3" s="2206">
        <v>45017</v>
      </c>
      <c r="B3" s="913">
        <v>1</v>
      </c>
      <c r="C3" s="592"/>
      <c r="D3" s="593"/>
      <c r="E3" s="847"/>
      <c r="F3" s="594"/>
      <c r="G3" s="685"/>
      <c r="H3" s="619"/>
      <c r="I3" s="848"/>
      <c r="J3" s="686"/>
      <c r="K3" s="622"/>
      <c r="L3" s="612"/>
      <c r="M3" s="630"/>
      <c r="N3" s="630"/>
      <c r="O3" s="628"/>
      <c r="P3" s="629"/>
      <c r="Q3" s="699"/>
      <c r="R3" s="700"/>
      <c r="S3" s="628"/>
      <c r="T3" s="622"/>
      <c r="U3" s="612"/>
      <c r="V3" s="630"/>
      <c r="W3" s="630"/>
      <c r="X3" s="613"/>
      <c r="Y3" s="917"/>
      <c r="Z3" s="629"/>
      <c r="AA3" s="719"/>
      <c r="AB3" s="720"/>
      <c r="AC3" s="622"/>
      <c r="AD3" s="612"/>
      <c r="AE3" s="630"/>
      <c r="AF3" s="6"/>
      <c r="AG3" s="628"/>
      <c r="AH3" s="629"/>
      <c r="AI3" s="629"/>
      <c r="AJ3" s="605"/>
      <c r="AK3" s="628"/>
      <c r="AM3" s="612"/>
      <c r="AN3" s="630"/>
      <c r="AO3" s="6"/>
      <c r="AP3" s="628"/>
      <c r="AQ3" s="629"/>
      <c r="AR3" s="630"/>
      <c r="AS3" s="6"/>
      <c r="AT3" s="628"/>
    </row>
    <row r="4" spans="1:46" ht="36.6" customHeight="1" x14ac:dyDescent="0.25">
      <c r="A4" s="2205"/>
      <c r="B4" s="574">
        <v>2</v>
      </c>
      <c r="C4" s="595"/>
      <c r="D4" s="596"/>
      <c r="E4" s="596">
        <v>28</v>
      </c>
      <c r="F4" s="597"/>
      <c r="G4" s="685"/>
      <c r="H4" s="619"/>
      <c r="I4" s="620" t="s">
        <v>97</v>
      </c>
      <c r="J4" s="687"/>
      <c r="K4" s="622"/>
      <c r="L4" s="572"/>
      <c r="M4" s="6">
        <v>13</v>
      </c>
      <c r="N4" s="6"/>
      <c r="O4" s="613"/>
      <c r="P4" s="614"/>
      <c r="Q4" s="619" t="s">
        <v>601</v>
      </c>
      <c r="R4" s="919"/>
      <c r="S4" s="613"/>
      <c r="T4" s="622"/>
      <c r="U4" s="572"/>
      <c r="V4" s="605"/>
      <c r="W4" s="6"/>
      <c r="X4" s="613"/>
      <c r="Y4" s="917"/>
      <c r="Z4" s="6"/>
      <c r="AA4" s="698"/>
      <c r="AB4" s="722"/>
      <c r="AC4" s="622"/>
      <c r="AD4" s="572"/>
      <c r="AE4" s="6"/>
      <c r="AF4" s="6"/>
      <c r="AG4" s="613"/>
      <c r="AH4" s="614"/>
      <c r="AI4" s="6"/>
      <c r="AJ4" s="6"/>
      <c r="AK4" s="613"/>
      <c r="AM4" s="572"/>
      <c r="AN4" s="6"/>
      <c r="AO4" s="6">
        <v>17</v>
      </c>
      <c r="AP4" s="613"/>
      <c r="AQ4" s="614"/>
      <c r="AR4" s="6"/>
      <c r="AS4" s="6" t="s">
        <v>152</v>
      </c>
      <c r="AT4" s="613"/>
    </row>
    <row r="5" spans="1:46" ht="28.9" customHeight="1" x14ac:dyDescent="0.25">
      <c r="A5" s="2206">
        <v>45018</v>
      </c>
      <c r="B5" s="574">
        <v>1</v>
      </c>
      <c r="C5" s="595"/>
      <c r="D5" s="596"/>
      <c r="E5" s="596">
        <v>7</v>
      </c>
      <c r="F5" s="597"/>
      <c r="G5" s="685"/>
      <c r="H5" s="619"/>
      <c r="I5" s="620" t="s">
        <v>152</v>
      </c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/>
      <c r="X5" s="613"/>
      <c r="Y5" s="917"/>
      <c r="Z5" s="6"/>
      <c r="AA5" s="698"/>
      <c r="AB5" s="723"/>
      <c r="AC5" s="622"/>
      <c r="AD5" s="572"/>
      <c r="AE5" s="6"/>
      <c r="AF5" s="6"/>
      <c r="AG5" s="613"/>
      <c r="AH5" s="614"/>
      <c r="AI5" s="6"/>
      <c r="AJ5" s="6"/>
      <c r="AK5" s="613"/>
      <c r="AM5" s="572"/>
      <c r="AN5" s="6"/>
      <c r="AO5" s="6"/>
      <c r="AP5" s="613"/>
      <c r="AQ5" s="614"/>
      <c r="AR5" s="6"/>
      <c r="AS5" s="605"/>
      <c r="AT5" s="613"/>
    </row>
    <row r="6" spans="1:46" ht="52.15" customHeight="1" x14ac:dyDescent="0.25">
      <c r="A6" s="2205"/>
      <c r="B6" s="574">
        <v>2</v>
      </c>
      <c r="C6" s="595"/>
      <c r="D6" s="596"/>
      <c r="E6" s="596"/>
      <c r="F6" s="597"/>
      <c r="G6" s="684"/>
      <c r="H6" s="619"/>
      <c r="I6" s="620"/>
      <c r="J6" s="687"/>
      <c r="K6" s="622"/>
      <c r="L6" s="572"/>
      <c r="M6" s="6"/>
      <c r="N6" s="6"/>
      <c r="O6" s="613"/>
      <c r="P6" s="614"/>
      <c r="Q6" s="619"/>
      <c r="R6" s="6"/>
      <c r="S6" s="613"/>
      <c r="T6" s="622"/>
      <c r="U6" s="572"/>
      <c r="V6" s="6"/>
      <c r="W6" s="6"/>
      <c r="X6" s="613"/>
      <c r="Y6" s="917"/>
      <c r="Z6" s="6"/>
      <c r="AA6" s="698"/>
      <c r="AB6" s="613"/>
      <c r="AC6" s="622"/>
      <c r="AD6" s="572"/>
      <c r="AE6" s="6"/>
      <c r="AF6" s="6"/>
      <c r="AG6" s="613"/>
      <c r="AH6" s="614"/>
      <c r="AI6" s="6"/>
      <c r="AJ6" s="620"/>
      <c r="AK6" s="613"/>
      <c r="AM6" s="572"/>
      <c r="AN6" s="6"/>
      <c r="AO6" s="6"/>
      <c r="AP6" s="613"/>
      <c r="AQ6" s="614"/>
      <c r="AR6" s="6"/>
      <c r="AS6" s="605"/>
      <c r="AT6" s="613"/>
    </row>
    <row r="7" spans="1:46" ht="33" customHeight="1" x14ac:dyDescent="0.25">
      <c r="A7" s="2206">
        <v>45019</v>
      </c>
      <c r="B7" s="574">
        <v>1</v>
      </c>
      <c r="C7" s="595"/>
      <c r="D7" s="596"/>
      <c r="E7" s="596"/>
      <c r="F7" s="597"/>
      <c r="G7" s="685"/>
      <c r="H7" s="620"/>
      <c r="I7" s="620"/>
      <c r="J7" s="687"/>
      <c r="K7" s="622"/>
      <c r="L7" s="572"/>
      <c r="M7" s="614"/>
      <c r="N7" s="6"/>
      <c r="O7" s="613"/>
      <c r="P7" s="614"/>
      <c r="Q7" s="614"/>
      <c r="R7" s="6"/>
      <c r="S7" s="613"/>
      <c r="T7" s="622"/>
      <c r="U7" s="572"/>
      <c r="V7" s="6"/>
      <c r="W7" s="6"/>
      <c r="X7" s="613"/>
      <c r="Y7" s="614"/>
      <c r="Z7" s="6"/>
      <c r="AA7" s="698"/>
      <c r="AB7" s="613"/>
      <c r="AC7" s="622"/>
      <c r="AD7" s="572"/>
      <c r="AE7" s="6"/>
      <c r="AF7" s="6"/>
      <c r="AG7" s="613"/>
      <c r="AH7" s="614"/>
      <c r="AI7" s="6"/>
      <c r="AJ7" s="620"/>
      <c r="AK7" s="613"/>
      <c r="AM7" s="572"/>
      <c r="AN7" s="6"/>
      <c r="AO7" s="6"/>
      <c r="AP7" s="613"/>
      <c r="AQ7" s="614"/>
      <c r="AR7" s="6"/>
      <c r="AS7" s="620"/>
      <c r="AT7" s="613"/>
    </row>
    <row r="8" spans="1:46" ht="55.15" customHeight="1" x14ac:dyDescent="0.25">
      <c r="A8" s="2205"/>
      <c r="B8" s="574">
        <v>2</v>
      </c>
      <c r="C8" s="595">
        <v>177</v>
      </c>
      <c r="D8" s="596">
        <v>260</v>
      </c>
      <c r="E8" s="596">
        <v>12</v>
      </c>
      <c r="F8" s="597"/>
      <c r="G8" s="684" t="s">
        <v>621</v>
      </c>
      <c r="H8" s="620" t="s">
        <v>622</v>
      </c>
      <c r="I8" s="620" t="s">
        <v>562</v>
      </c>
      <c r="J8" s="635"/>
      <c r="K8" s="622"/>
      <c r="L8" s="572"/>
      <c r="M8" s="6"/>
      <c r="N8" s="6"/>
      <c r="O8" s="613"/>
      <c r="P8" s="917"/>
      <c r="Q8" s="605"/>
      <c r="R8" s="605"/>
      <c r="S8" s="635"/>
      <c r="T8" s="622"/>
      <c r="U8" s="572"/>
      <c r="V8" s="831"/>
      <c r="W8" s="614"/>
      <c r="X8" s="613"/>
      <c r="Y8" s="917"/>
      <c r="Z8" s="6"/>
      <c r="AA8" s="6"/>
      <c r="AB8" s="635"/>
      <c r="AC8" s="622"/>
      <c r="AD8" s="572"/>
      <c r="AE8" s="6"/>
      <c r="AF8" s="6"/>
      <c r="AG8" s="613"/>
      <c r="AH8" s="614"/>
      <c r="AI8" s="605"/>
      <c r="AJ8" s="605"/>
      <c r="AK8" s="635"/>
      <c r="AM8" s="572"/>
      <c r="AN8" s="6"/>
      <c r="AO8" s="6"/>
      <c r="AP8" s="613"/>
      <c r="AQ8" s="614"/>
      <c r="AR8" s="6"/>
      <c r="AS8" s="6"/>
      <c r="AT8" s="635"/>
    </row>
    <row r="9" spans="1:46" ht="40.9" customHeight="1" x14ac:dyDescent="0.25">
      <c r="A9" s="2206">
        <v>45020</v>
      </c>
      <c r="B9" s="574">
        <v>1</v>
      </c>
      <c r="C9" s="595"/>
      <c r="D9" s="596"/>
      <c r="E9" s="596"/>
      <c r="F9" s="597"/>
      <c r="G9" s="684"/>
      <c r="H9" s="619"/>
      <c r="I9" s="619"/>
      <c r="J9" s="635"/>
      <c r="K9" s="622"/>
      <c r="L9" s="572"/>
      <c r="M9" s="6"/>
      <c r="N9" s="6"/>
      <c r="O9" s="613"/>
      <c r="P9" s="917"/>
      <c r="Q9" s="620"/>
      <c r="R9" s="605"/>
      <c r="S9" s="635"/>
      <c r="T9" s="622"/>
      <c r="U9" s="572"/>
      <c r="V9" s="6"/>
      <c r="W9" s="6">
        <v>15</v>
      </c>
      <c r="X9" s="613"/>
      <c r="Y9" s="614"/>
      <c r="Z9" s="6"/>
      <c r="AA9" s="620" t="s">
        <v>325</v>
      </c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/>
      <c r="AN9" s="6"/>
      <c r="AO9" s="6">
        <v>20</v>
      </c>
      <c r="AP9" s="613"/>
      <c r="AQ9" s="614"/>
      <c r="AR9" s="6"/>
      <c r="AS9" s="605" t="s">
        <v>623</v>
      </c>
      <c r="AT9" s="635"/>
    </row>
    <row r="10" spans="1:46" ht="28.15" customHeight="1" x14ac:dyDescent="0.25">
      <c r="A10" s="2205"/>
      <c r="B10" s="574">
        <v>2</v>
      </c>
      <c r="C10" s="595"/>
      <c r="D10" s="596"/>
      <c r="E10" s="596"/>
      <c r="F10" s="597"/>
      <c r="G10" s="685"/>
      <c r="H10" s="619"/>
      <c r="I10" s="620"/>
      <c r="J10" s="635"/>
      <c r="K10" s="622"/>
      <c r="L10" s="572"/>
      <c r="M10" s="6"/>
      <c r="N10" s="6"/>
      <c r="O10" s="613"/>
      <c r="P10" s="917"/>
      <c r="Q10" s="6"/>
      <c r="R10" s="605"/>
      <c r="S10" s="635"/>
      <c r="T10" s="622"/>
      <c r="U10" s="572"/>
      <c r="V10" s="6"/>
      <c r="W10" s="6"/>
      <c r="X10" s="613"/>
      <c r="Y10" s="567"/>
      <c r="Z10" s="917"/>
      <c r="AA10" s="6"/>
      <c r="AB10" s="635"/>
      <c r="AC10" s="622"/>
      <c r="AD10" s="572"/>
      <c r="AE10" s="6"/>
      <c r="AF10" s="6"/>
      <c r="AG10" s="613"/>
      <c r="AH10" s="917"/>
      <c r="AI10" s="6"/>
      <c r="AJ10" s="6"/>
      <c r="AK10" s="635"/>
      <c r="AM10" s="572"/>
      <c r="AN10" s="6"/>
      <c r="AO10" s="6"/>
      <c r="AP10" s="613"/>
      <c r="AQ10" s="614"/>
      <c r="AR10" s="6"/>
      <c r="AS10" s="6"/>
      <c r="AT10" s="635"/>
    </row>
    <row r="11" spans="1:46" ht="30.75" customHeight="1" x14ac:dyDescent="0.25">
      <c r="A11" s="2206">
        <v>45021</v>
      </c>
      <c r="B11" s="574">
        <v>1</v>
      </c>
      <c r="C11" s="595"/>
      <c r="D11" s="596"/>
      <c r="E11" s="596"/>
      <c r="F11" s="597"/>
      <c r="G11" s="684"/>
      <c r="H11" s="619"/>
      <c r="I11" s="620"/>
      <c r="J11" s="687"/>
      <c r="K11" s="622"/>
      <c r="L11" s="572"/>
      <c r="M11" s="6"/>
      <c r="N11" s="6"/>
      <c r="O11" s="613"/>
      <c r="P11" s="917"/>
      <c r="Q11" s="6"/>
      <c r="R11" s="605"/>
      <c r="S11" s="613"/>
      <c r="T11" s="622"/>
      <c r="U11" s="572"/>
      <c r="V11" s="6"/>
      <c r="W11" s="6"/>
      <c r="X11" s="613"/>
      <c r="Y11" s="614"/>
      <c r="Z11" s="6"/>
      <c r="AA11" s="6"/>
      <c r="AB11" s="613"/>
      <c r="AC11" s="622"/>
      <c r="AD11" s="572"/>
      <c r="AE11" s="6"/>
      <c r="AF11" s="6"/>
      <c r="AG11" s="613"/>
      <c r="AH11" s="614"/>
      <c r="AI11" s="6"/>
      <c r="AJ11" s="6"/>
      <c r="AK11" s="613"/>
      <c r="AM11" s="572"/>
      <c r="AN11" s="6"/>
      <c r="AO11" s="6"/>
      <c r="AP11" s="613"/>
      <c r="AQ11" s="614"/>
      <c r="AR11" s="6"/>
      <c r="AS11" s="6"/>
      <c r="AT11" s="613"/>
    </row>
    <row r="12" spans="1:46" ht="36.6" customHeight="1" x14ac:dyDescent="0.25">
      <c r="A12" s="2205"/>
      <c r="B12" s="574">
        <v>2</v>
      </c>
      <c r="C12" s="595"/>
      <c r="D12" s="596"/>
      <c r="E12" s="596"/>
      <c r="F12" s="597"/>
      <c r="G12" s="685"/>
      <c r="H12" s="619"/>
      <c r="I12" s="620"/>
      <c r="J12" s="635"/>
      <c r="K12" s="622"/>
      <c r="L12" s="572"/>
      <c r="M12" s="6"/>
      <c r="N12" s="6"/>
      <c r="O12" s="613"/>
      <c r="P12" s="917"/>
      <c r="Q12" s="6"/>
      <c r="R12" s="605"/>
      <c r="S12" s="635"/>
      <c r="T12" s="622"/>
      <c r="U12" s="572"/>
      <c r="V12" s="6"/>
      <c r="W12" s="6"/>
      <c r="X12" s="613"/>
      <c r="Y12" s="614"/>
      <c r="Z12" s="6"/>
      <c r="AA12" s="721"/>
      <c r="AB12" s="635"/>
      <c r="AC12" s="622"/>
      <c r="AD12" s="572"/>
      <c r="AE12" s="6"/>
      <c r="AF12" s="6"/>
      <c r="AG12" s="613"/>
      <c r="AH12" s="614"/>
      <c r="AI12" s="6"/>
      <c r="AJ12" s="6"/>
      <c r="AK12" s="635"/>
      <c r="AM12" s="572"/>
      <c r="AN12" s="6"/>
      <c r="AO12" s="6"/>
      <c r="AP12" s="613"/>
      <c r="AQ12" s="614"/>
      <c r="AR12" s="6"/>
      <c r="AS12" s="6"/>
      <c r="AT12" s="635"/>
    </row>
    <row r="13" spans="1:46" ht="34.9" customHeight="1" x14ac:dyDescent="0.25">
      <c r="A13" s="2206">
        <v>45022</v>
      </c>
      <c r="B13" s="574">
        <v>1</v>
      </c>
      <c r="C13" s="595"/>
      <c r="D13" s="596"/>
      <c r="E13" s="596"/>
      <c r="F13" s="597"/>
      <c r="G13" s="685"/>
      <c r="H13" s="619"/>
      <c r="I13" s="620"/>
      <c r="J13" s="635"/>
      <c r="K13" s="622"/>
      <c r="L13" s="572"/>
      <c r="M13" s="6"/>
      <c r="N13" s="6"/>
      <c r="O13" s="597"/>
      <c r="P13" s="917"/>
      <c r="Q13" s="6"/>
      <c r="R13" s="605"/>
      <c r="S13" s="635"/>
      <c r="T13" s="622"/>
      <c r="U13" s="572"/>
      <c r="V13" s="6"/>
      <c r="W13" s="6"/>
      <c r="X13" s="597"/>
      <c r="Y13" s="917"/>
      <c r="Z13" s="605"/>
      <c r="AA13" s="6"/>
      <c r="AB13" s="635"/>
      <c r="AC13" s="622"/>
      <c r="AD13" s="572"/>
      <c r="AE13" s="6"/>
      <c r="AF13" s="6"/>
      <c r="AG13" s="597"/>
      <c r="AH13" s="614"/>
      <c r="AI13" s="6"/>
      <c r="AJ13" s="6"/>
      <c r="AK13" s="635"/>
      <c r="AM13" s="572"/>
      <c r="AN13" s="6"/>
      <c r="AO13" s="6"/>
      <c r="AP13" s="597"/>
      <c r="AQ13" s="614"/>
      <c r="AR13" s="6"/>
      <c r="AS13" s="6"/>
      <c r="AT13" s="635"/>
    </row>
    <row r="14" spans="1:46" ht="27.6" customHeight="1" x14ac:dyDescent="0.25">
      <c r="A14" s="2205"/>
      <c r="B14" s="574">
        <v>2</v>
      </c>
      <c r="C14" s="595"/>
      <c r="D14" s="596"/>
      <c r="E14" s="596">
        <v>19</v>
      </c>
      <c r="F14" s="597"/>
      <c r="G14" s="685"/>
      <c r="H14" s="620"/>
      <c r="I14" s="620" t="s">
        <v>152</v>
      </c>
      <c r="J14" s="635"/>
      <c r="K14" s="622"/>
      <c r="L14" s="572"/>
      <c r="M14" s="6"/>
      <c r="N14" s="6"/>
      <c r="O14" s="597"/>
      <c r="P14" s="614"/>
      <c r="Q14" s="6"/>
      <c r="R14" s="6"/>
      <c r="S14" s="635"/>
      <c r="T14" s="622"/>
      <c r="U14" s="572"/>
      <c r="V14" s="6"/>
      <c r="W14" s="6">
        <v>15</v>
      </c>
      <c r="X14" s="597"/>
      <c r="Y14" s="917"/>
      <c r="Z14" s="605"/>
      <c r="AA14" s="605" t="s">
        <v>152</v>
      </c>
      <c r="AB14" s="635"/>
      <c r="AC14" s="622"/>
      <c r="AD14" s="572"/>
      <c r="AE14" s="6"/>
      <c r="AF14" s="6"/>
      <c r="AG14" s="597"/>
      <c r="AH14" s="917"/>
      <c r="AI14" s="6"/>
      <c r="AJ14" s="6"/>
      <c r="AK14" s="635"/>
      <c r="AM14" s="572"/>
      <c r="AN14" s="6"/>
      <c r="AO14" s="6"/>
      <c r="AP14" s="597"/>
      <c r="AQ14" s="917"/>
      <c r="AR14" s="6"/>
      <c r="AS14" s="6"/>
      <c r="AT14" s="635"/>
    </row>
    <row r="15" spans="1:46" ht="48" customHeight="1" x14ac:dyDescent="0.25">
      <c r="A15" s="2206">
        <v>45023</v>
      </c>
      <c r="B15" s="574">
        <v>1</v>
      </c>
      <c r="C15" s="595"/>
      <c r="D15" s="596"/>
      <c r="E15" s="6">
        <v>46</v>
      </c>
      <c r="F15" s="597"/>
      <c r="G15" s="685"/>
      <c r="H15" s="620"/>
      <c r="I15" s="620" t="s">
        <v>152</v>
      </c>
      <c r="J15" s="635"/>
      <c r="K15" s="622"/>
      <c r="L15" s="572"/>
      <c r="M15" s="6"/>
      <c r="N15" s="6"/>
      <c r="O15" s="597"/>
      <c r="P15" s="572"/>
      <c r="Q15" s="620"/>
      <c r="R15" s="6"/>
      <c r="S15" s="635"/>
      <c r="T15" s="622"/>
      <c r="U15" s="572"/>
      <c r="V15" s="6"/>
      <c r="W15" s="6"/>
      <c r="X15" s="597"/>
      <c r="Y15" s="572"/>
      <c r="Z15" s="620"/>
      <c r="AA15" s="728"/>
      <c r="AB15" s="635"/>
      <c r="AC15" s="622"/>
      <c r="AD15" s="572"/>
      <c r="AE15" s="6"/>
      <c r="AF15" s="622"/>
      <c r="AG15" s="597"/>
      <c r="AH15" s="910"/>
      <c r="AI15" s="692"/>
      <c r="AJ15" s="6"/>
      <c r="AK15" s="635"/>
      <c r="AM15" s="572"/>
      <c r="AN15" s="6"/>
      <c r="AO15" s="622">
        <v>100</v>
      </c>
      <c r="AP15" s="597"/>
      <c r="AR15" s="692"/>
      <c r="AS15" s="605" t="s">
        <v>624</v>
      </c>
      <c r="AT15" s="635"/>
    </row>
    <row r="16" spans="1:46" ht="54.6" customHeight="1" x14ac:dyDescent="0.25">
      <c r="A16" s="2205"/>
      <c r="B16" s="574">
        <v>2</v>
      </c>
      <c r="C16" s="595"/>
      <c r="D16" s="596"/>
      <c r="E16" s="596">
        <v>29</v>
      </c>
      <c r="F16" s="597"/>
      <c r="G16" s="684"/>
      <c r="H16" s="830"/>
      <c r="I16" s="620" t="s">
        <v>152</v>
      </c>
      <c r="J16" s="635"/>
      <c r="K16" s="622"/>
      <c r="L16" s="572"/>
      <c r="M16" s="6"/>
      <c r="N16" s="6"/>
      <c r="O16" s="597"/>
      <c r="P16" s="684"/>
      <c r="Q16" s="830"/>
      <c r="R16" s="620"/>
      <c r="S16" s="635"/>
      <c r="T16" s="622"/>
      <c r="U16" s="572"/>
      <c r="V16" s="6"/>
      <c r="W16" s="6">
        <v>39</v>
      </c>
      <c r="X16" s="597"/>
      <c r="Y16" s="684"/>
      <c r="Z16" s="830"/>
      <c r="AA16" s="620" t="s">
        <v>152</v>
      </c>
      <c r="AB16" s="635"/>
      <c r="AC16" s="622"/>
      <c r="AD16" s="572"/>
      <c r="AE16" s="6"/>
      <c r="AF16" s="6"/>
      <c r="AG16" s="597"/>
      <c r="AH16" s="684"/>
      <c r="AI16" s="830"/>
      <c r="AJ16" s="620"/>
      <c r="AK16" s="635"/>
      <c r="AM16" s="572"/>
      <c r="AN16" s="6"/>
      <c r="AO16" s="6">
        <v>357</v>
      </c>
      <c r="AP16" s="597"/>
      <c r="AQ16" s="684"/>
      <c r="AR16" s="830"/>
      <c r="AS16" s="620" t="s">
        <v>625</v>
      </c>
      <c r="AT16" s="635"/>
    </row>
    <row r="17" spans="1:46" ht="66" customHeight="1" x14ac:dyDescent="0.25">
      <c r="A17" s="2206">
        <v>45024</v>
      </c>
      <c r="B17" s="644">
        <v>1</v>
      </c>
      <c r="C17" s="595"/>
      <c r="D17" s="596"/>
      <c r="E17" s="596"/>
      <c r="F17" s="597"/>
      <c r="G17" s="685"/>
      <c r="H17" s="619"/>
      <c r="I17" s="620"/>
      <c r="J17" s="635"/>
      <c r="K17" s="622"/>
      <c r="L17" s="572"/>
      <c r="M17" s="6"/>
      <c r="N17" s="6"/>
      <c r="O17" s="597"/>
      <c r="P17" s="685"/>
      <c r="Q17" s="619"/>
      <c r="R17" s="620"/>
      <c r="S17" s="635"/>
      <c r="T17" s="622"/>
      <c r="U17" s="572"/>
      <c r="V17" s="6"/>
      <c r="W17" s="6"/>
      <c r="X17" s="597"/>
      <c r="Y17" s="685"/>
      <c r="Z17" s="619"/>
      <c r="AA17" s="620"/>
      <c r="AB17" s="635"/>
      <c r="AC17" s="622"/>
      <c r="AD17" s="572"/>
      <c r="AE17" s="6"/>
      <c r="AF17" s="6"/>
      <c r="AG17" s="597"/>
      <c r="AH17" s="685"/>
      <c r="AI17" s="619"/>
      <c r="AJ17" s="620"/>
      <c r="AK17" s="635"/>
      <c r="AM17" s="572"/>
      <c r="AN17" s="6"/>
      <c r="AO17" s="6"/>
      <c r="AP17" s="597"/>
      <c r="AQ17" s="685"/>
      <c r="AR17" s="619"/>
      <c r="AS17" s="620"/>
      <c r="AT17" s="635"/>
    </row>
    <row r="18" spans="1:46" ht="68.45" customHeight="1" x14ac:dyDescent="0.25">
      <c r="A18" s="2205"/>
      <c r="B18" s="574">
        <v>2</v>
      </c>
      <c r="C18" s="595">
        <v>284</v>
      </c>
      <c r="D18" s="596"/>
      <c r="E18" s="596"/>
      <c r="F18" s="597"/>
      <c r="G18" s="684" t="s">
        <v>626</v>
      </c>
      <c r="H18" s="620"/>
      <c r="I18" s="619"/>
      <c r="J18" s="635"/>
      <c r="K18" s="622"/>
      <c r="L18" s="572"/>
      <c r="M18" s="6"/>
      <c r="N18" s="6"/>
      <c r="O18" s="597"/>
      <c r="P18" s="684"/>
      <c r="Q18" s="620"/>
      <c r="R18" s="619"/>
      <c r="S18" s="635"/>
      <c r="T18" s="622"/>
      <c r="U18" s="572"/>
      <c r="V18" s="6"/>
      <c r="W18" s="6"/>
      <c r="X18" s="597"/>
      <c r="Y18" s="684"/>
      <c r="Z18" s="620"/>
      <c r="AA18" s="619"/>
      <c r="AB18" s="635"/>
      <c r="AC18" s="622"/>
      <c r="AD18" s="572"/>
      <c r="AE18" s="6"/>
      <c r="AF18" s="6"/>
      <c r="AG18" s="597"/>
      <c r="AH18" s="684"/>
      <c r="AI18" s="620"/>
      <c r="AJ18" s="619"/>
      <c r="AK18" s="635"/>
      <c r="AM18" s="572"/>
      <c r="AN18" s="6"/>
      <c r="AO18" s="6">
        <v>64</v>
      </c>
      <c r="AP18" s="597"/>
      <c r="AQ18" s="684"/>
      <c r="AR18" s="620"/>
      <c r="AS18" s="619"/>
      <c r="AT18" s="635"/>
    </row>
    <row r="19" spans="1:46" ht="33.6" customHeight="1" x14ac:dyDescent="0.25">
      <c r="A19" s="2206">
        <v>45025</v>
      </c>
      <c r="B19" s="574">
        <v>1</v>
      </c>
      <c r="C19" s="622">
        <v>181</v>
      </c>
      <c r="D19" s="596"/>
      <c r="E19" s="596">
        <v>24</v>
      </c>
      <c r="F19" s="597"/>
      <c r="G19" s="572" t="s">
        <v>627</v>
      </c>
      <c r="H19" s="6"/>
      <c r="I19" s="6" t="s">
        <v>97</v>
      </c>
      <c r="J19" s="635"/>
      <c r="K19" s="622"/>
      <c r="L19" s="572"/>
      <c r="M19" s="6"/>
      <c r="N19" s="6"/>
      <c r="O19" s="597"/>
      <c r="P19" s="572"/>
      <c r="Q19" s="6"/>
      <c r="R19" s="6"/>
      <c r="S19" s="635"/>
      <c r="T19" s="622"/>
      <c r="U19" s="572"/>
      <c r="V19" s="6"/>
      <c r="W19" s="6"/>
      <c r="X19" s="597"/>
      <c r="Y19" s="572"/>
      <c r="Z19" s="605"/>
      <c r="AA19" s="605"/>
      <c r="AB19" s="635"/>
      <c r="AC19" s="622"/>
      <c r="AD19" s="572"/>
      <c r="AE19" s="6"/>
      <c r="AF19" s="6"/>
      <c r="AG19" s="597"/>
      <c r="AH19" s="572"/>
      <c r="AI19" s="6"/>
      <c r="AJ19" s="6"/>
      <c r="AK19" s="635"/>
      <c r="AM19" s="572"/>
      <c r="AN19" s="6"/>
      <c r="AO19" s="6">
        <v>60</v>
      </c>
      <c r="AP19" s="597"/>
      <c r="AQ19" s="572"/>
      <c r="AR19" s="6"/>
      <c r="AS19" s="605" t="s">
        <v>628</v>
      </c>
      <c r="AT19" s="635"/>
    </row>
    <row r="20" spans="1:46" ht="31.15" customHeight="1" x14ac:dyDescent="0.25">
      <c r="A20" s="2205"/>
      <c r="B20" s="574">
        <v>2</v>
      </c>
      <c r="C20" s="595"/>
      <c r="D20" s="596"/>
      <c r="E20" s="596">
        <v>37</v>
      </c>
      <c r="F20" s="597"/>
      <c r="G20" s="572"/>
      <c r="H20" s="605"/>
      <c r="I20" s="762" t="s">
        <v>383</v>
      </c>
      <c r="J20" s="635"/>
      <c r="K20" s="622"/>
      <c r="L20" s="572"/>
      <c r="M20" s="6"/>
      <c r="N20" s="6"/>
      <c r="O20" s="597"/>
      <c r="P20" s="572"/>
      <c r="Q20" s="605"/>
      <c r="R20" s="724"/>
      <c r="S20" s="635"/>
      <c r="T20" s="622"/>
      <c r="U20" s="572"/>
      <c r="V20" s="250"/>
      <c r="W20" s="6"/>
      <c r="X20" s="597"/>
      <c r="Y20" s="572"/>
      <c r="Z20" s="605"/>
      <c r="AA20" s="724"/>
      <c r="AB20" s="635"/>
      <c r="AC20" s="622"/>
      <c r="AD20" s="572">
        <v>364</v>
      </c>
      <c r="AE20" s="6"/>
      <c r="AF20" s="6">
        <v>19</v>
      </c>
      <c r="AG20" s="597"/>
      <c r="AH20" s="572" t="s">
        <v>629</v>
      </c>
      <c r="AI20" s="605"/>
      <c r="AJ20" s="762" t="s">
        <v>562</v>
      </c>
      <c r="AK20" s="635"/>
      <c r="AM20" s="572"/>
      <c r="AN20" s="6"/>
      <c r="AO20" s="6"/>
      <c r="AP20" s="597"/>
      <c r="AQ20" s="572"/>
      <c r="AR20" s="605"/>
      <c r="AS20" s="724"/>
      <c r="AT20" s="635"/>
    </row>
    <row r="21" spans="1:46" ht="39.6" customHeight="1" x14ac:dyDescent="0.25">
      <c r="A21" s="2206">
        <v>45026</v>
      </c>
      <c r="B21" s="574">
        <v>1</v>
      </c>
      <c r="C21" s="595"/>
      <c r="D21" s="596"/>
      <c r="E21" s="596"/>
      <c r="F21" s="597"/>
      <c r="G21" s="688"/>
      <c r="H21" s="619"/>
      <c r="I21" s="620"/>
      <c r="J21" s="635"/>
      <c r="K21" s="622"/>
      <c r="L21" s="572"/>
      <c r="M21" s="6"/>
      <c r="N21" s="6"/>
      <c r="O21" s="597"/>
      <c r="P21" s="572"/>
      <c r="Q21" s="6"/>
      <c r="R21" s="6"/>
      <c r="S21" s="635"/>
      <c r="T21" s="622"/>
      <c r="U21" s="572"/>
      <c r="V21" s="6"/>
      <c r="W21" s="6"/>
      <c r="X21" s="597"/>
      <c r="Y21" s="572"/>
      <c r="Z21" s="6"/>
      <c r="AA21" s="605"/>
      <c r="AB21" s="635"/>
      <c r="AC21" s="622"/>
      <c r="AD21" s="572"/>
      <c r="AE21" s="6"/>
      <c r="AF21" s="6"/>
      <c r="AG21" s="597"/>
      <c r="AH21" s="572"/>
      <c r="AI21" s="6"/>
      <c r="AJ21" s="6"/>
      <c r="AK21" s="726"/>
      <c r="AM21" s="572"/>
      <c r="AN21" s="6"/>
      <c r="AO21" s="6"/>
      <c r="AP21" s="597"/>
      <c r="AQ21" s="572"/>
      <c r="AR21" s="605"/>
      <c r="AS21" s="50"/>
      <c r="AT21" s="635"/>
    </row>
    <row r="22" spans="1:46" ht="31.9" customHeight="1" x14ac:dyDescent="0.25">
      <c r="A22" s="2205"/>
      <c r="B22" s="574">
        <v>2</v>
      </c>
      <c r="C22" s="595"/>
      <c r="D22" s="596"/>
      <c r="E22" s="596">
        <v>16</v>
      </c>
      <c r="F22" s="597"/>
      <c r="G22" s="915"/>
      <c r="H22" s="620"/>
      <c r="I22" s="620" t="s">
        <v>152</v>
      </c>
      <c r="J22" s="635"/>
      <c r="K22" s="622"/>
      <c r="L22" s="572"/>
      <c r="M22" s="6"/>
      <c r="N22" s="6"/>
      <c r="O22" s="597"/>
      <c r="P22" s="917"/>
      <c r="Q22" s="6"/>
      <c r="R22" s="6"/>
      <c r="S22" s="635"/>
      <c r="T22" s="622"/>
      <c r="U22" s="572"/>
      <c r="V22" s="6"/>
      <c r="W22" s="6">
        <v>24</v>
      </c>
      <c r="X22" s="597"/>
      <c r="Y22" s="572"/>
      <c r="Z22" s="6"/>
      <c r="AA22" s="605" t="s">
        <v>152</v>
      </c>
      <c r="AB22" s="635"/>
      <c r="AC22" s="622"/>
      <c r="AD22" s="572"/>
      <c r="AE22" s="6"/>
      <c r="AF22" s="6"/>
      <c r="AG22" s="597"/>
      <c r="AH22" s="567"/>
      <c r="AI22" s="6"/>
      <c r="AJ22" s="6"/>
      <c r="AK22" s="726"/>
      <c r="AM22" s="572"/>
      <c r="AN22" s="6"/>
      <c r="AO22" s="6"/>
      <c r="AP22" s="597"/>
      <c r="AQ22" s="572"/>
      <c r="AR22" s="605"/>
      <c r="AS22" s="50"/>
      <c r="AT22" s="635"/>
    </row>
    <row r="23" spans="1:46" ht="37.9" customHeight="1" x14ac:dyDescent="0.25">
      <c r="A23" s="2206">
        <v>45027</v>
      </c>
      <c r="B23" s="644">
        <v>1</v>
      </c>
      <c r="C23" s="595"/>
      <c r="D23" s="596"/>
      <c r="E23" s="596">
        <v>18</v>
      </c>
      <c r="F23" s="597"/>
      <c r="G23" s="685"/>
      <c r="H23" s="619"/>
      <c r="I23" s="620" t="s">
        <v>152</v>
      </c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/>
      <c r="V23" s="6"/>
      <c r="W23" s="6"/>
      <c r="X23" s="597"/>
      <c r="Y23" s="684"/>
      <c r="Z23" s="619"/>
      <c r="AA23" s="620"/>
      <c r="AB23" s="635"/>
      <c r="AC23" s="622"/>
      <c r="AD23" s="572"/>
      <c r="AE23" s="6"/>
      <c r="AF23" s="6"/>
      <c r="AG23" s="597"/>
      <c r="AH23" s="6"/>
      <c r="AI23" s="619"/>
      <c r="AJ23" s="620"/>
      <c r="AK23" s="726"/>
      <c r="AM23" s="572"/>
      <c r="AN23" s="6"/>
      <c r="AO23" s="6"/>
      <c r="AP23" s="597"/>
      <c r="AQ23" s="6"/>
      <c r="AR23" s="619"/>
      <c r="AS23" s="692"/>
      <c r="AT23" s="635"/>
    </row>
    <row r="24" spans="1:46" ht="49.9" customHeight="1" x14ac:dyDescent="0.25">
      <c r="A24" s="2205"/>
      <c r="B24" s="574">
        <v>2</v>
      </c>
      <c r="C24" s="595"/>
      <c r="D24" s="596"/>
      <c r="E24" s="596">
        <v>45</v>
      </c>
      <c r="F24" s="597"/>
      <c r="G24" s="685"/>
      <c r="H24" s="619"/>
      <c r="I24" s="620" t="s">
        <v>328</v>
      </c>
      <c r="J24" s="635"/>
      <c r="K24" s="622"/>
      <c r="L24" s="572"/>
      <c r="M24" s="6"/>
      <c r="N24" s="6"/>
      <c r="O24" s="597"/>
      <c r="P24" s="685"/>
      <c r="Q24" s="619"/>
      <c r="R24" s="620"/>
      <c r="S24" s="635"/>
      <c r="T24" s="622"/>
      <c r="U24" s="572"/>
      <c r="V24" s="6"/>
      <c r="W24" s="6">
        <v>23</v>
      </c>
      <c r="X24" s="597"/>
      <c r="Y24" s="685"/>
      <c r="Z24" s="619"/>
      <c r="AA24" s="620" t="s">
        <v>152</v>
      </c>
      <c r="AB24" s="635"/>
      <c r="AC24" s="622"/>
      <c r="AD24" s="572"/>
      <c r="AE24" s="6"/>
      <c r="AF24" s="6"/>
      <c r="AG24" s="597"/>
      <c r="AH24" s="6"/>
      <c r="AI24" s="619"/>
      <c r="AJ24" s="6"/>
      <c r="AK24" s="726"/>
      <c r="AM24" s="572"/>
      <c r="AN24" s="6"/>
      <c r="AO24" s="6"/>
      <c r="AP24" s="597"/>
      <c r="AQ24" s="6"/>
      <c r="AR24" s="619"/>
      <c r="AS24" s="828"/>
      <c r="AT24" s="635"/>
    </row>
    <row r="25" spans="1:46" ht="46.15" customHeight="1" x14ac:dyDescent="0.25">
      <c r="A25" s="2206">
        <v>45028</v>
      </c>
      <c r="B25" s="574">
        <v>1</v>
      </c>
      <c r="C25" s="595"/>
      <c r="D25" s="596"/>
      <c r="E25" s="596"/>
      <c r="F25" s="597"/>
      <c r="G25" s="685"/>
      <c r="H25" s="619"/>
      <c r="I25" s="620"/>
      <c r="J25" s="635"/>
      <c r="K25" s="622"/>
      <c r="L25" s="572"/>
      <c r="M25" s="6"/>
      <c r="N25" s="6"/>
      <c r="O25" s="597"/>
      <c r="P25" s="572"/>
      <c r="Q25" s="619"/>
      <c r="R25" s="6"/>
      <c r="S25" s="635"/>
      <c r="T25" s="622"/>
      <c r="U25" s="572"/>
      <c r="V25" s="6"/>
      <c r="W25" s="6"/>
      <c r="X25" s="597"/>
      <c r="Y25" s="572"/>
      <c r="Z25" s="605"/>
      <c r="AA25" s="605"/>
      <c r="AB25" s="635"/>
      <c r="AC25" s="622"/>
      <c r="AD25" s="572"/>
      <c r="AE25" s="6"/>
      <c r="AF25" s="6"/>
      <c r="AG25" s="597"/>
      <c r="AH25" s="6"/>
      <c r="AI25" s="6"/>
      <c r="AJ25" s="6"/>
      <c r="AK25" s="726"/>
      <c r="AM25" s="572"/>
      <c r="AN25" s="6"/>
      <c r="AO25" s="6"/>
      <c r="AP25" s="597"/>
      <c r="AQ25" s="6"/>
      <c r="AR25" s="6"/>
      <c r="AS25" s="50"/>
      <c r="AT25" s="635"/>
    </row>
    <row r="26" spans="1:46" ht="42" customHeight="1" x14ac:dyDescent="0.25">
      <c r="A26" s="2205"/>
      <c r="B26" s="574">
        <v>2</v>
      </c>
      <c r="C26" s="595"/>
      <c r="D26" s="596"/>
      <c r="E26" s="596"/>
      <c r="F26" s="597"/>
      <c r="G26" s="685"/>
      <c r="H26" s="620"/>
      <c r="I26" s="692"/>
      <c r="J26" s="635"/>
      <c r="K26" s="622"/>
      <c r="L26" s="572"/>
      <c r="M26" s="6"/>
      <c r="N26" s="6"/>
      <c r="O26" s="597"/>
      <c r="P26" s="685"/>
      <c r="Q26" s="620"/>
      <c r="R26" s="620"/>
      <c r="S26" s="635"/>
      <c r="T26" s="622"/>
      <c r="U26" s="572"/>
      <c r="V26" s="596"/>
      <c r="W26" s="6">
        <v>29</v>
      </c>
      <c r="X26" s="597"/>
      <c r="Y26" s="685"/>
      <c r="Z26" s="620"/>
      <c r="AA26" s="620" t="s">
        <v>152</v>
      </c>
      <c r="AB26" s="635"/>
      <c r="AC26" s="622"/>
      <c r="AD26" s="572"/>
      <c r="AE26" s="596"/>
      <c r="AF26" s="6"/>
      <c r="AG26" s="597"/>
      <c r="AH26" s="6"/>
      <c r="AI26" s="6"/>
      <c r="AJ26" s="6"/>
      <c r="AK26" s="726"/>
      <c r="AM26" s="572"/>
      <c r="AN26" s="596"/>
      <c r="AO26" s="6"/>
      <c r="AP26" s="597"/>
      <c r="AQ26" s="6"/>
      <c r="AR26" s="6"/>
      <c r="AS26" s="50"/>
      <c r="AT26" s="635"/>
    </row>
    <row r="27" spans="1:46" ht="49.9" customHeight="1" x14ac:dyDescent="0.25">
      <c r="A27" s="2206">
        <v>45029</v>
      </c>
      <c r="B27" s="644">
        <v>1</v>
      </c>
      <c r="C27" s="595"/>
      <c r="D27" s="596"/>
      <c r="E27" s="596"/>
      <c r="F27" s="597"/>
      <c r="G27" s="685"/>
      <c r="H27" s="619"/>
      <c r="I27" s="692"/>
      <c r="J27" s="635"/>
      <c r="K27" s="622"/>
      <c r="L27" s="572"/>
      <c r="M27" s="6"/>
      <c r="N27" s="6"/>
      <c r="O27" s="597"/>
      <c r="P27" s="685"/>
      <c r="Q27" s="619"/>
      <c r="R27" s="620"/>
      <c r="S27" s="635"/>
      <c r="T27" s="622"/>
      <c r="U27" s="572"/>
      <c r="V27" s="6"/>
      <c r="W27" s="6"/>
      <c r="X27" s="613"/>
      <c r="Y27" s="685"/>
      <c r="Z27" s="619"/>
      <c r="AA27" s="620"/>
      <c r="AB27" s="635"/>
      <c r="AC27" s="622"/>
      <c r="AD27" s="572"/>
      <c r="AE27" s="6"/>
      <c r="AF27" s="6"/>
      <c r="AG27" s="613"/>
      <c r="AH27" s="6"/>
      <c r="AI27" s="6"/>
      <c r="AJ27" s="620"/>
      <c r="AK27" s="726"/>
      <c r="AM27" s="572"/>
      <c r="AN27" s="6"/>
      <c r="AO27" s="6"/>
      <c r="AP27" s="613"/>
      <c r="AQ27" s="6"/>
      <c r="AR27" s="6"/>
      <c r="AS27" s="692"/>
      <c r="AT27" s="635"/>
    </row>
    <row r="28" spans="1:46" ht="49.15" customHeight="1" x14ac:dyDescent="0.25">
      <c r="A28" s="2205"/>
      <c r="B28" s="574">
        <v>2</v>
      </c>
      <c r="C28" s="595"/>
      <c r="D28" s="596"/>
      <c r="E28" s="596"/>
      <c r="F28" s="597"/>
      <c r="G28" s="620"/>
      <c r="H28" s="620"/>
      <c r="I28" s="692"/>
      <c r="J28" s="635"/>
      <c r="K28" s="622"/>
      <c r="L28" s="572"/>
      <c r="M28" s="6"/>
      <c r="N28" s="6"/>
      <c r="O28" s="597"/>
      <c r="P28" s="620"/>
      <c r="Q28" s="620"/>
      <c r="R28" s="620"/>
      <c r="S28" s="634"/>
      <c r="T28" s="622"/>
      <c r="U28" s="572"/>
      <c r="V28" s="6"/>
      <c r="W28" s="622"/>
      <c r="X28" s="597"/>
      <c r="Y28" s="620"/>
      <c r="Z28" s="6"/>
      <c r="AA28" s="692"/>
      <c r="AB28" s="635"/>
      <c r="AC28" s="622"/>
      <c r="AD28" s="572"/>
      <c r="AE28" s="6"/>
      <c r="AF28" s="6"/>
      <c r="AG28" s="597"/>
      <c r="AH28" s="605"/>
      <c r="AI28" s="6"/>
      <c r="AJ28" s="692"/>
      <c r="AK28" s="634"/>
      <c r="AM28" s="572"/>
      <c r="AN28" s="6"/>
      <c r="AO28" s="6"/>
      <c r="AP28" s="597"/>
      <c r="AQ28" s="605"/>
      <c r="AR28" s="6"/>
      <c r="AS28" s="692"/>
      <c r="AT28" s="634"/>
    </row>
    <row r="29" spans="1:46" ht="45" customHeight="1" x14ac:dyDescent="0.25">
      <c r="A29" s="2206">
        <v>45030</v>
      </c>
      <c r="B29" s="574">
        <v>1</v>
      </c>
      <c r="C29" s="595"/>
      <c r="D29" s="596"/>
      <c r="E29" s="596"/>
      <c r="F29" s="597"/>
      <c r="G29" s="620"/>
      <c r="H29" s="619"/>
      <c r="I29" s="692"/>
      <c r="J29" s="635"/>
      <c r="K29" s="622"/>
      <c r="L29" s="572"/>
      <c r="M29" s="6"/>
      <c r="N29" s="6"/>
      <c r="O29" s="597"/>
      <c r="P29" s="685"/>
      <c r="Q29" s="619"/>
      <c r="R29" s="620"/>
      <c r="S29" s="635"/>
      <c r="T29" s="622"/>
      <c r="U29" s="572"/>
      <c r="V29" s="6"/>
      <c r="W29" s="6"/>
      <c r="X29" s="597"/>
      <c r="Y29" s="685"/>
      <c r="Z29" s="619"/>
      <c r="AA29" s="692"/>
      <c r="AB29" s="635"/>
      <c r="AC29" s="622"/>
      <c r="AD29" s="572"/>
      <c r="AE29" s="6"/>
      <c r="AF29" s="6"/>
      <c r="AG29" s="597"/>
      <c r="AH29" s="685"/>
      <c r="AI29" s="619"/>
      <c r="AJ29" s="620"/>
      <c r="AK29" s="613"/>
      <c r="AM29" s="572"/>
      <c r="AN29" s="6"/>
      <c r="AO29" s="6">
        <v>36</v>
      </c>
      <c r="AP29" s="597"/>
      <c r="AQ29" s="685"/>
      <c r="AR29" s="619"/>
      <c r="AS29" s="620" t="s">
        <v>567</v>
      </c>
      <c r="AT29" s="613"/>
    </row>
    <row r="30" spans="1:46" ht="30.6" customHeight="1" x14ac:dyDescent="0.25">
      <c r="A30" s="2205"/>
      <c r="B30" s="644">
        <v>2</v>
      </c>
      <c r="C30" s="595"/>
      <c r="D30" s="596"/>
      <c r="E30" s="596"/>
      <c r="F30" s="597"/>
      <c r="G30" s="685"/>
      <c r="H30" s="619"/>
      <c r="I30" s="620"/>
      <c r="J30" s="635"/>
      <c r="K30" s="622"/>
      <c r="L30" s="572"/>
      <c r="M30" s="6"/>
      <c r="N30" s="6"/>
      <c r="O30" s="597"/>
      <c r="P30" s="685"/>
      <c r="Q30" s="620"/>
      <c r="R30" s="620"/>
      <c r="S30" s="635"/>
      <c r="T30" s="622"/>
      <c r="U30" s="572"/>
      <c r="V30" s="6"/>
      <c r="W30" s="6"/>
      <c r="X30" s="597"/>
      <c r="Y30" s="685"/>
      <c r="Z30" s="619"/>
      <c r="AA30" s="620"/>
      <c r="AB30" s="613"/>
      <c r="AC30" s="622"/>
      <c r="AD30" s="572"/>
      <c r="AE30" s="6"/>
      <c r="AF30" s="6"/>
      <c r="AG30" s="597"/>
      <c r="AH30" s="685"/>
      <c r="AI30" s="619"/>
      <c r="AJ30" s="620"/>
      <c r="AK30" s="613"/>
      <c r="AM30" s="572"/>
      <c r="AN30" s="6"/>
      <c r="AO30" s="6"/>
      <c r="AP30" s="597"/>
      <c r="AQ30" s="685"/>
      <c r="AR30" s="619"/>
      <c r="AS30" s="620"/>
      <c r="AT30" s="613"/>
    </row>
    <row r="31" spans="1:46" ht="39.6" customHeight="1" x14ac:dyDescent="0.25">
      <c r="A31" s="2206">
        <v>45031</v>
      </c>
      <c r="B31" s="574">
        <v>1</v>
      </c>
      <c r="C31" s="595"/>
      <c r="D31" s="596"/>
      <c r="E31" s="596"/>
      <c r="F31" s="597"/>
      <c r="G31" s="685"/>
      <c r="H31" s="619"/>
      <c r="I31" s="620"/>
      <c r="J31" s="635"/>
      <c r="K31" s="622"/>
      <c r="L31" s="572"/>
      <c r="M31" s="6"/>
      <c r="N31" s="6"/>
      <c r="O31" s="597"/>
      <c r="P31" s="614"/>
      <c r="Q31" s="6"/>
      <c r="R31" s="6"/>
      <c r="S31" s="635"/>
      <c r="T31" s="622"/>
      <c r="U31" s="572"/>
      <c r="V31" s="6"/>
      <c r="W31" s="6"/>
      <c r="X31" s="597"/>
      <c r="Y31" s="917"/>
      <c r="Z31" s="6"/>
      <c r="AA31" s="6"/>
      <c r="AB31" s="635"/>
      <c r="AC31" s="622"/>
      <c r="AD31" s="572"/>
      <c r="AE31" s="6"/>
      <c r="AF31" s="6"/>
      <c r="AG31" s="597"/>
      <c r="AH31" s="614"/>
      <c r="AI31" s="6"/>
      <c r="AJ31" s="6"/>
      <c r="AK31" s="635"/>
      <c r="AM31" s="572"/>
      <c r="AN31" s="6"/>
      <c r="AO31" s="6"/>
      <c r="AP31" s="597"/>
      <c r="AQ31" s="614"/>
      <c r="AR31" s="6"/>
      <c r="AS31" s="6"/>
      <c r="AT31" s="635"/>
    </row>
    <row r="32" spans="1:46" ht="63" customHeight="1" x14ac:dyDescent="0.25">
      <c r="A32" s="2205"/>
      <c r="B32" s="574">
        <v>2</v>
      </c>
      <c r="C32" s="595"/>
      <c r="D32" s="596"/>
      <c r="E32" s="596"/>
      <c r="F32" s="597"/>
      <c r="G32" s="685"/>
      <c r="H32" s="685"/>
      <c r="I32" s="684"/>
      <c r="J32" s="687"/>
      <c r="K32" s="622"/>
      <c r="L32" s="572"/>
      <c r="M32" s="6"/>
      <c r="N32" s="6"/>
      <c r="O32" s="613"/>
      <c r="P32" s="614"/>
      <c r="Q32" s="6"/>
      <c r="R32" s="6"/>
      <c r="S32" s="764"/>
      <c r="T32" s="622"/>
      <c r="U32" s="572"/>
      <c r="V32" s="6"/>
      <c r="W32" s="596">
        <v>63</v>
      </c>
      <c r="X32" s="597"/>
      <c r="Y32" s="685"/>
      <c r="Z32" s="685"/>
      <c r="AA32" s="684" t="s">
        <v>630</v>
      </c>
      <c r="AB32" s="635"/>
      <c r="AC32" s="622"/>
      <c r="AD32" s="572"/>
      <c r="AE32" s="6"/>
      <c r="AF32" s="596">
        <v>41</v>
      </c>
      <c r="AG32" s="597"/>
      <c r="AH32" s="685"/>
      <c r="AI32" s="685"/>
      <c r="AJ32" s="684" t="s">
        <v>630</v>
      </c>
      <c r="AK32" s="613"/>
      <c r="AM32" s="572"/>
      <c r="AN32" s="6"/>
      <c r="AO32" s="6"/>
      <c r="AP32" s="613"/>
      <c r="AQ32" s="614"/>
      <c r="AR32" s="605"/>
      <c r="AS32" s="6"/>
      <c r="AT32" s="613"/>
    </row>
    <row r="33" spans="1:46" ht="43.15" customHeight="1" x14ac:dyDescent="0.25">
      <c r="A33" s="2206">
        <v>45032</v>
      </c>
      <c r="B33" s="574">
        <v>1</v>
      </c>
      <c r="C33" s="595"/>
      <c r="D33" s="596"/>
      <c r="E33" s="596"/>
      <c r="F33" s="597"/>
      <c r="G33" s="685"/>
      <c r="H33" s="619"/>
      <c r="I33" s="692"/>
      <c r="J33" s="687"/>
      <c r="K33" s="622"/>
      <c r="L33" s="572"/>
      <c r="M33" s="6"/>
      <c r="N33" s="6"/>
      <c r="O33" s="613"/>
      <c r="P33" s="614"/>
      <c r="Q33" s="6"/>
      <c r="R33" s="6"/>
      <c r="S33" s="613"/>
      <c r="T33" s="622"/>
      <c r="U33" s="572"/>
      <c r="V33" s="6"/>
      <c r="W33" s="6"/>
      <c r="X33" s="613"/>
      <c r="Y33" s="614"/>
      <c r="Z33" s="6"/>
      <c r="AA33" s="605"/>
      <c r="AB33" s="613"/>
      <c r="AC33" s="622"/>
      <c r="AD33" s="572"/>
      <c r="AE33" s="6"/>
      <c r="AF33" s="6"/>
      <c r="AG33" s="613"/>
      <c r="AH33" s="614"/>
      <c r="AI33" s="605"/>
      <c r="AJ33" s="6"/>
      <c r="AK33" s="613"/>
      <c r="AM33" s="572"/>
      <c r="AN33" s="6"/>
      <c r="AO33" s="6"/>
      <c r="AP33" s="613"/>
      <c r="AQ33" s="614"/>
      <c r="AR33" s="605"/>
      <c r="AS33" s="6"/>
      <c r="AT33" s="613"/>
    </row>
    <row r="34" spans="1:46" ht="50.45" customHeight="1" x14ac:dyDescent="0.25">
      <c r="A34" s="2205"/>
      <c r="B34" s="644">
        <v>2</v>
      </c>
      <c r="C34" s="596"/>
      <c r="D34" s="596"/>
      <c r="E34" s="596"/>
      <c r="F34" s="829"/>
      <c r="G34" s="685"/>
      <c r="H34" s="620"/>
      <c r="I34" s="620"/>
      <c r="J34" s="687"/>
      <c r="K34" s="622"/>
      <c r="L34" s="572"/>
      <c r="M34" s="6"/>
      <c r="N34" s="6"/>
      <c r="O34" s="613"/>
      <c r="P34" s="614"/>
      <c r="Q34" s="620"/>
      <c r="R34" s="6"/>
      <c r="S34" s="635"/>
      <c r="T34" s="622"/>
      <c r="U34" s="572"/>
      <c r="V34" s="6"/>
      <c r="W34" s="6">
        <v>35</v>
      </c>
      <c r="X34" s="613"/>
      <c r="Y34" s="6"/>
      <c r="Z34" s="605"/>
      <c r="AA34" s="684" t="s">
        <v>630</v>
      </c>
      <c r="AB34" s="635"/>
      <c r="AC34" s="622"/>
      <c r="AD34" s="572"/>
      <c r="AE34" s="6"/>
      <c r="AF34" s="6"/>
      <c r="AG34" s="613"/>
      <c r="AH34" s="614"/>
      <c r="AI34" s="6"/>
      <c r="AJ34" s="6"/>
      <c r="AK34" s="613"/>
      <c r="AM34" s="572"/>
      <c r="AN34" s="6"/>
      <c r="AO34" s="6"/>
      <c r="AP34" s="613"/>
      <c r="AQ34" s="614"/>
      <c r="AR34" s="6"/>
      <c r="AS34" s="6"/>
      <c r="AT34" s="613"/>
    </row>
    <row r="35" spans="1:46" ht="51" customHeight="1" x14ac:dyDescent="0.25">
      <c r="A35" s="2206">
        <v>45033</v>
      </c>
      <c r="B35" s="574">
        <v>1</v>
      </c>
      <c r="C35" s="596"/>
      <c r="D35" s="596"/>
      <c r="E35" s="50">
        <v>180</v>
      </c>
      <c r="F35" s="828"/>
      <c r="G35" s="567"/>
      <c r="H35" s="614"/>
      <c r="I35" s="605" t="s">
        <v>631</v>
      </c>
      <c r="J35" s="687"/>
      <c r="K35" s="622"/>
      <c r="L35" s="572"/>
      <c r="M35" s="6"/>
      <c r="N35" s="6"/>
      <c r="O35" s="613"/>
      <c r="P35" s="567"/>
      <c r="Q35" s="921"/>
      <c r="R35" s="620"/>
      <c r="S35" s="635"/>
      <c r="T35" s="622"/>
      <c r="U35" s="572"/>
      <c r="V35" s="6"/>
      <c r="W35" s="50">
        <v>259</v>
      </c>
      <c r="X35" s="634"/>
      <c r="Y35" s="567"/>
      <c r="Z35" s="6"/>
      <c r="AA35" s="684" t="s">
        <v>630</v>
      </c>
      <c r="AB35" s="613"/>
      <c r="AC35" s="622"/>
      <c r="AD35" s="572"/>
      <c r="AE35" s="6"/>
      <c r="AF35" s="6">
        <v>207</v>
      </c>
      <c r="AG35" s="917"/>
      <c r="AH35" s="567"/>
      <c r="AI35" s="6"/>
      <c r="AJ35" s="684" t="s">
        <v>630</v>
      </c>
      <c r="AK35" s="613"/>
      <c r="AM35" s="572"/>
      <c r="AN35" s="6"/>
      <c r="AO35" s="50"/>
      <c r="AP35" s="634"/>
      <c r="AQ35" s="567"/>
      <c r="AR35" s="6"/>
      <c r="AS35" s="605"/>
      <c r="AT35" s="613"/>
    </row>
    <row r="36" spans="1:46" ht="46.9" customHeight="1" x14ac:dyDescent="0.25">
      <c r="A36" s="2205"/>
      <c r="B36" s="574">
        <v>2</v>
      </c>
      <c r="C36" s="50">
        <v>720</v>
      </c>
      <c r="D36" s="6"/>
      <c r="E36" s="50"/>
      <c r="F36" s="828"/>
      <c r="G36" s="692" t="s">
        <v>632</v>
      </c>
      <c r="H36" s="917"/>
      <c r="I36" s="692"/>
      <c r="J36" s="635"/>
      <c r="K36" s="622"/>
      <c r="L36" s="567"/>
      <c r="M36" s="6"/>
      <c r="N36" s="6"/>
      <c r="O36" s="917"/>
      <c r="P36" s="567"/>
      <c r="Q36" s="605"/>
      <c r="R36" s="605"/>
      <c r="S36" s="635"/>
      <c r="T36" s="622"/>
      <c r="U36" s="572"/>
      <c r="V36" s="6"/>
      <c r="W36" s="6">
        <v>41</v>
      </c>
      <c r="X36" s="917"/>
      <c r="Y36" s="567"/>
      <c r="Z36" s="605"/>
      <c r="AA36" s="684" t="s">
        <v>630</v>
      </c>
      <c r="AB36" s="613"/>
      <c r="AC36" s="622"/>
      <c r="AD36" s="572"/>
      <c r="AE36" s="6"/>
      <c r="AF36" s="50">
        <v>50</v>
      </c>
      <c r="AG36" s="634"/>
      <c r="AH36" s="567"/>
      <c r="AI36" s="605"/>
      <c r="AJ36" s="684" t="s">
        <v>630</v>
      </c>
      <c r="AK36" s="613"/>
      <c r="AM36" s="572"/>
      <c r="AN36" s="6"/>
      <c r="AO36" s="6"/>
      <c r="AP36" s="917"/>
      <c r="AQ36" s="567"/>
      <c r="AR36" s="605"/>
      <c r="AS36" s="605"/>
      <c r="AT36" s="613"/>
    </row>
    <row r="37" spans="1:46" ht="59.45" customHeight="1" x14ac:dyDescent="0.25">
      <c r="A37" s="2206">
        <v>45034</v>
      </c>
      <c r="B37" s="644">
        <v>1</v>
      </c>
      <c r="C37" s="50">
        <v>720</v>
      </c>
      <c r="D37" s="596"/>
      <c r="E37" s="50"/>
      <c r="F37" s="50"/>
      <c r="G37" s="692" t="s">
        <v>632</v>
      </c>
      <c r="H37" s="917"/>
      <c r="I37" s="692"/>
      <c r="J37" s="635"/>
      <c r="K37" s="622"/>
      <c r="L37" s="572"/>
      <c r="M37" s="6"/>
      <c r="N37" s="6"/>
      <c r="O37" s="727"/>
      <c r="P37" s="614"/>
      <c r="Q37" s="6"/>
      <c r="R37" s="6"/>
      <c r="S37" s="613"/>
      <c r="T37" s="622"/>
      <c r="U37" s="572"/>
      <c r="V37" s="6"/>
      <c r="W37" s="6">
        <v>78</v>
      </c>
      <c r="X37" s="613"/>
      <c r="Y37" s="614"/>
      <c r="Z37" s="605"/>
      <c r="AA37" s="684" t="s">
        <v>630</v>
      </c>
      <c r="AB37" s="635"/>
      <c r="AC37" s="622"/>
      <c r="AD37" s="572"/>
      <c r="AE37" s="6"/>
      <c r="AF37" s="6">
        <v>30</v>
      </c>
      <c r="AG37" s="613"/>
      <c r="AH37" s="614"/>
      <c r="AI37" s="6"/>
      <c r="AJ37" s="684" t="s">
        <v>630</v>
      </c>
      <c r="AK37" s="613"/>
      <c r="AM37" s="572"/>
      <c r="AN37" s="6"/>
      <c r="AO37" s="6"/>
      <c r="AP37" s="613"/>
      <c r="AQ37" s="614"/>
      <c r="AR37" s="6"/>
      <c r="AS37" s="6"/>
      <c r="AT37" s="613"/>
    </row>
    <row r="38" spans="1:46" ht="55.9" customHeight="1" x14ac:dyDescent="0.25">
      <c r="A38" s="2205"/>
      <c r="B38" s="574">
        <v>2</v>
      </c>
      <c r="C38" s="50">
        <v>720</v>
      </c>
      <c r="D38" s="596"/>
      <c r="E38" s="50"/>
      <c r="F38" s="829"/>
      <c r="G38" s="692" t="s">
        <v>632</v>
      </c>
      <c r="H38" s="917"/>
      <c r="I38" s="692"/>
      <c r="J38" s="635"/>
      <c r="K38" s="622"/>
      <c r="L38" s="572"/>
      <c r="M38" s="6">
        <v>83</v>
      </c>
      <c r="N38" s="6"/>
      <c r="O38" s="613"/>
      <c r="P38" s="917"/>
      <c r="Q38" s="929" t="s">
        <v>590</v>
      </c>
      <c r="R38" s="6"/>
      <c r="S38" s="635"/>
      <c r="T38" s="622"/>
      <c r="U38" s="572"/>
      <c r="V38" s="6"/>
      <c r="W38" s="6"/>
      <c r="X38" s="613"/>
      <c r="Y38" s="614"/>
      <c r="Z38" s="605"/>
      <c r="AA38" s="6"/>
      <c r="AB38" s="635"/>
      <c r="AC38" s="622"/>
      <c r="AD38" s="572"/>
      <c r="AE38" s="6"/>
      <c r="AF38" s="6"/>
      <c r="AG38" s="613"/>
      <c r="AH38" s="917"/>
      <c r="AI38" s="6"/>
      <c r="AJ38" s="605"/>
      <c r="AK38" s="635"/>
      <c r="AM38" s="572"/>
      <c r="AN38" s="6"/>
      <c r="AO38" s="6"/>
      <c r="AP38" s="613"/>
      <c r="AQ38" s="614"/>
      <c r="AR38" s="6"/>
      <c r="AS38" s="605"/>
      <c r="AT38" s="635"/>
    </row>
    <row r="39" spans="1:46" ht="39" customHeight="1" x14ac:dyDescent="0.25">
      <c r="A39" s="2206">
        <v>45035</v>
      </c>
      <c r="B39" s="574">
        <v>1</v>
      </c>
      <c r="C39" s="50">
        <v>720</v>
      </c>
      <c r="D39" s="596"/>
      <c r="E39" s="50"/>
      <c r="F39" s="597"/>
      <c r="G39" s="692" t="s">
        <v>632</v>
      </c>
      <c r="H39" s="619"/>
      <c r="I39" s="692"/>
      <c r="J39" s="687"/>
      <c r="K39" s="622"/>
      <c r="L39" s="572"/>
      <c r="M39" s="6"/>
      <c r="N39" s="6"/>
      <c r="O39" s="597"/>
      <c r="P39" s="685"/>
      <c r="Q39" s="619"/>
      <c r="R39" s="692"/>
      <c r="S39" s="687"/>
      <c r="T39" s="622"/>
      <c r="U39" s="572"/>
      <c r="V39" s="6"/>
      <c r="W39" s="6">
        <v>25</v>
      </c>
      <c r="X39" s="597"/>
      <c r="Y39" s="685"/>
      <c r="Z39" s="619"/>
      <c r="AA39" s="692" t="s">
        <v>325</v>
      </c>
      <c r="AB39" s="687"/>
      <c r="AC39" s="622"/>
      <c r="AD39" s="572"/>
      <c r="AE39" s="6"/>
      <c r="AF39" s="6">
        <v>25</v>
      </c>
      <c r="AG39" s="597"/>
      <c r="AH39" s="685"/>
      <c r="AI39" s="619"/>
      <c r="AJ39" s="692" t="s">
        <v>325</v>
      </c>
      <c r="AK39" s="687"/>
      <c r="AM39" s="572"/>
      <c r="AN39" s="6"/>
      <c r="AO39" s="6"/>
      <c r="AP39" s="597"/>
      <c r="AQ39" s="685"/>
      <c r="AR39" s="619"/>
      <c r="AS39" s="692"/>
      <c r="AT39" s="687"/>
    </row>
    <row r="40" spans="1:46" ht="72.599999999999994" customHeight="1" x14ac:dyDescent="0.25">
      <c r="A40" s="2205"/>
      <c r="B40" s="574">
        <v>2</v>
      </c>
      <c r="C40" s="596">
        <v>386</v>
      </c>
      <c r="D40" s="596"/>
      <c r="E40" s="596">
        <v>113</v>
      </c>
      <c r="F40" s="613"/>
      <c r="G40" s="692" t="s">
        <v>632</v>
      </c>
      <c r="H40" s="620"/>
      <c r="I40" s="692" t="s">
        <v>633</v>
      </c>
      <c r="J40" s="687"/>
      <c r="K40" s="622"/>
      <c r="L40" s="572"/>
      <c r="M40" s="6"/>
      <c r="N40" s="6"/>
      <c r="O40" s="613"/>
      <c r="P40" s="685"/>
      <c r="Q40" s="619"/>
      <c r="R40" s="692"/>
      <c r="S40" s="687"/>
      <c r="T40" s="622"/>
      <c r="U40" s="572"/>
      <c r="V40" s="6"/>
      <c r="W40" s="6"/>
      <c r="X40" s="613"/>
      <c r="Y40" s="685"/>
      <c r="Z40" s="619"/>
      <c r="AA40" s="692"/>
      <c r="AB40" s="687"/>
      <c r="AC40" s="622"/>
      <c r="AD40" s="572"/>
      <c r="AE40" s="6"/>
      <c r="AF40" s="6"/>
      <c r="AG40" s="613"/>
      <c r="AH40" s="685"/>
      <c r="AI40" s="619"/>
      <c r="AJ40" s="692"/>
      <c r="AK40" s="687"/>
      <c r="AM40" s="572"/>
      <c r="AN40" s="6"/>
      <c r="AO40" s="6"/>
      <c r="AP40" s="613"/>
      <c r="AQ40" s="685"/>
      <c r="AR40" s="619"/>
      <c r="AS40" s="692"/>
      <c r="AT40" s="687"/>
    </row>
    <row r="41" spans="1:46" ht="39.6" customHeight="1" x14ac:dyDescent="0.25">
      <c r="A41" s="2206">
        <v>45036</v>
      </c>
      <c r="B41" s="574">
        <v>1</v>
      </c>
      <c r="C41" s="595"/>
      <c r="D41" s="596"/>
      <c r="E41" s="596"/>
      <c r="F41" s="613"/>
      <c r="G41" s="685"/>
      <c r="H41" s="620"/>
      <c r="I41" s="692"/>
      <c r="J41" s="687"/>
      <c r="K41" s="622"/>
      <c r="L41" s="572"/>
      <c r="M41" s="6"/>
      <c r="N41" s="6"/>
      <c r="O41" s="613"/>
      <c r="P41" s="614"/>
      <c r="Q41" s="6"/>
      <c r="R41" s="6"/>
      <c r="S41" s="635"/>
      <c r="T41" s="622"/>
      <c r="U41" s="572"/>
      <c r="V41" s="6"/>
      <c r="W41" s="6"/>
      <c r="X41" s="613"/>
      <c r="Y41" s="614"/>
      <c r="Z41" s="605"/>
      <c r="AA41" s="605"/>
      <c r="AB41" s="613"/>
      <c r="AC41" s="622"/>
      <c r="AD41" s="572"/>
      <c r="AE41" s="6"/>
      <c r="AF41" s="6"/>
      <c r="AG41" s="613"/>
      <c r="AH41" s="614"/>
      <c r="AI41" s="605"/>
      <c r="AJ41" s="6"/>
      <c r="AK41" s="613"/>
      <c r="AM41" s="572"/>
      <c r="AN41" s="6"/>
      <c r="AO41" s="6"/>
      <c r="AP41" s="613"/>
      <c r="AQ41" s="614"/>
      <c r="AR41" s="605"/>
      <c r="AS41" s="6"/>
      <c r="AT41" s="613"/>
    </row>
    <row r="42" spans="1:46" ht="33" customHeight="1" x14ac:dyDescent="0.25">
      <c r="A42" s="2205"/>
      <c r="B42" s="574">
        <v>2</v>
      </c>
      <c r="C42" s="596"/>
      <c r="D42" s="596"/>
      <c r="E42" s="596"/>
      <c r="F42" s="613"/>
      <c r="G42" s="685"/>
      <c r="H42" s="619"/>
      <c r="I42" s="692"/>
      <c r="J42" s="687"/>
      <c r="K42" s="622"/>
      <c r="L42" s="572"/>
      <c r="M42" s="6"/>
      <c r="N42" s="6"/>
      <c r="O42" s="613"/>
      <c r="P42" s="614"/>
      <c r="Q42" s="6"/>
      <c r="R42" s="6"/>
      <c r="S42" s="635"/>
      <c r="T42" s="622"/>
      <c r="U42" s="572">
        <v>607</v>
      </c>
      <c r="V42" s="6"/>
      <c r="W42" s="6"/>
      <c r="X42" s="613"/>
      <c r="Y42" s="929" t="s">
        <v>634</v>
      </c>
      <c r="Z42" s="6"/>
      <c r="AA42" s="605"/>
      <c r="AB42" s="635"/>
      <c r="AC42" s="622"/>
      <c r="AD42" s="572"/>
      <c r="AE42" s="6"/>
      <c r="AF42" s="6"/>
      <c r="AG42" s="613"/>
      <c r="AH42" s="614"/>
      <c r="AI42" s="6"/>
      <c r="AJ42" s="6"/>
      <c r="AK42" s="613"/>
      <c r="AM42" s="572"/>
      <c r="AN42" s="6"/>
      <c r="AO42" s="6"/>
      <c r="AP42" s="613"/>
      <c r="AQ42" s="614"/>
      <c r="AR42" s="6"/>
      <c r="AS42" s="6"/>
      <c r="AT42" s="613"/>
    </row>
    <row r="43" spans="1:46" ht="33.6" customHeight="1" x14ac:dyDescent="0.25">
      <c r="A43" s="2206">
        <v>45037</v>
      </c>
      <c r="B43" s="574">
        <v>1</v>
      </c>
      <c r="C43" s="596"/>
      <c r="D43" s="596"/>
      <c r="E43" s="596"/>
      <c r="F43" s="597"/>
      <c r="G43" s="619"/>
      <c r="H43" s="619"/>
      <c r="I43" s="620"/>
      <c r="J43" s="635"/>
      <c r="K43" s="622"/>
      <c r="L43" s="572"/>
      <c r="M43" s="6"/>
      <c r="N43" s="6"/>
      <c r="O43" s="613"/>
      <c r="P43" s="614"/>
      <c r="Q43" s="6"/>
      <c r="R43" s="6"/>
      <c r="S43" s="613"/>
      <c r="T43" s="622"/>
      <c r="U43" s="572"/>
      <c r="V43" s="6"/>
      <c r="W43" s="6">
        <v>24</v>
      </c>
      <c r="X43" s="613"/>
      <c r="Y43" s="614"/>
      <c r="Z43" s="6"/>
      <c r="AA43" s="620" t="s">
        <v>97</v>
      </c>
      <c r="AB43" s="613"/>
      <c r="AC43" s="622"/>
      <c r="AD43" s="572"/>
      <c r="AE43" s="6"/>
      <c r="AF43" s="6"/>
      <c r="AG43" s="613"/>
      <c r="AH43" s="605"/>
      <c r="AI43" s="620"/>
      <c r="AJ43" s="6"/>
      <c r="AK43" s="613"/>
      <c r="AM43" s="572"/>
      <c r="AN43" s="6"/>
      <c r="AO43" s="6"/>
      <c r="AP43" s="613"/>
      <c r="AQ43" s="605"/>
      <c r="AR43" s="620"/>
      <c r="AS43" s="6"/>
      <c r="AT43" s="613"/>
    </row>
    <row r="44" spans="1:46" ht="36" customHeight="1" x14ac:dyDescent="0.25">
      <c r="A44" s="2205"/>
      <c r="B44" s="574">
        <v>2</v>
      </c>
      <c r="C44" s="596"/>
      <c r="D44" s="596"/>
      <c r="E44" s="596"/>
      <c r="F44" s="597"/>
      <c r="G44" s="619"/>
      <c r="H44" s="619"/>
      <c r="I44" s="692"/>
      <c r="J44" s="635"/>
      <c r="K44" s="622"/>
      <c r="L44" s="572"/>
      <c r="M44" s="6"/>
      <c r="N44" s="6"/>
      <c r="O44" s="613"/>
      <c r="P44" s="614"/>
      <c r="Q44" s="6"/>
      <c r="R44" s="605"/>
      <c r="S44" s="764"/>
      <c r="T44" s="622"/>
      <c r="U44" s="572"/>
      <c r="V44" s="6">
        <v>325</v>
      </c>
      <c r="W44" s="596"/>
      <c r="X44" s="597"/>
      <c r="Y44" s="619"/>
      <c r="Z44" s="620" t="s">
        <v>635</v>
      </c>
      <c r="AA44" s="605"/>
      <c r="AB44" s="635"/>
      <c r="AC44" s="622"/>
      <c r="AD44" s="572"/>
      <c r="AE44" s="6"/>
      <c r="AF44" s="6"/>
      <c r="AG44" s="613"/>
      <c r="AH44" s="614"/>
      <c r="AI44" s="605"/>
      <c r="AJ44" s="605"/>
      <c r="AK44" s="613"/>
      <c r="AM44" s="572"/>
      <c r="AN44" s="6"/>
      <c r="AO44" s="6"/>
      <c r="AP44" s="613"/>
      <c r="AQ44" s="614"/>
      <c r="AR44" s="605"/>
      <c r="AS44" s="605"/>
      <c r="AT44" s="613"/>
    </row>
    <row r="45" spans="1:46" ht="36" customHeight="1" x14ac:dyDescent="0.25">
      <c r="A45" s="2206">
        <v>45038</v>
      </c>
      <c r="B45" s="574">
        <v>1</v>
      </c>
      <c r="C45" s="596"/>
      <c r="D45" s="596"/>
      <c r="E45" s="596"/>
      <c r="F45" s="597"/>
      <c r="G45" s="619"/>
      <c r="H45" s="619"/>
      <c r="I45" s="620"/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">
        <v>98</v>
      </c>
      <c r="W45" s="6"/>
      <c r="X45" s="613"/>
      <c r="Y45" s="619"/>
      <c r="Z45" s="620" t="s">
        <v>635</v>
      </c>
      <c r="AA45" s="605"/>
      <c r="AB45" s="613"/>
      <c r="AC45" s="622"/>
      <c r="AD45" s="572"/>
      <c r="AE45" s="6"/>
      <c r="AF45" s="6"/>
      <c r="AG45" s="613"/>
      <c r="AH45" s="614"/>
      <c r="AI45" s="605"/>
      <c r="AJ45" s="6"/>
      <c r="AK45" s="613"/>
      <c r="AM45" s="572"/>
      <c r="AN45" s="6"/>
      <c r="AO45" s="6"/>
      <c r="AP45" s="613"/>
      <c r="AQ45" s="614"/>
      <c r="AR45" s="605"/>
      <c r="AS45" s="6"/>
      <c r="AT45" s="613"/>
    </row>
    <row r="46" spans="1:46" ht="48.6" customHeight="1" x14ac:dyDescent="0.25">
      <c r="A46" s="2205"/>
      <c r="B46" s="574">
        <v>2</v>
      </c>
      <c r="C46" s="596"/>
      <c r="D46" s="596"/>
      <c r="E46" s="596"/>
      <c r="F46" s="597"/>
      <c r="G46" s="619"/>
      <c r="H46" s="619"/>
      <c r="I46" s="620"/>
      <c r="J46" s="635"/>
      <c r="K46" s="622"/>
      <c r="L46" s="572"/>
      <c r="M46" s="6"/>
      <c r="N46" s="6"/>
      <c r="O46" s="785"/>
      <c r="P46" s="614"/>
      <c r="Q46" s="620"/>
      <c r="R46" s="6"/>
      <c r="S46" s="635"/>
      <c r="T46" s="622"/>
      <c r="U46" s="572">
        <v>68</v>
      </c>
      <c r="V46" s="6"/>
      <c r="W46" s="6"/>
      <c r="X46" s="613"/>
      <c r="Y46" s="929" t="s">
        <v>636</v>
      </c>
      <c r="Z46" s="6"/>
      <c r="AA46" s="605"/>
      <c r="AB46" s="635"/>
      <c r="AC46" s="622"/>
      <c r="AD46" s="572"/>
      <c r="AE46" s="6"/>
      <c r="AF46" s="6"/>
      <c r="AG46" s="613"/>
      <c r="AH46" s="917"/>
      <c r="AI46" s="6"/>
      <c r="AJ46" s="6"/>
      <c r="AK46" s="635"/>
      <c r="AM46" s="572"/>
      <c r="AN46" s="6"/>
      <c r="AO46" s="6"/>
      <c r="AP46" s="613"/>
      <c r="AQ46" s="917"/>
      <c r="AR46" s="6"/>
      <c r="AS46" s="6"/>
      <c r="AT46" s="635"/>
    </row>
    <row r="47" spans="1:46" ht="36" customHeight="1" x14ac:dyDescent="0.25">
      <c r="A47" s="2206">
        <v>45039</v>
      </c>
      <c r="B47" s="574">
        <v>1</v>
      </c>
      <c r="C47" s="596"/>
      <c r="D47" s="596"/>
      <c r="E47" s="596"/>
      <c r="F47" s="597"/>
      <c r="G47" s="620"/>
      <c r="H47" s="619"/>
      <c r="I47" s="692"/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/>
      <c r="X47" s="613"/>
      <c r="Y47" s="614"/>
      <c r="Z47" s="605"/>
      <c r="AA47" s="605"/>
      <c r="AB47" s="635"/>
      <c r="AC47" s="622"/>
      <c r="AD47" s="572"/>
      <c r="AE47" s="6"/>
      <c r="AF47" s="6"/>
      <c r="AG47" s="613"/>
      <c r="AH47" s="917"/>
      <c r="AI47" s="620"/>
      <c r="AJ47" s="6"/>
      <c r="AK47" s="613"/>
      <c r="AM47" s="572"/>
      <c r="AN47" s="6"/>
      <c r="AO47" s="6"/>
      <c r="AP47" s="613"/>
      <c r="AQ47" s="917"/>
      <c r="AR47" s="620"/>
      <c r="AS47" s="6"/>
      <c r="AT47" s="613"/>
    </row>
    <row r="48" spans="1:46" ht="34.9" customHeight="1" x14ac:dyDescent="0.25">
      <c r="A48" s="2205"/>
      <c r="B48" s="574">
        <v>2</v>
      </c>
      <c r="C48" s="596"/>
      <c r="D48" s="596"/>
      <c r="E48" s="596"/>
      <c r="F48" s="597"/>
      <c r="G48" s="620"/>
      <c r="H48" s="620"/>
      <c r="I48" s="692"/>
      <c r="J48" s="687"/>
      <c r="K48" s="622"/>
      <c r="L48" s="572"/>
      <c r="M48" s="6"/>
      <c r="N48" s="6"/>
      <c r="O48" s="613"/>
      <c r="P48" s="614"/>
      <c r="Q48" s="620"/>
      <c r="R48" s="605"/>
      <c r="S48" s="635"/>
      <c r="T48" s="622"/>
      <c r="U48" s="572"/>
      <c r="V48" s="6"/>
      <c r="W48" s="6"/>
      <c r="X48" s="613"/>
      <c r="Y48" s="917"/>
      <c r="Z48" s="6"/>
      <c r="AA48" s="605"/>
      <c r="AB48" s="613"/>
      <c r="AC48" s="622"/>
      <c r="AD48" s="572"/>
      <c r="AE48" s="6">
        <v>72</v>
      </c>
      <c r="AF48" s="6"/>
      <c r="AG48" s="613"/>
      <c r="AH48" s="614"/>
      <c r="AI48" s="605" t="s">
        <v>590</v>
      </c>
      <c r="AJ48" s="6"/>
      <c r="AK48" s="613"/>
      <c r="AM48" s="572"/>
      <c r="AN48" s="6"/>
      <c r="AO48" s="6"/>
      <c r="AP48" s="613"/>
      <c r="AQ48" s="614"/>
      <c r="AR48" s="605"/>
      <c r="AS48" s="6"/>
      <c r="AT48" s="613"/>
    </row>
    <row r="49" spans="1:46" ht="36" customHeight="1" x14ac:dyDescent="0.25">
      <c r="A49" s="2206">
        <v>45040</v>
      </c>
      <c r="B49" s="574">
        <v>1</v>
      </c>
      <c r="C49" s="596"/>
      <c r="D49" s="596"/>
      <c r="E49" s="596">
        <v>61</v>
      </c>
      <c r="F49" s="597"/>
      <c r="G49" s="620"/>
      <c r="H49" s="619"/>
      <c r="I49" s="692" t="s">
        <v>152</v>
      </c>
      <c r="J49" s="687"/>
      <c r="K49" s="622"/>
      <c r="L49" s="572"/>
      <c r="M49" s="6"/>
      <c r="N49" s="6"/>
      <c r="O49" s="613"/>
      <c r="P49" s="614"/>
      <c r="Q49" s="6"/>
      <c r="R49" s="6"/>
      <c r="S49" s="613"/>
      <c r="T49" s="622"/>
      <c r="U49" s="572"/>
      <c r="V49" s="6"/>
      <c r="W49" s="6">
        <v>61</v>
      </c>
      <c r="X49" s="613"/>
      <c r="Y49" s="614"/>
      <c r="Z49" s="605"/>
      <c r="AA49" s="605" t="s">
        <v>152</v>
      </c>
      <c r="AB49" s="635"/>
      <c r="AC49" s="622"/>
      <c r="AD49" s="572"/>
      <c r="AE49" s="6"/>
      <c r="AF49" s="6">
        <v>20</v>
      </c>
      <c r="AG49" s="613"/>
      <c r="AH49" s="614"/>
      <c r="AI49" s="605"/>
      <c r="AJ49" s="692" t="s">
        <v>152</v>
      </c>
      <c r="AK49" s="613"/>
      <c r="AM49" s="572"/>
      <c r="AN49" s="6"/>
      <c r="AO49" s="6"/>
      <c r="AP49" s="613"/>
      <c r="AQ49" s="614"/>
      <c r="AR49" s="605"/>
      <c r="AS49" s="6"/>
      <c r="AT49" s="613"/>
    </row>
    <row r="50" spans="1:46" ht="51.6" customHeight="1" x14ac:dyDescent="0.25">
      <c r="A50" s="2205"/>
      <c r="B50" s="574">
        <v>2</v>
      </c>
      <c r="C50" s="596"/>
      <c r="D50" s="596"/>
      <c r="E50" s="596"/>
      <c r="F50" s="597"/>
      <c r="G50" s="619"/>
      <c r="H50" s="619"/>
      <c r="I50" s="692"/>
      <c r="J50" s="635"/>
      <c r="K50" s="622"/>
      <c r="L50" s="572"/>
      <c r="M50" s="6"/>
      <c r="N50" s="6"/>
      <c r="O50" s="597"/>
      <c r="P50" s="619"/>
      <c r="Q50" s="619"/>
      <c r="R50" s="692"/>
      <c r="S50" s="635"/>
      <c r="T50" s="622"/>
      <c r="U50" s="572"/>
      <c r="V50" s="6"/>
      <c r="W50" s="6"/>
      <c r="X50" s="597"/>
      <c r="Y50" s="619"/>
      <c r="Z50" s="619"/>
      <c r="AA50" s="692"/>
      <c r="AB50" s="635"/>
      <c r="AC50" s="622"/>
      <c r="AD50" s="572"/>
      <c r="AE50" s="6"/>
      <c r="AF50" s="6"/>
      <c r="AG50" s="597"/>
      <c r="AH50" s="619"/>
      <c r="AI50" s="619"/>
      <c r="AJ50" s="692"/>
      <c r="AK50" s="635"/>
      <c r="AM50" s="572">
        <v>30</v>
      </c>
      <c r="AN50" s="6"/>
      <c r="AO50" s="6">
        <v>30</v>
      </c>
      <c r="AP50" s="597"/>
      <c r="AQ50" s="619" t="s">
        <v>113</v>
      </c>
      <c r="AR50" s="619"/>
      <c r="AS50" s="692" t="s">
        <v>637</v>
      </c>
      <c r="AT50" s="635"/>
    </row>
    <row r="51" spans="1:46" ht="34.9" customHeight="1" x14ac:dyDescent="0.25">
      <c r="A51" s="2206">
        <v>45041</v>
      </c>
      <c r="B51" s="574">
        <v>1</v>
      </c>
      <c r="C51" s="596"/>
      <c r="D51" s="596"/>
      <c r="E51" s="596"/>
      <c r="F51" s="597"/>
      <c r="G51" s="619"/>
      <c r="H51" s="619"/>
      <c r="I51" s="692"/>
      <c r="J51" s="635"/>
      <c r="K51" s="622"/>
      <c r="L51" s="572"/>
      <c r="M51" s="6"/>
      <c r="N51" s="6"/>
      <c r="O51" s="613"/>
      <c r="P51" s="614"/>
      <c r="Q51" s="620"/>
      <c r="R51" s="6"/>
      <c r="S51" s="613"/>
      <c r="T51" s="622"/>
      <c r="U51" s="572"/>
      <c r="V51" s="6"/>
      <c r="W51" s="6"/>
      <c r="X51" s="613"/>
      <c r="Y51" s="917"/>
      <c r="Z51" s="6"/>
      <c r="AA51" s="605"/>
      <c r="AB51" s="613"/>
      <c r="AC51" s="622"/>
      <c r="AD51" s="572"/>
      <c r="AE51" s="6"/>
      <c r="AF51" s="6"/>
      <c r="AG51" s="613"/>
      <c r="AH51" s="614"/>
      <c r="AI51" s="6"/>
      <c r="AJ51" s="6"/>
      <c r="AK51" s="613"/>
      <c r="AM51" s="572"/>
      <c r="AN51" s="6"/>
      <c r="AO51" s="6"/>
      <c r="AP51" s="613"/>
      <c r="AQ51" s="614"/>
      <c r="AR51" s="6"/>
      <c r="AS51" s="6"/>
      <c r="AT51" s="613"/>
    </row>
    <row r="52" spans="1:46" ht="49.15" customHeight="1" x14ac:dyDescent="0.25">
      <c r="A52" s="2205"/>
      <c r="B52" s="574">
        <v>2</v>
      </c>
      <c r="C52" s="596"/>
      <c r="D52" s="596"/>
      <c r="E52" s="596"/>
      <c r="F52" s="597"/>
      <c r="G52" s="620"/>
      <c r="H52" s="620"/>
      <c r="I52" s="692"/>
      <c r="J52" s="635"/>
      <c r="K52" s="622"/>
      <c r="L52" s="572"/>
      <c r="M52" s="6">
        <v>50</v>
      </c>
      <c r="N52" s="6"/>
      <c r="O52" s="597"/>
      <c r="P52" s="620"/>
      <c r="Q52" s="620" t="s">
        <v>590</v>
      </c>
      <c r="R52" s="692"/>
      <c r="S52" s="635"/>
      <c r="T52" s="622"/>
      <c r="U52" s="572"/>
      <c r="V52" s="6"/>
      <c r="W52" s="6"/>
      <c r="X52" s="597"/>
      <c r="Y52" s="620"/>
      <c r="Z52" s="620"/>
      <c r="AA52" s="692"/>
      <c r="AB52" s="635"/>
      <c r="AC52" s="622"/>
      <c r="AD52" s="572"/>
      <c r="AE52" s="6"/>
      <c r="AF52" s="6"/>
      <c r="AG52" s="597"/>
      <c r="AH52" s="620"/>
      <c r="AI52" s="620"/>
      <c r="AJ52" s="692"/>
      <c r="AK52" s="635"/>
      <c r="AM52" s="572"/>
      <c r="AN52" s="613"/>
      <c r="AO52" s="613"/>
      <c r="AP52" s="613"/>
      <c r="AQ52" s="614"/>
      <c r="AR52" s="613"/>
      <c r="AS52" s="6"/>
      <c r="AT52" s="613"/>
    </row>
    <row r="53" spans="1:46" ht="40.15" customHeight="1" x14ac:dyDescent="0.25">
      <c r="A53" s="2206">
        <v>45042</v>
      </c>
      <c r="B53" s="574">
        <v>1</v>
      </c>
      <c r="C53" s="596"/>
      <c r="D53" s="596"/>
      <c r="E53" s="596"/>
      <c r="F53" s="597"/>
      <c r="G53" s="619"/>
      <c r="H53" s="619"/>
      <c r="I53" s="692"/>
      <c r="J53" s="635"/>
      <c r="K53" s="622"/>
      <c r="L53" s="572"/>
      <c r="M53" s="6"/>
      <c r="N53" s="6"/>
      <c r="O53" s="613"/>
      <c r="P53" s="917"/>
      <c r="Q53" s="6"/>
      <c r="R53" s="6"/>
      <c r="S53" s="635"/>
      <c r="T53" s="622"/>
      <c r="U53" s="572"/>
      <c r="V53" s="6"/>
      <c r="W53" s="6"/>
      <c r="X53" s="613"/>
      <c r="Y53" s="917"/>
      <c r="Z53" s="6"/>
      <c r="AA53" s="605"/>
      <c r="AB53" s="613"/>
      <c r="AC53" s="622"/>
      <c r="AD53" s="572"/>
      <c r="AE53" s="605"/>
      <c r="AF53" s="6"/>
      <c r="AG53" s="613"/>
      <c r="AH53" s="614"/>
      <c r="AI53" s="605"/>
      <c r="AJ53" s="605"/>
      <c r="AK53" s="613"/>
      <c r="AM53" s="572"/>
      <c r="AN53" s="605"/>
      <c r="AO53" s="6"/>
      <c r="AP53" s="613"/>
      <c r="AQ53" s="614"/>
      <c r="AR53" s="605"/>
      <c r="AS53" s="6"/>
      <c r="AT53" s="613"/>
    </row>
    <row r="54" spans="1:46" ht="39.6" customHeight="1" x14ac:dyDescent="0.25">
      <c r="A54" s="2205"/>
      <c r="B54" s="912">
        <v>2</v>
      </c>
      <c r="C54" s="596"/>
      <c r="D54" s="596"/>
      <c r="E54" s="596"/>
      <c r="F54" s="597"/>
      <c r="G54" s="619"/>
      <c r="H54" s="619"/>
      <c r="I54" s="692"/>
      <c r="J54" s="635"/>
      <c r="K54" s="622"/>
      <c r="L54" s="572"/>
      <c r="M54" s="6"/>
      <c r="N54" s="6"/>
      <c r="O54" s="597"/>
      <c r="P54" s="619"/>
      <c r="Q54" s="619"/>
      <c r="R54" s="619"/>
      <c r="S54" s="635"/>
      <c r="T54" s="622"/>
      <c r="U54" s="572"/>
      <c r="V54" s="6"/>
      <c r="W54" s="6"/>
      <c r="X54" s="613"/>
      <c r="Y54" s="614"/>
      <c r="Z54" s="619"/>
      <c r="AA54" s="620"/>
      <c r="AB54" s="635"/>
      <c r="AC54" s="622"/>
      <c r="AD54" s="572"/>
      <c r="AE54" s="6"/>
      <c r="AF54" s="6"/>
      <c r="AG54" s="613"/>
      <c r="AH54" s="614"/>
      <c r="AI54" s="619"/>
      <c r="AJ54" s="6"/>
      <c r="AK54" s="635"/>
      <c r="AM54" s="572"/>
      <c r="AN54" s="6"/>
      <c r="AO54" s="6"/>
      <c r="AP54" s="597"/>
      <c r="AQ54" s="619"/>
      <c r="AR54" s="619"/>
      <c r="AS54" s="619"/>
      <c r="AT54" s="635"/>
    </row>
    <row r="55" spans="1:46" ht="39.6" customHeight="1" x14ac:dyDescent="0.25">
      <c r="A55" s="2206">
        <v>45043</v>
      </c>
      <c r="B55" s="574">
        <v>1</v>
      </c>
      <c r="C55" s="595"/>
      <c r="D55" s="596"/>
      <c r="E55" s="596">
        <v>41</v>
      </c>
      <c r="F55" s="597">
        <v>80</v>
      </c>
      <c r="G55" s="619"/>
      <c r="H55" s="619"/>
      <c r="I55" s="692" t="s">
        <v>97</v>
      </c>
      <c r="J55" s="613" t="s">
        <v>638</v>
      </c>
      <c r="K55" s="622"/>
      <c r="L55" s="572"/>
      <c r="M55" s="6"/>
      <c r="N55" s="6"/>
      <c r="O55" s="613">
        <v>80</v>
      </c>
      <c r="P55" s="614"/>
      <c r="Q55" s="620"/>
      <c r="R55" s="6"/>
      <c r="S55" s="613" t="s">
        <v>638</v>
      </c>
      <c r="T55" s="622"/>
      <c r="U55" s="572"/>
      <c r="V55" s="6"/>
      <c r="W55" s="6"/>
      <c r="X55" s="613">
        <v>80</v>
      </c>
      <c r="Y55" s="614"/>
      <c r="Z55" s="620"/>
      <c r="AA55" s="6"/>
      <c r="AB55" s="613" t="s">
        <v>638</v>
      </c>
      <c r="AC55" s="622"/>
      <c r="AD55" s="572"/>
      <c r="AE55" s="6"/>
      <c r="AF55" s="6"/>
      <c r="AG55" s="613">
        <v>80</v>
      </c>
      <c r="AH55" s="614"/>
      <c r="AI55" s="620"/>
      <c r="AJ55" s="6"/>
      <c r="AK55" s="613" t="s">
        <v>638</v>
      </c>
      <c r="AM55" s="572"/>
      <c r="AN55" s="6"/>
      <c r="AO55" s="6"/>
      <c r="AP55" s="613">
        <v>80</v>
      </c>
      <c r="AQ55" s="614"/>
      <c r="AR55" s="620"/>
      <c r="AS55" s="6"/>
      <c r="AT55" s="613" t="s">
        <v>638</v>
      </c>
    </row>
    <row r="56" spans="1:46" ht="94.15" customHeight="1" x14ac:dyDescent="0.25">
      <c r="A56" s="2205"/>
      <c r="B56" s="912">
        <v>2</v>
      </c>
      <c r="C56" s="595"/>
      <c r="D56" s="596">
        <v>47</v>
      </c>
      <c r="E56" s="596">
        <v>129</v>
      </c>
      <c r="F56" s="597"/>
      <c r="G56" s="620"/>
      <c r="H56" s="620" t="s">
        <v>640</v>
      </c>
      <c r="I56" s="620" t="s">
        <v>639</v>
      </c>
      <c r="J56" s="635"/>
      <c r="K56" s="622"/>
      <c r="L56" s="572"/>
      <c r="M56" s="6"/>
      <c r="N56" s="6">
        <v>132</v>
      </c>
      <c r="O56" s="597"/>
      <c r="P56" s="620"/>
      <c r="Q56" s="619"/>
      <c r="R56" s="620" t="s">
        <v>639</v>
      </c>
      <c r="S56" s="635"/>
      <c r="T56" s="622"/>
      <c r="U56" s="572"/>
      <c r="V56" s="6">
        <v>12</v>
      </c>
      <c r="W56" s="6">
        <v>152</v>
      </c>
      <c r="X56" s="597"/>
      <c r="Y56" s="620"/>
      <c r="Z56" s="619" t="s">
        <v>601</v>
      </c>
      <c r="AA56" s="620" t="s">
        <v>639</v>
      </c>
      <c r="AB56" s="635"/>
      <c r="AC56" s="622"/>
      <c r="AD56" s="572"/>
      <c r="AE56" s="6">
        <v>12</v>
      </c>
      <c r="AF56" s="6">
        <v>145</v>
      </c>
      <c r="AG56" s="597"/>
      <c r="AH56" s="620"/>
      <c r="AI56" s="619" t="s">
        <v>601</v>
      </c>
      <c r="AJ56" s="620" t="s">
        <v>639</v>
      </c>
      <c r="AK56" s="635"/>
      <c r="AM56" s="572"/>
      <c r="AN56" s="6"/>
      <c r="AO56" s="6">
        <v>135</v>
      </c>
      <c r="AP56" s="597"/>
      <c r="AQ56" s="620"/>
      <c r="AR56" s="619"/>
      <c r="AS56" s="620" t="s">
        <v>639</v>
      </c>
      <c r="AT56" s="635"/>
    </row>
    <row r="57" spans="1:46" ht="52.15" customHeight="1" x14ac:dyDescent="0.25">
      <c r="A57" s="2206">
        <v>45044</v>
      </c>
      <c r="B57" s="574">
        <v>1</v>
      </c>
      <c r="C57" s="595"/>
      <c r="D57" s="596">
        <v>85</v>
      </c>
      <c r="E57" s="596"/>
      <c r="F57" s="597"/>
      <c r="G57" s="620"/>
      <c r="H57" s="620" t="s">
        <v>641</v>
      </c>
      <c r="I57" s="692"/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/>
      <c r="X57" s="597"/>
      <c r="Y57" s="620"/>
      <c r="Z57" s="619"/>
      <c r="AA57" s="620"/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/>
      <c r="AP57" s="597"/>
      <c r="AQ57" s="620"/>
      <c r="AR57" s="619"/>
      <c r="AS57" s="620"/>
      <c r="AT57" s="635"/>
    </row>
    <row r="58" spans="1:46" ht="78" customHeight="1" x14ac:dyDescent="0.25">
      <c r="A58" s="2205"/>
      <c r="B58" s="912">
        <v>2</v>
      </c>
      <c r="C58" s="595"/>
      <c r="D58" s="596"/>
      <c r="E58" s="596"/>
      <c r="F58" s="597">
        <v>720</v>
      </c>
      <c r="G58" s="620"/>
      <c r="H58" s="619"/>
      <c r="I58" s="620"/>
      <c r="J58" s="635" t="s">
        <v>642</v>
      </c>
      <c r="K58" s="622"/>
      <c r="L58" s="572"/>
      <c r="M58" s="6"/>
      <c r="N58" s="6"/>
      <c r="O58" s="597">
        <v>720</v>
      </c>
      <c r="P58" s="620"/>
      <c r="Q58" s="619"/>
      <c r="R58" s="620"/>
      <c r="S58" s="635" t="s">
        <v>642</v>
      </c>
      <c r="T58" s="622"/>
      <c r="U58" s="572"/>
      <c r="V58" s="6"/>
      <c r="W58" s="6"/>
      <c r="X58" s="597">
        <v>720</v>
      </c>
      <c r="Y58" s="620"/>
      <c r="Z58" s="619"/>
      <c r="AA58" s="620"/>
      <c r="AB58" s="635" t="s">
        <v>642</v>
      </c>
      <c r="AC58" s="622"/>
      <c r="AD58" s="572"/>
      <c r="AE58" s="6"/>
      <c r="AF58" s="6"/>
      <c r="AG58" s="597">
        <v>720</v>
      </c>
      <c r="AH58" s="620"/>
      <c r="AI58" s="619"/>
      <c r="AJ58" s="620"/>
      <c r="AK58" s="635" t="s">
        <v>642</v>
      </c>
      <c r="AM58" s="572"/>
      <c r="AN58" s="6"/>
      <c r="AO58" s="6"/>
      <c r="AP58" s="597">
        <v>720</v>
      </c>
      <c r="AQ58" s="620"/>
      <c r="AR58" s="619"/>
      <c r="AS58" s="620"/>
      <c r="AT58" s="635" t="s">
        <v>642</v>
      </c>
    </row>
    <row r="59" spans="1:46" ht="73.150000000000006" customHeight="1" x14ac:dyDescent="0.25">
      <c r="A59" s="2206">
        <v>45045</v>
      </c>
      <c r="B59" s="574">
        <v>1</v>
      </c>
      <c r="C59" s="595"/>
      <c r="D59" s="596"/>
      <c r="E59" s="596"/>
      <c r="F59" s="597">
        <v>38</v>
      </c>
      <c r="G59" s="619"/>
      <c r="H59" s="619"/>
      <c r="I59" s="692"/>
      <c r="J59" s="635" t="s">
        <v>642</v>
      </c>
      <c r="K59" s="622"/>
      <c r="L59" s="572"/>
      <c r="M59" s="6">
        <v>35</v>
      </c>
      <c r="N59" s="6"/>
      <c r="O59" s="613">
        <v>36</v>
      </c>
      <c r="P59" s="614"/>
      <c r="Q59" s="605" t="s">
        <v>643</v>
      </c>
      <c r="R59" s="6"/>
      <c r="S59" s="635" t="s">
        <v>642</v>
      </c>
      <c r="T59" s="622"/>
      <c r="U59" s="572"/>
      <c r="V59" s="6"/>
      <c r="W59" s="6"/>
      <c r="X59" s="613">
        <v>41</v>
      </c>
      <c r="Y59" s="614"/>
      <c r="Z59" s="6"/>
      <c r="AA59" s="605"/>
      <c r="AB59" s="635" t="s">
        <v>642</v>
      </c>
      <c r="AC59" s="622"/>
      <c r="AD59" s="572"/>
      <c r="AE59" s="6"/>
      <c r="AF59" s="6"/>
      <c r="AG59" s="613">
        <v>43</v>
      </c>
      <c r="AH59" s="917"/>
      <c r="AI59" s="6"/>
      <c r="AJ59" s="620"/>
      <c r="AK59" s="635" t="s">
        <v>642</v>
      </c>
      <c r="AM59" s="572"/>
      <c r="AN59" s="6"/>
      <c r="AO59" s="6"/>
      <c r="AP59" s="613">
        <v>59</v>
      </c>
      <c r="AQ59" s="917"/>
      <c r="AR59" s="6"/>
      <c r="AS59" s="620"/>
      <c r="AT59" s="635" t="s">
        <v>642</v>
      </c>
    </row>
    <row r="60" spans="1:46" ht="36" customHeight="1" x14ac:dyDescent="0.25">
      <c r="A60" s="2205"/>
      <c r="B60" s="912">
        <v>2</v>
      </c>
      <c r="C60" s="595"/>
      <c r="D60" s="596"/>
      <c r="E60" s="596">
        <v>60</v>
      </c>
      <c r="F60" s="597"/>
      <c r="G60" s="619"/>
      <c r="H60" s="620"/>
      <c r="I60" s="692" t="s">
        <v>644</v>
      </c>
      <c r="J60" s="635"/>
      <c r="K60" s="622"/>
      <c r="L60" s="572"/>
      <c r="M60" s="6"/>
      <c r="N60" s="6"/>
      <c r="O60" s="613"/>
      <c r="P60" s="614"/>
      <c r="Q60" s="6"/>
      <c r="R60" s="6"/>
      <c r="S60" s="635"/>
      <c r="T60" s="622"/>
      <c r="U60" s="572"/>
      <c r="V60" s="6"/>
      <c r="W60" s="6"/>
      <c r="X60" s="613"/>
      <c r="Y60" s="917"/>
      <c r="Z60" s="605"/>
      <c r="AA60" s="605"/>
      <c r="AB60" s="635"/>
      <c r="AC60" s="622"/>
      <c r="AD60" s="572"/>
      <c r="AE60" s="6"/>
      <c r="AF60" s="6"/>
      <c r="AG60" s="613"/>
      <c r="AH60" s="614"/>
      <c r="AI60" s="6"/>
      <c r="AJ60" s="605"/>
      <c r="AK60" s="635"/>
      <c r="AM60" s="572"/>
      <c r="AN60" s="6"/>
      <c r="AO60" s="6"/>
      <c r="AP60" s="613"/>
      <c r="AQ60" s="614"/>
      <c r="AR60" s="6"/>
      <c r="AS60" s="605"/>
      <c r="AT60" s="635"/>
    </row>
    <row r="61" spans="1:46" ht="32.450000000000003" customHeight="1" x14ac:dyDescent="0.25">
      <c r="A61" s="2206">
        <v>45046</v>
      </c>
      <c r="B61" s="574">
        <v>1</v>
      </c>
      <c r="C61" s="920"/>
      <c r="D61" s="922"/>
      <c r="E61" s="596"/>
      <c r="F61" s="749"/>
      <c r="G61" s="619"/>
      <c r="H61" s="921"/>
      <c r="I61" s="692"/>
      <c r="J61" s="687"/>
      <c r="K61" s="622"/>
      <c r="L61" s="572"/>
      <c r="M61" s="6"/>
      <c r="N61" s="6"/>
      <c r="O61" s="613"/>
      <c r="P61" s="752"/>
      <c r="Q61" s="918"/>
      <c r="R61" s="918"/>
      <c r="S61" s="753"/>
      <c r="T61" s="622"/>
      <c r="U61" s="572"/>
      <c r="V61" s="6"/>
      <c r="W61" s="6"/>
      <c r="X61" s="613"/>
      <c r="Y61" s="917"/>
      <c r="Z61" s="605"/>
      <c r="AA61" s="605"/>
      <c r="AB61" s="753"/>
      <c r="AC61" s="622"/>
      <c r="AD61" s="572"/>
      <c r="AE61" s="6"/>
      <c r="AF61" s="6"/>
      <c r="AG61" s="613"/>
      <c r="AH61" s="614"/>
      <c r="AI61" s="6"/>
      <c r="AJ61" s="605"/>
      <c r="AK61" s="753"/>
      <c r="AM61" s="572"/>
      <c r="AN61" s="6"/>
      <c r="AO61" s="6"/>
      <c r="AP61" s="613"/>
      <c r="AQ61" s="614"/>
      <c r="AR61" s="6"/>
      <c r="AS61" s="605"/>
      <c r="AT61" s="753"/>
    </row>
    <row r="62" spans="1:46" ht="33" customHeight="1" x14ac:dyDescent="0.25">
      <c r="A62" s="2205"/>
      <c r="B62" s="912">
        <v>2</v>
      </c>
      <c r="C62" s="920"/>
      <c r="D62" s="922"/>
      <c r="E62" s="922"/>
      <c r="F62" s="749"/>
      <c r="G62" s="914"/>
      <c r="H62" s="921"/>
      <c r="I62" s="692"/>
      <c r="J62" s="687"/>
      <c r="K62" s="622"/>
      <c r="L62" s="572"/>
      <c r="M62" s="6"/>
      <c r="N62" s="6"/>
      <c r="O62" s="613"/>
      <c r="P62" s="752"/>
      <c r="Q62" s="918"/>
      <c r="R62" s="918"/>
      <c r="S62" s="753"/>
      <c r="T62" s="622"/>
      <c r="U62" s="572"/>
      <c r="V62" s="6"/>
      <c r="W62" s="6"/>
      <c r="X62" s="613"/>
      <c r="Y62" s="917"/>
      <c r="Z62" s="605"/>
      <c r="AA62" s="605"/>
      <c r="AB62" s="753"/>
      <c r="AC62" s="622"/>
      <c r="AD62" s="572"/>
      <c r="AE62" s="6"/>
      <c r="AF62" s="6"/>
      <c r="AG62" s="613"/>
      <c r="AH62" s="614"/>
      <c r="AI62" s="6"/>
      <c r="AJ62" s="605"/>
      <c r="AK62" s="753"/>
      <c r="AM62" s="572"/>
      <c r="AN62" s="6"/>
      <c r="AO62" s="6"/>
      <c r="AP62" s="613"/>
      <c r="AQ62" s="614"/>
      <c r="AR62" s="6"/>
      <c r="AS62" s="605"/>
      <c r="AT62" s="753"/>
    </row>
    <row r="63" spans="1:46" ht="33.6" customHeight="1" x14ac:dyDescent="0.25">
      <c r="A63" s="2206"/>
      <c r="B63" s="574">
        <v>1</v>
      </c>
      <c r="C63" s="706"/>
      <c r="D63" s="707"/>
      <c r="E63" s="707"/>
      <c r="F63" s="708"/>
      <c r="G63" s="717"/>
      <c r="H63" s="709"/>
      <c r="I63" s="620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/>
      <c r="X63" s="597"/>
      <c r="Y63" s="685"/>
      <c r="Z63" s="619"/>
      <c r="AA63" s="6"/>
      <c r="AB63" s="916"/>
      <c r="AC63" s="622"/>
      <c r="AD63" s="572"/>
      <c r="AE63" s="6"/>
      <c r="AF63" s="6"/>
      <c r="AG63" s="597"/>
      <c r="AH63" s="685"/>
      <c r="AI63" s="619"/>
      <c r="AJ63" s="6"/>
      <c r="AK63" s="705"/>
      <c r="AM63" s="572"/>
      <c r="AN63" s="6"/>
      <c r="AO63" s="6"/>
      <c r="AP63" s="597"/>
      <c r="AQ63" s="685"/>
      <c r="AR63" s="619"/>
      <c r="AS63" s="619"/>
      <c r="AT63" s="705"/>
    </row>
    <row r="64" spans="1:46" ht="30.6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636"/>
      <c r="AQ64" s="637"/>
      <c r="AR64" s="638"/>
      <c r="AS64" s="638"/>
      <c r="AT64" s="713"/>
    </row>
    <row r="65" spans="1:42" ht="23.45" customHeight="1" x14ac:dyDescent="0.25">
      <c r="A65" s="524" t="s">
        <v>225</v>
      </c>
      <c r="C65" s="768">
        <f>SUM(C3:C64)</f>
        <v>3908</v>
      </c>
      <c r="D65" s="525">
        <f>SUM(D3:D64)</f>
        <v>392</v>
      </c>
      <c r="E65" s="768">
        <f>SUM(E3:E64)</f>
        <v>865</v>
      </c>
      <c r="F65" s="525">
        <f>SUM(F3:F64)</f>
        <v>838</v>
      </c>
      <c r="L65" s="525">
        <f>SUM(L3:L64)</f>
        <v>0</v>
      </c>
      <c r="M65" s="525">
        <f>SUM(M3:M64)</f>
        <v>181</v>
      </c>
      <c r="N65" s="525">
        <f>SUM(N3:N64)</f>
        <v>132</v>
      </c>
      <c r="O65" s="525">
        <f>SUM(O3:O64)</f>
        <v>836</v>
      </c>
      <c r="U65" s="525">
        <f>SUM(U3:U64)</f>
        <v>675</v>
      </c>
      <c r="V65" s="525">
        <f>SUM(V3:V64)</f>
        <v>435</v>
      </c>
      <c r="W65" s="525">
        <f>SUM(W3:W64)</f>
        <v>883</v>
      </c>
      <c r="X65" s="525">
        <f>SUM(X3:X64)</f>
        <v>841</v>
      </c>
      <c r="AD65" s="525">
        <f>SUM(AD3:AD64)</f>
        <v>364</v>
      </c>
      <c r="AE65" s="525">
        <f>SUM(AE3:AE64)</f>
        <v>84</v>
      </c>
      <c r="AF65" s="525">
        <f>SUM(AF3:AF64)</f>
        <v>537</v>
      </c>
      <c r="AG65" s="525">
        <f>SUM(AG3:AG64)</f>
        <v>843</v>
      </c>
      <c r="AM65" s="525">
        <f>SUM(AM3:AM64)</f>
        <v>30</v>
      </c>
      <c r="AN65" s="525">
        <f>SUM(AN3:AN64)</f>
        <v>0</v>
      </c>
      <c r="AO65" s="525">
        <f>SUM(AO3:AO64)</f>
        <v>819</v>
      </c>
      <c r="AP65" s="525">
        <f>SUM(AP3:AP64)</f>
        <v>859</v>
      </c>
    </row>
    <row r="73" spans="1:42" ht="15.75" thickBot="1" x14ac:dyDescent="0.3"/>
    <row r="74" spans="1:42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2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2" ht="21.75" customHeight="1" x14ac:dyDescent="0.3">
      <c r="B76" s="651" t="s">
        <v>218</v>
      </c>
      <c r="C76" s="652">
        <f>C65</f>
        <v>3908</v>
      </c>
      <c r="D76" s="653">
        <f>C76/60</f>
        <v>65.13333333333334</v>
      </c>
      <c r="E76" s="652">
        <f>D65</f>
        <v>392</v>
      </c>
      <c r="F76" s="654">
        <f>E76/60</f>
        <v>6.5333333333333332</v>
      </c>
      <c r="G76" s="652">
        <f>E65</f>
        <v>865</v>
      </c>
      <c r="H76" s="653">
        <f>G76/60</f>
        <v>14.416666666666666</v>
      </c>
      <c r="I76" s="652">
        <f>F65</f>
        <v>838</v>
      </c>
      <c r="J76" s="653">
        <f>I76/60</f>
        <v>13.966666666666667</v>
      </c>
    </row>
    <row r="77" spans="1:42" ht="19.5" customHeight="1" x14ac:dyDescent="0.3">
      <c r="B77" s="651" t="s">
        <v>219</v>
      </c>
      <c r="C77" s="655">
        <f>L65</f>
        <v>0</v>
      </c>
      <c r="D77" s="656">
        <f t="shared" ref="D77:F79" si="0">C77/60</f>
        <v>0</v>
      </c>
      <c r="E77" s="655">
        <f>M65</f>
        <v>181</v>
      </c>
      <c r="F77" s="657">
        <f t="shared" si="0"/>
        <v>3.0166666666666666</v>
      </c>
      <c r="G77" s="655">
        <f>N65</f>
        <v>132</v>
      </c>
      <c r="H77" s="656">
        <f t="shared" ref="H77:J79" si="1">G77/60</f>
        <v>2.2000000000000002</v>
      </c>
      <c r="I77" s="655">
        <f>O65</f>
        <v>836</v>
      </c>
      <c r="J77" s="656">
        <f t="shared" si="1"/>
        <v>13.933333333333334</v>
      </c>
    </row>
    <row r="78" spans="1:42" ht="20.25" customHeight="1" x14ac:dyDescent="0.3">
      <c r="B78" s="651" t="s">
        <v>220</v>
      </c>
      <c r="C78" s="655">
        <f>U65</f>
        <v>675</v>
      </c>
      <c r="D78" s="656">
        <f t="shared" si="0"/>
        <v>11.25</v>
      </c>
      <c r="E78" s="655">
        <f>V65</f>
        <v>435</v>
      </c>
      <c r="F78" s="657">
        <f t="shared" si="0"/>
        <v>7.25</v>
      </c>
      <c r="G78" s="655">
        <f>W65</f>
        <v>883</v>
      </c>
      <c r="H78" s="656">
        <f t="shared" si="1"/>
        <v>14.716666666666667</v>
      </c>
      <c r="I78" s="655">
        <f>X65</f>
        <v>841</v>
      </c>
      <c r="J78" s="656">
        <f t="shared" si="1"/>
        <v>14.016666666666667</v>
      </c>
    </row>
    <row r="79" spans="1:42" ht="22.5" customHeight="1" thickBot="1" x14ac:dyDescent="0.35">
      <c r="B79" s="651" t="s">
        <v>221</v>
      </c>
      <c r="C79" s="658">
        <f>AD65</f>
        <v>364</v>
      </c>
      <c r="D79" s="659">
        <f t="shared" si="0"/>
        <v>6.0666666666666664</v>
      </c>
      <c r="E79" s="658">
        <f>AE65</f>
        <v>84</v>
      </c>
      <c r="F79" s="660">
        <f t="shared" si="0"/>
        <v>1.4</v>
      </c>
      <c r="G79" s="658">
        <f>AF65</f>
        <v>537</v>
      </c>
      <c r="H79" s="659">
        <f t="shared" si="1"/>
        <v>8.9499999999999993</v>
      </c>
      <c r="I79" s="658">
        <f>AG65</f>
        <v>843</v>
      </c>
      <c r="J79" s="659">
        <f t="shared" si="1"/>
        <v>14.05</v>
      </c>
    </row>
    <row r="80" spans="1:42" ht="22.5" customHeight="1" thickBot="1" x14ac:dyDescent="0.35">
      <c r="B80" s="651" t="s">
        <v>488</v>
      </c>
      <c r="C80" s="850">
        <f>AM65</f>
        <v>30</v>
      </c>
      <c r="D80" s="849">
        <f>C80/60</f>
        <v>0.5</v>
      </c>
      <c r="E80" s="850">
        <f>AN65</f>
        <v>0</v>
      </c>
      <c r="F80" s="851">
        <f>E80/60</f>
        <v>0</v>
      </c>
      <c r="G80" s="850">
        <f>AO65</f>
        <v>819</v>
      </c>
      <c r="H80" s="849">
        <f>G80/60</f>
        <v>13.65</v>
      </c>
      <c r="I80" s="850">
        <f>AP65</f>
        <v>859</v>
      </c>
      <c r="J80" s="849">
        <f>I80/60</f>
        <v>14.316666666666666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82.95</v>
      </c>
      <c r="E82" s="666"/>
      <c r="F82" s="667">
        <f>SUM(F76:F80)</f>
        <v>18.2</v>
      </c>
      <c r="G82" s="666"/>
      <c r="H82" s="667">
        <f>SUM(H76:H80)</f>
        <v>53.93333333333333</v>
      </c>
      <c r="I82" s="666"/>
      <c r="J82" s="668">
        <f>AVERAGE(J76:J80)</f>
        <v>14.056666666666667</v>
      </c>
    </row>
  </sheetData>
  <mergeCells count="45"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D1:AG1"/>
    <mergeCell ref="AH1:AK1"/>
    <mergeCell ref="AM1:AP1"/>
    <mergeCell ref="AQ1:AT1"/>
    <mergeCell ref="A3:A4"/>
    <mergeCell ref="U1:X1"/>
    <mergeCell ref="Y1:AB1"/>
    <mergeCell ref="A5:A6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2"/>
  <sheetViews>
    <sheetView zoomScale="55" zoomScaleNormal="55" workbookViewId="0">
      <pane xSplit="2" ySplit="2" topLeftCell="Z24" activePane="bottomRight" state="frozen"/>
      <selection pane="topRight" activeCell="C1" sqref="C1"/>
      <selection pane="bottomLeft" activeCell="A3" sqref="A3"/>
      <selection pane="bottomRight" activeCell="O77" sqref="O77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21.140625" style="524" customWidth="1"/>
    <col min="8" max="8" width="27.28515625" style="524" customWidth="1"/>
    <col min="9" max="9" width="22" style="524" customWidth="1"/>
    <col min="10" max="10" width="23.5703125" style="524" customWidth="1"/>
    <col min="11" max="14" width="10.7109375" style="524" customWidth="1"/>
    <col min="15" max="15" width="17" style="524" customWidth="1"/>
    <col min="16" max="16" width="23" style="524" customWidth="1"/>
    <col min="17" max="17" width="25.7109375" style="524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3.85546875" style="524" customWidth="1"/>
    <col min="27" max="27" width="32.42578125" style="524" customWidth="1"/>
    <col min="28" max="28" width="27" style="524" customWidth="1"/>
    <col min="29" max="30" width="10.7109375" style="524" customWidth="1"/>
    <col min="31" max="31" width="11.42578125" style="524" customWidth="1"/>
    <col min="32" max="32" width="13.140625" style="524" customWidth="1"/>
    <col min="33" max="33" width="10.7109375" style="524" customWidth="1"/>
    <col min="34" max="34" width="28.7109375" style="524" customWidth="1"/>
    <col min="35" max="35" width="18.5703125" style="524" customWidth="1"/>
    <col min="36" max="36" width="25.28515625" style="524" customWidth="1"/>
    <col min="37" max="37" width="26" style="524" customWidth="1"/>
    <col min="38" max="38" width="8.85546875" style="524"/>
    <col min="39" max="42" width="10.7109375" style="524" customWidth="1"/>
    <col min="43" max="43" width="16.85546875" style="524" customWidth="1"/>
    <col min="44" max="44" width="15.140625" style="524" customWidth="1"/>
    <col min="45" max="45" width="24.42578125" style="524" customWidth="1"/>
    <col min="46" max="46" width="24.7109375" style="524" customWidth="1"/>
    <col min="47" max="16384" width="8.85546875" style="524"/>
  </cols>
  <sheetData>
    <row r="1" spans="1:46" x14ac:dyDescent="0.25">
      <c r="C1" s="2217" t="s">
        <v>1</v>
      </c>
      <c r="D1" s="2212"/>
      <c r="E1" s="2212"/>
      <c r="F1" s="2212"/>
      <c r="G1" s="2211" t="s">
        <v>206</v>
      </c>
      <c r="H1" s="2209"/>
      <c r="I1" s="2209"/>
      <c r="J1" s="2210"/>
      <c r="L1" s="2212" t="s">
        <v>4</v>
      </c>
      <c r="M1" s="2212"/>
      <c r="N1" s="2212"/>
      <c r="O1" s="2212"/>
      <c r="P1" s="2209" t="s">
        <v>206</v>
      </c>
      <c r="Q1" s="2209"/>
      <c r="R1" s="2209"/>
      <c r="S1" s="2210"/>
      <c r="U1" s="2212" t="s">
        <v>2</v>
      </c>
      <c r="V1" s="2212"/>
      <c r="W1" s="2212"/>
      <c r="X1" s="2212"/>
      <c r="Y1" s="2209" t="s">
        <v>206</v>
      </c>
      <c r="Z1" s="2209"/>
      <c r="AA1" s="2209"/>
      <c r="AB1" s="2210"/>
      <c r="AD1" s="2212" t="s">
        <v>5</v>
      </c>
      <c r="AE1" s="2212"/>
      <c r="AF1" s="2212"/>
      <c r="AG1" s="2212"/>
      <c r="AH1" s="2209" t="s">
        <v>206</v>
      </c>
      <c r="AI1" s="2209"/>
      <c r="AJ1" s="2209"/>
      <c r="AK1" s="2210"/>
      <c r="AM1" s="2212" t="s">
        <v>482</v>
      </c>
      <c r="AN1" s="2212"/>
      <c r="AO1" s="2212"/>
      <c r="AP1" s="2212"/>
      <c r="AQ1" s="2209" t="s">
        <v>206</v>
      </c>
      <c r="AR1" s="2209"/>
      <c r="AS1" s="2209"/>
      <c r="AT1" s="2210"/>
    </row>
    <row r="2" spans="1:46" ht="33.6" customHeight="1" x14ac:dyDescent="0.25">
      <c r="A2" s="923" t="s">
        <v>0</v>
      </c>
      <c r="B2" s="528" t="s">
        <v>198</v>
      </c>
      <c r="C2" s="529" t="s">
        <v>199</v>
      </c>
      <c r="D2" s="526" t="s">
        <v>200</v>
      </c>
      <c r="E2" s="526" t="s">
        <v>201</v>
      </c>
      <c r="F2" s="526" t="s">
        <v>204</v>
      </c>
      <c r="G2" s="575" t="s">
        <v>199</v>
      </c>
      <c r="H2" s="575" t="s">
        <v>200</v>
      </c>
      <c r="I2" s="575" t="s">
        <v>201</v>
      </c>
      <c r="J2" s="575" t="s">
        <v>204</v>
      </c>
      <c r="K2" s="524" t="s">
        <v>269</v>
      </c>
      <c r="L2" s="526" t="s">
        <v>199</v>
      </c>
      <c r="M2" s="526" t="s">
        <v>200</v>
      </c>
      <c r="N2" s="526" t="s">
        <v>201</v>
      </c>
      <c r="O2" s="526" t="s">
        <v>204</v>
      </c>
      <c r="P2" s="527" t="s">
        <v>199</v>
      </c>
      <c r="Q2" s="526" t="s">
        <v>200</v>
      </c>
      <c r="R2" s="526" t="s">
        <v>201</v>
      </c>
      <c r="S2" s="526" t="s">
        <v>204</v>
      </c>
      <c r="U2" s="526" t="s">
        <v>199</v>
      </c>
      <c r="V2" s="526" t="s">
        <v>200</v>
      </c>
      <c r="W2" s="526" t="s">
        <v>201</v>
      </c>
      <c r="X2" s="526" t="s">
        <v>204</v>
      </c>
      <c r="Y2" s="650" t="s">
        <v>199</v>
      </c>
      <c r="Z2" s="526" t="s">
        <v>200</v>
      </c>
      <c r="AA2" s="526" t="s">
        <v>201</v>
      </c>
      <c r="AB2" s="526" t="s">
        <v>204</v>
      </c>
      <c r="AD2" s="526" t="s">
        <v>199</v>
      </c>
      <c r="AE2" s="526" t="s">
        <v>200</v>
      </c>
      <c r="AF2" s="526" t="s">
        <v>201</v>
      </c>
      <c r="AG2" s="526" t="s">
        <v>204</v>
      </c>
      <c r="AH2" s="527" t="s">
        <v>199</v>
      </c>
      <c r="AI2" s="526" t="s">
        <v>200</v>
      </c>
      <c r="AJ2" s="526" t="s">
        <v>201</v>
      </c>
      <c r="AK2" s="526" t="s">
        <v>204</v>
      </c>
      <c r="AM2" s="526" t="s">
        <v>199</v>
      </c>
      <c r="AN2" s="526" t="s">
        <v>200</v>
      </c>
      <c r="AO2" s="526" t="s">
        <v>201</v>
      </c>
      <c r="AP2" s="526" t="s">
        <v>204</v>
      </c>
      <c r="AQ2" s="527" t="s">
        <v>199</v>
      </c>
      <c r="AR2" s="526" t="s">
        <v>200</v>
      </c>
      <c r="AS2" s="526" t="s">
        <v>201</v>
      </c>
      <c r="AT2" s="526" t="s">
        <v>204</v>
      </c>
    </row>
    <row r="3" spans="1:46" ht="30" customHeight="1" x14ac:dyDescent="0.25">
      <c r="A3" s="2206">
        <v>45047</v>
      </c>
      <c r="B3" s="925">
        <v>1</v>
      </c>
      <c r="C3" s="592"/>
      <c r="D3" s="593"/>
      <c r="E3" s="847">
        <v>14</v>
      </c>
      <c r="F3" s="594"/>
      <c r="G3" s="685"/>
      <c r="H3" s="619"/>
      <c r="I3" s="848" t="s">
        <v>152</v>
      </c>
      <c r="J3" s="686"/>
      <c r="K3" s="622"/>
      <c r="L3" s="612"/>
      <c r="M3" s="630"/>
      <c r="N3" s="630">
        <v>600</v>
      </c>
      <c r="O3" s="628"/>
      <c r="P3" s="629"/>
      <c r="Q3" s="699"/>
      <c r="R3" s="699" t="s">
        <v>645</v>
      </c>
      <c r="S3" s="628"/>
      <c r="T3" s="622"/>
      <c r="U3" s="612"/>
      <c r="V3" s="630"/>
      <c r="W3" s="630">
        <v>12</v>
      </c>
      <c r="X3" s="613"/>
      <c r="Y3" s="929"/>
      <c r="Z3" s="629"/>
      <c r="AA3" s="719" t="s">
        <v>152</v>
      </c>
      <c r="AB3" s="720"/>
      <c r="AC3" s="622"/>
      <c r="AD3" s="612"/>
      <c r="AE3" s="630"/>
      <c r="AF3" s="6"/>
      <c r="AG3" s="628"/>
      <c r="AH3" s="629"/>
      <c r="AI3" s="629"/>
      <c r="AJ3" s="605"/>
      <c r="AK3" s="628"/>
      <c r="AM3" s="612"/>
      <c r="AN3" s="630"/>
      <c r="AO3" s="6"/>
      <c r="AP3" s="628"/>
      <c r="AQ3" s="629"/>
      <c r="AR3" s="630"/>
      <c r="AS3" s="6"/>
      <c r="AT3" s="628"/>
    </row>
    <row r="4" spans="1:46" ht="36.6" customHeight="1" x14ac:dyDescent="0.25">
      <c r="A4" s="2205"/>
      <c r="B4" s="574">
        <v>2</v>
      </c>
      <c r="C4" s="595"/>
      <c r="D4" s="596">
        <v>74</v>
      </c>
      <c r="E4" s="596">
        <v>13</v>
      </c>
      <c r="F4" s="597"/>
      <c r="G4" s="685"/>
      <c r="H4" s="619" t="s">
        <v>646</v>
      </c>
      <c r="I4" s="620" t="s">
        <v>455</v>
      </c>
      <c r="J4" s="687"/>
      <c r="K4" s="622"/>
      <c r="L4" s="572">
        <v>720</v>
      </c>
      <c r="M4" s="6"/>
      <c r="N4" s="6"/>
      <c r="O4" s="613"/>
      <c r="P4" s="614" t="s">
        <v>45</v>
      </c>
      <c r="Q4" s="619"/>
      <c r="R4" s="935"/>
      <c r="S4" s="613"/>
      <c r="T4" s="622"/>
      <c r="U4" s="572"/>
      <c r="V4" s="605">
        <v>80</v>
      </c>
      <c r="W4" s="6">
        <v>11</v>
      </c>
      <c r="X4" s="613"/>
      <c r="Y4" s="929"/>
      <c r="Z4" s="619" t="s">
        <v>646</v>
      </c>
      <c r="AA4" s="698" t="s">
        <v>455</v>
      </c>
      <c r="AB4" s="722"/>
      <c r="AC4" s="622"/>
      <c r="AD4" s="572"/>
      <c r="AE4" s="6">
        <v>109</v>
      </c>
      <c r="AF4" s="6">
        <v>6</v>
      </c>
      <c r="AG4" s="613"/>
      <c r="AH4" s="614"/>
      <c r="AI4" s="619" t="s">
        <v>646</v>
      </c>
      <c r="AJ4" s="6" t="s">
        <v>455</v>
      </c>
      <c r="AK4" s="613"/>
      <c r="AM4" s="572"/>
      <c r="AN4" s="6">
        <v>90</v>
      </c>
      <c r="AO4" s="6">
        <v>19</v>
      </c>
      <c r="AP4" s="613"/>
      <c r="AQ4" s="614"/>
      <c r="AR4" s="620" t="s">
        <v>646</v>
      </c>
      <c r="AS4" s="6" t="s">
        <v>455</v>
      </c>
      <c r="AT4" s="613"/>
    </row>
    <row r="5" spans="1:46" ht="34.9" customHeight="1" x14ac:dyDescent="0.25">
      <c r="A5" s="2206">
        <v>45048</v>
      </c>
      <c r="B5" s="574">
        <v>1</v>
      </c>
      <c r="C5" s="595"/>
      <c r="D5" s="596"/>
      <c r="E5" s="596"/>
      <c r="F5" s="597"/>
      <c r="G5" s="685"/>
      <c r="H5" s="619"/>
      <c r="I5" s="620"/>
      <c r="J5" s="687"/>
      <c r="K5" s="622"/>
      <c r="L5" s="572">
        <v>720</v>
      </c>
      <c r="M5" s="6"/>
      <c r="N5" s="6"/>
      <c r="O5" s="613"/>
      <c r="P5" s="614" t="s">
        <v>45</v>
      </c>
      <c r="Q5" s="6"/>
      <c r="R5" s="6"/>
      <c r="S5" s="613"/>
      <c r="T5" s="622"/>
      <c r="U5" s="572"/>
      <c r="V5" s="6"/>
      <c r="W5" s="6">
        <v>20</v>
      </c>
      <c r="X5" s="613"/>
      <c r="Y5" s="929"/>
      <c r="Z5" s="6"/>
      <c r="AA5" s="719" t="s">
        <v>152</v>
      </c>
      <c r="AB5" s="723"/>
      <c r="AC5" s="622"/>
      <c r="AD5" s="572"/>
      <c r="AE5" s="6"/>
      <c r="AF5" s="6">
        <v>30</v>
      </c>
      <c r="AG5" s="613"/>
      <c r="AH5" s="614"/>
      <c r="AI5" s="6"/>
      <c r="AJ5" s="719" t="s">
        <v>152</v>
      </c>
      <c r="AK5" s="613"/>
      <c r="AM5" s="572"/>
      <c r="AN5" s="6"/>
      <c r="AO5" s="6">
        <v>10</v>
      </c>
      <c r="AP5" s="613"/>
      <c r="AQ5" s="614"/>
      <c r="AR5" s="6"/>
      <c r="AS5" s="605" t="s">
        <v>152</v>
      </c>
      <c r="AT5" s="613"/>
    </row>
    <row r="6" spans="1:46" ht="25.9" customHeight="1" x14ac:dyDescent="0.25">
      <c r="A6" s="2205"/>
      <c r="B6" s="574">
        <v>2</v>
      </c>
      <c r="C6" s="595"/>
      <c r="D6" s="596"/>
      <c r="E6" s="596"/>
      <c r="F6" s="597"/>
      <c r="G6" s="684"/>
      <c r="H6" s="619"/>
      <c r="I6" s="620"/>
      <c r="J6" s="687"/>
      <c r="K6" s="622"/>
      <c r="L6" s="572">
        <v>175</v>
      </c>
      <c r="M6" s="6"/>
      <c r="N6" s="6"/>
      <c r="O6" s="613"/>
      <c r="P6" s="614" t="s">
        <v>45</v>
      </c>
      <c r="Q6" s="619"/>
      <c r="R6" s="6"/>
      <c r="S6" s="613"/>
      <c r="T6" s="622"/>
      <c r="U6" s="572"/>
      <c r="V6" s="6"/>
      <c r="W6" s="6"/>
      <c r="X6" s="613"/>
      <c r="Y6" s="929"/>
      <c r="Z6" s="6"/>
      <c r="AA6" s="698"/>
      <c r="AB6" s="613"/>
      <c r="AC6" s="622"/>
      <c r="AD6" s="572">
        <v>630</v>
      </c>
      <c r="AE6" s="6"/>
      <c r="AF6" s="6">
        <v>10</v>
      </c>
      <c r="AG6" s="613"/>
      <c r="AH6" s="614" t="s">
        <v>583</v>
      </c>
      <c r="AI6" s="6"/>
      <c r="AJ6" s="6" t="s">
        <v>455</v>
      </c>
      <c r="AK6" s="613"/>
      <c r="AM6" s="572"/>
      <c r="AN6" s="6"/>
      <c r="AO6" s="6"/>
      <c r="AP6" s="613"/>
      <c r="AQ6" s="614"/>
      <c r="AR6" s="6"/>
      <c r="AS6" s="605"/>
      <c r="AT6" s="613"/>
    </row>
    <row r="7" spans="1:46" ht="33" customHeight="1" x14ac:dyDescent="0.25">
      <c r="A7" s="2206">
        <v>45049</v>
      </c>
      <c r="B7" s="574">
        <v>1</v>
      </c>
      <c r="C7" s="595"/>
      <c r="D7" s="596"/>
      <c r="E7" s="596"/>
      <c r="F7" s="597"/>
      <c r="G7" s="685"/>
      <c r="H7" s="620"/>
      <c r="I7" s="620"/>
      <c r="J7" s="687"/>
      <c r="K7" s="622"/>
      <c r="L7" s="572"/>
      <c r="M7" s="614"/>
      <c r="N7" s="6"/>
      <c r="O7" s="613"/>
      <c r="P7" s="614"/>
      <c r="Q7" s="614"/>
      <c r="R7" s="6"/>
      <c r="S7" s="613"/>
      <c r="T7" s="622"/>
      <c r="U7" s="572"/>
      <c r="V7" s="6"/>
      <c r="W7" s="6"/>
      <c r="X7" s="613"/>
      <c r="Y7" s="614"/>
      <c r="Z7" s="6"/>
      <c r="AA7" s="698"/>
      <c r="AB7" s="613"/>
      <c r="AC7" s="622"/>
      <c r="AD7" s="572">
        <v>613</v>
      </c>
      <c r="AE7" s="6"/>
      <c r="AF7" s="6"/>
      <c r="AG7" s="613"/>
      <c r="AH7" s="614" t="s">
        <v>583</v>
      </c>
      <c r="AI7" s="6"/>
      <c r="AJ7" s="620"/>
      <c r="AK7" s="613"/>
      <c r="AM7" s="572"/>
      <c r="AN7" s="6"/>
      <c r="AO7" s="6">
        <v>43</v>
      </c>
      <c r="AP7" s="613"/>
      <c r="AQ7" s="614"/>
      <c r="AR7" s="6"/>
      <c r="AS7" s="620" t="s">
        <v>336</v>
      </c>
      <c r="AT7" s="613"/>
    </row>
    <row r="8" spans="1:46" ht="55.15" customHeight="1" x14ac:dyDescent="0.25">
      <c r="A8" s="2205"/>
      <c r="B8" s="574">
        <v>2</v>
      </c>
      <c r="C8" s="595"/>
      <c r="D8" s="596"/>
      <c r="E8" s="596">
        <v>15</v>
      </c>
      <c r="F8" s="597"/>
      <c r="G8" s="684"/>
      <c r="H8" s="620"/>
      <c r="I8" s="620" t="s">
        <v>401</v>
      </c>
      <c r="J8" s="635"/>
      <c r="K8" s="622"/>
      <c r="L8" s="572"/>
      <c r="M8" s="6"/>
      <c r="N8" s="6"/>
      <c r="O8" s="613"/>
      <c r="P8" s="929"/>
      <c r="Q8" s="605"/>
      <c r="R8" s="605"/>
      <c r="S8" s="635"/>
      <c r="T8" s="622"/>
      <c r="U8" s="572"/>
      <c r="V8" s="831"/>
      <c r="W8" s="614">
        <v>16</v>
      </c>
      <c r="X8" s="613"/>
      <c r="Y8" s="929"/>
      <c r="Z8" s="6"/>
      <c r="AA8" s="6" t="s">
        <v>152</v>
      </c>
      <c r="AB8" s="635"/>
      <c r="AC8" s="622"/>
      <c r="AD8" s="572"/>
      <c r="AE8" s="6"/>
      <c r="AF8" s="6"/>
      <c r="AG8" s="613"/>
      <c r="AH8" s="614"/>
      <c r="AI8" s="605"/>
      <c r="AJ8" s="605"/>
      <c r="AK8" s="635"/>
      <c r="AM8" s="572"/>
      <c r="AN8" s="6"/>
      <c r="AO8" s="6"/>
      <c r="AP8" s="613"/>
      <c r="AQ8" s="614"/>
      <c r="AR8" s="6"/>
      <c r="AS8" s="6"/>
      <c r="AT8" s="635"/>
    </row>
    <row r="9" spans="1:46" ht="40.9" customHeight="1" x14ac:dyDescent="0.25">
      <c r="A9" s="2206">
        <v>45050</v>
      </c>
      <c r="B9" s="574">
        <v>1</v>
      </c>
      <c r="C9" s="595"/>
      <c r="D9" s="596"/>
      <c r="E9" s="596">
        <v>38</v>
      </c>
      <c r="F9" s="597"/>
      <c r="G9" s="684"/>
      <c r="H9" s="619"/>
      <c r="I9" s="848" t="s">
        <v>152</v>
      </c>
      <c r="J9" s="635"/>
      <c r="K9" s="622"/>
      <c r="L9" s="572"/>
      <c r="M9" s="6"/>
      <c r="N9" s="6"/>
      <c r="O9" s="613"/>
      <c r="P9" s="929"/>
      <c r="Q9" s="620"/>
      <c r="R9" s="605"/>
      <c r="S9" s="635"/>
      <c r="T9" s="622"/>
      <c r="U9" s="572"/>
      <c r="V9" s="6"/>
      <c r="W9" s="6">
        <v>48</v>
      </c>
      <c r="X9" s="613"/>
      <c r="Y9" s="614"/>
      <c r="Z9" s="6"/>
      <c r="AA9" s="6" t="s">
        <v>152</v>
      </c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/>
      <c r="AN9" s="6"/>
      <c r="AO9" s="6"/>
      <c r="AP9" s="613"/>
      <c r="AQ9" s="614"/>
      <c r="AR9" s="6"/>
      <c r="AS9" s="605"/>
      <c r="AT9" s="635"/>
    </row>
    <row r="10" spans="1:46" ht="28.15" customHeight="1" x14ac:dyDescent="0.25">
      <c r="A10" s="2205"/>
      <c r="B10" s="574">
        <v>2</v>
      </c>
      <c r="C10" s="595"/>
      <c r="D10" s="596"/>
      <c r="E10" s="596">
        <v>16</v>
      </c>
      <c r="F10" s="597"/>
      <c r="G10" s="685"/>
      <c r="H10" s="619"/>
      <c r="I10" s="848" t="s">
        <v>152</v>
      </c>
      <c r="J10" s="635"/>
      <c r="K10" s="622"/>
      <c r="L10" s="572"/>
      <c r="M10" s="6"/>
      <c r="N10" s="6">
        <v>130</v>
      </c>
      <c r="O10" s="613"/>
      <c r="P10" s="929"/>
      <c r="Q10" s="6"/>
      <c r="R10" s="605" t="s">
        <v>647</v>
      </c>
      <c r="S10" s="635"/>
      <c r="T10" s="622"/>
      <c r="U10" s="572">
        <v>204</v>
      </c>
      <c r="V10" s="6"/>
      <c r="W10" s="6">
        <v>20</v>
      </c>
      <c r="X10" s="613"/>
      <c r="Y10" s="567" t="s">
        <v>583</v>
      </c>
      <c r="Z10" s="929"/>
      <c r="AA10" s="698" t="s">
        <v>648</v>
      </c>
      <c r="AB10" s="635"/>
      <c r="AC10" s="622"/>
      <c r="AD10" s="572"/>
      <c r="AE10" s="6"/>
      <c r="AF10" s="6"/>
      <c r="AG10" s="613"/>
      <c r="AH10" s="929"/>
      <c r="AI10" s="6"/>
      <c r="AJ10" s="6"/>
      <c r="AK10" s="635"/>
      <c r="AM10" s="572"/>
      <c r="AN10" s="6"/>
      <c r="AO10" s="6"/>
      <c r="AP10" s="613"/>
      <c r="AQ10" s="614"/>
      <c r="AR10" s="6"/>
      <c r="AS10" s="6"/>
      <c r="AT10" s="635"/>
    </row>
    <row r="11" spans="1:46" ht="30.75" customHeight="1" x14ac:dyDescent="0.25">
      <c r="A11" s="2206">
        <v>45051</v>
      </c>
      <c r="B11" s="574">
        <v>1</v>
      </c>
      <c r="C11" s="595"/>
      <c r="D11" s="596"/>
      <c r="E11" s="596"/>
      <c r="F11" s="597"/>
      <c r="G11" s="684"/>
      <c r="H11" s="619"/>
      <c r="I11" s="620"/>
      <c r="J11" s="687"/>
      <c r="K11" s="622"/>
      <c r="L11" s="572"/>
      <c r="M11" s="6"/>
      <c r="N11" s="6"/>
      <c r="O11" s="613"/>
      <c r="P11" s="929"/>
      <c r="Q11" s="6"/>
      <c r="R11" s="605"/>
      <c r="S11" s="613"/>
      <c r="T11" s="622"/>
      <c r="U11" s="572"/>
      <c r="V11" s="6"/>
      <c r="W11" s="6"/>
      <c r="X11" s="613"/>
      <c r="Y11" s="614"/>
      <c r="Z11" s="6"/>
      <c r="AA11" s="6"/>
      <c r="AB11" s="613"/>
      <c r="AC11" s="622"/>
      <c r="AD11" s="572"/>
      <c r="AE11" s="6"/>
      <c r="AF11" s="6"/>
      <c r="AG11" s="613"/>
      <c r="AH11" s="614"/>
      <c r="AI11" s="6"/>
      <c r="AJ11" s="6"/>
      <c r="AK11" s="613"/>
      <c r="AM11" s="572"/>
      <c r="AN11" s="6"/>
      <c r="AO11" s="6"/>
      <c r="AP11" s="613"/>
      <c r="AQ11" s="614"/>
      <c r="AR11" s="6"/>
      <c r="AS11" s="6"/>
      <c r="AT11" s="613"/>
    </row>
    <row r="12" spans="1:46" ht="36.6" customHeight="1" x14ac:dyDescent="0.25">
      <c r="A12" s="2205"/>
      <c r="B12" s="574">
        <v>2</v>
      </c>
      <c r="C12" s="595"/>
      <c r="D12" s="596"/>
      <c r="E12" s="596"/>
      <c r="F12" s="597"/>
      <c r="G12" s="685"/>
      <c r="H12" s="619"/>
      <c r="I12" s="620"/>
      <c r="J12" s="635"/>
      <c r="K12" s="622"/>
      <c r="L12" s="572"/>
      <c r="M12" s="6"/>
      <c r="N12" s="6"/>
      <c r="O12" s="613"/>
      <c r="P12" s="929"/>
      <c r="Q12" s="6"/>
      <c r="R12" s="605"/>
      <c r="S12" s="635"/>
      <c r="T12" s="622"/>
      <c r="U12" s="572"/>
      <c r="V12" s="6"/>
      <c r="W12" s="6"/>
      <c r="X12" s="613"/>
      <c r="Y12" s="614"/>
      <c r="Z12" s="6"/>
      <c r="AA12" s="721"/>
      <c r="AB12" s="635"/>
      <c r="AC12" s="622"/>
      <c r="AD12" s="572"/>
      <c r="AE12" s="6"/>
      <c r="AF12" s="6">
        <v>18</v>
      </c>
      <c r="AG12" s="613"/>
      <c r="AH12" s="614"/>
      <c r="AI12" s="6"/>
      <c r="AJ12" s="6" t="s">
        <v>649</v>
      </c>
      <c r="AK12" s="635"/>
      <c r="AM12" s="572"/>
      <c r="AN12" s="6"/>
      <c r="AO12" s="6"/>
      <c r="AP12" s="613"/>
      <c r="AQ12" s="614"/>
      <c r="AR12" s="6"/>
      <c r="AS12" s="6"/>
      <c r="AT12" s="635"/>
    </row>
    <row r="13" spans="1:46" ht="34.9" customHeight="1" x14ac:dyDescent="0.25">
      <c r="A13" s="2206">
        <v>45052</v>
      </c>
      <c r="B13" s="574">
        <v>1</v>
      </c>
      <c r="C13" s="595"/>
      <c r="D13" s="596"/>
      <c r="E13" s="596"/>
      <c r="F13" s="597"/>
      <c r="G13" s="685"/>
      <c r="H13" s="619"/>
      <c r="I13" s="620"/>
      <c r="J13" s="635"/>
      <c r="K13" s="622"/>
      <c r="L13" s="572"/>
      <c r="M13" s="6"/>
      <c r="N13" s="6"/>
      <c r="O13" s="597"/>
      <c r="P13" s="929"/>
      <c r="Q13" s="6"/>
      <c r="R13" s="605"/>
      <c r="S13" s="635"/>
      <c r="T13" s="622"/>
      <c r="U13" s="572"/>
      <c r="V13" s="6"/>
      <c r="W13" s="6">
        <v>13</v>
      </c>
      <c r="X13" s="597"/>
      <c r="Y13" s="929"/>
      <c r="Z13" s="605"/>
      <c r="AA13" s="6" t="s">
        <v>336</v>
      </c>
      <c r="AB13" s="635"/>
      <c r="AC13" s="622"/>
      <c r="AD13" s="572"/>
      <c r="AE13" s="6"/>
      <c r="AF13" s="6">
        <v>15</v>
      </c>
      <c r="AG13" s="597"/>
      <c r="AH13" s="614"/>
      <c r="AI13" s="6"/>
      <c r="AJ13" s="6" t="s">
        <v>336</v>
      </c>
      <c r="AK13" s="635"/>
      <c r="AM13" s="572"/>
      <c r="AN13" s="6"/>
      <c r="AO13" s="6"/>
      <c r="AP13" s="597"/>
      <c r="AQ13" s="614"/>
      <c r="AR13" s="6"/>
      <c r="AS13" s="6"/>
      <c r="AT13" s="635"/>
    </row>
    <row r="14" spans="1:46" ht="27.6" customHeight="1" x14ac:dyDescent="0.25">
      <c r="A14" s="2205"/>
      <c r="B14" s="574">
        <v>2</v>
      </c>
      <c r="C14" s="595"/>
      <c r="D14" s="596"/>
      <c r="E14" s="596">
        <v>16</v>
      </c>
      <c r="F14" s="597"/>
      <c r="G14" s="685"/>
      <c r="H14" s="620"/>
      <c r="I14" s="620" t="s">
        <v>97</v>
      </c>
      <c r="J14" s="635"/>
      <c r="K14" s="622"/>
      <c r="L14" s="572"/>
      <c r="M14" s="6"/>
      <c r="N14" s="6"/>
      <c r="O14" s="597"/>
      <c r="P14" s="614"/>
      <c r="Q14" s="6"/>
      <c r="R14" s="6"/>
      <c r="S14" s="635"/>
      <c r="T14" s="622"/>
      <c r="U14" s="572"/>
      <c r="V14" s="6"/>
      <c r="W14" s="6"/>
      <c r="X14" s="597"/>
      <c r="Y14" s="929"/>
      <c r="Z14" s="605"/>
      <c r="AA14" s="605"/>
      <c r="AB14" s="635"/>
      <c r="AC14" s="622"/>
      <c r="AD14" s="572"/>
      <c r="AE14" s="6"/>
      <c r="AF14" s="6"/>
      <c r="AG14" s="597"/>
      <c r="AH14" s="929"/>
      <c r="AI14" s="6"/>
      <c r="AJ14" s="6"/>
      <c r="AK14" s="635"/>
      <c r="AM14" s="572">
        <v>260</v>
      </c>
      <c r="AN14" s="6"/>
      <c r="AO14" s="6">
        <v>8</v>
      </c>
      <c r="AP14" s="597"/>
      <c r="AQ14" s="934" t="s">
        <v>583</v>
      </c>
      <c r="AR14" s="6"/>
      <c r="AS14" s="6" t="s">
        <v>455</v>
      </c>
      <c r="AT14" s="635"/>
    </row>
    <row r="15" spans="1:46" ht="48" customHeight="1" x14ac:dyDescent="0.25">
      <c r="A15" s="2206">
        <v>45053</v>
      </c>
      <c r="B15" s="574">
        <v>1</v>
      </c>
      <c r="C15" s="595"/>
      <c r="D15" s="596"/>
      <c r="E15" s="6"/>
      <c r="F15" s="597"/>
      <c r="G15" s="685"/>
      <c r="H15" s="620"/>
      <c r="I15" s="620"/>
      <c r="J15" s="635"/>
      <c r="K15" s="622"/>
      <c r="L15" s="572"/>
      <c r="M15" s="6"/>
      <c r="N15" s="6"/>
      <c r="O15" s="597"/>
      <c r="P15" s="572"/>
      <c r="Q15" s="620"/>
      <c r="R15" s="6"/>
      <c r="S15" s="635"/>
      <c r="T15" s="622"/>
      <c r="U15" s="572"/>
      <c r="V15" s="6"/>
      <c r="W15" s="6"/>
      <c r="X15" s="597"/>
      <c r="Y15" s="572"/>
      <c r="Z15" s="620"/>
      <c r="AA15" s="728"/>
      <c r="AB15" s="635"/>
      <c r="AC15" s="622"/>
      <c r="AD15" s="572"/>
      <c r="AE15" s="6"/>
      <c r="AF15" s="622"/>
      <c r="AG15" s="597"/>
      <c r="AH15" s="910"/>
      <c r="AI15" s="692"/>
      <c r="AJ15" s="6"/>
      <c r="AK15" s="635"/>
      <c r="AM15" s="572">
        <v>26</v>
      </c>
      <c r="AN15" s="6"/>
      <c r="AO15" s="622"/>
      <c r="AP15" s="597"/>
      <c r="AQ15" s="936" t="s">
        <v>113</v>
      </c>
      <c r="AR15" s="692"/>
      <c r="AS15" s="605"/>
      <c r="AT15" s="635"/>
    </row>
    <row r="16" spans="1:46" ht="54.6" customHeight="1" x14ac:dyDescent="0.25">
      <c r="A16" s="2205"/>
      <c r="B16" s="574">
        <v>2</v>
      </c>
      <c r="C16" s="595"/>
      <c r="D16" s="596"/>
      <c r="E16" s="596"/>
      <c r="F16" s="597"/>
      <c r="G16" s="684"/>
      <c r="H16" s="830"/>
      <c r="I16" s="620"/>
      <c r="J16" s="635"/>
      <c r="K16" s="622"/>
      <c r="L16" s="572"/>
      <c r="M16" s="6"/>
      <c r="N16" s="6"/>
      <c r="O16" s="597"/>
      <c r="P16" s="684"/>
      <c r="Q16" s="830"/>
      <c r="R16" s="620"/>
      <c r="S16" s="635"/>
      <c r="T16" s="622"/>
      <c r="U16" s="572"/>
      <c r="V16" s="6"/>
      <c r="W16" s="6"/>
      <c r="X16" s="597"/>
      <c r="Y16" s="684"/>
      <c r="Z16" s="830"/>
      <c r="AA16" s="620"/>
      <c r="AB16" s="635"/>
      <c r="AC16" s="622"/>
      <c r="AD16" s="572"/>
      <c r="AE16" s="6"/>
      <c r="AF16" s="6"/>
      <c r="AG16" s="597"/>
      <c r="AH16" s="684"/>
      <c r="AI16" s="830"/>
      <c r="AJ16" s="620"/>
      <c r="AK16" s="635"/>
      <c r="AM16" s="572">
        <v>53</v>
      </c>
      <c r="AN16" s="6"/>
      <c r="AO16" s="6"/>
      <c r="AP16" s="597"/>
      <c r="AQ16" s="684" t="s">
        <v>650</v>
      </c>
      <c r="AR16" s="830"/>
      <c r="AS16" s="620"/>
      <c r="AT16" s="635"/>
    </row>
    <row r="17" spans="1:46" ht="66" customHeight="1" x14ac:dyDescent="0.25">
      <c r="A17" s="2206">
        <v>45054</v>
      </c>
      <c r="B17" s="644">
        <v>1</v>
      </c>
      <c r="C17" s="595"/>
      <c r="D17" s="596"/>
      <c r="E17" s="596"/>
      <c r="F17" s="597"/>
      <c r="G17" s="685"/>
      <c r="H17" s="619"/>
      <c r="I17" s="620"/>
      <c r="J17" s="635"/>
      <c r="K17" s="622"/>
      <c r="L17" s="572"/>
      <c r="M17" s="6"/>
      <c r="N17" s="6"/>
      <c r="O17" s="597"/>
      <c r="P17" s="685"/>
      <c r="Q17" s="619"/>
      <c r="R17" s="620"/>
      <c r="S17" s="635"/>
      <c r="T17" s="622"/>
      <c r="U17" s="572"/>
      <c r="V17" s="6"/>
      <c r="W17" s="6"/>
      <c r="X17" s="597"/>
      <c r="Y17" s="685"/>
      <c r="Z17" s="619"/>
      <c r="AA17" s="620"/>
      <c r="AB17" s="635"/>
      <c r="AC17" s="622"/>
      <c r="AD17" s="572"/>
      <c r="AE17" s="6"/>
      <c r="AF17" s="6"/>
      <c r="AG17" s="597"/>
      <c r="AH17" s="685"/>
      <c r="AI17" s="619"/>
      <c r="AJ17" s="620"/>
      <c r="AK17" s="635"/>
      <c r="AM17" s="572"/>
      <c r="AN17" s="6"/>
      <c r="AO17" s="6"/>
      <c r="AP17" s="597"/>
      <c r="AQ17" s="685"/>
      <c r="AR17" s="619"/>
      <c r="AS17" s="620"/>
      <c r="AT17" s="635"/>
    </row>
    <row r="18" spans="1:46" ht="68.45" customHeight="1" x14ac:dyDescent="0.25">
      <c r="A18" s="2205"/>
      <c r="B18" s="574">
        <v>2</v>
      </c>
      <c r="C18" s="595">
        <v>464</v>
      </c>
      <c r="D18" s="596">
        <v>86</v>
      </c>
      <c r="E18" s="596">
        <v>7</v>
      </c>
      <c r="F18" s="597"/>
      <c r="G18" s="684" t="s">
        <v>651</v>
      </c>
      <c r="H18" s="830" t="s">
        <v>163</v>
      </c>
      <c r="I18" s="620" t="s">
        <v>562</v>
      </c>
      <c r="J18" s="635"/>
      <c r="K18" s="622"/>
      <c r="L18" s="572"/>
      <c r="M18" s="6"/>
      <c r="N18" s="6"/>
      <c r="O18" s="597"/>
      <c r="P18" s="684"/>
      <c r="Q18" s="620"/>
      <c r="R18" s="619"/>
      <c r="S18" s="635"/>
      <c r="T18" s="622"/>
      <c r="U18" s="572"/>
      <c r="V18" s="6">
        <v>192</v>
      </c>
      <c r="W18" s="6"/>
      <c r="X18" s="597"/>
      <c r="Y18" s="684"/>
      <c r="Z18" s="620" t="s">
        <v>652</v>
      </c>
      <c r="AA18" s="619"/>
      <c r="AB18" s="635"/>
      <c r="AC18" s="622"/>
      <c r="AD18" s="572"/>
      <c r="AE18" s="6"/>
      <c r="AF18" s="6"/>
      <c r="AG18" s="597"/>
      <c r="AH18" s="684"/>
      <c r="AI18" s="620"/>
      <c r="AJ18" s="619"/>
      <c r="AK18" s="635"/>
      <c r="AM18" s="572"/>
      <c r="AN18" s="6"/>
      <c r="AO18" s="6"/>
      <c r="AP18" s="597"/>
      <c r="AQ18" s="684"/>
      <c r="AR18" s="620"/>
      <c r="AS18" s="619"/>
      <c r="AT18" s="635"/>
    </row>
    <row r="19" spans="1:46" ht="33.6" customHeight="1" x14ac:dyDescent="0.25">
      <c r="A19" s="2206">
        <v>45055</v>
      </c>
      <c r="B19" s="574">
        <v>1</v>
      </c>
      <c r="C19" s="622">
        <v>30</v>
      </c>
      <c r="D19" s="596"/>
      <c r="E19" s="596"/>
      <c r="F19" s="597"/>
      <c r="G19" s="567" t="s">
        <v>653</v>
      </c>
      <c r="H19" s="6"/>
      <c r="I19" s="6"/>
      <c r="J19" s="635"/>
      <c r="K19" s="622"/>
      <c r="L19" s="572"/>
      <c r="M19" s="6"/>
      <c r="N19" s="6"/>
      <c r="O19" s="597"/>
      <c r="P19" s="572"/>
      <c r="Q19" s="6"/>
      <c r="R19" s="6"/>
      <c r="S19" s="635"/>
      <c r="T19" s="622"/>
      <c r="U19" s="572"/>
      <c r="V19" s="6"/>
      <c r="W19" s="6"/>
      <c r="X19" s="597"/>
      <c r="Y19" s="572"/>
      <c r="Z19" s="605"/>
      <c r="AA19" s="605"/>
      <c r="AB19" s="635"/>
      <c r="AC19" s="622"/>
      <c r="AD19" s="572"/>
      <c r="AE19" s="6"/>
      <c r="AF19" s="6"/>
      <c r="AG19" s="597"/>
      <c r="AH19" s="572"/>
      <c r="AI19" s="6"/>
      <c r="AJ19" s="6"/>
      <c r="AK19" s="635"/>
      <c r="AM19" s="572"/>
      <c r="AN19" s="6"/>
      <c r="AO19" s="6"/>
      <c r="AP19" s="597"/>
      <c r="AQ19" s="572"/>
      <c r="AR19" s="6"/>
      <c r="AS19" s="605"/>
      <c r="AT19" s="635"/>
    </row>
    <row r="20" spans="1:46" ht="31.15" customHeight="1" x14ac:dyDescent="0.25">
      <c r="A20" s="2205"/>
      <c r="B20" s="574">
        <v>2</v>
      </c>
      <c r="C20" s="595">
        <v>199</v>
      </c>
      <c r="D20" s="596"/>
      <c r="E20" s="596">
        <v>9</v>
      </c>
      <c r="F20" s="597"/>
      <c r="G20" s="567" t="s">
        <v>653</v>
      </c>
      <c r="H20" s="605"/>
      <c r="I20" s="620" t="s">
        <v>562</v>
      </c>
      <c r="J20" s="635"/>
      <c r="K20" s="622"/>
      <c r="L20" s="572"/>
      <c r="M20" s="6"/>
      <c r="N20" s="6"/>
      <c r="O20" s="597"/>
      <c r="P20" s="572"/>
      <c r="Q20" s="605"/>
      <c r="R20" s="724"/>
      <c r="S20" s="635"/>
      <c r="T20" s="622"/>
      <c r="U20" s="572"/>
      <c r="V20" s="250"/>
      <c r="W20" s="6"/>
      <c r="X20" s="597"/>
      <c r="Y20" s="572"/>
      <c r="Z20" s="605"/>
      <c r="AA20" s="724"/>
      <c r="AB20" s="635"/>
      <c r="AC20" s="622"/>
      <c r="AD20" s="572"/>
      <c r="AE20" s="6"/>
      <c r="AF20" s="6"/>
      <c r="AG20" s="597"/>
      <c r="AH20" s="572"/>
      <c r="AI20" s="605"/>
      <c r="AJ20" s="762"/>
      <c r="AK20" s="635"/>
      <c r="AM20" s="572"/>
      <c r="AN20" s="6"/>
      <c r="AO20" s="6"/>
      <c r="AP20" s="597"/>
      <c r="AQ20" s="572"/>
      <c r="AR20" s="605"/>
      <c r="AS20" s="724"/>
      <c r="AT20" s="635"/>
    </row>
    <row r="21" spans="1:46" ht="39.6" customHeight="1" x14ac:dyDescent="0.25">
      <c r="A21" s="2206">
        <v>45056</v>
      </c>
      <c r="B21" s="574">
        <v>1</v>
      </c>
      <c r="C21" s="595"/>
      <c r="D21" s="596"/>
      <c r="E21" s="596"/>
      <c r="F21" s="597"/>
      <c r="G21" s="688"/>
      <c r="H21" s="619"/>
      <c r="I21" s="620"/>
      <c r="J21" s="635"/>
      <c r="K21" s="622"/>
      <c r="L21" s="572"/>
      <c r="M21" s="6"/>
      <c r="N21" s="6"/>
      <c r="O21" s="597"/>
      <c r="P21" s="572"/>
      <c r="Q21" s="6"/>
      <c r="R21" s="6"/>
      <c r="S21" s="635"/>
      <c r="T21" s="622"/>
      <c r="U21" s="572"/>
      <c r="V21" s="6"/>
      <c r="W21" s="6"/>
      <c r="X21" s="597"/>
      <c r="Y21" s="572"/>
      <c r="Z21" s="6"/>
      <c r="AA21" s="605"/>
      <c r="AB21" s="635"/>
      <c r="AC21" s="622"/>
      <c r="AD21" s="572"/>
      <c r="AE21" s="6"/>
      <c r="AF21" s="6"/>
      <c r="AG21" s="597"/>
      <c r="AH21" s="572"/>
      <c r="AI21" s="6"/>
      <c r="AJ21" s="6"/>
      <c r="AK21" s="726"/>
      <c r="AM21" s="572"/>
      <c r="AN21" s="6"/>
      <c r="AO21" s="6"/>
      <c r="AP21" s="597"/>
      <c r="AQ21" s="572"/>
      <c r="AR21" s="605"/>
      <c r="AS21" s="50"/>
      <c r="AT21" s="635"/>
    </row>
    <row r="22" spans="1:46" ht="31.9" customHeight="1" x14ac:dyDescent="0.25">
      <c r="A22" s="2205"/>
      <c r="B22" s="574">
        <v>2</v>
      </c>
      <c r="C22" s="595"/>
      <c r="D22" s="596"/>
      <c r="E22" s="596"/>
      <c r="F22" s="597"/>
      <c r="G22" s="927"/>
      <c r="H22" s="620"/>
      <c r="I22" s="620"/>
      <c r="J22" s="635"/>
      <c r="K22" s="622"/>
      <c r="L22" s="572"/>
      <c r="M22" s="6"/>
      <c r="N22" s="6"/>
      <c r="O22" s="597"/>
      <c r="P22" s="929"/>
      <c r="Q22" s="6"/>
      <c r="R22" s="6"/>
      <c r="S22" s="635"/>
      <c r="T22" s="622"/>
      <c r="U22" s="572"/>
      <c r="V22" s="6"/>
      <c r="W22" s="6"/>
      <c r="X22" s="597"/>
      <c r="Y22" s="572"/>
      <c r="Z22" s="6"/>
      <c r="AA22" s="605"/>
      <c r="AB22" s="635"/>
      <c r="AC22" s="622"/>
      <c r="AD22" s="572"/>
      <c r="AE22" s="6"/>
      <c r="AF22" s="6"/>
      <c r="AG22" s="597"/>
      <c r="AH22" s="567"/>
      <c r="AI22" s="6"/>
      <c r="AJ22" s="6"/>
      <c r="AK22" s="726"/>
      <c r="AM22" s="572"/>
      <c r="AN22" s="6"/>
      <c r="AO22" s="6"/>
      <c r="AP22" s="597"/>
      <c r="AQ22" s="572"/>
      <c r="AR22" s="605"/>
      <c r="AS22" s="50"/>
      <c r="AT22" s="635"/>
    </row>
    <row r="23" spans="1:46" ht="37.9" customHeight="1" x14ac:dyDescent="0.25">
      <c r="A23" s="2206">
        <v>45057</v>
      </c>
      <c r="B23" s="644">
        <v>1</v>
      </c>
      <c r="C23" s="595"/>
      <c r="D23" s="596"/>
      <c r="E23" s="596"/>
      <c r="F23" s="597"/>
      <c r="G23" s="685"/>
      <c r="H23" s="619"/>
      <c r="I23" s="620"/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/>
      <c r="V23" s="6"/>
      <c r="W23" s="6"/>
      <c r="X23" s="597"/>
      <c r="Y23" s="684"/>
      <c r="Z23" s="619"/>
      <c r="AA23" s="620"/>
      <c r="AB23" s="635"/>
      <c r="AC23" s="622"/>
      <c r="AD23" s="572"/>
      <c r="AE23" s="6"/>
      <c r="AF23" s="6">
        <v>43</v>
      </c>
      <c r="AG23" s="597"/>
      <c r="AH23" s="6"/>
      <c r="AI23" s="619"/>
      <c r="AJ23" s="620" t="s">
        <v>654</v>
      </c>
      <c r="AK23" s="726"/>
      <c r="AM23" s="572"/>
      <c r="AN23" s="6"/>
      <c r="AO23" s="6"/>
      <c r="AP23" s="597"/>
      <c r="AQ23" s="6"/>
      <c r="AR23" s="619"/>
      <c r="AS23" s="692"/>
      <c r="AT23" s="635"/>
    </row>
    <row r="24" spans="1:46" ht="49.9" customHeight="1" x14ac:dyDescent="0.25">
      <c r="A24" s="2205"/>
      <c r="B24" s="574">
        <v>2</v>
      </c>
      <c r="C24" s="595"/>
      <c r="D24" s="596"/>
      <c r="E24" s="596"/>
      <c r="F24" s="597"/>
      <c r="G24" s="685"/>
      <c r="H24" s="619"/>
      <c r="I24" s="620"/>
      <c r="J24" s="635"/>
      <c r="K24" s="622"/>
      <c r="L24" s="572"/>
      <c r="M24" s="6"/>
      <c r="N24" s="6"/>
      <c r="O24" s="597"/>
      <c r="P24" s="685"/>
      <c r="Q24" s="619"/>
      <c r="R24" s="620"/>
      <c r="S24" s="635"/>
      <c r="T24" s="622"/>
      <c r="U24" s="572"/>
      <c r="V24" s="6"/>
      <c r="W24" s="6"/>
      <c r="X24" s="597"/>
      <c r="Y24" s="685"/>
      <c r="Z24" s="619"/>
      <c r="AA24" s="620"/>
      <c r="AB24" s="635"/>
      <c r="AC24" s="622"/>
      <c r="AD24" s="572"/>
      <c r="AE24" s="6"/>
      <c r="AF24" s="6"/>
      <c r="AG24" s="597"/>
      <c r="AH24" s="6"/>
      <c r="AI24" s="619"/>
      <c r="AJ24" s="6"/>
      <c r="AK24" s="726"/>
      <c r="AM24" s="572"/>
      <c r="AN24" s="6"/>
      <c r="AO24" s="6">
        <v>17</v>
      </c>
      <c r="AP24" s="597"/>
      <c r="AQ24" s="6"/>
      <c r="AR24" s="619"/>
      <c r="AS24" s="828" t="s">
        <v>336</v>
      </c>
      <c r="AT24" s="635"/>
    </row>
    <row r="25" spans="1:46" ht="46.15" customHeight="1" x14ac:dyDescent="0.25">
      <c r="A25" s="2206">
        <v>45058</v>
      </c>
      <c r="B25" s="574">
        <v>1</v>
      </c>
      <c r="C25" s="595"/>
      <c r="D25" s="596"/>
      <c r="E25" s="596"/>
      <c r="F25" s="597"/>
      <c r="G25" s="685"/>
      <c r="H25" s="619"/>
      <c r="I25" s="620"/>
      <c r="J25" s="635"/>
      <c r="K25" s="622"/>
      <c r="L25" s="572"/>
      <c r="M25" s="6"/>
      <c r="N25" s="6"/>
      <c r="O25" s="597"/>
      <c r="P25" s="572"/>
      <c r="Q25" s="619"/>
      <c r="R25" s="6"/>
      <c r="S25" s="635"/>
      <c r="T25" s="622"/>
      <c r="U25" s="572"/>
      <c r="V25" s="6"/>
      <c r="W25" s="6"/>
      <c r="X25" s="597"/>
      <c r="Y25" s="572"/>
      <c r="Z25" s="605"/>
      <c r="AA25" s="605"/>
      <c r="AB25" s="635"/>
      <c r="AC25" s="622"/>
      <c r="AD25" s="572"/>
      <c r="AE25" s="6"/>
      <c r="AF25" s="6"/>
      <c r="AG25" s="597"/>
      <c r="AH25" s="6"/>
      <c r="AI25" s="6"/>
      <c r="AJ25" s="6"/>
      <c r="AK25" s="726"/>
      <c r="AM25" s="572"/>
      <c r="AN25" s="6"/>
      <c r="AO25" s="6"/>
      <c r="AP25" s="597"/>
      <c r="AQ25" s="6"/>
      <c r="AR25" s="6"/>
      <c r="AS25" s="50"/>
      <c r="AT25" s="635"/>
    </row>
    <row r="26" spans="1:46" ht="42" customHeight="1" x14ac:dyDescent="0.25">
      <c r="A26" s="2205"/>
      <c r="B26" s="574">
        <v>2</v>
      </c>
      <c r="C26" s="595"/>
      <c r="D26" s="596"/>
      <c r="E26" s="596"/>
      <c r="F26" s="597"/>
      <c r="G26" s="685"/>
      <c r="H26" s="620"/>
      <c r="I26" s="692"/>
      <c r="J26" s="635"/>
      <c r="K26" s="622"/>
      <c r="L26" s="572"/>
      <c r="M26" s="6"/>
      <c r="N26" s="6"/>
      <c r="O26" s="597"/>
      <c r="P26" s="685"/>
      <c r="Q26" s="620"/>
      <c r="R26" s="620"/>
      <c r="S26" s="635"/>
      <c r="T26" s="622"/>
      <c r="U26" s="572"/>
      <c r="V26" s="596"/>
      <c r="W26" s="6">
        <v>68</v>
      </c>
      <c r="X26" s="597"/>
      <c r="Y26" s="685"/>
      <c r="Z26" s="620"/>
      <c r="AA26" s="620" t="s">
        <v>655</v>
      </c>
      <c r="AB26" s="635"/>
      <c r="AC26" s="622"/>
      <c r="AD26" s="572"/>
      <c r="AE26" s="596"/>
      <c r="AF26" s="6"/>
      <c r="AG26" s="597"/>
      <c r="AH26" s="6"/>
      <c r="AI26" s="6"/>
      <c r="AJ26" s="6"/>
      <c r="AK26" s="726"/>
      <c r="AM26" s="572"/>
      <c r="AN26" s="596"/>
      <c r="AO26" s="6"/>
      <c r="AP26" s="597"/>
      <c r="AQ26" s="6"/>
      <c r="AR26" s="6"/>
      <c r="AS26" s="50"/>
      <c r="AT26" s="635"/>
    </row>
    <row r="27" spans="1:46" ht="49.9" customHeight="1" x14ac:dyDescent="0.25">
      <c r="A27" s="2206">
        <v>45059</v>
      </c>
      <c r="B27" s="644">
        <v>1</v>
      </c>
      <c r="C27" s="595"/>
      <c r="D27" s="596"/>
      <c r="E27" s="596"/>
      <c r="F27" s="597"/>
      <c r="G27" s="685"/>
      <c r="H27" s="619"/>
      <c r="I27" s="692"/>
      <c r="J27" s="635"/>
      <c r="K27" s="622"/>
      <c r="L27" s="572"/>
      <c r="M27" s="6"/>
      <c r="N27" s="6"/>
      <c r="O27" s="597"/>
      <c r="P27" s="685"/>
      <c r="Q27" s="619"/>
      <c r="R27" s="620"/>
      <c r="S27" s="635"/>
      <c r="T27" s="622"/>
      <c r="U27" s="572"/>
      <c r="V27" s="6"/>
      <c r="W27" s="6"/>
      <c r="X27" s="613"/>
      <c r="Y27" s="685"/>
      <c r="Z27" s="619"/>
      <c r="AA27" s="620"/>
      <c r="AB27" s="635"/>
      <c r="AC27" s="622"/>
      <c r="AD27" s="572"/>
      <c r="AE27" s="6"/>
      <c r="AF27" s="6"/>
      <c r="AG27" s="613"/>
      <c r="AH27" s="6"/>
      <c r="AI27" s="6"/>
      <c r="AJ27" s="620"/>
      <c r="AK27" s="726"/>
      <c r="AM27" s="572"/>
      <c r="AN27" s="6"/>
      <c r="AO27" s="6"/>
      <c r="AP27" s="613"/>
      <c r="AQ27" s="6"/>
      <c r="AR27" s="6"/>
      <c r="AS27" s="692"/>
      <c r="AT27" s="635"/>
    </row>
    <row r="28" spans="1:46" ht="49.15" customHeight="1" x14ac:dyDescent="0.25">
      <c r="A28" s="2205"/>
      <c r="B28" s="574">
        <v>2</v>
      </c>
      <c r="C28" s="595"/>
      <c r="D28" s="596"/>
      <c r="E28" s="596">
        <v>76</v>
      </c>
      <c r="F28" s="597"/>
      <c r="G28" s="620"/>
      <c r="H28" s="620"/>
      <c r="I28" s="620" t="s">
        <v>597</v>
      </c>
      <c r="J28" s="635"/>
      <c r="K28" s="622"/>
      <c r="L28" s="572"/>
      <c r="M28" s="6"/>
      <c r="N28" s="6"/>
      <c r="O28" s="597"/>
      <c r="P28" s="620"/>
      <c r="Q28" s="620"/>
      <c r="R28" s="620"/>
      <c r="S28" s="634"/>
      <c r="T28" s="622"/>
      <c r="U28" s="572"/>
      <c r="V28" s="6"/>
      <c r="W28" s="622"/>
      <c r="X28" s="597"/>
      <c r="Y28" s="620"/>
      <c r="Z28" s="6"/>
      <c r="AA28" s="692"/>
      <c r="AB28" s="635"/>
      <c r="AC28" s="622"/>
      <c r="AD28" s="572"/>
      <c r="AE28" s="6"/>
      <c r="AF28" s="6"/>
      <c r="AG28" s="597"/>
      <c r="AH28" s="605"/>
      <c r="AI28" s="6"/>
      <c r="AJ28" s="692"/>
      <c r="AK28" s="634"/>
      <c r="AM28" s="572"/>
      <c r="AN28" s="6"/>
      <c r="AO28" s="6"/>
      <c r="AP28" s="597"/>
      <c r="AQ28" s="605"/>
      <c r="AR28" s="6"/>
      <c r="AS28" s="692"/>
      <c r="AT28" s="634"/>
    </row>
    <row r="29" spans="1:46" ht="45" customHeight="1" x14ac:dyDescent="0.25">
      <c r="A29" s="2206">
        <v>45060</v>
      </c>
      <c r="B29" s="574">
        <v>1</v>
      </c>
      <c r="C29" s="595"/>
      <c r="D29" s="596"/>
      <c r="E29" s="596"/>
      <c r="F29" s="597"/>
      <c r="G29" s="620"/>
      <c r="H29" s="619"/>
      <c r="I29" s="692"/>
      <c r="J29" s="635"/>
      <c r="K29" s="622"/>
      <c r="L29" s="572"/>
      <c r="M29" s="6"/>
      <c r="N29" s="6"/>
      <c r="O29" s="597"/>
      <c r="P29" s="685"/>
      <c r="Q29" s="619"/>
      <c r="R29" s="620"/>
      <c r="S29" s="635"/>
      <c r="T29" s="622"/>
      <c r="U29" s="572"/>
      <c r="V29" s="6"/>
      <c r="W29" s="6"/>
      <c r="X29" s="597"/>
      <c r="Y29" s="685"/>
      <c r="Z29" s="619"/>
      <c r="AA29" s="692"/>
      <c r="AB29" s="635"/>
      <c r="AC29" s="622"/>
      <c r="AD29" s="572"/>
      <c r="AE29" s="6"/>
      <c r="AF29" s="6"/>
      <c r="AG29" s="597"/>
      <c r="AH29" s="685"/>
      <c r="AI29" s="619"/>
      <c r="AJ29" s="620"/>
      <c r="AK29" s="613"/>
      <c r="AM29" s="572"/>
      <c r="AN29" s="6"/>
      <c r="AO29" s="6"/>
      <c r="AP29" s="597"/>
      <c r="AQ29" s="685"/>
      <c r="AR29" s="619"/>
      <c r="AS29" s="620"/>
      <c r="AT29" s="613"/>
    </row>
    <row r="30" spans="1:46" ht="30.6" customHeight="1" x14ac:dyDescent="0.25">
      <c r="A30" s="2205"/>
      <c r="B30" s="644">
        <v>2</v>
      </c>
      <c r="C30" s="595"/>
      <c r="D30" s="596"/>
      <c r="E30" s="596">
        <v>17</v>
      </c>
      <c r="F30" s="597"/>
      <c r="G30" s="685"/>
      <c r="H30" s="619"/>
      <c r="I30" s="620" t="s">
        <v>656</v>
      </c>
      <c r="J30" s="635"/>
      <c r="K30" s="622"/>
      <c r="L30" s="572"/>
      <c r="M30" s="6"/>
      <c r="N30" s="6"/>
      <c r="O30" s="597"/>
      <c r="P30" s="685"/>
      <c r="Q30" s="620"/>
      <c r="R30" s="620"/>
      <c r="S30" s="635"/>
      <c r="T30" s="622"/>
      <c r="U30" s="572"/>
      <c r="V30" s="6"/>
      <c r="W30" s="6"/>
      <c r="X30" s="597"/>
      <c r="Y30" s="685"/>
      <c r="Z30" s="619"/>
      <c r="AA30" s="620"/>
      <c r="AB30" s="613"/>
      <c r="AC30" s="622"/>
      <c r="AD30" s="572"/>
      <c r="AE30" s="6"/>
      <c r="AF30" s="6"/>
      <c r="AG30" s="597"/>
      <c r="AH30" s="685"/>
      <c r="AI30" s="619"/>
      <c r="AJ30" s="620"/>
      <c r="AK30" s="613"/>
      <c r="AM30" s="572"/>
      <c r="AN30" s="6"/>
      <c r="AO30" s="6">
        <v>45</v>
      </c>
      <c r="AP30" s="613"/>
      <c r="AQ30" s="614"/>
      <c r="AR30" s="605"/>
      <c r="AS30" s="828" t="s">
        <v>657</v>
      </c>
      <c r="AT30" s="613"/>
    </row>
    <row r="31" spans="1:46" ht="39.6" customHeight="1" x14ac:dyDescent="0.25">
      <c r="A31" s="2206">
        <v>45061</v>
      </c>
      <c r="B31" s="574">
        <v>1</v>
      </c>
      <c r="C31" s="595"/>
      <c r="D31" s="596"/>
      <c r="E31" s="596"/>
      <c r="F31" s="597"/>
      <c r="G31" s="685"/>
      <c r="H31" s="619"/>
      <c r="I31" s="620"/>
      <c r="J31" s="635"/>
      <c r="K31" s="622"/>
      <c r="L31" s="572"/>
      <c r="M31" s="6"/>
      <c r="N31" s="6"/>
      <c r="O31" s="597"/>
      <c r="P31" s="614"/>
      <c r="Q31" s="6"/>
      <c r="R31" s="6"/>
      <c r="S31" s="635"/>
      <c r="T31" s="622"/>
      <c r="U31" s="572"/>
      <c r="V31" s="6"/>
      <c r="W31" s="6"/>
      <c r="X31" s="597"/>
      <c r="Y31" s="929"/>
      <c r="Z31" s="6"/>
      <c r="AA31" s="6"/>
      <c r="AB31" s="635"/>
      <c r="AC31" s="622"/>
      <c r="AD31" s="572"/>
      <c r="AE31" s="6"/>
      <c r="AF31" s="6"/>
      <c r="AG31" s="597"/>
      <c r="AH31" s="614"/>
      <c r="AI31" s="6"/>
      <c r="AJ31" s="6"/>
      <c r="AK31" s="635"/>
      <c r="AM31" s="572"/>
      <c r="AN31" s="6"/>
      <c r="AO31" s="6"/>
      <c r="AP31" s="597"/>
      <c r="AQ31" s="614"/>
      <c r="AR31" s="6"/>
      <c r="AS31" s="6"/>
      <c r="AT31" s="635"/>
    </row>
    <row r="32" spans="1:46" ht="63" customHeight="1" x14ac:dyDescent="0.25">
      <c r="A32" s="2205"/>
      <c r="B32" s="574">
        <v>2</v>
      </c>
      <c r="C32" s="595"/>
      <c r="D32" s="596"/>
      <c r="E32" s="596">
        <v>10</v>
      </c>
      <c r="F32" s="597"/>
      <c r="G32" s="685"/>
      <c r="H32" s="685"/>
      <c r="I32" s="684" t="s">
        <v>152</v>
      </c>
      <c r="J32" s="687"/>
      <c r="K32" s="622"/>
      <c r="L32" s="572"/>
      <c r="M32" s="6"/>
      <c r="N32" s="6"/>
      <c r="O32" s="613"/>
      <c r="P32" s="614"/>
      <c r="Q32" s="6"/>
      <c r="R32" s="6"/>
      <c r="S32" s="764"/>
      <c r="T32" s="622"/>
      <c r="U32" s="572"/>
      <c r="V32" s="6"/>
      <c r="W32" s="596"/>
      <c r="X32" s="597"/>
      <c r="Y32" s="685"/>
      <c r="Z32" s="685"/>
      <c r="AA32" s="684"/>
      <c r="AB32" s="635"/>
      <c r="AC32" s="622"/>
      <c r="AD32" s="572"/>
      <c r="AE32" s="6"/>
      <c r="AF32" s="596"/>
      <c r="AG32" s="597"/>
      <c r="AH32" s="685"/>
      <c r="AI32" s="685"/>
      <c r="AJ32" s="684"/>
      <c r="AK32" s="613"/>
      <c r="AM32" s="572"/>
      <c r="AN32" s="6"/>
      <c r="AO32" s="6"/>
      <c r="AP32" s="613"/>
      <c r="AQ32" s="614"/>
      <c r="AR32" s="605"/>
      <c r="AS32" s="828"/>
      <c r="AT32" s="613"/>
    </row>
    <row r="33" spans="1:46" ht="43.15" customHeight="1" x14ac:dyDescent="0.25">
      <c r="A33" s="2206">
        <v>45062</v>
      </c>
      <c r="B33" s="574">
        <v>1</v>
      </c>
      <c r="C33" s="595"/>
      <c r="D33" s="596"/>
      <c r="E33" s="596">
        <v>20</v>
      </c>
      <c r="F33" s="597"/>
      <c r="G33" s="685"/>
      <c r="H33" s="619"/>
      <c r="I33" s="684" t="s">
        <v>152</v>
      </c>
      <c r="J33" s="687"/>
      <c r="K33" s="622"/>
      <c r="L33" s="572"/>
      <c r="M33" s="6"/>
      <c r="N33" s="6"/>
      <c r="O33" s="613"/>
      <c r="P33" s="614"/>
      <c r="Q33" s="6"/>
      <c r="R33" s="6"/>
      <c r="S33" s="613"/>
      <c r="T33" s="622"/>
      <c r="U33" s="572"/>
      <c r="V33" s="6"/>
      <c r="W33" s="6">
        <v>30</v>
      </c>
      <c r="X33" s="613"/>
      <c r="Y33" s="614"/>
      <c r="Z33" s="6"/>
      <c r="AA33" s="605" t="s">
        <v>152</v>
      </c>
      <c r="AB33" s="613"/>
      <c r="AC33" s="622"/>
      <c r="AD33" s="572"/>
      <c r="AE33" s="6"/>
      <c r="AF33" s="6">
        <v>30</v>
      </c>
      <c r="AG33" s="613"/>
      <c r="AH33" s="614"/>
      <c r="AI33" s="605"/>
      <c r="AJ33" s="6" t="s">
        <v>152</v>
      </c>
      <c r="AK33" s="613"/>
      <c r="AM33" s="572"/>
      <c r="AN33" s="6"/>
      <c r="AO33" s="6">
        <v>15</v>
      </c>
      <c r="AP33" s="613"/>
      <c r="AQ33" s="614"/>
      <c r="AR33" s="605"/>
      <c r="AS33" s="6" t="s">
        <v>152</v>
      </c>
      <c r="AT33" s="613"/>
    </row>
    <row r="34" spans="1:46" ht="50.45" customHeight="1" x14ac:dyDescent="0.25">
      <c r="A34" s="2205"/>
      <c r="B34" s="644">
        <v>2</v>
      </c>
      <c r="C34" s="596"/>
      <c r="D34" s="596"/>
      <c r="E34" s="596"/>
      <c r="F34" s="829"/>
      <c r="G34" s="685"/>
      <c r="H34" s="620"/>
      <c r="I34" s="620"/>
      <c r="J34" s="687"/>
      <c r="K34" s="622"/>
      <c r="L34" s="572"/>
      <c r="M34" s="6"/>
      <c r="N34" s="6"/>
      <c r="O34" s="613"/>
      <c r="P34" s="614"/>
      <c r="Q34" s="620"/>
      <c r="R34" s="6"/>
      <c r="S34" s="635"/>
      <c r="T34" s="622"/>
      <c r="U34" s="572">
        <v>77</v>
      </c>
      <c r="V34" s="6"/>
      <c r="W34" s="6"/>
      <c r="X34" s="613"/>
      <c r="Y34" s="605" t="s">
        <v>658</v>
      </c>
      <c r="Z34" s="605"/>
      <c r="AA34" s="684"/>
      <c r="AB34" s="635"/>
      <c r="AC34" s="622"/>
      <c r="AD34" s="572"/>
      <c r="AE34" s="6"/>
      <c r="AF34" s="6"/>
      <c r="AG34" s="613"/>
      <c r="AH34" s="614"/>
      <c r="AI34" s="6"/>
      <c r="AJ34" s="6"/>
      <c r="AK34" s="613"/>
      <c r="AM34" s="572"/>
      <c r="AN34" s="6"/>
      <c r="AO34" s="6"/>
      <c r="AP34" s="613"/>
      <c r="AQ34" s="614"/>
      <c r="AR34" s="6"/>
      <c r="AS34" s="6"/>
      <c r="AT34" s="613"/>
    </row>
    <row r="35" spans="1:46" ht="51" customHeight="1" x14ac:dyDescent="0.25">
      <c r="A35" s="2206">
        <v>45063</v>
      </c>
      <c r="B35" s="574">
        <v>1</v>
      </c>
      <c r="C35" s="596"/>
      <c r="D35" s="596"/>
      <c r="E35" s="50"/>
      <c r="F35" s="828"/>
      <c r="G35" s="567"/>
      <c r="H35" s="614"/>
      <c r="I35" s="605"/>
      <c r="J35" s="687"/>
      <c r="K35" s="622"/>
      <c r="L35" s="572"/>
      <c r="M35" s="6"/>
      <c r="N35" s="6"/>
      <c r="O35" s="613"/>
      <c r="P35" s="567"/>
      <c r="Q35" s="932"/>
      <c r="R35" s="620"/>
      <c r="S35" s="635"/>
      <c r="T35" s="622"/>
      <c r="U35" s="572"/>
      <c r="V35" s="6"/>
      <c r="W35" s="50"/>
      <c r="X35" s="634"/>
      <c r="Y35" s="567"/>
      <c r="Z35" s="6"/>
      <c r="AA35" s="684"/>
      <c r="AB35" s="613"/>
      <c r="AC35" s="622"/>
      <c r="AD35" s="572"/>
      <c r="AE35" s="6"/>
      <c r="AF35" s="6"/>
      <c r="AG35" s="929"/>
      <c r="AH35" s="567"/>
      <c r="AI35" s="6"/>
      <c r="AJ35" s="684"/>
      <c r="AK35" s="613"/>
      <c r="AM35" s="572"/>
      <c r="AN35" s="6"/>
      <c r="AO35" s="50"/>
      <c r="AP35" s="634"/>
      <c r="AQ35" s="567"/>
      <c r="AR35" s="6"/>
      <c r="AS35" s="605"/>
      <c r="AT35" s="613"/>
    </row>
    <row r="36" spans="1:46" ht="46.9" customHeight="1" x14ac:dyDescent="0.25">
      <c r="A36" s="2205"/>
      <c r="B36" s="574">
        <v>2</v>
      </c>
      <c r="C36" s="50"/>
      <c r="D36" s="6"/>
      <c r="E36" s="50"/>
      <c r="F36" s="828"/>
      <c r="G36" s="692"/>
      <c r="H36" s="929"/>
      <c r="I36" s="692"/>
      <c r="J36" s="635"/>
      <c r="K36" s="622"/>
      <c r="L36" s="567"/>
      <c r="M36" s="6"/>
      <c r="N36" s="6"/>
      <c r="O36" s="929"/>
      <c r="P36" s="567"/>
      <c r="Q36" s="605"/>
      <c r="R36" s="605"/>
      <c r="S36" s="635"/>
      <c r="T36" s="622"/>
      <c r="U36" s="572"/>
      <c r="V36" s="6">
        <v>9</v>
      </c>
      <c r="W36" s="6"/>
      <c r="X36" s="929"/>
      <c r="Y36" s="567"/>
      <c r="Z36" s="605" t="s">
        <v>501</v>
      </c>
      <c r="AA36" s="684"/>
      <c r="AB36" s="613"/>
      <c r="AC36" s="622"/>
      <c r="AD36" s="572">
        <v>273</v>
      </c>
      <c r="AE36" s="6">
        <v>21</v>
      </c>
      <c r="AF36" s="50">
        <v>25</v>
      </c>
      <c r="AG36" s="634"/>
      <c r="AH36" s="567" t="s">
        <v>599</v>
      </c>
      <c r="AI36" s="605" t="s">
        <v>501</v>
      </c>
      <c r="AJ36" s="684" t="s">
        <v>562</v>
      </c>
      <c r="AK36" s="613"/>
      <c r="AM36" s="572"/>
      <c r="AN36" s="6">
        <v>212</v>
      </c>
      <c r="AO36" s="6"/>
      <c r="AP36" s="929"/>
      <c r="AQ36" s="567"/>
      <c r="AR36" s="605" t="s">
        <v>659</v>
      </c>
      <c r="AS36" s="605"/>
      <c r="AT36" s="613"/>
    </row>
    <row r="37" spans="1:46" ht="59.45" customHeight="1" x14ac:dyDescent="0.25">
      <c r="A37" s="2206">
        <v>45064</v>
      </c>
      <c r="B37" s="644">
        <v>1</v>
      </c>
      <c r="C37" s="50"/>
      <c r="D37" s="596"/>
      <c r="E37" s="50"/>
      <c r="F37" s="50"/>
      <c r="G37" s="692"/>
      <c r="H37" s="929"/>
      <c r="I37" s="692"/>
      <c r="J37" s="635"/>
      <c r="K37" s="622"/>
      <c r="L37" s="572"/>
      <c r="M37" s="6"/>
      <c r="N37" s="6"/>
      <c r="O37" s="727"/>
      <c r="P37" s="614"/>
      <c r="Q37" s="6"/>
      <c r="R37" s="6"/>
      <c r="S37" s="613"/>
      <c r="T37" s="622"/>
      <c r="U37" s="572"/>
      <c r="V37" s="6"/>
      <c r="W37" s="6"/>
      <c r="X37" s="613"/>
      <c r="Y37" s="614"/>
      <c r="Z37" s="605"/>
      <c r="AA37" s="684"/>
      <c r="AB37" s="635"/>
      <c r="AC37" s="622"/>
      <c r="AD37" s="572"/>
      <c r="AE37" s="6"/>
      <c r="AF37" s="6"/>
      <c r="AG37" s="613"/>
      <c r="AH37" s="614"/>
      <c r="AI37" s="6"/>
      <c r="AJ37" s="684"/>
      <c r="AK37" s="613"/>
      <c r="AM37" s="572"/>
      <c r="AN37" s="6"/>
      <c r="AO37" s="6"/>
      <c r="AP37" s="613"/>
      <c r="AQ37" s="614"/>
      <c r="AR37" s="6"/>
      <c r="AS37" s="6"/>
      <c r="AT37" s="613"/>
    </row>
    <row r="38" spans="1:46" ht="55.9" customHeight="1" x14ac:dyDescent="0.25">
      <c r="A38" s="2205"/>
      <c r="B38" s="574">
        <v>2</v>
      </c>
      <c r="C38" s="50"/>
      <c r="D38" s="596"/>
      <c r="E38" s="50"/>
      <c r="F38" s="829"/>
      <c r="G38" s="692"/>
      <c r="H38" s="929"/>
      <c r="I38" s="692"/>
      <c r="J38" s="635"/>
      <c r="K38" s="622"/>
      <c r="L38" s="572"/>
      <c r="M38" s="6"/>
      <c r="N38" s="6"/>
      <c r="O38" s="613"/>
      <c r="P38" s="929"/>
      <c r="Q38" s="929"/>
      <c r="R38" s="6"/>
      <c r="S38" s="635"/>
      <c r="T38" s="622"/>
      <c r="U38" s="572"/>
      <c r="V38" s="6"/>
      <c r="W38" s="6"/>
      <c r="X38" s="613"/>
      <c r="Y38" s="614"/>
      <c r="Z38" s="605"/>
      <c r="AA38" s="6"/>
      <c r="AB38" s="635"/>
      <c r="AC38" s="622"/>
      <c r="AD38" s="572"/>
      <c r="AE38" s="6"/>
      <c r="AF38" s="6"/>
      <c r="AG38" s="613"/>
      <c r="AH38" s="929"/>
      <c r="AI38" s="6"/>
      <c r="AJ38" s="605"/>
      <c r="AK38" s="635"/>
      <c r="AM38" s="572"/>
      <c r="AN38" s="6"/>
      <c r="AO38" s="6"/>
      <c r="AP38" s="613"/>
      <c r="AQ38" s="614"/>
      <c r="AR38" s="6"/>
      <c r="AS38" s="605"/>
      <c r="AT38" s="635"/>
    </row>
    <row r="39" spans="1:46" ht="39" customHeight="1" x14ac:dyDescent="0.25">
      <c r="A39" s="2206">
        <v>45065</v>
      </c>
      <c r="B39" s="574">
        <v>1</v>
      </c>
      <c r="C39" s="50"/>
      <c r="D39" s="596"/>
      <c r="E39" s="50"/>
      <c r="F39" s="597"/>
      <c r="G39" s="692"/>
      <c r="H39" s="619"/>
      <c r="I39" s="692"/>
      <c r="J39" s="687"/>
      <c r="K39" s="622"/>
      <c r="L39" s="572"/>
      <c r="M39" s="6"/>
      <c r="N39" s="6"/>
      <c r="O39" s="597"/>
      <c r="P39" s="685"/>
      <c r="Q39" s="619"/>
      <c r="R39" s="692"/>
      <c r="S39" s="687"/>
      <c r="T39" s="622"/>
      <c r="U39" s="572"/>
      <c r="V39" s="6"/>
      <c r="W39" s="6"/>
      <c r="X39" s="597"/>
      <c r="Y39" s="685"/>
      <c r="Z39" s="619"/>
      <c r="AA39" s="692"/>
      <c r="AB39" s="687"/>
      <c r="AC39" s="622"/>
      <c r="AD39" s="572"/>
      <c r="AE39" s="6"/>
      <c r="AF39" s="6"/>
      <c r="AG39" s="597"/>
      <c r="AH39" s="685"/>
      <c r="AI39" s="619"/>
      <c r="AJ39" s="692"/>
      <c r="AK39" s="687"/>
      <c r="AM39" s="572"/>
      <c r="AN39" s="6"/>
      <c r="AO39" s="6"/>
      <c r="AP39" s="597"/>
      <c r="AQ39" s="685"/>
      <c r="AR39" s="619"/>
      <c r="AS39" s="692"/>
      <c r="AT39" s="687"/>
    </row>
    <row r="40" spans="1:46" ht="72.599999999999994" customHeight="1" x14ac:dyDescent="0.25">
      <c r="A40" s="2205"/>
      <c r="B40" s="574">
        <v>2</v>
      </c>
      <c r="C40" s="596"/>
      <c r="D40" s="596"/>
      <c r="E40" s="596"/>
      <c r="F40" s="613"/>
      <c r="G40" s="692"/>
      <c r="H40" s="620"/>
      <c r="I40" s="692"/>
      <c r="J40" s="687"/>
      <c r="K40" s="622"/>
      <c r="L40" s="572"/>
      <c r="M40" s="6"/>
      <c r="N40" s="6"/>
      <c r="O40" s="613"/>
      <c r="P40" s="685"/>
      <c r="Q40" s="619"/>
      <c r="R40" s="692"/>
      <c r="S40" s="687"/>
      <c r="T40" s="622"/>
      <c r="U40" s="572"/>
      <c r="V40" s="6"/>
      <c r="W40" s="6"/>
      <c r="X40" s="613"/>
      <c r="Y40" s="685"/>
      <c r="Z40" s="619"/>
      <c r="AA40" s="692"/>
      <c r="AB40" s="687"/>
      <c r="AC40" s="622"/>
      <c r="AD40" s="572"/>
      <c r="AE40" s="6"/>
      <c r="AF40" s="6"/>
      <c r="AG40" s="613"/>
      <c r="AH40" s="685"/>
      <c r="AI40" s="619"/>
      <c r="AJ40" s="692"/>
      <c r="AK40" s="687"/>
      <c r="AM40" s="572"/>
      <c r="AN40" s="6"/>
      <c r="AO40" s="6"/>
      <c r="AP40" s="613"/>
      <c r="AQ40" s="685"/>
      <c r="AR40" s="619"/>
      <c r="AS40" s="692"/>
      <c r="AT40" s="687"/>
    </row>
    <row r="41" spans="1:46" ht="39.6" customHeight="1" x14ac:dyDescent="0.25">
      <c r="A41" s="2206">
        <v>45066</v>
      </c>
      <c r="B41" s="574">
        <v>1</v>
      </c>
      <c r="C41" s="595"/>
      <c r="D41" s="596"/>
      <c r="E41" s="596"/>
      <c r="F41" s="613"/>
      <c r="G41" s="685"/>
      <c r="H41" s="620"/>
      <c r="I41" s="692"/>
      <c r="J41" s="687"/>
      <c r="K41" s="622"/>
      <c r="L41" s="572"/>
      <c r="M41" s="6"/>
      <c r="N41" s="6"/>
      <c r="O41" s="613"/>
      <c r="P41" s="614"/>
      <c r="Q41" s="6"/>
      <c r="R41" s="6"/>
      <c r="S41" s="635"/>
      <c r="T41" s="622"/>
      <c r="U41" s="572"/>
      <c r="V41" s="6"/>
      <c r="W41" s="6"/>
      <c r="X41" s="613"/>
      <c r="Y41" s="614"/>
      <c r="Z41" s="605"/>
      <c r="AA41" s="605"/>
      <c r="AB41" s="613"/>
      <c r="AC41" s="622"/>
      <c r="AD41" s="572"/>
      <c r="AE41" s="6"/>
      <c r="AF41" s="6"/>
      <c r="AG41" s="613"/>
      <c r="AH41" s="614"/>
      <c r="AI41" s="605"/>
      <c r="AJ41" s="6"/>
      <c r="AK41" s="613"/>
      <c r="AM41" s="572"/>
      <c r="AN41" s="6"/>
      <c r="AO41" s="6"/>
      <c r="AP41" s="613"/>
      <c r="AQ41" s="614"/>
      <c r="AR41" s="605"/>
      <c r="AS41" s="6"/>
      <c r="AT41" s="613"/>
    </row>
    <row r="42" spans="1:46" ht="33" customHeight="1" x14ac:dyDescent="0.25">
      <c r="A42" s="2205"/>
      <c r="B42" s="574">
        <v>2</v>
      </c>
      <c r="C42" s="596"/>
      <c r="D42" s="596"/>
      <c r="E42" s="596"/>
      <c r="F42" s="613"/>
      <c r="G42" s="685"/>
      <c r="H42" s="619"/>
      <c r="I42" s="692"/>
      <c r="J42" s="687"/>
      <c r="K42" s="622"/>
      <c r="L42" s="572"/>
      <c r="M42" s="6"/>
      <c r="N42" s="6"/>
      <c r="O42" s="613"/>
      <c r="P42" s="614"/>
      <c r="Q42" s="6"/>
      <c r="R42" s="6"/>
      <c r="S42" s="635"/>
      <c r="T42" s="622"/>
      <c r="U42" s="572"/>
      <c r="V42" s="6"/>
      <c r="W42" s="6"/>
      <c r="X42" s="613"/>
      <c r="Y42" s="929"/>
      <c r="Z42" s="6"/>
      <c r="AA42" s="605"/>
      <c r="AB42" s="635"/>
      <c r="AC42" s="622"/>
      <c r="AD42" s="572"/>
      <c r="AE42" s="6"/>
      <c r="AF42" s="6"/>
      <c r="AG42" s="613"/>
      <c r="AH42" s="614"/>
      <c r="AI42" s="6"/>
      <c r="AJ42" s="6"/>
      <c r="AK42" s="613"/>
      <c r="AM42" s="572"/>
      <c r="AN42" s="6"/>
      <c r="AO42" s="6"/>
      <c r="AP42" s="613"/>
      <c r="AQ42" s="614"/>
      <c r="AR42" s="6"/>
      <c r="AS42" s="6"/>
      <c r="AT42" s="613"/>
    </row>
    <row r="43" spans="1:46" ht="33.6" customHeight="1" x14ac:dyDescent="0.25">
      <c r="A43" s="2206">
        <v>45067</v>
      </c>
      <c r="B43" s="574">
        <v>1</v>
      </c>
      <c r="C43" s="596"/>
      <c r="D43" s="596"/>
      <c r="E43" s="596"/>
      <c r="F43" s="597"/>
      <c r="G43" s="619"/>
      <c r="H43" s="619"/>
      <c r="I43" s="620"/>
      <c r="J43" s="635"/>
      <c r="K43" s="622"/>
      <c r="L43" s="572"/>
      <c r="M43" s="6"/>
      <c r="N43" s="6"/>
      <c r="O43" s="613"/>
      <c r="P43" s="614"/>
      <c r="Q43" s="6"/>
      <c r="R43" s="6"/>
      <c r="S43" s="613"/>
      <c r="T43" s="622"/>
      <c r="U43" s="572"/>
      <c r="V43" s="6"/>
      <c r="W43" s="6"/>
      <c r="X43" s="613"/>
      <c r="Y43" s="614"/>
      <c r="Z43" s="6"/>
      <c r="AA43" s="620"/>
      <c r="AB43" s="613"/>
      <c r="AC43" s="622"/>
      <c r="AD43" s="572"/>
      <c r="AE43" s="6"/>
      <c r="AF43" s="6"/>
      <c r="AG43" s="613"/>
      <c r="AH43" s="605"/>
      <c r="AI43" s="620"/>
      <c r="AJ43" s="6"/>
      <c r="AK43" s="613"/>
      <c r="AM43" s="572"/>
      <c r="AN43" s="6"/>
      <c r="AO43" s="6"/>
      <c r="AP43" s="613"/>
      <c r="AQ43" s="605"/>
      <c r="AR43" s="620"/>
      <c r="AS43" s="6"/>
      <c r="AT43" s="613"/>
    </row>
    <row r="44" spans="1:46" ht="36" customHeight="1" x14ac:dyDescent="0.25">
      <c r="A44" s="2205"/>
      <c r="B44" s="574">
        <v>2</v>
      </c>
      <c r="C44" s="596"/>
      <c r="D44" s="596"/>
      <c r="E44" s="596"/>
      <c r="F44" s="597"/>
      <c r="G44" s="619"/>
      <c r="H44" s="619"/>
      <c r="I44" s="692"/>
      <c r="J44" s="635"/>
      <c r="K44" s="622"/>
      <c r="L44" s="572"/>
      <c r="M44" s="6"/>
      <c r="N44" s="6"/>
      <c r="O44" s="613"/>
      <c r="P44" s="614"/>
      <c r="Q44" s="6"/>
      <c r="R44" s="605"/>
      <c r="S44" s="764"/>
      <c r="T44" s="622"/>
      <c r="U44" s="572"/>
      <c r="V44" s="6"/>
      <c r="W44" s="596"/>
      <c r="X44" s="597"/>
      <c r="Y44" s="619"/>
      <c r="Z44" s="620"/>
      <c r="AA44" s="605"/>
      <c r="AB44" s="635"/>
      <c r="AC44" s="622"/>
      <c r="AD44" s="572"/>
      <c r="AE44" s="6"/>
      <c r="AF44" s="6"/>
      <c r="AG44" s="613"/>
      <c r="AH44" s="614"/>
      <c r="AI44" s="605"/>
      <c r="AJ44" s="605"/>
      <c r="AK44" s="613"/>
      <c r="AM44" s="572"/>
      <c r="AN44" s="6"/>
      <c r="AO44" s="6"/>
      <c r="AP44" s="613"/>
      <c r="AQ44" s="614"/>
      <c r="AR44" s="605"/>
      <c r="AS44" s="605"/>
      <c r="AT44" s="613"/>
    </row>
    <row r="45" spans="1:46" ht="48" customHeight="1" x14ac:dyDescent="0.25">
      <c r="A45" s="2206">
        <v>45068</v>
      </c>
      <c r="B45" s="574">
        <v>1</v>
      </c>
      <c r="C45" s="596"/>
      <c r="D45" s="596"/>
      <c r="E45" s="596">
        <v>20</v>
      </c>
      <c r="F45" s="597"/>
      <c r="G45" s="619"/>
      <c r="H45" s="619"/>
      <c r="I45" s="620" t="s">
        <v>660</v>
      </c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"/>
      <c r="W45" s="6"/>
      <c r="X45" s="613"/>
      <c r="Y45" s="619"/>
      <c r="Z45" s="620"/>
      <c r="AA45" s="605"/>
      <c r="AB45" s="613"/>
      <c r="AC45" s="622"/>
      <c r="AD45" s="572"/>
      <c r="AE45" s="6"/>
      <c r="AF45" s="6"/>
      <c r="AG45" s="613"/>
      <c r="AH45" s="614"/>
      <c r="AI45" s="605"/>
      <c r="AJ45" s="6"/>
      <c r="AK45" s="613"/>
      <c r="AM45" s="572"/>
      <c r="AN45" s="6"/>
      <c r="AO45" s="6"/>
      <c r="AP45" s="613"/>
      <c r="AQ45" s="614"/>
      <c r="AR45" s="605"/>
      <c r="AS45" s="6"/>
      <c r="AT45" s="613"/>
    </row>
    <row r="46" spans="1:46" ht="48.6" customHeight="1" x14ac:dyDescent="0.25">
      <c r="A46" s="2205"/>
      <c r="B46" s="574">
        <v>2</v>
      </c>
      <c r="C46" s="596"/>
      <c r="D46" s="596"/>
      <c r="E46" s="596"/>
      <c r="F46" s="597"/>
      <c r="G46" s="619"/>
      <c r="H46" s="619"/>
      <c r="I46" s="620"/>
      <c r="J46" s="635"/>
      <c r="K46" s="622"/>
      <c r="L46" s="572"/>
      <c r="M46" s="6"/>
      <c r="N46" s="6"/>
      <c r="O46" s="785"/>
      <c r="P46" s="614"/>
      <c r="Q46" s="620"/>
      <c r="R46" s="6"/>
      <c r="S46" s="635"/>
      <c r="T46" s="622"/>
      <c r="U46" s="572"/>
      <c r="V46" s="6"/>
      <c r="W46" s="6"/>
      <c r="X46" s="613"/>
      <c r="Y46" s="929"/>
      <c r="Z46" s="6"/>
      <c r="AA46" s="605"/>
      <c r="AB46" s="635"/>
      <c r="AC46" s="622"/>
      <c r="AD46" s="572"/>
      <c r="AE46" s="6"/>
      <c r="AF46" s="6"/>
      <c r="AG46" s="613"/>
      <c r="AH46" s="929"/>
      <c r="AI46" s="6"/>
      <c r="AJ46" s="6"/>
      <c r="AK46" s="635"/>
      <c r="AM46" s="572"/>
      <c r="AN46" s="6"/>
      <c r="AO46" s="6"/>
      <c r="AP46" s="613"/>
      <c r="AQ46" s="929"/>
      <c r="AR46" s="6"/>
      <c r="AS46" s="6"/>
      <c r="AT46" s="635"/>
    </row>
    <row r="47" spans="1:46" ht="36" customHeight="1" x14ac:dyDescent="0.25">
      <c r="A47" s="2206">
        <v>45069</v>
      </c>
      <c r="B47" s="574">
        <v>1</v>
      </c>
      <c r="C47" s="596"/>
      <c r="D47" s="596"/>
      <c r="E47" s="596"/>
      <c r="F47" s="597"/>
      <c r="G47" s="620"/>
      <c r="H47" s="619"/>
      <c r="I47" s="692"/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>
        <v>41</v>
      </c>
      <c r="X47" s="613"/>
      <c r="Y47" s="614"/>
      <c r="Z47" s="605"/>
      <c r="AA47" s="605" t="s">
        <v>661</v>
      </c>
      <c r="AB47" s="635"/>
      <c r="AC47" s="622"/>
      <c r="AD47" s="572"/>
      <c r="AE47" s="6"/>
      <c r="AF47" s="6"/>
      <c r="AG47" s="613"/>
      <c r="AH47" s="929"/>
      <c r="AI47" s="620"/>
      <c r="AJ47" s="6"/>
      <c r="AK47" s="613"/>
      <c r="AM47" s="572"/>
      <c r="AN47" s="6"/>
      <c r="AO47" s="6"/>
      <c r="AP47" s="613"/>
      <c r="AQ47" s="929"/>
      <c r="AR47" s="620"/>
      <c r="AS47" s="6"/>
      <c r="AT47" s="613"/>
    </row>
    <row r="48" spans="1:46" ht="34.9" customHeight="1" x14ac:dyDescent="0.25">
      <c r="A48" s="2205"/>
      <c r="B48" s="574">
        <v>2</v>
      </c>
      <c r="C48" s="596"/>
      <c r="D48" s="596"/>
      <c r="E48" s="596"/>
      <c r="F48" s="597"/>
      <c r="G48" s="620"/>
      <c r="H48" s="620"/>
      <c r="I48" s="692"/>
      <c r="J48" s="687"/>
      <c r="K48" s="622"/>
      <c r="L48" s="572"/>
      <c r="M48" s="6"/>
      <c r="N48" s="6"/>
      <c r="O48" s="613"/>
      <c r="P48" s="614"/>
      <c r="Q48" s="620"/>
      <c r="R48" s="605"/>
      <c r="S48" s="635"/>
      <c r="T48" s="622"/>
      <c r="U48" s="572">
        <v>50</v>
      </c>
      <c r="V48" s="6"/>
      <c r="W48" s="6">
        <v>32</v>
      </c>
      <c r="X48" s="613"/>
      <c r="Y48" s="937" t="s">
        <v>662</v>
      </c>
      <c r="Z48" s="6"/>
      <c r="AA48" s="605" t="s">
        <v>152</v>
      </c>
      <c r="AB48" s="613"/>
      <c r="AC48" s="622"/>
      <c r="AD48" s="572"/>
      <c r="AE48" s="6"/>
      <c r="AF48" s="6"/>
      <c r="AG48" s="613"/>
      <c r="AH48" s="614"/>
      <c r="AI48" s="605"/>
      <c r="AJ48" s="6"/>
      <c r="AK48" s="613"/>
      <c r="AM48" s="572"/>
      <c r="AN48" s="6"/>
      <c r="AO48" s="6"/>
      <c r="AP48" s="613"/>
      <c r="AQ48" s="614"/>
      <c r="AR48" s="605"/>
      <c r="AS48" s="6"/>
      <c r="AT48" s="613"/>
    </row>
    <row r="49" spans="1:46" ht="36" customHeight="1" x14ac:dyDescent="0.25">
      <c r="A49" s="2206">
        <v>45070</v>
      </c>
      <c r="B49" s="574">
        <v>1</v>
      </c>
      <c r="C49" s="596"/>
      <c r="D49" s="596"/>
      <c r="E49" s="596"/>
      <c r="F49" s="597"/>
      <c r="G49" s="620"/>
      <c r="H49" s="619"/>
      <c r="I49" s="692"/>
      <c r="J49" s="687"/>
      <c r="K49" s="622"/>
      <c r="L49" s="572"/>
      <c r="M49" s="6"/>
      <c r="N49" s="6"/>
      <c r="O49" s="613"/>
      <c r="P49" s="614"/>
      <c r="Q49" s="6"/>
      <c r="R49" s="6"/>
      <c r="S49" s="613"/>
      <c r="T49" s="622"/>
      <c r="U49" s="572"/>
      <c r="V49" s="6"/>
      <c r="W49" s="6"/>
      <c r="X49" s="613"/>
      <c r="Y49" s="614"/>
      <c r="Z49" s="605"/>
      <c r="AA49" s="605"/>
      <c r="AB49" s="635"/>
      <c r="AC49" s="622"/>
      <c r="AD49" s="572"/>
      <c r="AE49" s="6"/>
      <c r="AF49" s="6"/>
      <c r="AG49" s="613"/>
      <c r="AH49" s="614"/>
      <c r="AI49" s="605"/>
      <c r="AJ49" s="692"/>
      <c r="AK49" s="613"/>
      <c r="AM49" s="572"/>
      <c r="AN49" s="6"/>
      <c r="AO49" s="6"/>
      <c r="AP49" s="613"/>
      <c r="AQ49" s="614"/>
      <c r="AR49" s="605"/>
      <c r="AS49" s="6"/>
      <c r="AT49" s="613"/>
    </row>
    <row r="50" spans="1:46" ht="51.6" customHeight="1" x14ac:dyDescent="0.25">
      <c r="A50" s="2205"/>
      <c r="B50" s="574">
        <v>2</v>
      </c>
      <c r="C50" s="596"/>
      <c r="D50" s="596"/>
      <c r="E50" s="596"/>
      <c r="F50" s="597"/>
      <c r="G50" s="619"/>
      <c r="H50" s="619"/>
      <c r="I50" s="692"/>
      <c r="J50" s="635"/>
      <c r="K50" s="622"/>
      <c r="L50" s="572"/>
      <c r="M50" s="6"/>
      <c r="N50" s="6"/>
      <c r="O50" s="597"/>
      <c r="P50" s="619"/>
      <c r="Q50" s="619"/>
      <c r="R50" s="692"/>
      <c r="S50" s="635"/>
      <c r="T50" s="622"/>
      <c r="U50" s="572">
        <v>31</v>
      </c>
      <c r="V50" s="6"/>
      <c r="W50" s="6">
        <v>24</v>
      </c>
      <c r="X50" s="597"/>
      <c r="Y50" s="620" t="s">
        <v>663</v>
      </c>
      <c r="Z50" s="619"/>
      <c r="AA50" s="692" t="s">
        <v>152</v>
      </c>
      <c r="AB50" s="635"/>
      <c r="AC50" s="622"/>
      <c r="AD50" s="572"/>
      <c r="AE50" s="6"/>
      <c r="AF50" s="6"/>
      <c r="AG50" s="597"/>
      <c r="AH50" s="619"/>
      <c r="AI50" s="619"/>
      <c r="AJ50" s="692"/>
      <c r="AK50" s="635"/>
      <c r="AM50" s="572"/>
      <c r="AN50" s="6"/>
      <c r="AO50" s="6"/>
      <c r="AP50" s="597"/>
      <c r="AQ50" s="619"/>
      <c r="AR50" s="619"/>
      <c r="AS50" s="692"/>
      <c r="AT50" s="635"/>
    </row>
    <row r="51" spans="1:46" ht="34.9" customHeight="1" x14ac:dyDescent="0.25">
      <c r="A51" s="2206">
        <v>45071</v>
      </c>
      <c r="B51" s="574">
        <v>1</v>
      </c>
      <c r="C51" s="596"/>
      <c r="D51" s="596"/>
      <c r="E51" s="596"/>
      <c r="F51" s="597"/>
      <c r="G51" s="619"/>
      <c r="H51" s="619"/>
      <c r="I51" s="692"/>
      <c r="J51" s="635"/>
      <c r="K51" s="622"/>
      <c r="L51" s="572"/>
      <c r="M51" s="6">
        <v>203</v>
      </c>
      <c r="N51" s="6"/>
      <c r="O51" s="613"/>
      <c r="P51" s="614"/>
      <c r="Q51" s="620" t="s">
        <v>664</v>
      </c>
      <c r="R51" s="6"/>
      <c r="S51" s="613"/>
      <c r="T51" s="622"/>
      <c r="U51" s="572"/>
      <c r="V51" s="6"/>
      <c r="W51" s="6"/>
      <c r="X51" s="613"/>
      <c r="Y51" s="929"/>
      <c r="Z51" s="6"/>
      <c r="AA51" s="605"/>
      <c r="AB51" s="613"/>
      <c r="AC51" s="622"/>
      <c r="AD51" s="572"/>
      <c r="AE51" s="6"/>
      <c r="AF51" s="6"/>
      <c r="AG51" s="613"/>
      <c r="AH51" s="614"/>
      <c r="AI51" s="6"/>
      <c r="AJ51" s="6"/>
      <c r="AK51" s="613"/>
      <c r="AM51" s="572"/>
      <c r="AN51" s="6"/>
      <c r="AO51" s="6"/>
      <c r="AP51" s="613"/>
      <c r="AQ51" s="614"/>
      <c r="AR51" s="6"/>
      <c r="AS51" s="6"/>
      <c r="AT51" s="613"/>
    </row>
    <row r="52" spans="1:46" ht="49.15" customHeight="1" x14ac:dyDescent="0.25">
      <c r="A52" s="2205"/>
      <c r="B52" s="574">
        <v>2</v>
      </c>
      <c r="C52" s="596"/>
      <c r="D52" s="596"/>
      <c r="E52" s="596"/>
      <c r="F52" s="597"/>
      <c r="G52" s="620"/>
      <c r="H52" s="620"/>
      <c r="I52" s="692"/>
      <c r="J52" s="635"/>
      <c r="K52" s="622"/>
      <c r="L52" s="572"/>
      <c r="M52" s="6"/>
      <c r="N52" s="6"/>
      <c r="O52" s="597"/>
      <c r="P52" s="620"/>
      <c r="Q52" s="620"/>
      <c r="R52" s="692"/>
      <c r="S52" s="635"/>
      <c r="T52" s="622"/>
      <c r="U52" s="572"/>
      <c r="V52" s="6"/>
      <c r="W52" s="6"/>
      <c r="X52" s="597"/>
      <c r="Y52" s="620"/>
      <c r="Z52" s="620"/>
      <c r="AA52" s="692"/>
      <c r="AB52" s="635"/>
      <c r="AC52" s="622"/>
      <c r="AD52" s="572"/>
      <c r="AE52" s="6"/>
      <c r="AF52" s="6"/>
      <c r="AG52" s="597"/>
      <c r="AH52" s="620"/>
      <c r="AI52" s="620"/>
      <c r="AJ52" s="692"/>
      <c r="AK52" s="635"/>
      <c r="AM52" s="572"/>
      <c r="AN52" s="613"/>
      <c r="AO52" s="613"/>
      <c r="AP52" s="613"/>
      <c r="AQ52" s="614"/>
      <c r="AR52" s="613"/>
      <c r="AS52" s="6"/>
      <c r="AT52" s="613"/>
    </row>
    <row r="53" spans="1:46" ht="40.15" customHeight="1" x14ac:dyDescent="0.25">
      <c r="A53" s="2206">
        <v>45072</v>
      </c>
      <c r="B53" s="574">
        <v>1</v>
      </c>
      <c r="C53" s="596"/>
      <c r="D53" s="596"/>
      <c r="E53" s="596"/>
      <c r="F53" s="597"/>
      <c r="G53" s="619"/>
      <c r="H53" s="619"/>
      <c r="I53" s="692"/>
      <c r="J53" s="635"/>
      <c r="K53" s="622"/>
      <c r="L53" s="572"/>
      <c r="M53" s="6"/>
      <c r="N53" s="6"/>
      <c r="O53" s="613"/>
      <c r="P53" s="929"/>
      <c r="Q53" s="6"/>
      <c r="R53" s="6"/>
      <c r="S53" s="635"/>
      <c r="T53" s="622"/>
      <c r="U53" s="572"/>
      <c r="V53" s="6"/>
      <c r="W53" s="6"/>
      <c r="X53" s="613"/>
      <c r="Y53" s="929"/>
      <c r="Z53" s="6"/>
      <c r="AA53" s="605"/>
      <c r="AB53" s="613"/>
      <c r="AC53" s="622"/>
      <c r="AD53" s="572"/>
      <c r="AE53" s="605"/>
      <c r="AF53" s="6"/>
      <c r="AG53" s="613"/>
      <c r="AH53" s="614"/>
      <c r="AI53" s="605"/>
      <c r="AJ53" s="605"/>
      <c r="AK53" s="613"/>
      <c r="AM53" s="572"/>
      <c r="AN53" s="605"/>
      <c r="AO53" s="6"/>
      <c r="AP53" s="613"/>
      <c r="AQ53" s="614"/>
      <c r="AR53" s="605"/>
      <c r="AS53" s="6"/>
      <c r="AT53" s="613"/>
    </row>
    <row r="54" spans="1:46" ht="39.6" customHeight="1" x14ac:dyDescent="0.25">
      <c r="A54" s="2205"/>
      <c r="B54" s="924">
        <v>2</v>
      </c>
      <c r="C54" s="596"/>
      <c r="D54" s="596"/>
      <c r="E54" s="596"/>
      <c r="F54" s="597"/>
      <c r="G54" s="619"/>
      <c r="H54" s="619"/>
      <c r="I54" s="692"/>
      <c r="J54" s="635"/>
      <c r="K54" s="622"/>
      <c r="L54" s="572"/>
      <c r="M54" s="6"/>
      <c r="N54" s="6"/>
      <c r="O54" s="597"/>
      <c r="P54" s="619"/>
      <c r="Q54" s="619"/>
      <c r="R54" s="619"/>
      <c r="S54" s="635"/>
      <c r="T54" s="622"/>
      <c r="U54" s="572">
        <v>22</v>
      </c>
      <c r="V54" s="6">
        <v>29</v>
      </c>
      <c r="W54" s="6"/>
      <c r="X54" s="597"/>
      <c r="Y54" s="620" t="s">
        <v>193</v>
      </c>
      <c r="Z54" s="619" t="s">
        <v>665</v>
      </c>
      <c r="AA54" s="620"/>
      <c r="AB54" s="635"/>
      <c r="AC54" s="622"/>
      <c r="AD54" s="572"/>
      <c r="AE54" s="6"/>
      <c r="AF54" s="6"/>
      <c r="AG54" s="613"/>
      <c r="AH54" s="614"/>
      <c r="AI54" s="619"/>
      <c r="AJ54" s="6"/>
      <c r="AK54" s="635"/>
      <c r="AM54" s="572"/>
      <c r="AN54" s="6"/>
      <c r="AO54" s="6"/>
      <c r="AP54" s="597"/>
      <c r="AQ54" s="619"/>
      <c r="AR54" s="619"/>
      <c r="AS54" s="619"/>
      <c r="AT54" s="635"/>
    </row>
    <row r="55" spans="1:46" ht="39.6" customHeight="1" x14ac:dyDescent="0.25">
      <c r="A55" s="2206">
        <v>45073</v>
      </c>
      <c r="B55" s="574">
        <v>1</v>
      </c>
      <c r="C55" s="595"/>
      <c r="D55" s="596"/>
      <c r="E55" s="596"/>
      <c r="F55" s="597"/>
      <c r="G55" s="619"/>
      <c r="H55" s="619"/>
      <c r="I55" s="692"/>
      <c r="J55" s="613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/>
      <c r="X55" s="613"/>
      <c r="Y55" s="614"/>
      <c r="Z55" s="620"/>
      <c r="AA55" s="6"/>
      <c r="AB55" s="613"/>
      <c r="AC55" s="622"/>
      <c r="AD55" s="572"/>
      <c r="AE55" s="6"/>
      <c r="AF55" s="6"/>
      <c r="AG55" s="613"/>
      <c r="AH55" s="614"/>
      <c r="AI55" s="620"/>
      <c r="AJ55" s="6"/>
      <c r="AK55" s="613"/>
      <c r="AM55" s="572"/>
      <c r="AN55" s="6"/>
      <c r="AO55" s="6"/>
      <c r="AP55" s="613"/>
      <c r="AQ55" s="614"/>
      <c r="AR55" s="620"/>
      <c r="AS55" s="6"/>
      <c r="AT55" s="613"/>
    </row>
    <row r="56" spans="1:46" ht="94.15" customHeight="1" x14ac:dyDescent="0.25">
      <c r="A56" s="2205"/>
      <c r="B56" s="924">
        <v>2</v>
      </c>
      <c r="C56" s="595"/>
      <c r="D56" s="596"/>
      <c r="E56" s="596"/>
      <c r="F56" s="597"/>
      <c r="G56" s="620"/>
      <c r="H56" s="620"/>
      <c r="I56" s="620"/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>
        <v>138</v>
      </c>
      <c r="V56" s="6"/>
      <c r="W56" s="6">
        <v>26</v>
      </c>
      <c r="X56" s="597"/>
      <c r="Y56" s="937" t="s">
        <v>662</v>
      </c>
      <c r="Z56" s="619"/>
      <c r="AA56" s="620" t="s">
        <v>666</v>
      </c>
      <c r="AB56" s="635"/>
      <c r="AC56" s="622"/>
      <c r="AD56" s="572"/>
      <c r="AE56" s="6"/>
      <c r="AF56" s="6"/>
      <c r="AG56" s="597"/>
      <c r="AH56" s="620"/>
      <c r="AI56" s="619"/>
      <c r="AJ56" s="620"/>
      <c r="AK56" s="635"/>
      <c r="AM56" s="572"/>
      <c r="AN56" s="6"/>
      <c r="AO56" s="6"/>
      <c r="AP56" s="597"/>
      <c r="AQ56" s="620"/>
      <c r="AR56" s="619"/>
      <c r="AS56" s="620"/>
      <c r="AT56" s="635"/>
    </row>
    <row r="57" spans="1:46" ht="52.15" customHeight="1" x14ac:dyDescent="0.25">
      <c r="A57" s="2206">
        <v>45074</v>
      </c>
      <c r="B57" s="574">
        <v>1</v>
      </c>
      <c r="C57" s="595"/>
      <c r="D57" s="596"/>
      <c r="E57" s="596"/>
      <c r="F57" s="597"/>
      <c r="G57" s="620"/>
      <c r="H57" s="620"/>
      <c r="I57" s="692"/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/>
      <c r="X57" s="597"/>
      <c r="Y57" s="620"/>
      <c r="Z57" s="619"/>
      <c r="AA57" s="620"/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/>
      <c r="AP57" s="597"/>
      <c r="AQ57" s="620"/>
      <c r="AR57" s="619"/>
      <c r="AS57" s="620"/>
      <c r="AT57" s="635"/>
    </row>
    <row r="58" spans="1:46" ht="78" customHeight="1" x14ac:dyDescent="0.25">
      <c r="A58" s="2205"/>
      <c r="B58" s="924">
        <v>2</v>
      </c>
      <c r="C58" s="595"/>
      <c r="D58" s="596"/>
      <c r="E58" s="596"/>
      <c r="F58" s="597"/>
      <c r="G58" s="620"/>
      <c r="H58" s="619"/>
      <c r="I58" s="620"/>
      <c r="J58" s="635"/>
      <c r="K58" s="622"/>
      <c r="L58" s="572"/>
      <c r="M58" s="6"/>
      <c r="N58" s="6"/>
      <c r="O58" s="597"/>
      <c r="P58" s="620"/>
      <c r="Q58" s="619"/>
      <c r="R58" s="620"/>
      <c r="S58" s="635"/>
      <c r="T58" s="622"/>
      <c r="U58" s="572"/>
      <c r="V58" s="6"/>
      <c r="W58" s="6"/>
      <c r="X58" s="597"/>
      <c r="Y58" s="620"/>
      <c r="Z58" s="619"/>
      <c r="AA58" s="620"/>
      <c r="AB58" s="635"/>
      <c r="AC58" s="622"/>
      <c r="AD58" s="572"/>
      <c r="AE58" s="6"/>
      <c r="AF58" s="6"/>
      <c r="AG58" s="597"/>
      <c r="AH58" s="620"/>
      <c r="AI58" s="619"/>
      <c r="AJ58" s="620"/>
      <c r="AK58" s="635"/>
      <c r="AM58" s="572"/>
      <c r="AN58" s="6"/>
      <c r="AO58" s="6"/>
      <c r="AP58" s="597"/>
      <c r="AQ58" s="620"/>
      <c r="AR58" s="619"/>
      <c r="AS58" s="620"/>
      <c r="AT58" s="635"/>
    </row>
    <row r="59" spans="1:46" ht="73.150000000000006" customHeight="1" x14ac:dyDescent="0.25">
      <c r="A59" s="2206">
        <v>45075</v>
      </c>
      <c r="B59" s="574">
        <v>1</v>
      </c>
      <c r="C59" s="595"/>
      <c r="D59" s="596"/>
      <c r="E59" s="596"/>
      <c r="F59" s="597"/>
      <c r="G59" s="619"/>
      <c r="H59" s="619"/>
      <c r="I59" s="692"/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/>
      <c r="X59" s="613"/>
      <c r="Y59" s="614"/>
      <c r="Z59" s="6"/>
      <c r="AA59" s="605"/>
      <c r="AB59" s="635"/>
      <c r="AC59" s="622"/>
      <c r="AD59" s="572"/>
      <c r="AE59" s="6"/>
      <c r="AF59" s="6"/>
      <c r="AG59" s="613"/>
      <c r="AH59" s="929"/>
      <c r="AI59" s="6"/>
      <c r="AJ59" s="620"/>
      <c r="AK59" s="635"/>
      <c r="AM59" s="572"/>
      <c r="AN59" s="6"/>
      <c r="AO59" s="6"/>
      <c r="AP59" s="613"/>
      <c r="AQ59" s="929"/>
      <c r="AR59" s="6"/>
      <c r="AS59" s="620"/>
      <c r="AT59" s="635"/>
    </row>
    <row r="60" spans="1:46" ht="36" customHeight="1" x14ac:dyDescent="0.25">
      <c r="A60" s="2205"/>
      <c r="B60" s="924">
        <v>2</v>
      </c>
      <c r="C60" s="595"/>
      <c r="D60" s="596"/>
      <c r="E60" s="596"/>
      <c r="F60" s="597"/>
      <c r="G60" s="619"/>
      <c r="H60" s="620"/>
      <c r="I60" s="692"/>
      <c r="J60" s="635"/>
      <c r="K60" s="622"/>
      <c r="L60" s="572"/>
      <c r="M60" s="6"/>
      <c r="N60" s="6"/>
      <c r="O60" s="613"/>
      <c r="P60" s="614"/>
      <c r="Q60" s="6"/>
      <c r="R60" s="6"/>
      <c r="S60" s="635"/>
      <c r="T60" s="622"/>
      <c r="U60" s="572"/>
      <c r="V60" s="6"/>
      <c r="W60" s="6"/>
      <c r="X60" s="613"/>
      <c r="Y60" s="929"/>
      <c r="Z60" s="605"/>
      <c r="AA60" s="605"/>
      <c r="AB60" s="635"/>
      <c r="AC60" s="622"/>
      <c r="AD60" s="572"/>
      <c r="AE60" s="6"/>
      <c r="AF60" s="6"/>
      <c r="AG60" s="613"/>
      <c r="AH60" s="614"/>
      <c r="AI60" s="6"/>
      <c r="AJ60" s="605"/>
      <c r="AK60" s="635"/>
      <c r="AM60" s="572"/>
      <c r="AN60" s="6"/>
      <c r="AO60" s="6"/>
      <c r="AP60" s="613"/>
      <c r="AQ60" s="614"/>
      <c r="AR60" s="6"/>
      <c r="AS60" s="605"/>
      <c r="AT60" s="635"/>
    </row>
    <row r="61" spans="1:46" ht="32.450000000000003" customHeight="1" x14ac:dyDescent="0.25">
      <c r="A61" s="2206">
        <v>45076</v>
      </c>
      <c r="B61" s="574">
        <v>1</v>
      </c>
      <c r="C61" s="931"/>
      <c r="D61" s="933"/>
      <c r="E61" s="596"/>
      <c r="F61" s="749"/>
      <c r="G61" s="619"/>
      <c r="H61" s="932"/>
      <c r="I61" s="692"/>
      <c r="J61" s="687"/>
      <c r="K61" s="622"/>
      <c r="L61" s="572"/>
      <c r="M61" s="6"/>
      <c r="N61" s="6"/>
      <c r="O61" s="613"/>
      <c r="P61" s="752"/>
      <c r="Q61" s="930"/>
      <c r="R61" s="930"/>
      <c r="S61" s="753"/>
      <c r="T61" s="622"/>
      <c r="U61" s="572"/>
      <c r="V61" s="6"/>
      <c r="W61" s="6">
        <v>109</v>
      </c>
      <c r="X61" s="613"/>
      <c r="Y61" s="929"/>
      <c r="Z61" s="605"/>
      <c r="AA61" s="605" t="s">
        <v>193</v>
      </c>
      <c r="AB61" s="753"/>
      <c r="AC61" s="622"/>
      <c r="AD61" s="572"/>
      <c r="AE61" s="6"/>
      <c r="AF61" s="6"/>
      <c r="AG61" s="613"/>
      <c r="AH61" s="614"/>
      <c r="AI61" s="6"/>
      <c r="AJ61" s="605"/>
      <c r="AK61" s="753"/>
      <c r="AM61" s="572"/>
      <c r="AN61" s="6"/>
      <c r="AO61" s="6"/>
      <c r="AP61" s="613"/>
      <c r="AQ61" s="614"/>
      <c r="AR61" s="6"/>
      <c r="AS61" s="605"/>
      <c r="AT61" s="753"/>
    </row>
    <row r="62" spans="1:46" ht="33" customHeight="1" x14ac:dyDescent="0.25">
      <c r="A62" s="2205"/>
      <c r="B62" s="924">
        <v>2</v>
      </c>
      <c r="C62" s="931"/>
      <c r="D62" s="933"/>
      <c r="E62" s="933"/>
      <c r="F62" s="749"/>
      <c r="G62" s="926"/>
      <c r="H62" s="932"/>
      <c r="I62" s="692"/>
      <c r="J62" s="687"/>
      <c r="K62" s="622"/>
      <c r="L62" s="572"/>
      <c r="M62" s="6"/>
      <c r="N62" s="6"/>
      <c r="O62" s="613"/>
      <c r="P62" s="752"/>
      <c r="Q62" s="930"/>
      <c r="R62" s="930"/>
      <c r="S62" s="753"/>
      <c r="T62" s="622"/>
      <c r="U62" s="572"/>
      <c r="V62" s="6"/>
      <c r="W62" s="6"/>
      <c r="X62" s="613"/>
      <c r="Y62" s="929"/>
      <c r="Z62" s="605"/>
      <c r="AA62" s="605"/>
      <c r="AB62" s="753"/>
      <c r="AC62" s="622"/>
      <c r="AD62" s="572"/>
      <c r="AE62" s="6"/>
      <c r="AF62" s="6"/>
      <c r="AG62" s="613"/>
      <c r="AH62" s="614"/>
      <c r="AI62" s="6"/>
      <c r="AJ62" s="605"/>
      <c r="AK62" s="753"/>
      <c r="AM62" s="572"/>
      <c r="AN62" s="6"/>
      <c r="AO62" s="6"/>
      <c r="AP62" s="613"/>
      <c r="AQ62" s="614"/>
      <c r="AR62" s="6"/>
      <c r="AS62" s="605"/>
      <c r="AT62" s="753"/>
    </row>
    <row r="63" spans="1:46" ht="33.6" customHeight="1" x14ac:dyDescent="0.25">
      <c r="A63" s="2206">
        <v>45077</v>
      </c>
      <c r="B63" s="574">
        <v>1</v>
      </c>
      <c r="C63" s="706"/>
      <c r="D63" s="707"/>
      <c r="E63" s="707">
        <v>25</v>
      </c>
      <c r="F63" s="708"/>
      <c r="G63" s="717"/>
      <c r="H63" s="709"/>
      <c r="I63" s="620" t="s">
        <v>653</v>
      </c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/>
      <c r="X63" s="597"/>
      <c r="Y63" s="685"/>
      <c r="Z63" s="619"/>
      <c r="AA63" s="6"/>
      <c r="AB63" s="928"/>
      <c r="AC63" s="622"/>
      <c r="AD63" s="572"/>
      <c r="AE63" s="6"/>
      <c r="AF63" s="6"/>
      <c r="AG63" s="597"/>
      <c r="AH63" s="685"/>
      <c r="AI63" s="619"/>
      <c r="AJ63" s="6"/>
      <c r="AK63" s="705"/>
      <c r="AM63" s="572"/>
      <c r="AN63" s="6"/>
      <c r="AO63" s="6"/>
      <c r="AP63" s="597"/>
      <c r="AQ63" s="685"/>
      <c r="AR63" s="619"/>
      <c r="AS63" s="619"/>
      <c r="AT63" s="705"/>
    </row>
    <row r="64" spans="1:46" ht="30.6" customHeight="1" x14ac:dyDescent="0.25">
      <c r="A64" s="2205"/>
      <c r="B64" s="711">
        <v>2</v>
      </c>
      <c r="C64" s="729">
        <v>39</v>
      </c>
      <c r="D64" s="730"/>
      <c r="E64" s="730"/>
      <c r="F64" s="731">
        <v>91</v>
      </c>
      <c r="G64" s="732" t="s">
        <v>667</v>
      </c>
      <c r="H64" s="733"/>
      <c r="I64" s="734"/>
      <c r="J64" s="735" t="s">
        <v>668</v>
      </c>
      <c r="K64" s="622"/>
      <c r="L64" s="639"/>
      <c r="M64" s="638"/>
      <c r="N64" s="638"/>
      <c r="O64" s="636">
        <v>80</v>
      </c>
      <c r="P64" s="714"/>
      <c r="Q64" s="715"/>
      <c r="R64" s="715"/>
      <c r="S64" s="735" t="s">
        <v>668</v>
      </c>
      <c r="T64" s="622"/>
      <c r="U64" s="639"/>
      <c r="V64" s="638"/>
      <c r="W64" s="638"/>
      <c r="X64" s="636">
        <v>73</v>
      </c>
      <c r="Y64" s="637"/>
      <c r="Z64" s="638"/>
      <c r="AA64" s="671"/>
      <c r="AB64" s="735" t="s">
        <v>668</v>
      </c>
      <c r="AC64" s="622"/>
      <c r="AD64" s="639"/>
      <c r="AE64" s="638"/>
      <c r="AF64" s="638"/>
      <c r="AG64" s="636">
        <v>75</v>
      </c>
      <c r="AH64" s="637"/>
      <c r="AI64" s="638"/>
      <c r="AJ64" s="638"/>
      <c r="AK64" s="735" t="s">
        <v>668</v>
      </c>
      <c r="AM64" s="639"/>
      <c r="AN64" s="638"/>
      <c r="AO64" s="638"/>
      <c r="AP64" s="636">
        <v>87</v>
      </c>
      <c r="AQ64" s="637"/>
      <c r="AR64" s="638"/>
      <c r="AS64" s="638"/>
      <c r="AT64" s="735" t="s">
        <v>668</v>
      </c>
    </row>
    <row r="65" spans="1:42" ht="23.45" customHeight="1" x14ac:dyDescent="0.25">
      <c r="A65" s="524" t="s">
        <v>225</v>
      </c>
      <c r="C65" s="768">
        <f>SUM(C3:C64)</f>
        <v>732</v>
      </c>
      <c r="D65" s="525">
        <f>SUM(D3:D64)</f>
        <v>160</v>
      </c>
      <c r="E65" s="768">
        <f>SUM(E3:E64)</f>
        <v>296</v>
      </c>
      <c r="F65" s="525">
        <f>SUM(F3:F64)</f>
        <v>91</v>
      </c>
      <c r="L65" s="525">
        <f>SUM(L3:L64)</f>
        <v>1615</v>
      </c>
      <c r="M65" s="525">
        <f>SUM(M3:M64)</f>
        <v>203</v>
      </c>
      <c r="N65" s="525">
        <f>SUM(N3:N64)</f>
        <v>730</v>
      </c>
      <c r="O65" s="525">
        <f>SUM(O3:O64)</f>
        <v>80</v>
      </c>
      <c r="U65" s="525">
        <f>SUM(U3:U64)</f>
        <v>522</v>
      </c>
      <c r="V65" s="525">
        <f>SUM(V3:V64)</f>
        <v>310</v>
      </c>
      <c r="W65" s="525">
        <f>SUM(W3:W64)</f>
        <v>470</v>
      </c>
      <c r="X65" s="525">
        <f>SUM(X3:X64)</f>
        <v>73</v>
      </c>
      <c r="AD65" s="525">
        <f>SUM(AD3:AD64)</f>
        <v>1516</v>
      </c>
      <c r="AE65" s="525">
        <f>SUM(AE3:AE64)</f>
        <v>130</v>
      </c>
      <c r="AF65" s="525">
        <f>SUM(AF3:AF64)</f>
        <v>177</v>
      </c>
      <c r="AG65" s="525">
        <f>SUM(AG3:AG64)</f>
        <v>75</v>
      </c>
      <c r="AM65" s="525">
        <f>SUM(AM3:AM64)</f>
        <v>339</v>
      </c>
      <c r="AN65" s="525">
        <f>SUM(AN3:AN64)</f>
        <v>302</v>
      </c>
      <c r="AO65" s="525">
        <f>SUM(AO3:AO64)</f>
        <v>157</v>
      </c>
      <c r="AP65" s="525">
        <f>SUM(AP3:AP64)</f>
        <v>87</v>
      </c>
    </row>
    <row r="73" spans="1:42" ht="15.75" thickBot="1" x14ac:dyDescent="0.3"/>
    <row r="74" spans="1:42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2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2" ht="21.75" customHeight="1" x14ac:dyDescent="0.3">
      <c r="B76" s="651" t="s">
        <v>218</v>
      </c>
      <c r="C76" s="652">
        <f>C65</f>
        <v>732</v>
      </c>
      <c r="D76" s="653">
        <f>C76/60</f>
        <v>12.2</v>
      </c>
      <c r="E76" s="652">
        <f>D65</f>
        <v>160</v>
      </c>
      <c r="F76" s="654">
        <f>E76/60</f>
        <v>2.6666666666666665</v>
      </c>
      <c r="G76" s="652">
        <f>E65</f>
        <v>296</v>
      </c>
      <c r="H76" s="653">
        <f>G76/60</f>
        <v>4.9333333333333336</v>
      </c>
      <c r="I76" s="652">
        <f>F65</f>
        <v>91</v>
      </c>
      <c r="J76" s="653">
        <f>I76/60</f>
        <v>1.5166666666666666</v>
      </c>
    </row>
    <row r="77" spans="1:42" ht="19.5" customHeight="1" x14ac:dyDescent="0.3">
      <c r="B77" s="651" t="s">
        <v>219</v>
      </c>
      <c r="C77" s="655">
        <f>L65</f>
        <v>1615</v>
      </c>
      <c r="D77" s="656">
        <f t="shared" ref="D77:F79" si="0">C77/60</f>
        <v>26.916666666666668</v>
      </c>
      <c r="E77" s="655">
        <f>M65</f>
        <v>203</v>
      </c>
      <c r="F77" s="657">
        <f t="shared" si="0"/>
        <v>3.3833333333333333</v>
      </c>
      <c r="G77" s="655">
        <f>N65</f>
        <v>730</v>
      </c>
      <c r="H77" s="656">
        <f t="shared" ref="H77:J79" si="1">G77/60</f>
        <v>12.166666666666666</v>
      </c>
      <c r="I77" s="655">
        <f>O65</f>
        <v>80</v>
      </c>
      <c r="J77" s="656">
        <f t="shared" si="1"/>
        <v>1.3333333333333333</v>
      </c>
    </row>
    <row r="78" spans="1:42" ht="20.25" customHeight="1" x14ac:dyDescent="0.3">
      <c r="B78" s="651" t="s">
        <v>220</v>
      </c>
      <c r="C78" s="655">
        <f>U65</f>
        <v>522</v>
      </c>
      <c r="D78" s="656">
        <f t="shared" si="0"/>
        <v>8.6999999999999993</v>
      </c>
      <c r="E78" s="655">
        <f>V65</f>
        <v>310</v>
      </c>
      <c r="F78" s="657">
        <f t="shared" si="0"/>
        <v>5.166666666666667</v>
      </c>
      <c r="G78" s="655">
        <f>W65</f>
        <v>470</v>
      </c>
      <c r="H78" s="656">
        <f t="shared" si="1"/>
        <v>7.833333333333333</v>
      </c>
      <c r="I78" s="655">
        <f>X65</f>
        <v>73</v>
      </c>
      <c r="J78" s="656">
        <f t="shared" si="1"/>
        <v>1.2166666666666666</v>
      </c>
    </row>
    <row r="79" spans="1:42" ht="22.5" customHeight="1" thickBot="1" x14ac:dyDescent="0.35">
      <c r="B79" s="651" t="s">
        <v>221</v>
      </c>
      <c r="C79" s="658">
        <f>AD65</f>
        <v>1516</v>
      </c>
      <c r="D79" s="659">
        <f t="shared" si="0"/>
        <v>25.266666666666666</v>
      </c>
      <c r="E79" s="658">
        <f>AE65</f>
        <v>130</v>
      </c>
      <c r="F79" s="660">
        <f t="shared" si="0"/>
        <v>2.1666666666666665</v>
      </c>
      <c r="G79" s="658">
        <f>AF65</f>
        <v>177</v>
      </c>
      <c r="H79" s="659">
        <f t="shared" si="1"/>
        <v>2.95</v>
      </c>
      <c r="I79" s="658">
        <f>AG65</f>
        <v>75</v>
      </c>
      <c r="J79" s="659">
        <f t="shared" si="1"/>
        <v>1.25</v>
      </c>
    </row>
    <row r="80" spans="1:42" ht="22.5" customHeight="1" thickBot="1" x14ac:dyDescent="0.35">
      <c r="B80" s="651" t="s">
        <v>488</v>
      </c>
      <c r="C80" s="850">
        <f>AM65</f>
        <v>339</v>
      </c>
      <c r="D80" s="849">
        <f>C80/60</f>
        <v>5.65</v>
      </c>
      <c r="E80" s="850">
        <f>AN65</f>
        <v>302</v>
      </c>
      <c r="F80" s="851">
        <f>E80/60</f>
        <v>5.0333333333333332</v>
      </c>
      <c r="G80" s="850">
        <f>AO65</f>
        <v>157</v>
      </c>
      <c r="H80" s="849">
        <f>G80/60</f>
        <v>2.6166666666666667</v>
      </c>
      <c r="I80" s="850">
        <f>AP65</f>
        <v>87</v>
      </c>
      <c r="J80" s="849">
        <f>I80/60</f>
        <v>1.45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78.733333333333334</v>
      </c>
      <c r="E82" s="666"/>
      <c r="F82" s="667">
        <f>SUM(F76:F80)</f>
        <v>18.416666666666664</v>
      </c>
      <c r="G82" s="666"/>
      <c r="H82" s="667">
        <f>SUM(H76:H80)</f>
        <v>30.5</v>
      </c>
      <c r="I82" s="666"/>
      <c r="J82" s="668">
        <f>AVERAGE(J76:J80)</f>
        <v>1.3533333333333333</v>
      </c>
    </row>
  </sheetData>
  <mergeCells count="45">
    <mergeCell ref="A5:A6"/>
    <mergeCell ref="C1:F1"/>
    <mergeCell ref="G1:J1"/>
    <mergeCell ref="L1:O1"/>
    <mergeCell ref="P1:S1"/>
    <mergeCell ref="AD1:AG1"/>
    <mergeCell ref="AH1:AK1"/>
    <mergeCell ref="AM1:AP1"/>
    <mergeCell ref="AQ1:AT1"/>
    <mergeCell ref="A3:A4"/>
    <mergeCell ref="U1:X1"/>
    <mergeCell ref="Y1:AB1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</mergeCells>
  <pageMargins left="0.7" right="0.7" top="0.75" bottom="0.75" header="0.3" footer="0.3"/>
  <pageSetup paperSize="9" orientation="portrait" horizontalDpi="180" verticalDpi="18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2"/>
  <sheetViews>
    <sheetView zoomScale="55" zoomScaleNormal="55" workbookViewId="0">
      <pane xSplit="2" ySplit="2" topLeftCell="C66" activePane="bottomRight" state="frozen"/>
      <selection pane="topRight" activeCell="C1" sqref="C1"/>
      <selection pane="bottomLeft" activeCell="A3" sqref="A3"/>
      <selection pane="bottomRight" activeCell="I62" sqref="I62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21.140625" style="524" customWidth="1"/>
    <col min="8" max="8" width="27.285156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3" style="524" customWidth="1"/>
    <col min="17" max="17" width="25.7109375" style="524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2.42578125" style="524" customWidth="1"/>
    <col min="28" max="28" width="27" style="524" customWidth="1"/>
    <col min="29" max="33" width="10.7109375" style="524" customWidth="1"/>
    <col min="34" max="34" width="28.7109375" style="524" customWidth="1"/>
    <col min="35" max="35" width="18.5703125" style="524" customWidth="1"/>
    <col min="36" max="36" width="25.28515625" style="524" customWidth="1"/>
    <col min="37" max="37" width="26" style="524" customWidth="1"/>
    <col min="38" max="38" width="8.85546875" style="524"/>
    <col min="39" max="43" width="10.7109375" style="524" customWidth="1"/>
    <col min="44" max="44" width="21.140625" style="524" customWidth="1"/>
    <col min="45" max="45" width="26.28515625" style="524" customWidth="1"/>
    <col min="46" max="47" width="24.42578125" style="524" customWidth="1"/>
    <col min="48" max="48" width="26.5703125" style="524" customWidth="1"/>
    <col min="49" max="16384" width="8.85546875" style="524"/>
  </cols>
  <sheetData>
    <row r="1" spans="1:48" x14ac:dyDescent="0.25">
      <c r="C1" s="2217" t="s">
        <v>1</v>
      </c>
      <c r="D1" s="2212"/>
      <c r="E1" s="2212"/>
      <c r="F1" s="2212"/>
      <c r="G1" s="2211" t="s">
        <v>206</v>
      </c>
      <c r="H1" s="2209"/>
      <c r="I1" s="2209"/>
      <c r="J1" s="2210"/>
      <c r="L1" s="2212" t="s">
        <v>4</v>
      </c>
      <c r="M1" s="2212"/>
      <c r="N1" s="2212"/>
      <c r="O1" s="2212"/>
      <c r="P1" s="2209" t="s">
        <v>206</v>
      </c>
      <c r="Q1" s="2209"/>
      <c r="R1" s="2209"/>
      <c r="S1" s="2210"/>
      <c r="U1" s="2212" t="s">
        <v>2</v>
      </c>
      <c r="V1" s="2212"/>
      <c r="W1" s="2212"/>
      <c r="X1" s="2212"/>
      <c r="Y1" s="2209" t="s">
        <v>206</v>
      </c>
      <c r="Z1" s="2209"/>
      <c r="AA1" s="2209"/>
      <c r="AB1" s="2210"/>
      <c r="AD1" s="2212" t="s">
        <v>5</v>
      </c>
      <c r="AE1" s="2212"/>
      <c r="AF1" s="2212"/>
      <c r="AG1" s="2212"/>
      <c r="AH1" s="2209" t="s">
        <v>206</v>
      </c>
      <c r="AI1" s="2209"/>
      <c r="AJ1" s="2209"/>
      <c r="AK1" s="2210"/>
      <c r="AM1" s="2212" t="s">
        <v>482</v>
      </c>
      <c r="AN1" s="2212"/>
      <c r="AO1" s="2212"/>
      <c r="AP1" s="2212"/>
      <c r="AQ1" s="2212"/>
      <c r="AR1" s="2209" t="s">
        <v>206</v>
      </c>
      <c r="AS1" s="2209"/>
      <c r="AT1" s="2209"/>
      <c r="AU1" s="2209"/>
      <c r="AV1" s="2210"/>
    </row>
    <row r="2" spans="1:48" ht="42.6" customHeight="1" x14ac:dyDescent="0.25">
      <c r="A2" s="938" t="s">
        <v>0</v>
      </c>
      <c r="B2" s="528" t="s">
        <v>198</v>
      </c>
      <c r="C2" s="529" t="s">
        <v>199</v>
      </c>
      <c r="D2" s="526" t="s">
        <v>200</v>
      </c>
      <c r="E2" s="526" t="s">
        <v>201</v>
      </c>
      <c r="F2" s="526" t="s">
        <v>204</v>
      </c>
      <c r="G2" s="575" t="s">
        <v>199</v>
      </c>
      <c r="H2" s="575" t="s">
        <v>200</v>
      </c>
      <c r="I2" s="575" t="s">
        <v>201</v>
      </c>
      <c r="J2" s="575" t="s">
        <v>204</v>
      </c>
      <c r="K2" s="524" t="s">
        <v>269</v>
      </c>
      <c r="L2" s="526" t="s">
        <v>199</v>
      </c>
      <c r="M2" s="526" t="s">
        <v>200</v>
      </c>
      <c r="N2" s="526" t="s">
        <v>201</v>
      </c>
      <c r="O2" s="526" t="s">
        <v>204</v>
      </c>
      <c r="P2" s="527" t="s">
        <v>199</v>
      </c>
      <c r="Q2" s="526" t="s">
        <v>200</v>
      </c>
      <c r="R2" s="526" t="s">
        <v>201</v>
      </c>
      <c r="S2" s="526" t="s">
        <v>204</v>
      </c>
      <c r="U2" s="526" t="s">
        <v>199</v>
      </c>
      <c r="V2" s="526" t="s">
        <v>200</v>
      </c>
      <c r="W2" s="526" t="s">
        <v>201</v>
      </c>
      <c r="X2" s="526" t="s">
        <v>204</v>
      </c>
      <c r="Y2" s="650" t="s">
        <v>199</v>
      </c>
      <c r="Z2" s="526" t="s">
        <v>200</v>
      </c>
      <c r="AA2" s="526" t="s">
        <v>201</v>
      </c>
      <c r="AB2" s="526" t="s">
        <v>204</v>
      </c>
      <c r="AD2" s="526" t="s">
        <v>199</v>
      </c>
      <c r="AE2" s="526" t="s">
        <v>200</v>
      </c>
      <c r="AF2" s="526" t="s">
        <v>201</v>
      </c>
      <c r="AG2" s="526" t="s">
        <v>204</v>
      </c>
      <c r="AH2" s="527" t="s">
        <v>199</v>
      </c>
      <c r="AI2" s="526" t="s">
        <v>200</v>
      </c>
      <c r="AJ2" s="526" t="s">
        <v>201</v>
      </c>
      <c r="AK2" s="526" t="s">
        <v>204</v>
      </c>
      <c r="AM2" s="526" t="s">
        <v>199</v>
      </c>
      <c r="AN2" s="526" t="s">
        <v>200</v>
      </c>
      <c r="AO2" s="526" t="s">
        <v>201</v>
      </c>
      <c r="AP2" s="526" t="s">
        <v>204</v>
      </c>
      <c r="AQ2" s="526" t="s">
        <v>204</v>
      </c>
      <c r="AR2" s="527" t="s">
        <v>199</v>
      </c>
      <c r="AS2" s="526" t="s">
        <v>200</v>
      </c>
      <c r="AT2" s="526" t="s">
        <v>201</v>
      </c>
      <c r="AU2" s="526" t="s">
        <v>204</v>
      </c>
      <c r="AV2" s="526" t="s">
        <v>204</v>
      </c>
    </row>
    <row r="3" spans="1:48" ht="30" customHeight="1" x14ac:dyDescent="0.25">
      <c r="A3" s="2206">
        <v>45078</v>
      </c>
      <c r="B3" s="940">
        <v>1</v>
      </c>
      <c r="C3" s="592"/>
      <c r="D3" s="593"/>
      <c r="E3" s="847"/>
      <c r="F3" s="594"/>
      <c r="G3" s="685"/>
      <c r="H3" s="619"/>
      <c r="I3" s="848"/>
      <c r="J3" s="686"/>
      <c r="K3" s="622"/>
      <c r="L3" s="612"/>
      <c r="M3" s="630"/>
      <c r="N3" s="630"/>
      <c r="O3" s="628"/>
      <c r="P3" s="629"/>
      <c r="Q3" s="699"/>
      <c r="R3" s="699"/>
      <c r="S3" s="628"/>
      <c r="T3" s="622"/>
      <c r="U3" s="612"/>
      <c r="V3" s="630"/>
      <c r="W3" s="630"/>
      <c r="X3" s="613"/>
      <c r="Y3" s="944"/>
      <c r="Z3" s="629"/>
      <c r="AA3" s="719"/>
      <c r="AB3" s="720"/>
      <c r="AC3" s="622"/>
      <c r="AD3" s="612"/>
      <c r="AE3" s="630"/>
      <c r="AF3" s="6"/>
      <c r="AG3" s="628"/>
      <c r="AH3" s="629"/>
      <c r="AI3" s="629"/>
      <c r="AJ3" s="605"/>
      <c r="AK3" s="628"/>
      <c r="AM3" s="612"/>
      <c r="AN3" s="630"/>
      <c r="AO3" s="6"/>
      <c r="AP3" s="962"/>
      <c r="AQ3" s="628"/>
      <c r="AR3" s="629"/>
      <c r="AS3" s="630"/>
      <c r="AT3" s="6"/>
      <c r="AU3" s="962"/>
      <c r="AV3" s="628"/>
    </row>
    <row r="4" spans="1:48" ht="36.6" customHeight="1" x14ac:dyDescent="0.25">
      <c r="A4" s="2205"/>
      <c r="B4" s="574">
        <v>2</v>
      </c>
      <c r="C4" s="595"/>
      <c r="D4" s="596"/>
      <c r="E4" s="596"/>
      <c r="F4" s="597"/>
      <c r="G4" s="685"/>
      <c r="H4" s="619"/>
      <c r="I4" s="620"/>
      <c r="J4" s="687"/>
      <c r="K4" s="622"/>
      <c r="L4" s="572"/>
      <c r="M4" s="6"/>
      <c r="N4" s="6"/>
      <c r="O4" s="613"/>
      <c r="P4" s="614"/>
      <c r="Q4" s="619"/>
      <c r="R4" s="946"/>
      <c r="S4" s="613"/>
      <c r="T4" s="622"/>
      <c r="U4" s="572"/>
      <c r="V4" s="605"/>
      <c r="W4" s="6"/>
      <c r="X4" s="613"/>
      <c r="Y4" s="944"/>
      <c r="Z4" s="619"/>
      <c r="AA4" s="698"/>
      <c r="AB4" s="722"/>
      <c r="AC4" s="622"/>
      <c r="AD4" s="572"/>
      <c r="AE4" s="6"/>
      <c r="AF4" s="6"/>
      <c r="AG4" s="613"/>
      <c r="AH4" s="614"/>
      <c r="AI4" s="619"/>
      <c r="AJ4" s="6"/>
      <c r="AK4" s="613"/>
      <c r="AM4" s="572"/>
      <c r="AN4" s="6"/>
      <c r="AO4" s="6"/>
      <c r="AP4" s="50"/>
      <c r="AQ4" s="613"/>
      <c r="AR4" s="614"/>
      <c r="AS4" s="620"/>
      <c r="AT4" s="6"/>
      <c r="AU4" s="50"/>
      <c r="AV4" s="613"/>
    </row>
    <row r="5" spans="1:48" ht="60" customHeight="1" x14ac:dyDescent="0.25">
      <c r="A5" s="2206">
        <v>45079</v>
      </c>
      <c r="B5" s="574">
        <v>1</v>
      </c>
      <c r="C5" s="595"/>
      <c r="D5" s="596"/>
      <c r="E5" s="596">
        <v>27</v>
      </c>
      <c r="F5" s="597"/>
      <c r="G5" s="685"/>
      <c r="H5" s="619"/>
      <c r="I5" s="620" t="s">
        <v>152</v>
      </c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/>
      <c r="X5" s="613"/>
      <c r="Y5" s="944"/>
      <c r="Z5" s="6"/>
      <c r="AA5" s="719"/>
      <c r="AB5" s="723"/>
      <c r="AC5" s="622"/>
      <c r="AD5" s="572"/>
      <c r="AE5" s="6"/>
      <c r="AF5" s="6"/>
      <c r="AG5" s="613"/>
      <c r="AH5" s="614"/>
      <c r="AI5" s="6"/>
      <c r="AJ5" s="719"/>
      <c r="AK5" s="613"/>
      <c r="AM5" s="572"/>
      <c r="AN5" s="6"/>
      <c r="AO5" s="6"/>
      <c r="AP5" s="50"/>
      <c r="AQ5" s="613">
        <v>634</v>
      </c>
      <c r="AR5" s="614"/>
      <c r="AS5" s="6"/>
      <c r="AT5" s="605"/>
      <c r="AU5" s="828"/>
      <c r="AV5" s="634" t="s">
        <v>669</v>
      </c>
    </row>
    <row r="6" spans="1:48" ht="80.45" customHeight="1" x14ac:dyDescent="0.25">
      <c r="A6" s="2205"/>
      <c r="B6" s="574">
        <v>2</v>
      </c>
      <c r="C6" s="595"/>
      <c r="D6" s="596"/>
      <c r="E6" s="596">
        <v>20</v>
      </c>
      <c r="F6" s="597"/>
      <c r="G6" s="684"/>
      <c r="H6" s="619"/>
      <c r="I6" s="620" t="s">
        <v>670</v>
      </c>
      <c r="J6" s="687"/>
      <c r="K6" s="622"/>
      <c r="L6" s="572"/>
      <c r="M6" s="6"/>
      <c r="N6" s="6"/>
      <c r="O6" s="613"/>
      <c r="P6" s="614"/>
      <c r="Q6" s="619"/>
      <c r="R6" s="6"/>
      <c r="S6" s="613"/>
      <c r="T6" s="622"/>
      <c r="U6" s="572"/>
      <c r="V6" s="6"/>
      <c r="W6" s="6"/>
      <c r="X6" s="613"/>
      <c r="Y6" s="944"/>
      <c r="Z6" s="6"/>
      <c r="AA6" s="698"/>
      <c r="AB6" s="613"/>
      <c r="AC6" s="622"/>
      <c r="AD6" s="572"/>
      <c r="AE6" s="6"/>
      <c r="AF6" s="6"/>
      <c r="AG6" s="613"/>
      <c r="AH6" s="614"/>
      <c r="AI6" s="6"/>
      <c r="AJ6" s="6"/>
      <c r="AK6" s="613"/>
      <c r="AM6" s="572"/>
      <c r="AN6" s="6"/>
      <c r="AO6" s="6"/>
      <c r="AP6" s="50"/>
      <c r="AQ6" s="613">
        <v>720</v>
      </c>
      <c r="AR6" s="614"/>
      <c r="AS6" s="6"/>
      <c r="AT6" s="605"/>
      <c r="AU6" s="828"/>
      <c r="AV6" s="634" t="s">
        <v>669</v>
      </c>
    </row>
    <row r="7" spans="1:48" ht="71.45" customHeight="1" x14ac:dyDescent="0.25">
      <c r="A7" s="2206">
        <v>45080</v>
      </c>
      <c r="B7" s="574">
        <v>1</v>
      </c>
      <c r="C7" s="595"/>
      <c r="D7" s="596"/>
      <c r="E7" s="596"/>
      <c r="F7" s="597"/>
      <c r="G7" s="685"/>
      <c r="H7" s="620"/>
      <c r="I7" s="620"/>
      <c r="J7" s="687"/>
      <c r="K7" s="622"/>
      <c r="L7" s="572"/>
      <c r="M7" s="614"/>
      <c r="N7" s="6"/>
      <c r="O7" s="613"/>
      <c r="P7" s="614"/>
      <c r="Q7" s="614"/>
      <c r="R7" s="6"/>
      <c r="S7" s="613"/>
      <c r="T7" s="622"/>
      <c r="U7" s="572"/>
      <c r="V7" s="6"/>
      <c r="W7" s="6"/>
      <c r="X7" s="613"/>
      <c r="Y7" s="614"/>
      <c r="Z7" s="6"/>
      <c r="AA7" s="698"/>
      <c r="AB7" s="613"/>
      <c r="AC7" s="622"/>
      <c r="AD7" s="572"/>
      <c r="AE7" s="6"/>
      <c r="AF7" s="6">
        <v>10</v>
      </c>
      <c r="AG7" s="613"/>
      <c r="AH7" s="614"/>
      <c r="AI7" s="6"/>
      <c r="AJ7" s="620" t="s">
        <v>152</v>
      </c>
      <c r="AK7" s="613"/>
      <c r="AM7" s="572"/>
      <c r="AN7" s="6"/>
      <c r="AO7" s="6"/>
      <c r="AP7" s="50"/>
      <c r="AQ7" s="613">
        <v>720</v>
      </c>
      <c r="AR7" s="614"/>
      <c r="AS7" s="6"/>
      <c r="AT7" s="620"/>
      <c r="AU7" s="692"/>
      <c r="AV7" s="634" t="s">
        <v>669</v>
      </c>
    </row>
    <row r="8" spans="1:48" ht="69.599999999999994" customHeight="1" x14ac:dyDescent="0.25">
      <c r="A8" s="2205"/>
      <c r="B8" s="574">
        <v>2</v>
      </c>
      <c r="C8" s="595"/>
      <c r="D8" s="596"/>
      <c r="E8" s="596">
        <v>10</v>
      </c>
      <c r="F8" s="597"/>
      <c r="G8" s="684"/>
      <c r="H8" s="620"/>
      <c r="I8" s="620" t="s">
        <v>152</v>
      </c>
      <c r="J8" s="635"/>
      <c r="K8" s="622"/>
      <c r="L8" s="572"/>
      <c r="M8" s="6"/>
      <c r="N8" s="6"/>
      <c r="O8" s="613"/>
      <c r="P8" s="944"/>
      <c r="Q8" s="605"/>
      <c r="R8" s="605"/>
      <c r="S8" s="635"/>
      <c r="T8" s="622"/>
      <c r="U8" s="572"/>
      <c r="V8" s="831"/>
      <c r="W8" s="614">
        <v>10</v>
      </c>
      <c r="X8" s="613"/>
      <c r="Y8" s="944"/>
      <c r="Z8" s="6"/>
      <c r="AA8" s="6" t="s">
        <v>152</v>
      </c>
      <c r="AB8" s="635"/>
      <c r="AC8" s="622"/>
      <c r="AD8" s="572"/>
      <c r="AE8" s="6"/>
      <c r="AF8" s="6">
        <v>10</v>
      </c>
      <c r="AG8" s="613"/>
      <c r="AH8" s="614"/>
      <c r="AI8" s="605"/>
      <c r="AJ8" s="620" t="s">
        <v>152</v>
      </c>
      <c r="AK8" s="635"/>
      <c r="AM8" s="572"/>
      <c r="AN8" s="6"/>
      <c r="AO8" s="6"/>
      <c r="AP8" s="50"/>
      <c r="AQ8" s="613">
        <v>720</v>
      </c>
      <c r="AR8" s="614"/>
      <c r="AS8" s="6"/>
      <c r="AT8" s="6"/>
      <c r="AU8" s="50"/>
      <c r="AV8" s="634" t="s">
        <v>669</v>
      </c>
    </row>
    <row r="9" spans="1:48" ht="76.900000000000006" customHeight="1" x14ac:dyDescent="0.25">
      <c r="A9" s="2206">
        <v>45081</v>
      </c>
      <c r="B9" s="574">
        <v>1</v>
      </c>
      <c r="C9" s="595"/>
      <c r="D9" s="596"/>
      <c r="E9" s="596">
        <v>21</v>
      </c>
      <c r="F9" s="597"/>
      <c r="G9" s="684"/>
      <c r="H9" s="619"/>
      <c r="I9" s="620" t="s">
        <v>152</v>
      </c>
      <c r="J9" s="635"/>
      <c r="K9" s="622"/>
      <c r="L9" s="572"/>
      <c r="M9" s="6"/>
      <c r="N9" s="6"/>
      <c r="O9" s="613"/>
      <c r="P9" s="944"/>
      <c r="Q9" s="620"/>
      <c r="R9" s="605"/>
      <c r="S9" s="635"/>
      <c r="T9" s="622"/>
      <c r="U9" s="572"/>
      <c r="V9" s="6"/>
      <c r="W9" s="6"/>
      <c r="X9" s="613"/>
      <c r="Y9" s="614"/>
      <c r="Z9" s="6"/>
      <c r="AA9" s="6"/>
      <c r="AB9" s="635"/>
      <c r="AC9" s="622"/>
      <c r="AD9" s="572"/>
      <c r="AE9" s="6"/>
      <c r="AF9" s="6">
        <v>10</v>
      </c>
      <c r="AG9" s="613"/>
      <c r="AH9" s="614"/>
      <c r="AI9" s="6"/>
      <c r="AJ9" s="6" t="s">
        <v>336</v>
      </c>
      <c r="AK9" s="635"/>
      <c r="AM9" s="572"/>
      <c r="AN9" s="6"/>
      <c r="AO9" s="6"/>
      <c r="AP9" s="50"/>
      <c r="AQ9" s="613">
        <v>720</v>
      </c>
      <c r="AR9" s="614"/>
      <c r="AS9" s="6"/>
      <c r="AT9" s="605"/>
      <c r="AU9" s="828"/>
      <c r="AV9" s="634" t="s">
        <v>671</v>
      </c>
    </row>
    <row r="10" spans="1:48" ht="67.150000000000006" customHeight="1" x14ac:dyDescent="0.25">
      <c r="A10" s="2205"/>
      <c r="B10" s="574">
        <v>2</v>
      </c>
      <c r="C10" s="595"/>
      <c r="D10" s="596"/>
      <c r="E10" s="596">
        <v>25</v>
      </c>
      <c r="F10" s="597"/>
      <c r="G10" s="685"/>
      <c r="H10" s="619"/>
      <c r="I10" s="848" t="s">
        <v>152</v>
      </c>
      <c r="J10" s="635"/>
      <c r="K10" s="622"/>
      <c r="L10" s="572"/>
      <c r="M10" s="6"/>
      <c r="N10" s="6"/>
      <c r="O10" s="613"/>
      <c r="P10" s="944"/>
      <c r="Q10" s="6"/>
      <c r="R10" s="605"/>
      <c r="S10" s="635"/>
      <c r="T10" s="622"/>
      <c r="U10" s="572">
        <v>600</v>
      </c>
      <c r="V10" s="6"/>
      <c r="W10" s="6">
        <v>35</v>
      </c>
      <c r="X10" s="613"/>
      <c r="Y10" s="567" t="s">
        <v>491</v>
      </c>
      <c r="Z10" s="944"/>
      <c r="AA10" s="698" t="s">
        <v>562</v>
      </c>
      <c r="AB10" s="635"/>
      <c r="AC10" s="622"/>
      <c r="AD10" s="572"/>
      <c r="AE10" s="6">
        <v>10</v>
      </c>
      <c r="AF10" s="6"/>
      <c r="AG10" s="613"/>
      <c r="AH10" s="944"/>
      <c r="AI10" s="605" t="s">
        <v>672</v>
      </c>
      <c r="AJ10" s="6"/>
      <c r="AK10" s="635"/>
      <c r="AM10" s="572"/>
      <c r="AN10" s="6"/>
      <c r="AO10" s="6"/>
      <c r="AP10" s="50"/>
      <c r="AQ10" s="613">
        <v>720</v>
      </c>
      <c r="AR10" s="614"/>
      <c r="AS10" s="6"/>
      <c r="AT10" s="6"/>
      <c r="AU10" s="50"/>
      <c r="AV10" s="634" t="s">
        <v>671</v>
      </c>
    </row>
    <row r="11" spans="1:48" ht="60" customHeight="1" x14ac:dyDescent="0.25">
      <c r="A11" s="2206">
        <v>45082</v>
      </c>
      <c r="B11" s="574">
        <v>1</v>
      </c>
      <c r="C11" s="595"/>
      <c r="D11" s="596"/>
      <c r="E11" s="596"/>
      <c r="F11" s="597"/>
      <c r="G11" s="684"/>
      <c r="H11" s="619"/>
      <c r="I11" s="620"/>
      <c r="J11" s="687"/>
      <c r="K11" s="622"/>
      <c r="L11" s="572"/>
      <c r="M11" s="6"/>
      <c r="N11" s="6"/>
      <c r="O11" s="613"/>
      <c r="P11" s="944"/>
      <c r="Q11" s="6"/>
      <c r="R11" s="605"/>
      <c r="S11" s="613"/>
      <c r="T11" s="622"/>
      <c r="U11" s="572"/>
      <c r="V11" s="6"/>
      <c r="W11" s="6"/>
      <c r="X11" s="613"/>
      <c r="Y11" s="614"/>
      <c r="Z11" s="6"/>
      <c r="AA11" s="6"/>
      <c r="AB11" s="613"/>
      <c r="AC11" s="622"/>
      <c r="AD11" s="572"/>
      <c r="AE11" s="6"/>
      <c r="AF11" s="6"/>
      <c r="AG11" s="613"/>
      <c r="AH11" s="614"/>
      <c r="AI11" s="6"/>
      <c r="AJ11" s="6"/>
      <c r="AK11" s="613"/>
      <c r="AM11" s="572"/>
      <c r="AN11" s="6"/>
      <c r="AO11" s="6"/>
      <c r="AP11" s="50"/>
      <c r="AQ11" s="613">
        <v>60</v>
      </c>
      <c r="AR11" s="614"/>
      <c r="AS11" s="6"/>
      <c r="AT11" s="6"/>
      <c r="AU11" s="50"/>
      <c r="AV11" s="634" t="s">
        <v>671</v>
      </c>
    </row>
    <row r="12" spans="1:48" ht="36.6" customHeight="1" x14ac:dyDescent="0.25">
      <c r="A12" s="2205"/>
      <c r="B12" s="574">
        <v>2</v>
      </c>
      <c r="C12" s="595"/>
      <c r="D12" s="596"/>
      <c r="E12" s="596"/>
      <c r="F12" s="597"/>
      <c r="G12" s="685"/>
      <c r="H12" s="619"/>
      <c r="I12" s="620"/>
      <c r="J12" s="635"/>
      <c r="K12" s="622"/>
      <c r="L12" s="572"/>
      <c r="M12" s="6"/>
      <c r="N12" s="6"/>
      <c r="O12" s="613"/>
      <c r="P12" s="944"/>
      <c r="Q12" s="6"/>
      <c r="R12" s="605"/>
      <c r="S12" s="635"/>
      <c r="T12" s="622"/>
      <c r="U12" s="572"/>
      <c r="V12" s="6"/>
      <c r="W12" s="6"/>
      <c r="X12" s="613"/>
      <c r="Y12" s="614"/>
      <c r="Z12" s="6"/>
      <c r="AA12" s="721"/>
      <c r="AB12" s="635"/>
      <c r="AC12" s="622"/>
      <c r="AD12" s="572">
        <v>45</v>
      </c>
      <c r="AE12" s="6">
        <v>53</v>
      </c>
      <c r="AF12" s="6">
        <v>16</v>
      </c>
      <c r="AG12" s="613"/>
      <c r="AH12" s="614" t="s">
        <v>673</v>
      </c>
      <c r="AI12" s="605" t="s">
        <v>672</v>
      </c>
      <c r="AJ12" s="6" t="s">
        <v>455</v>
      </c>
      <c r="AK12" s="635"/>
      <c r="AM12" s="572"/>
      <c r="AN12" s="6"/>
      <c r="AO12" s="6"/>
      <c r="AP12" s="50"/>
      <c r="AQ12" s="613"/>
      <c r="AR12" s="614"/>
      <c r="AS12" s="6"/>
      <c r="AT12" s="6"/>
      <c r="AU12" s="50"/>
      <c r="AV12" s="635"/>
    </row>
    <row r="13" spans="1:48" ht="34.9" customHeight="1" x14ac:dyDescent="0.25">
      <c r="A13" s="2206">
        <v>45083</v>
      </c>
      <c r="B13" s="574">
        <v>1</v>
      </c>
      <c r="C13" s="595"/>
      <c r="D13" s="596"/>
      <c r="E13" s="596"/>
      <c r="F13" s="597"/>
      <c r="G13" s="685"/>
      <c r="H13" s="619"/>
      <c r="I13" s="620"/>
      <c r="J13" s="635"/>
      <c r="K13" s="622"/>
      <c r="L13" s="572"/>
      <c r="M13" s="6"/>
      <c r="N13" s="6"/>
      <c r="O13" s="597"/>
      <c r="P13" s="944"/>
      <c r="Q13" s="6"/>
      <c r="R13" s="605"/>
      <c r="S13" s="635"/>
      <c r="T13" s="622"/>
      <c r="U13" s="572"/>
      <c r="V13" s="6"/>
      <c r="W13" s="6"/>
      <c r="X13" s="597"/>
      <c r="Y13" s="944"/>
      <c r="Z13" s="605"/>
      <c r="AA13" s="6"/>
      <c r="AB13" s="635"/>
      <c r="AC13" s="622"/>
      <c r="AD13" s="572"/>
      <c r="AE13" s="6"/>
      <c r="AF13" s="6"/>
      <c r="AG13" s="597"/>
      <c r="AH13" s="614"/>
      <c r="AI13" s="6"/>
      <c r="AJ13" s="6"/>
      <c r="AK13" s="635"/>
      <c r="AM13" s="572"/>
      <c r="AN13" s="6"/>
      <c r="AO13" s="6"/>
      <c r="AP13" s="50"/>
      <c r="AQ13" s="597"/>
      <c r="AR13" s="614"/>
      <c r="AS13" s="6"/>
      <c r="AT13" s="6"/>
      <c r="AU13" s="50"/>
      <c r="AV13" s="635"/>
    </row>
    <row r="14" spans="1:48" ht="49.15" customHeight="1" x14ac:dyDescent="0.25">
      <c r="A14" s="2205"/>
      <c r="B14" s="574">
        <v>2</v>
      </c>
      <c r="C14" s="595"/>
      <c r="D14" s="596"/>
      <c r="E14" s="596"/>
      <c r="F14" s="597"/>
      <c r="G14" s="685"/>
      <c r="H14" s="620"/>
      <c r="I14" s="620"/>
      <c r="J14" s="635"/>
      <c r="K14" s="622"/>
      <c r="L14" s="572"/>
      <c r="M14" s="6">
        <v>24</v>
      </c>
      <c r="N14" s="6"/>
      <c r="O14" s="597"/>
      <c r="P14" s="614"/>
      <c r="Q14" s="6" t="s">
        <v>553</v>
      </c>
      <c r="R14" s="6"/>
      <c r="S14" s="635"/>
      <c r="T14" s="622"/>
      <c r="U14" s="572">
        <v>37</v>
      </c>
      <c r="V14" s="6"/>
      <c r="W14" s="6">
        <v>10</v>
      </c>
      <c r="X14" s="597"/>
      <c r="Y14" s="955" t="s">
        <v>675</v>
      </c>
      <c r="Z14" s="605"/>
      <c r="AA14" s="605" t="s">
        <v>455</v>
      </c>
      <c r="AB14" s="635"/>
      <c r="AC14" s="622"/>
      <c r="AD14" s="572"/>
      <c r="AE14" s="6"/>
      <c r="AF14" s="6"/>
      <c r="AG14" s="597"/>
      <c r="AH14" s="944"/>
      <c r="AI14" s="6"/>
      <c r="AJ14" s="6"/>
      <c r="AK14" s="635"/>
      <c r="AM14" s="572"/>
      <c r="AN14" s="6">
        <v>95</v>
      </c>
      <c r="AO14" s="6"/>
      <c r="AP14" s="50"/>
      <c r="AQ14" s="597"/>
      <c r="AR14" s="944"/>
      <c r="AS14" s="6" t="s">
        <v>674</v>
      </c>
      <c r="AT14" s="6"/>
      <c r="AU14" s="50"/>
      <c r="AV14" s="635"/>
    </row>
    <row r="15" spans="1:48" ht="48" customHeight="1" x14ac:dyDescent="0.25">
      <c r="A15" s="2206">
        <v>45084</v>
      </c>
      <c r="B15" s="574">
        <v>1</v>
      </c>
      <c r="C15" s="595"/>
      <c r="D15" s="596"/>
      <c r="E15" s="6"/>
      <c r="F15" s="597"/>
      <c r="G15" s="685"/>
      <c r="H15" s="620"/>
      <c r="I15" s="620"/>
      <c r="J15" s="635"/>
      <c r="K15" s="622"/>
      <c r="L15" s="572"/>
      <c r="M15" s="6"/>
      <c r="N15" s="6"/>
      <c r="O15" s="597"/>
      <c r="P15" s="572"/>
      <c r="Q15" s="620"/>
      <c r="R15" s="6"/>
      <c r="S15" s="635"/>
      <c r="T15" s="622"/>
      <c r="U15" s="572"/>
      <c r="V15" s="6"/>
      <c r="W15" s="6"/>
      <c r="X15" s="597"/>
      <c r="Y15" s="572"/>
      <c r="Z15" s="620"/>
      <c r="AA15" s="728"/>
      <c r="AB15" s="635"/>
      <c r="AC15" s="622"/>
      <c r="AD15" s="572"/>
      <c r="AE15" s="6"/>
      <c r="AF15" s="622"/>
      <c r="AG15" s="597"/>
      <c r="AH15" s="910"/>
      <c r="AI15" s="692"/>
      <c r="AJ15" s="6"/>
      <c r="AK15" s="635"/>
      <c r="AM15" s="572"/>
      <c r="AN15" s="6">
        <v>129</v>
      </c>
      <c r="AO15" s="622"/>
      <c r="AP15" s="622"/>
      <c r="AQ15" s="597"/>
      <c r="AR15" s="936"/>
      <c r="AS15" s="692" t="s">
        <v>553</v>
      </c>
      <c r="AT15" s="605"/>
      <c r="AU15" s="828"/>
      <c r="AV15" s="635"/>
    </row>
    <row r="16" spans="1:48" ht="54.6" customHeight="1" x14ac:dyDescent="0.25">
      <c r="A16" s="2205"/>
      <c r="B16" s="574">
        <v>2</v>
      </c>
      <c r="C16" s="595"/>
      <c r="D16" s="596"/>
      <c r="E16" s="596">
        <v>15</v>
      </c>
      <c r="F16" s="597"/>
      <c r="G16" s="684"/>
      <c r="H16" s="830"/>
      <c r="I16" s="848" t="s">
        <v>152</v>
      </c>
      <c r="J16" s="635"/>
      <c r="K16" s="622"/>
      <c r="L16" s="572"/>
      <c r="M16" s="6"/>
      <c r="N16" s="6"/>
      <c r="O16" s="597"/>
      <c r="P16" s="684"/>
      <c r="Q16" s="830"/>
      <c r="R16" s="620"/>
      <c r="S16" s="635"/>
      <c r="T16" s="622"/>
      <c r="U16" s="572"/>
      <c r="V16" s="6"/>
      <c r="W16" s="6">
        <v>15</v>
      </c>
      <c r="X16" s="597"/>
      <c r="Y16" s="684"/>
      <c r="Z16" s="830"/>
      <c r="AA16" s="620" t="s">
        <v>152</v>
      </c>
      <c r="AB16" s="635"/>
      <c r="AC16" s="622"/>
      <c r="AD16" s="572">
        <v>23</v>
      </c>
      <c r="AE16" s="6"/>
      <c r="AF16" s="6">
        <v>7</v>
      </c>
      <c r="AG16" s="597"/>
      <c r="AH16" s="684" t="s">
        <v>113</v>
      </c>
      <c r="AI16" s="830"/>
      <c r="AJ16" s="620" t="s">
        <v>562</v>
      </c>
      <c r="AK16" s="635"/>
      <c r="AM16" s="572"/>
      <c r="AN16" s="6"/>
      <c r="AO16" s="6"/>
      <c r="AP16" s="50"/>
      <c r="AQ16" s="597"/>
      <c r="AR16" s="684"/>
      <c r="AS16" s="830"/>
      <c r="AT16" s="620"/>
      <c r="AU16" s="692"/>
      <c r="AV16" s="635"/>
    </row>
    <row r="17" spans="1:48" ht="66" customHeight="1" x14ac:dyDescent="0.25">
      <c r="A17" s="2206">
        <v>45085</v>
      </c>
      <c r="B17" s="644">
        <v>1</v>
      </c>
      <c r="C17" s="595"/>
      <c r="D17" s="596"/>
      <c r="E17" s="596"/>
      <c r="F17" s="597"/>
      <c r="G17" s="685"/>
      <c r="H17" s="619"/>
      <c r="I17" s="620"/>
      <c r="J17" s="635"/>
      <c r="K17" s="622"/>
      <c r="L17" s="572"/>
      <c r="M17" s="6"/>
      <c r="N17" s="6"/>
      <c r="O17" s="597"/>
      <c r="P17" s="685"/>
      <c r="Q17" s="619"/>
      <c r="R17" s="620"/>
      <c r="S17" s="635"/>
      <c r="T17" s="622"/>
      <c r="U17" s="572"/>
      <c r="V17" s="6"/>
      <c r="W17" s="6"/>
      <c r="X17" s="597"/>
      <c r="Y17" s="685"/>
      <c r="Z17" s="619"/>
      <c r="AA17" s="620"/>
      <c r="AB17" s="635"/>
      <c r="AC17" s="622"/>
      <c r="AD17" s="572"/>
      <c r="AE17" s="6"/>
      <c r="AF17" s="6"/>
      <c r="AG17" s="597"/>
      <c r="AH17" s="685"/>
      <c r="AI17" s="619"/>
      <c r="AJ17" s="620"/>
      <c r="AK17" s="635"/>
      <c r="AM17" s="572"/>
      <c r="AN17" s="6"/>
      <c r="AO17" s="6"/>
      <c r="AP17" s="50"/>
      <c r="AQ17" s="597"/>
      <c r="AR17" s="685"/>
      <c r="AS17" s="619"/>
      <c r="AT17" s="620"/>
      <c r="AU17" s="692"/>
      <c r="AV17" s="635"/>
    </row>
    <row r="18" spans="1:48" ht="49.9" customHeight="1" x14ac:dyDescent="0.25">
      <c r="A18" s="2205"/>
      <c r="B18" s="574">
        <v>2</v>
      </c>
      <c r="C18" s="595"/>
      <c r="D18" s="596"/>
      <c r="E18" s="596"/>
      <c r="F18" s="597"/>
      <c r="G18" s="684"/>
      <c r="H18" s="830"/>
      <c r="I18" s="620"/>
      <c r="J18" s="635"/>
      <c r="K18" s="622"/>
      <c r="L18" s="572"/>
      <c r="M18" s="6"/>
      <c r="N18" s="6"/>
      <c r="O18" s="597"/>
      <c r="P18" s="684"/>
      <c r="Q18" s="620"/>
      <c r="R18" s="619"/>
      <c r="S18" s="635"/>
      <c r="T18" s="622"/>
      <c r="U18" s="572"/>
      <c r="V18" s="6"/>
      <c r="W18" s="6">
        <v>67</v>
      </c>
      <c r="X18" s="597"/>
      <c r="Y18" s="684"/>
      <c r="Z18" s="620"/>
      <c r="AA18" s="620" t="s">
        <v>152</v>
      </c>
      <c r="AB18" s="635"/>
      <c r="AC18" s="622"/>
      <c r="AD18" s="572"/>
      <c r="AE18" s="6"/>
      <c r="AF18" s="6"/>
      <c r="AG18" s="597"/>
      <c r="AH18" s="684"/>
      <c r="AI18" s="620"/>
      <c r="AJ18" s="619"/>
      <c r="AK18" s="635"/>
      <c r="AM18" s="572"/>
      <c r="AN18" s="6"/>
      <c r="AO18" s="6"/>
      <c r="AP18" s="50"/>
      <c r="AQ18" s="597"/>
      <c r="AR18" s="684"/>
      <c r="AS18" s="620"/>
      <c r="AT18" s="619"/>
      <c r="AU18" s="830"/>
      <c r="AV18" s="635"/>
    </row>
    <row r="19" spans="1:48" ht="33.6" customHeight="1" x14ac:dyDescent="0.25">
      <c r="A19" s="2206">
        <v>45086</v>
      </c>
      <c r="B19" s="574">
        <v>1</v>
      </c>
      <c r="C19" s="622"/>
      <c r="D19" s="596"/>
      <c r="E19" s="596">
        <v>66</v>
      </c>
      <c r="F19" s="597"/>
      <c r="G19" s="567"/>
      <c r="H19" s="6"/>
      <c r="I19" s="848" t="s">
        <v>152</v>
      </c>
      <c r="J19" s="635"/>
      <c r="K19" s="622"/>
      <c r="L19" s="572"/>
      <c r="M19" s="6"/>
      <c r="N19" s="6"/>
      <c r="O19" s="597"/>
      <c r="P19" s="572"/>
      <c r="Q19" s="6"/>
      <c r="R19" s="6"/>
      <c r="S19" s="635"/>
      <c r="T19" s="622"/>
      <c r="U19" s="572"/>
      <c r="V19" s="6"/>
      <c r="W19" s="6">
        <v>39</v>
      </c>
      <c r="X19" s="597"/>
      <c r="Y19" s="572"/>
      <c r="Z19" s="605"/>
      <c r="AA19" s="620" t="s">
        <v>152</v>
      </c>
      <c r="AB19" s="635"/>
      <c r="AC19" s="622"/>
      <c r="AD19" s="572"/>
      <c r="AE19" s="6"/>
      <c r="AF19" s="6">
        <v>17</v>
      </c>
      <c r="AG19" s="597"/>
      <c r="AH19" s="572"/>
      <c r="AI19" s="6"/>
      <c r="AJ19" s="6" t="s">
        <v>152</v>
      </c>
      <c r="AK19" s="635"/>
      <c r="AM19" s="572"/>
      <c r="AN19" s="6"/>
      <c r="AO19" s="6">
        <v>32</v>
      </c>
      <c r="AP19" s="50"/>
      <c r="AQ19" s="597"/>
      <c r="AR19" s="572"/>
      <c r="AS19" s="6"/>
      <c r="AT19" s="605" t="s">
        <v>152</v>
      </c>
      <c r="AU19" s="828"/>
      <c r="AV19" s="635"/>
    </row>
    <row r="20" spans="1:48" ht="31.15" customHeight="1" x14ac:dyDescent="0.25">
      <c r="A20" s="2205"/>
      <c r="B20" s="574">
        <v>2</v>
      </c>
      <c r="C20" s="595"/>
      <c r="D20" s="596"/>
      <c r="E20" s="596"/>
      <c r="F20" s="597"/>
      <c r="G20" s="567"/>
      <c r="H20" s="605"/>
      <c r="I20" s="620"/>
      <c r="J20" s="635"/>
      <c r="K20" s="622"/>
      <c r="L20" s="572"/>
      <c r="M20" s="6"/>
      <c r="N20" s="6"/>
      <c r="O20" s="597"/>
      <c r="P20" s="572"/>
      <c r="Q20" s="605"/>
      <c r="R20" s="724"/>
      <c r="S20" s="635"/>
      <c r="T20" s="622"/>
      <c r="U20" s="572"/>
      <c r="V20" s="250"/>
      <c r="W20" s="6"/>
      <c r="X20" s="597"/>
      <c r="Y20" s="572"/>
      <c r="Z20" s="605"/>
      <c r="AA20" s="724"/>
      <c r="AB20" s="635"/>
      <c r="AC20" s="622"/>
      <c r="AD20" s="572"/>
      <c r="AE20" s="6"/>
      <c r="AF20" s="6"/>
      <c r="AG20" s="597"/>
      <c r="AH20" s="572"/>
      <c r="AI20" s="605"/>
      <c r="AJ20" s="762"/>
      <c r="AK20" s="635"/>
      <c r="AM20" s="572"/>
      <c r="AN20" s="6"/>
      <c r="AO20" s="6">
        <v>26</v>
      </c>
      <c r="AP20" s="50"/>
      <c r="AQ20" s="597"/>
      <c r="AR20" s="572"/>
      <c r="AS20" s="605"/>
      <c r="AT20" s="605" t="s">
        <v>152</v>
      </c>
      <c r="AU20" s="69"/>
      <c r="AV20" s="635"/>
    </row>
    <row r="21" spans="1:48" ht="39.6" customHeight="1" x14ac:dyDescent="0.25">
      <c r="A21" s="2206">
        <v>45087</v>
      </c>
      <c r="B21" s="574">
        <v>1</v>
      </c>
      <c r="C21" s="595"/>
      <c r="D21" s="596"/>
      <c r="E21" s="596">
        <v>41</v>
      </c>
      <c r="F21" s="597"/>
      <c r="G21" s="688"/>
      <c r="H21" s="619"/>
      <c r="I21" s="848" t="s">
        <v>152</v>
      </c>
      <c r="J21" s="635"/>
      <c r="K21" s="622"/>
      <c r="L21" s="572"/>
      <c r="M21" s="6"/>
      <c r="N21" s="6"/>
      <c r="O21" s="597"/>
      <c r="P21" s="572"/>
      <c r="Q21" s="6"/>
      <c r="R21" s="6"/>
      <c r="S21" s="635"/>
      <c r="T21" s="622"/>
      <c r="U21" s="572"/>
      <c r="V21" s="6"/>
      <c r="W21" s="6">
        <v>120</v>
      </c>
      <c r="X21" s="597"/>
      <c r="Y21" s="572"/>
      <c r="Z21" s="6"/>
      <c r="AA21" s="605" t="s">
        <v>676</v>
      </c>
      <c r="AB21" s="635"/>
      <c r="AC21" s="622"/>
      <c r="AD21" s="572"/>
      <c r="AE21" s="6"/>
      <c r="AF21" s="6"/>
      <c r="AG21" s="597"/>
      <c r="AH21" s="572"/>
      <c r="AI21" s="6"/>
      <c r="AJ21" s="6"/>
      <c r="AK21" s="726"/>
      <c r="AM21" s="572"/>
      <c r="AN21" s="6"/>
      <c r="AO21" s="6"/>
      <c r="AP21" s="50"/>
      <c r="AQ21" s="597"/>
      <c r="AR21" s="572"/>
      <c r="AS21" s="605"/>
      <c r="AT21" s="50"/>
      <c r="AU21" s="50"/>
      <c r="AV21" s="635"/>
    </row>
    <row r="22" spans="1:48" ht="31.9" customHeight="1" x14ac:dyDescent="0.25">
      <c r="A22" s="2205"/>
      <c r="B22" s="574">
        <v>2</v>
      </c>
      <c r="C22" s="595"/>
      <c r="D22" s="596"/>
      <c r="E22" s="596"/>
      <c r="F22" s="597"/>
      <c r="G22" s="942"/>
      <c r="H22" s="620"/>
      <c r="I22" s="620"/>
      <c r="J22" s="635"/>
      <c r="K22" s="622"/>
      <c r="L22" s="572"/>
      <c r="M22" s="6"/>
      <c r="N22" s="6"/>
      <c r="O22" s="597"/>
      <c r="P22" s="944"/>
      <c r="Q22" s="6"/>
      <c r="R22" s="6"/>
      <c r="S22" s="635"/>
      <c r="T22" s="622"/>
      <c r="U22" s="572">
        <v>720</v>
      </c>
      <c r="V22" s="6"/>
      <c r="W22" s="6"/>
      <c r="X22" s="597"/>
      <c r="Y22" s="567" t="s">
        <v>677</v>
      </c>
      <c r="Z22" s="6"/>
      <c r="AA22" s="605"/>
      <c r="AB22" s="635"/>
      <c r="AC22" s="622"/>
      <c r="AD22" s="572"/>
      <c r="AE22" s="6"/>
      <c r="AF22" s="6"/>
      <c r="AG22" s="597"/>
      <c r="AH22" s="567"/>
      <c r="AI22" s="6"/>
      <c r="AJ22" s="6"/>
      <c r="AK22" s="726"/>
      <c r="AM22" s="572"/>
      <c r="AN22" s="6"/>
      <c r="AO22" s="6"/>
      <c r="AP22" s="50"/>
      <c r="AQ22" s="597"/>
      <c r="AR22" s="572"/>
      <c r="AS22" s="605"/>
      <c r="AT22" s="50"/>
      <c r="AU22" s="50"/>
      <c r="AV22" s="635"/>
    </row>
    <row r="23" spans="1:48" ht="47.45" customHeight="1" x14ac:dyDescent="0.25">
      <c r="A23" s="2206">
        <v>45088</v>
      </c>
      <c r="B23" s="644">
        <v>1</v>
      </c>
      <c r="C23" s="595"/>
      <c r="D23" s="596"/>
      <c r="E23" s="596"/>
      <c r="F23" s="597"/>
      <c r="G23" s="685"/>
      <c r="H23" s="619"/>
      <c r="I23" s="620"/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>
        <v>720</v>
      </c>
      <c r="V23" s="6"/>
      <c r="W23" s="6"/>
      <c r="X23" s="597"/>
      <c r="Y23" s="567" t="s">
        <v>678</v>
      </c>
      <c r="Z23" s="619"/>
      <c r="AA23" s="620"/>
      <c r="AB23" s="635"/>
      <c r="AC23" s="622"/>
      <c r="AD23" s="572"/>
      <c r="AE23" s="6"/>
      <c r="AF23" s="6"/>
      <c r="AG23" s="597"/>
      <c r="AH23" s="6"/>
      <c r="AI23" s="619"/>
      <c r="AJ23" s="620"/>
      <c r="AK23" s="726"/>
      <c r="AM23" s="572"/>
      <c r="AN23" s="6"/>
      <c r="AO23" s="6"/>
      <c r="AP23" s="50"/>
      <c r="AQ23" s="597"/>
      <c r="AR23" s="6"/>
      <c r="AS23" s="619"/>
      <c r="AT23" s="692"/>
      <c r="AU23" s="692"/>
      <c r="AV23" s="635"/>
    </row>
    <row r="24" spans="1:48" ht="49.9" customHeight="1" x14ac:dyDescent="0.25">
      <c r="A24" s="2205"/>
      <c r="B24" s="574">
        <v>2</v>
      </c>
      <c r="C24" s="595"/>
      <c r="D24" s="596"/>
      <c r="E24" s="596"/>
      <c r="F24" s="597"/>
      <c r="G24" s="685"/>
      <c r="H24" s="619"/>
      <c r="I24" s="620"/>
      <c r="J24" s="635"/>
      <c r="K24" s="622"/>
      <c r="L24" s="572"/>
      <c r="M24" s="6"/>
      <c r="N24" s="6"/>
      <c r="O24" s="597"/>
      <c r="P24" s="685"/>
      <c r="Q24" s="619"/>
      <c r="R24" s="620"/>
      <c r="S24" s="635"/>
      <c r="T24" s="622"/>
      <c r="U24" s="572">
        <v>720</v>
      </c>
      <c r="V24" s="6"/>
      <c r="W24" s="6"/>
      <c r="X24" s="597"/>
      <c r="Y24" s="567" t="s">
        <v>678</v>
      </c>
      <c r="Z24" s="619"/>
      <c r="AA24" s="620"/>
      <c r="AB24" s="635"/>
      <c r="AC24" s="622"/>
      <c r="AD24" s="572"/>
      <c r="AE24" s="6"/>
      <c r="AF24" s="6"/>
      <c r="AG24" s="597"/>
      <c r="AH24" s="6"/>
      <c r="AI24" s="619"/>
      <c r="AJ24" s="6"/>
      <c r="AK24" s="726"/>
      <c r="AM24" s="572"/>
      <c r="AN24" s="6"/>
      <c r="AO24" s="6"/>
      <c r="AP24" s="50"/>
      <c r="AQ24" s="597"/>
      <c r="AR24" s="6"/>
      <c r="AS24" s="619"/>
      <c r="AT24" s="828"/>
      <c r="AU24" s="828"/>
      <c r="AV24" s="635"/>
    </row>
    <row r="25" spans="1:48" ht="46.15" customHeight="1" x14ac:dyDescent="0.25">
      <c r="A25" s="2206">
        <v>45089</v>
      </c>
      <c r="B25" s="574">
        <v>1</v>
      </c>
      <c r="C25" s="595"/>
      <c r="D25" s="596"/>
      <c r="E25" s="596"/>
      <c r="F25" s="597"/>
      <c r="G25" s="685"/>
      <c r="H25" s="619"/>
      <c r="I25" s="620"/>
      <c r="J25" s="635"/>
      <c r="K25" s="622"/>
      <c r="L25" s="572"/>
      <c r="M25" s="6"/>
      <c r="N25" s="6"/>
      <c r="O25" s="597"/>
      <c r="P25" s="572"/>
      <c r="Q25" s="619"/>
      <c r="R25" s="6"/>
      <c r="S25" s="635"/>
      <c r="T25" s="622"/>
      <c r="U25" s="572"/>
      <c r="V25" s="6"/>
      <c r="W25" s="6">
        <v>720</v>
      </c>
      <c r="X25" s="597"/>
      <c r="Y25" s="567" t="s">
        <v>678</v>
      </c>
      <c r="Z25" s="605"/>
      <c r="AA25" s="605" t="s">
        <v>688</v>
      </c>
      <c r="AB25" s="635"/>
      <c r="AC25" s="622"/>
      <c r="AD25" s="572"/>
      <c r="AE25" s="6"/>
      <c r="AF25" s="6"/>
      <c r="AG25" s="597"/>
      <c r="AH25" s="6"/>
      <c r="AI25" s="6"/>
      <c r="AJ25" s="6"/>
      <c r="AK25" s="726"/>
      <c r="AM25" s="572"/>
      <c r="AN25" s="6"/>
      <c r="AO25" s="6"/>
      <c r="AP25" s="50"/>
      <c r="AQ25" s="597"/>
      <c r="AR25" s="6"/>
      <c r="AS25" s="6"/>
      <c r="AT25" s="50"/>
      <c r="AU25" s="50"/>
      <c r="AV25" s="635"/>
    </row>
    <row r="26" spans="1:48" ht="42" customHeight="1" x14ac:dyDescent="0.25">
      <c r="A26" s="2205"/>
      <c r="B26" s="574">
        <v>2</v>
      </c>
      <c r="C26" s="595"/>
      <c r="D26" s="596"/>
      <c r="E26" s="596"/>
      <c r="F26" s="597">
        <v>720</v>
      </c>
      <c r="G26" s="685"/>
      <c r="H26" s="620"/>
      <c r="I26" s="692"/>
      <c r="J26" s="635" t="s">
        <v>679</v>
      </c>
      <c r="K26" s="622"/>
      <c r="L26" s="572"/>
      <c r="M26" s="6"/>
      <c r="N26" s="6"/>
      <c r="O26" s="597">
        <v>720</v>
      </c>
      <c r="P26" s="685"/>
      <c r="Q26" s="620"/>
      <c r="R26" s="692"/>
      <c r="S26" s="635" t="s">
        <v>679</v>
      </c>
      <c r="T26" s="622"/>
      <c r="U26" s="572"/>
      <c r="V26" s="596"/>
      <c r="W26" s="6"/>
      <c r="X26" s="597">
        <v>720</v>
      </c>
      <c r="Y26" s="685"/>
      <c r="Z26" s="620"/>
      <c r="AA26" s="692"/>
      <c r="AB26" s="635" t="s">
        <v>679</v>
      </c>
      <c r="AC26" s="622"/>
      <c r="AD26" s="572"/>
      <c r="AE26" s="596"/>
      <c r="AF26" s="6"/>
      <c r="AG26" s="597">
        <v>720</v>
      </c>
      <c r="AH26" s="685"/>
      <c r="AI26" s="620"/>
      <c r="AJ26" s="692"/>
      <c r="AK26" s="635" t="s">
        <v>679</v>
      </c>
      <c r="AM26" s="572"/>
      <c r="AN26" s="596"/>
      <c r="AO26" s="6"/>
      <c r="AP26" s="967"/>
      <c r="AQ26" s="597">
        <v>720</v>
      </c>
      <c r="AR26" s="685"/>
      <c r="AS26" s="620"/>
      <c r="AT26" s="692"/>
      <c r="AU26" s="635" t="s">
        <v>679</v>
      </c>
      <c r="AV26" s="635"/>
    </row>
    <row r="27" spans="1:48" ht="49.9" customHeight="1" x14ac:dyDescent="0.25">
      <c r="A27" s="2206">
        <v>45090</v>
      </c>
      <c r="B27" s="644">
        <v>1</v>
      </c>
      <c r="C27" s="595"/>
      <c r="D27" s="596"/>
      <c r="E27" s="596"/>
      <c r="F27" s="597">
        <v>720</v>
      </c>
      <c r="G27" s="685"/>
      <c r="H27" s="619"/>
      <c r="I27" s="692"/>
      <c r="J27" s="635" t="s">
        <v>680</v>
      </c>
      <c r="K27" s="622"/>
      <c r="L27" s="572"/>
      <c r="M27" s="6"/>
      <c r="N27" s="6"/>
      <c r="O27" s="597">
        <v>720</v>
      </c>
      <c r="P27" s="685"/>
      <c r="Q27" s="619"/>
      <c r="R27" s="620"/>
      <c r="S27" s="635" t="s">
        <v>680</v>
      </c>
      <c r="T27" s="622"/>
      <c r="U27" s="572"/>
      <c r="V27" s="6"/>
      <c r="W27" s="6"/>
      <c r="X27" s="597">
        <v>720</v>
      </c>
      <c r="Y27" s="685"/>
      <c r="Z27" s="619"/>
      <c r="AA27" s="620"/>
      <c r="AB27" s="635" t="s">
        <v>680</v>
      </c>
      <c r="AC27" s="622"/>
      <c r="AD27" s="572"/>
      <c r="AE27" s="6"/>
      <c r="AF27" s="6"/>
      <c r="AG27" s="597">
        <v>720</v>
      </c>
      <c r="AH27" s="6"/>
      <c r="AI27" s="6"/>
      <c r="AJ27" s="620"/>
      <c r="AK27" s="635" t="s">
        <v>680</v>
      </c>
      <c r="AM27" s="572"/>
      <c r="AN27" s="6"/>
      <c r="AO27" s="6"/>
      <c r="AP27" s="50"/>
      <c r="AQ27" s="597">
        <v>720</v>
      </c>
      <c r="AR27" s="6"/>
      <c r="AS27" s="6"/>
      <c r="AT27" s="692"/>
      <c r="AU27" s="635" t="s">
        <v>680</v>
      </c>
      <c r="AV27" s="635"/>
    </row>
    <row r="28" spans="1:48" ht="49.15" customHeight="1" x14ac:dyDescent="0.25">
      <c r="A28" s="2205"/>
      <c r="B28" s="574">
        <v>2</v>
      </c>
      <c r="C28" s="595"/>
      <c r="D28" s="596"/>
      <c r="E28" s="596"/>
      <c r="F28" s="597">
        <v>720</v>
      </c>
      <c r="G28" s="620"/>
      <c r="H28" s="620"/>
      <c r="I28" s="620"/>
      <c r="J28" s="635" t="s">
        <v>681</v>
      </c>
      <c r="K28" s="622"/>
      <c r="L28" s="572"/>
      <c r="M28" s="6"/>
      <c r="N28" s="6"/>
      <c r="O28" s="597">
        <v>720</v>
      </c>
      <c r="P28" s="620"/>
      <c r="Q28" s="620"/>
      <c r="R28" s="620"/>
      <c r="S28" s="635" t="s">
        <v>681</v>
      </c>
      <c r="T28" s="622"/>
      <c r="U28" s="572"/>
      <c r="V28" s="6"/>
      <c r="W28" s="622"/>
      <c r="X28" s="597">
        <v>720</v>
      </c>
      <c r="Y28" s="620"/>
      <c r="Z28" s="6"/>
      <c r="AA28" s="692"/>
      <c r="AB28" s="635" t="s">
        <v>681</v>
      </c>
      <c r="AC28" s="622"/>
      <c r="AD28" s="572"/>
      <c r="AE28" s="6"/>
      <c r="AF28" s="6"/>
      <c r="AG28" s="597">
        <v>720</v>
      </c>
      <c r="AH28" s="605"/>
      <c r="AI28" s="6"/>
      <c r="AJ28" s="692"/>
      <c r="AK28" s="635" t="s">
        <v>681</v>
      </c>
      <c r="AM28" s="572"/>
      <c r="AN28" s="6"/>
      <c r="AO28" s="6"/>
      <c r="AP28" s="50"/>
      <c r="AQ28" s="597">
        <v>720</v>
      </c>
      <c r="AR28" s="605"/>
      <c r="AS28" s="6"/>
      <c r="AT28" s="692"/>
      <c r="AU28" s="635" t="s">
        <v>681</v>
      </c>
      <c r="AV28" s="634"/>
    </row>
    <row r="29" spans="1:48" ht="45" customHeight="1" x14ac:dyDescent="0.25">
      <c r="A29" s="2206">
        <v>45091</v>
      </c>
      <c r="B29" s="574">
        <v>1</v>
      </c>
      <c r="C29" s="595"/>
      <c r="D29" s="596"/>
      <c r="E29" s="596"/>
      <c r="F29" s="597">
        <v>720</v>
      </c>
      <c r="G29" s="620"/>
      <c r="H29" s="619"/>
      <c r="I29" s="692"/>
      <c r="J29" s="635" t="s">
        <v>682</v>
      </c>
      <c r="K29" s="622"/>
      <c r="L29" s="572"/>
      <c r="M29" s="6"/>
      <c r="N29" s="6"/>
      <c r="O29" s="597">
        <v>720</v>
      </c>
      <c r="P29" s="685"/>
      <c r="Q29" s="619"/>
      <c r="R29" s="620"/>
      <c r="S29" s="635" t="s">
        <v>682</v>
      </c>
      <c r="T29" s="622"/>
      <c r="U29" s="572"/>
      <c r="V29" s="6"/>
      <c r="W29" s="6"/>
      <c r="X29" s="597">
        <v>720</v>
      </c>
      <c r="Y29" s="685"/>
      <c r="Z29" s="619"/>
      <c r="AA29" s="692"/>
      <c r="AB29" s="635" t="s">
        <v>682</v>
      </c>
      <c r="AC29" s="622"/>
      <c r="AD29" s="572"/>
      <c r="AE29" s="6"/>
      <c r="AF29" s="6"/>
      <c r="AG29" s="597">
        <v>720</v>
      </c>
      <c r="AH29" s="685"/>
      <c r="AI29" s="619"/>
      <c r="AJ29" s="620"/>
      <c r="AK29" s="635" t="s">
        <v>682</v>
      </c>
      <c r="AM29" s="572"/>
      <c r="AN29" s="6"/>
      <c r="AO29" s="6"/>
      <c r="AP29" s="50"/>
      <c r="AQ29" s="597">
        <v>720</v>
      </c>
      <c r="AR29" s="685"/>
      <c r="AS29" s="619"/>
      <c r="AT29" s="620"/>
      <c r="AU29" s="635" t="s">
        <v>682</v>
      </c>
      <c r="AV29" s="613"/>
    </row>
    <row r="30" spans="1:48" ht="30.6" customHeight="1" x14ac:dyDescent="0.25">
      <c r="A30" s="2205"/>
      <c r="B30" s="644">
        <v>2</v>
      </c>
      <c r="C30" s="595"/>
      <c r="D30" s="596"/>
      <c r="E30" s="596"/>
      <c r="F30" s="597">
        <v>720</v>
      </c>
      <c r="G30" s="685"/>
      <c r="H30" s="619"/>
      <c r="I30" s="620"/>
      <c r="J30" s="635" t="s">
        <v>683</v>
      </c>
      <c r="K30" s="622"/>
      <c r="L30" s="572"/>
      <c r="M30" s="6"/>
      <c r="N30" s="6"/>
      <c r="O30" s="597">
        <v>720</v>
      </c>
      <c r="P30" s="685"/>
      <c r="Q30" s="620"/>
      <c r="R30" s="620"/>
      <c r="S30" s="635" t="s">
        <v>683</v>
      </c>
      <c r="T30" s="622"/>
      <c r="U30" s="572"/>
      <c r="V30" s="6"/>
      <c r="W30" s="6"/>
      <c r="X30" s="597">
        <v>720</v>
      </c>
      <c r="Y30" s="685"/>
      <c r="Z30" s="619"/>
      <c r="AA30" s="620"/>
      <c r="AB30" s="635" t="s">
        <v>683</v>
      </c>
      <c r="AC30" s="622"/>
      <c r="AD30" s="572"/>
      <c r="AE30" s="6"/>
      <c r="AF30" s="6"/>
      <c r="AG30" s="597">
        <v>720</v>
      </c>
      <c r="AH30" s="685"/>
      <c r="AI30" s="619"/>
      <c r="AJ30" s="620"/>
      <c r="AK30" s="635" t="s">
        <v>683</v>
      </c>
      <c r="AM30" s="572"/>
      <c r="AN30" s="6"/>
      <c r="AO30" s="6"/>
      <c r="AP30" s="50"/>
      <c r="AQ30" s="597">
        <v>720</v>
      </c>
      <c r="AR30" s="614"/>
      <c r="AS30" s="605"/>
      <c r="AT30" s="828"/>
      <c r="AU30" s="635" t="s">
        <v>683</v>
      </c>
      <c r="AV30" s="613"/>
    </row>
    <row r="31" spans="1:48" ht="39.6" customHeight="1" x14ac:dyDescent="0.25">
      <c r="A31" s="2206">
        <v>45092</v>
      </c>
      <c r="B31" s="574">
        <v>1</v>
      </c>
      <c r="C31" s="595"/>
      <c r="D31" s="596"/>
      <c r="E31" s="596"/>
      <c r="F31" s="597">
        <v>720</v>
      </c>
      <c r="G31" s="685"/>
      <c r="H31" s="619"/>
      <c r="I31" s="620"/>
      <c r="J31" s="635" t="s">
        <v>684</v>
      </c>
      <c r="K31" s="622"/>
      <c r="L31" s="572"/>
      <c r="M31" s="6"/>
      <c r="N31" s="6"/>
      <c r="O31" s="597">
        <v>720</v>
      </c>
      <c r="P31" s="614"/>
      <c r="Q31" s="6"/>
      <c r="R31" s="6"/>
      <c r="S31" s="635" t="s">
        <v>684</v>
      </c>
      <c r="T31" s="622"/>
      <c r="U31" s="572"/>
      <c r="V31" s="6"/>
      <c r="W31" s="6"/>
      <c r="X31" s="597">
        <v>720</v>
      </c>
      <c r="Y31" s="944"/>
      <c r="Z31" s="6"/>
      <c r="AA31" s="6"/>
      <c r="AB31" s="635" t="s">
        <v>684</v>
      </c>
      <c r="AC31" s="622"/>
      <c r="AD31" s="572"/>
      <c r="AE31" s="6"/>
      <c r="AF31" s="6"/>
      <c r="AG31" s="597">
        <v>720</v>
      </c>
      <c r="AH31" s="614"/>
      <c r="AI31" s="6"/>
      <c r="AJ31" s="6"/>
      <c r="AK31" s="635" t="s">
        <v>684</v>
      </c>
      <c r="AM31" s="572"/>
      <c r="AN31" s="6"/>
      <c r="AO31" s="6"/>
      <c r="AP31" s="50"/>
      <c r="AQ31" s="597">
        <v>720</v>
      </c>
      <c r="AR31" s="614"/>
      <c r="AS31" s="6"/>
      <c r="AT31" s="6"/>
      <c r="AU31" s="635" t="s">
        <v>684</v>
      </c>
      <c r="AV31" s="635"/>
    </row>
    <row r="32" spans="1:48" ht="63" customHeight="1" x14ac:dyDescent="0.25">
      <c r="A32" s="2205"/>
      <c r="B32" s="574">
        <v>2</v>
      </c>
      <c r="C32" s="595"/>
      <c r="D32" s="596"/>
      <c r="E32" s="596"/>
      <c r="F32" s="597">
        <v>720</v>
      </c>
      <c r="G32" s="685"/>
      <c r="H32" s="685"/>
      <c r="I32" s="684"/>
      <c r="J32" s="635" t="s">
        <v>685</v>
      </c>
      <c r="K32" s="622"/>
      <c r="L32" s="572"/>
      <c r="M32" s="6"/>
      <c r="N32" s="6"/>
      <c r="O32" s="597">
        <v>720</v>
      </c>
      <c r="P32" s="614"/>
      <c r="Q32" s="6"/>
      <c r="R32" s="6"/>
      <c r="S32" s="635" t="s">
        <v>685</v>
      </c>
      <c r="T32" s="622"/>
      <c r="U32" s="572"/>
      <c r="V32" s="6"/>
      <c r="W32" s="596"/>
      <c r="X32" s="597">
        <v>720</v>
      </c>
      <c r="Y32" s="685"/>
      <c r="Z32" s="685"/>
      <c r="AA32" s="684"/>
      <c r="AB32" s="635" t="s">
        <v>685</v>
      </c>
      <c r="AC32" s="622"/>
      <c r="AD32" s="572"/>
      <c r="AE32" s="6"/>
      <c r="AF32" s="596"/>
      <c r="AG32" s="597">
        <v>720</v>
      </c>
      <c r="AH32" s="685"/>
      <c r="AI32" s="685"/>
      <c r="AJ32" s="684"/>
      <c r="AK32" s="635" t="s">
        <v>685</v>
      </c>
      <c r="AM32" s="572"/>
      <c r="AN32" s="6"/>
      <c r="AO32" s="6"/>
      <c r="AP32" s="50"/>
      <c r="AQ32" s="597">
        <v>720</v>
      </c>
      <c r="AR32" s="614"/>
      <c r="AS32" s="605"/>
      <c r="AT32" s="828"/>
      <c r="AU32" s="635" t="s">
        <v>685</v>
      </c>
      <c r="AV32" s="613"/>
    </row>
    <row r="33" spans="1:48" ht="43.15" customHeight="1" x14ac:dyDescent="0.25">
      <c r="A33" s="2206">
        <v>45093</v>
      </c>
      <c r="B33" s="574">
        <v>1</v>
      </c>
      <c r="C33" s="595"/>
      <c r="D33" s="596"/>
      <c r="E33" s="596"/>
      <c r="F33" s="597">
        <v>720</v>
      </c>
      <c r="G33" s="685"/>
      <c r="H33" s="619"/>
      <c r="I33" s="684"/>
      <c r="J33" s="635" t="s">
        <v>686</v>
      </c>
      <c r="K33" s="622"/>
      <c r="L33" s="572"/>
      <c r="M33" s="6"/>
      <c r="N33" s="6"/>
      <c r="O33" s="597">
        <v>720</v>
      </c>
      <c r="P33" s="614"/>
      <c r="Q33" s="6"/>
      <c r="R33" s="6"/>
      <c r="S33" s="635" t="s">
        <v>686</v>
      </c>
      <c r="T33" s="622"/>
      <c r="U33" s="572"/>
      <c r="V33" s="6"/>
      <c r="W33" s="6"/>
      <c r="X33" s="597">
        <v>720</v>
      </c>
      <c r="Y33" s="614"/>
      <c r="Z33" s="6"/>
      <c r="AA33" s="605"/>
      <c r="AB33" s="635" t="s">
        <v>686</v>
      </c>
      <c r="AC33" s="622"/>
      <c r="AD33" s="572"/>
      <c r="AE33" s="6"/>
      <c r="AF33" s="6"/>
      <c r="AG33" s="597">
        <v>720</v>
      </c>
      <c r="AH33" s="614"/>
      <c r="AI33" s="605"/>
      <c r="AJ33" s="6"/>
      <c r="AK33" s="635" t="s">
        <v>686</v>
      </c>
      <c r="AM33" s="572"/>
      <c r="AN33" s="6"/>
      <c r="AO33" s="6"/>
      <c r="AP33" s="50"/>
      <c r="AQ33" s="597">
        <v>720</v>
      </c>
      <c r="AR33" s="614"/>
      <c r="AS33" s="605"/>
      <c r="AT33" s="6"/>
      <c r="AU33" s="635" t="s">
        <v>686</v>
      </c>
      <c r="AV33" s="613"/>
    </row>
    <row r="34" spans="1:48" ht="50.45" customHeight="1" x14ac:dyDescent="0.25">
      <c r="A34" s="2205"/>
      <c r="B34" s="644">
        <v>2</v>
      </c>
      <c r="C34" s="596"/>
      <c r="D34" s="596"/>
      <c r="E34" s="596"/>
      <c r="F34" s="829">
        <v>553</v>
      </c>
      <c r="G34" s="685"/>
      <c r="H34" s="620"/>
      <c r="I34" s="620"/>
      <c r="J34" s="635" t="s">
        <v>687</v>
      </c>
      <c r="K34" s="622"/>
      <c r="L34" s="572"/>
      <c r="M34" s="6"/>
      <c r="N34" s="6"/>
      <c r="O34" s="613">
        <v>580</v>
      </c>
      <c r="P34" s="614"/>
      <c r="Q34" s="620"/>
      <c r="R34" s="6"/>
      <c r="S34" s="635" t="s">
        <v>687</v>
      </c>
      <c r="T34" s="622"/>
      <c r="U34" s="572"/>
      <c r="V34" s="6"/>
      <c r="W34" s="6"/>
      <c r="X34" s="613"/>
      <c r="Y34" s="605"/>
      <c r="Z34" s="605"/>
      <c r="AA34" s="684" t="s">
        <v>688</v>
      </c>
      <c r="AB34" s="635"/>
      <c r="AC34" s="622"/>
      <c r="AD34" s="572"/>
      <c r="AE34" s="6"/>
      <c r="AF34" s="6"/>
      <c r="AG34" s="613"/>
      <c r="AH34" s="614"/>
      <c r="AI34" s="6"/>
      <c r="AJ34" s="6"/>
      <c r="AK34" s="613"/>
      <c r="AM34" s="572"/>
      <c r="AN34" s="6"/>
      <c r="AO34" s="6"/>
      <c r="AP34" s="50"/>
      <c r="AQ34" s="613"/>
      <c r="AR34" s="614"/>
      <c r="AS34" s="6"/>
      <c r="AT34" s="6"/>
      <c r="AU34" s="50"/>
      <c r="AV34" s="613"/>
    </row>
    <row r="35" spans="1:48" ht="51" customHeight="1" x14ac:dyDescent="0.25">
      <c r="A35" s="2206">
        <v>45094</v>
      </c>
      <c r="B35" s="574">
        <v>1</v>
      </c>
      <c r="C35" s="596"/>
      <c r="D35" s="596"/>
      <c r="E35" s="50"/>
      <c r="F35" s="828"/>
      <c r="G35" s="567"/>
      <c r="H35" s="614"/>
      <c r="I35" s="605"/>
      <c r="J35" s="687"/>
      <c r="K35" s="622"/>
      <c r="L35" s="572"/>
      <c r="M35" s="6"/>
      <c r="N35" s="6"/>
      <c r="O35" s="613"/>
      <c r="P35" s="567"/>
      <c r="Q35" s="948"/>
      <c r="R35" s="620"/>
      <c r="S35" s="635"/>
      <c r="T35" s="622"/>
      <c r="U35" s="572"/>
      <c r="V35" s="6">
        <v>89</v>
      </c>
      <c r="W35" s="50">
        <v>106</v>
      </c>
      <c r="X35" s="634"/>
      <c r="Y35" s="567"/>
      <c r="Z35" s="6" t="s">
        <v>689</v>
      </c>
      <c r="AA35" s="684" t="s">
        <v>140</v>
      </c>
      <c r="AB35" s="613"/>
      <c r="AC35" s="622"/>
      <c r="AD35" s="572"/>
      <c r="AE35" s="6"/>
      <c r="AF35" s="6"/>
      <c r="AG35" s="944"/>
      <c r="AH35" s="567"/>
      <c r="AI35" s="6"/>
      <c r="AJ35" s="684"/>
      <c r="AK35" s="613"/>
      <c r="AM35" s="572"/>
      <c r="AN35" s="6">
        <v>25</v>
      </c>
      <c r="AO35" s="50"/>
      <c r="AP35" s="50"/>
      <c r="AQ35" s="634"/>
      <c r="AR35" s="567"/>
      <c r="AS35" s="692" t="s">
        <v>553</v>
      </c>
      <c r="AT35" s="605"/>
      <c r="AU35" s="828"/>
      <c r="AV35" s="613"/>
    </row>
    <row r="36" spans="1:48" ht="46.9" customHeight="1" x14ac:dyDescent="0.25">
      <c r="A36" s="2205"/>
      <c r="B36" s="574">
        <v>2</v>
      </c>
      <c r="C36" s="50"/>
      <c r="D36" s="6"/>
      <c r="E36" s="50">
        <v>15</v>
      </c>
      <c r="F36" s="828"/>
      <c r="G36" s="692"/>
      <c r="H36" s="944"/>
      <c r="I36" s="692" t="s">
        <v>152</v>
      </c>
      <c r="J36" s="635"/>
      <c r="K36" s="622"/>
      <c r="L36" s="567"/>
      <c r="M36" s="6">
        <v>239</v>
      </c>
      <c r="N36" s="6"/>
      <c r="O36" s="944"/>
      <c r="P36" s="567"/>
      <c r="Q36" s="605" t="s">
        <v>317</v>
      </c>
      <c r="R36" s="605"/>
      <c r="S36" s="635"/>
      <c r="T36" s="622"/>
      <c r="U36" s="572"/>
      <c r="V36" s="6"/>
      <c r="W36" s="6"/>
      <c r="X36" s="944"/>
      <c r="Y36" s="567"/>
      <c r="Z36" s="605"/>
      <c r="AA36" s="684"/>
      <c r="AB36" s="613"/>
      <c r="AC36" s="622"/>
      <c r="AD36" s="572"/>
      <c r="AE36" s="6"/>
      <c r="AF36" s="50"/>
      <c r="AG36" s="634"/>
      <c r="AH36" s="567"/>
      <c r="AI36" s="605"/>
      <c r="AJ36" s="684"/>
      <c r="AK36" s="613"/>
      <c r="AM36" s="572"/>
      <c r="AN36" s="6"/>
      <c r="AO36" s="6"/>
      <c r="AP36" s="614"/>
      <c r="AQ36" s="944"/>
      <c r="AR36" s="567"/>
      <c r="AS36" s="605"/>
      <c r="AT36" s="605"/>
      <c r="AU36" s="828"/>
      <c r="AV36" s="613"/>
    </row>
    <row r="37" spans="1:48" ht="59.45" customHeight="1" x14ac:dyDescent="0.25">
      <c r="A37" s="2206">
        <v>45095</v>
      </c>
      <c r="B37" s="644">
        <v>1</v>
      </c>
      <c r="C37" s="50"/>
      <c r="D37" s="596"/>
      <c r="E37" s="50"/>
      <c r="F37" s="50"/>
      <c r="G37" s="692"/>
      <c r="H37" s="944"/>
      <c r="I37" s="692"/>
      <c r="J37" s="635"/>
      <c r="K37" s="622"/>
      <c r="L37" s="572"/>
      <c r="M37" s="6"/>
      <c r="N37" s="6"/>
      <c r="O37" s="727"/>
      <c r="P37" s="614"/>
      <c r="Q37" s="6"/>
      <c r="R37" s="6"/>
      <c r="S37" s="613"/>
      <c r="T37" s="622"/>
      <c r="U37" s="572"/>
      <c r="V37" s="6"/>
      <c r="W37" s="6"/>
      <c r="X37" s="613"/>
      <c r="Y37" s="614"/>
      <c r="Z37" s="605"/>
      <c r="AA37" s="684"/>
      <c r="AB37" s="635"/>
      <c r="AC37" s="622"/>
      <c r="AD37" s="572"/>
      <c r="AE37" s="6"/>
      <c r="AF37" s="6"/>
      <c r="AG37" s="613"/>
      <c r="AH37" s="614"/>
      <c r="AI37" s="6"/>
      <c r="AJ37" s="684"/>
      <c r="AK37" s="613"/>
      <c r="AM37" s="572"/>
      <c r="AN37" s="6"/>
      <c r="AO37" s="6"/>
      <c r="AP37" s="50"/>
      <c r="AQ37" s="613"/>
      <c r="AR37" s="614"/>
      <c r="AS37" s="6"/>
      <c r="AT37" s="6"/>
      <c r="AU37" s="50"/>
      <c r="AV37" s="613"/>
    </row>
    <row r="38" spans="1:48" ht="55.9" customHeight="1" x14ac:dyDescent="0.25">
      <c r="A38" s="2205"/>
      <c r="B38" s="574">
        <v>2</v>
      </c>
      <c r="C38" s="50"/>
      <c r="D38" s="596"/>
      <c r="E38" s="50"/>
      <c r="F38" s="829"/>
      <c r="G38" s="692"/>
      <c r="H38" s="944"/>
      <c r="I38" s="692"/>
      <c r="J38" s="635"/>
      <c r="K38" s="622"/>
      <c r="L38" s="572"/>
      <c r="M38" s="6">
        <v>62</v>
      </c>
      <c r="N38" s="6"/>
      <c r="O38" s="613"/>
      <c r="P38" s="944"/>
      <c r="Q38" s="955" t="s">
        <v>334</v>
      </c>
      <c r="R38" s="6"/>
      <c r="S38" s="635"/>
      <c r="T38" s="622"/>
      <c r="U38" s="572"/>
      <c r="V38" s="6"/>
      <c r="W38" s="6"/>
      <c r="X38" s="613"/>
      <c r="Y38" s="614"/>
      <c r="Z38" s="605"/>
      <c r="AA38" s="6"/>
      <c r="AB38" s="635"/>
      <c r="AC38" s="622"/>
      <c r="AD38" s="572"/>
      <c r="AE38" s="6">
        <v>131</v>
      </c>
      <c r="AF38" s="6"/>
      <c r="AG38" s="613"/>
      <c r="AH38" s="944"/>
      <c r="AI38" s="6" t="s">
        <v>590</v>
      </c>
      <c r="AJ38" s="605"/>
      <c r="AK38" s="635"/>
      <c r="AM38" s="572"/>
      <c r="AN38" s="6"/>
      <c r="AO38" s="6"/>
      <c r="AP38" s="50"/>
      <c r="AQ38" s="613"/>
      <c r="AR38" s="614"/>
      <c r="AS38" s="6"/>
      <c r="AT38" s="605"/>
      <c r="AU38" s="828"/>
      <c r="AV38" s="635"/>
    </row>
    <row r="39" spans="1:48" ht="39" customHeight="1" x14ac:dyDescent="0.25">
      <c r="A39" s="2206">
        <v>45096</v>
      </c>
      <c r="B39" s="574">
        <v>1</v>
      </c>
      <c r="C39" s="50"/>
      <c r="D39" s="596"/>
      <c r="E39" s="50"/>
      <c r="F39" s="597"/>
      <c r="G39" s="692"/>
      <c r="H39" s="619"/>
      <c r="I39" s="692"/>
      <c r="J39" s="687"/>
      <c r="K39" s="622"/>
      <c r="L39" s="572"/>
      <c r="M39" s="6"/>
      <c r="N39" s="6"/>
      <c r="O39" s="597"/>
      <c r="P39" s="685"/>
      <c r="Q39" s="619"/>
      <c r="R39" s="692"/>
      <c r="S39" s="687"/>
      <c r="T39" s="622"/>
      <c r="U39" s="572"/>
      <c r="V39" s="6"/>
      <c r="W39" s="6"/>
      <c r="X39" s="597"/>
      <c r="Y39" s="685"/>
      <c r="Z39" s="619"/>
      <c r="AA39" s="692"/>
      <c r="AB39" s="687"/>
      <c r="AC39" s="622"/>
      <c r="AD39" s="572"/>
      <c r="AE39" s="6"/>
      <c r="AF39" s="6"/>
      <c r="AG39" s="597"/>
      <c r="AH39" s="685"/>
      <c r="AI39" s="619"/>
      <c r="AJ39" s="692"/>
      <c r="AK39" s="687"/>
      <c r="AM39" s="572"/>
      <c r="AN39" s="6"/>
      <c r="AO39" s="6"/>
      <c r="AP39" s="50"/>
      <c r="AQ39" s="597"/>
      <c r="AR39" s="685"/>
      <c r="AS39" s="619"/>
      <c r="AT39" s="692"/>
      <c r="AU39" s="692"/>
      <c r="AV39" s="687"/>
    </row>
    <row r="40" spans="1:48" ht="72.599999999999994" customHeight="1" x14ac:dyDescent="0.25">
      <c r="A40" s="2205"/>
      <c r="B40" s="574">
        <v>2</v>
      </c>
      <c r="C40" s="596"/>
      <c r="D40" s="596"/>
      <c r="E40" s="596"/>
      <c r="F40" s="613">
        <v>140</v>
      </c>
      <c r="G40" s="692"/>
      <c r="H40" s="620"/>
      <c r="I40" s="692"/>
      <c r="J40" s="635" t="s">
        <v>690</v>
      </c>
      <c r="K40" s="622"/>
      <c r="L40" s="572"/>
      <c r="M40" s="6"/>
      <c r="N40" s="6"/>
      <c r="O40" s="613">
        <v>134</v>
      </c>
      <c r="P40" s="685"/>
      <c r="Q40" s="619"/>
      <c r="R40" s="692"/>
      <c r="S40" s="635" t="s">
        <v>690</v>
      </c>
      <c r="T40" s="622"/>
      <c r="U40" s="572"/>
      <c r="V40" s="6"/>
      <c r="W40" s="6"/>
      <c r="X40" s="613">
        <v>212</v>
      </c>
      <c r="Y40" s="685"/>
      <c r="Z40" s="619"/>
      <c r="AA40" s="692"/>
      <c r="AB40" s="635" t="s">
        <v>690</v>
      </c>
      <c r="AC40" s="622"/>
      <c r="AD40" s="572"/>
      <c r="AE40" s="6"/>
      <c r="AF40" s="6"/>
      <c r="AG40" s="613">
        <v>210</v>
      </c>
      <c r="AH40" s="685"/>
      <c r="AI40" s="619"/>
      <c r="AJ40" s="692"/>
      <c r="AK40" s="635" t="s">
        <v>690</v>
      </c>
      <c r="AM40" s="572"/>
      <c r="AN40" s="6"/>
      <c r="AO40" s="6"/>
      <c r="AP40" s="50"/>
      <c r="AQ40" s="613">
        <v>278</v>
      </c>
      <c r="AR40" s="685"/>
      <c r="AS40" s="619"/>
      <c r="AT40" s="692"/>
      <c r="AU40" s="692"/>
      <c r="AV40" s="635" t="s">
        <v>690</v>
      </c>
    </row>
    <row r="41" spans="1:48" ht="39.6" customHeight="1" x14ac:dyDescent="0.25">
      <c r="A41" s="2206">
        <v>45097</v>
      </c>
      <c r="B41" s="574">
        <v>1</v>
      </c>
      <c r="C41" s="595"/>
      <c r="D41" s="596"/>
      <c r="E41" s="596"/>
      <c r="F41" s="613"/>
      <c r="G41" s="685"/>
      <c r="H41" s="620"/>
      <c r="I41" s="692"/>
      <c r="J41" s="687"/>
      <c r="K41" s="622"/>
      <c r="L41" s="572"/>
      <c r="M41" s="6">
        <v>36</v>
      </c>
      <c r="N41" s="6"/>
      <c r="O41" s="613"/>
      <c r="P41" s="614"/>
      <c r="Q41" s="6" t="s">
        <v>317</v>
      </c>
      <c r="R41" s="6"/>
      <c r="S41" s="635"/>
      <c r="T41" s="622"/>
      <c r="U41" s="572"/>
      <c r="V41" s="6"/>
      <c r="W41" s="6"/>
      <c r="X41" s="613"/>
      <c r="Y41" s="614"/>
      <c r="Z41" s="605"/>
      <c r="AA41" s="605"/>
      <c r="AB41" s="613"/>
      <c r="AC41" s="622"/>
      <c r="AD41" s="572"/>
      <c r="AE41" s="6"/>
      <c r="AF41" s="6"/>
      <c r="AG41" s="613"/>
      <c r="AH41" s="614"/>
      <c r="AI41" s="605"/>
      <c r="AJ41" s="6"/>
      <c r="AK41" s="613"/>
      <c r="AM41" s="572"/>
      <c r="AN41" s="6"/>
      <c r="AO41" s="6"/>
      <c r="AP41" s="50"/>
      <c r="AQ41" s="613"/>
      <c r="AR41" s="614"/>
      <c r="AS41" s="605"/>
      <c r="AT41" s="6"/>
      <c r="AU41" s="50"/>
      <c r="AV41" s="613"/>
    </row>
    <row r="42" spans="1:48" ht="33" customHeight="1" x14ac:dyDescent="0.25">
      <c r="A42" s="2205"/>
      <c r="B42" s="574">
        <v>2</v>
      </c>
      <c r="C42" s="596"/>
      <c r="D42" s="596"/>
      <c r="E42" s="596"/>
      <c r="F42" s="613"/>
      <c r="G42" s="685"/>
      <c r="H42" s="619"/>
      <c r="I42" s="692"/>
      <c r="J42" s="687"/>
      <c r="K42" s="622"/>
      <c r="L42" s="572"/>
      <c r="M42" s="6"/>
      <c r="N42" s="6"/>
      <c r="O42" s="613"/>
      <c r="P42" s="614"/>
      <c r="Q42" s="6"/>
      <c r="R42" s="6"/>
      <c r="S42" s="635"/>
      <c r="T42" s="622"/>
      <c r="U42" s="572"/>
      <c r="V42" s="6"/>
      <c r="W42" s="6"/>
      <c r="X42" s="613"/>
      <c r="Y42" s="944"/>
      <c r="Z42" s="6"/>
      <c r="AA42" s="605"/>
      <c r="AB42" s="635"/>
      <c r="AC42" s="622"/>
      <c r="AD42" s="572"/>
      <c r="AE42" s="6"/>
      <c r="AF42" s="6"/>
      <c r="AG42" s="613"/>
      <c r="AH42" s="614"/>
      <c r="AI42" s="6"/>
      <c r="AJ42" s="6"/>
      <c r="AK42" s="613"/>
      <c r="AM42" s="572"/>
      <c r="AN42" s="6"/>
      <c r="AO42" s="6"/>
      <c r="AP42" s="50"/>
      <c r="AQ42" s="613"/>
      <c r="AR42" s="614"/>
      <c r="AS42" s="6"/>
      <c r="AT42" s="6"/>
      <c r="AU42" s="50"/>
      <c r="AV42" s="613"/>
    </row>
    <row r="43" spans="1:48" ht="33.6" customHeight="1" x14ac:dyDescent="0.25">
      <c r="A43" s="2206">
        <v>45098</v>
      </c>
      <c r="B43" s="574">
        <v>1</v>
      </c>
      <c r="C43" s="596"/>
      <c r="D43" s="596"/>
      <c r="E43" s="596"/>
      <c r="F43" s="597"/>
      <c r="G43" s="619"/>
      <c r="H43" s="619"/>
      <c r="I43" s="620"/>
      <c r="J43" s="635"/>
      <c r="K43" s="622"/>
      <c r="L43" s="572"/>
      <c r="M43" s="6"/>
      <c r="N43" s="6"/>
      <c r="O43" s="613"/>
      <c r="P43" s="614"/>
      <c r="Q43" s="6"/>
      <c r="R43" s="6"/>
      <c r="S43" s="613"/>
      <c r="T43" s="622"/>
      <c r="U43" s="572"/>
      <c r="V43" s="6"/>
      <c r="W43" s="6"/>
      <c r="X43" s="613"/>
      <c r="Y43" s="614"/>
      <c r="Z43" s="6"/>
      <c r="AA43" s="620"/>
      <c r="AB43" s="613"/>
      <c r="AC43" s="622"/>
      <c r="AD43" s="572"/>
      <c r="AE43" s="6"/>
      <c r="AF43" s="6"/>
      <c r="AG43" s="613"/>
      <c r="AH43" s="605"/>
      <c r="AI43" s="620"/>
      <c r="AJ43" s="6"/>
      <c r="AK43" s="613"/>
      <c r="AM43" s="572"/>
      <c r="AN43" s="6"/>
      <c r="AO43" s="6"/>
      <c r="AP43" s="50"/>
      <c r="AQ43" s="613"/>
      <c r="AR43" s="605"/>
      <c r="AS43" s="620"/>
      <c r="AT43" s="6"/>
      <c r="AU43" s="50"/>
      <c r="AV43" s="613"/>
    </row>
    <row r="44" spans="1:48" ht="36" customHeight="1" x14ac:dyDescent="0.25">
      <c r="A44" s="2205"/>
      <c r="B44" s="574">
        <v>2</v>
      </c>
      <c r="C44" s="596"/>
      <c r="D44" s="596"/>
      <c r="E44" s="596">
        <v>29</v>
      </c>
      <c r="F44" s="597"/>
      <c r="G44" s="619"/>
      <c r="H44" s="619"/>
      <c r="I44" s="692" t="s">
        <v>152</v>
      </c>
      <c r="J44" s="635"/>
      <c r="K44" s="622"/>
      <c r="L44" s="572"/>
      <c r="M44" s="6"/>
      <c r="N44" s="6"/>
      <c r="O44" s="613"/>
      <c r="P44" s="614"/>
      <c r="Q44" s="6"/>
      <c r="R44" s="605"/>
      <c r="S44" s="764"/>
      <c r="T44" s="622"/>
      <c r="U44" s="572"/>
      <c r="V44" s="6"/>
      <c r="W44" s="596"/>
      <c r="X44" s="597"/>
      <c r="Y44" s="619"/>
      <c r="Z44" s="620"/>
      <c r="AA44" s="605"/>
      <c r="AB44" s="635"/>
      <c r="AC44" s="622"/>
      <c r="AD44" s="572"/>
      <c r="AE44" s="6"/>
      <c r="AF44" s="6"/>
      <c r="AG44" s="613"/>
      <c r="AH44" s="614"/>
      <c r="AI44" s="605"/>
      <c r="AJ44" s="605"/>
      <c r="AK44" s="613"/>
      <c r="AM44" s="572">
        <v>302</v>
      </c>
      <c r="AN44" s="6"/>
      <c r="AO44" s="6"/>
      <c r="AP44" s="50"/>
      <c r="AQ44" s="613"/>
      <c r="AR44" s="614" t="s">
        <v>237</v>
      </c>
      <c r="AS44" s="605"/>
      <c r="AT44" s="605"/>
      <c r="AU44" s="828"/>
      <c r="AV44" s="613"/>
    </row>
    <row r="45" spans="1:48" ht="48" customHeight="1" x14ac:dyDescent="0.25">
      <c r="A45" s="2206">
        <v>45099</v>
      </c>
      <c r="B45" s="574">
        <v>1</v>
      </c>
      <c r="C45" s="596"/>
      <c r="D45" s="596"/>
      <c r="E45" s="596"/>
      <c r="F45" s="597"/>
      <c r="G45" s="619"/>
      <c r="H45" s="619"/>
      <c r="I45" s="620"/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"/>
      <c r="W45" s="6"/>
      <c r="X45" s="613"/>
      <c r="Y45" s="619"/>
      <c r="Z45" s="620"/>
      <c r="AA45" s="605"/>
      <c r="AB45" s="613"/>
      <c r="AC45" s="622"/>
      <c r="AD45" s="572"/>
      <c r="AE45" s="6"/>
      <c r="AF45" s="6"/>
      <c r="AG45" s="613"/>
      <c r="AH45" s="614"/>
      <c r="AI45" s="605"/>
      <c r="AJ45" s="6"/>
      <c r="AK45" s="613"/>
      <c r="AM45" s="572">
        <v>720</v>
      </c>
      <c r="AN45" s="6"/>
      <c r="AO45" s="6"/>
      <c r="AP45" s="50"/>
      <c r="AQ45" s="613"/>
      <c r="AR45" s="614" t="s">
        <v>237</v>
      </c>
      <c r="AS45" s="605"/>
      <c r="AT45" s="6"/>
      <c r="AU45" s="50"/>
      <c r="AV45" s="613"/>
    </row>
    <row r="46" spans="1:48" ht="48.6" customHeight="1" x14ac:dyDescent="0.25">
      <c r="A46" s="2205"/>
      <c r="B46" s="574">
        <v>2</v>
      </c>
      <c r="C46" s="596"/>
      <c r="D46" s="596"/>
      <c r="E46" s="596"/>
      <c r="F46" s="597"/>
      <c r="G46" s="619"/>
      <c r="H46" s="619"/>
      <c r="I46" s="620"/>
      <c r="J46" s="635"/>
      <c r="K46" s="622"/>
      <c r="L46" s="572"/>
      <c r="M46" s="6"/>
      <c r="N46" s="6"/>
      <c r="O46" s="785"/>
      <c r="P46" s="614"/>
      <c r="Q46" s="620"/>
      <c r="R46" s="6"/>
      <c r="S46" s="635"/>
      <c r="T46" s="622"/>
      <c r="U46" s="572"/>
      <c r="V46" s="6"/>
      <c r="W46" s="6"/>
      <c r="X46" s="613"/>
      <c r="Y46" s="944"/>
      <c r="Z46" s="6"/>
      <c r="AA46" s="605"/>
      <c r="AB46" s="635"/>
      <c r="AC46" s="622"/>
      <c r="AD46" s="572"/>
      <c r="AE46" s="6"/>
      <c r="AF46" s="6"/>
      <c r="AG46" s="613"/>
      <c r="AH46" s="944"/>
      <c r="AI46" s="6"/>
      <c r="AJ46" s="6"/>
      <c r="AK46" s="635"/>
      <c r="AM46" s="572">
        <v>695</v>
      </c>
      <c r="AN46" s="6"/>
      <c r="AO46" s="6"/>
      <c r="AP46" s="50"/>
      <c r="AQ46" s="613"/>
      <c r="AR46" s="614" t="s">
        <v>237</v>
      </c>
      <c r="AS46" s="6"/>
      <c r="AT46" s="6"/>
      <c r="AU46" s="50"/>
      <c r="AV46" s="635"/>
    </row>
    <row r="47" spans="1:48" ht="36" customHeight="1" x14ac:dyDescent="0.25">
      <c r="A47" s="2206">
        <v>45100</v>
      </c>
      <c r="B47" s="574">
        <v>1</v>
      </c>
      <c r="C47" s="596"/>
      <c r="D47" s="596"/>
      <c r="E47" s="596"/>
      <c r="F47" s="597"/>
      <c r="G47" s="620"/>
      <c r="H47" s="619"/>
      <c r="I47" s="692"/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/>
      <c r="X47" s="613"/>
      <c r="Y47" s="614"/>
      <c r="Z47" s="605"/>
      <c r="AA47" s="605"/>
      <c r="AB47" s="635"/>
      <c r="AC47" s="622"/>
      <c r="AD47" s="572"/>
      <c r="AE47" s="6"/>
      <c r="AF47" s="6"/>
      <c r="AG47" s="613"/>
      <c r="AH47" s="944"/>
      <c r="AI47" s="620"/>
      <c r="AJ47" s="6"/>
      <c r="AK47" s="613"/>
      <c r="AM47" s="572">
        <v>715</v>
      </c>
      <c r="AN47" s="6"/>
      <c r="AO47" s="6"/>
      <c r="AP47" s="50"/>
      <c r="AQ47" s="613"/>
      <c r="AR47" s="614" t="s">
        <v>237</v>
      </c>
      <c r="AS47" s="620"/>
      <c r="AT47" s="6"/>
      <c r="AU47" s="50"/>
      <c r="AV47" s="613"/>
    </row>
    <row r="48" spans="1:48" ht="34.9" customHeight="1" x14ac:dyDescent="0.25">
      <c r="A48" s="2205"/>
      <c r="B48" s="574">
        <v>2</v>
      </c>
      <c r="C48" s="596"/>
      <c r="D48" s="596"/>
      <c r="E48" s="596"/>
      <c r="F48" s="597"/>
      <c r="G48" s="620"/>
      <c r="H48" s="620"/>
      <c r="I48" s="692"/>
      <c r="J48" s="687"/>
      <c r="K48" s="622"/>
      <c r="L48" s="572"/>
      <c r="M48" s="6"/>
      <c r="N48" s="6"/>
      <c r="O48" s="613"/>
      <c r="P48" s="614"/>
      <c r="Q48" s="620"/>
      <c r="R48" s="605"/>
      <c r="S48" s="635"/>
      <c r="T48" s="622"/>
      <c r="U48" s="572"/>
      <c r="V48" s="6"/>
      <c r="W48" s="6"/>
      <c r="X48" s="613"/>
      <c r="Y48" s="944"/>
      <c r="Z48" s="6"/>
      <c r="AA48" s="605"/>
      <c r="AB48" s="613"/>
      <c r="AC48" s="622"/>
      <c r="AD48" s="572"/>
      <c r="AE48" s="6"/>
      <c r="AF48" s="6"/>
      <c r="AG48" s="613"/>
      <c r="AH48" s="614"/>
      <c r="AI48" s="605"/>
      <c r="AJ48" s="6"/>
      <c r="AK48" s="613"/>
      <c r="AM48" s="572">
        <v>679</v>
      </c>
      <c r="AN48" s="6"/>
      <c r="AO48" s="6"/>
      <c r="AP48" s="50"/>
      <c r="AQ48" s="613"/>
      <c r="AR48" s="614" t="s">
        <v>237</v>
      </c>
      <c r="AS48" s="605"/>
      <c r="AT48" s="6"/>
      <c r="AU48" s="50"/>
      <c r="AV48" s="613"/>
    </row>
    <row r="49" spans="1:48" ht="36" customHeight="1" x14ac:dyDescent="0.25">
      <c r="A49" s="2206">
        <v>45101</v>
      </c>
      <c r="B49" s="574">
        <v>1</v>
      </c>
      <c r="C49" s="596"/>
      <c r="D49" s="596"/>
      <c r="E49" s="596"/>
      <c r="F49" s="597"/>
      <c r="G49" s="620"/>
      <c r="H49" s="619"/>
      <c r="I49" s="692"/>
      <c r="J49" s="687"/>
      <c r="K49" s="622"/>
      <c r="L49" s="572"/>
      <c r="M49" s="6"/>
      <c r="N49" s="6"/>
      <c r="O49" s="613"/>
      <c r="P49" s="614"/>
      <c r="Q49" s="6"/>
      <c r="R49" s="6"/>
      <c r="S49" s="613"/>
      <c r="T49" s="622"/>
      <c r="U49" s="572"/>
      <c r="V49" s="6"/>
      <c r="W49" s="6"/>
      <c r="X49" s="613"/>
      <c r="Y49" s="614"/>
      <c r="Z49" s="605"/>
      <c r="AA49" s="605"/>
      <c r="AB49" s="635"/>
      <c r="AC49" s="622"/>
      <c r="AD49" s="572"/>
      <c r="AE49" s="6"/>
      <c r="AF49" s="6"/>
      <c r="AG49" s="613"/>
      <c r="AH49" s="614"/>
      <c r="AI49" s="605"/>
      <c r="AJ49" s="692"/>
      <c r="AK49" s="613"/>
      <c r="AM49" s="572">
        <v>571</v>
      </c>
      <c r="AN49" s="6"/>
      <c r="AO49" s="6"/>
      <c r="AP49" s="50"/>
      <c r="AQ49" s="613"/>
      <c r="AR49" s="614" t="s">
        <v>237</v>
      </c>
      <c r="AS49" s="605"/>
      <c r="AT49" s="6"/>
      <c r="AU49" s="50"/>
      <c r="AV49" s="613"/>
    </row>
    <row r="50" spans="1:48" ht="51.6" customHeight="1" x14ac:dyDescent="0.25">
      <c r="A50" s="2205"/>
      <c r="B50" s="574">
        <v>2</v>
      </c>
      <c r="C50" s="596"/>
      <c r="D50" s="596"/>
      <c r="E50" s="596"/>
      <c r="F50" s="597"/>
      <c r="G50" s="619"/>
      <c r="H50" s="619"/>
      <c r="I50" s="692"/>
      <c r="J50" s="635"/>
      <c r="K50" s="622"/>
      <c r="L50" s="572"/>
      <c r="M50" s="6"/>
      <c r="N50" s="6"/>
      <c r="O50" s="597"/>
      <c r="P50" s="619"/>
      <c r="Q50" s="619"/>
      <c r="R50" s="692"/>
      <c r="S50" s="635"/>
      <c r="T50" s="622"/>
      <c r="U50" s="572"/>
      <c r="V50" s="6"/>
      <c r="W50" s="6"/>
      <c r="X50" s="597"/>
      <c r="Y50" s="620"/>
      <c r="Z50" s="619"/>
      <c r="AA50" s="692"/>
      <c r="AB50" s="635"/>
      <c r="AC50" s="622"/>
      <c r="AD50" s="572"/>
      <c r="AE50" s="6"/>
      <c r="AF50" s="6"/>
      <c r="AG50" s="597"/>
      <c r="AH50" s="619"/>
      <c r="AI50" s="619"/>
      <c r="AJ50" s="692"/>
      <c r="AK50" s="635"/>
      <c r="AM50" s="572">
        <v>505</v>
      </c>
      <c r="AN50" s="6">
        <v>65</v>
      </c>
      <c r="AO50" s="6"/>
      <c r="AP50" s="50"/>
      <c r="AQ50" s="597"/>
      <c r="AR50" s="614" t="s">
        <v>237</v>
      </c>
      <c r="AS50" s="619" t="s">
        <v>691</v>
      </c>
      <c r="AT50" s="692"/>
      <c r="AU50" s="692"/>
      <c r="AV50" s="635"/>
    </row>
    <row r="51" spans="1:48" ht="34.9" customHeight="1" x14ac:dyDescent="0.25">
      <c r="A51" s="2206">
        <v>45102</v>
      </c>
      <c r="B51" s="574">
        <v>1</v>
      </c>
      <c r="C51" s="596"/>
      <c r="D51" s="596"/>
      <c r="E51" s="596"/>
      <c r="F51" s="597"/>
      <c r="G51" s="619"/>
      <c r="H51" s="619"/>
      <c r="I51" s="692"/>
      <c r="J51" s="635"/>
      <c r="K51" s="622"/>
      <c r="L51" s="572"/>
      <c r="M51" s="6"/>
      <c r="N51" s="6"/>
      <c r="O51" s="613"/>
      <c r="P51" s="614"/>
      <c r="Q51" s="620"/>
      <c r="R51" s="6"/>
      <c r="S51" s="613"/>
      <c r="T51" s="622"/>
      <c r="U51" s="572"/>
      <c r="V51" s="6"/>
      <c r="W51" s="6"/>
      <c r="X51" s="613"/>
      <c r="Y51" s="944"/>
      <c r="Z51" s="6"/>
      <c r="AA51" s="605"/>
      <c r="AB51" s="613"/>
      <c r="AC51" s="622"/>
      <c r="AD51" s="572"/>
      <c r="AE51" s="6"/>
      <c r="AF51" s="6"/>
      <c r="AG51" s="613"/>
      <c r="AH51" s="614"/>
      <c r="AI51" s="6"/>
      <c r="AJ51" s="6"/>
      <c r="AK51" s="613"/>
      <c r="AM51" s="572">
        <v>451</v>
      </c>
      <c r="AN51" s="6">
        <v>140</v>
      </c>
      <c r="AO51" s="6"/>
      <c r="AP51" s="50"/>
      <c r="AQ51" s="613"/>
      <c r="AR51" s="614" t="s">
        <v>237</v>
      </c>
      <c r="AS51" s="6" t="s">
        <v>334</v>
      </c>
      <c r="AT51" s="6"/>
      <c r="AU51" s="50"/>
      <c r="AV51" s="613"/>
    </row>
    <row r="52" spans="1:48" ht="49.15" customHeight="1" x14ac:dyDescent="0.25">
      <c r="A52" s="2205"/>
      <c r="B52" s="574">
        <v>2</v>
      </c>
      <c r="C52" s="596"/>
      <c r="D52" s="596"/>
      <c r="E52" s="596"/>
      <c r="F52" s="597"/>
      <c r="G52" s="620"/>
      <c r="H52" s="620"/>
      <c r="I52" s="692"/>
      <c r="J52" s="635"/>
      <c r="K52" s="622"/>
      <c r="L52" s="572"/>
      <c r="M52" s="6"/>
      <c r="N52" s="6"/>
      <c r="O52" s="597"/>
      <c r="P52" s="620"/>
      <c r="Q52" s="620"/>
      <c r="R52" s="692"/>
      <c r="S52" s="635"/>
      <c r="T52" s="622"/>
      <c r="U52" s="572"/>
      <c r="V52" s="6"/>
      <c r="W52" s="6"/>
      <c r="X52" s="597"/>
      <c r="Y52" s="620"/>
      <c r="Z52" s="620"/>
      <c r="AA52" s="692"/>
      <c r="AB52" s="635"/>
      <c r="AC52" s="622"/>
      <c r="AD52" s="572"/>
      <c r="AE52" s="6"/>
      <c r="AF52" s="6"/>
      <c r="AG52" s="597"/>
      <c r="AH52" s="620"/>
      <c r="AI52" s="620"/>
      <c r="AJ52" s="692"/>
      <c r="AK52" s="635"/>
      <c r="AM52" s="572">
        <v>310</v>
      </c>
      <c r="AN52" s="613">
        <v>130</v>
      </c>
      <c r="AO52" s="613"/>
      <c r="AP52" s="613"/>
      <c r="AQ52" s="613"/>
      <c r="AR52" s="614" t="s">
        <v>237</v>
      </c>
      <c r="AS52" s="6" t="s">
        <v>334</v>
      </c>
      <c r="AT52" s="6"/>
      <c r="AU52" s="50"/>
      <c r="AV52" s="613"/>
    </row>
    <row r="53" spans="1:48" ht="40.15" customHeight="1" x14ac:dyDescent="0.25">
      <c r="A53" s="2206">
        <v>45103</v>
      </c>
      <c r="B53" s="574">
        <v>1</v>
      </c>
      <c r="C53" s="596"/>
      <c r="D53" s="596"/>
      <c r="E53" s="596">
        <v>25</v>
      </c>
      <c r="F53" s="597"/>
      <c r="G53" s="619"/>
      <c r="H53" s="619"/>
      <c r="I53" s="692" t="s">
        <v>521</v>
      </c>
      <c r="J53" s="635"/>
      <c r="K53" s="622"/>
      <c r="L53" s="572"/>
      <c r="M53" s="6"/>
      <c r="N53" s="6"/>
      <c r="O53" s="613"/>
      <c r="P53" s="944"/>
      <c r="Q53" s="6"/>
      <c r="R53" s="6"/>
      <c r="S53" s="635"/>
      <c r="T53" s="622"/>
      <c r="U53" s="572"/>
      <c r="V53" s="6"/>
      <c r="W53" s="6"/>
      <c r="X53" s="613"/>
      <c r="Y53" s="944"/>
      <c r="Z53" s="6"/>
      <c r="AA53" s="605"/>
      <c r="AB53" s="613"/>
      <c r="AC53" s="622"/>
      <c r="AD53" s="572"/>
      <c r="AE53" s="605"/>
      <c r="AF53" s="6"/>
      <c r="AG53" s="613"/>
      <c r="AH53" s="614"/>
      <c r="AI53" s="605"/>
      <c r="AJ53" s="605"/>
      <c r="AK53" s="613"/>
      <c r="AM53" s="572"/>
      <c r="AN53" s="605"/>
      <c r="AO53" s="6"/>
      <c r="AP53" s="50"/>
      <c r="AQ53" s="613"/>
      <c r="AR53" s="614"/>
      <c r="AS53" s="605"/>
      <c r="AT53" s="6"/>
      <c r="AU53" s="50"/>
      <c r="AV53" s="613"/>
    </row>
    <row r="54" spans="1:48" ht="39.6" customHeight="1" x14ac:dyDescent="0.25">
      <c r="A54" s="2205"/>
      <c r="B54" s="939">
        <v>2</v>
      </c>
      <c r="C54" s="596"/>
      <c r="D54" s="596"/>
      <c r="E54" s="596">
        <v>13</v>
      </c>
      <c r="F54" s="597"/>
      <c r="G54" s="619"/>
      <c r="H54" s="619"/>
      <c r="I54" s="692" t="s">
        <v>152</v>
      </c>
      <c r="J54" s="635"/>
      <c r="K54" s="622"/>
      <c r="L54" s="572"/>
      <c r="M54" s="6"/>
      <c r="N54" s="6"/>
      <c r="O54" s="597"/>
      <c r="P54" s="619"/>
      <c r="Q54" s="619"/>
      <c r="R54" s="619"/>
      <c r="S54" s="635"/>
      <c r="T54" s="622"/>
      <c r="U54" s="572"/>
      <c r="V54" s="6"/>
      <c r="W54" s="6">
        <v>37</v>
      </c>
      <c r="X54" s="597"/>
      <c r="Y54" s="620"/>
      <c r="Z54" s="619"/>
      <c r="AA54" s="620" t="s">
        <v>152</v>
      </c>
      <c r="AB54" s="635"/>
      <c r="AC54" s="622"/>
      <c r="AD54" s="572"/>
      <c r="AE54" s="6"/>
      <c r="AF54" s="6"/>
      <c r="AG54" s="613"/>
      <c r="AH54" s="614"/>
      <c r="AI54" s="619"/>
      <c r="AJ54" s="6"/>
      <c r="AK54" s="635"/>
      <c r="AM54" s="572"/>
      <c r="AN54" s="6"/>
      <c r="AO54" s="6"/>
      <c r="AP54" s="50"/>
      <c r="AQ54" s="597"/>
      <c r="AR54" s="619"/>
      <c r="AS54" s="619"/>
      <c r="AT54" s="619"/>
      <c r="AU54" s="830"/>
      <c r="AV54" s="635"/>
    </row>
    <row r="55" spans="1:48" ht="39.6" customHeight="1" x14ac:dyDescent="0.25">
      <c r="A55" s="2206">
        <v>45104</v>
      </c>
      <c r="B55" s="574">
        <v>1</v>
      </c>
      <c r="C55" s="595"/>
      <c r="D55" s="596"/>
      <c r="E55" s="596"/>
      <c r="F55" s="597"/>
      <c r="G55" s="619"/>
      <c r="H55" s="619"/>
      <c r="I55" s="692"/>
      <c r="J55" s="613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/>
      <c r="X55" s="613"/>
      <c r="Y55" s="614"/>
      <c r="Z55" s="620"/>
      <c r="AA55" s="6"/>
      <c r="AB55" s="613"/>
      <c r="AC55" s="622"/>
      <c r="AD55" s="572"/>
      <c r="AE55" s="6"/>
      <c r="AF55" s="6"/>
      <c r="AG55" s="613"/>
      <c r="AH55" s="614"/>
      <c r="AI55" s="620"/>
      <c r="AJ55" s="6"/>
      <c r="AK55" s="613"/>
      <c r="AM55" s="572"/>
      <c r="AN55" s="6"/>
      <c r="AO55" s="6"/>
      <c r="AP55" s="50"/>
      <c r="AQ55" s="613"/>
      <c r="AR55" s="614"/>
      <c r="AS55" s="620"/>
      <c r="AT55" s="6"/>
      <c r="AU55" s="50"/>
      <c r="AV55" s="613"/>
    </row>
    <row r="56" spans="1:48" ht="94.15" customHeight="1" x14ac:dyDescent="0.25">
      <c r="A56" s="2205"/>
      <c r="B56" s="939">
        <v>2</v>
      </c>
      <c r="C56" s="595"/>
      <c r="D56" s="596"/>
      <c r="E56" s="596"/>
      <c r="F56" s="597"/>
      <c r="G56" s="620"/>
      <c r="H56" s="620"/>
      <c r="I56" s="620"/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/>
      <c r="V56" s="6"/>
      <c r="W56" s="6"/>
      <c r="X56" s="597"/>
      <c r="Y56" s="944"/>
      <c r="Z56" s="619"/>
      <c r="AA56" s="620"/>
      <c r="AB56" s="635"/>
      <c r="AC56" s="622"/>
      <c r="AD56" s="572"/>
      <c r="AE56" s="6"/>
      <c r="AF56" s="6">
        <v>109</v>
      </c>
      <c r="AG56" s="597"/>
      <c r="AH56" s="620"/>
      <c r="AI56" s="619"/>
      <c r="AJ56" s="620" t="s">
        <v>336</v>
      </c>
      <c r="AK56" s="635"/>
      <c r="AM56" s="572">
        <v>85</v>
      </c>
      <c r="AN56" s="6"/>
      <c r="AO56" s="6"/>
      <c r="AP56" s="50"/>
      <c r="AQ56" s="597"/>
      <c r="AR56" s="620" t="s">
        <v>113</v>
      </c>
      <c r="AS56" s="619"/>
      <c r="AT56" s="620"/>
      <c r="AU56" s="692"/>
      <c r="AV56" s="635"/>
    </row>
    <row r="57" spans="1:48" ht="52.15" customHeight="1" x14ac:dyDescent="0.25">
      <c r="A57" s="2206">
        <v>45105</v>
      </c>
      <c r="B57" s="574">
        <v>1</v>
      </c>
      <c r="C57" s="595"/>
      <c r="D57" s="596"/>
      <c r="E57" s="596"/>
      <c r="F57" s="597"/>
      <c r="G57" s="620"/>
      <c r="H57" s="620"/>
      <c r="I57" s="692"/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/>
      <c r="X57" s="597"/>
      <c r="Y57" s="620"/>
      <c r="Z57" s="619"/>
      <c r="AA57" s="620"/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/>
      <c r="AP57" s="50"/>
      <c r="AQ57" s="597"/>
      <c r="AR57" s="620"/>
      <c r="AS57" s="619"/>
      <c r="AT57" s="620"/>
      <c r="AU57" s="692"/>
      <c r="AV57" s="635"/>
    </row>
    <row r="58" spans="1:48" ht="78" customHeight="1" x14ac:dyDescent="0.25">
      <c r="A58" s="2205"/>
      <c r="B58" s="939">
        <v>2</v>
      </c>
      <c r="C58" s="595"/>
      <c r="D58" s="596"/>
      <c r="E58" s="596"/>
      <c r="F58" s="597"/>
      <c r="G58" s="620"/>
      <c r="H58" s="619"/>
      <c r="I58" s="620"/>
      <c r="J58" s="635"/>
      <c r="K58" s="622"/>
      <c r="L58" s="572"/>
      <c r="M58" s="6"/>
      <c r="N58" s="6"/>
      <c r="O58" s="597"/>
      <c r="P58" s="620"/>
      <c r="Q58" s="619"/>
      <c r="R58" s="620"/>
      <c r="S58" s="635"/>
      <c r="T58" s="622"/>
      <c r="U58" s="572"/>
      <c r="V58" s="6">
        <v>43</v>
      </c>
      <c r="W58" s="6"/>
      <c r="X58" s="597"/>
      <c r="Y58" s="620"/>
      <c r="Z58" s="619" t="s">
        <v>692</v>
      </c>
      <c r="AA58" s="620"/>
      <c r="AB58" s="635"/>
      <c r="AC58" s="622"/>
      <c r="AD58" s="572"/>
      <c r="AE58" s="6"/>
      <c r="AF58" s="6"/>
      <c r="AG58" s="597"/>
      <c r="AH58" s="620"/>
      <c r="AI58" s="619"/>
      <c r="AJ58" s="620"/>
      <c r="AK58" s="635"/>
      <c r="AM58" s="572"/>
      <c r="AN58" s="6"/>
      <c r="AO58" s="6"/>
      <c r="AP58" s="50"/>
      <c r="AQ58" s="597"/>
      <c r="AR58" s="620"/>
      <c r="AS58" s="619"/>
      <c r="AT58" s="620"/>
      <c r="AU58" s="692"/>
      <c r="AV58" s="635"/>
    </row>
    <row r="59" spans="1:48" ht="73.150000000000006" customHeight="1" x14ac:dyDescent="0.25">
      <c r="A59" s="2206">
        <v>45106</v>
      </c>
      <c r="B59" s="574">
        <v>1</v>
      </c>
      <c r="C59" s="595"/>
      <c r="D59" s="596"/>
      <c r="E59" s="596"/>
      <c r="F59" s="597"/>
      <c r="G59" s="619"/>
      <c r="H59" s="619"/>
      <c r="I59" s="692"/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/>
      <c r="X59" s="613"/>
      <c r="Y59" s="614"/>
      <c r="Z59" s="6"/>
      <c r="AA59" s="605"/>
      <c r="AB59" s="635"/>
      <c r="AC59" s="622"/>
      <c r="AD59" s="572"/>
      <c r="AE59" s="6"/>
      <c r="AF59" s="6"/>
      <c r="AG59" s="613"/>
      <c r="AH59" s="944"/>
      <c r="AI59" s="6"/>
      <c r="AJ59" s="620"/>
      <c r="AK59" s="635"/>
      <c r="AM59" s="572"/>
      <c r="AN59" s="6"/>
      <c r="AO59" s="6"/>
      <c r="AP59" s="50"/>
      <c r="AQ59" s="613"/>
      <c r="AR59" s="944"/>
      <c r="AS59" s="6"/>
      <c r="AT59" s="620"/>
      <c r="AU59" s="692"/>
      <c r="AV59" s="635"/>
    </row>
    <row r="60" spans="1:48" ht="36" customHeight="1" x14ac:dyDescent="0.25">
      <c r="A60" s="2205"/>
      <c r="B60" s="939">
        <v>2</v>
      </c>
      <c r="C60" s="595"/>
      <c r="D60" s="596"/>
      <c r="E60" s="596"/>
      <c r="F60" s="597"/>
      <c r="G60" s="619"/>
      <c r="H60" s="620"/>
      <c r="I60" s="692"/>
      <c r="J60" s="635"/>
      <c r="K60" s="622"/>
      <c r="L60" s="572"/>
      <c r="M60" s="6"/>
      <c r="N60" s="6"/>
      <c r="O60" s="613"/>
      <c r="P60" s="614"/>
      <c r="Q60" s="6"/>
      <c r="R60" s="6"/>
      <c r="S60" s="635"/>
      <c r="T60" s="622"/>
      <c r="U60" s="572"/>
      <c r="V60" s="6"/>
      <c r="W60" s="6"/>
      <c r="X60" s="613"/>
      <c r="Y60" s="944"/>
      <c r="Z60" s="605"/>
      <c r="AA60" s="605"/>
      <c r="AB60" s="635"/>
      <c r="AC60" s="622"/>
      <c r="AD60" s="572"/>
      <c r="AE60" s="6"/>
      <c r="AF60" s="6"/>
      <c r="AG60" s="613"/>
      <c r="AH60" s="614"/>
      <c r="AI60" s="6"/>
      <c r="AJ60" s="605"/>
      <c r="AK60" s="635"/>
      <c r="AM60" s="572"/>
      <c r="AN60" s="6"/>
      <c r="AO60" s="6"/>
      <c r="AP60" s="50"/>
      <c r="AQ60" s="613"/>
      <c r="AR60" s="614"/>
      <c r="AS60" s="6"/>
      <c r="AT60" s="605"/>
      <c r="AU60" s="828"/>
      <c r="AV60" s="635"/>
    </row>
    <row r="61" spans="1:48" ht="32.450000000000003" customHeight="1" x14ac:dyDescent="0.25">
      <c r="A61" s="2206">
        <v>45107</v>
      </c>
      <c r="B61" s="574">
        <v>1</v>
      </c>
      <c r="C61" s="947"/>
      <c r="D61" s="949"/>
      <c r="E61" s="596">
        <v>15</v>
      </c>
      <c r="F61" s="749"/>
      <c r="G61" s="619"/>
      <c r="H61" s="948"/>
      <c r="I61" s="692" t="s">
        <v>693</v>
      </c>
      <c r="J61" s="687"/>
      <c r="K61" s="622"/>
      <c r="L61" s="572"/>
      <c r="M61" s="6"/>
      <c r="N61" s="6"/>
      <c r="O61" s="613"/>
      <c r="P61" s="752"/>
      <c r="Q61" s="945"/>
      <c r="R61" s="945"/>
      <c r="S61" s="753"/>
      <c r="T61" s="622"/>
      <c r="U61" s="572"/>
      <c r="V61" s="6"/>
      <c r="W61" s="6"/>
      <c r="X61" s="613"/>
      <c r="Y61" s="944"/>
      <c r="Z61" s="605"/>
      <c r="AA61" s="605"/>
      <c r="AB61" s="753"/>
      <c r="AC61" s="622"/>
      <c r="AD61" s="572"/>
      <c r="AE61" s="6"/>
      <c r="AF61" s="6"/>
      <c r="AG61" s="613"/>
      <c r="AH61" s="614"/>
      <c r="AI61" s="6"/>
      <c r="AJ61" s="605"/>
      <c r="AK61" s="753"/>
      <c r="AM61" s="572"/>
      <c r="AN61" s="6"/>
      <c r="AO61" s="6"/>
      <c r="AP61" s="50"/>
      <c r="AQ61" s="613"/>
      <c r="AR61" s="614"/>
      <c r="AS61" s="6"/>
      <c r="AT61" s="605"/>
      <c r="AU61" s="964"/>
      <c r="AV61" s="753"/>
    </row>
    <row r="62" spans="1:48" ht="33" customHeight="1" x14ac:dyDescent="0.25">
      <c r="A62" s="2205"/>
      <c r="B62" s="939">
        <v>2</v>
      </c>
      <c r="C62" s="947"/>
      <c r="D62" s="949"/>
      <c r="E62" s="949"/>
      <c r="F62" s="749"/>
      <c r="G62" s="941"/>
      <c r="H62" s="948"/>
      <c r="I62" s="692"/>
      <c r="J62" s="687"/>
      <c r="K62" s="622"/>
      <c r="L62" s="572"/>
      <c r="M62" s="6"/>
      <c r="N62" s="6"/>
      <c r="O62" s="613"/>
      <c r="P62" s="752"/>
      <c r="Q62" s="945"/>
      <c r="R62" s="945"/>
      <c r="S62" s="753"/>
      <c r="T62" s="622"/>
      <c r="U62" s="572"/>
      <c r="V62" s="6"/>
      <c r="W62" s="6"/>
      <c r="X62" s="613"/>
      <c r="Y62" s="944"/>
      <c r="Z62" s="605"/>
      <c r="AA62" s="605"/>
      <c r="AB62" s="753"/>
      <c r="AC62" s="622"/>
      <c r="AD62" s="572"/>
      <c r="AE62" s="6"/>
      <c r="AF62" s="6"/>
      <c r="AG62" s="613"/>
      <c r="AH62" s="614"/>
      <c r="AI62" s="6"/>
      <c r="AJ62" s="605"/>
      <c r="AK62" s="753"/>
      <c r="AM62" s="572"/>
      <c r="AN62" s="6"/>
      <c r="AO62" s="6"/>
      <c r="AP62" s="50"/>
      <c r="AQ62" s="613"/>
      <c r="AR62" s="614"/>
      <c r="AS62" s="6"/>
      <c r="AT62" s="605"/>
      <c r="AU62" s="964"/>
      <c r="AV62" s="753"/>
    </row>
    <row r="63" spans="1:48" ht="33.6" customHeight="1" x14ac:dyDescent="0.25">
      <c r="A63" s="2206"/>
      <c r="B63" s="574">
        <v>1</v>
      </c>
      <c r="C63" s="706"/>
      <c r="D63" s="707"/>
      <c r="E63" s="707"/>
      <c r="F63" s="708"/>
      <c r="G63" s="717"/>
      <c r="H63" s="709"/>
      <c r="I63" s="620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/>
      <c r="X63" s="597"/>
      <c r="Y63" s="685"/>
      <c r="Z63" s="619"/>
      <c r="AA63" s="6"/>
      <c r="AB63" s="943"/>
      <c r="AC63" s="622"/>
      <c r="AD63" s="572"/>
      <c r="AE63" s="6"/>
      <c r="AF63" s="6"/>
      <c r="AG63" s="597"/>
      <c r="AH63" s="685"/>
      <c r="AI63" s="619"/>
      <c r="AJ63" s="6"/>
      <c r="AK63" s="705"/>
      <c r="AM63" s="572"/>
      <c r="AN63" s="6"/>
      <c r="AO63" s="6"/>
      <c r="AP63" s="50"/>
      <c r="AQ63" s="597"/>
      <c r="AR63" s="685"/>
      <c r="AS63" s="619"/>
      <c r="AT63" s="619"/>
      <c r="AU63" s="965"/>
      <c r="AV63" s="705"/>
    </row>
    <row r="64" spans="1:48" ht="30.6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963"/>
      <c r="AQ64" s="636"/>
      <c r="AR64" s="637"/>
      <c r="AS64" s="638"/>
      <c r="AT64" s="638"/>
      <c r="AU64" s="966"/>
      <c r="AV64" s="713"/>
    </row>
    <row r="65" spans="1:43" ht="23.45" customHeight="1" x14ac:dyDescent="0.25">
      <c r="A65" s="524" t="s">
        <v>225</v>
      </c>
      <c r="C65" s="768">
        <f>SUM(C3:C64)</f>
        <v>0</v>
      </c>
      <c r="D65" s="525">
        <f>SUM(D3:D64)</f>
        <v>0</v>
      </c>
      <c r="E65" s="768">
        <f>SUM(E3:E64)</f>
        <v>322</v>
      </c>
      <c r="F65" s="525">
        <f>SUM(F3:F64)</f>
        <v>6453</v>
      </c>
      <c r="L65" s="525">
        <f>SUM(L3:L64)</f>
        <v>0</v>
      </c>
      <c r="M65" s="525">
        <f>SUM(M3:M64)</f>
        <v>361</v>
      </c>
      <c r="N65" s="525">
        <f>SUM(N3:N64)</f>
        <v>0</v>
      </c>
      <c r="O65" s="525">
        <f>SUM(O3:O64)</f>
        <v>6474</v>
      </c>
      <c r="U65" s="525">
        <f>SUM(U3:U64)</f>
        <v>2797</v>
      </c>
      <c r="V65" s="525">
        <f>SUM(V3:V64)</f>
        <v>132</v>
      </c>
      <c r="W65" s="525">
        <f>SUM(W3:W64)</f>
        <v>1159</v>
      </c>
      <c r="X65" s="525">
        <f>SUM(X3:X64)</f>
        <v>5972</v>
      </c>
      <c r="AD65" s="525">
        <f>SUM(AD3:AD64)</f>
        <v>68</v>
      </c>
      <c r="AE65" s="525">
        <f>SUM(AE3:AE64)</f>
        <v>194</v>
      </c>
      <c r="AF65" s="525">
        <f>SUM(AF3:AF64)</f>
        <v>179</v>
      </c>
      <c r="AG65" s="525">
        <f>SUM(AG3:AG64)</f>
        <v>5970</v>
      </c>
      <c r="AM65" s="525">
        <f>SUM(AM3:AM64)</f>
        <v>5033</v>
      </c>
      <c r="AN65" s="525">
        <f>SUM(AN3:AN64)</f>
        <v>584</v>
      </c>
      <c r="AO65" s="525">
        <f>SUM(AO3:AO64)</f>
        <v>58</v>
      </c>
      <c r="AP65" s="525"/>
      <c r="AQ65" s="525">
        <f>SUM(AQ3:AQ64)</f>
        <v>10332</v>
      </c>
    </row>
    <row r="73" spans="1:43" ht="15.75" thickBot="1" x14ac:dyDescent="0.3"/>
    <row r="74" spans="1:43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3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3" ht="21.75" customHeight="1" x14ac:dyDescent="0.3">
      <c r="B76" s="651" t="s">
        <v>218</v>
      </c>
      <c r="C76" s="652">
        <f>C65</f>
        <v>0</v>
      </c>
      <c r="D76" s="653">
        <f>C76/60</f>
        <v>0</v>
      </c>
      <c r="E76" s="652">
        <f>D65</f>
        <v>0</v>
      </c>
      <c r="F76" s="654">
        <f>E76/60</f>
        <v>0</v>
      </c>
      <c r="G76" s="652">
        <f>E65</f>
        <v>322</v>
      </c>
      <c r="H76" s="653">
        <f>G76/60</f>
        <v>5.3666666666666663</v>
      </c>
      <c r="I76" s="652">
        <f>F65</f>
        <v>6453</v>
      </c>
      <c r="J76" s="653">
        <f>I76/60</f>
        <v>107.55</v>
      </c>
    </row>
    <row r="77" spans="1:43" ht="19.5" customHeight="1" x14ac:dyDescent="0.3">
      <c r="B77" s="651" t="s">
        <v>219</v>
      </c>
      <c r="C77" s="655">
        <f>L65</f>
        <v>0</v>
      </c>
      <c r="D77" s="656">
        <f>C77/60</f>
        <v>0</v>
      </c>
      <c r="E77" s="655">
        <f>M65</f>
        <v>361</v>
      </c>
      <c r="F77" s="657">
        <f>E77/60</f>
        <v>6.0166666666666666</v>
      </c>
      <c r="G77" s="655">
        <f>N65</f>
        <v>0</v>
      </c>
      <c r="H77" s="656">
        <f>G77/60</f>
        <v>0</v>
      </c>
      <c r="I77" s="655">
        <f>O65</f>
        <v>6474</v>
      </c>
      <c r="J77" s="656">
        <f>I77/60</f>
        <v>107.9</v>
      </c>
    </row>
    <row r="78" spans="1:43" ht="20.25" customHeight="1" x14ac:dyDescent="0.3">
      <c r="B78" s="651" t="s">
        <v>220</v>
      </c>
      <c r="C78" s="655">
        <f>U65</f>
        <v>2797</v>
      </c>
      <c r="D78" s="656">
        <f>C78/60</f>
        <v>46.616666666666667</v>
      </c>
      <c r="E78" s="655">
        <f>V65</f>
        <v>132</v>
      </c>
      <c r="F78" s="657">
        <f>E78/60</f>
        <v>2.2000000000000002</v>
      </c>
      <c r="G78" s="655">
        <f>W65</f>
        <v>1159</v>
      </c>
      <c r="H78" s="656">
        <f>G78/60</f>
        <v>19.316666666666666</v>
      </c>
      <c r="I78" s="655">
        <f>X65</f>
        <v>5972</v>
      </c>
      <c r="J78" s="656">
        <f>I78/60</f>
        <v>99.533333333333331</v>
      </c>
    </row>
    <row r="79" spans="1:43" ht="22.5" customHeight="1" thickBot="1" x14ac:dyDescent="0.35">
      <c r="B79" s="651" t="s">
        <v>221</v>
      </c>
      <c r="C79" s="658">
        <f>AD65</f>
        <v>68</v>
      </c>
      <c r="D79" s="659">
        <f>C79/60</f>
        <v>1.1333333333333333</v>
      </c>
      <c r="E79" s="658">
        <f>AE65</f>
        <v>194</v>
      </c>
      <c r="F79" s="660">
        <f>E79/60</f>
        <v>3.2333333333333334</v>
      </c>
      <c r="G79" s="658">
        <f>AF65</f>
        <v>179</v>
      </c>
      <c r="H79" s="659">
        <f>G79/60</f>
        <v>2.9833333333333334</v>
      </c>
      <c r="I79" s="658">
        <f>AG65</f>
        <v>5970</v>
      </c>
      <c r="J79" s="659">
        <f>I79/60</f>
        <v>99.5</v>
      </c>
    </row>
    <row r="80" spans="1:43" ht="22.5" customHeight="1" thickBot="1" x14ac:dyDescent="0.35">
      <c r="B80" s="651" t="s">
        <v>488</v>
      </c>
      <c r="C80" s="850">
        <f>AM65</f>
        <v>5033</v>
      </c>
      <c r="D80" s="849">
        <f>C80/60</f>
        <v>83.88333333333334</v>
      </c>
      <c r="E80" s="850">
        <f>AN65</f>
        <v>584</v>
      </c>
      <c r="F80" s="851">
        <f>E80/60</f>
        <v>9.7333333333333325</v>
      </c>
      <c r="G80" s="850">
        <f>AO65</f>
        <v>58</v>
      </c>
      <c r="H80" s="849">
        <f>G80/60</f>
        <v>0.96666666666666667</v>
      </c>
      <c r="I80" s="850">
        <f>AQ65</f>
        <v>10332</v>
      </c>
      <c r="J80" s="849">
        <f>I80/60</f>
        <v>172.2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131.63333333333333</v>
      </c>
      <c r="E82" s="666"/>
      <c r="F82" s="667">
        <f>SUM(F76:F80)</f>
        <v>21.18333333333333</v>
      </c>
      <c r="G82" s="666"/>
      <c r="H82" s="667">
        <f>SUM(H76:H80)</f>
        <v>28.633333333333333</v>
      </c>
      <c r="I82" s="666"/>
      <c r="J82" s="668">
        <f>AVERAGE(J76:J80)</f>
        <v>117.33666666666667</v>
      </c>
    </row>
  </sheetData>
  <mergeCells count="45">
    <mergeCell ref="A5:A6"/>
    <mergeCell ref="C1:F1"/>
    <mergeCell ref="G1:J1"/>
    <mergeCell ref="L1:O1"/>
    <mergeCell ref="P1:S1"/>
    <mergeCell ref="AD1:AG1"/>
    <mergeCell ref="AH1:AK1"/>
    <mergeCell ref="AM1:AQ1"/>
    <mergeCell ref="AR1:AV1"/>
    <mergeCell ref="A3:A4"/>
    <mergeCell ref="U1:X1"/>
    <mergeCell ref="Y1:AB1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</mergeCells>
  <pageMargins left="0.7" right="0.7" top="0.75" bottom="0.75" header="0.3" footer="0.3"/>
  <pageSetup paperSize="9" orientation="portrait" horizontalDpi="180" verticalDpi="18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2"/>
  <sheetViews>
    <sheetView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63" sqref="G63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7.285156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3" style="524" customWidth="1"/>
    <col min="17" max="17" width="25.7109375" style="524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2.42578125" style="524" customWidth="1"/>
    <col min="28" max="28" width="27" style="524" customWidth="1"/>
    <col min="29" max="33" width="10.7109375" style="524" customWidth="1"/>
    <col min="34" max="34" width="31.28515625" style="524" customWidth="1"/>
    <col min="35" max="35" width="18.57031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3" width="10.7109375" style="524" customWidth="1"/>
    <col min="44" max="44" width="21.140625" style="524" customWidth="1"/>
    <col min="45" max="45" width="26.28515625" style="524" customWidth="1"/>
    <col min="46" max="47" width="24.42578125" style="524" customWidth="1"/>
    <col min="48" max="48" width="26.5703125" style="524" customWidth="1"/>
    <col min="49" max="16384" width="8.85546875" style="524"/>
  </cols>
  <sheetData>
    <row r="1" spans="1:48" x14ac:dyDescent="0.25">
      <c r="C1" s="2217" t="s">
        <v>1</v>
      </c>
      <c r="D1" s="2212"/>
      <c r="E1" s="2212"/>
      <c r="F1" s="2212"/>
      <c r="G1" s="2211" t="s">
        <v>206</v>
      </c>
      <c r="H1" s="2209"/>
      <c r="I1" s="2209"/>
      <c r="J1" s="2210"/>
      <c r="L1" s="2212" t="s">
        <v>4</v>
      </c>
      <c r="M1" s="2212"/>
      <c r="N1" s="2212"/>
      <c r="O1" s="2212"/>
      <c r="P1" s="2209" t="s">
        <v>206</v>
      </c>
      <c r="Q1" s="2209"/>
      <c r="R1" s="2209"/>
      <c r="S1" s="2210"/>
      <c r="U1" s="2212" t="s">
        <v>2</v>
      </c>
      <c r="V1" s="2212"/>
      <c r="W1" s="2212"/>
      <c r="X1" s="2212"/>
      <c r="Y1" s="2209" t="s">
        <v>206</v>
      </c>
      <c r="Z1" s="2209"/>
      <c r="AA1" s="2209"/>
      <c r="AB1" s="2210"/>
      <c r="AD1" s="2212" t="s">
        <v>5</v>
      </c>
      <c r="AE1" s="2212"/>
      <c r="AF1" s="2212"/>
      <c r="AG1" s="2212"/>
      <c r="AH1" s="2209" t="s">
        <v>206</v>
      </c>
      <c r="AI1" s="2209"/>
      <c r="AJ1" s="2209"/>
      <c r="AK1" s="2210"/>
      <c r="AM1" s="2212" t="s">
        <v>482</v>
      </c>
      <c r="AN1" s="2212"/>
      <c r="AO1" s="2212"/>
      <c r="AP1" s="2212"/>
      <c r="AQ1" s="2212"/>
      <c r="AR1" s="2209" t="s">
        <v>206</v>
      </c>
      <c r="AS1" s="2209"/>
      <c r="AT1" s="2209"/>
      <c r="AU1" s="2209"/>
      <c r="AV1" s="2210"/>
    </row>
    <row r="2" spans="1:48" ht="42.6" customHeight="1" x14ac:dyDescent="0.25">
      <c r="A2" s="950" t="s">
        <v>0</v>
      </c>
      <c r="B2" s="528" t="s">
        <v>198</v>
      </c>
      <c r="C2" s="529" t="s">
        <v>199</v>
      </c>
      <c r="D2" s="526" t="s">
        <v>200</v>
      </c>
      <c r="E2" s="526" t="s">
        <v>201</v>
      </c>
      <c r="F2" s="526" t="s">
        <v>204</v>
      </c>
      <c r="G2" s="575" t="s">
        <v>199</v>
      </c>
      <c r="H2" s="575" t="s">
        <v>200</v>
      </c>
      <c r="I2" s="575" t="s">
        <v>201</v>
      </c>
      <c r="J2" s="575" t="s">
        <v>204</v>
      </c>
      <c r="K2" s="524" t="s">
        <v>269</v>
      </c>
      <c r="L2" s="526" t="s">
        <v>199</v>
      </c>
      <c r="M2" s="526" t="s">
        <v>200</v>
      </c>
      <c r="N2" s="526" t="s">
        <v>201</v>
      </c>
      <c r="O2" s="526" t="s">
        <v>204</v>
      </c>
      <c r="P2" s="527" t="s">
        <v>199</v>
      </c>
      <c r="Q2" s="526" t="s">
        <v>200</v>
      </c>
      <c r="R2" s="526" t="s">
        <v>201</v>
      </c>
      <c r="S2" s="526" t="s">
        <v>204</v>
      </c>
      <c r="U2" s="526" t="s">
        <v>199</v>
      </c>
      <c r="V2" s="526" t="s">
        <v>200</v>
      </c>
      <c r="W2" s="526" t="s">
        <v>201</v>
      </c>
      <c r="X2" s="526" t="s">
        <v>204</v>
      </c>
      <c r="Y2" s="650" t="s">
        <v>199</v>
      </c>
      <c r="Z2" s="526" t="s">
        <v>200</v>
      </c>
      <c r="AA2" s="526" t="s">
        <v>201</v>
      </c>
      <c r="AB2" s="526" t="s">
        <v>204</v>
      </c>
      <c r="AD2" s="526" t="s">
        <v>199</v>
      </c>
      <c r="AE2" s="526" t="s">
        <v>200</v>
      </c>
      <c r="AF2" s="526" t="s">
        <v>201</v>
      </c>
      <c r="AG2" s="526" t="s">
        <v>204</v>
      </c>
      <c r="AH2" s="527" t="s">
        <v>199</v>
      </c>
      <c r="AI2" s="526" t="s">
        <v>200</v>
      </c>
      <c r="AJ2" s="526" t="s">
        <v>201</v>
      </c>
      <c r="AK2" s="526" t="s">
        <v>204</v>
      </c>
      <c r="AM2" s="526" t="s">
        <v>199</v>
      </c>
      <c r="AN2" s="526" t="s">
        <v>200</v>
      </c>
      <c r="AO2" s="526" t="s">
        <v>201</v>
      </c>
      <c r="AP2" s="526" t="s">
        <v>204</v>
      </c>
      <c r="AQ2" s="526" t="s">
        <v>204</v>
      </c>
      <c r="AR2" s="527" t="s">
        <v>199</v>
      </c>
      <c r="AS2" s="526" t="s">
        <v>200</v>
      </c>
      <c r="AT2" s="526" t="s">
        <v>201</v>
      </c>
      <c r="AU2" s="526" t="s">
        <v>204</v>
      </c>
      <c r="AV2" s="526" t="s">
        <v>204</v>
      </c>
    </row>
    <row r="3" spans="1:48" ht="30" customHeight="1" x14ac:dyDescent="0.25">
      <c r="A3" s="2206">
        <v>45108</v>
      </c>
      <c r="B3" s="952">
        <v>1</v>
      </c>
      <c r="C3" s="592"/>
      <c r="D3" s="593"/>
      <c r="E3" s="847">
        <v>15</v>
      </c>
      <c r="F3" s="594"/>
      <c r="G3" s="685"/>
      <c r="H3" s="619"/>
      <c r="I3" s="848" t="s">
        <v>152</v>
      </c>
      <c r="J3" s="686"/>
      <c r="K3" s="622"/>
      <c r="L3" s="612"/>
      <c r="M3" s="630"/>
      <c r="N3" s="630"/>
      <c r="O3" s="628"/>
      <c r="P3" s="629"/>
      <c r="Q3" s="699"/>
      <c r="R3" s="699"/>
      <c r="S3" s="628"/>
      <c r="T3" s="622"/>
      <c r="U3" s="612"/>
      <c r="V3" s="630"/>
      <c r="W3" s="630"/>
      <c r="X3" s="613"/>
      <c r="Y3" s="955"/>
      <c r="Z3" s="629"/>
      <c r="AA3" s="719"/>
      <c r="AB3" s="720"/>
      <c r="AC3" s="622"/>
      <c r="AD3" s="612"/>
      <c r="AE3" s="630"/>
      <c r="AF3" s="6"/>
      <c r="AG3" s="628"/>
      <c r="AH3" s="629"/>
      <c r="AI3" s="629"/>
      <c r="AJ3" s="605"/>
      <c r="AK3" s="628"/>
      <c r="AM3" s="612"/>
      <c r="AN3" s="630">
        <v>53</v>
      </c>
      <c r="AO3" s="6"/>
      <c r="AP3" s="962"/>
      <c r="AQ3" s="628"/>
      <c r="AR3" s="629"/>
      <c r="AS3" s="648" t="s">
        <v>694</v>
      </c>
      <c r="AT3" s="6"/>
      <c r="AU3" s="962"/>
      <c r="AV3" s="628"/>
    </row>
    <row r="4" spans="1:48" ht="36.6" customHeight="1" x14ac:dyDescent="0.25">
      <c r="A4" s="2205"/>
      <c r="B4" s="574">
        <v>2</v>
      </c>
      <c r="C4" s="595"/>
      <c r="D4" s="596"/>
      <c r="E4" s="596">
        <v>15</v>
      </c>
      <c r="F4" s="597"/>
      <c r="G4" s="685"/>
      <c r="H4" s="619"/>
      <c r="I4" s="848" t="s">
        <v>152</v>
      </c>
      <c r="J4" s="687"/>
      <c r="K4" s="622"/>
      <c r="L4" s="572"/>
      <c r="M4" s="6"/>
      <c r="N4" s="6"/>
      <c r="O4" s="613"/>
      <c r="P4" s="614"/>
      <c r="Q4" s="619"/>
      <c r="R4" s="957"/>
      <c r="S4" s="613"/>
      <c r="T4" s="622"/>
      <c r="U4" s="572"/>
      <c r="V4" s="605"/>
      <c r="W4" s="6">
        <v>20</v>
      </c>
      <c r="X4" s="613"/>
      <c r="Y4" s="955"/>
      <c r="Z4" s="619"/>
      <c r="AA4" s="698" t="s">
        <v>152</v>
      </c>
      <c r="AB4" s="722"/>
      <c r="AC4" s="622"/>
      <c r="AD4" s="572"/>
      <c r="AE4" s="6"/>
      <c r="AF4" s="6"/>
      <c r="AG4" s="613"/>
      <c r="AH4" s="614"/>
      <c r="AI4" s="619"/>
      <c r="AJ4" s="6"/>
      <c r="AK4" s="613"/>
      <c r="AM4" s="572"/>
      <c r="AN4" s="6"/>
      <c r="AO4" s="6"/>
      <c r="AP4" s="50"/>
      <c r="AQ4" s="613"/>
      <c r="AR4" s="614"/>
      <c r="AS4" s="620"/>
      <c r="AT4" s="6"/>
      <c r="AU4" s="50"/>
      <c r="AV4" s="613"/>
    </row>
    <row r="5" spans="1:48" ht="60" customHeight="1" x14ac:dyDescent="0.25">
      <c r="A5" s="2206">
        <v>45109</v>
      </c>
      <c r="B5" s="574">
        <v>1</v>
      </c>
      <c r="C5" s="595"/>
      <c r="D5" s="596"/>
      <c r="E5" s="596"/>
      <c r="F5" s="597"/>
      <c r="G5" s="685"/>
      <c r="H5" s="619"/>
      <c r="I5" s="620"/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>
        <v>8</v>
      </c>
      <c r="X5" s="613"/>
      <c r="Y5" s="955"/>
      <c r="Z5" s="6"/>
      <c r="AA5" s="698" t="s">
        <v>152</v>
      </c>
      <c r="AB5" s="723"/>
      <c r="AC5" s="622"/>
      <c r="AD5" s="572"/>
      <c r="AE5" s="6"/>
      <c r="AF5" s="6"/>
      <c r="AG5" s="613"/>
      <c r="AH5" s="614"/>
      <c r="AI5" s="6"/>
      <c r="AJ5" s="719"/>
      <c r="AK5" s="613"/>
      <c r="AM5" s="572"/>
      <c r="AN5" s="6">
        <v>5</v>
      </c>
      <c r="AO5" s="6"/>
      <c r="AP5" s="50"/>
      <c r="AQ5" s="613"/>
      <c r="AR5" s="614"/>
      <c r="AS5" s="6" t="s">
        <v>691</v>
      </c>
      <c r="AT5" s="605"/>
      <c r="AU5" s="828"/>
      <c r="AV5" s="634"/>
    </row>
    <row r="6" spans="1:48" ht="80.45" customHeight="1" x14ac:dyDescent="0.25">
      <c r="A6" s="2205"/>
      <c r="B6" s="574">
        <v>2</v>
      </c>
      <c r="C6" s="595"/>
      <c r="D6" s="596"/>
      <c r="E6" s="596">
        <v>33</v>
      </c>
      <c r="F6" s="597"/>
      <c r="G6" s="684"/>
      <c r="H6" s="619"/>
      <c r="I6" s="620" t="s">
        <v>695</v>
      </c>
      <c r="J6" s="687"/>
      <c r="K6" s="622"/>
      <c r="L6" s="572"/>
      <c r="M6" s="6"/>
      <c r="N6" s="6"/>
      <c r="O6" s="613"/>
      <c r="P6" s="614"/>
      <c r="Q6" s="619"/>
      <c r="R6" s="6"/>
      <c r="S6" s="613"/>
      <c r="T6" s="622"/>
      <c r="U6" s="572"/>
      <c r="V6" s="6"/>
      <c r="W6" s="6">
        <v>8</v>
      </c>
      <c r="X6" s="613"/>
      <c r="Y6" s="955"/>
      <c r="Z6" s="6"/>
      <c r="AA6" s="698" t="s">
        <v>152</v>
      </c>
      <c r="AB6" s="613"/>
      <c r="AC6" s="622"/>
      <c r="AD6" s="572"/>
      <c r="AE6" s="6"/>
      <c r="AF6" s="6">
        <f>18+15+22+30</f>
        <v>85</v>
      </c>
      <c r="AG6" s="613"/>
      <c r="AH6" s="614"/>
      <c r="AI6" s="6"/>
      <c r="AJ6" s="6" t="s">
        <v>152</v>
      </c>
      <c r="AK6" s="613"/>
      <c r="AM6" s="572"/>
      <c r="AN6" s="6"/>
      <c r="AO6" s="6">
        <v>15</v>
      </c>
      <c r="AP6" s="50"/>
      <c r="AQ6" s="613"/>
      <c r="AR6" s="614"/>
      <c r="AS6" s="6"/>
      <c r="AT6" s="605" t="s">
        <v>152</v>
      </c>
      <c r="AU6" s="828"/>
      <c r="AV6" s="634"/>
    </row>
    <row r="7" spans="1:48" ht="71.45" customHeight="1" x14ac:dyDescent="0.25">
      <c r="A7" s="2206">
        <v>45110</v>
      </c>
      <c r="B7" s="574">
        <v>1</v>
      </c>
      <c r="C7" s="595"/>
      <c r="D7" s="596"/>
      <c r="E7" s="596">
        <v>26</v>
      </c>
      <c r="F7" s="597"/>
      <c r="G7" s="685"/>
      <c r="H7" s="620"/>
      <c r="I7" s="620" t="s">
        <v>152</v>
      </c>
      <c r="J7" s="687"/>
      <c r="K7" s="622"/>
      <c r="L7" s="572"/>
      <c r="M7" s="614"/>
      <c r="N7" s="6"/>
      <c r="O7" s="613"/>
      <c r="P7" s="614"/>
      <c r="Q7" s="614"/>
      <c r="R7" s="6"/>
      <c r="S7" s="613"/>
      <c r="T7" s="622"/>
      <c r="U7" s="572"/>
      <c r="V7" s="6"/>
      <c r="W7" s="6">
        <v>20</v>
      </c>
      <c r="X7" s="613"/>
      <c r="Y7" s="614"/>
      <c r="Z7" s="6"/>
      <c r="AA7" s="698" t="s">
        <v>152</v>
      </c>
      <c r="AB7" s="613"/>
      <c r="AC7" s="622"/>
      <c r="AD7" s="572"/>
      <c r="AE7" s="6"/>
      <c r="AF7" s="6">
        <v>33</v>
      </c>
      <c r="AG7" s="613"/>
      <c r="AH7" s="614"/>
      <c r="AI7" s="6"/>
      <c r="AJ7" s="6" t="s">
        <v>629</v>
      </c>
      <c r="AK7" s="613"/>
      <c r="AM7" s="572"/>
      <c r="AN7" s="6"/>
      <c r="AO7" s="6"/>
      <c r="AP7" s="50"/>
      <c r="AQ7" s="613"/>
      <c r="AR7" s="614"/>
      <c r="AS7" s="6"/>
      <c r="AT7" s="620"/>
      <c r="AU7" s="692"/>
      <c r="AV7" s="634"/>
    </row>
    <row r="8" spans="1:48" ht="69.599999999999994" customHeight="1" x14ac:dyDescent="0.25">
      <c r="A8" s="2205"/>
      <c r="B8" s="574">
        <v>2</v>
      </c>
      <c r="C8" s="595">
        <f>340</f>
        <v>340</v>
      </c>
      <c r="D8" s="596"/>
      <c r="E8" s="596">
        <v>20</v>
      </c>
      <c r="F8" s="597"/>
      <c r="G8" s="684" t="s">
        <v>583</v>
      </c>
      <c r="H8" s="620"/>
      <c r="I8" s="620" t="s">
        <v>152</v>
      </c>
      <c r="J8" s="635"/>
      <c r="K8" s="622"/>
      <c r="L8" s="572"/>
      <c r="M8" s="6"/>
      <c r="N8" s="6"/>
      <c r="O8" s="613"/>
      <c r="P8" s="955"/>
      <c r="Q8" s="605"/>
      <c r="R8" s="605"/>
      <c r="S8" s="635"/>
      <c r="T8" s="622"/>
      <c r="U8" s="572"/>
      <c r="V8" s="831"/>
      <c r="W8" s="614">
        <f>15+14</f>
        <v>29</v>
      </c>
      <c r="X8" s="613"/>
      <c r="Y8" s="955"/>
      <c r="Z8" s="6"/>
      <c r="AA8" s="698" t="s">
        <v>152</v>
      </c>
      <c r="AB8" s="635"/>
      <c r="AC8" s="622"/>
      <c r="AD8" s="572"/>
      <c r="AE8" s="6"/>
      <c r="AF8" s="6"/>
      <c r="AG8" s="613"/>
      <c r="AH8" s="614"/>
      <c r="AI8" s="605"/>
      <c r="AJ8" s="620"/>
      <c r="AK8" s="635"/>
      <c r="AM8" s="572"/>
      <c r="AN8" s="6"/>
      <c r="AO8" s="6"/>
      <c r="AP8" s="50"/>
      <c r="AQ8" s="613"/>
      <c r="AR8" s="614"/>
      <c r="AS8" s="6"/>
      <c r="AT8" s="6"/>
      <c r="AU8" s="50"/>
      <c r="AV8" s="634"/>
    </row>
    <row r="9" spans="1:48" ht="76.900000000000006" customHeight="1" x14ac:dyDescent="0.25">
      <c r="A9" s="2206">
        <v>45111</v>
      </c>
      <c r="B9" s="574">
        <v>1</v>
      </c>
      <c r="C9" s="595"/>
      <c r="D9" s="596"/>
      <c r="E9" s="596">
        <v>26</v>
      </c>
      <c r="F9" s="597"/>
      <c r="G9" s="684"/>
      <c r="H9" s="619"/>
      <c r="I9" s="620" t="s">
        <v>152</v>
      </c>
      <c r="J9" s="635"/>
      <c r="K9" s="622"/>
      <c r="L9" s="572"/>
      <c r="M9" s="6"/>
      <c r="N9" s="6"/>
      <c r="O9" s="613"/>
      <c r="P9" s="955"/>
      <c r="Q9" s="620"/>
      <c r="R9" s="605"/>
      <c r="S9" s="635"/>
      <c r="T9" s="622"/>
      <c r="U9" s="572"/>
      <c r="V9" s="6"/>
      <c r="W9" s="6">
        <v>20</v>
      </c>
      <c r="X9" s="613"/>
      <c r="Y9" s="614"/>
      <c r="Z9" s="6"/>
      <c r="AA9" s="698" t="s">
        <v>152</v>
      </c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/>
      <c r="AN9" s="6"/>
      <c r="AO9" s="6">
        <v>20</v>
      </c>
      <c r="AP9" s="50"/>
      <c r="AQ9" s="613"/>
      <c r="AR9" s="614"/>
      <c r="AS9" s="6"/>
      <c r="AT9" s="605" t="s">
        <v>152</v>
      </c>
      <c r="AU9" s="828"/>
      <c r="AV9" s="634"/>
    </row>
    <row r="10" spans="1:48" ht="67.150000000000006" customHeight="1" x14ac:dyDescent="0.25">
      <c r="A10" s="2205"/>
      <c r="B10" s="574">
        <v>2</v>
      </c>
      <c r="C10" s="595">
        <v>42</v>
      </c>
      <c r="D10" s="596"/>
      <c r="E10" s="596">
        <v>23</v>
      </c>
      <c r="F10" s="597"/>
      <c r="G10" s="685" t="s">
        <v>186</v>
      </c>
      <c r="H10" s="619"/>
      <c r="I10" s="848" t="s">
        <v>696</v>
      </c>
      <c r="J10" s="635"/>
      <c r="K10" s="622"/>
      <c r="L10" s="572"/>
      <c r="M10" s="6"/>
      <c r="N10" s="6"/>
      <c r="O10" s="613"/>
      <c r="P10" s="955"/>
      <c r="Q10" s="6"/>
      <c r="R10" s="605"/>
      <c r="S10" s="635"/>
      <c r="T10" s="622"/>
      <c r="U10" s="572">
        <v>130</v>
      </c>
      <c r="V10" s="6">
        <v>186</v>
      </c>
      <c r="W10" s="6">
        <v>17</v>
      </c>
      <c r="X10" s="613"/>
      <c r="Y10" s="567" t="s">
        <v>583</v>
      </c>
      <c r="Z10" s="961" t="s">
        <v>697</v>
      </c>
      <c r="AA10" s="698" t="s">
        <v>562</v>
      </c>
      <c r="AB10" s="635"/>
      <c r="AC10" s="622"/>
      <c r="AD10" s="572"/>
      <c r="AE10" s="6"/>
      <c r="AF10" s="6"/>
      <c r="AG10" s="613"/>
      <c r="AH10" s="955"/>
      <c r="AI10" s="605"/>
      <c r="AJ10" s="6"/>
      <c r="AK10" s="635"/>
      <c r="AM10" s="572"/>
      <c r="AN10" s="6"/>
      <c r="AO10" s="6"/>
      <c r="AP10" s="50"/>
      <c r="AQ10" s="613"/>
      <c r="AR10" s="614"/>
      <c r="AS10" s="6"/>
      <c r="AT10" s="6"/>
      <c r="AU10" s="50"/>
      <c r="AV10" s="634"/>
    </row>
    <row r="11" spans="1:48" ht="60" customHeight="1" x14ac:dyDescent="0.25">
      <c r="A11" s="2206">
        <v>45112</v>
      </c>
      <c r="B11" s="574">
        <v>1</v>
      </c>
      <c r="C11" s="595"/>
      <c r="D11" s="596"/>
      <c r="E11" s="596">
        <f>4+10+10+6+7+15+12</f>
        <v>64</v>
      </c>
      <c r="F11" s="597"/>
      <c r="G11" s="684"/>
      <c r="H11" s="619"/>
      <c r="I11" s="620" t="s">
        <v>152</v>
      </c>
      <c r="J11" s="687"/>
      <c r="K11" s="622"/>
      <c r="L11" s="572"/>
      <c r="M11" s="6"/>
      <c r="N11" s="6"/>
      <c r="O11" s="613"/>
      <c r="P11" s="955"/>
      <c r="Q11" s="6"/>
      <c r="R11" s="605"/>
      <c r="S11" s="613"/>
      <c r="T11" s="622"/>
      <c r="U11" s="572"/>
      <c r="V11" s="6"/>
      <c r="W11" s="6">
        <f>10+11+6+8+10</f>
        <v>45</v>
      </c>
      <c r="X11" s="613"/>
      <c r="Y11" s="614"/>
      <c r="Z11" s="6"/>
      <c r="AA11" s="698" t="s">
        <v>152</v>
      </c>
      <c r="AB11" s="613"/>
      <c r="AC11" s="622"/>
      <c r="AD11" s="572"/>
      <c r="AE11" s="6"/>
      <c r="AF11" s="6"/>
      <c r="AG11" s="613"/>
      <c r="AH11" s="614"/>
      <c r="AI11" s="6"/>
      <c r="AJ11" s="6"/>
      <c r="AK11" s="613"/>
      <c r="AM11" s="572"/>
      <c r="AN11" s="6"/>
      <c r="AO11" s="6"/>
      <c r="AP11" s="50"/>
      <c r="AQ11" s="613"/>
      <c r="AR11" s="614"/>
      <c r="AS11" s="6"/>
      <c r="AT11" s="6"/>
      <c r="AU11" s="50"/>
      <c r="AV11" s="634"/>
    </row>
    <row r="12" spans="1:48" ht="55.15" customHeight="1" x14ac:dyDescent="0.25">
      <c r="A12" s="2205"/>
      <c r="B12" s="574">
        <v>2</v>
      </c>
      <c r="C12" s="595"/>
      <c r="D12" s="596"/>
      <c r="E12" s="596">
        <f>22+5+9+10+10+10</f>
        <v>66</v>
      </c>
      <c r="F12" s="597"/>
      <c r="G12" s="685"/>
      <c r="H12" s="619"/>
      <c r="I12" s="620" t="s">
        <v>699</v>
      </c>
      <c r="J12" s="635"/>
      <c r="K12" s="622"/>
      <c r="L12" s="572"/>
      <c r="M12" s="6"/>
      <c r="N12" s="6">
        <v>88</v>
      </c>
      <c r="O12" s="613"/>
      <c r="P12" s="955"/>
      <c r="Q12" s="6"/>
      <c r="R12" s="605" t="s">
        <v>698</v>
      </c>
      <c r="S12" s="635"/>
      <c r="T12" s="622"/>
      <c r="U12" s="572"/>
      <c r="V12" s="6"/>
      <c r="W12" s="6">
        <f>11+5</f>
        <v>16</v>
      </c>
      <c r="X12" s="613"/>
      <c r="Y12" s="614"/>
      <c r="Z12" s="6"/>
      <c r="AA12" s="698" t="s">
        <v>152</v>
      </c>
      <c r="AB12" s="635"/>
      <c r="AC12" s="622"/>
      <c r="AD12" s="572">
        <v>129</v>
      </c>
      <c r="AE12" s="6"/>
      <c r="AF12" s="6">
        <v>16</v>
      </c>
      <c r="AG12" s="613"/>
      <c r="AH12" s="614" t="s">
        <v>583</v>
      </c>
      <c r="AI12" s="605"/>
      <c r="AJ12" s="6" t="s">
        <v>562</v>
      </c>
      <c r="AK12" s="635"/>
      <c r="AM12" s="572"/>
      <c r="AN12" s="6"/>
      <c r="AO12" s="6"/>
      <c r="AP12" s="50"/>
      <c r="AQ12" s="613"/>
      <c r="AR12" s="614"/>
      <c r="AS12" s="6"/>
      <c r="AT12" s="6"/>
      <c r="AU12" s="50"/>
      <c r="AV12" s="635"/>
    </row>
    <row r="13" spans="1:48" ht="34.9" customHeight="1" x14ac:dyDescent="0.25">
      <c r="A13" s="2206">
        <v>45113</v>
      </c>
      <c r="B13" s="574">
        <v>1</v>
      </c>
      <c r="C13" s="595"/>
      <c r="D13" s="596"/>
      <c r="E13" s="596"/>
      <c r="F13" s="597"/>
      <c r="G13" s="685"/>
      <c r="H13" s="619"/>
      <c r="I13" s="620"/>
      <c r="J13" s="635"/>
      <c r="K13" s="622"/>
      <c r="L13" s="572"/>
      <c r="M13" s="6"/>
      <c r="N13" s="6"/>
      <c r="O13" s="597"/>
      <c r="P13" s="955"/>
      <c r="Q13" s="6"/>
      <c r="R13" s="605"/>
      <c r="S13" s="635"/>
      <c r="T13" s="622"/>
      <c r="U13" s="572"/>
      <c r="V13" s="6"/>
      <c r="W13" s="6"/>
      <c r="X13" s="597"/>
      <c r="Y13" s="955"/>
      <c r="Z13" s="605"/>
      <c r="AA13" s="6"/>
      <c r="AB13" s="635"/>
      <c r="AC13" s="622"/>
      <c r="AD13" s="572"/>
      <c r="AE13" s="6"/>
      <c r="AF13" s="6"/>
      <c r="AG13" s="597"/>
      <c r="AH13" s="614"/>
      <c r="AI13" s="6"/>
      <c r="AJ13" s="6"/>
      <c r="AK13" s="635"/>
      <c r="AM13" s="572"/>
      <c r="AN13" s="6"/>
      <c r="AO13" s="6"/>
      <c r="AP13" s="50"/>
      <c r="AQ13" s="597"/>
      <c r="AR13" s="614"/>
      <c r="AS13" s="6"/>
      <c r="AT13" s="6"/>
      <c r="AU13" s="50"/>
      <c r="AV13" s="635"/>
    </row>
    <row r="14" spans="1:48" ht="49.15" customHeight="1" x14ac:dyDescent="0.25">
      <c r="A14" s="2205"/>
      <c r="B14" s="574">
        <v>2</v>
      </c>
      <c r="C14" s="595"/>
      <c r="D14" s="596"/>
      <c r="E14" s="596"/>
      <c r="F14" s="597"/>
      <c r="G14" s="685"/>
      <c r="H14" s="620"/>
      <c r="I14" s="620"/>
      <c r="J14" s="635"/>
      <c r="K14" s="622"/>
      <c r="L14" s="572"/>
      <c r="M14" s="6"/>
      <c r="N14" s="6"/>
      <c r="O14" s="597"/>
      <c r="P14" s="614"/>
      <c r="Q14" s="6"/>
      <c r="R14" s="6"/>
      <c r="S14" s="635"/>
      <c r="T14" s="622"/>
      <c r="U14" s="572"/>
      <c r="V14" s="6"/>
      <c r="W14" s="6"/>
      <c r="X14" s="597"/>
      <c r="Y14" s="955"/>
      <c r="Z14" s="605"/>
      <c r="AA14" s="605"/>
      <c r="AB14" s="635"/>
      <c r="AC14" s="622"/>
      <c r="AD14" s="572"/>
      <c r="AE14" s="6"/>
      <c r="AF14" s="6"/>
      <c r="AG14" s="597"/>
      <c r="AH14" s="955"/>
      <c r="AI14" s="6"/>
      <c r="AJ14" s="6"/>
      <c r="AK14" s="635"/>
      <c r="AM14" s="572">
        <v>324</v>
      </c>
      <c r="AN14" s="6"/>
      <c r="AO14" s="6">
        <v>12</v>
      </c>
      <c r="AP14" s="50"/>
      <c r="AQ14" s="597"/>
      <c r="AR14" s="961" t="s">
        <v>583</v>
      </c>
      <c r="AS14" s="6"/>
      <c r="AT14" s="6" t="s">
        <v>562</v>
      </c>
      <c r="AU14" s="50"/>
      <c r="AV14" s="635"/>
    </row>
    <row r="15" spans="1:48" ht="48" customHeight="1" x14ac:dyDescent="0.25">
      <c r="A15" s="2206">
        <v>45114</v>
      </c>
      <c r="B15" s="574">
        <v>1</v>
      </c>
      <c r="C15" s="595"/>
      <c r="D15" s="596"/>
      <c r="E15" s="6"/>
      <c r="F15" s="597"/>
      <c r="G15" s="685"/>
      <c r="H15" s="620"/>
      <c r="I15" s="620"/>
      <c r="J15" s="635"/>
      <c r="K15" s="622"/>
      <c r="L15" s="572"/>
      <c r="M15" s="6"/>
      <c r="N15" s="6"/>
      <c r="O15" s="597"/>
      <c r="P15" s="572"/>
      <c r="Q15" s="620"/>
      <c r="R15" s="6"/>
      <c r="S15" s="635"/>
      <c r="T15" s="622"/>
      <c r="U15" s="572"/>
      <c r="V15" s="6"/>
      <c r="W15" s="6">
        <f>13+9+12</f>
        <v>34</v>
      </c>
      <c r="X15" s="597"/>
      <c r="Y15" s="572"/>
      <c r="Z15" s="620"/>
      <c r="AA15" s="969" t="s">
        <v>700</v>
      </c>
      <c r="AB15" s="635"/>
      <c r="AC15" s="622"/>
      <c r="AD15" s="572"/>
      <c r="AE15" s="6"/>
      <c r="AF15" s="622">
        <f>10+13</f>
        <v>23</v>
      </c>
      <c r="AG15" s="597"/>
      <c r="AH15" s="910"/>
      <c r="AI15" s="692"/>
      <c r="AJ15" s="6" t="s">
        <v>336</v>
      </c>
      <c r="AK15" s="635"/>
      <c r="AM15" s="572"/>
      <c r="AN15" s="6"/>
      <c r="AO15" s="622"/>
      <c r="AP15" s="622"/>
      <c r="AQ15" s="597"/>
      <c r="AR15" s="936"/>
      <c r="AS15" s="692"/>
      <c r="AT15" s="605"/>
      <c r="AU15" s="828"/>
      <c r="AV15" s="635"/>
    </row>
    <row r="16" spans="1:48" ht="54.6" customHeight="1" x14ac:dyDescent="0.25">
      <c r="A16" s="2205"/>
      <c r="B16" s="574">
        <v>2</v>
      </c>
      <c r="C16" s="595"/>
      <c r="D16" s="596"/>
      <c r="E16" s="596">
        <v>15</v>
      </c>
      <c r="F16" s="597"/>
      <c r="G16" s="684"/>
      <c r="H16" s="830"/>
      <c r="I16" s="848" t="s">
        <v>152</v>
      </c>
      <c r="J16" s="635"/>
      <c r="K16" s="622"/>
      <c r="L16" s="572"/>
      <c r="M16" s="6"/>
      <c r="N16" s="6"/>
      <c r="O16" s="597"/>
      <c r="P16" s="684"/>
      <c r="Q16" s="830"/>
      <c r="R16" s="620"/>
      <c r="S16" s="635"/>
      <c r="T16" s="622"/>
      <c r="U16" s="572"/>
      <c r="V16" s="6"/>
      <c r="W16" s="6">
        <v>10</v>
      </c>
      <c r="X16" s="597"/>
      <c r="Y16" s="684"/>
      <c r="Z16" s="830"/>
      <c r="AA16" s="620" t="s">
        <v>152</v>
      </c>
      <c r="AB16" s="635"/>
      <c r="AC16" s="622"/>
      <c r="AD16" s="572"/>
      <c r="AE16" s="6"/>
      <c r="AF16" s="6">
        <v>10</v>
      </c>
      <c r="AG16" s="597"/>
      <c r="AH16" s="684"/>
      <c r="AI16" s="830"/>
      <c r="AJ16" s="6" t="s">
        <v>336</v>
      </c>
      <c r="AK16" s="635"/>
      <c r="AM16" s="572"/>
      <c r="AN16" s="6"/>
      <c r="AO16" s="6">
        <v>600</v>
      </c>
      <c r="AP16" s="50"/>
      <c r="AQ16" s="597"/>
      <c r="AR16" s="684"/>
      <c r="AS16" s="830"/>
      <c r="AT16" s="620" t="s">
        <v>701</v>
      </c>
      <c r="AU16" s="692"/>
      <c r="AV16" s="635"/>
    </row>
    <row r="17" spans="1:48" ht="66" customHeight="1" x14ac:dyDescent="0.25">
      <c r="A17" s="2206">
        <v>45115</v>
      </c>
      <c r="B17" s="644">
        <v>1</v>
      </c>
      <c r="C17" s="595"/>
      <c r="D17" s="596"/>
      <c r="E17" s="596"/>
      <c r="F17" s="597"/>
      <c r="G17" s="685"/>
      <c r="H17" s="619"/>
      <c r="I17" s="620"/>
      <c r="J17" s="635"/>
      <c r="K17" s="622"/>
      <c r="L17" s="572"/>
      <c r="M17" s="6"/>
      <c r="N17" s="6"/>
      <c r="O17" s="597"/>
      <c r="P17" s="685"/>
      <c r="Q17" s="619"/>
      <c r="R17" s="620"/>
      <c r="S17" s="635"/>
      <c r="T17" s="622"/>
      <c r="U17" s="572"/>
      <c r="V17" s="6"/>
      <c r="W17" s="6"/>
      <c r="X17" s="597"/>
      <c r="Y17" s="685"/>
      <c r="Z17" s="619"/>
      <c r="AA17" s="620"/>
      <c r="AB17" s="635"/>
      <c r="AC17" s="622"/>
      <c r="AD17" s="572"/>
      <c r="AE17" s="6"/>
      <c r="AF17" s="6"/>
      <c r="AG17" s="597"/>
      <c r="AH17" s="685"/>
      <c r="AI17" s="619"/>
      <c r="AJ17" s="620"/>
      <c r="AK17" s="635"/>
      <c r="AM17" s="572"/>
      <c r="AN17" s="6"/>
      <c r="AO17" s="6">
        <v>720</v>
      </c>
      <c r="AP17" s="50"/>
      <c r="AQ17" s="597"/>
      <c r="AR17" s="685"/>
      <c r="AS17" s="619"/>
      <c r="AT17" s="620" t="s">
        <v>701</v>
      </c>
      <c r="AU17" s="692"/>
      <c r="AV17" s="635"/>
    </row>
    <row r="18" spans="1:48" ht="49.9" customHeight="1" x14ac:dyDescent="0.25">
      <c r="A18" s="2205"/>
      <c r="B18" s="574">
        <v>2</v>
      </c>
      <c r="C18" s="595"/>
      <c r="D18" s="596"/>
      <c r="E18" s="596"/>
      <c r="F18" s="597"/>
      <c r="G18" s="684"/>
      <c r="H18" s="830"/>
      <c r="I18" s="620"/>
      <c r="J18" s="635"/>
      <c r="K18" s="622"/>
      <c r="L18" s="572"/>
      <c r="M18" s="6"/>
      <c r="N18" s="6"/>
      <c r="O18" s="597"/>
      <c r="P18" s="684"/>
      <c r="Q18" s="620"/>
      <c r="R18" s="619"/>
      <c r="S18" s="635"/>
      <c r="T18" s="622"/>
      <c r="U18" s="572"/>
      <c r="V18" s="6"/>
      <c r="W18" s="6"/>
      <c r="X18" s="597"/>
      <c r="Y18" s="684"/>
      <c r="Z18" s="620"/>
      <c r="AA18" s="620"/>
      <c r="AB18" s="635"/>
      <c r="AC18" s="622"/>
      <c r="AD18" s="572"/>
      <c r="AE18" s="6"/>
      <c r="AF18" s="6"/>
      <c r="AG18" s="597"/>
      <c r="AH18" s="684"/>
      <c r="AI18" s="620"/>
      <c r="AJ18" s="619"/>
      <c r="AK18" s="635"/>
      <c r="AM18" s="572"/>
      <c r="AN18" s="6"/>
      <c r="AO18" s="6">
        <v>720</v>
      </c>
      <c r="AP18" s="50"/>
      <c r="AQ18" s="597"/>
      <c r="AR18" s="684"/>
      <c r="AS18" s="620"/>
      <c r="AT18" s="620" t="s">
        <v>701</v>
      </c>
      <c r="AU18" s="830"/>
      <c r="AV18" s="635"/>
    </row>
    <row r="19" spans="1:48" ht="33.6" customHeight="1" x14ac:dyDescent="0.25">
      <c r="A19" s="2206">
        <v>45116</v>
      </c>
      <c r="B19" s="574">
        <v>1</v>
      </c>
      <c r="C19" s="622"/>
      <c r="D19" s="596"/>
      <c r="E19" s="596"/>
      <c r="F19" s="597"/>
      <c r="G19" s="567"/>
      <c r="H19" s="6"/>
      <c r="I19" s="848"/>
      <c r="J19" s="635"/>
      <c r="K19" s="622"/>
      <c r="L19" s="572"/>
      <c r="M19" s="6"/>
      <c r="N19" s="6"/>
      <c r="O19" s="597"/>
      <c r="P19" s="572"/>
      <c r="Q19" s="6"/>
      <c r="R19" s="6"/>
      <c r="S19" s="635"/>
      <c r="T19" s="622"/>
      <c r="U19" s="572"/>
      <c r="V19" s="6"/>
      <c r="W19" s="6"/>
      <c r="X19" s="597"/>
      <c r="Y19" s="572"/>
      <c r="Z19" s="605"/>
      <c r="AA19" s="620"/>
      <c r="AB19" s="635"/>
      <c r="AC19" s="622"/>
      <c r="AD19" s="572"/>
      <c r="AE19" s="6"/>
      <c r="AF19" s="6"/>
      <c r="AG19" s="597"/>
      <c r="AH19" s="572"/>
      <c r="AI19" s="6"/>
      <c r="AJ19" s="6"/>
      <c r="AK19" s="635"/>
      <c r="AM19" s="572"/>
      <c r="AN19" s="6"/>
      <c r="AO19" s="6">
        <v>720</v>
      </c>
      <c r="AP19" s="50"/>
      <c r="AQ19" s="597"/>
      <c r="AR19" s="572"/>
      <c r="AS19" s="6"/>
      <c r="AT19" s="620" t="s">
        <v>701</v>
      </c>
      <c r="AU19" s="828"/>
      <c r="AV19" s="635"/>
    </row>
    <row r="20" spans="1:48" ht="31.15" customHeight="1" x14ac:dyDescent="0.25">
      <c r="A20" s="2205"/>
      <c r="B20" s="574">
        <v>2</v>
      </c>
      <c r="C20" s="595"/>
      <c r="D20" s="596"/>
      <c r="E20" s="596"/>
      <c r="F20" s="597"/>
      <c r="G20" s="567"/>
      <c r="H20" s="605"/>
      <c r="I20" s="620"/>
      <c r="J20" s="635"/>
      <c r="K20" s="622"/>
      <c r="L20" s="572"/>
      <c r="M20" s="6"/>
      <c r="N20" s="6"/>
      <c r="O20" s="597"/>
      <c r="P20" s="572"/>
      <c r="Q20" s="605"/>
      <c r="R20" s="724"/>
      <c r="S20" s="635"/>
      <c r="T20" s="622"/>
      <c r="U20" s="572"/>
      <c r="V20" s="250"/>
      <c r="W20" s="6"/>
      <c r="X20" s="597"/>
      <c r="Y20" s="572"/>
      <c r="Z20" s="605"/>
      <c r="AA20" s="724"/>
      <c r="AB20" s="635"/>
      <c r="AC20" s="622"/>
      <c r="AD20" s="572"/>
      <c r="AE20" s="6"/>
      <c r="AF20" s="6"/>
      <c r="AG20" s="597"/>
      <c r="AH20" s="572"/>
      <c r="AI20" s="605"/>
      <c r="AJ20" s="762"/>
      <c r="AK20" s="635"/>
      <c r="AM20" s="572"/>
      <c r="AN20" s="6"/>
      <c r="AO20" s="6">
        <v>663</v>
      </c>
      <c r="AP20" s="50"/>
      <c r="AQ20" s="597"/>
      <c r="AR20" s="572"/>
      <c r="AS20" s="605"/>
      <c r="AT20" s="605" t="s">
        <v>702</v>
      </c>
      <c r="AU20" s="69"/>
      <c r="AV20" s="635"/>
    </row>
    <row r="21" spans="1:48" ht="39.6" customHeight="1" x14ac:dyDescent="0.25">
      <c r="A21" s="2206">
        <v>45117</v>
      </c>
      <c r="B21" s="574">
        <v>1</v>
      </c>
      <c r="C21" s="595"/>
      <c r="D21" s="596">
        <v>153</v>
      </c>
      <c r="E21" s="596">
        <v>10</v>
      </c>
      <c r="F21" s="597"/>
      <c r="G21" s="688"/>
      <c r="H21" s="619" t="s">
        <v>366</v>
      </c>
      <c r="I21" s="848" t="s">
        <v>576</v>
      </c>
      <c r="J21" s="635"/>
      <c r="K21" s="622"/>
      <c r="L21" s="572"/>
      <c r="M21" s="6"/>
      <c r="N21" s="6"/>
      <c r="O21" s="597"/>
      <c r="P21" s="572"/>
      <c r="Q21" s="6"/>
      <c r="R21" s="6"/>
      <c r="S21" s="635"/>
      <c r="T21" s="622"/>
      <c r="U21" s="572"/>
      <c r="V21" s="6"/>
      <c r="W21" s="6"/>
      <c r="X21" s="597"/>
      <c r="Y21" s="572"/>
      <c r="Z21" s="6"/>
      <c r="AA21" s="605"/>
      <c r="AB21" s="635"/>
      <c r="AC21" s="622"/>
      <c r="AD21" s="572"/>
      <c r="AE21" s="6"/>
      <c r="AF21" s="6"/>
      <c r="AG21" s="597"/>
      <c r="AH21" s="572"/>
      <c r="AI21" s="6"/>
      <c r="AJ21" s="6"/>
      <c r="AK21" s="726"/>
      <c r="AM21" s="572"/>
      <c r="AN21" s="6"/>
      <c r="AO21" s="6"/>
      <c r="AP21" s="50"/>
      <c r="AQ21" s="597"/>
      <c r="AR21" s="572"/>
      <c r="AS21" s="605"/>
      <c r="AT21" s="50"/>
      <c r="AU21" s="50"/>
      <c r="AV21" s="635"/>
    </row>
    <row r="22" spans="1:48" ht="31.9" customHeight="1" x14ac:dyDescent="0.25">
      <c r="A22" s="2205"/>
      <c r="B22" s="574">
        <v>2</v>
      </c>
      <c r="C22" s="595"/>
      <c r="D22" s="596">
        <v>17</v>
      </c>
      <c r="E22" s="596">
        <f>15+10+10+15+20+18+10</f>
        <v>98</v>
      </c>
      <c r="F22" s="597"/>
      <c r="G22" s="953"/>
      <c r="H22" s="620" t="s">
        <v>553</v>
      </c>
      <c r="I22" s="620" t="s">
        <v>152</v>
      </c>
      <c r="J22" s="635"/>
      <c r="K22" s="622"/>
      <c r="L22" s="572"/>
      <c r="M22" s="6"/>
      <c r="N22" s="6"/>
      <c r="O22" s="597"/>
      <c r="P22" s="955"/>
      <c r="Q22" s="6"/>
      <c r="R22" s="6"/>
      <c r="S22" s="635"/>
      <c r="T22" s="622"/>
      <c r="U22" s="572"/>
      <c r="V22" s="6"/>
      <c r="W22" s="6">
        <v>18</v>
      </c>
      <c r="X22" s="597"/>
      <c r="Y22" s="567"/>
      <c r="Z22" s="6"/>
      <c r="AA22" s="605" t="s">
        <v>152</v>
      </c>
      <c r="AB22" s="635"/>
      <c r="AC22" s="622"/>
      <c r="AD22" s="572"/>
      <c r="AE22" s="6"/>
      <c r="AF22" s="6"/>
      <c r="AG22" s="597"/>
      <c r="AH22" s="567"/>
      <c r="AI22" s="6"/>
      <c r="AJ22" s="6"/>
      <c r="AK22" s="726"/>
      <c r="AM22" s="572"/>
      <c r="AN22" s="6"/>
      <c r="AO22" s="6"/>
      <c r="AP22" s="50"/>
      <c r="AQ22" s="597"/>
      <c r="AR22" s="572"/>
      <c r="AS22" s="605"/>
      <c r="AT22" s="50"/>
      <c r="AU22" s="50"/>
      <c r="AV22" s="635"/>
    </row>
    <row r="23" spans="1:48" ht="47.45" customHeight="1" x14ac:dyDescent="0.25">
      <c r="A23" s="2206">
        <v>45118</v>
      </c>
      <c r="B23" s="644">
        <v>1</v>
      </c>
      <c r="C23" s="595"/>
      <c r="D23" s="596"/>
      <c r="E23" s="596">
        <f>8+5+8</f>
        <v>21</v>
      </c>
      <c r="F23" s="597"/>
      <c r="G23" s="685"/>
      <c r="H23" s="619"/>
      <c r="I23" s="620" t="s">
        <v>152</v>
      </c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/>
      <c r="V23" s="6"/>
      <c r="W23" s="6"/>
      <c r="X23" s="597"/>
      <c r="Y23" s="567"/>
      <c r="Z23" s="619"/>
      <c r="AA23" s="620"/>
      <c r="AB23" s="635"/>
      <c r="AC23" s="622"/>
      <c r="AD23" s="572"/>
      <c r="AE23" s="6"/>
      <c r="AF23" s="6"/>
      <c r="AG23" s="597"/>
      <c r="AH23" s="6"/>
      <c r="AI23" s="619"/>
      <c r="AJ23" s="620"/>
      <c r="AK23" s="726"/>
      <c r="AM23" s="572"/>
      <c r="AN23" s="6"/>
      <c r="AO23" s="6"/>
      <c r="AP23" s="50"/>
      <c r="AQ23" s="597"/>
      <c r="AR23" s="6"/>
      <c r="AS23" s="619"/>
      <c r="AT23" s="692"/>
      <c r="AU23" s="692"/>
      <c r="AV23" s="635"/>
    </row>
    <row r="24" spans="1:48" ht="49.9" customHeight="1" x14ac:dyDescent="0.25">
      <c r="A24" s="2205"/>
      <c r="B24" s="574">
        <v>2</v>
      </c>
      <c r="C24" s="595"/>
      <c r="D24" s="596"/>
      <c r="E24" s="596">
        <f>15+15+15+10+10+13+10</f>
        <v>88</v>
      </c>
      <c r="F24" s="597"/>
      <c r="G24" s="685"/>
      <c r="H24" s="619"/>
      <c r="I24" s="620" t="s">
        <v>152</v>
      </c>
      <c r="J24" s="635"/>
      <c r="K24" s="622"/>
      <c r="L24" s="572"/>
      <c r="M24" s="6"/>
      <c r="N24" s="6"/>
      <c r="O24" s="597"/>
      <c r="P24" s="685"/>
      <c r="Q24" s="619"/>
      <c r="R24" s="620"/>
      <c r="S24" s="635"/>
      <c r="T24" s="622"/>
      <c r="U24" s="572"/>
      <c r="V24" s="6"/>
      <c r="W24" s="6"/>
      <c r="X24" s="597"/>
      <c r="Y24" s="567"/>
      <c r="Z24" s="619"/>
      <c r="AA24" s="620"/>
      <c r="AB24" s="635"/>
      <c r="AC24" s="622"/>
      <c r="AD24" s="572"/>
      <c r="AE24" s="6"/>
      <c r="AF24" s="6"/>
      <c r="AG24" s="597"/>
      <c r="AH24" s="6"/>
      <c r="AI24" s="619"/>
      <c r="AJ24" s="6"/>
      <c r="AK24" s="726"/>
      <c r="AM24" s="572"/>
      <c r="AN24" s="6"/>
      <c r="AO24" s="6"/>
      <c r="AP24" s="50"/>
      <c r="AQ24" s="597"/>
      <c r="AR24" s="6"/>
      <c r="AS24" s="619"/>
      <c r="AT24" s="828"/>
      <c r="AU24" s="828"/>
      <c r="AV24" s="635"/>
    </row>
    <row r="25" spans="1:48" ht="46.15" customHeight="1" x14ac:dyDescent="0.25">
      <c r="A25" s="2206">
        <v>45119</v>
      </c>
      <c r="B25" s="574">
        <v>1</v>
      </c>
      <c r="C25" s="595"/>
      <c r="D25" s="596"/>
      <c r="E25" s="596"/>
      <c r="F25" s="597"/>
      <c r="G25" s="685"/>
      <c r="H25" s="619"/>
      <c r="I25" s="620"/>
      <c r="J25" s="635"/>
      <c r="K25" s="622"/>
      <c r="L25" s="572"/>
      <c r="M25" s="6"/>
      <c r="N25" s="6"/>
      <c r="O25" s="597"/>
      <c r="P25" s="572"/>
      <c r="Q25" s="619"/>
      <c r="R25" s="6"/>
      <c r="S25" s="635"/>
      <c r="T25" s="622"/>
      <c r="U25" s="572"/>
      <c r="V25" s="6"/>
      <c r="W25" s="6"/>
      <c r="X25" s="597"/>
      <c r="Y25" s="567"/>
      <c r="Z25" s="605"/>
      <c r="AA25" s="605"/>
      <c r="AB25" s="635"/>
      <c r="AC25" s="622"/>
      <c r="AD25" s="572"/>
      <c r="AE25" s="6"/>
      <c r="AF25" s="6"/>
      <c r="AG25" s="597"/>
      <c r="AH25" s="6"/>
      <c r="AI25" s="6"/>
      <c r="AJ25" s="6"/>
      <c r="AK25" s="726"/>
      <c r="AM25" s="572"/>
      <c r="AN25" s="6"/>
      <c r="AO25" s="6"/>
      <c r="AP25" s="50"/>
      <c r="AQ25" s="597"/>
      <c r="AR25" s="6"/>
      <c r="AS25" s="6"/>
      <c r="AT25" s="50"/>
      <c r="AU25" s="50"/>
      <c r="AV25" s="635"/>
    </row>
    <row r="26" spans="1:48" ht="42" customHeight="1" x14ac:dyDescent="0.25">
      <c r="A26" s="2205"/>
      <c r="B26" s="574">
        <v>2</v>
      </c>
      <c r="C26" s="595"/>
      <c r="D26" s="596">
        <f>7+22+33+54</f>
        <v>116</v>
      </c>
      <c r="E26" s="596"/>
      <c r="F26" s="597"/>
      <c r="G26" s="685"/>
      <c r="H26" s="620" t="s">
        <v>553</v>
      </c>
      <c r="I26" s="692"/>
      <c r="J26" s="635"/>
      <c r="K26" s="622"/>
      <c r="L26" s="572">
        <v>35</v>
      </c>
      <c r="M26" s="6">
        <v>14</v>
      </c>
      <c r="N26" s="6"/>
      <c r="O26" s="597"/>
      <c r="P26" s="685" t="s">
        <v>703</v>
      </c>
      <c r="Q26" s="620" t="s">
        <v>553</v>
      </c>
      <c r="R26" s="692"/>
      <c r="S26" s="635"/>
      <c r="T26" s="622"/>
      <c r="U26" s="572"/>
      <c r="V26" s="596"/>
      <c r="W26" s="6"/>
      <c r="X26" s="597"/>
      <c r="Y26" s="685"/>
      <c r="Z26" s="620"/>
      <c r="AA26" s="692"/>
      <c r="AB26" s="635"/>
      <c r="AC26" s="622"/>
      <c r="AD26" s="572">
        <v>86</v>
      </c>
      <c r="AE26" s="596"/>
      <c r="AF26" s="6">
        <v>10</v>
      </c>
      <c r="AG26" s="597"/>
      <c r="AH26" s="685" t="s">
        <v>704</v>
      </c>
      <c r="AI26" s="620"/>
      <c r="AJ26" s="692" t="s">
        <v>562</v>
      </c>
      <c r="AK26" s="635"/>
      <c r="AM26" s="572"/>
      <c r="AN26" s="596"/>
      <c r="AO26" s="6"/>
      <c r="AP26" s="967"/>
      <c r="AQ26" s="597"/>
      <c r="AR26" s="685"/>
      <c r="AS26" s="620"/>
      <c r="AT26" s="692"/>
      <c r="AU26" s="635"/>
      <c r="AV26" s="635"/>
    </row>
    <row r="27" spans="1:48" ht="49.9" customHeight="1" x14ac:dyDescent="0.25">
      <c r="A27" s="2206">
        <v>45120</v>
      </c>
      <c r="B27" s="644">
        <v>1</v>
      </c>
      <c r="C27" s="595"/>
      <c r="D27" s="596"/>
      <c r="E27" s="596"/>
      <c r="F27" s="597"/>
      <c r="G27" s="685"/>
      <c r="H27" s="619"/>
      <c r="I27" s="692"/>
      <c r="J27" s="635"/>
      <c r="K27" s="622"/>
      <c r="L27" s="572"/>
      <c r="M27" s="6"/>
      <c r="N27" s="6"/>
      <c r="O27" s="597"/>
      <c r="P27" s="685"/>
      <c r="Q27" s="619"/>
      <c r="R27" s="620"/>
      <c r="S27" s="635"/>
      <c r="T27" s="622"/>
      <c r="U27" s="572"/>
      <c r="V27" s="6"/>
      <c r="W27" s="6">
        <v>20</v>
      </c>
      <c r="X27" s="597"/>
      <c r="Y27" s="685"/>
      <c r="Z27" s="619"/>
      <c r="AA27" s="620" t="s">
        <v>152</v>
      </c>
      <c r="AB27" s="635"/>
      <c r="AC27" s="622"/>
      <c r="AD27" s="572"/>
      <c r="AE27" s="6">
        <v>13</v>
      </c>
      <c r="AF27" s="6"/>
      <c r="AG27" s="597"/>
      <c r="AH27" s="6"/>
      <c r="AI27" s="6" t="s">
        <v>334</v>
      </c>
      <c r="AJ27" s="620"/>
      <c r="AK27" s="635"/>
      <c r="AM27" s="572"/>
      <c r="AN27" s="6"/>
      <c r="AO27" s="6"/>
      <c r="AP27" s="50"/>
      <c r="AQ27" s="597"/>
      <c r="AR27" s="6"/>
      <c r="AS27" s="6"/>
      <c r="AT27" s="692"/>
      <c r="AU27" s="635"/>
      <c r="AV27" s="635"/>
    </row>
    <row r="28" spans="1:48" ht="49.15" customHeight="1" x14ac:dyDescent="0.25">
      <c r="A28" s="2205"/>
      <c r="B28" s="574">
        <v>2</v>
      </c>
      <c r="C28" s="595">
        <v>34</v>
      </c>
      <c r="D28" s="596">
        <f>18+10+80</f>
        <v>108</v>
      </c>
      <c r="E28" s="596">
        <v>15</v>
      </c>
      <c r="F28" s="597"/>
      <c r="G28" s="620" t="s">
        <v>704</v>
      </c>
      <c r="H28" s="620" t="s">
        <v>706</v>
      </c>
      <c r="I28" s="620" t="s">
        <v>705</v>
      </c>
      <c r="J28" s="635"/>
      <c r="K28" s="622"/>
      <c r="L28" s="572"/>
      <c r="M28" s="6"/>
      <c r="N28" s="6"/>
      <c r="O28" s="597"/>
      <c r="P28" s="620"/>
      <c r="Q28" s="620"/>
      <c r="R28" s="620"/>
      <c r="S28" s="635"/>
      <c r="T28" s="622"/>
      <c r="U28" s="572"/>
      <c r="V28" s="6"/>
      <c r="W28" s="622"/>
      <c r="X28" s="597"/>
      <c r="Y28" s="620"/>
      <c r="Z28" s="6"/>
      <c r="AA28" s="692"/>
      <c r="AB28" s="635"/>
      <c r="AC28" s="622"/>
      <c r="AD28" s="572"/>
      <c r="AE28" s="6"/>
      <c r="AF28" s="6"/>
      <c r="AG28" s="597"/>
      <c r="AH28" s="605"/>
      <c r="AI28" s="6"/>
      <c r="AJ28" s="692"/>
      <c r="AK28" s="635"/>
      <c r="AM28" s="572"/>
      <c r="AN28" s="6"/>
      <c r="AO28" s="6"/>
      <c r="AP28" s="50"/>
      <c r="AQ28" s="597"/>
      <c r="AR28" s="605"/>
      <c r="AS28" s="6"/>
      <c r="AT28" s="692"/>
      <c r="AU28" s="635"/>
      <c r="AV28" s="634"/>
    </row>
    <row r="29" spans="1:48" ht="45" customHeight="1" x14ac:dyDescent="0.25">
      <c r="A29" s="2206">
        <v>45121</v>
      </c>
      <c r="B29" s="574">
        <v>1</v>
      </c>
      <c r="C29" s="595"/>
      <c r="D29" s="596">
        <v>21</v>
      </c>
      <c r="E29" s="596"/>
      <c r="F29" s="597"/>
      <c r="G29" s="620"/>
      <c r="H29" s="619" t="s">
        <v>707</v>
      </c>
      <c r="I29" s="692"/>
      <c r="J29" s="635"/>
      <c r="K29" s="622"/>
      <c r="L29" s="572"/>
      <c r="M29" s="6"/>
      <c r="N29" s="6"/>
      <c r="O29" s="597"/>
      <c r="P29" s="685"/>
      <c r="Q29" s="619"/>
      <c r="R29" s="620"/>
      <c r="S29" s="635"/>
      <c r="T29" s="622"/>
      <c r="U29" s="572"/>
      <c r="V29" s="6"/>
      <c r="W29" s="6"/>
      <c r="X29" s="597"/>
      <c r="Y29" s="685"/>
      <c r="Z29" s="619"/>
      <c r="AA29" s="692"/>
      <c r="AB29" s="635"/>
      <c r="AC29" s="622"/>
      <c r="AD29" s="572"/>
      <c r="AE29" s="6"/>
      <c r="AF29" s="6"/>
      <c r="AG29" s="597"/>
      <c r="AH29" s="685"/>
      <c r="AI29" s="619"/>
      <c r="AJ29" s="620"/>
      <c r="AK29" s="635"/>
      <c r="AM29" s="572"/>
      <c r="AN29" s="6"/>
      <c r="AO29" s="6"/>
      <c r="AP29" s="50"/>
      <c r="AQ29" s="597"/>
      <c r="AR29" s="685"/>
      <c r="AS29" s="619"/>
      <c r="AT29" s="620"/>
      <c r="AU29" s="635"/>
      <c r="AV29" s="613"/>
    </row>
    <row r="30" spans="1:48" ht="30.6" customHeight="1" x14ac:dyDescent="0.25">
      <c r="A30" s="2205"/>
      <c r="B30" s="644">
        <v>2</v>
      </c>
      <c r="C30" s="595"/>
      <c r="D30" s="596">
        <v>43</v>
      </c>
      <c r="E30" s="596"/>
      <c r="F30" s="597"/>
      <c r="G30" s="685"/>
      <c r="H30" s="619" t="s">
        <v>707</v>
      </c>
      <c r="I30" s="620"/>
      <c r="J30" s="635"/>
      <c r="K30" s="622"/>
      <c r="L30" s="572"/>
      <c r="M30" s="6"/>
      <c r="N30" s="6"/>
      <c r="O30" s="597"/>
      <c r="P30" s="685"/>
      <c r="Q30" s="620"/>
      <c r="R30" s="620"/>
      <c r="S30" s="635"/>
      <c r="T30" s="622"/>
      <c r="U30" s="572"/>
      <c r="V30" s="6"/>
      <c r="W30" s="6"/>
      <c r="X30" s="597"/>
      <c r="Y30" s="685"/>
      <c r="Z30" s="619"/>
      <c r="AA30" s="620"/>
      <c r="AB30" s="635"/>
      <c r="AC30" s="622"/>
      <c r="AD30" s="572">
        <v>60</v>
      </c>
      <c r="AE30" s="6"/>
      <c r="AF30" s="6">
        <v>22</v>
      </c>
      <c r="AG30" s="597"/>
      <c r="AH30" s="684" t="s">
        <v>708</v>
      </c>
      <c r="AI30" s="619"/>
      <c r="AJ30" s="620" t="s">
        <v>562</v>
      </c>
      <c r="AK30" s="635"/>
      <c r="AM30" s="572"/>
      <c r="AN30" s="6"/>
      <c r="AO30" s="6"/>
      <c r="AP30" s="50"/>
      <c r="AQ30" s="597"/>
      <c r="AR30" s="614"/>
      <c r="AS30" s="605"/>
      <c r="AT30" s="828"/>
      <c r="AU30" s="635"/>
      <c r="AV30" s="613"/>
    </row>
    <row r="31" spans="1:48" ht="39.6" customHeight="1" x14ac:dyDescent="0.25">
      <c r="A31" s="2206">
        <v>45122</v>
      </c>
      <c r="B31" s="574">
        <v>1</v>
      </c>
      <c r="C31" s="595"/>
      <c r="D31" s="596"/>
      <c r="E31" s="596"/>
      <c r="F31" s="597"/>
      <c r="G31" s="685"/>
      <c r="H31" s="619"/>
      <c r="I31" s="620"/>
      <c r="J31" s="635"/>
      <c r="K31" s="622"/>
      <c r="L31" s="572"/>
      <c r="M31" s="6">
        <v>13</v>
      </c>
      <c r="N31" s="6"/>
      <c r="O31" s="597"/>
      <c r="P31" s="614"/>
      <c r="Q31" s="6" t="s">
        <v>709</v>
      </c>
      <c r="R31" s="6"/>
      <c r="S31" s="635"/>
      <c r="T31" s="622"/>
      <c r="U31" s="572"/>
      <c r="V31" s="6"/>
      <c r="W31" s="6"/>
      <c r="X31" s="597"/>
      <c r="Y31" s="955"/>
      <c r="Z31" s="6"/>
      <c r="AA31" s="6"/>
      <c r="AB31" s="635"/>
      <c r="AC31" s="622"/>
      <c r="AD31" s="572"/>
      <c r="AE31" s="6"/>
      <c r="AF31" s="6"/>
      <c r="AG31" s="597"/>
      <c r="AH31" s="614"/>
      <c r="AI31" s="6"/>
      <c r="AJ31" s="6"/>
      <c r="AK31" s="635"/>
      <c r="AM31" s="572"/>
      <c r="AN31" s="6"/>
      <c r="AO31" s="6"/>
      <c r="AP31" s="50"/>
      <c r="AQ31" s="597"/>
      <c r="AR31" s="614"/>
      <c r="AS31" s="6"/>
      <c r="AT31" s="6"/>
      <c r="AU31" s="635"/>
      <c r="AV31" s="635"/>
    </row>
    <row r="32" spans="1:48" ht="63" customHeight="1" x14ac:dyDescent="0.25">
      <c r="A32" s="2205"/>
      <c r="B32" s="574">
        <v>2</v>
      </c>
      <c r="C32" s="595"/>
      <c r="D32" s="596"/>
      <c r="E32" s="596"/>
      <c r="F32" s="597"/>
      <c r="G32" s="685"/>
      <c r="H32" s="685"/>
      <c r="I32" s="684"/>
      <c r="J32" s="635"/>
      <c r="K32" s="622"/>
      <c r="L32" s="572"/>
      <c r="M32" s="6"/>
      <c r="N32" s="6"/>
      <c r="O32" s="597"/>
      <c r="P32" s="614"/>
      <c r="Q32" s="6"/>
      <c r="R32" s="6"/>
      <c r="S32" s="635"/>
      <c r="T32" s="622"/>
      <c r="U32" s="572"/>
      <c r="V32" s="6"/>
      <c r="W32" s="596"/>
      <c r="X32" s="597"/>
      <c r="Y32" s="685"/>
      <c r="Z32" s="685"/>
      <c r="AA32" s="684"/>
      <c r="AB32" s="635"/>
      <c r="AC32" s="622"/>
      <c r="AD32" s="572"/>
      <c r="AE32" s="6"/>
      <c r="AF32" s="596"/>
      <c r="AG32" s="597"/>
      <c r="AH32" s="685"/>
      <c r="AI32" s="685"/>
      <c r="AJ32" s="684"/>
      <c r="AK32" s="635"/>
      <c r="AM32" s="572"/>
      <c r="AN32" s="6"/>
      <c r="AO32" s="6"/>
      <c r="AP32" s="50"/>
      <c r="AQ32" s="597"/>
      <c r="AR32" s="614"/>
      <c r="AS32" s="605"/>
      <c r="AT32" s="828"/>
      <c r="AU32" s="635"/>
      <c r="AV32" s="613"/>
    </row>
    <row r="33" spans="1:48" ht="43.15" customHeight="1" x14ac:dyDescent="0.25">
      <c r="A33" s="2206">
        <v>45123</v>
      </c>
      <c r="B33" s="574">
        <v>1</v>
      </c>
      <c r="C33" s="595"/>
      <c r="D33" s="596"/>
      <c r="E33" s="596">
        <v>30</v>
      </c>
      <c r="F33" s="597"/>
      <c r="G33" s="685"/>
      <c r="H33" s="619"/>
      <c r="I33" s="684" t="s">
        <v>710</v>
      </c>
      <c r="J33" s="635"/>
      <c r="K33" s="622"/>
      <c r="L33" s="572"/>
      <c r="M33" s="6"/>
      <c r="N33" s="6"/>
      <c r="O33" s="597"/>
      <c r="P33" s="614"/>
      <c r="Q33" s="6"/>
      <c r="R33" s="6"/>
      <c r="S33" s="635"/>
      <c r="T33" s="622"/>
      <c r="U33" s="572"/>
      <c r="V33" s="6"/>
      <c r="W33" s="6"/>
      <c r="X33" s="597"/>
      <c r="Y33" s="614"/>
      <c r="Z33" s="6"/>
      <c r="AA33" s="605"/>
      <c r="AB33" s="635"/>
      <c r="AC33" s="622"/>
      <c r="AD33" s="572"/>
      <c r="AE33" s="6"/>
      <c r="AF33" s="6"/>
      <c r="AG33" s="597"/>
      <c r="AH33" s="614"/>
      <c r="AI33" s="605"/>
      <c r="AJ33" s="6"/>
      <c r="AK33" s="635"/>
      <c r="AM33" s="572"/>
      <c r="AN33" s="6"/>
      <c r="AO33" s="6"/>
      <c r="AP33" s="50"/>
      <c r="AQ33" s="597"/>
      <c r="AR33" s="614"/>
      <c r="AS33" s="605"/>
      <c r="AT33" s="6"/>
      <c r="AU33" s="635"/>
      <c r="AV33" s="613"/>
    </row>
    <row r="34" spans="1:48" ht="67.900000000000006" customHeight="1" x14ac:dyDescent="0.25">
      <c r="A34" s="2205"/>
      <c r="B34" s="644">
        <v>2</v>
      </c>
      <c r="C34" s="596">
        <v>12</v>
      </c>
      <c r="D34" s="596"/>
      <c r="E34" s="596">
        <v>7</v>
      </c>
      <c r="F34" s="829"/>
      <c r="G34" s="684" t="s">
        <v>693</v>
      </c>
      <c r="H34" s="620"/>
      <c r="I34" s="620" t="s">
        <v>562</v>
      </c>
      <c r="J34" s="635"/>
      <c r="K34" s="622"/>
      <c r="L34" s="572"/>
      <c r="M34" s="6"/>
      <c r="N34" s="6"/>
      <c r="O34" s="613"/>
      <c r="P34" s="614"/>
      <c r="Q34" s="620"/>
      <c r="R34" s="6"/>
      <c r="S34" s="635"/>
      <c r="T34" s="622"/>
      <c r="U34" s="572"/>
      <c r="V34" s="6"/>
      <c r="W34" s="6"/>
      <c r="X34" s="613"/>
      <c r="Y34" s="605"/>
      <c r="Z34" s="605"/>
      <c r="AA34" s="684"/>
      <c r="AB34" s="635"/>
      <c r="AC34" s="622"/>
      <c r="AD34" s="572"/>
      <c r="AE34" s="6"/>
      <c r="AF34" s="6"/>
      <c r="AG34" s="613"/>
      <c r="AH34" s="614"/>
      <c r="AI34" s="6"/>
      <c r="AJ34" s="6"/>
      <c r="AK34" s="613"/>
      <c r="AM34" s="572"/>
      <c r="AN34" s="6"/>
      <c r="AO34" s="6"/>
      <c r="AP34" s="50"/>
      <c r="AQ34" s="613"/>
      <c r="AR34" s="614"/>
      <c r="AS34" s="6"/>
      <c r="AT34" s="6"/>
      <c r="AU34" s="50"/>
      <c r="AV34" s="613"/>
    </row>
    <row r="35" spans="1:48" ht="51" customHeight="1" x14ac:dyDescent="0.25">
      <c r="A35" s="2206">
        <v>45124</v>
      </c>
      <c r="B35" s="574">
        <v>1</v>
      </c>
      <c r="C35" s="596"/>
      <c r="D35" s="596"/>
      <c r="E35" s="50"/>
      <c r="F35" s="828"/>
      <c r="G35" s="567"/>
      <c r="H35" s="614"/>
      <c r="I35" s="605"/>
      <c r="J35" s="687"/>
      <c r="K35" s="622"/>
      <c r="L35" s="572"/>
      <c r="M35" s="6"/>
      <c r="N35" s="6"/>
      <c r="O35" s="613"/>
      <c r="P35" s="567"/>
      <c r="Q35" s="959"/>
      <c r="R35" s="620"/>
      <c r="S35" s="635"/>
      <c r="T35" s="622"/>
      <c r="U35" s="572"/>
      <c r="V35" s="6"/>
      <c r="W35" s="50"/>
      <c r="X35" s="634"/>
      <c r="Y35" s="567"/>
      <c r="Z35" s="6"/>
      <c r="AA35" s="684"/>
      <c r="AB35" s="613"/>
      <c r="AC35" s="622"/>
      <c r="AD35" s="572"/>
      <c r="AE35" s="6"/>
      <c r="AF35" s="6"/>
      <c r="AG35" s="955"/>
      <c r="AH35" s="567"/>
      <c r="AI35" s="6"/>
      <c r="AJ35" s="684"/>
      <c r="AK35" s="613"/>
      <c r="AM35" s="572"/>
      <c r="AN35" s="6"/>
      <c r="AO35" s="50"/>
      <c r="AP35" s="50"/>
      <c r="AQ35" s="634"/>
      <c r="AR35" s="567"/>
      <c r="AS35" s="692"/>
      <c r="AT35" s="605"/>
      <c r="AU35" s="828"/>
      <c r="AV35" s="613"/>
    </row>
    <row r="36" spans="1:48" ht="46.9" customHeight="1" x14ac:dyDescent="0.25">
      <c r="A36" s="2205"/>
      <c r="B36" s="574">
        <v>2</v>
      </c>
      <c r="C36" s="50">
        <v>207</v>
      </c>
      <c r="D36" s="6"/>
      <c r="E36" s="50">
        <v>15</v>
      </c>
      <c r="F36" s="828"/>
      <c r="G36" s="692" t="s">
        <v>186</v>
      </c>
      <c r="H36" s="955"/>
      <c r="I36" s="620" t="s">
        <v>562</v>
      </c>
      <c r="J36" s="635"/>
      <c r="K36" s="622"/>
      <c r="L36" s="567"/>
      <c r="M36" s="6"/>
      <c r="N36" s="6"/>
      <c r="O36" s="955"/>
      <c r="P36" s="567"/>
      <c r="Q36" s="605"/>
      <c r="R36" s="605"/>
      <c r="S36" s="635"/>
      <c r="T36" s="622"/>
      <c r="U36" s="572"/>
      <c r="V36" s="6"/>
      <c r="W36" s="6">
        <v>33</v>
      </c>
      <c r="X36" s="955"/>
      <c r="Y36" s="567"/>
      <c r="Z36" s="605"/>
      <c r="AA36" s="684" t="s">
        <v>152</v>
      </c>
      <c r="AB36" s="613"/>
      <c r="AC36" s="622"/>
      <c r="AD36" s="572"/>
      <c r="AE36" s="6"/>
      <c r="AF36" s="50"/>
      <c r="AG36" s="634"/>
      <c r="AH36" s="567"/>
      <c r="AI36" s="605"/>
      <c r="AJ36" s="684"/>
      <c r="AK36" s="613"/>
      <c r="AM36" s="572"/>
      <c r="AN36" s="6"/>
      <c r="AO36" s="6"/>
      <c r="AP36" s="614"/>
      <c r="AQ36" s="955"/>
      <c r="AR36" s="567"/>
      <c r="AS36" s="605"/>
      <c r="AT36" s="605"/>
      <c r="AU36" s="828"/>
      <c r="AV36" s="613"/>
    </row>
    <row r="37" spans="1:48" ht="59.45" customHeight="1" x14ac:dyDescent="0.25">
      <c r="A37" s="2206">
        <v>45125</v>
      </c>
      <c r="B37" s="644">
        <v>1</v>
      </c>
      <c r="C37" s="50"/>
      <c r="D37" s="596"/>
      <c r="E37" s="50"/>
      <c r="F37" s="50"/>
      <c r="G37" s="692"/>
      <c r="H37" s="955"/>
      <c r="I37" s="692"/>
      <c r="J37" s="635"/>
      <c r="K37" s="622"/>
      <c r="L37" s="572"/>
      <c r="M37" s="6"/>
      <c r="N37" s="6"/>
      <c r="O37" s="727"/>
      <c r="P37" s="614"/>
      <c r="Q37" s="6"/>
      <c r="R37" s="6"/>
      <c r="S37" s="613"/>
      <c r="T37" s="622"/>
      <c r="U37" s="572"/>
      <c r="V37" s="6"/>
      <c r="W37" s="6">
        <v>25</v>
      </c>
      <c r="X37" s="613"/>
      <c r="Y37" s="614"/>
      <c r="Z37" s="605"/>
      <c r="AA37" s="684" t="s">
        <v>711</v>
      </c>
      <c r="AB37" s="635"/>
      <c r="AC37" s="622"/>
      <c r="AD37" s="572"/>
      <c r="AE37" s="6"/>
      <c r="AF37" s="6"/>
      <c r="AG37" s="613"/>
      <c r="AH37" s="614"/>
      <c r="AI37" s="6"/>
      <c r="AJ37" s="684"/>
      <c r="AK37" s="613"/>
      <c r="AM37" s="572"/>
      <c r="AN37" s="6"/>
      <c r="AO37" s="6"/>
      <c r="AP37" s="50"/>
      <c r="AQ37" s="613"/>
      <c r="AR37" s="614"/>
      <c r="AS37" s="6"/>
      <c r="AT37" s="6"/>
      <c r="AU37" s="50"/>
      <c r="AV37" s="613"/>
    </row>
    <row r="38" spans="1:48" ht="55.9" customHeight="1" x14ac:dyDescent="0.25">
      <c r="A38" s="2205"/>
      <c r="B38" s="574">
        <v>2</v>
      </c>
      <c r="C38" s="50"/>
      <c r="D38" s="596"/>
      <c r="E38" s="50">
        <v>10</v>
      </c>
      <c r="F38" s="829"/>
      <c r="G38" s="692"/>
      <c r="H38" s="955"/>
      <c r="I38" s="692" t="s">
        <v>152</v>
      </c>
      <c r="J38" s="635"/>
      <c r="K38" s="622"/>
      <c r="L38" s="572"/>
      <c r="M38" s="6"/>
      <c r="N38" s="6"/>
      <c r="O38" s="613"/>
      <c r="P38" s="955"/>
      <c r="Q38" s="955"/>
      <c r="R38" s="6"/>
      <c r="S38" s="635"/>
      <c r="T38" s="622"/>
      <c r="U38" s="572"/>
      <c r="V38" s="6"/>
      <c r="W38" s="6">
        <f>5+7+10</f>
        <v>22</v>
      </c>
      <c r="X38" s="613"/>
      <c r="Y38" s="614"/>
      <c r="Z38" s="605"/>
      <c r="AA38" s="684" t="s">
        <v>712</v>
      </c>
      <c r="AB38" s="635"/>
      <c r="AC38" s="622"/>
      <c r="AD38" s="572">
        <v>328</v>
      </c>
      <c r="AE38" s="6"/>
      <c r="AF38" s="6">
        <v>23</v>
      </c>
      <c r="AG38" s="613"/>
      <c r="AH38" s="968" t="s">
        <v>186</v>
      </c>
      <c r="AI38" s="6"/>
      <c r="AJ38" s="605" t="s">
        <v>713</v>
      </c>
      <c r="AK38" s="635"/>
      <c r="AM38" s="572"/>
      <c r="AN38" s="6"/>
      <c r="AO38" s="6"/>
      <c r="AP38" s="50"/>
      <c r="AQ38" s="613"/>
      <c r="AR38" s="614"/>
      <c r="AS38" s="6"/>
      <c r="AT38" s="605"/>
      <c r="AU38" s="828"/>
      <c r="AV38" s="635"/>
    </row>
    <row r="39" spans="1:48" ht="39" customHeight="1" x14ac:dyDescent="0.25">
      <c r="A39" s="2206">
        <v>45126</v>
      </c>
      <c r="B39" s="574">
        <v>1</v>
      </c>
      <c r="C39" s="50"/>
      <c r="D39" s="596"/>
      <c r="E39" s="50">
        <v>17</v>
      </c>
      <c r="F39" s="597"/>
      <c r="G39" s="692"/>
      <c r="H39" s="619"/>
      <c r="I39" s="692" t="s">
        <v>140</v>
      </c>
      <c r="J39" s="687"/>
      <c r="K39" s="622"/>
      <c r="L39" s="572"/>
      <c r="M39" s="6"/>
      <c r="N39" s="6"/>
      <c r="O39" s="597"/>
      <c r="P39" s="685"/>
      <c r="Q39" s="619"/>
      <c r="R39" s="692"/>
      <c r="S39" s="687"/>
      <c r="T39" s="622"/>
      <c r="U39" s="572"/>
      <c r="V39" s="6"/>
      <c r="W39" s="6"/>
      <c r="X39" s="597"/>
      <c r="Y39" s="685"/>
      <c r="Z39" s="619"/>
      <c r="AA39" s="692"/>
      <c r="AB39" s="687"/>
      <c r="AC39" s="622"/>
      <c r="AD39" s="572"/>
      <c r="AE39" s="6"/>
      <c r="AF39" s="6"/>
      <c r="AG39" s="597"/>
      <c r="AH39" s="685"/>
      <c r="AI39" s="619"/>
      <c r="AJ39" s="692"/>
      <c r="AK39" s="687"/>
      <c r="AM39" s="572"/>
      <c r="AN39" s="6"/>
      <c r="AO39" s="6">
        <v>11</v>
      </c>
      <c r="AP39" s="50"/>
      <c r="AQ39" s="597"/>
      <c r="AR39" s="685"/>
      <c r="AS39" s="619"/>
      <c r="AT39" s="692" t="s">
        <v>152</v>
      </c>
      <c r="AU39" s="692"/>
      <c r="AV39" s="687"/>
    </row>
    <row r="40" spans="1:48" ht="72.599999999999994" customHeight="1" x14ac:dyDescent="0.25">
      <c r="A40" s="2205"/>
      <c r="B40" s="574">
        <v>2</v>
      </c>
      <c r="C40" s="596"/>
      <c r="D40" s="596"/>
      <c r="E40" s="596"/>
      <c r="F40" s="613"/>
      <c r="G40" s="692"/>
      <c r="H40" s="620"/>
      <c r="I40" s="692"/>
      <c r="J40" s="635"/>
      <c r="K40" s="622"/>
      <c r="L40" s="572"/>
      <c r="M40" s="6"/>
      <c r="N40" s="6"/>
      <c r="O40" s="613"/>
      <c r="P40" s="685"/>
      <c r="Q40" s="619"/>
      <c r="R40" s="692"/>
      <c r="S40" s="635"/>
      <c r="T40" s="622"/>
      <c r="U40" s="572">
        <v>145</v>
      </c>
      <c r="V40" s="6"/>
      <c r="W40" s="6">
        <v>51</v>
      </c>
      <c r="X40" s="613"/>
      <c r="Y40" s="685" t="s">
        <v>715</v>
      </c>
      <c r="Z40" s="619"/>
      <c r="AA40" s="692" t="s">
        <v>714</v>
      </c>
      <c r="AB40" s="635"/>
      <c r="AC40" s="622"/>
      <c r="AD40" s="572">
        <v>20</v>
      </c>
      <c r="AE40" s="6"/>
      <c r="AF40" s="6"/>
      <c r="AG40" s="613"/>
      <c r="AH40" s="567" t="s">
        <v>716</v>
      </c>
      <c r="AI40" s="619"/>
      <c r="AJ40" s="692"/>
      <c r="AK40" s="635"/>
      <c r="AM40" s="567">
        <v>58</v>
      </c>
      <c r="AN40" s="6"/>
      <c r="AO40" s="6">
        <v>12</v>
      </c>
      <c r="AP40" s="50"/>
      <c r="AQ40" s="613"/>
      <c r="AR40" s="685" t="s">
        <v>186</v>
      </c>
      <c r="AS40" s="619"/>
      <c r="AT40" s="692" t="s">
        <v>562</v>
      </c>
      <c r="AU40" s="692"/>
      <c r="AV40" s="635"/>
    </row>
    <row r="41" spans="1:48" ht="39.6" customHeight="1" x14ac:dyDescent="0.25">
      <c r="A41" s="2206">
        <v>45127</v>
      </c>
      <c r="B41" s="574">
        <v>1</v>
      </c>
      <c r="C41" s="595"/>
      <c r="D41" s="596"/>
      <c r="E41" s="596">
        <v>75</v>
      </c>
      <c r="F41" s="613"/>
      <c r="G41" s="685"/>
      <c r="H41" s="620"/>
      <c r="I41" s="692" t="s">
        <v>717</v>
      </c>
      <c r="J41" s="687"/>
      <c r="K41" s="622"/>
      <c r="L41" s="572"/>
      <c r="M41" s="6"/>
      <c r="N41" s="6">
        <v>67</v>
      </c>
      <c r="O41" s="613"/>
      <c r="P41" s="614"/>
      <c r="Q41" s="6"/>
      <c r="R41" s="692" t="s">
        <v>717</v>
      </c>
      <c r="S41" s="635"/>
      <c r="T41" s="622"/>
      <c r="U41" s="572"/>
      <c r="V41" s="6"/>
      <c r="W41" s="6">
        <v>78</v>
      </c>
      <c r="X41" s="613"/>
      <c r="Y41" s="614"/>
      <c r="Z41" s="605"/>
      <c r="AA41" s="692" t="s">
        <v>717</v>
      </c>
      <c r="AB41" s="613"/>
      <c r="AC41" s="622"/>
      <c r="AD41" s="572">
        <v>190</v>
      </c>
      <c r="AE41" s="6"/>
      <c r="AF41" s="6"/>
      <c r="AG41" s="613"/>
      <c r="AH41" s="567" t="s">
        <v>716</v>
      </c>
      <c r="AI41" s="605"/>
      <c r="AJ41" s="6"/>
      <c r="AK41" s="613"/>
      <c r="AM41" s="572"/>
      <c r="AN41" s="6"/>
      <c r="AO41" s="6">
        <v>83</v>
      </c>
      <c r="AP41" s="50"/>
      <c r="AQ41" s="613"/>
      <c r="AR41" s="614"/>
      <c r="AS41" s="605"/>
      <c r="AT41" s="692" t="s">
        <v>717</v>
      </c>
      <c r="AU41" s="50"/>
      <c r="AV41" s="613"/>
    </row>
    <row r="42" spans="1:48" ht="33" customHeight="1" x14ac:dyDescent="0.25">
      <c r="A42" s="2205"/>
      <c r="B42" s="574">
        <v>2</v>
      </c>
      <c r="C42" s="596"/>
      <c r="D42" s="596"/>
      <c r="E42" s="596"/>
      <c r="F42" s="613"/>
      <c r="G42" s="685"/>
      <c r="H42" s="619"/>
      <c r="I42" s="692"/>
      <c r="J42" s="687"/>
      <c r="K42" s="622"/>
      <c r="L42" s="572"/>
      <c r="M42" s="6"/>
      <c r="N42" s="6"/>
      <c r="O42" s="613"/>
      <c r="P42" s="614"/>
      <c r="Q42" s="6"/>
      <c r="R42" s="6"/>
      <c r="S42" s="635"/>
      <c r="T42" s="622"/>
      <c r="U42" s="572"/>
      <c r="V42" s="6"/>
      <c r="W42" s="6"/>
      <c r="X42" s="613"/>
      <c r="Y42" s="955"/>
      <c r="Z42" s="6"/>
      <c r="AA42" s="605"/>
      <c r="AB42" s="635"/>
      <c r="AC42" s="622"/>
      <c r="AD42" s="572"/>
      <c r="AE42" s="6"/>
      <c r="AF42" s="6"/>
      <c r="AG42" s="613"/>
      <c r="AH42" s="614"/>
      <c r="AI42" s="6"/>
      <c r="AJ42" s="6"/>
      <c r="AK42" s="613"/>
      <c r="AM42" s="572"/>
      <c r="AN42" s="6"/>
      <c r="AO42" s="6"/>
      <c r="AP42" s="50"/>
      <c r="AQ42" s="613"/>
      <c r="AR42" s="614"/>
      <c r="AS42" s="6"/>
      <c r="AT42" s="6"/>
      <c r="AU42" s="50"/>
      <c r="AV42" s="613"/>
    </row>
    <row r="43" spans="1:48" ht="33.6" customHeight="1" x14ac:dyDescent="0.25">
      <c r="A43" s="2206">
        <v>45128</v>
      </c>
      <c r="B43" s="574">
        <v>1</v>
      </c>
      <c r="C43" s="596"/>
      <c r="D43" s="596"/>
      <c r="E43" s="596"/>
      <c r="F43" s="597"/>
      <c r="G43" s="619"/>
      <c r="H43" s="619"/>
      <c r="I43" s="620"/>
      <c r="J43" s="635"/>
      <c r="K43" s="622"/>
      <c r="L43" s="572"/>
      <c r="M43" s="6"/>
      <c r="N43" s="6"/>
      <c r="O43" s="613"/>
      <c r="P43" s="614"/>
      <c r="Q43" s="6"/>
      <c r="R43" s="6"/>
      <c r="S43" s="613"/>
      <c r="T43" s="622"/>
      <c r="U43" s="572"/>
      <c r="V43" s="6"/>
      <c r="W43" s="6"/>
      <c r="X43" s="613"/>
      <c r="Y43" s="614"/>
      <c r="Z43" s="6"/>
      <c r="AA43" s="620"/>
      <c r="AB43" s="613"/>
      <c r="AC43" s="622"/>
      <c r="AD43" s="572"/>
      <c r="AE43" s="6"/>
      <c r="AF43" s="6"/>
      <c r="AG43" s="613"/>
      <c r="AH43" s="605"/>
      <c r="AI43" s="620"/>
      <c r="AJ43" s="6"/>
      <c r="AK43" s="613"/>
      <c r="AM43" s="572"/>
      <c r="AN43" s="6"/>
      <c r="AO43" s="6"/>
      <c r="AP43" s="50"/>
      <c r="AQ43" s="613"/>
      <c r="AR43" s="605"/>
      <c r="AS43" s="620"/>
      <c r="AT43" s="6"/>
      <c r="AU43" s="50"/>
      <c r="AV43" s="613"/>
    </row>
    <row r="44" spans="1:48" ht="36" customHeight="1" x14ac:dyDescent="0.25">
      <c r="A44" s="2205"/>
      <c r="B44" s="574">
        <v>2</v>
      </c>
      <c r="C44" s="596"/>
      <c r="D44" s="596">
        <v>16</v>
      </c>
      <c r="E44" s="596"/>
      <c r="F44" s="597"/>
      <c r="G44" s="619"/>
      <c r="H44" s="619" t="s">
        <v>601</v>
      </c>
      <c r="I44" s="692"/>
      <c r="J44" s="635"/>
      <c r="K44" s="622"/>
      <c r="L44" s="572">
        <v>13</v>
      </c>
      <c r="M44" s="6"/>
      <c r="N44" s="6"/>
      <c r="O44" s="613"/>
      <c r="P44" s="968" t="s">
        <v>718</v>
      </c>
      <c r="Q44" s="6"/>
      <c r="R44" s="605"/>
      <c r="S44" s="764"/>
      <c r="T44" s="622"/>
      <c r="U44" s="572"/>
      <c r="V44" s="6">
        <v>78</v>
      </c>
      <c r="W44" s="596">
        <v>22</v>
      </c>
      <c r="X44" s="597"/>
      <c r="Y44" s="619"/>
      <c r="Z44" s="620" t="s">
        <v>601</v>
      </c>
      <c r="AA44" s="605" t="s">
        <v>152</v>
      </c>
      <c r="AB44" s="635"/>
      <c r="AC44" s="622"/>
      <c r="AD44" s="572"/>
      <c r="AE44" s="6"/>
      <c r="AF44" s="6">
        <v>17</v>
      </c>
      <c r="AG44" s="613"/>
      <c r="AH44" s="614"/>
      <c r="AI44" s="605"/>
      <c r="AJ44" s="605" t="s">
        <v>152</v>
      </c>
      <c r="AK44" s="613"/>
      <c r="AM44" s="572"/>
      <c r="AN44" s="6"/>
      <c r="AO44" s="6"/>
      <c r="AP44" s="50"/>
      <c r="AQ44" s="613"/>
      <c r="AR44" s="614"/>
      <c r="AS44" s="605"/>
      <c r="AT44" s="605"/>
      <c r="AU44" s="828"/>
      <c r="AV44" s="613"/>
    </row>
    <row r="45" spans="1:48" ht="48" customHeight="1" x14ac:dyDescent="0.25">
      <c r="A45" s="2206">
        <v>45129</v>
      </c>
      <c r="B45" s="574">
        <v>1</v>
      </c>
      <c r="C45" s="596"/>
      <c r="D45" s="596"/>
      <c r="E45" s="596"/>
      <c r="F45" s="597"/>
      <c r="G45" s="619"/>
      <c r="H45" s="619"/>
      <c r="I45" s="620"/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"/>
      <c r="W45" s="6"/>
      <c r="X45" s="613"/>
      <c r="Y45" s="619"/>
      <c r="Z45" s="620"/>
      <c r="AA45" s="605"/>
      <c r="AB45" s="613"/>
      <c r="AC45" s="622"/>
      <c r="AD45" s="572"/>
      <c r="AE45" s="6"/>
      <c r="AF45" s="6"/>
      <c r="AG45" s="613"/>
      <c r="AH45" s="614"/>
      <c r="AI45" s="605"/>
      <c r="AJ45" s="6"/>
      <c r="AK45" s="613"/>
      <c r="AM45" s="572"/>
      <c r="AN45" s="6"/>
      <c r="AO45" s="6"/>
      <c r="AP45" s="50"/>
      <c r="AQ45" s="613"/>
      <c r="AR45" s="614"/>
      <c r="AS45" s="605"/>
      <c r="AT45" s="6"/>
      <c r="AU45" s="50"/>
      <c r="AV45" s="613"/>
    </row>
    <row r="46" spans="1:48" ht="48.6" customHeight="1" x14ac:dyDescent="0.25">
      <c r="A46" s="2205"/>
      <c r="B46" s="574">
        <v>2</v>
      </c>
      <c r="C46" s="596"/>
      <c r="D46" s="596"/>
      <c r="E46" s="596">
        <v>13</v>
      </c>
      <c r="F46" s="597"/>
      <c r="G46" s="619"/>
      <c r="H46" s="619"/>
      <c r="I46" s="620" t="s">
        <v>152</v>
      </c>
      <c r="J46" s="635"/>
      <c r="K46" s="622"/>
      <c r="L46" s="572"/>
      <c r="M46" s="6"/>
      <c r="N46" s="6"/>
      <c r="O46" s="785"/>
      <c r="P46" s="614"/>
      <c r="Q46" s="620"/>
      <c r="R46" s="6"/>
      <c r="S46" s="635"/>
      <c r="T46" s="622"/>
      <c r="U46" s="572"/>
      <c r="V46" s="6"/>
      <c r="W46" s="6">
        <v>19</v>
      </c>
      <c r="X46" s="613"/>
      <c r="Y46" s="955"/>
      <c r="Z46" s="6"/>
      <c r="AA46" s="605" t="s">
        <v>383</v>
      </c>
      <c r="AB46" s="635"/>
      <c r="AC46" s="622"/>
      <c r="AD46" s="572"/>
      <c r="AE46" s="6"/>
      <c r="AF46" s="6"/>
      <c r="AG46" s="613"/>
      <c r="AH46" s="955"/>
      <c r="AI46" s="6"/>
      <c r="AJ46" s="6"/>
      <c r="AK46" s="635"/>
      <c r="AM46" s="572"/>
      <c r="AN46" s="6"/>
      <c r="AO46" s="6"/>
      <c r="AP46" s="50"/>
      <c r="AQ46" s="613"/>
      <c r="AR46" s="614"/>
      <c r="AS46" s="6"/>
      <c r="AT46" s="6"/>
      <c r="AU46" s="50"/>
      <c r="AV46" s="635"/>
    </row>
    <row r="47" spans="1:48" ht="36" customHeight="1" x14ac:dyDescent="0.25">
      <c r="A47" s="2206">
        <v>45130</v>
      </c>
      <c r="B47" s="574">
        <v>1</v>
      </c>
      <c r="C47" s="596"/>
      <c r="D47" s="596"/>
      <c r="E47" s="596"/>
      <c r="F47" s="597"/>
      <c r="G47" s="620"/>
      <c r="H47" s="619"/>
      <c r="I47" s="692"/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>
        <v>30</v>
      </c>
      <c r="X47" s="613"/>
      <c r="Y47" s="614"/>
      <c r="Z47" s="605"/>
      <c r="AA47" s="605" t="s">
        <v>152</v>
      </c>
      <c r="AB47" s="635"/>
      <c r="AC47" s="622"/>
      <c r="AD47" s="572"/>
      <c r="AE47" s="6"/>
      <c r="AF47" s="6"/>
      <c r="AG47" s="613"/>
      <c r="AH47" s="955"/>
      <c r="AI47" s="620"/>
      <c r="AJ47" s="6"/>
      <c r="AK47" s="613"/>
      <c r="AM47" s="572"/>
      <c r="AN47" s="6"/>
      <c r="AO47" s="6"/>
      <c r="AP47" s="50"/>
      <c r="AQ47" s="613"/>
      <c r="AR47" s="614"/>
      <c r="AS47" s="620"/>
      <c r="AT47" s="6"/>
      <c r="AU47" s="50"/>
      <c r="AV47" s="613"/>
    </row>
    <row r="48" spans="1:48" ht="34.9" customHeight="1" x14ac:dyDescent="0.25">
      <c r="A48" s="2205"/>
      <c r="B48" s="574">
        <v>2</v>
      </c>
      <c r="C48" s="596"/>
      <c r="D48" s="596"/>
      <c r="E48" s="596"/>
      <c r="F48" s="597"/>
      <c r="G48" s="620"/>
      <c r="H48" s="620"/>
      <c r="I48" s="692"/>
      <c r="J48" s="687"/>
      <c r="K48" s="622"/>
      <c r="L48" s="572"/>
      <c r="M48" s="6"/>
      <c r="N48" s="6"/>
      <c r="O48" s="613"/>
      <c r="P48" s="614"/>
      <c r="Q48" s="620"/>
      <c r="R48" s="605"/>
      <c r="S48" s="635"/>
      <c r="T48" s="622"/>
      <c r="U48" s="572"/>
      <c r="V48" s="6"/>
      <c r="W48" s="6">
        <f>10+6+10</f>
        <v>26</v>
      </c>
      <c r="X48" s="613"/>
      <c r="Y48" s="955"/>
      <c r="Z48" s="6"/>
      <c r="AA48" s="605" t="s">
        <v>383</v>
      </c>
      <c r="AB48" s="613"/>
      <c r="AC48" s="622"/>
      <c r="AD48" s="572"/>
      <c r="AE48" s="6"/>
      <c r="AF48" s="6"/>
      <c r="AG48" s="613"/>
      <c r="AH48" s="614"/>
      <c r="AI48" s="605"/>
      <c r="AJ48" s="6"/>
      <c r="AK48" s="613"/>
      <c r="AM48" s="572"/>
      <c r="AN48" s="6"/>
      <c r="AO48" s="6"/>
      <c r="AP48" s="50"/>
      <c r="AQ48" s="613"/>
      <c r="AR48" s="614"/>
      <c r="AS48" s="605"/>
      <c r="AT48" s="6"/>
      <c r="AU48" s="50"/>
      <c r="AV48" s="613"/>
    </row>
    <row r="49" spans="1:48" ht="36" customHeight="1" x14ac:dyDescent="0.25">
      <c r="A49" s="2206">
        <v>45131</v>
      </c>
      <c r="B49" s="574">
        <v>1</v>
      </c>
      <c r="C49" s="596"/>
      <c r="D49" s="596"/>
      <c r="E49" s="596"/>
      <c r="F49" s="597"/>
      <c r="G49" s="620"/>
      <c r="H49" s="619"/>
      <c r="I49" s="692"/>
      <c r="J49" s="687"/>
      <c r="K49" s="622"/>
      <c r="L49" s="572"/>
      <c r="M49" s="6"/>
      <c r="N49" s="6"/>
      <c r="O49" s="613"/>
      <c r="P49" s="614"/>
      <c r="Q49" s="6"/>
      <c r="R49" s="6"/>
      <c r="S49" s="613"/>
      <c r="T49" s="622"/>
      <c r="U49" s="572"/>
      <c r="V49" s="6"/>
      <c r="W49" s="6"/>
      <c r="X49" s="613"/>
      <c r="Y49" s="614"/>
      <c r="Z49" s="605"/>
      <c r="AA49" s="605"/>
      <c r="AB49" s="635"/>
      <c r="AC49" s="622"/>
      <c r="AD49" s="572"/>
      <c r="AE49" s="6"/>
      <c r="AF49" s="6"/>
      <c r="AG49" s="613"/>
      <c r="AH49" s="614"/>
      <c r="AI49" s="605"/>
      <c r="AJ49" s="692"/>
      <c r="AK49" s="613"/>
      <c r="AM49" s="572"/>
      <c r="AN49" s="6"/>
      <c r="AO49" s="6"/>
      <c r="AP49" s="50"/>
      <c r="AQ49" s="613"/>
      <c r="AR49" s="614"/>
      <c r="AS49" s="605"/>
      <c r="AT49" s="6"/>
      <c r="AU49" s="50"/>
      <c r="AV49" s="613"/>
    </row>
    <row r="50" spans="1:48" ht="51.6" customHeight="1" x14ac:dyDescent="0.25">
      <c r="A50" s="2205"/>
      <c r="B50" s="574">
        <v>2</v>
      </c>
      <c r="C50" s="596"/>
      <c r="D50" s="596"/>
      <c r="E50" s="596"/>
      <c r="F50" s="597"/>
      <c r="G50" s="619"/>
      <c r="H50" s="619"/>
      <c r="I50" s="692"/>
      <c r="J50" s="635"/>
      <c r="K50" s="622"/>
      <c r="L50" s="572"/>
      <c r="M50" s="6"/>
      <c r="N50" s="6"/>
      <c r="O50" s="597"/>
      <c r="P50" s="619"/>
      <c r="Q50" s="619"/>
      <c r="R50" s="692"/>
      <c r="S50" s="635"/>
      <c r="T50" s="622"/>
      <c r="U50" s="572"/>
      <c r="V50" s="6"/>
      <c r="W50" s="6">
        <f>19+14</f>
        <v>33</v>
      </c>
      <c r="X50" s="597"/>
      <c r="Y50" s="620"/>
      <c r="Z50" s="619"/>
      <c r="AA50" s="692" t="s">
        <v>152</v>
      </c>
      <c r="AB50" s="635"/>
      <c r="AC50" s="622"/>
      <c r="AD50" s="572"/>
      <c r="AE50" s="6"/>
      <c r="AF50" s="6"/>
      <c r="AG50" s="597"/>
      <c r="AH50" s="619"/>
      <c r="AI50" s="619"/>
      <c r="AJ50" s="692"/>
      <c r="AK50" s="635"/>
      <c r="AM50" s="572"/>
      <c r="AN50" s="6"/>
      <c r="AO50" s="6"/>
      <c r="AP50" s="50"/>
      <c r="AQ50" s="597"/>
      <c r="AR50" s="614"/>
      <c r="AS50" s="619"/>
      <c r="AT50" s="692"/>
      <c r="AU50" s="692"/>
      <c r="AV50" s="635"/>
    </row>
    <row r="51" spans="1:48" ht="34.9" customHeight="1" x14ac:dyDescent="0.25">
      <c r="A51" s="2206">
        <v>45132</v>
      </c>
      <c r="B51" s="574">
        <v>1</v>
      </c>
      <c r="C51" s="596"/>
      <c r="D51" s="596"/>
      <c r="E51" s="596"/>
      <c r="F51" s="597"/>
      <c r="G51" s="619"/>
      <c r="H51" s="619"/>
      <c r="I51" s="692"/>
      <c r="J51" s="635"/>
      <c r="K51" s="622"/>
      <c r="L51" s="572"/>
      <c r="M51" s="6"/>
      <c r="N51" s="6"/>
      <c r="O51" s="613"/>
      <c r="P51" s="614"/>
      <c r="Q51" s="620"/>
      <c r="R51" s="6"/>
      <c r="S51" s="613"/>
      <c r="T51" s="622"/>
      <c r="U51" s="572"/>
      <c r="V51" s="6"/>
      <c r="W51" s="6">
        <f>12+10</f>
        <v>22</v>
      </c>
      <c r="X51" s="613"/>
      <c r="Y51" s="955"/>
      <c r="Z51" s="6"/>
      <c r="AA51" s="605" t="s">
        <v>304</v>
      </c>
      <c r="AB51" s="613"/>
      <c r="AC51" s="622"/>
      <c r="AD51" s="572"/>
      <c r="AE51" s="6"/>
      <c r="AF51" s="6"/>
      <c r="AG51" s="613"/>
      <c r="AH51" s="614"/>
      <c r="AI51" s="6"/>
      <c r="AJ51" s="6"/>
      <c r="AK51" s="613"/>
      <c r="AM51" s="572"/>
      <c r="AN51" s="6"/>
      <c r="AO51" s="6"/>
      <c r="AP51" s="50"/>
      <c r="AQ51" s="613"/>
      <c r="AR51" s="614"/>
      <c r="AS51" s="6"/>
      <c r="AT51" s="6"/>
      <c r="AU51" s="50"/>
      <c r="AV51" s="613"/>
    </row>
    <row r="52" spans="1:48" ht="49.15" customHeight="1" x14ac:dyDescent="0.25">
      <c r="A52" s="2205"/>
      <c r="B52" s="574">
        <v>2</v>
      </c>
      <c r="C52" s="596"/>
      <c r="D52" s="596">
        <v>10</v>
      </c>
      <c r="E52" s="596"/>
      <c r="F52" s="597"/>
      <c r="G52" s="620"/>
      <c r="H52" s="620" t="s">
        <v>719</v>
      </c>
      <c r="I52" s="692"/>
      <c r="J52" s="635"/>
      <c r="K52" s="622"/>
      <c r="L52" s="572"/>
      <c r="M52" s="6"/>
      <c r="N52" s="6"/>
      <c r="O52" s="597"/>
      <c r="P52" s="620"/>
      <c r="Q52" s="620"/>
      <c r="R52" s="692"/>
      <c r="S52" s="635"/>
      <c r="T52" s="622"/>
      <c r="U52" s="572"/>
      <c r="V52" s="6"/>
      <c r="W52" s="6"/>
      <c r="X52" s="597"/>
      <c r="Y52" s="620"/>
      <c r="Z52" s="620"/>
      <c r="AA52" s="692"/>
      <c r="AB52" s="635"/>
      <c r="AC52" s="622"/>
      <c r="AD52" s="572"/>
      <c r="AE52" s="6"/>
      <c r="AF52" s="6"/>
      <c r="AG52" s="597"/>
      <c r="AH52" s="620"/>
      <c r="AI52" s="620"/>
      <c r="AJ52" s="692"/>
      <c r="AK52" s="635"/>
      <c r="AM52" s="572"/>
      <c r="AN52" s="613"/>
      <c r="AO52" s="613"/>
      <c r="AP52" s="613"/>
      <c r="AQ52" s="613"/>
      <c r="AR52" s="614"/>
      <c r="AS52" s="6"/>
      <c r="AT52" s="6"/>
      <c r="AU52" s="50"/>
      <c r="AV52" s="613"/>
    </row>
    <row r="53" spans="1:48" ht="40.15" customHeight="1" x14ac:dyDescent="0.25">
      <c r="A53" s="2206">
        <v>45133</v>
      </c>
      <c r="B53" s="574">
        <v>1</v>
      </c>
      <c r="C53" s="596"/>
      <c r="D53" s="596"/>
      <c r="E53" s="596"/>
      <c r="F53" s="597"/>
      <c r="G53" s="619"/>
      <c r="H53" s="619"/>
      <c r="I53" s="692"/>
      <c r="J53" s="635"/>
      <c r="K53" s="622"/>
      <c r="L53" s="572"/>
      <c r="M53" s="6"/>
      <c r="N53" s="6"/>
      <c r="O53" s="613"/>
      <c r="P53" s="955"/>
      <c r="Q53" s="6"/>
      <c r="R53" s="6"/>
      <c r="S53" s="635"/>
      <c r="T53" s="622"/>
      <c r="U53" s="572"/>
      <c r="V53" s="6"/>
      <c r="W53" s="6"/>
      <c r="X53" s="613"/>
      <c r="Y53" s="955"/>
      <c r="Z53" s="6"/>
      <c r="AA53" s="605"/>
      <c r="AB53" s="613"/>
      <c r="AC53" s="622"/>
      <c r="AD53" s="572"/>
      <c r="AE53" s="605"/>
      <c r="AF53" s="6"/>
      <c r="AG53" s="613"/>
      <c r="AH53" s="614"/>
      <c r="AI53" s="605"/>
      <c r="AJ53" s="605"/>
      <c r="AK53" s="613"/>
      <c r="AM53" s="572"/>
      <c r="AN53" s="605"/>
      <c r="AO53" s="6"/>
      <c r="AP53" s="50"/>
      <c r="AQ53" s="613"/>
      <c r="AR53" s="614"/>
      <c r="AS53" s="605"/>
      <c r="AT53" s="6"/>
      <c r="AU53" s="50"/>
      <c r="AV53" s="613"/>
    </row>
    <row r="54" spans="1:48" ht="39.6" customHeight="1" x14ac:dyDescent="0.25">
      <c r="A54" s="2205"/>
      <c r="B54" s="951">
        <v>2</v>
      </c>
      <c r="C54" s="596"/>
      <c r="D54" s="596">
        <v>110</v>
      </c>
      <c r="E54" s="596">
        <v>14</v>
      </c>
      <c r="F54" s="597"/>
      <c r="G54" s="619"/>
      <c r="H54" s="619" t="s">
        <v>334</v>
      </c>
      <c r="I54" s="692" t="s">
        <v>152</v>
      </c>
      <c r="J54" s="635"/>
      <c r="K54" s="622"/>
      <c r="L54" s="572"/>
      <c r="M54" s="6"/>
      <c r="N54" s="6"/>
      <c r="O54" s="597"/>
      <c r="P54" s="619"/>
      <c r="Q54" s="619"/>
      <c r="R54" s="619"/>
      <c r="S54" s="635"/>
      <c r="T54" s="622"/>
      <c r="U54" s="572"/>
      <c r="V54" s="6"/>
      <c r="W54" s="6">
        <v>35</v>
      </c>
      <c r="X54" s="597"/>
      <c r="Y54" s="620"/>
      <c r="Z54" s="619"/>
      <c r="AA54" s="620" t="s">
        <v>152</v>
      </c>
      <c r="AB54" s="635"/>
      <c r="AC54" s="622"/>
      <c r="AD54" s="572"/>
      <c r="AE54" s="6"/>
      <c r="AF54" s="6"/>
      <c r="AG54" s="613"/>
      <c r="AH54" s="614"/>
      <c r="AI54" s="619"/>
      <c r="AJ54" s="6"/>
      <c r="AK54" s="635"/>
      <c r="AM54" s="572"/>
      <c r="AN54" s="6"/>
      <c r="AO54" s="6"/>
      <c r="AP54" s="50"/>
      <c r="AQ54" s="597"/>
      <c r="AR54" s="619"/>
      <c r="AS54" s="619"/>
      <c r="AT54" s="619"/>
      <c r="AU54" s="830"/>
      <c r="AV54" s="635"/>
    </row>
    <row r="55" spans="1:48" ht="39.6" customHeight="1" x14ac:dyDescent="0.25">
      <c r="A55" s="2206">
        <v>45134</v>
      </c>
      <c r="B55" s="574">
        <v>1</v>
      </c>
      <c r="C55" s="595"/>
      <c r="D55" s="596"/>
      <c r="E55" s="596"/>
      <c r="F55" s="597"/>
      <c r="G55" s="619"/>
      <c r="H55" s="619"/>
      <c r="I55" s="692"/>
      <c r="J55" s="613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>
        <f>10+10+5+10</f>
        <v>35</v>
      </c>
      <c r="X55" s="613"/>
      <c r="Y55" s="614"/>
      <c r="Z55" s="620"/>
      <c r="AA55" s="6" t="s">
        <v>328</v>
      </c>
      <c r="AB55" s="613"/>
      <c r="AC55" s="622"/>
      <c r="AD55" s="572"/>
      <c r="AE55" s="6"/>
      <c r="AF55" s="6"/>
      <c r="AG55" s="613"/>
      <c r="AH55" s="614"/>
      <c r="AI55" s="620"/>
      <c r="AJ55" s="6"/>
      <c r="AK55" s="613"/>
      <c r="AM55" s="572"/>
      <c r="AN55" s="6"/>
      <c r="AO55" s="6"/>
      <c r="AP55" s="50"/>
      <c r="AQ55" s="613"/>
      <c r="AR55" s="614"/>
      <c r="AS55" s="620"/>
      <c r="AT55" s="6"/>
      <c r="AU55" s="50"/>
      <c r="AV55" s="613"/>
    </row>
    <row r="56" spans="1:48" ht="94.15" customHeight="1" x14ac:dyDescent="0.25">
      <c r="A56" s="2205"/>
      <c r="B56" s="951">
        <v>2</v>
      </c>
      <c r="C56" s="595"/>
      <c r="D56" s="596"/>
      <c r="E56" s="596"/>
      <c r="F56" s="597"/>
      <c r="G56" s="620"/>
      <c r="H56" s="620"/>
      <c r="I56" s="620"/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/>
      <c r="V56" s="6"/>
      <c r="W56" s="6"/>
      <c r="X56" s="597"/>
      <c r="Y56" s="955"/>
      <c r="Z56" s="619"/>
      <c r="AA56" s="620"/>
      <c r="AB56" s="635"/>
      <c r="AC56" s="622"/>
      <c r="AD56" s="572"/>
      <c r="AE56" s="6"/>
      <c r="AF56" s="6"/>
      <c r="AG56" s="597"/>
      <c r="AH56" s="620"/>
      <c r="AI56" s="619"/>
      <c r="AJ56" s="620"/>
      <c r="AK56" s="635"/>
      <c r="AM56" s="572"/>
      <c r="AN56" s="6"/>
      <c r="AO56" s="6"/>
      <c r="AP56" s="50"/>
      <c r="AQ56" s="597"/>
      <c r="AR56" s="620"/>
      <c r="AS56" s="619"/>
      <c r="AT56" s="620"/>
      <c r="AU56" s="692"/>
      <c r="AV56" s="635"/>
    </row>
    <row r="57" spans="1:48" ht="52.15" customHeight="1" x14ac:dyDescent="0.25">
      <c r="A57" s="2206">
        <v>45135</v>
      </c>
      <c r="B57" s="574">
        <v>1</v>
      </c>
      <c r="C57" s="595"/>
      <c r="D57" s="596"/>
      <c r="E57" s="596">
        <v>12</v>
      </c>
      <c r="F57" s="597"/>
      <c r="G57" s="620"/>
      <c r="H57" s="620"/>
      <c r="I57" s="692" t="s">
        <v>152</v>
      </c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>
        <v>27</v>
      </c>
      <c r="X57" s="597"/>
      <c r="Y57" s="620"/>
      <c r="Z57" s="619"/>
      <c r="AA57" s="620" t="s">
        <v>152</v>
      </c>
      <c r="AB57" s="635"/>
      <c r="AC57" s="622"/>
      <c r="AD57" s="572"/>
      <c r="AE57" s="6"/>
      <c r="AF57" s="6">
        <v>15</v>
      </c>
      <c r="AG57" s="597"/>
      <c r="AH57" s="620"/>
      <c r="AI57" s="619"/>
      <c r="AJ57" s="620" t="s">
        <v>152</v>
      </c>
      <c r="AK57" s="635"/>
      <c r="AM57" s="572"/>
      <c r="AN57" s="6"/>
      <c r="AO57" s="6"/>
      <c r="AP57" s="50"/>
      <c r="AQ57" s="597"/>
      <c r="AR57" s="620"/>
      <c r="AS57" s="619"/>
      <c r="AT57" s="620"/>
      <c r="AU57" s="692"/>
      <c r="AV57" s="635"/>
    </row>
    <row r="58" spans="1:48" ht="78" customHeight="1" x14ac:dyDescent="0.25">
      <c r="A58" s="2205"/>
      <c r="B58" s="951">
        <v>2</v>
      </c>
      <c r="C58" s="595"/>
      <c r="D58" s="596"/>
      <c r="E58" s="596"/>
      <c r="F58" s="597"/>
      <c r="G58" s="620"/>
      <c r="H58" s="619"/>
      <c r="I58" s="620"/>
      <c r="J58" s="635"/>
      <c r="K58" s="622"/>
      <c r="L58" s="572"/>
      <c r="M58" s="6"/>
      <c r="N58" s="6"/>
      <c r="O58" s="597"/>
      <c r="P58" s="620"/>
      <c r="Q58" s="619"/>
      <c r="R58" s="620"/>
      <c r="S58" s="635"/>
      <c r="T58" s="622"/>
      <c r="U58" s="572"/>
      <c r="V58" s="6"/>
      <c r="W58" s="6">
        <v>25</v>
      </c>
      <c r="X58" s="597"/>
      <c r="Y58" s="620"/>
      <c r="Z58" s="619"/>
      <c r="AA58" s="620" t="s">
        <v>152</v>
      </c>
      <c r="AB58" s="635"/>
      <c r="AC58" s="622"/>
      <c r="AD58" s="572"/>
      <c r="AE58" s="6"/>
      <c r="AF58" s="6"/>
      <c r="AG58" s="597"/>
      <c r="AH58" s="620"/>
      <c r="AI58" s="619"/>
      <c r="AJ58" s="620"/>
      <c r="AK58" s="635"/>
      <c r="AM58" s="572"/>
      <c r="AN58" s="6"/>
      <c r="AO58" s="6"/>
      <c r="AP58" s="50"/>
      <c r="AQ58" s="597"/>
      <c r="AR58" s="620"/>
      <c r="AS58" s="619"/>
      <c r="AT58" s="620"/>
      <c r="AU58" s="692"/>
      <c r="AV58" s="635"/>
    </row>
    <row r="59" spans="1:48" ht="73.150000000000006" customHeight="1" x14ac:dyDescent="0.25">
      <c r="A59" s="2206">
        <v>45136</v>
      </c>
      <c r="B59" s="574">
        <v>1</v>
      </c>
      <c r="C59" s="595"/>
      <c r="D59" s="596"/>
      <c r="E59" s="596"/>
      <c r="F59" s="597"/>
      <c r="G59" s="619"/>
      <c r="H59" s="619"/>
      <c r="I59" s="692"/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>
        <v>20</v>
      </c>
      <c r="X59" s="613"/>
      <c r="Y59" s="614"/>
      <c r="Z59" s="6"/>
      <c r="AA59" s="620" t="s">
        <v>152</v>
      </c>
      <c r="AB59" s="635"/>
      <c r="AC59" s="622"/>
      <c r="AD59" s="572"/>
      <c r="AE59" s="6"/>
      <c r="AF59" s="6"/>
      <c r="AG59" s="613"/>
      <c r="AH59" s="955"/>
      <c r="AI59" s="6"/>
      <c r="AJ59" s="620"/>
      <c r="AK59" s="635"/>
      <c r="AM59" s="572"/>
      <c r="AN59" s="6"/>
      <c r="AO59" s="6"/>
      <c r="AP59" s="50"/>
      <c r="AQ59" s="613"/>
      <c r="AR59" s="955"/>
      <c r="AS59" s="6"/>
      <c r="AT59" s="620"/>
      <c r="AU59" s="692"/>
      <c r="AV59" s="635"/>
    </row>
    <row r="60" spans="1:48" ht="36" customHeight="1" x14ac:dyDescent="0.25">
      <c r="A60" s="2205"/>
      <c r="B60" s="951">
        <v>2</v>
      </c>
      <c r="C60" s="595"/>
      <c r="D60" s="596"/>
      <c r="E60" s="596">
        <v>10</v>
      </c>
      <c r="F60" s="597"/>
      <c r="G60" s="619"/>
      <c r="H60" s="620"/>
      <c r="I60" s="692" t="s">
        <v>325</v>
      </c>
      <c r="J60" s="635"/>
      <c r="K60" s="622"/>
      <c r="L60" s="572"/>
      <c r="M60" s="6"/>
      <c r="N60" s="6"/>
      <c r="O60" s="613"/>
      <c r="P60" s="614"/>
      <c r="Q60" s="6"/>
      <c r="R60" s="6"/>
      <c r="S60" s="635"/>
      <c r="T60" s="622"/>
      <c r="U60" s="572"/>
      <c r="V60" s="6"/>
      <c r="W60" s="6">
        <v>30</v>
      </c>
      <c r="X60" s="613"/>
      <c r="Y60" s="955"/>
      <c r="Z60" s="605"/>
      <c r="AA60" s="605" t="s">
        <v>325</v>
      </c>
      <c r="AB60" s="635"/>
      <c r="AC60" s="622"/>
      <c r="AD60" s="572"/>
      <c r="AE60" s="6"/>
      <c r="AF60" s="6"/>
      <c r="AG60" s="613"/>
      <c r="AH60" s="614"/>
      <c r="AI60" s="6"/>
      <c r="AJ60" s="605"/>
      <c r="AK60" s="635"/>
      <c r="AM60" s="572"/>
      <c r="AN60" s="6"/>
      <c r="AO60" s="6"/>
      <c r="AP60" s="50"/>
      <c r="AQ60" s="613"/>
      <c r="AR60" s="614"/>
      <c r="AS60" s="6"/>
      <c r="AT60" s="605"/>
      <c r="AU60" s="828"/>
      <c r="AV60" s="635"/>
    </row>
    <row r="61" spans="1:48" ht="32.450000000000003" customHeight="1" x14ac:dyDescent="0.25">
      <c r="A61" s="2206">
        <v>45137</v>
      </c>
      <c r="B61" s="574">
        <v>1</v>
      </c>
      <c r="C61" s="958"/>
      <c r="D61" s="960"/>
      <c r="E61" s="596"/>
      <c r="F61" s="749"/>
      <c r="G61" s="619"/>
      <c r="H61" s="959"/>
      <c r="I61" s="692"/>
      <c r="J61" s="687"/>
      <c r="K61" s="622"/>
      <c r="L61" s="572"/>
      <c r="M61" s="6"/>
      <c r="N61" s="6"/>
      <c r="O61" s="613"/>
      <c r="P61" s="752"/>
      <c r="Q61" s="956"/>
      <c r="R61" s="956"/>
      <c r="S61" s="753"/>
      <c r="T61" s="622"/>
      <c r="U61" s="572"/>
      <c r="V61" s="6"/>
      <c r="W61" s="6"/>
      <c r="X61" s="613"/>
      <c r="Y61" s="955"/>
      <c r="Z61" s="605"/>
      <c r="AA61" s="605"/>
      <c r="AB61" s="753"/>
      <c r="AC61" s="622"/>
      <c r="AD61" s="572"/>
      <c r="AE61" s="6"/>
      <c r="AF61" s="6"/>
      <c r="AG61" s="613"/>
      <c r="AH61" s="614"/>
      <c r="AI61" s="6"/>
      <c r="AJ61" s="605"/>
      <c r="AK61" s="753"/>
      <c r="AM61" s="572"/>
      <c r="AN61" s="6"/>
      <c r="AO61" s="6">
        <v>241</v>
      </c>
      <c r="AP61" s="50"/>
      <c r="AQ61" s="613"/>
      <c r="AR61" s="614"/>
      <c r="AS61" s="6"/>
      <c r="AT61" s="605" t="s">
        <v>720</v>
      </c>
      <c r="AU61" s="964"/>
      <c r="AV61" s="753"/>
    </row>
    <row r="62" spans="1:48" ht="62.45" customHeight="1" x14ac:dyDescent="0.25">
      <c r="A62" s="2205"/>
      <c r="B62" s="951">
        <v>2</v>
      </c>
      <c r="C62" s="958">
        <v>127</v>
      </c>
      <c r="D62" s="960"/>
      <c r="E62" s="960"/>
      <c r="F62" s="749"/>
      <c r="G62" s="972" t="s">
        <v>721</v>
      </c>
      <c r="H62" s="959"/>
      <c r="I62" s="692"/>
      <c r="J62" s="687"/>
      <c r="K62" s="622"/>
      <c r="L62" s="572"/>
      <c r="M62" s="6"/>
      <c r="N62" s="6"/>
      <c r="O62" s="613"/>
      <c r="P62" s="752"/>
      <c r="Q62" s="956"/>
      <c r="R62" s="956"/>
      <c r="S62" s="753"/>
      <c r="T62" s="622"/>
      <c r="U62" s="572"/>
      <c r="V62" s="6"/>
      <c r="W62" s="6"/>
      <c r="X62" s="613"/>
      <c r="Y62" s="955"/>
      <c r="Z62" s="605"/>
      <c r="AA62" s="605"/>
      <c r="AB62" s="753"/>
      <c r="AC62" s="622"/>
      <c r="AD62" s="572"/>
      <c r="AE62" s="6"/>
      <c r="AF62" s="6"/>
      <c r="AG62" s="613"/>
      <c r="AH62" s="614"/>
      <c r="AI62" s="6"/>
      <c r="AJ62" s="605"/>
      <c r="AK62" s="753"/>
      <c r="AM62" s="572"/>
      <c r="AN62" s="6"/>
      <c r="AO62" s="6"/>
      <c r="AP62" s="50"/>
      <c r="AQ62" s="613"/>
      <c r="AR62" s="614"/>
      <c r="AS62" s="6"/>
      <c r="AT62" s="605"/>
      <c r="AU62" s="964"/>
      <c r="AV62" s="753"/>
    </row>
    <row r="63" spans="1:48" ht="33.6" customHeight="1" x14ac:dyDescent="0.25">
      <c r="A63" s="2206">
        <v>45138</v>
      </c>
      <c r="B63" s="574">
        <v>1</v>
      </c>
      <c r="C63" s="706"/>
      <c r="D63" s="707"/>
      <c r="E63" s="707"/>
      <c r="F63" s="708"/>
      <c r="G63" s="717"/>
      <c r="H63" s="709"/>
      <c r="I63" s="620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/>
      <c r="X63" s="597"/>
      <c r="Y63" s="685"/>
      <c r="Z63" s="619"/>
      <c r="AA63" s="6"/>
      <c r="AB63" s="954"/>
      <c r="AC63" s="622"/>
      <c r="AD63" s="572"/>
      <c r="AE63" s="6"/>
      <c r="AF63" s="6"/>
      <c r="AG63" s="597"/>
      <c r="AH63" s="685"/>
      <c r="AI63" s="619"/>
      <c r="AJ63" s="6"/>
      <c r="AK63" s="705"/>
      <c r="AM63" s="572"/>
      <c r="AN63" s="6"/>
      <c r="AO63" s="6"/>
      <c r="AP63" s="50"/>
      <c r="AQ63" s="597"/>
      <c r="AR63" s="685"/>
      <c r="AS63" s="619"/>
      <c r="AT63" s="619"/>
      <c r="AU63" s="965"/>
      <c r="AV63" s="705"/>
    </row>
    <row r="64" spans="1:48" ht="30.6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963"/>
      <c r="AQ64" s="636"/>
      <c r="AR64" s="637"/>
      <c r="AS64" s="638"/>
      <c r="AT64" s="638"/>
      <c r="AU64" s="966"/>
      <c r="AV64" s="713"/>
    </row>
    <row r="65" spans="1:43" ht="23.45" customHeight="1" x14ac:dyDescent="0.25">
      <c r="A65" s="524" t="s">
        <v>225</v>
      </c>
      <c r="C65" s="768">
        <f>SUM(C3:C64)</f>
        <v>762</v>
      </c>
      <c r="D65" s="525">
        <f>SUM(D3:D64)</f>
        <v>594</v>
      </c>
      <c r="E65" s="768">
        <f>SUM(E3:E64)</f>
        <v>738</v>
      </c>
      <c r="F65" s="525">
        <f>SUM(F3:F64)</f>
        <v>0</v>
      </c>
      <c r="L65" s="525">
        <f>SUM(L3:L64)</f>
        <v>48</v>
      </c>
      <c r="M65" s="525">
        <f>SUM(M3:M64)</f>
        <v>27</v>
      </c>
      <c r="N65" s="525">
        <f>SUM(N3:N64)</f>
        <v>155</v>
      </c>
      <c r="O65" s="525">
        <f>SUM(O3:O64)</f>
        <v>0</v>
      </c>
      <c r="U65" s="525">
        <f>SUM(U3:U64)</f>
        <v>275</v>
      </c>
      <c r="V65" s="525">
        <f>SUM(V3:V64)</f>
        <v>264</v>
      </c>
      <c r="W65" s="525">
        <f>SUM(W3:W64)</f>
        <v>798</v>
      </c>
      <c r="X65" s="525">
        <f>SUM(X3:X64)</f>
        <v>0</v>
      </c>
      <c r="AD65" s="525">
        <f>SUM(AD3:AD64)</f>
        <v>813</v>
      </c>
      <c r="AE65" s="525">
        <f>SUM(AE3:AE64)</f>
        <v>13</v>
      </c>
      <c r="AF65" s="525">
        <f>SUM(AF3:AF64)</f>
        <v>254</v>
      </c>
      <c r="AG65" s="525">
        <f>SUM(AG3:AG64)</f>
        <v>0</v>
      </c>
      <c r="AM65" s="525">
        <f>SUM(AM3:AM64)</f>
        <v>382</v>
      </c>
      <c r="AN65" s="525">
        <f>SUM(AN3:AN64)</f>
        <v>58</v>
      </c>
      <c r="AO65" s="525">
        <f>SUM(AO3:AO64)</f>
        <v>3817</v>
      </c>
      <c r="AP65" s="525"/>
      <c r="AQ65" s="525">
        <f>SUM(AQ3:AQ64)</f>
        <v>0</v>
      </c>
    </row>
    <row r="73" spans="1:43" ht="15.75" thickBot="1" x14ac:dyDescent="0.3"/>
    <row r="74" spans="1:43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3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3" ht="21.75" customHeight="1" x14ac:dyDescent="0.3">
      <c r="B76" s="651" t="s">
        <v>218</v>
      </c>
      <c r="C76" s="652">
        <f>C65</f>
        <v>762</v>
      </c>
      <c r="D76" s="653">
        <f>C76/60</f>
        <v>12.7</v>
      </c>
      <c r="E76" s="652">
        <f>D65</f>
        <v>594</v>
      </c>
      <c r="F76" s="654">
        <f>E76/60</f>
        <v>9.9</v>
      </c>
      <c r="G76" s="652">
        <f>E65</f>
        <v>738</v>
      </c>
      <c r="H76" s="653">
        <f>G76/60</f>
        <v>12.3</v>
      </c>
      <c r="I76" s="652">
        <f>F65</f>
        <v>0</v>
      </c>
      <c r="J76" s="653">
        <f>I76/60</f>
        <v>0</v>
      </c>
    </row>
    <row r="77" spans="1:43" ht="19.5" customHeight="1" x14ac:dyDescent="0.3">
      <c r="B77" s="651" t="s">
        <v>219</v>
      </c>
      <c r="C77" s="655">
        <f>L65</f>
        <v>48</v>
      </c>
      <c r="D77" s="656">
        <f>C77/60</f>
        <v>0.8</v>
      </c>
      <c r="E77" s="655">
        <f>M65</f>
        <v>27</v>
      </c>
      <c r="F77" s="657">
        <f>E77/60</f>
        <v>0.45</v>
      </c>
      <c r="G77" s="655">
        <f>N65</f>
        <v>155</v>
      </c>
      <c r="H77" s="656">
        <f>G77/60</f>
        <v>2.5833333333333335</v>
      </c>
      <c r="I77" s="655">
        <f>O65</f>
        <v>0</v>
      </c>
      <c r="J77" s="656">
        <f>I77/60</f>
        <v>0</v>
      </c>
    </row>
    <row r="78" spans="1:43" ht="20.25" customHeight="1" x14ac:dyDescent="0.3">
      <c r="B78" s="651" t="s">
        <v>220</v>
      </c>
      <c r="C78" s="655">
        <f>U65</f>
        <v>275</v>
      </c>
      <c r="D78" s="656">
        <f>C78/60</f>
        <v>4.583333333333333</v>
      </c>
      <c r="E78" s="655">
        <f>V65</f>
        <v>264</v>
      </c>
      <c r="F78" s="657">
        <f>E78/60</f>
        <v>4.4000000000000004</v>
      </c>
      <c r="G78" s="655">
        <f>W65</f>
        <v>798</v>
      </c>
      <c r="H78" s="656">
        <f>G78/60</f>
        <v>13.3</v>
      </c>
      <c r="I78" s="655">
        <f>X65</f>
        <v>0</v>
      </c>
      <c r="J78" s="656">
        <f>I78/60</f>
        <v>0</v>
      </c>
    </row>
    <row r="79" spans="1:43" ht="22.5" customHeight="1" thickBot="1" x14ac:dyDescent="0.35">
      <c r="B79" s="651" t="s">
        <v>221</v>
      </c>
      <c r="C79" s="658">
        <f>AD65</f>
        <v>813</v>
      </c>
      <c r="D79" s="659">
        <f>C79/60</f>
        <v>13.55</v>
      </c>
      <c r="E79" s="658">
        <f>AE65</f>
        <v>13</v>
      </c>
      <c r="F79" s="660">
        <f>E79/60</f>
        <v>0.21666666666666667</v>
      </c>
      <c r="G79" s="658">
        <f>AF65</f>
        <v>254</v>
      </c>
      <c r="H79" s="659">
        <f>G79/60</f>
        <v>4.2333333333333334</v>
      </c>
      <c r="I79" s="658">
        <f>AG65</f>
        <v>0</v>
      </c>
      <c r="J79" s="659">
        <f>I79/60</f>
        <v>0</v>
      </c>
    </row>
    <row r="80" spans="1:43" ht="22.5" customHeight="1" thickBot="1" x14ac:dyDescent="0.35">
      <c r="B80" s="651" t="s">
        <v>488</v>
      </c>
      <c r="C80" s="850">
        <f>AM65</f>
        <v>382</v>
      </c>
      <c r="D80" s="849">
        <f>C80/60</f>
        <v>6.3666666666666663</v>
      </c>
      <c r="E80" s="850">
        <f>AN65</f>
        <v>58</v>
      </c>
      <c r="F80" s="851">
        <f>E80/60</f>
        <v>0.96666666666666667</v>
      </c>
      <c r="G80" s="850">
        <f>AO65</f>
        <v>3817</v>
      </c>
      <c r="H80" s="849">
        <f>G80/60</f>
        <v>63.616666666666667</v>
      </c>
      <c r="I80" s="850">
        <f>AQ65</f>
        <v>0</v>
      </c>
      <c r="J80" s="849">
        <f>I80/60</f>
        <v>0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38</v>
      </c>
      <c r="E82" s="666"/>
      <c r="F82" s="667">
        <f>SUM(F76:F80)</f>
        <v>15.933333333333334</v>
      </c>
      <c r="G82" s="666"/>
      <c r="H82" s="667">
        <f>SUM(H76:H80)</f>
        <v>96.033333333333331</v>
      </c>
      <c r="I82" s="666"/>
      <c r="J82" s="668">
        <f>AVERAGE(J76:J80)</f>
        <v>0</v>
      </c>
    </row>
  </sheetData>
  <mergeCells count="45"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D1:AG1"/>
    <mergeCell ref="AH1:AK1"/>
    <mergeCell ref="AM1:AQ1"/>
    <mergeCell ref="AR1:AV1"/>
    <mergeCell ref="A3:A4"/>
    <mergeCell ref="U1:X1"/>
    <mergeCell ref="Y1:AB1"/>
    <mergeCell ref="A5:A6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2"/>
  <sheetViews>
    <sheetView zoomScale="55" zoomScaleNormal="55" workbookViewId="0">
      <pane xSplit="2" ySplit="2" topLeftCell="C39" activePane="bottomRight" state="frozen"/>
      <selection pane="topRight" activeCell="C1" sqref="C1"/>
      <selection pane="bottomLeft" activeCell="A3" sqref="A3"/>
      <selection pane="bottomRight" activeCell="J43" sqref="J43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7.285156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3" style="524" customWidth="1"/>
    <col min="17" max="17" width="25.7109375" style="524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2.42578125" style="524" customWidth="1"/>
    <col min="28" max="28" width="27" style="524" customWidth="1"/>
    <col min="29" max="33" width="10.7109375" style="524" customWidth="1"/>
    <col min="34" max="34" width="31.28515625" style="524" customWidth="1"/>
    <col min="35" max="35" width="18.57031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3" width="10.7109375" style="524" customWidth="1"/>
    <col min="44" max="44" width="21.140625" style="524" customWidth="1"/>
    <col min="45" max="45" width="26.28515625" style="524" customWidth="1"/>
    <col min="46" max="47" width="24.42578125" style="524" customWidth="1"/>
    <col min="48" max="48" width="26.5703125" style="524" customWidth="1"/>
    <col min="49" max="16384" width="8.85546875" style="524"/>
  </cols>
  <sheetData>
    <row r="1" spans="1:48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0"/>
      <c r="AR1" s="2252" t="s">
        <v>206</v>
      </c>
      <c r="AS1" s="2252"/>
      <c r="AT1" s="2252"/>
      <c r="AU1" s="2252"/>
      <c r="AV1" s="2253"/>
    </row>
    <row r="2" spans="1:48" ht="42.6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6" t="s">
        <v>199</v>
      </c>
      <c r="AI2" s="984" t="s">
        <v>200</v>
      </c>
      <c r="AJ2" s="984" t="s">
        <v>201</v>
      </c>
      <c r="AK2" s="984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4" t="s">
        <v>204</v>
      </c>
      <c r="AR2" s="986" t="s">
        <v>199</v>
      </c>
      <c r="AS2" s="984" t="s">
        <v>200</v>
      </c>
      <c r="AT2" s="984" t="s">
        <v>201</v>
      </c>
      <c r="AU2" s="984" t="s">
        <v>204</v>
      </c>
      <c r="AV2" s="984" t="s">
        <v>204</v>
      </c>
    </row>
    <row r="3" spans="1:48" ht="30" customHeight="1" x14ac:dyDescent="0.25">
      <c r="A3" s="2206">
        <v>45139</v>
      </c>
      <c r="B3" s="971">
        <v>1</v>
      </c>
      <c r="C3" s="592"/>
      <c r="D3" s="593"/>
      <c r="E3" s="847"/>
      <c r="F3" s="594"/>
      <c r="G3" s="685"/>
      <c r="H3" s="619"/>
      <c r="I3" s="848"/>
      <c r="J3" s="686"/>
      <c r="K3" s="622"/>
      <c r="L3" s="612"/>
      <c r="M3" s="630"/>
      <c r="N3" s="630"/>
      <c r="O3" s="628"/>
      <c r="P3" s="629"/>
      <c r="Q3" s="699"/>
      <c r="R3" s="699"/>
      <c r="S3" s="628"/>
      <c r="T3" s="622"/>
      <c r="U3" s="612"/>
      <c r="V3" s="630"/>
      <c r="W3" s="630">
        <v>8</v>
      </c>
      <c r="X3" s="613"/>
      <c r="Y3" s="975"/>
      <c r="Z3" s="629"/>
      <c r="AA3" s="719" t="s">
        <v>325</v>
      </c>
      <c r="AB3" s="720"/>
      <c r="AC3" s="622"/>
      <c r="AD3" s="612"/>
      <c r="AE3" s="630"/>
      <c r="AF3" s="6">
        <v>9</v>
      </c>
      <c r="AG3" s="628"/>
      <c r="AH3" s="629"/>
      <c r="AI3" s="629"/>
      <c r="AJ3" s="605" t="s">
        <v>325</v>
      </c>
      <c r="AK3" s="628"/>
      <c r="AM3" s="612"/>
      <c r="AN3" s="630"/>
      <c r="AO3" s="6"/>
      <c r="AP3" s="962"/>
      <c r="AQ3" s="628"/>
      <c r="AR3" s="629"/>
      <c r="AS3" s="648"/>
      <c r="AT3" s="6"/>
      <c r="AU3" s="962"/>
      <c r="AV3" s="628"/>
    </row>
    <row r="4" spans="1:48" ht="36.6" customHeight="1" x14ac:dyDescent="0.25">
      <c r="A4" s="2205"/>
      <c r="B4" s="574">
        <v>2</v>
      </c>
      <c r="C4" s="595"/>
      <c r="D4" s="596"/>
      <c r="E4" s="596"/>
      <c r="F4" s="597"/>
      <c r="G4" s="685"/>
      <c r="H4" s="619"/>
      <c r="I4" s="848"/>
      <c r="J4" s="687"/>
      <c r="K4" s="622"/>
      <c r="L4" s="572"/>
      <c r="M4" s="6"/>
      <c r="N4" s="6"/>
      <c r="O4" s="613"/>
      <c r="P4" s="614"/>
      <c r="Q4" s="619"/>
      <c r="R4" s="977"/>
      <c r="S4" s="613"/>
      <c r="T4" s="622"/>
      <c r="U4" s="572"/>
      <c r="V4" s="605"/>
      <c r="W4" s="6"/>
      <c r="X4" s="613"/>
      <c r="Y4" s="975"/>
      <c r="Z4" s="619"/>
      <c r="AA4" s="698"/>
      <c r="AB4" s="722"/>
      <c r="AC4" s="622"/>
      <c r="AD4" s="572"/>
      <c r="AE4" s="6"/>
      <c r="AF4" s="6"/>
      <c r="AG4" s="613"/>
      <c r="AH4" s="614"/>
      <c r="AI4" s="619"/>
      <c r="AJ4" s="6"/>
      <c r="AK4" s="613"/>
      <c r="AM4" s="572"/>
      <c r="AN4" s="6"/>
      <c r="AO4" s="6"/>
      <c r="AP4" s="50"/>
      <c r="AQ4" s="613"/>
      <c r="AR4" s="614"/>
      <c r="AS4" s="620"/>
      <c r="AT4" s="6"/>
      <c r="AU4" s="50"/>
      <c r="AV4" s="613"/>
    </row>
    <row r="5" spans="1:48" ht="60" customHeight="1" x14ac:dyDescent="0.25">
      <c r="A5" s="2206">
        <v>45140</v>
      </c>
      <c r="B5" s="574">
        <v>1</v>
      </c>
      <c r="C5" s="595"/>
      <c r="D5" s="596"/>
      <c r="E5" s="596"/>
      <c r="F5" s="597"/>
      <c r="G5" s="685"/>
      <c r="H5" s="619"/>
      <c r="I5" s="620"/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>
        <v>30</v>
      </c>
      <c r="X5" s="613"/>
      <c r="Y5" s="975"/>
      <c r="Z5" s="6"/>
      <c r="AA5" s="698" t="s">
        <v>722</v>
      </c>
      <c r="AB5" s="723"/>
      <c r="AC5" s="622"/>
      <c r="AD5" s="572"/>
      <c r="AE5" s="6"/>
      <c r="AF5" s="6"/>
      <c r="AG5" s="613"/>
      <c r="AH5" s="614"/>
      <c r="AI5" s="6"/>
      <c r="AJ5" s="719"/>
      <c r="AK5" s="613"/>
      <c r="AM5" s="572"/>
      <c r="AN5" s="6"/>
      <c r="AO5" s="6"/>
      <c r="AP5" s="50"/>
      <c r="AQ5" s="613"/>
      <c r="AR5" s="614"/>
      <c r="AS5" s="6"/>
      <c r="AT5" s="605"/>
      <c r="AU5" s="828"/>
      <c r="AV5" s="634"/>
    </row>
    <row r="6" spans="1:48" ht="80.45" customHeight="1" x14ac:dyDescent="0.25">
      <c r="A6" s="2205"/>
      <c r="B6" s="574">
        <v>2</v>
      </c>
      <c r="C6" s="595"/>
      <c r="D6" s="596"/>
      <c r="E6" s="596">
        <v>15</v>
      </c>
      <c r="F6" s="597"/>
      <c r="G6" s="684"/>
      <c r="H6" s="619"/>
      <c r="I6" s="620" t="s">
        <v>152</v>
      </c>
      <c r="J6" s="687"/>
      <c r="K6" s="622"/>
      <c r="L6" s="572"/>
      <c r="M6" s="6"/>
      <c r="N6" s="6"/>
      <c r="O6" s="613"/>
      <c r="P6" s="614"/>
      <c r="Q6" s="619"/>
      <c r="R6" s="6"/>
      <c r="S6" s="613"/>
      <c r="T6" s="622"/>
      <c r="U6" s="572">
        <v>200</v>
      </c>
      <c r="V6" s="6"/>
      <c r="W6" s="6">
        <v>20</v>
      </c>
      <c r="X6" s="613"/>
      <c r="Y6" s="981" t="s">
        <v>583</v>
      </c>
      <c r="Z6" s="6"/>
      <c r="AA6" s="698" t="s">
        <v>562</v>
      </c>
      <c r="AB6" s="613"/>
      <c r="AC6" s="622"/>
      <c r="AD6" s="572"/>
      <c r="AE6" s="6"/>
      <c r="AF6" s="6"/>
      <c r="AG6" s="613"/>
      <c r="AH6" s="614"/>
      <c r="AI6" s="6"/>
      <c r="AJ6" s="6"/>
      <c r="AK6" s="613"/>
      <c r="AM6" s="572"/>
      <c r="AN6" s="6"/>
      <c r="AO6" s="6"/>
      <c r="AP6" s="50"/>
      <c r="AQ6" s="613"/>
      <c r="AR6" s="614"/>
      <c r="AS6" s="6"/>
      <c r="AT6" s="605"/>
      <c r="AU6" s="828"/>
      <c r="AV6" s="634"/>
    </row>
    <row r="7" spans="1:48" ht="71.45" customHeight="1" x14ac:dyDescent="0.25">
      <c r="A7" s="2206">
        <v>45141</v>
      </c>
      <c r="B7" s="574">
        <v>1</v>
      </c>
      <c r="C7" s="595"/>
      <c r="D7" s="596"/>
      <c r="E7" s="596">
        <v>6</v>
      </c>
      <c r="F7" s="597"/>
      <c r="G7" s="685"/>
      <c r="H7" s="620"/>
      <c r="I7" s="620" t="s">
        <v>576</v>
      </c>
      <c r="J7" s="687"/>
      <c r="K7" s="622"/>
      <c r="L7" s="572"/>
      <c r="M7" s="614"/>
      <c r="N7" s="6"/>
      <c r="O7" s="613"/>
      <c r="P7" s="614"/>
      <c r="Q7" s="614"/>
      <c r="R7" s="6"/>
      <c r="S7" s="613"/>
      <c r="T7" s="622"/>
      <c r="U7" s="572"/>
      <c r="V7" s="6"/>
      <c r="W7" s="6"/>
      <c r="X7" s="613"/>
      <c r="Y7" s="614"/>
      <c r="Z7" s="6"/>
      <c r="AA7" s="698"/>
      <c r="AB7" s="613"/>
      <c r="AC7" s="622"/>
      <c r="AD7" s="572"/>
      <c r="AE7" s="6"/>
      <c r="AF7" s="6"/>
      <c r="AG7" s="613"/>
      <c r="AH7" s="614"/>
      <c r="AI7" s="6"/>
      <c r="AJ7" s="6"/>
      <c r="AK7" s="613"/>
      <c r="AM7" s="572"/>
      <c r="AN7" s="6"/>
      <c r="AO7" s="6"/>
      <c r="AP7" s="50"/>
      <c r="AQ7" s="613"/>
      <c r="AR7" s="614"/>
      <c r="AS7" s="6"/>
      <c r="AT7" s="620"/>
      <c r="AU7" s="692"/>
      <c r="AV7" s="634"/>
    </row>
    <row r="8" spans="1:48" ht="69.599999999999994" customHeight="1" x14ac:dyDescent="0.25">
      <c r="A8" s="2205"/>
      <c r="B8" s="574">
        <v>2</v>
      </c>
      <c r="C8" s="595"/>
      <c r="D8" s="596"/>
      <c r="E8" s="596"/>
      <c r="F8" s="597"/>
      <c r="G8" s="684"/>
      <c r="H8" s="620"/>
      <c r="I8" s="620"/>
      <c r="J8" s="635"/>
      <c r="K8" s="622"/>
      <c r="L8" s="572"/>
      <c r="M8" s="6"/>
      <c r="N8" s="6"/>
      <c r="O8" s="613"/>
      <c r="P8" s="975"/>
      <c r="Q8" s="605"/>
      <c r="R8" s="605"/>
      <c r="S8" s="635"/>
      <c r="T8" s="622"/>
      <c r="U8" s="572"/>
      <c r="V8" s="831"/>
      <c r="W8" s="614">
        <v>7</v>
      </c>
      <c r="X8" s="613"/>
      <c r="Y8" s="975"/>
      <c r="Z8" s="6"/>
      <c r="AA8" s="698" t="s">
        <v>325</v>
      </c>
      <c r="AB8" s="635"/>
      <c r="AC8" s="622"/>
      <c r="AD8" s="572">
        <v>223</v>
      </c>
      <c r="AE8" s="6"/>
      <c r="AF8" s="6">
        <v>29</v>
      </c>
      <c r="AG8" s="613"/>
      <c r="AH8" s="614" t="s">
        <v>583</v>
      </c>
      <c r="AI8" s="605"/>
      <c r="AJ8" s="620" t="s">
        <v>723</v>
      </c>
      <c r="AK8" s="635"/>
      <c r="AM8" s="572"/>
      <c r="AN8" s="6"/>
      <c r="AO8" s="6"/>
      <c r="AP8" s="50"/>
      <c r="AQ8" s="613"/>
      <c r="AR8" s="614"/>
      <c r="AS8" s="6"/>
      <c r="AT8" s="6"/>
      <c r="AU8" s="50"/>
      <c r="AV8" s="634"/>
    </row>
    <row r="9" spans="1:48" ht="76.900000000000006" customHeight="1" x14ac:dyDescent="0.25">
      <c r="A9" s="2206">
        <v>45142</v>
      </c>
      <c r="B9" s="574">
        <v>1</v>
      </c>
      <c r="C9" s="595"/>
      <c r="D9" s="596"/>
      <c r="E9" s="596"/>
      <c r="F9" s="597"/>
      <c r="G9" s="684"/>
      <c r="H9" s="619"/>
      <c r="I9" s="620"/>
      <c r="J9" s="635"/>
      <c r="K9" s="622"/>
      <c r="L9" s="572"/>
      <c r="M9" s="6"/>
      <c r="N9" s="6"/>
      <c r="O9" s="613"/>
      <c r="P9" s="975"/>
      <c r="Q9" s="620"/>
      <c r="R9" s="605"/>
      <c r="S9" s="635"/>
      <c r="T9" s="622"/>
      <c r="U9" s="572"/>
      <c r="V9" s="6"/>
      <c r="W9" s="6"/>
      <c r="X9" s="613"/>
      <c r="Y9" s="614"/>
      <c r="Z9" s="6"/>
      <c r="AA9" s="698"/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/>
      <c r="AN9" s="6"/>
      <c r="AO9" s="6"/>
      <c r="AP9" s="50"/>
      <c r="AQ9" s="613"/>
      <c r="AR9" s="614"/>
      <c r="AS9" s="6"/>
      <c r="AT9" s="605"/>
      <c r="AU9" s="828"/>
      <c r="AV9" s="634"/>
    </row>
    <row r="10" spans="1:48" ht="67.150000000000006" customHeight="1" x14ac:dyDescent="0.25">
      <c r="A10" s="2205"/>
      <c r="B10" s="574">
        <v>2</v>
      </c>
      <c r="C10" s="595"/>
      <c r="D10" s="596"/>
      <c r="E10" s="596">
        <v>5</v>
      </c>
      <c r="F10" s="597"/>
      <c r="G10" s="685"/>
      <c r="H10" s="619"/>
      <c r="I10" s="848" t="s">
        <v>152</v>
      </c>
      <c r="J10" s="635"/>
      <c r="K10" s="622"/>
      <c r="L10" s="572"/>
      <c r="M10" s="6"/>
      <c r="N10" s="6"/>
      <c r="O10" s="613"/>
      <c r="P10" s="975"/>
      <c r="Q10" s="6"/>
      <c r="R10" s="605"/>
      <c r="S10" s="635"/>
      <c r="T10" s="622"/>
      <c r="U10" s="572"/>
      <c r="V10" s="6">
        <v>164</v>
      </c>
      <c r="W10" s="6">
        <v>6</v>
      </c>
      <c r="X10" s="613"/>
      <c r="Y10" s="567"/>
      <c r="Z10" s="981" t="s">
        <v>96</v>
      </c>
      <c r="AA10" s="698" t="s">
        <v>562</v>
      </c>
      <c r="AB10" s="635"/>
      <c r="AC10" s="622"/>
      <c r="AD10" s="572"/>
      <c r="AE10" s="6"/>
      <c r="AF10" s="6"/>
      <c r="AG10" s="613"/>
      <c r="AH10" s="975"/>
      <c r="AI10" s="605"/>
      <c r="AJ10" s="6"/>
      <c r="AK10" s="635"/>
      <c r="AM10" s="572"/>
      <c r="AN10" s="6"/>
      <c r="AO10" s="6"/>
      <c r="AP10" s="50"/>
      <c r="AQ10" s="613"/>
      <c r="AR10" s="614"/>
      <c r="AS10" s="6"/>
      <c r="AT10" s="6"/>
      <c r="AU10" s="50"/>
      <c r="AV10" s="634"/>
    </row>
    <row r="11" spans="1:48" ht="60" customHeight="1" x14ac:dyDescent="0.25">
      <c r="A11" s="2206">
        <v>45143</v>
      </c>
      <c r="B11" s="574">
        <v>1</v>
      </c>
      <c r="C11" s="595"/>
      <c r="D11" s="596"/>
      <c r="E11" s="596">
        <v>21</v>
      </c>
      <c r="F11" s="597"/>
      <c r="G11" s="684"/>
      <c r="H11" s="619"/>
      <c r="I11" s="620" t="s">
        <v>724</v>
      </c>
      <c r="J11" s="687"/>
      <c r="K11" s="622"/>
      <c r="L11" s="572"/>
      <c r="M11" s="6"/>
      <c r="N11" s="6"/>
      <c r="O11" s="613"/>
      <c r="P11" s="975"/>
      <c r="Q11" s="6"/>
      <c r="R11" s="605"/>
      <c r="S11" s="613"/>
      <c r="T11" s="622"/>
      <c r="U11" s="572"/>
      <c r="V11" s="6"/>
      <c r="W11" s="6"/>
      <c r="X11" s="613"/>
      <c r="Y11" s="614"/>
      <c r="Z11" s="6"/>
      <c r="AA11" s="698"/>
      <c r="AB11" s="613"/>
      <c r="AC11" s="622"/>
      <c r="AD11" s="572"/>
      <c r="AE11" s="6"/>
      <c r="AF11" s="6"/>
      <c r="AG11" s="613"/>
      <c r="AH11" s="614"/>
      <c r="AI11" s="6"/>
      <c r="AJ11" s="6"/>
      <c r="AK11" s="613"/>
      <c r="AM11" s="572"/>
      <c r="AN11" s="6"/>
      <c r="AO11" s="6"/>
      <c r="AP11" s="50"/>
      <c r="AQ11" s="613"/>
      <c r="AR11" s="614"/>
      <c r="AS11" s="6"/>
      <c r="AT11" s="6"/>
      <c r="AU11" s="50"/>
      <c r="AV11" s="634"/>
    </row>
    <row r="12" spans="1:48" ht="55.15" customHeight="1" x14ac:dyDescent="0.25">
      <c r="A12" s="2205"/>
      <c r="B12" s="574">
        <v>2</v>
      </c>
      <c r="C12" s="595"/>
      <c r="D12" s="596"/>
      <c r="E12" s="596"/>
      <c r="F12" s="597"/>
      <c r="G12" s="685"/>
      <c r="H12" s="619"/>
      <c r="I12" s="620"/>
      <c r="J12" s="635"/>
      <c r="K12" s="622"/>
      <c r="L12" s="572"/>
      <c r="M12" s="6"/>
      <c r="N12" s="6"/>
      <c r="O12" s="613"/>
      <c r="P12" s="975"/>
      <c r="Q12" s="6"/>
      <c r="R12" s="605"/>
      <c r="S12" s="635"/>
      <c r="T12" s="622"/>
      <c r="U12" s="572"/>
      <c r="V12" s="6"/>
      <c r="W12" s="6"/>
      <c r="X12" s="613"/>
      <c r="Y12" s="614"/>
      <c r="Z12" s="6"/>
      <c r="AA12" s="698"/>
      <c r="AB12" s="635"/>
      <c r="AC12" s="622"/>
      <c r="AD12" s="572"/>
      <c r="AE12" s="6"/>
      <c r="AF12" s="6"/>
      <c r="AG12" s="613"/>
      <c r="AH12" s="614"/>
      <c r="AI12" s="605"/>
      <c r="AJ12" s="6"/>
      <c r="AK12" s="635"/>
      <c r="AM12" s="572"/>
      <c r="AN12" s="6"/>
      <c r="AO12" s="6"/>
      <c r="AP12" s="50"/>
      <c r="AQ12" s="613"/>
      <c r="AR12" s="614"/>
      <c r="AS12" s="6"/>
      <c r="AT12" s="6"/>
      <c r="AU12" s="50"/>
      <c r="AV12" s="635"/>
    </row>
    <row r="13" spans="1:48" ht="34.9" customHeight="1" x14ac:dyDescent="0.25">
      <c r="A13" s="2206">
        <v>45144</v>
      </c>
      <c r="B13" s="574">
        <v>1</v>
      </c>
      <c r="C13" s="595"/>
      <c r="D13" s="596"/>
      <c r="E13" s="596"/>
      <c r="F13" s="597"/>
      <c r="G13" s="685"/>
      <c r="H13" s="619"/>
      <c r="I13" s="620"/>
      <c r="J13" s="635"/>
      <c r="K13" s="622"/>
      <c r="L13" s="572"/>
      <c r="M13" s="6"/>
      <c r="N13" s="6"/>
      <c r="O13" s="597"/>
      <c r="P13" s="975"/>
      <c r="Q13" s="6"/>
      <c r="R13" s="605"/>
      <c r="S13" s="635"/>
      <c r="T13" s="622"/>
      <c r="U13" s="572"/>
      <c r="V13" s="6"/>
      <c r="W13" s="6"/>
      <c r="X13" s="597"/>
      <c r="Y13" s="975"/>
      <c r="Z13" s="605"/>
      <c r="AA13" s="6"/>
      <c r="AB13" s="635"/>
      <c r="AC13" s="622"/>
      <c r="AD13" s="572"/>
      <c r="AE13" s="6"/>
      <c r="AF13" s="6"/>
      <c r="AG13" s="597"/>
      <c r="AH13" s="614"/>
      <c r="AI13" s="6"/>
      <c r="AJ13" s="6"/>
      <c r="AK13" s="635"/>
      <c r="AM13" s="572"/>
      <c r="AN13" s="6"/>
      <c r="AO13" s="6"/>
      <c r="AP13" s="50"/>
      <c r="AQ13" s="597"/>
      <c r="AR13" s="614"/>
      <c r="AS13" s="6"/>
      <c r="AT13" s="6"/>
      <c r="AU13" s="50"/>
      <c r="AV13" s="635"/>
    </row>
    <row r="14" spans="1:48" ht="49.15" customHeight="1" x14ac:dyDescent="0.25">
      <c r="A14" s="2205"/>
      <c r="B14" s="574">
        <v>2</v>
      </c>
      <c r="C14" s="595"/>
      <c r="D14" s="596"/>
      <c r="E14" s="596"/>
      <c r="F14" s="597"/>
      <c r="G14" s="685"/>
      <c r="H14" s="620"/>
      <c r="I14" s="620"/>
      <c r="J14" s="635"/>
      <c r="K14" s="622"/>
      <c r="L14" s="572"/>
      <c r="M14" s="6"/>
      <c r="N14" s="6"/>
      <c r="O14" s="597"/>
      <c r="P14" s="614"/>
      <c r="Q14" s="6"/>
      <c r="R14" s="6"/>
      <c r="S14" s="635"/>
      <c r="T14" s="622"/>
      <c r="U14" s="572"/>
      <c r="V14" s="6"/>
      <c r="W14" s="6"/>
      <c r="X14" s="597"/>
      <c r="Y14" s="975"/>
      <c r="Z14" s="605"/>
      <c r="AA14" s="605"/>
      <c r="AB14" s="635"/>
      <c r="AC14" s="622"/>
      <c r="AD14" s="572"/>
      <c r="AE14" s="6"/>
      <c r="AF14" s="6"/>
      <c r="AG14" s="597"/>
      <c r="AH14" s="975"/>
      <c r="AI14" s="6"/>
      <c r="AJ14" s="6"/>
      <c r="AK14" s="635"/>
      <c r="AM14" s="572"/>
      <c r="AN14" s="6"/>
      <c r="AO14" s="6"/>
      <c r="AP14" s="50"/>
      <c r="AQ14" s="597"/>
      <c r="AR14" s="975"/>
      <c r="AS14" s="6"/>
      <c r="AT14" s="6"/>
      <c r="AU14" s="50"/>
      <c r="AV14" s="635"/>
    </row>
    <row r="15" spans="1:48" ht="48" customHeight="1" x14ac:dyDescent="0.25">
      <c r="A15" s="2206">
        <v>45145</v>
      </c>
      <c r="B15" s="574">
        <v>1</v>
      </c>
      <c r="C15" s="595"/>
      <c r="D15" s="596">
        <v>129</v>
      </c>
      <c r="E15" s="6"/>
      <c r="F15" s="597">
        <v>180</v>
      </c>
      <c r="G15" s="685"/>
      <c r="H15" s="620" t="s">
        <v>726</v>
      </c>
      <c r="I15" s="620"/>
      <c r="J15" s="635" t="s">
        <v>725</v>
      </c>
      <c r="K15" s="622"/>
      <c r="L15" s="572"/>
      <c r="M15" s="6"/>
      <c r="N15" s="6"/>
      <c r="O15" s="597">
        <v>180</v>
      </c>
      <c r="P15" s="685"/>
      <c r="Q15" s="620"/>
      <c r="R15" s="620"/>
      <c r="S15" s="635" t="s">
        <v>725</v>
      </c>
      <c r="T15" s="622"/>
      <c r="U15" s="572"/>
      <c r="V15" s="6"/>
      <c r="W15" s="6"/>
      <c r="X15" s="597">
        <v>180</v>
      </c>
      <c r="Y15" s="685"/>
      <c r="Z15" s="620"/>
      <c r="AA15" s="620"/>
      <c r="AB15" s="635" t="s">
        <v>725</v>
      </c>
      <c r="AC15" s="622"/>
      <c r="AD15" s="572"/>
      <c r="AE15" s="6"/>
      <c r="AF15" s="622"/>
      <c r="AG15" s="597">
        <v>180</v>
      </c>
      <c r="AH15" s="685"/>
      <c r="AI15" s="620"/>
      <c r="AJ15" s="620"/>
      <c r="AK15" s="635" t="s">
        <v>725</v>
      </c>
      <c r="AM15" s="572"/>
      <c r="AN15" s="6"/>
      <c r="AO15" s="622"/>
      <c r="AP15" s="597">
        <v>180</v>
      </c>
      <c r="AQ15" s="685"/>
      <c r="AR15" s="620"/>
      <c r="AS15" s="620"/>
      <c r="AT15" s="620"/>
      <c r="AU15" s="635" t="s">
        <v>725</v>
      </c>
      <c r="AV15" s="635"/>
    </row>
    <row r="16" spans="1:48" ht="54.6" customHeight="1" x14ac:dyDescent="0.25">
      <c r="A16" s="2205"/>
      <c r="B16" s="574">
        <v>2</v>
      </c>
      <c r="C16" s="595"/>
      <c r="D16" s="596"/>
      <c r="E16" s="596">
        <v>32</v>
      </c>
      <c r="F16" s="597"/>
      <c r="G16" s="684"/>
      <c r="H16" s="830"/>
      <c r="I16" s="848" t="s">
        <v>727</v>
      </c>
      <c r="J16" s="635"/>
      <c r="K16" s="622"/>
      <c r="L16" s="572"/>
      <c r="M16" s="6"/>
      <c r="N16" s="6"/>
      <c r="O16" s="597"/>
      <c r="P16" s="684"/>
      <c r="Q16" s="830"/>
      <c r="R16" s="620"/>
      <c r="S16" s="635"/>
      <c r="T16" s="622"/>
      <c r="U16" s="572"/>
      <c r="V16" s="6"/>
      <c r="W16" s="6">
        <v>10</v>
      </c>
      <c r="X16" s="597"/>
      <c r="Y16" s="684"/>
      <c r="Z16" s="830"/>
      <c r="AA16" s="620" t="s">
        <v>152</v>
      </c>
      <c r="AB16" s="635"/>
      <c r="AC16" s="622"/>
      <c r="AD16" s="572"/>
      <c r="AE16" s="6"/>
      <c r="AF16" s="6"/>
      <c r="AG16" s="597"/>
      <c r="AH16" s="684"/>
      <c r="AI16" s="830"/>
      <c r="AJ16" s="6"/>
      <c r="AK16" s="635"/>
      <c r="AM16" s="572">
        <v>390</v>
      </c>
      <c r="AN16" s="6"/>
      <c r="AO16" s="6">
        <v>27</v>
      </c>
      <c r="AP16" s="597"/>
      <c r="AQ16" s="684" t="s">
        <v>583</v>
      </c>
      <c r="AR16" s="830"/>
      <c r="AS16" s="620"/>
      <c r="AT16" s="620" t="s">
        <v>723</v>
      </c>
      <c r="AU16" s="692"/>
      <c r="AV16" s="635"/>
    </row>
    <row r="17" spans="1:48" ht="66" customHeight="1" x14ac:dyDescent="0.25">
      <c r="A17" s="2206">
        <v>45146</v>
      </c>
      <c r="B17" s="644">
        <v>1</v>
      </c>
      <c r="C17" s="595"/>
      <c r="D17" s="596"/>
      <c r="E17" s="596"/>
      <c r="F17" s="597">
        <v>108</v>
      </c>
      <c r="G17" s="685"/>
      <c r="H17" s="619"/>
      <c r="I17" s="620"/>
      <c r="J17" s="635" t="s">
        <v>728</v>
      </c>
      <c r="K17" s="622"/>
      <c r="L17" s="572"/>
      <c r="M17" s="6"/>
      <c r="N17" s="6"/>
      <c r="O17" s="597">
        <v>108</v>
      </c>
      <c r="P17" s="685"/>
      <c r="Q17" s="619"/>
      <c r="R17" s="620"/>
      <c r="S17" s="635" t="s">
        <v>728</v>
      </c>
      <c r="T17" s="622"/>
      <c r="U17" s="572"/>
      <c r="V17" s="6"/>
      <c r="W17" s="6"/>
      <c r="X17" s="597">
        <v>108</v>
      </c>
      <c r="Y17" s="685"/>
      <c r="Z17" s="619"/>
      <c r="AA17" s="620"/>
      <c r="AB17" s="635" t="s">
        <v>728</v>
      </c>
      <c r="AC17" s="622"/>
      <c r="AD17" s="572"/>
      <c r="AE17" s="6"/>
      <c r="AF17" s="6"/>
      <c r="AG17" s="597">
        <v>108</v>
      </c>
      <c r="AH17" s="685"/>
      <c r="AI17" s="619"/>
      <c r="AJ17" s="620"/>
      <c r="AK17" s="635" t="s">
        <v>728</v>
      </c>
      <c r="AM17" s="572"/>
      <c r="AN17" s="6"/>
      <c r="AO17" s="6"/>
      <c r="AP17" s="597">
        <v>108</v>
      </c>
      <c r="AQ17" s="685"/>
      <c r="AR17" s="619"/>
      <c r="AS17" s="620"/>
      <c r="AT17" s="620"/>
      <c r="AU17" s="635" t="s">
        <v>728</v>
      </c>
      <c r="AV17" s="635"/>
    </row>
    <row r="18" spans="1:48" ht="49.9" customHeight="1" x14ac:dyDescent="0.25">
      <c r="A18" s="2205"/>
      <c r="B18" s="574">
        <v>2</v>
      </c>
      <c r="C18" s="595"/>
      <c r="D18" s="596"/>
      <c r="E18" s="596">
        <v>56</v>
      </c>
      <c r="F18" s="597"/>
      <c r="G18" s="684"/>
      <c r="H18" s="830"/>
      <c r="I18" s="620" t="s">
        <v>152</v>
      </c>
      <c r="J18" s="635"/>
      <c r="K18" s="622"/>
      <c r="L18" s="572"/>
      <c r="M18" s="6"/>
      <c r="N18" s="6"/>
      <c r="O18" s="597"/>
      <c r="P18" s="684"/>
      <c r="Q18" s="620"/>
      <c r="R18" s="619"/>
      <c r="S18" s="635"/>
      <c r="T18" s="622"/>
      <c r="U18" s="572"/>
      <c r="V18" s="6"/>
      <c r="W18" s="6">
        <v>28</v>
      </c>
      <c r="X18" s="597"/>
      <c r="Y18" s="684"/>
      <c r="Z18" s="620"/>
      <c r="AA18" s="620" t="s">
        <v>152</v>
      </c>
      <c r="AB18" s="635"/>
      <c r="AC18" s="622"/>
      <c r="AD18" s="572"/>
      <c r="AE18" s="6"/>
      <c r="AF18" s="6"/>
      <c r="AG18" s="597"/>
      <c r="AH18" s="684"/>
      <c r="AI18" s="620"/>
      <c r="AJ18" s="619"/>
      <c r="AK18" s="635"/>
      <c r="AM18" s="572"/>
      <c r="AN18" s="6"/>
      <c r="AO18" s="6"/>
      <c r="AP18" s="50"/>
      <c r="AQ18" s="597"/>
      <c r="AR18" s="684"/>
      <c r="AS18" s="620"/>
      <c r="AT18" s="620"/>
      <c r="AU18" s="830"/>
      <c r="AV18" s="635"/>
    </row>
    <row r="19" spans="1:48" ht="33.6" customHeight="1" x14ac:dyDescent="0.25">
      <c r="A19" s="2206">
        <v>45147</v>
      </c>
      <c r="B19" s="574">
        <v>1</v>
      </c>
      <c r="C19" s="622"/>
      <c r="D19" s="596"/>
      <c r="E19" s="596">
        <v>12</v>
      </c>
      <c r="F19" s="597"/>
      <c r="G19" s="567"/>
      <c r="H19" s="6"/>
      <c r="I19" s="620" t="s">
        <v>152</v>
      </c>
      <c r="J19" s="635"/>
      <c r="K19" s="622"/>
      <c r="L19" s="572"/>
      <c r="M19" s="6"/>
      <c r="N19" s="6"/>
      <c r="O19" s="597"/>
      <c r="P19" s="572"/>
      <c r="Q19" s="6"/>
      <c r="R19" s="6"/>
      <c r="S19" s="635"/>
      <c r="T19" s="622"/>
      <c r="U19" s="572"/>
      <c r="V19" s="6"/>
      <c r="W19" s="6">
        <v>30</v>
      </c>
      <c r="X19" s="597"/>
      <c r="Y19" s="572"/>
      <c r="Z19" s="605"/>
      <c r="AA19" s="620" t="s">
        <v>152</v>
      </c>
      <c r="AB19" s="635"/>
      <c r="AC19" s="622"/>
      <c r="AD19" s="572"/>
      <c r="AE19" s="6"/>
      <c r="AF19" s="6">
        <v>10</v>
      </c>
      <c r="AG19" s="597"/>
      <c r="AH19" s="572"/>
      <c r="AI19" s="6"/>
      <c r="AJ19" s="6" t="s">
        <v>152</v>
      </c>
      <c r="AK19" s="635"/>
      <c r="AM19" s="572"/>
      <c r="AN19" s="6"/>
      <c r="AO19" s="6"/>
      <c r="AP19" s="50"/>
      <c r="AQ19" s="597"/>
      <c r="AR19" s="572"/>
      <c r="AS19" s="6"/>
      <c r="AT19" s="620"/>
      <c r="AU19" s="828"/>
      <c r="AV19" s="635"/>
    </row>
    <row r="20" spans="1:48" ht="31.15" customHeight="1" x14ac:dyDescent="0.25">
      <c r="A20" s="2205"/>
      <c r="B20" s="574">
        <v>2</v>
      </c>
      <c r="C20" s="595"/>
      <c r="D20" s="596"/>
      <c r="E20" s="596">
        <v>18</v>
      </c>
      <c r="F20" s="597"/>
      <c r="G20" s="567"/>
      <c r="H20" s="605"/>
      <c r="I20" s="620" t="s">
        <v>152</v>
      </c>
      <c r="J20" s="635"/>
      <c r="K20" s="622"/>
      <c r="L20" s="572"/>
      <c r="M20" s="6"/>
      <c r="N20" s="6"/>
      <c r="O20" s="597"/>
      <c r="P20" s="572"/>
      <c r="Q20" s="605"/>
      <c r="R20" s="724"/>
      <c r="S20" s="635"/>
      <c r="T20" s="622"/>
      <c r="U20" s="572"/>
      <c r="V20" s="250"/>
      <c r="W20" s="6"/>
      <c r="X20" s="597"/>
      <c r="Y20" s="572"/>
      <c r="Z20" s="605"/>
      <c r="AA20" s="724"/>
      <c r="AB20" s="635"/>
      <c r="AC20" s="622"/>
      <c r="AD20" s="572"/>
      <c r="AE20" s="6"/>
      <c r="AF20" s="6"/>
      <c r="AG20" s="597"/>
      <c r="AH20" s="572"/>
      <c r="AI20" s="605"/>
      <c r="AJ20" s="762"/>
      <c r="AK20" s="635"/>
      <c r="AM20" s="572"/>
      <c r="AN20" s="6"/>
      <c r="AO20" s="6"/>
      <c r="AP20" s="50"/>
      <c r="AQ20" s="597"/>
      <c r="AR20" s="572"/>
      <c r="AS20" s="605"/>
      <c r="AT20" s="605"/>
      <c r="AU20" s="69"/>
      <c r="AV20" s="635"/>
    </row>
    <row r="21" spans="1:48" ht="39.6" customHeight="1" x14ac:dyDescent="0.25">
      <c r="A21" s="2206">
        <v>45148</v>
      </c>
      <c r="B21" s="574">
        <v>1</v>
      </c>
      <c r="C21" s="595"/>
      <c r="D21" s="596"/>
      <c r="E21" s="596"/>
      <c r="F21" s="597"/>
      <c r="G21" s="688"/>
      <c r="H21" s="619"/>
      <c r="I21" s="848"/>
      <c r="J21" s="635"/>
      <c r="K21" s="622"/>
      <c r="L21" s="572"/>
      <c r="M21" s="6"/>
      <c r="N21" s="6"/>
      <c r="O21" s="597"/>
      <c r="P21" s="572"/>
      <c r="Q21" s="6"/>
      <c r="R21" s="6"/>
      <c r="S21" s="635"/>
      <c r="T21" s="622"/>
      <c r="U21" s="572"/>
      <c r="V21" s="6"/>
      <c r="W21" s="6"/>
      <c r="X21" s="597"/>
      <c r="Y21" s="572"/>
      <c r="Z21" s="6"/>
      <c r="AA21" s="605"/>
      <c r="AB21" s="635"/>
      <c r="AC21" s="622"/>
      <c r="AD21" s="572"/>
      <c r="AE21" s="6"/>
      <c r="AF21" s="6"/>
      <c r="AG21" s="597"/>
      <c r="AH21" s="572"/>
      <c r="AI21" s="6"/>
      <c r="AJ21" s="6"/>
      <c r="AK21" s="726"/>
      <c r="AM21" s="572"/>
      <c r="AN21" s="6"/>
      <c r="AO21" s="6"/>
      <c r="AP21" s="50"/>
      <c r="AQ21" s="597"/>
      <c r="AR21" s="572"/>
      <c r="AS21" s="605"/>
      <c r="AT21" s="50"/>
      <c r="AU21" s="50"/>
      <c r="AV21" s="635"/>
    </row>
    <row r="22" spans="1:48" ht="31.9" customHeight="1" x14ac:dyDescent="0.25">
      <c r="A22" s="2205"/>
      <c r="B22" s="574">
        <v>2</v>
      </c>
      <c r="C22" s="595"/>
      <c r="D22" s="596"/>
      <c r="E22" s="596">
        <v>18</v>
      </c>
      <c r="F22" s="597"/>
      <c r="G22" s="973"/>
      <c r="H22" s="620"/>
      <c r="I22" s="620" t="s">
        <v>152</v>
      </c>
      <c r="J22" s="635"/>
      <c r="K22" s="622"/>
      <c r="L22" s="572"/>
      <c r="M22" s="6"/>
      <c r="N22" s="6"/>
      <c r="O22" s="597"/>
      <c r="P22" s="975"/>
      <c r="Q22" s="6"/>
      <c r="R22" s="6"/>
      <c r="S22" s="635"/>
      <c r="T22" s="622"/>
      <c r="U22" s="572"/>
      <c r="V22" s="6"/>
      <c r="W22" s="6">
        <v>20</v>
      </c>
      <c r="X22" s="597"/>
      <c r="Y22" s="567"/>
      <c r="Z22" s="6"/>
      <c r="AA22" s="605" t="s">
        <v>152</v>
      </c>
      <c r="AB22" s="635"/>
      <c r="AC22" s="622"/>
      <c r="AD22" s="572"/>
      <c r="AE22" s="6"/>
      <c r="AF22" s="6"/>
      <c r="AG22" s="597"/>
      <c r="AH22" s="567"/>
      <c r="AI22" s="6"/>
      <c r="AJ22" s="6"/>
      <c r="AK22" s="726"/>
      <c r="AM22" s="572"/>
      <c r="AN22" s="6">
        <v>50</v>
      </c>
      <c r="AO22" s="6"/>
      <c r="AP22" s="50"/>
      <c r="AQ22" s="597"/>
      <c r="AR22" s="572"/>
      <c r="AS22" s="605" t="s">
        <v>334</v>
      </c>
      <c r="AT22" s="50"/>
      <c r="AU22" s="50"/>
      <c r="AV22" s="635"/>
    </row>
    <row r="23" spans="1:48" ht="47.45" customHeight="1" x14ac:dyDescent="0.25">
      <c r="A23" s="2206">
        <v>45149</v>
      </c>
      <c r="B23" s="644">
        <v>1</v>
      </c>
      <c r="C23" s="595"/>
      <c r="D23" s="596"/>
      <c r="E23" s="596"/>
      <c r="F23" s="597"/>
      <c r="G23" s="685"/>
      <c r="H23" s="619"/>
      <c r="I23" s="620"/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/>
      <c r="V23" s="6"/>
      <c r="W23" s="6"/>
      <c r="X23" s="597"/>
      <c r="Y23" s="567"/>
      <c r="Z23" s="619"/>
      <c r="AA23" s="620"/>
      <c r="AB23" s="635"/>
      <c r="AC23" s="622"/>
      <c r="AD23" s="572"/>
      <c r="AE23" s="6"/>
      <c r="AF23" s="6"/>
      <c r="AG23" s="597"/>
      <c r="AH23" s="6"/>
      <c r="AI23" s="619"/>
      <c r="AJ23" s="620"/>
      <c r="AK23" s="726"/>
      <c r="AM23" s="572"/>
      <c r="AN23" s="6"/>
      <c r="AO23" s="6"/>
      <c r="AP23" s="50"/>
      <c r="AQ23" s="597"/>
      <c r="AR23" s="6"/>
      <c r="AS23" s="619"/>
      <c r="AT23" s="692"/>
      <c r="AU23" s="692"/>
      <c r="AV23" s="635"/>
    </row>
    <row r="24" spans="1:48" ht="49.9" customHeight="1" x14ac:dyDescent="0.25">
      <c r="A24" s="2205"/>
      <c r="B24" s="574">
        <v>2</v>
      </c>
      <c r="C24" s="595"/>
      <c r="D24" s="596"/>
      <c r="E24" s="596"/>
      <c r="F24" s="597">
        <v>77</v>
      </c>
      <c r="G24" s="685"/>
      <c r="H24" s="619"/>
      <c r="I24" s="620"/>
      <c r="J24" s="635" t="s">
        <v>728</v>
      </c>
      <c r="K24" s="622"/>
      <c r="L24" s="572"/>
      <c r="M24" s="6"/>
      <c r="N24" s="6"/>
      <c r="O24" s="597">
        <v>77</v>
      </c>
      <c r="P24" s="685"/>
      <c r="Q24" s="619"/>
      <c r="R24" s="620"/>
      <c r="S24" s="635" t="s">
        <v>728</v>
      </c>
      <c r="T24" s="622"/>
      <c r="U24" s="572"/>
      <c r="V24" s="6"/>
      <c r="W24" s="6"/>
      <c r="X24" s="597">
        <v>77</v>
      </c>
      <c r="Y24" s="685"/>
      <c r="Z24" s="619"/>
      <c r="AA24" s="620"/>
      <c r="AB24" s="635" t="s">
        <v>728</v>
      </c>
      <c r="AC24" s="622"/>
      <c r="AD24" s="572"/>
      <c r="AE24" s="6"/>
      <c r="AF24" s="6"/>
      <c r="AG24" s="597">
        <v>77</v>
      </c>
      <c r="AH24" s="685"/>
      <c r="AI24" s="619"/>
      <c r="AJ24" s="620"/>
      <c r="AK24" s="635" t="s">
        <v>728</v>
      </c>
      <c r="AM24" s="572"/>
      <c r="AN24" s="6"/>
      <c r="AO24" s="6"/>
      <c r="AP24" s="597">
        <v>77</v>
      </c>
      <c r="AQ24" s="685"/>
      <c r="AR24" s="619"/>
      <c r="AS24" s="620"/>
      <c r="AT24" s="635"/>
      <c r="AU24" s="635" t="s">
        <v>728</v>
      </c>
      <c r="AV24" s="635"/>
    </row>
    <row r="25" spans="1:48" ht="46.15" customHeight="1" x14ac:dyDescent="0.25">
      <c r="A25" s="2206">
        <v>45150</v>
      </c>
      <c r="B25" s="574">
        <v>1</v>
      </c>
      <c r="C25" s="595"/>
      <c r="D25" s="596"/>
      <c r="E25" s="596">
        <f>8+13+10</f>
        <v>31</v>
      </c>
      <c r="F25" s="597"/>
      <c r="G25" s="685"/>
      <c r="H25" s="619"/>
      <c r="I25" s="620" t="s">
        <v>152</v>
      </c>
      <c r="J25" s="635"/>
      <c r="K25" s="622"/>
      <c r="L25" s="572"/>
      <c r="M25" s="6"/>
      <c r="N25" s="6"/>
      <c r="O25" s="597"/>
      <c r="P25" s="572"/>
      <c r="Q25" s="619"/>
      <c r="R25" s="6"/>
      <c r="S25" s="635"/>
      <c r="T25" s="622"/>
      <c r="U25" s="572"/>
      <c r="V25" s="6"/>
      <c r="W25" s="6">
        <v>22</v>
      </c>
      <c r="X25" s="597"/>
      <c r="Y25" s="567"/>
      <c r="Z25" s="605"/>
      <c r="AA25" s="605" t="s">
        <v>152</v>
      </c>
      <c r="AB25" s="635"/>
      <c r="AC25" s="622"/>
      <c r="AD25" s="572"/>
      <c r="AE25" s="6"/>
      <c r="AF25" s="6">
        <v>43</v>
      </c>
      <c r="AG25" s="597"/>
      <c r="AH25" s="6"/>
      <c r="AI25" s="6"/>
      <c r="AJ25" s="6" t="s">
        <v>729</v>
      </c>
      <c r="AK25" s="726"/>
      <c r="AM25" s="572"/>
      <c r="AN25" s="6"/>
      <c r="AO25" s="6"/>
      <c r="AP25" s="50"/>
      <c r="AQ25" s="597"/>
      <c r="AR25" s="6"/>
      <c r="AS25" s="6"/>
      <c r="AT25" s="50"/>
      <c r="AU25" s="50"/>
      <c r="AV25" s="635"/>
    </row>
    <row r="26" spans="1:48" ht="42" customHeight="1" x14ac:dyDescent="0.25">
      <c r="A26" s="2205"/>
      <c r="B26" s="574">
        <v>2</v>
      </c>
      <c r="C26" s="595"/>
      <c r="D26" s="596"/>
      <c r="E26" s="596"/>
      <c r="F26" s="597"/>
      <c r="G26" s="685"/>
      <c r="H26" s="620"/>
      <c r="I26" s="692"/>
      <c r="J26" s="635"/>
      <c r="K26" s="622"/>
      <c r="L26" s="572"/>
      <c r="M26" s="6"/>
      <c r="N26" s="6"/>
      <c r="O26" s="597"/>
      <c r="P26" s="685"/>
      <c r="Q26" s="620"/>
      <c r="R26" s="692"/>
      <c r="S26" s="635"/>
      <c r="T26" s="622"/>
      <c r="U26" s="572"/>
      <c r="V26" s="596"/>
      <c r="W26" s="6"/>
      <c r="X26" s="597"/>
      <c r="Y26" s="685"/>
      <c r="Z26" s="620"/>
      <c r="AA26" s="692"/>
      <c r="AB26" s="635"/>
      <c r="AC26" s="622"/>
      <c r="AD26" s="572"/>
      <c r="AE26" s="596"/>
      <c r="AF26" s="6"/>
      <c r="AG26" s="597"/>
      <c r="AH26" s="685"/>
      <c r="AI26" s="620"/>
      <c r="AJ26" s="692"/>
      <c r="AK26" s="635"/>
      <c r="AM26" s="572"/>
      <c r="AN26" s="596"/>
      <c r="AO26" s="6"/>
      <c r="AP26" s="967"/>
      <c r="AQ26" s="597"/>
      <c r="AR26" s="685"/>
      <c r="AS26" s="620"/>
      <c r="AT26" s="692"/>
      <c r="AU26" s="635"/>
      <c r="AV26" s="635"/>
    </row>
    <row r="27" spans="1:48" ht="49.9" customHeight="1" x14ac:dyDescent="0.25">
      <c r="A27" s="2206">
        <v>45151</v>
      </c>
      <c r="B27" s="644">
        <v>1</v>
      </c>
      <c r="C27" s="595"/>
      <c r="D27" s="596"/>
      <c r="E27" s="596"/>
      <c r="F27" s="597"/>
      <c r="G27" s="685"/>
      <c r="H27" s="619"/>
      <c r="I27" s="692"/>
      <c r="J27" s="635"/>
      <c r="K27" s="622"/>
      <c r="L27" s="572"/>
      <c r="M27" s="6"/>
      <c r="N27" s="6"/>
      <c r="O27" s="597"/>
      <c r="P27" s="685"/>
      <c r="Q27" s="619"/>
      <c r="R27" s="620"/>
      <c r="S27" s="635"/>
      <c r="T27" s="622"/>
      <c r="U27" s="572"/>
      <c r="V27" s="6"/>
      <c r="W27" s="6"/>
      <c r="X27" s="597"/>
      <c r="Y27" s="685"/>
      <c r="Z27" s="619"/>
      <c r="AA27" s="620"/>
      <c r="AB27" s="635"/>
      <c r="AC27" s="622"/>
      <c r="AD27" s="572"/>
      <c r="AE27" s="6"/>
      <c r="AF27" s="6">
        <v>45</v>
      </c>
      <c r="AG27" s="597"/>
      <c r="AH27" s="6"/>
      <c r="AI27" s="6"/>
      <c r="AJ27" s="620" t="s">
        <v>730</v>
      </c>
      <c r="AK27" s="635"/>
      <c r="AM27" s="572"/>
      <c r="AN27" s="6"/>
      <c r="AO27" s="6"/>
      <c r="AP27" s="50"/>
      <c r="AQ27" s="597"/>
      <c r="AR27" s="6"/>
      <c r="AS27" s="6"/>
      <c r="AT27" s="692"/>
      <c r="AU27" s="635"/>
      <c r="AV27" s="635"/>
    </row>
    <row r="28" spans="1:48" ht="49.15" customHeight="1" x14ac:dyDescent="0.25">
      <c r="A28" s="2205"/>
      <c r="B28" s="574">
        <v>2</v>
      </c>
      <c r="C28" s="595">
        <v>111</v>
      </c>
      <c r="D28" s="596"/>
      <c r="E28" s="596"/>
      <c r="F28" s="597"/>
      <c r="G28" s="620" t="s">
        <v>731</v>
      </c>
      <c r="H28" s="620"/>
      <c r="I28" s="620"/>
      <c r="J28" s="635"/>
      <c r="K28" s="622"/>
      <c r="L28" s="572"/>
      <c r="M28" s="6"/>
      <c r="N28" s="6"/>
      <c r="O28" s="597"/>
      <c r="P28" s="620"/>
      <c r="Q28" s="620"/>
      <c r="R28" s="620"/>
      <c r="S28" s="635"/>
      <c r="T28" s="622"/>
      <c r="U28" s="572"/>
      <c r="V28" s="6"/>
      <c r="W28" s="622">
        <v>33</v>
      </c>
      <c r="X28" s="597"/>
      <c r="Y28" s="620"/>
      <c r="Z28" s="6"/>
      <c r="AA28" s="692" t="s">
        <v>655</v>
      </c>
      <c r="AB28" s="635"/>
      <c r="AC28" s="622"/>
      <c r="AD28" s="572"/>
      <c r="AE28" s="6"/>
      <c r="AF28" s="6"/>
      <c r="AG28" s="597"/>
      <c r="AH28" s="605"/>
      <c r="AI28" s="6"/>
      <c r="AJ28" s="692"/>
      <c r="AK28" s="635"/>
      <c r="AM28" s="572"/>
      <c r="AN28" s="6"/>
      <c r="AO28" s="6"/>
      <c r="AP28" s="50"/>
      <c r="AQ28" s="597"/>
      <c r="AR28" s="605"/>
      <c r="AS28" s="6"/>
      <c r="AT28" s="692"/>
      <c r="AU28" s="635"/>
      <c r="AV28" s="634"/>
    </row>
    <row r="29" spans="1:48" ht="45" customHeight="1" x14ac:dyDescent="0.25">
      <c r="A29" s="2206">
        <v>45152</v>
      </c>
      <c r="B29" s="574">
        <v>1</v>
      </c>
      <c r="C29" s="595"/>
      <c r="D29" s="596"/>
      <c r="E29" s="596">
        <v>22</v>
      </c>
      <c r="F29" s="597"/>
      <c r="G29" s="620"/>
      <c r="H29" s="619"/>
      <c r="I29" s="692" t="s">
        <v>152</v>
      </c>
      <c r="J29" s="635"/>
      <c r="K29" s="622"/>
      <c r="L29" s="572"/>
      <c r="M29" s="6"/>
      <c r="N29" s="6"/>
      <c r="O29" s="597"/>
      <c r="P29" s="685"/>
      <c r="Q29" s="619"/>
      <c r="R29" s="620"/>
      <c r="S29" s="635"/>
      <c r="T29" s="622"/>
      <c r="U29" s="572"/>
      <c r="V29" s="6"/>
      <c r="W29" s="6"/>
      <c r="X29" s="597"/>
      <c r="Y29" s="685"/>
      <c r="Z29" s="619"/>
      <c r="AA29" s="692"/>
      <c r="AB29" s="635"/>
      <c r="AC29" s="622"/>
      <c r="AD29" s="572"/>
      <c r="AE29" s="6"/>
      <c r="AF29" s="6"/>
      <c r="AG29" s="597"/>
      <c r="AH29" s="685"/>
      <c r="AI29" s="619"/>
      <c r="AJ29" s="620"/>
      <c r="AK29" s="635"/>
      <c r="AM29" s="572"/>
      <c r="AN29" s="6"/>
      <c r="AO29" s="6"/>
      <c r="AP29" s="50"/>
      <c r="AQ29" s="597"/>
      <c r="AR29" s="685"/>
      <c r="AS29" s="619"/>
      <c r="AT29" s="620"/>
      <c r="AU29" s="635"/>
      <c r="AV29" s="613"/>
    </row>
    <row r="30" spans="1:48" ht="39.6" customHeight="1" x14ac:dyDescent="0.25">
      <c r="A30" s="2205"/>
      <c r="B30" s="644">
        <v>2</v>
      </c>
      <c r="C30" s="595"/>
      <c r="D30" s="596"/>
      <c r="E30" s="596"/>
      <c r="F30" s="597"/>
      <c r="G30" s="685"/>
      <c r="H30" s="619"/>
      <c r="I30" s="620"/>
      <c r="J30" s="635"/>
      <c r="K30" s="622"/>
      <c r="L30" s="572"/>
      <c r="M30" s="6"/>
      <c r="N30" s="6"/>
      <c r="O30" s="597"/>
      <c r="P30" s="685"/>
      <c r="Q30" s="620"/>
      <c r="R30" s="620"/>
      <c r="S30" s="635"/>
      <c r="T30" s="622"/>
      <c r="U30" s="572"/>
      <c r="V30" s="6"/>
      <c r="W30" s="6"/>
      <c r="X30" s="597"/>
      <c r="Y30" s="685"/>
      <c r="Z30" s="619"/>
      <c r="AA30" s="620"/>
      <c r="AB30" s="635"/>
      <c r="AC30" s="622"/>
      <c r="AD30" s="572"/>
      <c r="AE30" s="6"/>
      <c r="AF30" s="6"/>
      <c r="AG30" s="597"/>
      <c r="AH30" s="684"/>
      <c r="AI30" s="619"/>
      <c r="AJ30" s="620"/>
      <c r="AK30" s="635"/>
      <c r="AM30" s="572"/>
      <c r="AN30" s="6"/>
      <c r="AO30" s="6"/>
      <c r="AP30" s="50"/>
      <c r="AQ30" s="597"/>
      <c r="AR30" s="614"/>
      <c r="AS30" s="605"/>
      <c r="AT30" s="828"/>
      <c r="AU30" s="635"/>
      <c r="AV30" s="613"/>
    </row>
    <row r="31" spans="1:48" ht="39.6" customHeight="1" x14ac:dyDescent="0.25">
      <c r="A31" s="2206">
        <v>45153</v>
      </c>
      <c r="B31" s="574">
        <v>1</v>
      </c>
      <c r="C31" s="595"/>
      <c r="D31" s="596"/>
      <c r="E31" s="596"/>
      <c r="F31" s="597"/>
      <c r="G31" s="685"/>
      <c r="H31" s="619"/>
      <c r="I31" s="620"/>
      <c r="J31" s="635"/>
      <c r="K31" s="622"/>
      <c r="L31" s="572"/>
      <c r="M31" s="6"/>
      <c r="N31" s="6"/>
      <c r="O31" s="597"/>
      <c r="P31" s="614"/>
      <c r="Q31" s="6"/>
      <c r="R31" s="6"/>
      <c r="S31" s="635"/>
      <c r="T31" s="622"/>
      <c r="U31" s="572"/>
      <c r="V31" s="6"/>
      <c r="W31" s="6"/>
      <c r="X31" s="597"/>
      <c r="Y31" s="975"/>
      <c r="Z31" s="6"/>
      <c r="AA31" s="6"/>
      <c r="AB31" s="635"/>
      <c r="AC31" s="622"/>
      <c r="AD31" s="572"/>
      <c r="AE31" s="6"/>
      <c r="AF31" s="6"/>
      <c r="AG31" s="597"/>
      <c r="AH31" s="614"/>
      <c r="AI31" s="6"/>
      <c r="AJ31" s="6"/>
      <c r="AK31" s="635"/>
      <c r="AM31" s="572"/>
      <c r="AN31" s="6"/>
      <c r="AO31" s="6"/>
      <c r="AP31" s="50"/>
      <c r="AQ31" s="597"/>
      <c r="AR31" s="614"/>
      <c r="AS31" s="6"/>
      <c r="AT31" s="6"/>
      <c r="AU31" s="635"/>
      <c r="AV31" s="635"/>
    </row>
    <row r="32" spans="1:48" ht="63" customHeight="1" x14ac:dyDescent="0.25">
      <c r="A32" s="2205"/>
      <c r="B32" s="574">
        <v>2</v>
      </c>
      <c r="C32" s="595"/>
      <c r="D32" s="596"/>
      <c r="E32" s="596">
        <v>16</v>
      </c>
      <c r="F32" s="597"/>
      <c r="G32" s="685"/>
      <c r="H32" s="685"/>
      <c r="I32" s="692" t="s">
        <v>152</v>
      </c>
      <c r="J32" s="635"/>
      <c r="K32" s="622"/>
      <c r="L32" s="572"/>
      <c r="M32" s="6"/>
      <c r="N32" s="6"/>
      <c r="O32" s="597"/>
      <c r="P32" s="614"/>
      <c r="Q32" s="6"/>
      <c r="R32" s="6"/>
      <c r="S32" s="635"/>
      <c r="T32" s="622"/>
      <c r="U32" s="572"/>
      <c r="V32" s="6"/>
      <c r="W32" s="596"/>
      <c r="X32" s="597"/>
      <c r="Y32" s="685"/>
      <c r="Z32" s="685"/>
      <c r="AA32" s="684"/>
      <c r="AB32" s="635"/>
      <c r="AC32" s="622"/>
      <c r="AD32" s="572"/>
      <c r="AE32" s="6"/>
      <c r="AF32" s="596"/>
      <c r="AG32" s="597"/>
      <c r="AH32" s="685"/>
      <c r="AI32" s="685"/>
      <c r="AJ32" s="684"/>
      <c r="AK32" s="635"/>
      <c r="AM32" s="572"/>
      <c r="AN32" s="6"/>
      <c r="AO32" s="6"/>
      <c r="AP32" s="50"/>
      <c r="AQ32" s="597"/>
      <c r="AR32" s="614"/>
      <c r="AS32" s="605"/>
      <c r="AT32" s="828"/>
      <c r="AU32" s="635"/>
      <c r="AV32" s="613"/>
    </row>
    <row r="33" spans="1:48" ht="43.15" customHeight="1" x14ac:dyDescent="0.25">
      <c r="A33" s="2206">
        <v>45154</v>
      </c>
      <c r="B33" s="574">
        <v>1</v>
      </c>
      <c r="C33" s="595"/>
      <c r="D33" s="596"/>
      <c r="E33" s="596">
        <v>13</v>
      </c>
      <c r="F33" s="597"/>
      <c r="G33" s="685"/>
      <c r="H33" s="619"/>
      <c r="I33" s="692" t="s">
        <v>152</v>
      </c>
      <c r="J33" s="635"/>
      <c r="K33" s="622"/>
      <c r="L33" s="572"/>
      <c r="M33" s="6"/>
      <c r="N33" s="6"/>
      <c r="O33" s="597"/>
      <c r="P33" s="614"/>
      <c r="Q33" s="6"/>
      <c r="R33" s="6"/>
      <c r="S33" s="635"/>
      <c r="T33" s="622"/>
      <c r="U33" s="572"/>
      <c r="V33" s="6"/>
      <c r="W33" s="6">
        <v>9</v>
      </c>
      <c r="X33" s="597"/>
      <c r="Y33" s="614"/>
      <c r="Z33" s="6"/>
      <c r="AA33" s="605" t="s">
        <v>152</v>
      </c>
      <c r="AB33" s="635"/>
      <c r="AC33" s="622"/>
      <c r="AD33" s="572"/>
      <c r="AE33" s="6"/>
      <c r="AF33" s="6"/>
      <c r="AG33" s="597"/>
      <c r="AH33" s="614"/>
      <c r="AI33" s="605"/>
      <c r="AJ33" s="6"/>
      <c r="AK33" s="635"/>
      <c r="AM33" s="572"/>
      <c r="AN33" s="6"/>
      <c r="AO33" s="6"/>
      <c r="AP33" s="50"/>
      <c r="AQ33" s="597"/>
      <c r="AR33" s="614"/>
      <c r="AS33" s="605"/>
      <c r="AT33" s="6"/>
      <c r="AU33" s="635"/>
      <c r="AV33" s="613"/>
    </row>
    <row r="34" spans="1:48" ht="67.900000000000006" customHeight="1" x14ac:dyDescent="0.25">
      <c r="A34" s="2205"/>
      <c r="B34" s="644">
        <v>2</v>
      </c>
      <c r="C34" s="596"/>
      <c r="D34" s="596"/>
      <c r="E34" s="596"/>
      <c r="F34" s="829">
        <v>65</v>
      </c>
      <c r="G34" s="684"/>
      <c r="H34" s="620"/>
      <c r="I34" s="620"/>
      <c r="J34" s="635" t="s">
        <v>613</v>
      </c>
      <c r="K34" s="622"/>
      <c r="L34" s="572"/>
      <c r="M34" s="6"/>
      <c r="N34" s="6"/>
      <c r="O34" s="613">
        <v>64</v>
      </c>
      <c r="P34" s="614"/>
      <c r="Q34" s="620"/>
      <c r="R34" s="6"/>
      <c r="S34" s="635" t="s">
        <v>613</v>
      </c>
      <c r="T34" s="622"/>
      <c r="U34" s="572"/>
      <c r="V34" s="6"/>
      <c r="W34" s="6"/>
      <c r="X34" s="613">
        <v>67</v>
      </c>
      <c r="Y34" s="605"/>
      <c r="Z34" s="605"/>
      <c r="AA34" s="684"/>
      <c r="AB34" s="635" t="s">
        <v>613</v>
      </c>
      <c r="AC34" s="622"/>
      <c r="AD34" s="572"/>
      <c r="AE34" s="6"/>
      <c r="AF34" s="6"/>
      <c r="AG34" s="613">
        <v>70</v>
      </c>
      <c r="AH34" s="614"/>
      <c r="AI34" s="6"/>
      <c r="AJ34" s="6"/>
      <c r="AK34" s="635" t="s">
        <v>613</v>
      </c>
      <c r="AM34" s="572"/>
      <c r="AN34" s="6"/>
      <c r="AO34" s="6">
        <v>15</v>
      </c>
      <c r="AP34" s="50">
        <v>72</v>
      </c>
      <c r="AQ34" s="613"/>
      <c r="AR34" s="614"/>
      <c r="AS34" s="6"/>
      <c r="AT34" s="6" t="s">
        <v>97</v>
      </c>
      <c r="AU34" s="635" t="s">
        <v>613</v>
      </c>
      <c r="AV34" s="613"/>
    </row>
    <row r="35" spans="1:48" ht="51" customHeight="1" x14ac:dyDescent="0.25">
      <c r="A35" s="2206">
        <v>45155</v>
      </c>
      <c r="B35" s="574">
        <v>1</v>
      </c>
      <c r="C35" s="596"/>
      <c r="D35" s="596"/>
      <c r="E35" s="50"/>
      <c r="F35" s="828"/>
      <c r="G35" s="567"/>
      <c r="H35" s="614"/>
      <c r="I35" s="605"/>
      <c r="J35" s="687"/>
      <c r="K35" s="622"/>
      <c r="L35" s="572"/>
      <c r="M35" s="6"/>
      <c r="N35" s="6"/>
      <c r="O35" s="613"/>
      <c r="P35" s="567"/>
      <c r="Q35" s="979"/>
      <c r="R35" s="620"/>
      <c r="S35" s="635"/>
      <c r="T35" s="622"/>
      <c r="U35" s="572"/>
      <c r="V35" s="6"/>
      <c r="W35" s="50"/>
      <c r="X35" s="634"/>
      <c r="Y35" s="567"/>
      <c r="Z35" s="6"/>
      <c r="AA35" s="684"/>
      <c r="AB35" s="613"/>
      <c r="AC35" s="622"/>
      <c r="AD35" s="572"/>
      <c r="AE35" s="6"/>
      <c r="AF35" s="6"/>
      <c r="AG35" s="975"/>
      <c r="AH35" s="567"/>
      <c r="AI35" s="6"/>
      <c r="AJ35" s="684"/>
      <c r="AK35" s="613"/>
      <c r="AM35" s="572"/>
      <c r="AN35" s="6"/>
      <c r="AO35" s="50"/>
      <c r="AP35" s="50"/>
      <c r="AQ35" s="634"/>
      <c r="AR35" s="567"/>
      <c r="AS35" s="692"/>
      <c r="AT35" s="605"/>
      <c r="AU35" s="828"/>
      <c r="AV35" s="613"/>
    </row>
    <row r="36" spans="1:48" ht="46.9" customHeight="1" x14ac:dyDescent="0.25">
      <c r="A36" s="2205"/>
      <c r="B36" s="574">
        <v>2</v>
      </c>
      <c r="C36" s="50">
        <v>34</v>
      </c>
      <c r="D36" s="6"/>
      <c r="E36" s="50">
        <v>14</v>
      </c>
      <c r="F36" s="828"/>
      <c r="G36" s="692" t="s">
        <v>406</v>
      </c>
      <c r="H36" s="975"/>
      <c r="I36" s="620" t="s">
        <v>97</v>
      </c>
      <c r="J36" s="635"/>
      <c r="K36" s="622"/>
      <c r="L36" s="567"/>
      <c r="M36" s="6"/>
      <c r="N36" s="6"/>
      <c r="O36" s="975"/>
      <c r="P36" s="567"/>
      <c r="Q36" s="605"/>
      <c r="R36" s="605"/>
      <c r="S36" s="635"/>
      <c r="T36" s="622"/>
      <c r="U36" s="572"/>
      <c r="V36" s="6"/>
      <c r="W36" s="6"/>
      <c r="X36" s="975"/>
      <c r="Y36" s="567"/>
      <c r="Z36" s="605"/>
      <c r="AA36" s="684"/>
      <c r="AB36" s="613"/>
      <c r="AC36" s="622"/>
      <c r="AD36" s="572"/>
      <c r="AE36" s="6"/>
      <c r="AF36" s="50"/>
      <c r="AG36" s="634"/>
      <c r="AH36" s="567"/>
      <c r="AI36" s="605"/>
      <c r="AJ36" s="684"/>
      <c r="AK36" s="613"/>
      <c r="AM36" s="572"/>
      <c r="AN36" s="6"/>
      <c r="AO36" s="6"/>
      <c r="AP36" s="614"/>
      <c r="AQ36" s="975"/>
      <c r="AR36" s="567"/>
      <c r="AS36" s="605"/>
      <c r="AT36" s="605"/>
      <c r="AU36" s="828"/>
      <c r="AV36" s="613"/>
    </row>
    <row r="37" spans="1:48" ht="59.45" customHeight="1" x14ac:dyDescent="0.25">
      <c r="A37" s="2206">
        <v>45156</v>
      </c>
      <c r="B37" s="644">
        <v>1</v>
      </c>
      <c r="C37" s="50"/>
      <c r="D37" s="596"/>
      <c r="E37" s="50"/>
      <c r="F37" s="50"/>
      <c r="G37" s="692"/>
      <c r="H37" s="975"/>
      <c r="I37" s="692"/>
      <c r="J37" s="635"/>
      <c r="K37" s="622"/>
      <c r="L37" s="572"/>
      <c r="M37" s="6"/>
      <c r="N37" s="6"/>
      <c r="O37" s="727"/>
      <c r="P37" s="614"/>
      <c r="Q37" s="6"/>
      <c r="R37" s="6"/>
      <c r="S37" s="613"/>
      <c r="T37" s="622"/>
      <c r="U37" s="572"/>
      <c r="V37" s="6"/>
      <c r="W37" s="6"/>
      <c r="X37" s="613"/>
      <c r="Y37" s="614"/>
      <c r="Z37" s="605"/>
      <c r="AA37" s="684"/>
      <c r="AB37" s="635"/>
      <c r="AC37" s="622"/>
      <c r="AD37" s="572"/>
      <c r="AE37" s="6"/>
      <c r="AF37" s="6"/>
      <c r="AG37" s="613"/>
      <c r="AH37" s="614"/>
      <c r="AI37" s="6"/>
      <c r="AJ37" s="684"/>
      <c r="AK37" s="613"/>
      <c r="AM37" s="572"/>
      <c r="AN37" s="6"/>
      <c r="AO37" s="6"/>
      <c r="AP37" s="50"/>
      <c r="AQ37" s="613"/>
      <c r="AR37" s="614"/>
      <c r="AS37" s="6"/>
      <c r="AT37" s="6"/>
      <c r="AU37" s="50"/>
      <c r="AV37" s="613"/>
    </row>
    <row r="38" spans="1:48" ht="55.9" customHeight="1" x14ac:dyDescent="0.25">
      <c r="A38" s="2205"/>
      <c r="B38" s="574">
        <v>2</v>
      </c>
      <c r="C38" s="50"/>
      <c r="D38" s="596"/>
      <c r="E38" s="50"/>
      <c r="F38" s="829"/>
      <c r="G38" s="692"/>
      <c r="H38" s="975"/>
      <c r="I38" s="692"/>
      <c r="J38" s="635"/>
      <c r="K38" s="622"/>
      <c r="L38" s="572"/>
      <c r="M38" s="6"/>
      <c r="N38" s="6"/>
      <c r="O38" s="613"/>
      <c r="P38" s="975"/>
      <c r="Q38" s="975"/>
      <c r="R38" s="6"/>
      <c r="S38" s="635"/>
      <c r="T38" s="622"/>
      <c r="U38" s="572"/>
      <c r="V38" s="6"/>
      <c r="W38" s="6"/>
      <c r="X38" s="613"/>
      <c r="Y38" s="614"/>
      <c r="Z38" s="605"/>
      <c r="AA38" s="684"/>
      <c r="AB38" s="635"/>
      <c r="AC38" s="622"/>
      <c r="AD38" s="572"/>
      <c r="AE38" s="6"/>
      <c r="AF38" s="6"/>
      <c r="AG38" s="613"/>
      <c r="AH38" s="975"/>
      <c r="AI38" s="6"/>
      <c r="AJ38" s="605"/>
      <c r="AK38" s="635"/>
      <c r="AM38" s="572"/>
      <c r="AN38" s="6"/>
      <c r="AO38" s="6"/>
      <c r="AP38" s="50"/>
      <c r="AQ38" s="613"/>
      <c r="AR38" s="614"/>
      <c r="AS38" s="6"/>
      <c r="AT38" s="605"/>
      <c r="AU38" s="828"/>
      <c r="AV38" s="635"/>
    </row>
    <row r="39" spans="1:48" ht="39" customHeight="1" x14ac:dyDescent="0.25">
      <c r="A39" s="2206">
        <v>45157</v>
      </c>
      <c r="B39" s="574">
        <v>1</v>
      </c>
      <c r="C39" s="50"/>
      <c r="D39" s="596"/>
      <c r="E39" s="50"/>
      <c r="F39" s="597"/>
      <c r="G39" s="692"/>
      <c r="H39" s="619"/>
      <c r="I39" s="692"/>
      <c r="J39" s="687"/>
      <c r="K39" s="622"/>
      <c r="L39" s="572"/>
      <c r="M39" s="6"/>
      <c r="N39" s="6"/>
      <c r="O39" s="597"/>
      <c r="P39" s="685"/>
      <c r="Q39" s="619"/>
      <c r="R39" s="692"/>
      <c r="S39" s="687"/>
      <c r="T39" s="622"/>
      <c r="U39" s="572"/>
      <c r="V39" s="6"/>
      <c r="W39" s="6"/>
      <c r="X39" s="597"/>
      <c r="Y39" s="685"/>
      <c r="Z39" s="619"/>
      <c r="AA39" s="692"/>
      <c r="AB39" s="687"/>
      <c r="AC39" s="622"/>
      <c r="AD39" s="572"/>
      <c r="AE39" s="6"/>
      <c r="AF39" s="6"/>
      <c r="AG39" s="597"/>
      <c r="AH39" s="685"/>
      <c r="AI39" s="619"/>
      <c r="AJ39" s="692"/>
      <c r="AK39" s="687"/>
      <c r="AM39" s="572"/>
      <c r="AN39" s="6"/>
      <c r="AO39" s="6"/>
      <c r="AP39" s="50"/>
      <c r="AQ39" s="597"/>
      <c r="AR39" s="685"/>
      <c r="AS39" s="619"/>
      <c r="AT39" s="692"/>
      <c r="AU39" s="692"/>
      <c r="AV39" s="687"/>
    </row>
    <row r="40" spans="1:48" ht="72.599999999999994" customHeight="1" x14ac:dyDescent="0.25">
      <c r="A40" s="2205"/>
      <c r="B40" s="574">
        <v>2</v>
      </c>
      <c r="C40" s="596"/>
      <c r="D40" s="596">
        <v>18</v>
      </c>
      <c r="E40" s="596"/>
      <c r="F40" s="613"/>
      <c r="G40" s="692"/>
      <c r="H40" s="620" t="s">
        <v>66</v>
      </c>
      <c r="I40" s="692"/>
      <c r="J40" s="635"/>
      <c r="K40" s="622"/>
      <c r="L40" s="572"/>
      <c r="M40" s="6"/>
      <c r="N40" s="6"/>
      <c r="O40" s="613"/>
      <c r="P40" s="685"/>
      <c r="Q40" s="619"/>
      <c r="R40" s="692"/>
      <c r="S40" s="635"/>
      <c r="T40" s="622"/>
      <c r="U40" s="572"/>
      <c r="V40" s="6">
        <v>22</v>
      </c>
      <c r="W40" s="6"/>
      <c r="X40" s="613"/>
      <c r="Y40" s="685"/>
      <c r="Z40" s="619" t="s">
        <v>66</v>
      </c>
      <c r="AA40" s="692"/>
      <c r="AB40" s="635"/>
      <c r="AC40" s="622"/>
      <c r="AD40" s="572"/>
      <c r="AE40" s="6"/>
      <c r="AF40" s="6"/>
      <c r="AG40" s="613"/>
      <c r="AH40" s="567"/>
      <c r="AI40" s="619"/>
      <c r="AJ40" s="692"/>
      <c r="AK40" s="635"/>
      <c r="AM40" s="567"/>
      <c r="AN40" s="6"/>
      <c r="AO40" s="6"/>
      <c r="AP40" s="50"/>
      <c r="AQ40" s="613"/>
      <c r="AR40" s="685"/>
      <c r="AS40" s="619"/>
      <c r="AT40" s="692"/>
      <c r="AU40" s="692"/>
      <c r="AV40" s="635"/>
    </row>
    <row r="41" spans="1:48" ht="39.6" customHeight="1" x14ac:dyDescent="0.25">
      <c r="A41" s="2206">
        <v>45158</v>
      </c>
      <c r="B41" s="574">
        <v>1</v>
      </c>
      <c r="C41" s="595"/>
      <c r="D41" s="596"/>
      <c r="E41" s="596"/>
      <c r="F41" s="613"/>
      <c r="G41" s="685"/>
      <c r="H41" s="620"/>
      <c r="I41" s="692"/>
      <c r="J41" s="635"/>
      <c r="K41" s="622"/>
      <c r="L41" s="572"/>
      <c r="M41" s="6"/>
      <c r="N41" s="6"/>
      <c r="O41" s="613"/>
      <c r="P41" s="614"/>
      <c r="Q41" s="6"/>
      <c r="R41" s="692"/>
      <c r="S41" s="635"/>
      <c r="T41" s="622"/>
      <c r="U41" s="572"/>
      <c r="V41" s="6"/>
      <c r="W41" s="6"/>
      <c r="X41" s="613"/>
      <c r="Y41" s="614"/>
      <c r="Z41" s="605"/>
      <c r="AA41" s="692"/>
      <c r="AB41" s="613"/>
      <c r="AC41" s="622"/>
      <c r="AD41" s="572"/>
      <c r="AE41" s="6"/>
      <c r="AF41" s="6"/>
      <c r="AG41" s="613"/>
      <c r="AH41" s="567"/>
      <c r="AI41" s="605"/>
      <c r="AJ41" s="6"/>
      <c r="AK41" s="613"/>
      <c r="AM41" s="572"/>
      <c r="AN41" s="6"/>
      <c r="AO41" s="6"/>
      <c r="AP41" s="50"/>
      <c r="AQ41" s="613"/>
      <c r="AR41" s="614"/>
      <c r="AS41" s="605"/>
      <c r="AT41" s="692"/>
      <c r="AU41" s="50"/>
      <c r="AV41" s="613"/>
    </row>
    <row r="42" spans="1:48" ht="33" customHeight="1" x14ac:dyDescent="0.25">
      <c r="A42" s="2205"/>
      <c r="B42" s="574">
        <v>2</v>
      </c>
      <c r="C42" s="596"/>
      <c r="D42" s="596"/>
      <c r="E42" s="596"/>
      <c r="F42" s="613">
        <v>56</v>
      </c>
      <c r="G42" s="685"/>
      <c r="H42" s="620"/>
      <c r="I42" s="692"/>
      <c r="J42" s="635" t="s">
        <v>728</v>
      </c>
      <c r="K42" s="622"/>
      <c r="L42" s="572"/>
      <c r="M42" s="6"/>
      <c r="N42" s="6"/>
      <c r="O42" s="613">
        <v>67</v>
      </c>
      <c r="P42" s="614"/>
      <c r="Q42" s="6"/>
      <c r="R42" s="6"/>
      <c r="S42" s="635" t="s">
        <v>728</v>
      </c>
      <c r="T42" s="622"/>
      <c r="U42" s="572"/>
      <c r="V42" s="6"/>
      <c r="W42" s="6"/>
      <c r="X42" s="613">
        <v>53</v>
      </c>
      <c r="Y42" s="975"/>
      <c r="Z42" s="6"/>
      <c r="AA42" s="605"/>
      <c r="AB42" s="635" t="s">
        <v>728</v>
      </c>
      <c r="AC42" s="622"/>
      <c r="AD42" s="572"/>
      <c r="AE42" s="6"/>
      <c r="AF42" s="6"/>
      <c r="AG42" s="613">
        <v>58</v>
      </c>
      <c r="AH42" s="614"/>
      <c r="AI42" s="6"/>
      <c r="AJ42" s="6"/>
      <c r="AK42" s="635" t="s">
        <v>728</v>
      </c>
      <c r="AM42" s="572"/>
      <c r="AN42" s="6"/>
      <c r="AO42" s="6"/>
      <c r="AP42" s="50">
        <v>55</v>
      </c>
      <c r="AQ42" s="613"/>
      <c r="AR42" s="614"/>
      <c r="AS42" s="6"/>
      <c r="AT42" s="6"/>
      <c r="AU42" s="635" t="s">
        <v>728</v>
      </c>
      <c r="AV42" s="613"/>
    </row>
    <row r="43" spans="1:48" ht="65.45" customHeight="1" x14ac:dyDescent="0.25">
      <c r="A43" s="2206">
        <v>45159</v>
      </c>
      <c r="B43" s="574">
        <v>1</v>
      </c>
      <c r="C43" s="596"/>
      <c r="D43" s="596"/>
      <c r="E43" s="596"/>
      <c r="F43" s="597">
        <v>500</v>
      </c>
      <c r="G43" s="619"/>
      <c r="H43" s="619"/>
      <c r="I43" s="620"/>
      <c r="J43" s="635" t="s">
        <v>732</v>
      </c>
      <c r="K43" s="622"/>
      <c r="L43" s="572"/>
      <c r="M43" s="6"/>
      <c r="N43" s="6"/>
      <c r="O43" s="613">
        <v>500</v>
      </c>
      <c r="P43" s="614"/>
      <c r="Q43" s="6"/>
      <c r="R43" s="6"/>
      <c r="S43" s="635" t="s">
        <v>732</v>
      </c>
      <c r="T43" s="622"/>
      <c r="U43" s="572"/>
      <c r="V43" s="6"/>
      <c r="W43" s="6"/>
      <c r="X43" s="613">
        <v>500</v>
      </c>
      <c r="Y43" s="614"/>
      <c r="Z43" s="6"/>
      <c r="AA43" s="620"/>
      <c r="AB43" s="635" t="s">
        <v>732</v>
      </c>
      <c r="AC43" s="622"/>
      <c r="AD43" s="572"/>
      <c r="AE43" s="6"/>
      <c r="AF43" s="6"/>
      <c r="AG43" s="613">
        <v>500</v>
      </c>
      <c r="AH43" s="605"/>
      <c r="AI43" s="620"/>
      <c r="AJ43" s="6"/>
      <c r="AK43" s="635" t="s">
        <v>732</v>
      </c>
      <c r="AM43" s="572"/>
      <c r="AN43" s="6"/>
      <c r="AO43" s="6"/>
      <c r="AP43" s="50">
        <v>500</v>
      </c>
      <c r="AQ43" s="613"/>
      <c r="AR43" s="605"/>
      <c r="AS43" s="620"/>
      <c r="AT43" s="6"/>
      <c r="AU43" s="635" t="s">
        <v>732</v>
      </c>
      <c r="AV43" s="613"/>
    </row>
    <row r="44" spans="1:48" ht="69" customHeight="1" x14ac:dyDescent="0.25">
      <c r="A44" s="2205"/>
      <c r="B44" s="574">
        <v>2</v>
      </c>
      <c r="C44" s="596">
        <v>225</v>
      </c>
      <c r="D44" s="596"/>
      <c r="E44" s="596">
        <v>25</v>
      </c>
      <c r="F44" s="597">
        <v>100</v>
      </c>
      <c r="G44" s="619" t="s">
        <v>491</v>
      </c>
      <c r="H44" s="619"/>
      <c r="I44" s="692" t="s">
        <v>152</v>
      </c>
      <c r="J44" s="635" t="s">
        <v>732</v>
      </c>
      <c r="K44" s="622"/>
      <c r="L44" s="572"/>
      <c r="M44" s="6"/>
      <c r="N44" s="6"/>
      <c r="O44" s="613">
        <v>91</v>
      </c>
      <c r="P44" s="975"/>
      <c r="Q44" s="6"/>
      <c r="R44" s="605"/>
      <c r="S44" s="635" t="s">
        <v>732</v>
      </c>
      <c r="T44" s="622"/>
      <c r="U44" s="572"/>
      <c r="V44" s="6"/>
      <c r="W44" s="596"/>
      <c r="X44" s="597">
        <v>104</v>
      </c>
      <c r="Y44" s="619"/>
      <c r="Z44" s="620"/>
      <c r="AA44" s="605"/>
      <c r="AB44" s="635" t="s">
        <v>732</v>
      </c>
      <c r="AC44" s="622"/>
      <c r="AD44" s="572"/>
      <c r="AE44" s="6"/>
      <c r="AF44" s="6"/>
      <c r="AG44" s="613">
        <v>107</v>
      </c>
      <c r="AH44" s="614"/>
      <c r="AI44" s="605"/>
      <c r="AJ44" s="605"/>
      <c r="AK44" s="635" t="s">
        <v>732</v>
      </c>
      <c r="AM44" s="572"/>
      <c r="AN44" s="6"/>
      <c r="AO44" s="6"/>
      <c r="AP44" s="50">
        <v>166</v>
      </c>
      <c r="AQ44" s="613"/>
      <c r="AR44" s="614"/>
      <c r="AS44" s="605"/>
      <c r="AT44" s="605"/>
      <c r="AU44" s="635" t="s">
        <v>732</v>
      </c>
      <c r="AV44" s="613"/>
    </row>
    <row r="45" spans="1:48" ht="48" customHeight="1" x14ac:dyDescent="0.25">
      <c r="A45" s="2206">
        <v>45160</v>
      </c>
      <c r="B45" s="574">
        <v>1</v>
      </c>
      <c r="C45" s="596">
        <v>63</v>
      </c>
      <c r="D45" s="596"/>
      <c r="E45" s="596"/>
      <c r="F45" s="597"/>
      <c r="G45" s="619" t="s">
        <v>491</v>
      </c>
      <c r="H45" s="619"/>
      <c r="I45" s="620"/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"/>
      <c r="W45" s="6"/>
      <c r="X45" s="613"/>
      <c r="Y45" s="619"/>
      <c r="Z45" s="620"/>
      <c r="AA45" s="605"/>
      <c r="AB45" s="613"/>
      <c r="AC45" s="622"/>
      <c r="AD45" s="572"/>
      <c r="AE45" s="6"/>
      <c r="AF45" s="6"/>
      <c r="AG45" s="613"/>
      <c r="AH45" s="614"/>
      <c r="AI45" s="605"/>
      <c r="AJ45" s="6"/>
      <c r="AK45" s="613"/>
      <c r="AM45" s="572"/>
      <c r="AN45" s="6"/>
      <c r="AO45" s="6"/>
      <c r="AP45" s="50"/>
      <c r="AQ45" s="613"/>
      <c r="AR45" s="614"/>
      <c r="AS45" s="605"/>
      <c r="AT45" s="6"/>
      <c r="AU45" s="50"/>
      <c r="AV45" s="613"/>
    </row>
    <row r="46" spans="1:48" ht="48.6" customHeight="1" x14ac:dyDescent="0.25">
      <c r="A46" s="2205"/>
      <c r="B46" s="574">
        <v>2</v>
      </c>
      <c r="C46" s="596"/>
      <c r="D46" s="596"/>
      <c r="E46" s="596"/>
      <c r="F46" s="597"/>
      <c r="G46" s="619"/>
      <c r="H46" s="619"/>
      <c r="I46" s="620"/>
      <c r="J46" s="635"/>
      <c r="K46" s="622"/>
      <c r="L46" s="572"/>
      <c r="M46" s="6"/>
      <c r="N46" s="6">
        <v>123</v>
      </c>
      <c r="O46" s="785"/>
      <c r="P46" s="614"/>
      <c r="Q46" s="620"/>
      <c r="R46" s="605" t="s">
        <v>733</v>
      </c>
      <c r="S46" s="635"/>
      <c r="T46" s="622"/>
      <c r="U46" s="572"/>
      <c r="V46" s="6"/>
      <c r="W46" s="6"/>
      <c r="X46" s="613"/>
      <c r="Y46" s="975"/>
      <c r="Z46" s="6"/>
      <c r="AA46" s="605"/>
      <c r="AB46" s="635"/>
      <c r="AC46" s="622"/>
      <c r="AD46" s="572"/>
      <c r="AE46" s="6"/>
      <c r="AF46" s="6"/>
      <c r="AG46" s="613"/>
      <c r="AH46" s="975"/>
      <c r="AI46" s="6"/>
      <c r="AJ46" s="6"/>
      <c r="AK46" s="635"/>
      <c r="AM46" s="572"/>
      <c r="AN46" s="6"/>
      <c r="AO46" s="6"/>
      <c r="AP46" s="50"/>
      <c r="AQ46" s="613"/>
      <c r="AR46" s="614"/>
      <c r="AS46" s="6"/>
      <c r="AT46" s="6"/>
      <c r="AU46" s="50"/>
      <c r="AV46" s="635"/>
    </row>
    <row r="47" spans="1:48" ht="36" customHeight="1" x14ac:dyDescent="0.25">
      <c r="A47" s="2206">
        <v>45161</v>
      </c>
      <c r="B47" s="574">
        <v>1</v>
      </c>
      <c r="C47" s="596"/>
      <c r="D47" s="596"/>
      <c r="E47" s="596"/>
      <c r="F47" s="597"/>
      <c r="G47" s="620"/>
      <c r="H47" s="619"/>
      <c r="I47" s="692"/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/>
      <c r="X47" s="613"/>
      <c r="Y47" s="614"/>
      <c r="Z47" s="605"/>
      <c r="AA47" s="605"/>
      <c r="AB47" s="635"/>
      <c r="AC47" s="622"/>
      <c r="AD47" s="572"/>
      <c r="AE47" s="6"/>
      <c r="AF47" s="6"/>
      <c r="AG47" s="613"/>
      <c r="AH47" s="975"/>
      <c r="AI47" s="620"/>
      <c r="AJ47" s="6"/>
      <c r="AK47" s="613"/>
      <c r="AM47" s="572"/>
      <c r="AN47" s="6"/>
      <c r="AO47" s="6"/>
      <c r="AP47" s="50"/>
      <c r="AQ47" s="613"/>
      <c r="AR47" s="614"/>
      <c r="AS47" s="620"/>
      <c r="AT47" s="6"/>
      <c r="AU47" s="50"/>
      <c r="AV47" s="613"/>
    </row>
    <row r="48" spans="1:48" ht="34.9" customHeight="1" x14ac:dyDescent="0.25">
      <c r="A48" s="2205"/>
      <c r="B48" s="574">
        <v>2</v>
      </c>
      <c r="C48" s="596"/>
      <c r="D48" s="596"/>
      <c r="E48" s="596"/>
      <c r="F48" s="597"/>
      <c r="G48" s="620"/>
      <c r="H48" s="620"/>
      <c r="I48" s="692"/>
      <c r="J48" s="687"/>
      <c r="K48" s="622"/>
      <c r="L48" s="572"/>
      <c r="M48" s="6"/>
      <c r="N48" s="6"/>
      <c r="O48" s="613"/>
      <c r="P48" s="614"/>
      <c r="Q48" s="620"/>
      <c r="R48" s="605"/>
      <c r="S48" s="635"/>
      <c r="T48" s="622"/>
      <c r="U48" s="572"/>
      <c r="V48" s="6"/>
      <c r="W48" s="6"/>
      <c r="X48" s="613"/>
      <c r="Y48" s="975"/>
      <c r="Z48" s="6"/>
      <c r="AA48" s="605"/>
      <c r="AB48" s="613"/>
      <c r="AC48" s="622"/>
      <c r="AD48" s="572"/>
      <c r="AE48" s="6"/>
      <c r="AF48" s="6"/>
      <c r="AG48" s="613"/>
      <c r="AH48" s="614"/>
      <c r="AI48" s="605"/>
      <c r="AJ48" s="6"/>
      <c r="AK48" s="613"/>
      <c r="AM48" s="572"/>
      <c r="AN48" s="6"/>
      <c r="AO48" s="6"/>
      <c r="AP48" s="50"/>
      <c r="AQ48" s="613"/>
      <c r="AR48" s="614"/>
      <c r="AS48" s="605"/>
      <c r="AT48" s="6"/>
      <c r="AU48" s="50"/>
      <c r="AV48" s="613"/>
    </row>
    <row r="49" spans="1:48" ht="36" customHeight="1" x14ac:dyDescent="0.25">
      <c r="A49" s="2206">
        <v>45162</v>
      </c>
      <c r="B49" s="574">
        <v>1</v>
      </c>
      <c r="C49" s="596"/>
      <c r="D49" s="596"/>
      <c r="E49" s="596">
        <v>18</v>
      </c>
      <c r="F49" s="597"/>
      <c r="G49" s="620"/>
      <c r="H49" s="619"/>
      <c r="I49" s="692" t="s">
        <v>325</v>
      </c>
      <c r="J49" s="687"/>
      <c r="K49" s="622"/>
      <c r="L49" s="572"/>
      <c r="M49" s="6"/>
      <c r="N49" s="6"/>
      <c r="O49" s="613"/>
      <c r="P49" s="614"/>
      <c r="Q49" s="6"/>
      <c r="R49" s="6"/>
      <c r="S49" s="613"/>
      <c r="T49" s="622"/>
      <c r="U49" s="572"/>
      <c r="V49" s="6"/>
      <c r="W49" s="6"/>
      <c r="X49" s="613"/>
      <c r="Y49" s="614"/>
      <c r="Z49" s="605"/>
      <c r="AA49" s="605"/>
      <c r="AB49" s="635"/>
      <c r="AC49" s="622"/>
      <c r="AD49" s="572"/>
      <c r="AE49" s="6"/>
      <c r="AF49" s="6"/>
      <c r="AG49" s="613"/>
      <c r="AH49" s="614"/>
      <c r="AI49" s="605"/>
      <c r="AJ49" s="692"/>
      <c r="AK49" s="613"/>
      <c r="AM49" s="572"/>
      <c r="AN49" s="6"/>
      <c r="AO49" s="6"/>
      <c r="AP49" s="50"/>
      <c r="AQ49" s="613"/>
      <c r="AR49" s="614"/>
      <c r="AS49" s="605"/>
      <c r="AT49" s="6"/>
      <c r="AU49" s="50"/>
      <c r="AV49" s="613"/>
    </row>
    <row r="50" spans="1:48" ht="51.6" customHeight="1" x14ac:dyDescent="0.25">
      <c r="A50" s="2205"/>
      <c r="B50" s="574">
        <v>2</v>
      </c>
      <c r="C50" s="596"/>
      <c r="D50" s="596"/>
      <c r="E50" s="596">
        <v>26</v>
      </c>
      <c r="F50" s="597"/>
      <c r="G50" s="619"/>
      <c r="H50" s="619"/>
      <c r="I50" s="692" t="s">
        <v>152</v>
      </c>
      <c r="J50" s="635"/>
      <c r="K50" s="622"/>
      <c r="L50" s="572"/>
      <c r="M50" s="6"/>
      <c r="N50" s="6"/>
      <c r="O50" s="597"/>
      <c r="P50" s="619"/>
      <c r="Q50" s="619"/>
      <c r="R50" s="692"/>
      <c r="S50" s="635"/>
      <c r="T50" s="622"/>
      <c r="U50" s="572"/>
      <c r="V50" s="6"/>
      <c r="W50" s="6"/>
      <c r="X50" s="597"/>
      <c r="Y50" s="620"/>
      <c r="Z50" s="619"/>
      <c r="AA50" s="692"/>
      <c r="AB50" s="635"/>
      <c r="AC50" s="622"/>
      <c r="AD50" s="572"/>
      <c r="AE50" s="6"/>
      <c r="AF50" s="6"/>
      <c r="AG50" s="597"/>
      <c r="AH50" s="619"/>
      <c r="AI50" s="619"/>
      <c r="AJ50" s="692"/>
      <c r="AK50" s="635"/>
      <c r="AM50" s="572"/>
      <c r="AN50" s="6"/>
      <c r="AO50" s="6"/>
      <c r="AP50" s="50"/>
      <c r="AQ50" s="597"/>
      <c r="AR50" s="614"/>
      <c r="AS50" s="619"/>
      <c r="AT50" s="692"/>
      <c r="AU50" s="692"/>
      <c r="AV50" s="635"/>
    </row>
    <row r="51" spans="1:48" ht="34.9" customHeight="1" x14ac:dyDescent="0.25">
      <c r="A51" s="2206">
        <v>45163</v>
      </c>
      <c r="B51" s="574">
        <v>1</v>
      </c>
      <c r="C51" s="596"/>
      <c r="D51" s="596"/>
      <c r="E51" s="596">
        <v>12</v>
      </c>
      <c r="F51" s="597"/>
      <c r="G51" s="619"/>
      <c r="H51" s="619"/>
      <c r="I51" s="692" t="s">
        <v>97</v>
      </c>
      <c r="J51" s="635"/>
      <c r="K51" s="622"/>
      <c r="L51" s="572"/>
      <c r="M51" s="6"/>
      <c r="N51" s="6"/>
      <c r="O51" s="613"/>
      <c r="P51" s="614"/>
      <c r="Q51" s="620"/>
      <c r="R51" s="6"/>
      <c r="S51" s="613"/>
      <c r="T51" s="622"/>
      <c r="U51" s="572"/>
      <c r="V51" s="6"/>
      <c r="W51" s="6"/>
      <c r="X51" s="613"/>
      <c r="Y51" s="975"/>
      <c r="Z51" s="6"/>
      <c r="AA51" s="605"/>
      <c r="AB51" s="613"/>
      <c r="AC51" s="622"/>
      <c r="AD51" s="572"/>
      <c r="AE51" s="6"/>
      <c r="AF51" s="6"/>
      <c r="AG51" s="613"/>
      <c r="AH51" s="614"/>
      <c r="AI51" s="6"/>
      <c r="AJ51" s="6"/>
      <c r="AK51" s="613"/>
      <c r="AM51" s="572"/>
      <c r="AN51" s="6"/>
      <c r="AO51" s="6"/>
      <c r="AP51" s="50"/>
      <c r="AQ51" s="613"/>
      <c r="AR51" s="614"/>
      <c r="AS51" s="6"/>
      <c r="AT51" s="6"/>
      <c r="AU51" s="50"/>
      <c r="AV51" s="613"/>
    </row>
    <row r="52" spans="1:48" ht="49.15" customHeight="1" x14ac:dyDescent="0.25">
      <c r="A52" s="2205"/>
      <c r="B52" s="574">
        <v>2</v>
      </c>
      <c r="C52" s="596"/>
      <c r="D52" s="596"/>
      <c r="E52" s="596"/>
      <c r="F52" s="597"/>
      <c r="G52" s="620"/>
      <c r="H52" s="620"/>
      <c r="I52" s="692"/>
      <c r="J52" s="635"/>
      <c r="K52" s="622"/>
      <c r="L52" s="572"/>
      <c r="M52" s="6"/>
      <c r="N52" s="6"/>
      <c r="O52" s="597"/>
      <c r="P52" s="620"/>
      <c r="Q52" s="620"/>
      <c r="R52" s="692"/>
      <c r="S52" s="635"/>
      <c r="T52" s="622"/>
      <c r="U52" s="572"/>
      <c r="V52" s="6"/>
      <c r="W52" s="6"/>
      <c r="X52" s="597"/>
      <c r="Y52" s="620"/>
      <c r="Z52" s="620"/>
      <c r="AA52" s="692"/>
      <c r="AB52" s="635"/>
      <c r="AC52" s="622"/>
      <c r="AD52" s="572"/>
      <c r="AE52" s="6"/>
      <c r="AF52" s="6"/>
      <c r="AG52" s="597"/>
      <c r="AH52" s="620"/>
      <c r="AI52" s="620"/>
      <c r="AJ52" s="692"/>
      <c r="AK52" s="635"/>
      <c r="AM52" s="572"/>
      <c r="AN52" s="613"/>
      <c r="AO52" s="613"/>
      <c r="AP52" s="613"/>
      <c r="AQ52" s="613"/>
      <c r="AR52" s="614"/>
      <c r="AS52" s="6"/>
      <c r="AT52" s="6"/>
      <c r="AU52" s="50"/>
      <c r="AV52" s="613"/>
    </row>
    <row r="53" spans="1:48" ht="40.15" customHeight="1" x14ac:dyDescent="0.25">
      <c r="A53" s="2206">
        <v>45164</v>
      </c>
      <c r="B53" s="574">
        <v>1</v>
      </c>
      <c r="C53" s="596"/>
      <c r="D53" s="596"/>
      <c r="E53" s="596"/>
      <c r="F53" s="597"/>
      <c r="G53" s="619"/>
      <c r="H53" s="619"/>
      <c r="I53" s="692"/>
      <c r="J53" s="635"/>
      <c r="K53" s="622"/>
      <c r="L53" s="572"/>
      <c r="M53" s="6"/>
      <c r="N53" s="6"/>
      <c r="O53" s="613"/>
      <c r="P53" s="975"/>
      <c r="Q53" s="6"/>
      <c r="R53" s="6"/>
      <c r="S53" s="635"/>
      <c r="T53" s="622"/>
      <c r="U53" s="572"/>
      <c r="V53" s="6"/>
      <c r="W53" s="6"/>
      <c r="X53" s="613"/>
      <c r="Y53" s="975"/>
      <c r="Z53" s="6"/>
      <c r="AA53" s="605"/>
      <c r="AB53" s="613"/>
      <c r="AC53" s="622"/>
      <c r="AD53" s="572"/>
      <c r="AE53" s="605"/>
      <c r="AF53" s="6"/>
      <c r="AG53" s="613"/>
      <c r="AH53" s="614"/>
      <c r="AI53" s="605"/>
      <c r="AJ53" s="605"/>
      <c r="AK53" s="613"/>
      <c r="AM53" s="572"/>
      <c r="AN53" s="605"/>
      <c r="AO53" s="6"/>
      <c r="AP53" s="50"/>
      <c r="AQ53" s="613"/>
      <c r="AR53" s="614"/>
      <c r="AS53" s="605"/>
      <c r="AT53" s="6"/>
      <c r="AU53" s="50"/>
      <c r="AV53" s="613"/>
    </row>
    <row r="54" spans="1:48" ht="39.6" customHeight="1" x14ac:dyDescent="0.25">
      <c r="A54" s="2205"/>
      <c r="B54" s="970">
        <v>2</v>
      </c>
      <c r="C54" s="596"/>
      <c r="D54" s="596"/>
      <c r="E54" s="596"/>
      <c r="F54" s="597"/>
      <c r="G54" s="619"/>
      <c r="H54" s="619"/>
      <c r="I54" s="692"/>
      <c r="J54" s="635"/>
      <c r="K54" s="622"/>
      <c r="L54" s="572"/>
      <c r="M54" s="6"/>
      <c r="N54" s="6"/>
      <c r="O54" s="597"/>
      <c r="P54" s="619"/>
      <c r="Q54" s="619"/>
      <c r="R54" s="619"/>
      <c r="S54" s="635"/>
      <c r="T54" s="622"/>
      <c r="U54" s="572"/>
      <c r="V54" s="6"/>
      <c r="W54" s="6"/>
      <c r="X54" s="597"/>
      <c r="Y54" s="620"/>
      <c r="Z54" s="619"/>
      <c r="AA54" s="620"/>
      <c r="AB54" s="635"/>
      <c r="AC54" s="622"/>
      <c r="AD54" s="572"/>
      <c r="AE54" s="6"/>
      <c r="AF54" s="6"/>
      <c r="AG54" s="613"/>
      <c r="AH54" s="614"/>
      <c r="AI54" s="619"/>
      <c r="AJ54" s="6"/>
      <c r="AK54" s="635"/>
      <c r="AM54" s="572"/>
      <c r="AN54" s="6"/>
      <c r="AO54" s="6"/>
      <c r="AP54" s="50"/>
      <c r="AQ54" s="597"/>
      <c r="AR54" s="619"/>
      <c r="AS54" s="619"/>
      <c r="AT54" s="619"/>
      <c r="AU54" s="830"/>
      <c r="AV54" s="635"/>
    </row>
    <row r="55" spans="1:48" ht="39.6" customHeight="1" x14ac:dyDescent="0.25">
      <c r="A55" s="2206">
        <v>45165</v>
      </c>
      <c r="B55" s="574">
        <v>1</v>
      </c>
      <c r="C55" s="595"/>
      <c r="D55" s="596"/>
      <c r="E55" s="596"/>
      <c r="F55" s="597"/>
      <c r="G55" s="619"/>
      <c r="H55" s="619"/>
      <c r="I55" s="692"/>
      <c r="J55" s="613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/>
      <c r="X55" s="613"/>
      <c r="Y55" s="614"/>
      <c r="Z55" s="620"/>
      <c r="AA55" s="6"/>
      <c r="AB55" s="613"/>
      <c r="AC55" s="622"/>
      <c r="AD55" s="572"/>
      <c r="AE55" s="6"/>
      <c r="AF55" s="6"/>
      <c r="AG55" s="613"/>
      <c r="AH55" s="614"/>
      <c r="AI55" s="620"/>
      <c r="AJ55" s="6"/>
      <c r="AK55" s="613"/>
      <c r="AM55" s="572"/>
      <c r="AN55" s="6"/>
      <c r="AO55" s="6"/>
      <c r="AP55" s="50"/>
      <c r="AQ55" s="613"/>
      <c r="AR55" s="614"/>
      <c r="AS55" s="620"/>
      <c r="AT55" s="6"/>
      <c r="AU55" s="50"/>
      <c r="AV55" s="613"/>
    </row>
    <row r="56" spans="1:48" ht="94.15" customHeight="1" x14ac:dyDescent="0.25">
      <c r="A56" s="2205"/>
      <c r="B56" s="970">
        <v>2</v>
      </c>
      <c r="C56" s="595"/>
      <c r="D56" s="596"/>
      <c r="E56" s="596"/>
      <c r="F56" s="597"/>
      <c r="G56" s="620"/>
      <c r="H56" s="620"/>
      <c r="I56" s="620"/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/>
      <c r="V56" s="6"/>
      <c r="W56" s="6"/>
      <c r="X56" s="597"/>
      <c r="Y56" s="975"/>
      <c r="Z56" s="619"/>
      <c r="AA56" s="620"/>
      <c r="AB56" s="635"/>
      <c r="AC56" s="622"/>
      <c r="AD56" s="572"/>
      <c r="AE56" s="6"/>
      <c r="AF56" s="6"/>
      <c r="AG56" s="597"/>
      <c r="AH56" s="620"/>
      <c r="AI56" s="619"/>
      <c r="AJ56" s="620"/>
      <c r="AK56" s="635"/>
      <c r="AM56" s="572"/>
      <c r="AN56" s="6"/>
      <c r="AO56" s="6"/>
      <c r="AP56" s="50"/>
      <c r="AQ56" s="597"/>
      <c r="AR56" s="620"/>
      <c r="AS56" s="619"/>
      <c r="AT56" s="620"/>
      <c r="AU56" s="692"/>
      <c r="AV56" s="635"/>
    </row>
    <row r="57" spans="1:48" ht="52.15" customHeight="1" x14ac:dyDescent="0.25">
      <c r="A57" s="2206">
        <v>45166</v>
      </c>
      <c r="B57" s="574">
        <v>1</v>
      </c>
      <c r="C57" s="595"/>
      <c r="D57" s="596"/>
      <c r="E57" s="596"/>
      <c r="F57" s="597"/>
      <c r="G57" s="620"/>
      <c r="H57" s="620"/>
      <c r="I57" s="692"/>
      <c r="J57" s="635"/>
      <c r="K57" s="622"/>
      <c r="L57" s="572"/>
      <c r="M57" s="6">
        <v>136</v>
      </c>
      <c r="N57" s="6"/>
      <c r="O57" s="597"/>
      <c r="P57" s="620"/>
      <c r="Q57" s="619" t="s">
        <v>734</v>
      </c>
      <c r="R57" s="620"/>
      <c r="S57" s="635"/>
      <c r="T57" s="622"/>
      <c r="U57" s="572"/>
      <c r="V57" s="6"/>
      <c r="W57" s="6"/>
      <c r="X57" s="597"/>
      <c r="Y57" s="620"/>
      <c r="Z57" s="619"/>
      <c r="AA57" s="620"/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/>
      <c r="AP57" s="50"/>
      <c r="AQ57" s="597"/>
      <c r="AR57" s="620"/>
      <c r="AS57" s="619"/>
      <c r="AT57" s="620"/>
      <c r="AU57" s="692"/>
      <c r="AV57" s="635"/>
    </row>
    <row r="58" spans="1:48" ht="78" customHeight="1" x14ac:dyDescent="0.25">
      <c r="A58" s="2205"/>
      <c r="B58" s="970">
        <v>2</v>
      </c>
      <c r="C58" s="595"/>
      <c r="D58" s="596"/>
      <c r="E58" s="596"/>
      <c r="F58" s="597"/>
      <c r="G58" s="620"/>
      <c r="H58" s="619"/>
      <c r="I58" s="620"/>
      <c r="J58" s="635"/>
      <c r="K58" s="622"/>
      <c r="L58" s="572"/>
      <c r="M58" s="6"/>
      <c r="N58" s="6"/>
      <c r="O58" s="597"/>
      <c r="P58" s="620"/>
      <c r="Q58" s="619"/>
      <c r="R58" s="620"/>
      <c r="S58" s="635"/>
      <c r="T58" s="622"/>
      <c r="U58" s="572"/>
      <c r="V58" s="6"/>
      <c r="W58" s="6"/>
      <c r="X58" s="597"/>
      <c r="Y58" s="620"/>
      <c r="Z58" s="619"/>
      <c r="AA58" s="620"/>
      <c r="AB58" s="635"/>
      <c r="AC58" s="622"/>
      <c r="AD58" s="572"/>
      <c r="AE58" s="6"/>
      <c r="AF58" s="6"/>
      <c r="AG58" s="597"/>
      <c r="AH58" s="620"/>
      <c r="AI58" s="619"/>
      <c r="AJ58" s="620"/>
      <c r="AK58" s="635"/>
      <c r="AM58" s="572">
        <v>80</v>
      </c>
      <c r="AN58" s="6"/>
      <c r="AO58" s="6"/>
      <c r="AP58" s="50"/>
      <c r="AQ58" s="597"/>
      <c r="AR58" s="620" t="s">
        <v>735</v>
      </c>
      <c r="AS58" s="619"/>
      <c r="AT58" s="620"/>
      <c r="AU58" s="692"/>
      <c r="AV58" s="635"/>
    </row>
    <row r="59" spans="1:48" ht="73.150000000000006" customHeight="1" x14ac:dyDescent="0.25">
      <c r="A59" s="2206">
        <v>45167</v>
      </c>
      <c r="B59" s="574">
        <v>1</v>
      </c>
      <c r="C59" s="595"/>
      <c r="D59" s="596"/>
      <c r="E59" s="596"/>
      <c r="F59" s="597"/>
      <c r="G59" s="619"/>
      <c r="H59" s="619"/>
      <c r="I59" s="692"/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/>
      <c r="X59" s="613"/>
      <c r="Y59" s="614"/>
      <c r="Z59" s="6"/>
      <c r="AA59" s="620"/>
      <c r="AB59" s="635"/>
      <c r="AC59" s="622"/>
      <c r="AD59" s="572"/>
      <c r="AE59" s="6"/>
      <c r="AF59" s="6"/>
      <c r="AG59" s="613"/>
      <c r="AH59" s="975"/>
      <c r="AI59" s="6"/>
      <c r="AJ59" s="620"/>
      <c r="AK59" s="635"/>
      <c r="AM59" s="572"/>
      <c r="AN59" s="6"/>
      <c r="AO59" s="6"/>
      <c r="AP59" s="50"/>
      <c r="AQ59" s="613"/>
      <c r="AR59" s="975"/>
      <c r="AS59" s="6"/>
      <c r="AT59" s="620"/>
      <c r="AU59" s="692"/>
      <c r="AV59" s="635"/>
    </row>
    <row r="60" spans="1:48" ht="36" customHeight="1" x14ac:dyDescent="0.25">
      <c r="A60" s="2205"/>
      <c r="B60" s="970">
        <v>2</v>
      </c>
      <c r="C60" s="595"/>
      <c r="D60" s="596"/>
      <c r="E60" s="596">
        <v>50</v>
      </c>
      <c r="F60" s="597"/>
      <c r="G60" s="619"/>
      <c r="H60" s="620"/>
      <c r="I60" s="692" t="s">
        <v>43</v>
      </c>
      <c r="J60" s="635"/>
      <c r="K60" s="622"/>
      <c r="L60" s="572"/>
      <c r="M60" s="6"/>
      <c r="N60" s="6"/>
      <c r="O60" s="613"/>
      <c r="P60" s="614"/>
      <c r="Q60" s="6"/>
      <c r="R60" s="6"/>
      <c r="S60" s="635"/>
      <c r="T60" s="622"/>
      <c r="U60" s="572"/>
      <c r="V60" s="6"/>
      <c r="W60" s="6"/>
      <c r="X60" s="613"/>
      <c r="Y60" s="975"/>
      <c r="Z60" s="605"/>
      <c r="AA60" s="605"/>
      <c r="AB60" s="635"/>
      <c r="AC60" s="622"/>
      <c r="AD60" s="572"/>
      <c r="AE60" s="6"/>
      <c r="AF60" s="6"/>
      <c r="AG60" s="613"/>
      <c r="AH60" s="614"/>
      <c r="AI60" s="6"/>
      <c r="AJ60" s="605"/>
      <c r="AK60" s="635"/>
      <c r="AM60" s="572"/>
      <c r="AN60" s="6"/>
      <c r="AO60" s="6"/>
      <c r="AP60" s="50"/>
      <c r="AQ60" s="613"/>
      <c r="AR60" s="614"/>
      <c r="AS60" s="6"/>
      <c r="AT60" s="605"/>
      <c r="AU60" s="828"/>
      <c r="AV60" s="635"/>
    </row>
    <row r="61" spans="1:48" ht="32.450000000000003" customHeight="1" x14ac:dyDescent="0.25">
      <c r="A61" s="2206">
        <v>45168</v>
      </c>
      <c r="B61" s="574">
        <v>1</v>
      </c>
      <c r="C61" s="978"/>
      <c r="D61" s="980"/>
      <c r="E61" s="596"/>
      <c r="F61" s="749"/>
      <c r="G61" s="619"/>
      <c r="H61" s="979"/>
      <c r="I61" s="692"/>
      <c r="J61" s="687"/>
      <c r="K61" s="622"/>
      <c r="L61" s="572"/>
      <c r="M61" s="6"/>
      <c r="N61" s="6"/>
      <c r="O61" s="613"/>
      <c r="P61" s="752"/>
      <c r="Q61" s="976"/>
      <c r="R61" s="976"/>
      <c r="S61" s="753"/>
      <c r="T61" s="622"/>
      <c r="U61" s="572"/>
      <c r="V61" s="6"/>
      <c r="W61" s="6"/>
      <c r="X61" s="613"/>
      <c r="Y61" s="975"/>
      <c r="Z61" s="605"/>
      <c r="AA61" s="605"/>
      <c r="AB61" s="753"/>
      <c r="AC61" s="622"/>
      <c r="AD61" s="572"/>
      <c r="AE61" s="6"/>
      <c r="AF61" s="6"/>
      <c r="AG61" s="613"/>
      <c r="AH61" s="614"/>
      <c r="AI61" s="6"/>
      <c r="AJ61" s="605"/>
      <c r="AK61" s="753"/>
      <c r="AM61" s="572"/>
      <c r="AN61" s="6"/>
      <c r="AO61" s="6"/>
      <c r="AP61" s="50"/>
      <c r="AQ61" s="613"/>
      <c r="AR61" s="614"/>
      <c r="AS61" s="6"/>
      <c r="AT61" s="605"/>
      <c r="AU61" s="964"/>
      <c r="AV61" s="753"/>
    </row>
    <row r="62" spans="1:48" ht="62.45" customHeight="1" x14ac:dyDescent="0.25">
      <c r="A62" s="2205"/>
      <c r="B62" s="970">
        <v>2</v>
      </c>
      <c r="C62" s="978"/>
      <c r="D62" s="980"/>
      <c r="E62" s="980"/>
      <c r="F62" s="749"/>
      <c r="G62" s="972"/>
      <c r="H62" s="979"/>
      <c r="I62" s="692"/>
      <c r="J62" s="687"/>
      <c r="K62" s="622"/>
      <c r="L62" s="572"/>
      <c r="M62" s="6"/>
      <c r="N62" s="6"/>
      <c r="O62" s="613"/>
      <c r="P62" s="752"/>
      <c r="Q62" s="976"/>
      <c r="R62" s="976"/>
      <c r="S62" s="753"/>
      <c r="T62" s="622"/>
      <c r="U62" s="572"/>
      <c r="V62" s="6"/>
      <c r="W62" s="6"/>
      <c r="X62" s="613"/>
      <c r="Y62" s="975"/>
      <c r="Z62" s="605"/>
      <c r="AA62" s="605"/>
      <c r="AB62" s="753"/>
      <c r="AC62" s="622"/>
      <c r="AD62" s="572"/>
      <c r="AE62" s="6"/>
      <c r="AF62" s="6"/>
      <c r="AG62" s="613"/>
      <c r="AH62" s="614"/>
      <c r="AI62" s="6"/>
      <c r="AJ62" s="605"/>
      <c r="AK62" s="753"/>
      <c r="AM62" s="572"/>
      <c r="AN62" s="6"/>
      <c r="AO62" s="6"/>
      <c r="AP62" s="50"/>
      <c r="AQ62" s="613"/>
      <c r="AR62" s="614"/>
      <c r="AS62" s="6"/>
      <c r="AT62" s="605"/>
      <c r="AU62" s="964"/>
      <c r="AV62" s="753"/>
    </row>
    <row r="63" spans="1:48" ht="33.6" customHeight="1" x14ac:dyDescent="0.25">
      <c r="A63" s="2206">
        <v>45169</v>
      </c>
      <c r="B63" s="574">
        <v>1</v>
      </c>
      <c r="C63" s="706"/>
      <c r="D63" s="707"/>
      <c r="E63" s="707"/>
      <c r="F63" s="708"/>
      <c r="G63" s="717"/>
      <c r="H63" s="709"/>
      <c r="I63" s="620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/>
      <c r="X63" s="597"/>
      <c r="Y63" s="685"/>
      <c r="Z63" s="619"/>
      <c r="AA63" s="6"/>
      <c r="AB63" s="974"/>
      <c r="AC63" s="622"/>
      <c r="AD63" s="572"/>
      <c r="AE63" s="6"/>
      <c r="AF63" s="6"/>
      <c r="AG63" s="597"/>
      <c r="AH63" s="685"/>
      <c r="AI63" s="619"/>
      <c r="AJ63" s="6"/>
      <c r="AK63" s="705"/>
      <c r="AM63" s="572"/>
      <c r="AN63" s="6"/>
      <c r="AO63" s="6">
        <v>23</v>
      </c>
      <c r="AP63" s="50"/>
      <c r="AQ63" s="597"/>
      <c r="AR63" s="685"/>
      <c r="AS63" s="619"/>
      <c r="AT63" s="619" t="s">
        <v>97</v>
      </c>
      <c r="AU63" s="965"/>
      <c r="AV63" s="705"/>
    </row>
    <row r="64" spans="1:48" ht="30.6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963"/>
      <c r="AQ64" s="636"/>
      <c r="AR64" s="637"/>
      <c r="AS64" s="638"/>
      <c r="AT64" s="638"/>
      <c r="AU64" s="966"/>
      <c r="AV64" s="713"/>
    </row>
    <row r="65" spans="1:43" ht="23.45" customHeight="1" x14ac:dyDescent="0.25">
      <c r="A65" s="524" t="s">
        <v>225</v>
      </c>
      <c r="C65" s="768">
        <f>SUM(C3:C64)</f>
        <v>433</v>
      </c>
      <c r="D65" s="525">
        <f>SUM(D3:D64)</f>
        <v>147</v>
      </c>
      <c r="E65" s="768">
        <f>SUM(E3:E64)</f>
        <v>410</v>
      </c>
      <c r="F65" s="525">
        <f>SUM(F3:F64)</f>
        <v>1086</v>
      </c>
      <c r="L65" s="525">
        <f>SUM(L3:L64)</f>
        <v>0</v>
      </c>
      <c r="M65" s="525">
        <f>SUM(M3:M64)</f>
        <v>136</v>
      </c>
      <c r="N65" s="525">
        <f>SUM(N3:N64)</f>
        <v>123</v>
      </c>
      <c r="O65" s="525">
        <f>SUM(O3:O64)</f>
        <v>1087</v>
      </c>
      <c r="U65" s="525">
        <f>SUM(U3:U64)</f>
        <v>200</v>
      </c>
      <c r="V65" s="525">
        <f>SUM(V3:V64)</f>
        <v>186</v>
      </c>
      <c r="W65" s="525">
        <f>SUM(W3:W64)</f>
        <v>223</v>
      </c>
      <c r="X65" s="525">
        <f>SUM(X3:X64)</f>
        <v>1089</v>
      </c>
      <c r="AD65" s="525">
        <f>SUM(AD3:AD64)</f>
        <v>223</v>
      </c>
      <c r="AE65" s="525">
        <f>SUM(AE3:AE64)</f>
        <v>0</v>
      </c>
      <c r="AF65" s="525">
        <f>SUM(AF3:AF64)</f>
        <v>136</v>
      </c>
      <c r="AG65" s="525">
        <f>SUM(AG3:AG64)</f>
        <v>1100</v>
      </c>
      <c r="AM65" s="525">
        <f>SUM(AM3:AM64)</f>
        <v>470</v>
      </c>
      <c r="AN65" s="525">
        <f>SUM(AN3:AN64)</f>
        <v>50</v>
      </c>
      <c r="AO65" s="525">
        <f>SUM(AO3:AO64)</f>
        <v>65</v>
      </c>
      <c r="AP65" s="525"/>
      <c r="AQ65" s="525">
        <f>SUM(AQ3:AQ64)</f>
        <v>0</v>
      </c>
    </row>
    <row r="73" spans="1:43" ht="15.75" thickBot="1" x14ac:dyDescent="0.3"/>
    <row r="74" spans="1:43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3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3" ht="21.75" customHeight="1" x14ac:dyDescent="0.3">
      <c r="B76" s="651" t="s">
        <v>218</v>
      </c>
      <c r="C76" s="652">
        <f>C65</f>
        <v>433</v>
      </c>
      <c r="D76" s="653">
        <f>C76/60</f>
        <v>7.2166666666666668</v>
      </c>
      <c r="E76" s="652">
        <f>D65</f>
        <v>147</v>
      </c>
      <c r="F76" s="654">
        <f>E76/60</f>
        <v>2.4500000000000002</v>
      </c>
      <c r="G76" s="652">
        <f>E65</f>
        <v>410</v>
      </c>
      <c r="H76" s="653">
        <f>G76/60</f>
        <v>6.833333333333333</v>
      </c>
      <c r="I76" s="652">
        <f>F65</f>
        <v>1086</v>
      </c>
      <c r="J76" s="653">
        <f>I76/60</f>
        <v>18.100000000000001</v>
      </c>
    </row>
    <row r="77" spans="1:43" ht="19.5" customHeight="1" x14ac:dyDescent="0.3">
      <c r="B77" s="651" t="s">
        <v>219</v>
      </c>
      <c r="C77" s="655">
        <f>L65</f>
        <v>0</v>
      </c>
      <c r="D77" s="656">
        <f>C77/60</f>
        <v>0</v>
      </c>
      <c r="E77" s="655">
        <f>M65</f>
        <v>136</v>
      </c>
      <c r="F77" s="657">
        <f>E77/60</f>
        <v>2.2666666666666666</v>
      </c>
      <c r="G77" s="655">
        <f>N65</f>
        <v>123</v>
      </c>
      <c r="H77" s="656">
        <f>G77/60</f>
        <v>2.0499999999999998</v>
      </c>
      <c r="I77" s="655">
        <f>O65</f>
        <v>1087</v>
      </c>
      <c r="J77" s="656">
        <f>I77/60</f>
        <v>18.116666666666667</v>
      </c>
    </row>
    <row r="78" spans="1:43" ht="20.25" customHeight="1" x14ac:dyDescent="0.3">
      <c r="B78" s="651" t="s">
        <v>220</v>
      </c>
      <c r="C78" s="655">
        <f>U65</f>
        <v>200</v>
      </c>
      <c r="D78" s="656">
        <f>C78/60</f>
        <v>3.3333333333333335</v>
      </c>
      <c r="E78" s="655">
        <f>V65</f>
        <v>186</v>
      </c>
      <c r="F78" s="657">
        <f>E78/60</f>
        <v>3.1</v>
      </c>
      <c r="G78" s="655">
        <f>W65</f>
        <v>223</v>
      </c>
      <c r="H78" s="656">
        <f>G78/60</f>
        <v>3.7166666666666668</v>
      </c>
      <c r="I78" s="655">
        <f>X65</f>
        <v>1089</v>
      </c>
      <c r="J78" s="656">
        <f>I78/60</f>
        <v>18.149999999999999</v>
      </c>
    </row>
    <row r="79" spans="1:43" ht="22.5" customHeight="1" thickBot="1" x14ac:dyDescent="0.35">
      <c r="B79" s="651" t="s">
        <v>221</v>
      </c>
      <c r="C79" s="658">
        <f>AD65</f>
        <v>223</v>
      </c>
      <c r="D79" s="659">
        <f>C79/60</f>
        <v>3.7166666666666668</v>
      </c>
      <c r="E79" s="658">
        <f>AE65</f>
        <v>0</v>
      </c>
      <c r="F79" s="660">
        <f>E79/60</f>
        <v>0</v>
      </c>
      <c r="G79" s="658">
        <f>AF65</f>
        <v>136</v>
      </c>
      <c r="H79" s="659">
        <f>G79/60</f>
        <v>2.2666666666666666</v>
      </c>
      <c r="I79" s="658">
        <f>AG65</f>
        <v>1100</v>
      </c>
      <c r="J79" s="659">
        <f>I79/60</f>
        <v>18.333333333333332</v>
      </c>
    </row>
    <row r="80" spans="1:43" ht="22.5" customHeight="1" thickBot="1" x14ac:dyDescent="0.35">
      <c r="B80" s="651" t="s">
        <v>488</v>
      </c>
      <c r="C80" s="850">
        <f>AM65</f>
        <v>470</v>
      </c>
      <c r="D80" s="849">
        <f>C80/60</f>
        <v>7.833333333333333</v>
      </c>
      <c r="E80" s="850">
        <f>AN65</f>
        <v>50</v>
      </c>
      <c r="F80" s="851">
        <f>E80/60</f>
        <v>0.83333333333333337</v>
      </c>
      <c r="G80" s="850">
        <f>AO65</f>
        <v>65</v>
      </c>
      <c r="H80" s="849">
        <f>G80/60</f>
        <v>1.0833333333333333</v>
      </c>
      <c r="I80" s="850">
        <f>AQ65</f>
        <v>0</v>
      </c>
      <c r="J80" s="849">
        <f>I80/60</f>
        <v>0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22.1</v>
      </c>
      <c r="E82" s="666"/>
      <c r="F82" s="667">
        <f>SUM(F76:F80)</f>
        <v>8.65</v>
      </c>
      <c r="G82" s="666"/>
      <c r="H82" s="667">
        <f>SUM(H76:H80)</f>
        <v>15.950000000000001</v>
      </c>
      <c r="I82" s="666"/>
      <c r="J82" s="668">
        <f>AVERAGE(J76:J80)</f>
        <v>14.540000000000001</v>
      </c>
    </row>
  </sheetData>
  <mergeCells count="45"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D1:AG1"/>
    <mergeCell ref="AH1:AK1"/>
    <mergeCell ref="AM1:AQ1"/>
    <mergeCell ref="AR1:AV1"/>
    <mergeCell ref="A3:A4"/>
    <mergeCell ref="U1:X1"/>
    <mergeCell ref="Y1:AB1"/>
    <mergeCell ref="A5:A6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2"/>
  <sheetViews>
    <sheetView zoomScale="50" zoomScaleNormal="5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J42" sqref="J42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7.285156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3" style="524" customWidth="1"/>
    <col min="17" max="17" width="25.7109375" style="524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2.42578125" style="524" customWidth="1"/>
    <col min="28" max="28" width="27" style="524" customWidth="1"/>
    <col min="29" max="33" width="10.7109375" style="524" customWidth="1"/>
    <col min="34" max="34" width="31.28515625" style="524" customWidth="1"/>
    <col min="35" max="35" width="18.57031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3" width="10.7109375" style="524" customWidth="1"/>
    <col min="44" max="44" width="21.140625" style="524" customWidth="1"/>
    <col min="45" max="45" width="26.28515625" style="524" customWidth="1"/>
    <col min="46" max="47" width="24.42578125" style="524" customWidth="1"/>
    <col min="48" max="48" width="26.5703125" style="524" customWidth="1"/>
    <col min="49" max="16384" width="8.85546875" style="524"/>
  </cols>
  <sheetData>
    <row r="1" spans="1:48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0"/>
      <c r="AR1" s="2252" t="s">
        <v>206</v>
      </c>
      <c r="AS1" s="2252"/>
      <c r="AT1" s="2252"/>
      <c r="AU1" s="2252"/>
      <c r="AV1" s="2253"/>
    </row>
    <row r="2" spans="1:48" ht="42.6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6" t="s">
        <v>199</v>
      </c>
      <c r="AI2" s="984" t="s">
        <v>200</v>
      </c>
      <c r="AJ2" s="984" t="s">
        <v>201</v>
      </c>
      <c r="AK2" s="984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4" t="s">
        <v>204</v>
      </c>
      <c r="AR2" s="986" t="s">
        <v>199</v>
      </c>
      <c r="AS2" s="984" t="s">
        <v>200</v>
      </c>
      <c r="AT2" s="984" t="s">
        <v>201</v>
      </c>
      <c r="AU2" s="984" t="s">
        <v>204</v>
      </c>
      <c r="AV2" s="984" t="s">
        <v>204</v>
      </c>
    </row>
    <row r="3" spans="1:48" ht="30" customHeight="1" x14ac:dyDescent="0.25">
      <c r="A3" s="2206">
        <v>45170</v>
      </c>
      <c r="B3" s="990">
        <v>1</v>
      </c>
      <c r="C3" s="592"/>
      <c r="D3" s="593"/>
      <c r="E3" s="847"/>
      <c r="F3" s="594"/>
      <c r="G3" s="685"/>
      <c r="H3" s="619"/>
      <c r="I3" s="848"/>
      <c r="J3" s="686"/>
      <c r="K3" s="622"/>
      <c r="L3" s="612"/>
      <c r="M3" s="630"/>
      <c r="N3" s="630"/>
      <c r="O3" s="628"/>
      <c r="P3" s="629"/>
      <c r="Q3" s="699"/>
      <c r="R3" s="699"/>
      <c r="S3" s="628"/>
      <c r="T3" s="622"/>
      <c r="U3" s="612"/>
      <c r="V3" s="630"/>
      <c r="W3" s="630"/>
      <c r="X3" s="613"/>
      <c r="Y3" s="993"/>
      <c r="Z3" s="629"/>
      <c r="AA3" s="719"/>
      <c r="AB3" s="720"/>
      <c r="AC3" s="622"/>
      <c r="AD3" s="612"/>
      <c r="AE3" s="630"/>
      <c r="AF3" s="6"/>
      <c r="AG3" s="628"/>
      <c r="AH3" s="629"/>
      <c r="AI3" s="629"/>
      <c r="AJ3" s="605"/>
      <c r="AK3" s="628"/>
      <c r="AM3" s="612"/>
      <c r="AN3" s="630"/>
      <c r="AO3" s="6"/>
      <c r="AP3" s="962"/>
      <c r="AQ3" s="628"/>
      <c r="AR3" s="629"/>
      <c r="AS3" s="648"/>
      <c r="AT3" s="6"/>
      <c r="AU3" s="962"/>
      <c r="AV3" s="628"/>
    </row>
    <row r="4" spans="1:48" ht="36.6" customHeight="1" x14ac:dyDescent="0.25">
      <c r="A4" s="2205"/>
      <c r="B4" s="574">
        <v>2</v>
      </c>
      <c r="C4" s="595"/>
      <c r="D4" s="596"/>
      <c r="E4" s="596"/>
      <c r="F4" s="597"/>
      <c r="G4" s="685"/>
      <c r="H4" s="619"/>
      <c r="I4" s="848"/>
      <c r="J4" s="687"/>
      <c r="K4" s="622"/>
      <c r="L4" s="572"/>
      <c r="M4" s="6"/>
      <c r="N4" s="6"/>
      <c r="O4" s="613"/>
      <c r="P4" s="614"/>
      <c r="Q4" s="619"/>
      <c r="R4" s="995"/>
      <c r="S4" s="613"/>
      <c r="T4" s="622"/>
      <c r="U4" s="572"/>
      <c r="V4" s="605"/>
      <c r="W4" s="6"/>
      <c r="X4" s="613"/>
      <c r="Y4" s="993"/>
      <c r="Z4" s="619"/>
      <c r="AA4" s="698"/>
      <c r="AB4" s="722"/>
      <c r="AC4" s="622"/>
      <c r="AD4" s="572"/>
      <c r="AE4" s="6"/>
      <c r="AF4" s="6"/>
      <c r="AG4" s="613"/>
      <c r="AH4" s="614"/>
      <c r="AI4" s="619"/>
      <c r="AJ4" s="6"/>
      <c r="AK4" s="613"/>
      <c r="AM4" s="572"/>
      <c r="AN4" s="6"/>
      <c r="AO4" s="6"/>
      <c r="AP4" s="50"/>
      <c r="AQ4" s="613"/>
      <c r="AR4" s="614"/>
      <c r="AS4" s="620"/>
      <c r="AT4" s="6"/>
      <c r="AU4" s="50"/>
      <c r="AV4" s="613"/>
    </row>
    <row r="5" spans="1:48" ht="60" customHeight="1" x14ac:dyDescent="0.25">
      <c r="A5" s="2206">
        <v>45171</v>
      </c>
      <c r="B5" s="574">
        <v>1</v>
      </c>
      <c r="C5" s="595"/>
      <c r="D5" s="596"/>
      <c r="E5" s="596">
        <v>22</v>
      </c>
      <c r="F5" s="597"/>
      <c r="G5" s="685"/>
      <c r="H5" s="619"/>
      <c r="I5" s="620" t="s">
        <v>97</v>
      </c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/>
      <c r="X5" s="613"/>
      <c r="Y5" s="993"/>
      <c r="Z5" s="6"/>
      <c r="AA5" s="698"/>
      <c r="AB5" s="723"/>
      <c r="AC5" s="622"/>
      <c r="AD5" s="572"/>
      <c r="AE5" s="6"/>
      <c r="AF5" s="6"/>
      <c r="AG5" s="613"/>
      <c r="AH5" s="614"/>
      <c r="AI5" s="6"/>
      <c r="AJ5" s="719"/>
      <c r="AK5" s="613"/>
      <c r="AM5" s="572"/>
      <c r="AN5" s="6"/>
      <c r="AO5" s="6"/>
      <c r="AP5" s="50"/>
      <c r="AQ5" s="613"/>
      <c r="AR5" s="614"/>
      <c r="AS5" s="6"/>
      <c r="AT5" s="605"/>
      <c r="AU5" s="828"/>
      <c r="AV5" s="634"/>
    </row>
    <row r="6" spans="1:48" ht="80.45" customHeight="1" x14ac:dyDescent="0.25">
      <c r="A6" s="2205"/>
      <c r="B6" s="574">
        <v>2</v>
      </c>
      <c r="C6" s="595"/>
      <c r="D6" s="596"/>
      <c r="E6" s="596"/>
      <c r="F6" s="597"/>
      <c r="G6" s="684"/>
      <c r="H6" s="619"/>
      <c r="I6" s="620"/>
      <c r="J6" s="687"/>
      <c r="K6" s="622"/>
      <c r="L6" s="572"/>
      <c r="M6" s="6"/>
      <c r="N6" s="6"/>
      <c r="O6" s="613"/>
      <c r="P6" s="614"/>
      <c r="Q6" s="619"/>
      <c r="R6" s="6"/>
      <c r="S6" s="613"/>
      <c r="T6" s="622"/>
      <c r="U6" s="572"/>
      <c r="V6" s="6"/>
      <c r="W6" s="6"/>
      <c r="X6" s="613"/>
      <c r="Y6" s="993"/>
      <c r="Z6" s="6"/>
      <c r="AA6" s="698"/>
      <c r="AB6" s="613"/>
      <c r="AC6" s="622"/>
      <c r="AD6" s="572"/>
      <c r="AE6" s="6"/>
      <c r="AF6" s="6"/>
      <c r="AG6" s="613"/>
      <c r="AH6" s="614"/>
      <c r="AI6" s="6"/>
      <c r="AJ6" s="6"/>
      <c r="AK6" s="613"/>
      <c r="AM6" s="572"/>
      <c r="AN6" s="6"/>
      <c r="AO6" s="6"/>
      <c r="AP6" s="50"/>
      <c r="AQ6" s="613"/>
      <c r="AR6" s="614"/>
      <c r="AS6" s="6"/>
      <c r="AT6" s="605"/>
      <c r="AU6" s="828"/>
      <c r="AV6" s="634"/>
    </row>
    <row r="7" spans="1:48" ht="71.45" customHeight="1" x14ac:dyDescent="0.25">
      <c r="A7" s="2206">
        <v>45172</v>
      </c>
      <c r="B7" s="574">
        <v>1</v>
      </c>
      <c r="C7" s="595"/>
      <c r="D7" s="596">
        <v>12</v>
      </c>
      <c r="E7" s="596"/>
      <c r="F7" s="597"/>
      <c r="G7" s="685"/>
      <c r="H7" s="620" t="s">
        <v>736</v>
      </c>
      <c r="I7" s="620"/>
      <c r="J7" s="687"/>
      <c r="K7" s="622"/>
      <c r="L7" s="572"/>
      <c r="M7" s="614"/>
      <c r="N7" s="6"/>
      <c r="O7" s="613"/>
      <c r="P7" s="614"/>
      <c r="Q7" s="614"/>
      <c r="R7" s="6"/>
      <c r="S7" s="613"/>
      <c r="T7" s="622"/>
      <c r="U7" s="572"/>
      <c r="V7" s="6">
        <v>15</v>
      </c>
      <c r="W7" s="6"/>
      <c r="X7" s="613"/>
      <c r="Y7" s="614"/>
      <c r="Z7" s="6" t="s">
        <v>736</v>
      </c>
      <c r="AA7" s="698"/>
      <c r="AB7" s="613"/>
      <c r="AC7" s="622"/>
      <c r="AD7" s="572"/>
      <c r="AE7" s="6"/>
      <c r="AF7" s="6"/>
      <c r="AG7" s="613"/>
      <c r="AH7" s="614"/>
      <c r="AI7" s="6"/>
      <c r="AJ7" s="6"/>
      <c r="AK7" s="613"/>
      <c r="AM7" s="572"/>
      <c r="AN7" s="6"/>
      <c r="AO7" s="6"/>
      <c r="AP7" s="50"/>
      <c r="AQ7" s="613"/>
      <c r="AR7" s="614"/>
      <c r="AS7" s="6"/>
      <c r="AT7" s="620"/>
      <c r="AU7" s="692"/>
      <c r="AV7" s="634"/>
    </row>
    <row r="8" spans="1:48" ht="69.599999999999994" customHeight="1" x14ac:dyDescent="0.25">
      <c r="A8" s="2205"/>
      <c r="B8" s="574">
        <v>2</v>
      </c>
      <c r="C8" s="595"/>
      <c r="D8" s="596"/>
      <c r="E8" s="596"/>
      <c r="F8" s="597"/>
      <c r="G8" s="684"/>
      <c r="H8" s="620"/>
      <c r="I8" s="620"/>
      <c r="J8" s="635"/>
      <c r="K8" s="622"/>
      <c r="L8" s="572"/>
      <c r="M8" s="6"/>
      <c r="N8" s="6"/>
      <c r="O8" s="613"/>
      <c r="P8" s="993"/>
      <c r="Q8" s="605"/>
      <c r="R8" s="605"/>
      <c r="S8" s="635"/>
      <c r="T8" s="622"/>
      <c r="U8" s="572"/>
      <c r="V8" s="831"/>
      <c r="W8" s="614"/>
      <c r="X8" s="613"/>
      <c r="Y8" s="993"/>
      <c r="Z8" s="6"/>
      <c r="AA8" s="698"/>
      <c r="AB8" s="635"/>
      <c r="AC8" s="622"/>
      <c r="AD8" s="572">
        <v>26</v>
      </c>
      <c r="AE8" s="6"/>
      <c r="AF8" s="6">
        <v>6</v>
      </c>
      <c r="AG8" s="613"/>
      <c r="AH8" s="614" t="s">
        <v>186</v>
      </c>
      <c r="AI8" s="605"/>
      <c r="AJ8" s="620" t="s">
        <v>562</v>
      </c>
      <c r="AK8" s="635"/>
      <c r="AM8" s="572"/>
      <c r="AN8" s="6"/>
      <c r="AO8" s="6"/>
      <c r="AP8" s="50"/>
      <c r="AQ8" s="613"/>
      <c r="AR8" s="614"/>
      <c r="AS8" s="6"/>
      <c r="AT8" s="6"/>
      <c r="AU8" s="50"/>
      <c r="AV8" s="634"/>
    </row>
    <row r="9" spans="1:48" ht="76.900000000000006" customHeight="1" x14ac:dyDescent="0.25">
      <c r="A9" s="2206">
        <v>45173</v>
      </c>
      <c r="B9" s="574">
        <v>1</v>
      </c>
      <c r="C9" s="595"/>
      <c r="D9" s="596"/>
      <c r="E9" s="596"/>
      <c r="F9" s="597"/>
      <c r="G9" s="684"/>
      <c r="H9" s="619"/>
      <c r="I9" s="620"/>
      <c r="J9" s="635"/>
      <c r="K9" s="622"/>
      <c r="L9" s="572"/>
      <c r="M9" s="6"/>
      <c r="N9" s="6"/>
      <c r="O9" s="613"/>
      <c r="P9" s="993"/>
      <c r="Q9" s="620"/>
      <c r="R9" s="605"/>
      <c r="S9" s="635"/>
      <c r="T9" s="622"/>
      <c r="U9" s="572"/>
      <c r="V9" s="6"/>
      <c r="W9" s="6"/>
      <c r="X9" s="613"/>
      <c r="Y9" s="614"/>
      <c r="Z9" s="6"/>
      <c r="AA9" s="698"/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/>
      <c r="AN9" s="6"/>
      <c r="AO9" s="6"/>
      <c r="AP9" s="50"/>
      <c r="AQ9" s="613"/>
      <c r="AR9" s="614"/>
      <c r="AS9" s="6"/>
      <c r="AT9" s="605"/>
      <c r="AU9" s="828"/>
      <c r="AV9" s="634"/>
    </row>
    <row r="10" spans="1:48" ht="67.150000000000006" customHeight="1" x14ac:dyDescent="0.25">
      <c r="A10" s="2205"/>
      <c r="B10" s="574">
        <v>2</v>
      </c>
      <c r="C10" s="595"/>
      <c r="D10" s="596"/>
      <c r="E10" s="596"/>
      <c r="F10" s="597"/>
      <c r="G10" s="685"/>
      <c r="H10" s="619"/>
      <c r="I10" s="848"/>
      <c r="J10" s="635"/>
      <c r="K10" s="622"/>
      <c r="L10" s="572"/>
      <c r="M10" s="6"/>
      <c r="N10" s="6"/>
      <c r="O10" s="613"/>
      <c r="P10" s="993"/>
      <c r="Q10" s="6"/>
      <c r="R10" s="605"/>
      <c r="S10" s="635"/>
      <c r="T10" s="622"/>
      <c r="U10" s="572"/>
      <c r="V10" s="6"/>
      <c r="W10" s="6">
        <v>7</v>
      </c>
      <c r="X10" s="613"/>
      <c r="Y10" s="567"/>
      <c r="Z10" s="993"/>
      <c r="AA10" s="698" t="s">
        <v>152</v>
      </c>
      <c r="AB10" s="635"/>
      <c r="AC10" s="622"/>
      <c r="AD10" s="572"/>
      <c r="AE10" s="6"/>
      <c r="AF10" s="6"/>
      <c r="AG10" s="613"/>
      <c r="AH10" s="993"/>
      <c r="AI10" s="605"/>
      <c r="AJ10" s="6"/>
      <c r="AK10" s="635"/>
      <c r="AM10" s="572"/>
      <c r="AN10" s="6"/>
      <c r="AO10" s="6"/>
      <c r="AP10" s="50"/>
      <c r="AQ10" s="613"/>
      <c r="AR10" s="614"/>
      <c r="AS10" s="6"/>
      <c r="AT10" s="6"/>
      <c r="AU10" s="50"/>
      <c r="AV10" s="634"/>
    </row>
    <row r="11" spans="1:48" ht="60" customHeight="1" x14ac:dyDescent="0.25">
      <c r="A11" s="2206">
        <v>45174</v>
      </c>
      <c r="B11" s="574">
        <v>1</v>
      </c>
      <c r="C11" s="595"/>
      <c r="D11" s="596"/>
      <c r="E11" s="596">
        <v>38</v>
      </c>
      <c r="F11" s="597"/>
      <c r="G11" s="684"/>
      <c r="H11" s="619"/>
      <c r="I11" s="620" t="s">
        <v>152</v>
      </c>
      <c r="J11" s="687"/>
      <c r="K11" s="622"/>
      <c r="L11" s="572"/>
      <c r="M11" s="6"/>
      <c r="N11" s="6"/>
      <c r="O11" s="613"/>
      <c r="P11" s="993"/>
      <c r="Q11" s="6"/>
      <c r="R11" s="605"/>
      <c r="S11" s="613"/>
      <c r="T11" s="622"/>
      <c r="U11" s="572"/>
      <c r="V11" s="6"/>
      <c r="W11" s="6">
        <v>14</v>
      </c>
      <c r="X11" s="613"/>
      <c r="Y11" s="614"/>
      <c r="Z11" s="6"/>
      <c r="AA11" s="698" t="s">
        <v>152</v>
      </c>
      <c r="AB11" s="613"/>
      <c r="AC11" s="622"/>
      <c r="AD11" s="572"/>
      <c r="AE11" s="6"/>
      <c r="AF11" s="6"/>
      <c r="AG11" s="613"/>
      <c r="AH11" s="614"/>
      <c r="AI11" s="6"/>
      <c r="AJ11" s="6"/>
      <c r="AK11" s="613"/>
      <c r="AM11" s="572"/>
      <c r="AN11" s="6"/>
      <c r="AO11" s="6"/>
      <c r="AP11" s="50"/>
      <c r="AQ11" s="613"/>
      <c r="AR11" s="614"/>
      <c r="AS11" s="6"/>
      <c r="AT11" s="6"/>
      <c r="AU11" s="50"/>
      <c r="AV11" s="634"/>
    </row>
    <row r="12" spans="1:48" ht="55.15" customHeight="1" x14ac:dyDescent="0.25">
      <c r="A12" s="2205"/>
      <c r="B12" s="574">
        <v>2</v>
      </c>
      <c r="C12" s="595"/>
      <c r="D12" s="596"/>
      <c r="E12" s="596"/>
      <c r="F12" s="597"/>
      <c r="G12" s="685"/>
      <c r="H12" s="619"/>
      <c r="I12" s="620"/>
      <c r="J12" s="635"/>
      <c r="K12" s="622"/>
      <c r="L12" s="572"/>
      <c r="M12" s="6"/>
      <c r="N12" s="6"/>
      <c r="O12" s="613"/>
      <c r="P12" s="993"/>
      <c r="Q12" s="6"/>
      <c r="R12" s="605"/>
      <c r="S12" s="635"/>
      <c r="T12" s="622"/>
      <c r="U12" s="572"/>
      <c r="V12" s="6"/>
      <c r="W12" s="6"/>
      <c r="X12" s="613"/>
      <c r="Y12" s="614"/>
      <c r="Z12" s="6"/>
      <c r="AA12" s="698"/>
      <c r="AB12" s="635"/>
      <c r="AC12" s="622"/>
      <c r="AD12" s="572"/>
      <c r="AE12" s="6"/>
      <c r="AF12" s="6"/>
      <c r="AG12" s="613"/>
      <c r="AH12" s="614"/>
      <c r="AI12" s="605"/>
      <c r="AJ12" s="6"/>
      <c r="AK12" s="635"/>
      <c r="AM12" s="572"/>
      <c r="AN12" s="6"/>
      <c r="AO12" s="6"/>
      <c r="AP12" s="50"/>
      <c r="AQ12" s="613"/>
      <c r="AR12" s="614"/>
      <c r="AS12" s="6"/>
      <c r="AT12" s="6"/>
      <c r="AU12" s="50"/>
      <c r="AV12" s="635"/>
    </row>
    <row r="13" spans="1:48" ht="34.9" customHeight="1" x14ac:dyDescent="0.25">
      <c r="A13" s="2206">
        <v>45175</v>
      </c>
      <c r="B13" s="574">
        <v>1</v>
      </c>
      <c r="C13" s="595"/>
      <c r="D13" s="596"/>
      <c r="E13" s="596">
        <v>20</v>
      </c>
      <c r="F13" s="597"/>
      <c r="G13" s="685"/>
      <c r="H13" s="619"/>
      <c r="I13" s="620" t="s">
        <v>152</v>
      </c>
      <c r="J13" s="635"/>
      <c r="K13" s="622"/>
      <c r="L13" s="572"/>
      <c r="M13" s="6"/>
      <c r="N13" s="6"/>
      <c r="O13" s="597"/>
      <c r="P13" s="993"/>
      <c r="Q13" s="6"/>
      <c r="R13" s="605"/>
      <c r="S13" s="635"/>
      <c r="T13" s="622"/>
      <c r="U13" s="572"/>
      <c r="V13" s="6"/>
      <c r="W13" s="6">
        <v>20</v>
      </c>
      <c r="X13" s="613"/>
      <c r="Y13" s="614"/>
      <c r="Z13" s="6"/>
      <c r="AA13" s="698" t="s">
        <v>152</v>
      </c>
      <c r="AB13" s="635"/>
      <c r="AC13" s="622"/>
      <c r="AD13" s="572"/>
      <c r="AE13" s="6"/>
      <c r="AF13" s="6"/>
      <c r="AG13" s="597"/>
      <c r="AH13" s="614"/>
      <c r="AI13" s="6"/>
      <c r="AJ13" s="6"/>
      <c r="AK13" s="635"/>
      <c r="AM13" s="572"/>
      <c r="AN13" s="6"/>
      <c r="AO13" s="6"/>
      <c r="AP13" s="50"/>
      <c r="AQ13" s="597"/>
      <c r="AR13" s="614"/>
      <c r="AS13" s="6"/>
      <c r="AT13" s="6"/>
      <c r="AU13" s="50"/>
      <c r="AV13" s="635"/>
    </row>
    <row r="14" spans="1:48" ht="49.15" customHeight="1" x14ac:dyDescent="0.25">
      <c r="A14" s="2205"/>
      <c r="B14" s="574">
        <v>2</v>
      </c>
      <c r="C14" s="595"/>
      <c r="D14" s="596"/>
      <c r="E14" s="596"/>
      <c r="F14" s="597"/>
      <c r="G14" s="685"/>
      <c r="H14" s="620"/>
      <c r="I14" s="620"/>
      <c r="J14" s="635"/>
      <c r="K14" s="622"/>
      <c r="L14" s="572"/>
      <c r="M14" s="6"/>
      <c r="N14" s="6"/>
      <c r="O14" s="597"/>
      <c r="P14" s="614"/>
      <c r="Q14" s="6"/>
      <c r="R14" s="6"/>
      <c r="S14" s="635"/>
      <c r="T14" s="622"/>
      <c r="U14" s="572"/>
      <c r="V14" s="6"/>
      <c r="W14" s="6">
        <v>41</v>
      </c>
      <c r="X14" s="597"/>
      <c r="Y14" s="993"/>
      <c r="Z14" s="605"/>
      <c r="AA14" s="605" t="s">
        <v>558</v>
      </c>
      <c r="AB14" s="635"/>
      <c r="AC14" s="622"/>
      <c r="AD14" s="572"/>
      <c r="AE14" s="6"/>
      <c r="AF14" s="6"/>
      <c r="AG14" s="597"/>
      <c r="AH14" s="993"/>
      <c r="AI14" s="6"/>
      <c r="AJ14" s="6"/>
      <c r="AK14" s="635"/>
      <c r="AM14" s="572"/>
      <c r="AN14" s="6"/>
      <c r="AO14" s="6"/>
      <c r="AP14" s="50"/>
      <c r="AQ14" s="597"/>
      <c r="AR14" s="993"/>
      <c r="AS14" s="6"/>
      <c r="AT14" s="6"/>
      <c r="AU14" s="50"/>
      <c r="AV14" s="635"/>
    </row>
    <row r="15" spans="1:48" ht="48" customHeight="1" x14ac:dyDescent="0.25">
      <c r="A15" s="2206">
        <v>45176</v>
      </c>
      <c r="B15" s="574">
        <v>1</v>
      </c>
      <c r="C15" s="595"/>
      <c r="D15" s="596"/>
      <c r="E15" s="6">
        <v>20</v>
      </c>
      <c r="F15" s="597"/>
      <c r="G15" s="685"/>
      <c r="H15" s="620"/>
      <c r="I15" s="620" t="s">
        <v>158</v>
      </c>
      <c r="J15" s="635"/>
      <c r="K15" s="622"/>
      <c r="L15" s="572"/>
      <c r="M15" s="6"/>
      <c r="N15" s="6"/>
      <c r="O15" s="597"/>
      <c r="P15" s="685"/>
      <c r="Q15" s="620"/>
      <c r="R15" s="620"/>
      <c r="S15" s="635"/>
      <c r="T15" s="622"/>
      <c r="U15" s="572"/>
      <c r="V15" s="6"/>
      <c r="W15" s="6">
        <v>47</v>
      </c>
      <c r="X15" s="597"/>
      <c r="Y15" s="685"/>
      <c r="Z15" s="620"/>
      <c r="AA15" s="620" t="s">
        <v>737</v>
      </c>
      <c r="AB15" s="635"/>
      <c r="AC15" s="622"/>
      <c r="AD15" s="572"/>
      <c r="AE15" s="6"/>
      <c r="AF15" s="622"/>
      <c r="AG15" s="597"/>
      <c r="AH15" s="685"/>
      <c r="AI15" s="620"/>
      <c r="AJ15" s="620"/>
      <c r="AK15" s="635"/>
      <c r="AM15" s="572"/>
      <c r="AN15" s="6"/>
      <c r="AO15" s="622"/>
      <c r="AP15" s="597"/>
      <c r="AQ15" s="685"/>
      <c r="AR15" s="620"/>
      <c r="AS15" s="620"/>
      <c r="AT15" s="620"/>
      <c r="AU15" s="635"/>
      <c r="AV15" s="635"/>
    </row>
    <row r="16" spans="1:48" ht="54.6" customHeight="1" x14ac:dyDescent="0.25">
      <c r="A16" s="2205"/>
      <c r="B16" s="574">
        <v>2</v>
      </c>
      <c r="C16" s="595"/>
      <c r="D16" s="596"/>
      <c r="E16" s="596"/>
      <c r="F16" s="597"/>
      <c r="G16" s="684"/>
      <c r="H16" s="830"/>
      <c r="I16" s="848"/>
      <c r="J16" s="635"/>
      <c r="K16" s="622"/>
      <c r="L16" s="572"/>
      <c r="M16" s="6"/>
      <c r="N16" s="6"/>
      <c r="O16" s="597"/>
      <c r="P16" s="684"/>
      <c r="Q16" s="830"/>
      <c r="R16" s="620"/>
      <c r="S16" s="635"/>
      <c r="T16" s="622"/>
      <c r="U16" s="572"/>
      <c r="V16" s="6"/>
      <c r="W16" s="6"/>
      <c r="X16" s="597"/>
      <c r="Y16" s="684"/>
      <c r="Z16" s="830"/>
      <c r="AA16" s="620"/>
      <c r="AB16" s="635"/>
      <c r="AC16" s="622"/>
      <c r="AD16" s="572"/>
      <c r="AE16" s="6"/>
      <c r="AF16" s="6"/>
      <c r="AG16" s="597"/>
      <c r="AH16" s="684"/>
      <c r="AI16" s="830"/>
      <c r="AJ16" s="6"/>
      <c r="AK16" s="635"/>
      <c r="AM16" s="572"/>
      <c r="AN16" s="6"/>
      <c r="AO16" s="6"/>
      <c r="AP16" s="597"/>
      <c r="AQ16" s="684"/>
      <c r="AR16" s="830"/>
      <c r="AS16" s="620"/>
      <c r="AT16" s="620"/>
      <c r="AU16" s="692"/>
      <c r="AV16" s="635"/>
    </row>
    <row r="17" spans="1:48" ht="66" customHeight="1" x14ac:dyDescent="0.25">
      <c r="A17" s="2206">
        <v>45177</v>
      </c>
      <c r="B17" s="644">
        <v>1</v>
      </c>
      <c r="C17" s="595"/>
      <c r="D17" s="596"/>
      <c r="E17" s="596"/>
      <c r="F17" s="597"/>
      <c r="G17" s="685"/>
      <c r="H17" s="619"/>
      <c r="I17" s="620"/>
      <c r="J17" s="635"/>
      <c r="K17" s="622"/>
      <c r="L17" s="572"/>
      <c r="M17" s="6"/>
      <c r="N17" s="6"/>
      <c r="O17" s="597"/>
      <c r="P17" s="685"/>
      <c r="Q17" s="619"/>
      <c r="R17" s="620"/>
      <c r="S17" s="635"/>
      <c r="T17" s="622"/>
      <c r="U17" s="572"/>
      <c r="V17" s="6"/>
      <c r="W17" s="6">
        <v>10</v>
      </c>
      <c r="X17" s="597"/>
      <c r="Y17" s="685"/>
      <c r="Z17" s="619"/>
      <c r="AA17" s="620" t="s">
        <v>152</v>
      </c>
      <c r="AB17" s="635"/>
      <c r="AC17" s="622"/>
      <c r="AD17" s="572"/>
      <c r="AE17" s="6"/>
      <c r="AF17" s="6"/>
      <c r="AG17" s="597"/>
      <c r="AH17" s="685"/>
      <c r="AI17" s="619"/>
      <c r="AJ17" s="620"/>
      <c r="AK17" s="635"/>
      <c r="AM17" s="572"/>
      <c r="AN17" s="6"/>
      <c r="AO17" s="6"/>
      <c r="AP17" s="597"/>
      <c r="AQ17" s="685"/>
      <c r="AR17" s="619"/>
      <c r="AS17" s="620"/>
      <c r="AT17" s="620"/>
      <c r="AU17" s="635"/>
      <c r="AV17" s="635"/>
    </row>
    <row r="18" spans="1:48" ht="49.9" customHeight="1" x14ac:dyDescent="0.25">
      <c r="A18" s="2205"/>
      <c r="B18" s="574">
        <v>2</v>
      </c>
      <c r="C18" s="595"/>
      <c r="D18" s="596"/>
      <c r="E18" s="596"/>
      <c r="F18" s="597"/>
      <c r="G18" s="684"/>
      <c r="H18" s="830"/>
      <c r="I18" s="620"/>
      <c r="J18" s="635"/>
      <c r="K18" s="622"/>
      <c r="L18" s="572"/>
      <c r="M18" s="6"/>
      <c r="N18" s="6"/>
      <c r="O18" s="597"/>
      <c r="P18" s="684"/>
      <c r="Q18" s="620"/>
      <c r="R18" s="619"/>
      <c r="S18" s="635"/>
      <c r="T18" s="622"/>
      <c r="U18" s="572"/>
      <c r="V18" s="6"/>
      <c r="W18" s="6">
        <v>7</v>
      </c>
      <c r="X18" s="597"/>
      <c r="Y18" s="684"/>
      <c r="Z18" s="620"/>
      <c r="AA18" s="620" t="s">
        <v>152</v>
      </c>
      <c r="AB18" s="635"/>
      <c r="AC18" s="622"/>
      <c r="AD18" s="572"/>
      <c r="AE18" s="6"/>
      <c r="AF18" s="6"/>
      <c r="AG18" s="597"/>
      <c r="AH18" s="684"/>
      <c r="AI18" s="620"/>
      <c r="AJ18" s="619"/>
      <c r="AK18" s="635"/>
      <c r="AM18" s="572"/>
      <c r="AN18" s="6"/>
      <c r="AO18" s="6"/>
      <c r="AP18" s="50"/>
      <c r="AQ18" s="597"/>
      <c r="AR18" s="684"/>
      <c r="AS18" s="620"/>
      <c r="AT18" s="620"/>
      <c r="AU18" s="830"/>
      <c r="AV18" s="635"/>
    </row>
    <row r="19" spans="1:48" ht="33.6" customHeight="1" x14ac:dyDescent="0.25">
      <c r="A19" s="2206">
        <v>45178</v>
      </c>
      <c r="B19" s="574">
        <v>1</v>
      </c>
      <c r="C19" s="622"/>
      <c r="D19" s="596"/>
      <c r="E19" s="596"/>
      <c r="F19" s="597"/>
      <c r="G19" s="567"/>
      <c r="H19" s="6"/>
      <c r="I19" s="620"/>
      <c r="J19" s="635"/>
      <c r="K19" s="622"/>
      <c r="L19" s="572"/>
      <c r="M19" s="6"/>
      <c r="N19" s="6"/>
      <c r="O19" s="597"/>
      <c r="P19" s="572"/>
      <c r="Q19" s="6"/>
      <c r="R19" s="6"/>
      <c r="S19" s="635"/>
      <c r="T19" s="622"/>
      <c r="U19" s="572"/>
      <c r="V19" s="6"/>
      <c r="W19" s="6"/>
      <c r="X19" s="597"/>
      <c r="Y19" s="572"/>
      <c r="Z19" s="605"/>
      <c r="AA19" s="620"/>
      <c r="AB19" s="635"/>
      <c r="AC19" s="622"/>
      <c r="AD19" s="572"/>
      <c r="AE19" s="6"/>
      <c r="AF19" s="6"/>
      <c r="AG19" s="597"/>
      <c r="AH19" s="572"/>
      <c r="AI19" s="6"/>
      <c r="AJ19" s="6"/>
      <c r="AK19" s="635"/>
      <c r="AM19" s="572"/>
      <c r="AN19" s="6"/>
      <c r="AO19" s="6"/>
      <c r="AP19" s="50"/>
      <c r="AQ19" s="597"/>
      <c r="AR19" s="572"/>
      <c r="AS19" s="6"/>
      <c r="AT19" s="620"/>
      <c r="AU19" s="828"/>
      <c r="AV19" s="635"/>
    </row>
    <row r="20" spans="1:48" ht="31.15" customHeight="1" x14ac:dyDescent="0.25">
      <c r="A20" s="2205"/>
      <c r="B20" s="574">
        <v>2</v>
      </c>
      <c r="C20" s="595"/>
      <c r="D20" s="596"/>
      <c r="E20" s="596"/>
      <c r="F20" s="597"/>
      <c r="G20" s="567"/>
      <c r="H20" s="605"/>
      <c r="I20" s="620"/>
      <c r="J20" s="635"/>
      <c r="K20" s="622"/>
      <c r="L20" s="572"/>
      <c r="M20" s="6"/>
      <c r="N20" s="6"/>
      <c r="O20" s="597"/>
      <c r="P20" s="572"/>
      <c r="Q20" s="605"/>
      <c r="R20" s="724"/>
      <c r="S20" s="635"/>
      <c r="T20" s="622"/>
      <c r="U20" s="572"/>
      <c r="V20" s="250"/>
      <c r="W20" s="6"/>
      <c r="X20" s="597"/>
      <c r="Y20" s="572"/>
      <c r="Z20" s="605"/>
      <c r="AA20" s="724"/>
      <c r="AB20" s="635"/>
      <c r="AC20" s="622"/>
      <c r="AD20" s="572"/>
      <c r="AE20" s="6"/>
      <c r="AF20" s="6"/>
      <c r="AG20" s="597"/>
      <c r="AH20" s="572"/>
      <c r="AI20" s="605"/>
      <c r="AJ20" s="762"/>
      <c r="AK20" s="635"/>
      <c r="AM20" s="572"/>
      <c r="AN20" s="6"/>
      <c r="AO20" s="6"/>
      <c r="AP20" s="50"/>
      <c r="AQ20" s="597"/>
      <c r="AR20" s="572"/>
      <c r="AS20" s="605"/>
      <c r="AT20" s="605"/>
      <c r="AU20" s="69"/>
      <c r="AV20" s="635"/>
    </row>
    <row r="21" spans="1:48" ht="59.45" customHeight="1" x14ac:dyDescent="0.25">
      <c r="A21" s="2206">
        <v>45179</v>
      </c>
      <c r="B21" s="574">
        <v>1</v>
      </c>
      <c r="C21" s="595"/>
      <c r="D21" s="596"/>
      <c r="E21" s="596"/>
      <c r="F21" s="597"/>
      <c r="G21" s="688"/>
      <c r="H21" s="619"/>
      <c r="I21" s="848"/>
      <c r="J21" s="635"/>
      <c r="K21" s="622"/>
      <c r="L21" s="572"/>
      <c r="M21" s="6"/>
      <c r="N21" s="6"/>
      <c r="O21" s="597"/>
      <c r="P21" s="572"/>
      <c r="Q21" s="6"/>
      <c r="R21" s="6"/>
      <c r="S21" s="635"/>
      <c r="T21" s="622"/>
      <c r="U21" s="572"/>
      <c r="V21" s="6"/>
      <c r="W21" s="6"/>
      <c r="X21" s="597"/>
      <c r="Y21" s="572"/>
      <c r="Z21" s="6"/>
      <c r="AA21" s="605"/>
      <c r="AB21" s="635"/>
      <c r="AC21" s="622"/>
      <c r="AD21" s="572"/>
      <c r="AE21" s="6"/>
      <c r="AF21" s="6">
        <v>60</v>
      </c>
      <c r="AG21" s="597"/>
      <c r="AH21" s="572"/>
      <c r="AI21" s="6"/>
      <c r="AJ21" s="605" t="s">
        <v>738</v>
      </c>
      <c r="AK21" s="726"/>
      <c r="AM21" s="572"/>
      <c r="AN21" s="6"/>
      <c r="AO21" s="6"/>
      <c r="AP21" s="50"/>
      <c r="AQ21" s="597"/>
      <c r="AR21" s="572"/>
      <c r="AS21" s="605"/>
      <c r="AT21" s="50"/>
      <c r="AU21" s="50"/>
      <c r="AV21" s="635"/>
    </row>
    <row r="22" spans="1:48" ht="31.9" customHeight="1" x14ac:dyDescent="0.25">
      <c r="A22" s="2205"/>
      <c r="B22" s="574">
        <v>2</v>
      </c>
      <c r="C22" s="595"/>
      <c r="D22" s="596"/>
      <c r="E22" s="596"/>
      <c r="F22" s="597"/>
      <c r="G22" s="991"/>
      <c r="H22" s="620"/>
      <c r="I22" s="620"/>
      <c r="J22" s="635"/>
      <c r="K22" s="622"/>
      <c r="L22" s="572"/>
      <c r="M22" s="6"/>
      <c r="N22" s="6"/>
      <c r="O22" s="597"/>
      <c r="P22" s="993"/>
      <c r="Q22" s="6"/>
      <c r="R22" s="6"/>
      <c r="S22" s="635"/>
      <c r="T22" s="622"/>
      <c r="U22" s="572"/>
      <c r="V22" s="6"/>
      <c r="W22" s="6"/>
      <c r="X22" s="597"/>
      <c r="Y22" s="567"/>
      <c r="Z22" s="6"/>
      <c r="AA22" s="605"/>
      <c r="AB22" s="635"/>
      <c r="AC22" s="622"/>
      <c r="AD22" s="572"/>
      <c r="AE22" s="6"/>
      <c r="AF22" s="6"/>
      <c r="AG22" s="597"/>
      <c r="AH22" s="567"/>
      <c r="AI22" s="6"/>
      <c r="AJ22" s="6"/>
      <c r="AK22" s="726"/>
      <c r="AM22" s="572"/>
      <c r="AN22" s="6"/>
      <c r="AO22" s="6"/>
      <c r="AP22" s="50"/>
      <c r="AQ22" s="597"/>
      <c r="AR22" s="572"/>
      <c r="AS22" s="605"/>
      <c r="AT22" s="50"/>
      <c r="AU22" s="50"/>
      <c r="AV22" s="635"/>
    </row>
    <row r="23" spans="1:48" ht="47.45" customHeight="1" x14ac:dyDescent="0.25">
      <c r="A23" s="2206">
        <v>45180</v>
      </c>
      <c r="B23" s="644">
        <v>1</v>
      </c>
      <c r="C23" s="595"/>
      <c r="D23" s="596"/>
      <c r="E23" s="596"/>
      <c r="F23" s="597"/>
      <c r="G23" s="685"/>
      <c r="H23" s="619"/>
      <c r="I23" s="620"/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/>
      <c r="V23" s="6"/>
      <c r="W23" s="6"/>
      <c r="X23" s="597"/>
      <c r="Y23" s="567"/>
      <c r="Z23" s="619"/>
      <c r="AA23" s="620"/>
      <c r="AB23" s="635"/>
      <c r="AC23" s="622"/>
      <c r="AD23" s="572"/>
      <c r="AE23" s="6"/>
      <c r="AF23" s="6"/>
      <c r="AG23" s="597"/>
      <c r="AH23" s="6"/>
      <c r="AI23" s="619"/>
      <c r="AJ23" s="620"/>
      <c r="AK23" s="726"/>
      <c r="AM23" s="572"/>
      <c r="AN23" s="6"/>
      <c r="AO23" s="6"/>
      <c r="AP23" s="50"/>
      <c r="AQ23" s="597"/>
      <c r="AR23" s="6"/>
      <c r="AS23" s="619"/>
      <c r="AT23" s="692"/>
      <c r="AU23" s="692"/>
      <c r="AV23" s="635"/>
    </row>
    <row r="24" spans="1:48" ht="49.9" customHeight="1" x14ac:dyDescent="0.25">
      <c r="A24" s="2205"/>
      <c r="B24" s="574">
        <v>2</v>
      </c>
      <c r="C24" s="595"/>
      <c r="D24" s="596"/>
      <c r="E24" s="596"/>
      <c r="F24" s="597">
        <v>680</v>
      </c>
      <c r="G24" s="685"/>
      <c r="H24" s="619"/>
      <c r="I24" s="620"/>
      <c r="J24" s="635" t="s">
        <v>739</v>
      </c>
      <c r="K24" s="622"/>
      <c r="L24" s="572"/>
      <c r="M24" s="6"/>
      <c r="N24" s="6"/>
      <c r="O24" s="597">
        <v>670</v>
      </c>
      <c r="P24" s="685"/>
      <c r="Q24" s="619"/>
      <c r="R24" s="620"/>
      <c r="S24" s="635" t="s">
        <v>739</v>
      </c>
      <c r="T24" s="622"/>
      <c r="U24" s="572"/>
      <c r="V24" s="6"/>
      <c r="W24" s="6"/>
      <c r="X24" s="597">
        <v>673</v>
      </c>
      <c r="Y24" s="685"/>
      <c r="Z24" s="619"/>
      <c r="AA24" s="620"/>
      <c r="AB24" s="635" t="s">
        <v>739</v>
      </c>
      <c r="AC24" s="622"/>
      <c r="AD24" s="572"/>
      <c r="AE24" s="6"/>
      <c r="AF24" s="6"/>
      <c r="AG24" s="597">
        <v>672</v>
      </c>
      <c r="AH24" s="685"/>
      <c r="AI24" s="619"/>
      <c r="AJ24" s="620"/>
      <c r="AK24" s="635" t="s">
        <v>739</v>
      </c>
      <c r="AM24" s="572"/>
      <c r="AN24" s="6"/>
      <c r="AO24" s="6"/>
      <c r="AP24" s="597">
        <v>678</v>
      </c>
      <c r="AQ24" s="685"/>
      <c r="AR24" s="619"/>
      <c r="AS24" s="620"/>
      <c r="AT24" s="635" t="s">
        <v>739</v>
      </c>
      <c r="AU24" s="635"/>
      <c r="AV24" s="635"/>
    </row>
    <row r="25" spans="1:48" ht="46.15" customHeight="1" x14ac:dyDescent="0.25">
      <c r="A25" s="2206">
        <v>45181</v>
      </c>
      <c r="B25" s="574">
        <v>1</v>
      </c>
      <c r="C25" s="595"/>
      <c r="D25" s="596"/>
      <c r="E25" s="596"/>
      <c r="F25" s="597">
        <v>720</v>
      </c>
      <c r="G25" s="685"/>
      <c r="H25" s="619"/>
      <c r="I25" s="620"/>
      <c r="J25" s="635" t="s">
        <v>739</v>
      </c>
      <c r="K25" s="622"/>
      <c r="L25" s="572"/>
      <c r="M25" s="6"/>
      <c r="N25" s="6"/>
      <c r="O25" s="597">
        <v>720</v>
      </c>
      <c r="P25" s="685"/>
      <c r="Q25" s="619"/>
      <c r="R25" s="620"/>
      <c r="S25" s="635" t="s">
        <v>739</v>
      </c>
      <c r="T25" s="622"/>
      <c r="U25" s="572"/>
      <c r="V25" s="6"/>
      <c r="W25" s="6"/>
      <c r="X25" s="597">
        <v>720</v>
      </c>
      <c r="Y25" s="685"/>
      <c r="Z25" s="619"/>
      <c r="AA25" s="620"/>
      <c r="AB25" s="635" t="s">
        <v>739</v>
      </c>
      <c r="AC25" s="622"/>
      <c r="AD25" s="572"/>
      <c r="AE25" s="6"/>
      <c r="AF25" s="6"/>
      <c r="AG25" s="597">
        <v>720</v>
      </c>
      <c r="AH25" s="685"/>
      <c r="AI25" s="619"/>
      <c r="AJ25" s="620"/>
      <c r="AK25" s="635" t="s">
        <v>739</v>
      </c>
      <c r="AM25" s="572"/>
      <c r="AN25" s="6"/>
      <c r="AO25" s="6"/>
      <c r="AP25" s="597">
        <v>720</v>
      </c>
      <c r="AQ25" s="685"/>
      <c r="AR25" s="619"/>
      <c r="AS25" s="620"/>
      <c r="AT25" s="635" t="s">
        <v>739</v>
      </c>
      <c r="AU25" s="50"/>
      <c r="AV25" s="635"/>
    </row>
    <row r="26" spans="1:48" ht="42" customHeight="1" x14ac:dyDescent="0.25">
      <c r="A26" s="2205"/>
      <c r="B26" s="574">
        <v>2</v>
      </c>
      <c r="C26" s="595"/>
      <c r="D26" s="596"/>
      <c r="E26" s="596"/>
      <c r="F26" s="597">
        <v>720</v>
      </c>
      <c r="G26" s="685"/>
      <c r="H26" s="619"/>
      <c r="I26" s="620"/>
      <c r="J26" s="635" t="s">
        <v>739</v>
      </c>
      <c r="K26" s="622"/>
      <c r="L26" s="572"/>
      <c r="M26" s="6"/>
      <c r="N26" s="6"/>
      <c r="O26" s="597">
        <v>720</v>
      </c>
      <c r="P26" s="685"/>
      <c r="Q26" s="619"/>
      <c r="R26" s="620"/>
      <c r="S26" s="635" t="s">
        <v>739</v>
      </c>
      <c r="T26" s="622"/>
      <c r="U26" s="572"/>
      <c r="V26" s="596"/>
      <c r="W26" s="6"/>
      <c r="X26" s="597">
        <v>720</v>
      </c>
      <c r="Y26" s="685"/>
      <c r="Z26" s="619"/>
      <c r="AA26" s="620"/>
      <c r="AB26" s="635" t="s">
        <v>739</v>
      </c>
      <c r="AC26" s="622"/>
      <c r="AD26" s="572"/>
      <c r="AE26" s="596"/>
      <c r="AF26" s="6"/>
      <c r="AG26" s="597">
        <v>720</v>
      </c>
      <c r="AH26" s="685"/>
      <c r="AI26" s="619"/>
      <c r="AJ26" s="620"/>
      <c r="AK26" s="635" t="s">
        <v>739</v>
      </c>
      <c r="AM26" s="572"/>
      <c r="AN26" s="596"/>
      <c r="AO26" s="6"/>
      <c r="AP26" s="597">
        <v>720</v>
      </c>
      <c r="AQ26" s="685"/>
      <c r="AR26" s="619"/>
      <c r="AS26" s="620"/>
      <c r="AT26" s="635" t="s">
        <v>739</v>
      </c>
      <c r="AU26" s="635"/>
      <c r="AV26" s="635"/>
    </row>
    <row r="27" spans="1:48" ht="49.9" customHeight="1" x14ac:dyDescent="0.25">
      <c r="A27" s="2206">
        <v>45182</v>
      </c>
      <c r="B27" s="644">
        <v>1</v>
      </c>
      <c r="C27" s="595"/>
      <c r="D27" s="596"/>
      <c r="E27" s="596"/>
      <c r="F27" s="597">
        <v>720</v>
      </c>
      <c r="G27" s="685"/>
      <c r="H27" s="619"/>
      <c r="I27" s="620"/>
      <c r="J27" s="635" t="s">
        <v>739</v>
      </c>
      <c r="K27" s="622"/>
      <c r="L27" s="572"/>
      <c r="M27" s="6"/>
      <c r="N27" s="6"/>
      <c r="O27" s="597">
        <v>720</v>
      </c>
      <c r="P27" s="685"/>
      <c r="Q27" s="619"/>
      <c r="R27" s="620"/>
      <c r="S27" s="635" t="s">
        <v>739</v>
      </c>
      <c r="T27" s="622"/>
      <c r="U27" s="572"/>
      <c r="V27" s="6"/>
      <c r="W27" s="6"/>
      <c r="X27" s="597">
        <v>720</v>
      </c>
      <c r="Y27" s="685"/>
      <c r="Z27" s="619"/>
      <c r="AA27" s="620"/>
      <c r="AB27" s="635" t="s">
        <v>739</v>
      </c>
      <c r="AC27" s="622"/>
      <c r="AD27" s="572"/>
      <c r="AE27" s="6"/>
      <c r="AF27" s="6"/>
      <c r="AG27" s="597">
        <v>720</v>
      </c>
      <c r="AH27" s="685"/>
      <c r="AI27" s="619"/>
      <c r="AJ27" s="620"/>
      <c r="AK27" s="635" t="s">
        <v>739</v>
      </c>
      <c r="AM27" s="572"/>
      <c r="AN27" s="6"/>
      <c r="AO27" s="6"/>
      <c r="AP27" s="597">
        <v>720</v>
      </c>
      <c r="AQ27" s="685"/>
      <c r="AR27" s="619"/>
      <c r="AS27" s="620"/>
      <c r="AT27" s="635" t="s">
        <v>739</v>
      </c>
      <c r="AU27" s="635"/>
      <c r="AV27" s="635"/>
    </row>
    <row r="28" spans="1:48" ht="49.15" customHeight="1" x14ac:dyDescent="0.25">
      <c r="A28" s="2205"/>
      <c r="B28" s="574">
        <v>2</v>
      </c>
      <c r="C28" s="595"/>
      <c r="D28" s="596"/>
      <c r="E28" s="596"/>
      <c r="F28" s="597">
        <v>720</v>
      </c>
      <c r="G28" s="685"/>
      <c r="H28" s="619"/>
      <c r="I28" s="620"/>
      <c r="J28" s="635" t="s">
        <v>739</v>
      </c>
      <c r="K28" s="622"/>
      <c r="L28" s="572"/>
      <c r="M28" s="6"/>
      <c r="N28" s="6"/>
      <c r="O28" s="597">
        <v>720</v>
      </c>
      <c r="P28" s="685"/>
      <c r="Q28" s="619"/>
      <c r="R28" s="620"/>
      <c r="S28" s="635" t="s">
        <v>739</v>
      </c>
      <c r="T28" s="622"/>
      <c r="U28" s="572"/>
      <c r="V28" s="6"/>
      <c r="W28" s="622"/>
      <c r="X28" s="597">
        <v>720</v>
      </c>
      <c r="Y28" s="685"/>
      <c r="Z28" s="619"/>
      <c r="AA28" s="620"/>
      <c r="AB28" s="635" t="s">
        <v>739</v>
      </c>
      <c r="AC28" s="622"/>
      <c r="AD28" s="572"/>
      <c r="AE28" s="6"/>
      <c r="AF28" s="6"/>
      <c r="AG28" s="597">
        <v>720</v>
      </c>
      <c r="AH28" s="685"/>
      <c r="AI28" s="619"/>
      <c r="AJ28" s="620"/>
      <c r="AK28" s="635" t="s">
        <v>739</v>
      </c>
      <c r="AM28" s="572"/>
      <c r="AN28" s="6"/>
      <c r="AO28" s="6"/>
      <c r="AP28" s="597">
        <v>720</v>
      </c>
      <c r="AQ28" s="685"/>
      <c r="AR28" s="619"/>
      <c r="AS28" s="620"/>
      <c r="AT28" s="635" t="s">
        <v>739</v>
      </c>
      <c r="AU28" s="635"/>
      <c r="AV28" s="634"/>
    </row>
    <row r="29" spans="1:48" ht="45" customHeight="1" x14ac:dyDescent="0.25">
      <c r="A29" s="2206">
        <v>45183</v>
      </c>
      <c r="B29" s="574">
        <v>1</v>
      </c>
      <c r="C29" s="595"/>
      <c r="D29" s="596"/>
      <c r="E29" s="596"/>
      <c r="F29" s="597">
        <v>720</v>
      </c>
      <c r="G29" s="685"/>
      <c r="H29" s="619"/>
      <c r="I29" s="620"/>
      <c r="J29" s="635" t="s">
        <v>739</v>
      </c>
      <c r="K29" s="622"/>
      <c r="L29" s="572"/>
      <c r="M29" s="6"/>
      <c r="N29" s="6"/>
      <c r="O29" s="597">
        <v>720</v>
      </c>
      <c r="P29" s="685"/>
      <c r="Q29" s="619"/>
      <c r="R29" s="620"/>
      <c r="S29" s="635" t="s">
        <v>739</v>
      </c>
      <c r="T29" s="622"/>
      <c r="U29" s="572"/>
      <c r="V29" s="6"/>
      <c r="W29" s="6"/>
      <c r="X29" s="597">
        <v>720</v>
      </c>
      <c r="Y29" s="685"/>
      <c r="Z29" s="619"/>
      <c r="AA29" s="620"/>
      <c r="AB29" s="635" t="s">
        <v>739</v>
      </c>
      <c r="AC29" s="622"/>
      <c r="AD29" s="572"/>
      <c r="AE29" s="6"/>
      <c r="AF29" s="6"/>
      <c r="AG29" s="597">
        <v>720</v>
      </c>
      <c r="AH29" s="685"/>
      <c r="AI29" s="619"/>
      <c r="AJ29" s="620"/>
      <c r="AK29" s="635" t="s">
        <v>739</v>
      </c>
      <c r="AM29" s="572"/>
      <c r="AN29" s="6"/>
      <c r="AO29" s="6"/>
      <c r="AP29" s="597">
        <v>720</v>
      </c>
      <c r="AQ29" s="685"/>
      <c r="AR29" s="619"/>
      <c r="AS29" s="620"/>
      <c r="AT29" s="635" t="s">
        <v>739</v>
      </c>
      <c r="AU29" s="635"/>
      <c r="AV29" s="613"/>
    </row>
    <row r="30" spans="1:48" ht="50.45" customHeight="1" x14ac:dyDescent="0.25">
      <c r="A30" s="2205"/>
      <c r="B30" s="644">
        <v>2</v>
      </c>
      <c r="C30" s="595"/>
      <c r="D30" s="596"/>
      <c r="E30" s="596"/>
      <c r="F30" s="597">
        <v>720</v>
      </c>
      <c r="G30" s="685"/>
      <c r="H30" s="619"/>
      <c r="I30" s="620"/>
      <c r="J30" s="635" t="s">
        <v>739</v>
      </c>
      <c r="K30" s="622"/>
      <c r="L30" s="572"/>
      <c r="M30" s="6"/>
      <c r="N30" s="6"/>
      <c r="O30" s="597">
        <v>720</v>
      </c>
      <c r="P30" s="685"/>
      <c r="Q30" s="619"/>
      <c r="R30" s="620"/>
      <c r="S30" s="635" t="s">
        <v>739</v>
      </c>
      <c r="T30" s="622"/>
      <c r="U30" s="572"/>
      <c r="V30" s="6"/>
      <c r="W30" s="6"/>
      <c r="X30" s="597">
        <v>720</v>
      </c>
      <c r="Y30" s="685"/>
      <c r="Z30" s="619"/>
      <c r="AA30" s="620"/>
      <c r="AB30" s="635" t="s">
        <v>739</v>
      </c>
      <c r="AC30" s="622"/>
      <c r="AD30" s="572"/>
      <c r="AE30" s="6"/>
      <c r="AF30" s="6"/>
      <c r="AG30" s="597">
        <v>720</v>
      </c>
      <c r="AH30" s="685"/>
      <c r="AI30" s="619"/>
      <c r="AJ30" s="620"/>
      <c r="AK30" s="635" t="s">
        <v>739</v>
      </c>
      <c r="AM30" s="572"/>
      <c r="AN30" s="6"/>
      <c r="AO30" s="6"/>
      <c r="AP30" s="597">
        <v>720</v>
      </c>
      <c r="AQ30" s="685"/>
      <c r="AR30" s="619"/>
      <c r="AS30" s="620"/>
      <c r="AT30" s="635" t="s">
        <v>739</v>
      </c>
      <c r="AU30" s="635"/>
      <c r="AV30" s="613"/>
    </row>
    <row r="31" spans="1:48" ht="55.9" customHeight="1" x14ac:dyDescent="0.25">
      <c r="A31" s="2206">
        <v>45184</v>
      </c>
      <c r="B31" s="574">
        <v>1</v>
      </c>
      <c r="C31" s="595"/>
      <c r="D31" s="596"/>
      <c r="E31" s="596"/>
      <c r="F31" s="597">
        <v>720</v>
      </c>
      <c r="G31" s="685"/>
      <c r="H31" s="619"/>
      <c r="I31" s="620"/>
      <c r="J31" s="635" t="s">
        <v>739</v>
      </c>
      <c r="K31" s="622"/>
      <c r="L31" s="572"/>
      <c r="M31" s="6"/>
      <c r="N31" s="6"/>
      <c r="O31" s="597">
        <v>720</v>
      </c>
      <c r="P31" s="685"/>
      <c r="Q31" s="619"/>
      <c r="R31" s="620"/>
      <c r="S31" s="635" t="s">
        <v>739</v>
      </c>
      <c r="T31" s="622"/>
      <c r="U31" s="572"/>
      <c r="V31" s="6"/>
      <c r="W31" s="6"/>
      <c r="X31" s="597">
        <v>720</v>
      </c>
      <c r="Y31" s="685"/>
      <c r="Z31" s="619"/>
      <c r="AA31" s="620"/>
      <c r="AB31" s="635" t="s">
        <v>739</v>
      </c>
      <c r="AC31" s="622"/>
      <c r="AD31" s="572"/>
      <c r="AE31" s="6"/>
      <c r="AF31" s="6"/>
      <c r="AG31" s="597">
        <v>720</v>
      </c>
      <c r="AH31" s="685"/>
      <c r="AI31" s="619"/>
      <c r="AJ31" s="620"/>
      <c r="AK31" s="635" t="s">
        <v>739</v>
      </c>
      <c r="AM31" s="572"/>
      <c r="AN31" s="6"/>
      <c r="AO31" s="6"/>
      <c r="AP31" s="597">
        <v>720</v>
      </c>
      <c r="AQ31" s="685"/>
      <c r="AR31" s="619"/>
      <c r="AS31" s="620"/>
      <c r="AT31" s="635" t="s">
        <v>739</v>
      </c>
      <c r="AU31" s="635"/>
      <c r="AV31" s="635"/>
    </row>
    <row r="32" spans="1:48" ht="63" customHeight="1" x14ac:dyDescent="0.25">
      <c r="A32" s="2205"/>
      <c r="B32" s="574">
        <v>2</v>
      </c>
      <c r="C32" s="595"/>
      <c r="D32" s="596"/>
      <c r="E32" s="596"/>
      <c r="F32" s="597">
        <v>720</v>
      </c>
      <c r="G32" s="685"/>
      <c r="H32" s="619"/>
      <c r="I32" s="620"/>
      <c r="J32" s="635" t="s">
        <v>739</v>
      </c>
      <c r="K32" s="622"/>
      <c r="L32" s="572"/>
      <c r="M32" s="6"/>
      <c r="N32" s="6"/>
      <c r="O32" s="597">
        <v>720</v>
      </c>
      <c r="P32" s="685"/>
      <c r="Q32" s="619"/>
      <c r="R32" s="620"/>
      <c r="S32" s="635" t="s">
        <v>739</v>
      </c>
      <c r="T32" s="622"/>
      <c r="U32" s="572"/>
      <c r="V32" s="6"/>
      <c r="W32" s="596"/>
      <c r="X32" s="597">
        <v>720</v>
      </c>
      <c r="Y32" s="685"/>
      <c r="Z32" s="619"/>
      <c r="AA32" s="620"/>
      <c r="AB32" s="635" t="s">
        <v>739</v>
      </c>
      <c r="AC32" s="622"/>
      <c r="AD32" s="572"/>
      <c r="AE32" s="6"/>
      <c r="AF32" s="596"/>
      <c r="AG32" s="597">
        <v>720</v>
      </c>
      <c r="AH32" s="685"/>
      <c r="AI32" s="619"/>
      <c r="AJ32" s="620"/>
      <c r="AK32" s="635" t="s">
        <v>739</v>
      </c>
      <c r="AM32" s="572"/>
      <c r="AN32" s="6"/>
      <c r="AO32" s="6"/>
      <c r="AP32" s="597">
        <v>720</v>
      </c>
      <c r="AQ32" s="685"/>
      <c r="AR32" s="619"/>
      <c r="AS32" s="620"/>
      <c r="AT32" s="635" t="s">
        <v>739</v>
      </c>
      <c r="AU32" s="635"/>
      <c r="AV32" s="613"/>
    </row>
    <row r="33" spans="1:48" ht="43.15" customHeight="1" x14ac:dyDescent="0.25">
      <c r="A33" s="2206">
        <v>45185</v>
      </c>
      <c r="B33" s="574">
        <v>1</v>
      </c>
      <c r="C33" s="595"/>
      <c r="D33" s="596"/>
      <c r="E33" s="596"/>
      <c r="F33" s="597">
        <v>720</v>
      </c>
      <c r="G33" s="685"/>
      <c r="H33" s="619"/>
      <c r="I33" s="620"/>
      <c r="J33" s="635" t="s">
        <v>739</v>
      </c>
      <c r="K33" s="622"/>
      <c r="L33" s="572"/>
      <c r="M33" s="6"/>
      <c r="N33" s="6"/>
      <c r="O33" s="597">
        <v>720</v>
      </c>
      <c r="P33" s="685"/>
      <c r="Q33" s="619"/>
      <c r="R33" s="620"/>
      <c r="S33" s="635" t="s">
        <v>739</v>
      </c>
      <c r="T33" s="622"/>
      <c r="U33" s="572"/>
      <c r="V33" s="6"/>
      <c r="W33" s="6"/>
      <c r="X33" s="597">
        <v>720</v>
      </c>
      <c r="Y33" s="685"/>
      <c r="Z33" s="619"/>
      <c r="AA33" s="620"/>
      <c r="AB33" s="635" t="s">
        <v>739</v>
      </c>
      <c r="AC33" s="622"/>
      <c r="AD33" s="572"/>
      <c r="AE33" s="6"/>
      <c r="AF33" s="6"/>
      <c r="AG33" s="597">
        <v>720</v>
      </c>
      <c r="AH33" s="685"/>
      <c r="AI33" s="619"/>
      <c r="AJ33" s="620"/>
      <c r="AK33" s="635" t="s">
        <v>739</v>
      </c>
      <c r="AM33" s="572"/>
      <c r="AN33" s="6"/>
      <c r="AO33" s="6"/>
      <c r="AP33" s="597">
        <v>720</v>
      </c>
      <c r="AQ33" s="685"/>
      <c r="AR33" s="619"/>
      <c r="AS33" s="620"/>
      <c r="AT33" s="635" t="s">
        <v>739</v>
      </c>
      <c r="AU33" s="635"/>
      <c r="AV33" s="613"/>
    </row>
    <row r="34" spans="1:48" ht="67.900000000000006" customHeight="1" x14ac:dyDescent="0.25">
      <c r="A34" s="2205"/>
      <c r="B34" s="644">
        <v>2</v>
      </c>
      <c r="C34" s="596"/>
      <c r="D34" s="596"/>
      <c r="E34" s="596"/>
      <c r="F34" s="597">
        <v>720</v>
      </c>
      <c r="G34" s="685"/>
      <c r="H34" s="619"/>
      <c r="I34" s="620"/>
      <c r="J34" s="635" t="s">
        <v>739</v>
      </c>
      <c r="K34" s="622"/>
      <c r="L34" s="572"/>
      <c r="M34" s="6"/>
      <c r="N34" s="6"/>
      <c r="O34" s="597">
        <v>720</v>
      </c>
      <c r="P34" s="685"/>
      <c r="Q34" s="619"/>
      <c r="R34" s="620"/>
      <c r="S34" s="635" t="s">
        <v>739</v>
      </c>
      <c r="T34" s="622"/>
      <c r="U34" s="572"/>
      <c r="V34" s="6"/>
      <c r="W34" s="6"/>
      <c r="X34" s="597">
        <v>720</v>
      </c>
      <c r="Y34" s="685"/>
      <c r="Z34" s="619"/>
      <c r="AA34" s="620"/>
      <c r="AB34" s="635" t="s">
        <v>739</v>
      </c>
      <c r="AC34" s="622"/>
      <c r="AD34" s="572"/>
      <c r="AE34" s="6"/>
      <c r="AF34" s="6"/>
      <c r="AG34" s="597">
        <v>720</v>
      </c>
      <c r="AH34" s="685"/>
      <c r="AI34" s="619"/>
      <c r="AJ34" s="620"/>
      <c r="AK34" s="635" t="s">
        <v>739</v>
      </c>
      <c r="AM34" s="572"/>
      <c r="AN34" s="6"/>
      <c r="AO34" s="6"/>
      <c r="AP34" s="597">
        <v>720</v>
      </c>
      <c r="AQ34" s="685"/>
      <c r="AR34" s="619"/>
      <c r="AS34" s="620"/>
      <c r="AT34" s="635" t="s">
        <v>739</v>
      </c>
      <c r="AU34" s="635"/>
      <c r="AV34" s="613"/>
    </row>
    <row r="35" spans="1:48" ht="51" customHeight="1" x14ac:dyDescent="0.25">
      <c r="A35" s="2206">
        <v>45186</v>
      </c>
      <c r="B35" s="574">
        <v>1</v>
      </c>
      <c r="C35" s="596"/>
      <c r="D35" s="596"/>
      <c r="E35" s="50"/>
      <c r="F35" s="597">
        <v>720</v>
      </c>
      <c r="G35" s="685"/>
      <c r="H35" s="619"/>
      <c r="I35" s="620"/>
      <c r="J35" s="635" t="s">
        <v>739</v>
      </c>
      <c r="K35" s="622"/>
      <c r="L35" s="572"/>
      <c r="M35" s="6"/>
      <c r="N35" s="6"/>
      <c r="O35" s="597">
        <v>720</v>
      </c>
      <c r="P35" s="685"/>
      <c r="Q35" s="619"/>
      <c r="R35" s="620"/>
      <c r="S35" s="635" t="s">
        <v>739</v>
      </c>
      <c r="T35" s="622"/>
      <c r="U35" s="572"/>
      <c r="V35" s="6"/>
      <c r="W35" s="50"/>
      <c r="X35" s="597">
        <v>720</v>
      </c>
      <c r="Y35" s="685"/>
      <c r="Z35" s="619"/>
      <c r="AA35" s="620"/>
      <c r="AB35" s="635" t="s">
        <v>739</v>
      </c>
      <c r="AC35" s="622"/>
      <c r="AD35" s="572"/>
      <c r="AE35" s="6"/>
      <c r="AF35" s="6"/>
      <c r="AG35" s="597">
        <v>720</v>
      </c>
      <c r="AH35" s="685"/>
      <c r="AI35" s="619"/>
      <c r="AJ35" s="620"/>
      <c r="AK35" s="635" t="s">
        <v>739</v>
      </c>
      <c r="AM35" s="572"/>
      <c r="AN35" s="6"/>
      <c r="AO35" s="50"/>
      <c r="AP35" s="597">
        <v>720</v>
      </c>
      <c r="AQ35" s="685"/>
      <c r="AR35" s="619"/>
      <c r="AS35" s="620"/>
      <c r="AT35" s="635" t="s">
        <v>739</v>
      </c>
      <c r="AU35" s="828"/>
      <c r="AV35" s="613"/>
    </row>
    <row r="36" spans="1:48" ht="46.9" customHeight="1" x14ac:dyDescent="0.25">
      <c r="A36" s="2205"/>
      <c r="B36" s="574">
        <v>2</v>
      </c>
      <c r="C36" s="50"/>
      <c r="D36" s="6"/>
      <c r="E36" s="50"/>
      <c r="F36" s="597">
        <v>720</v>
      </c>
      <c r="G36" s="685"/>
      <c r="H36" s="619"/>
      <c r="I36" s="620"/>
      <c r="J36" s="635" t="s">
        <v>739</v>
      </c>
      <c r="K36" s="622"/>
      <c r="L36" s="567"/>
      <c r="M36" s="6"/>
      <c r="N36" s="6"/>
      <c r="O36" s="597">
        <v>720</v>
      </c>
      <c r="P36" s="685"/>
      <c r="Q36" s="619"/>
      <c r="R36" s="620"/>
      <c r="S36" s="635" t="s">
        <v>739</v>
      </c>
      <c r="T36" s="622"/>
      <c r="U36" s="572"/>
      <c r="V36" s="6"/>
      <c r="W36" s="6"/>
      <c r="X36" s="597">
        <v>720</v>
      </c>
      <c r="Y36" s="685"/>
      <c r="Z36" s="619"/>
      <c r="AA36" s="620"/>
      <c r="AB36" s="635" t="s">
        <v>739</v>
      </c>
      <c r="AC36" s="622"/>
      <c r="AD36" s="572"/>
      <c r="AE36" s="6"/>
      <c r="AF36" s="50"/>
      <c r="AG36" s="597">
        <v>720</v>
      </c>
      <c r="AH36" s="685"/>
      <c r="AI36" s="619"/>
      <c r="AJ36" s="620"/>
      <c r="AK36" s="635" t="s">
        <v>739</v>
      </c>
      <c r="AM36" s="572"/>
      <c r="AN36" s="6"/>
      <c r="AO36" s="6"/>
      <c r="AP36" s="597">
        <v>720</v>
      </c>
      <c r="AQ36" s="685"/>
      <c r="AR36" s="619"/>
      <c r="AS36" s="620"/>
      <c r="AT36" s="635" t="s">
        <v>739</v>
      </c>
      <c r="AU36" s="828"/>
      <c r="AV36" s="613"/>
    </row>
    <row r="37" spans="1:48" ht="59.45" customHeight="1" x14ac:dyDescent="0.25">
      <c r="A37" s="2206">
        <v>45187</v>
      </c>
      <c r="B37" s="644">
        <v>1</v>
      </c>
      <c r="C37" s="50"/>
      <c r="D37" s="596"/>
      <c r="E37" s="50"/>
      <c r="F37" s="597">
        <v>720</v>
      </c>
      <c r="G37" s="685"/>
      <c r="H37" s="619"/>
      <c r="I37" s="620"/>
      <c r="J37" s="635" t="s">
        <v>739</v>
      </c>
      <c r="K37" s="622"/>
      <c r="L37" s="572"/>
      <c r="M37" s="6"/>
      <c r="N37" s="6"/>
      <c r="O37" s="597">
        <v>720</v>
      </c>
      <c r="P37" s="685"/>
      <c r="Q37" s="619"/>
      <c r="R37" s="620"/>
      <c r="S37" s="635" t="s">
        <v>739</v>
      </c>
      <c r="T37" s="622"/>
      <c r="U37" s="572"/>
      <c r="V37" s="6"/>
      <c r="W37" s="6"/>
      <c r="X37" s="597">
        <v>720</v>
      </c>
      <c r="Y37" s="685"/>
      <c r="Z37" s="619"/>
      <c r="AA37" s="620"/>
      <c r="AB37" s="635" t="s">
        <v>739</v>
      </c>
      <c r="AC37" s="622"/>
      <c r="AD37" s="572"/>
      <c r="AE37" s="6"/>
      <c r="AF37" s="6"/>
      <c r="AG37" s="597">
        <v>720</v>
      </c>
      <c r="AH37" s="685"/>
      <c r="AI37" s="619"/>
      <c r="AJ37" s="620"/>
      <c r="AK37" s="635" t="s">
        <v>739</v>
      </c>
      <c r="AM37" s="572"/>
      <c r="AN37" s="6"/>
      <c r="AO37" s="6"/>
      <c r="AP37" s="597">
        <v>720</v>
      </c>
      <c r="AQ37" s="685"/>
      <c r="AR37" s="619"/>
      <c r="AS37" s="620"/>
      <c r="AT37" s="635" t="s">
        <v>739</v>
      </c>
      <c r="AU37" s="50"/>
      <c r="AV37" s="613"/>
    </row>
    <row r="38" spans="1:48" ht="55.9" customHeight="1" x14ac:dyDescent="0.25">
      <c r="A38" s="2205"/>
      <c r="B38" s="574">
        <v>2</v>
      </c>
      <c r="C38" s="50"/>
      <c r="D38" s="596"/>
      <c r="E38" s="50"/>
      <c r="F38" s="597">
        <v>720</v>
      </c>
      <c r="G38" s="685"/>
      <c r="H38" s="619"/>
      <c r="I38" s="620"/>
      <c r="J38" s="635" t="s">
        <v>739</v>
      </c>
      <c r="K38" s="622"/>
      <c r="L38" s="572"/>
      <c r="M38" s="6"/>
      <c r="N38" s="6"/>
      <c r="O38" s="597">
        <v>720</v>
      </c>
      <c r="P38" s="685"/>
      <c r="Q38" s="619"/>
      <c r="R38" s="620"/>
      <c r="S38" s="635" t="s">
        <v>739</v>
      </c>
      <c r="T38" s="622"/>
      <c r="U38" s="572"/>
      <c r="V38" s="6"/>
      <c r="W38" s="6"/>
      <c r="X38" s="597">
        <v>720</v>
      </c>
      <c r="Y38" s="685"/>
      <c r="Z38" s="619"/>
      <c r="AA38" s="620"/>
      <c r="AB38" s="635" t="s">
        <v>739</v>
      </c>
      <c r="AC38" s="622"/>
      <c r="AD38" s="572"/>
      <c r="AE38" s="6"/>
      <c r="AF38" s="6"/>
      <c r="AG38" s="597">
        <v>720</v>
      </c>
      <c r="AH38" s="685"/>
      <c r="AI38" s="619"/>
      <c r="AJ38" s="620"/>
      <c r="AK38" s="635" t="s">
        <v>739</v>
      </c>
      <c r="AM38" s="572"/>
      <c r="AN38" s="6"/>
      <c r="AO38" s="6"/>
      <c r="AP38" s="597">
        <v>720</v>
      </c>
      <c r="AQ38" s="685"/>
      <c r="AR38" s="619"/>
      <c r="AS38" s="620"/>
      <c r="AT38" s="635" t="s">
        <v>739</v>
      </c>
      <c r="AU38" s="828"/>
      <c r="AV38" s="635"/>
    </row>
    <row r="39" spans="1:48" ht="39" customHeight="1" x14ac:dyDescent="0.25">
      <c r="A39" s="2206">
        <v>45188</v>
      </c>
      <c r="B39" s="574">
        <v>1</v>
      </c>
      <c r="C39" s="50"/>
      <c r="D39" s="596"/>
      <c r="E39" s="50"/>
      <c r="F39" s="597">
        <v>720</v>
      </c>
      <c r="G39" s="685"/>
      <c r="H39" s="619"/>
      <c r="I39" s="620"/>
      <c r="J39" s="635" t="s">
        <v>739</v>
      </c>
      <c r="K39" s="622"/>
      <c r="L39" s="572"/>
      <c r="M39" s="6"/>
      <c r="N39" s="6"/>
      <c r="O39" s="597">
        <v>720</v>
      </c>
      <c r="P39" s="685"/>
      <c r="Q39" s="619"/>
      <c r="R39" s="620"/>
      <c r="S39" s="635" t="s">
        <v>739</v>
      </c>
      <c r="T39" s="622"/>
      <c r="U39" s="572"/>
      <c r="V39" s="6"/>
      <c r="W39" s="6"/>
      <c r="X39" s="597">
        <v>720</v>
      </c>
      <c r="Y39" s="685"/>
      <c r="Z39" s="619"/>
      <c r="AA39" s="620"/>
      <c r="AB39" s="635" t="s">
        <v>739</v>
      </c>
      <c r="AC39" s="622"/>
      <c r="AD39" s="572"/>
      <c r="AE39" s="6"/>
      <c r="AF39" s="6"/>
      <c r="AG39" s="597">
        <v>720</v>
      </c>
      <c r="AH39" s="685"/>
      <c r="AI39" s="619"/>
      <c r="AJ39" s="620"/>
      <c r="AK39" s="635" t="s">
        <v>739</v>
      </c>
      <c r="AM39" s="572"/>
      <c r="AN39" s="6"/>
      <c r="AO39" s="6"/>
      <c r="AP39" s="597">
        <v>720</v>
      </c>
      <c r="AQ39" s="685"/>
      <c r="AR39" s="619"/>
      <c r="AS39" s="620"/>
      <c r="AT39" s="635" t="s">
        <v>739</v>
      </c>
      <c r="AU39" s="692"/>
      <c r="AV39" s="687"/>
    </row>
    <row r="40" spans="1:48" ht="72.599999999999994" customHeight="1" x14ac:dyDescent="0.25">
      <c r="A40" s="2205"/>
      <c r="B40" s="574">
        <v>2</v>
      </c>
      <c r="C40" s="596"/>
      <c r="D40" s="596"/>
      <c r="E40" s="596"/>
      <c r="F40" s="597">
        <v>720</v>
      </c>
      <c r="G40" s="685"/>
      <c r="H40" s="619"/>
      <c r="I40" s="620"/>
      <c r="J40" s="635" t="s">
        <v>739</v>
      </c>
      <c r="K40" s="622"/>
      <c r="L40" s="572"/>
      <c r="M40" s="6"/>
      <c r="N40" s="6"/>
      <c r="O40" s="597">
        <v>720</v>
      </c>
      <c r="P40" s="685"/>
      <c r="Q40" s="619"/>
      <c r="R40" s="620"/>
      <c r="S40" s="635" t="s">
        <v>739</v>
      </c>
      <c r="T40" s="622"/>
      <c r="U40" s="572"/>
      <c r="V40" s="6"/>
      <c r="W40" s="6"/>
      <c r="X40" s="597">
        <v>720</v>
      </c>
      <c r="Y40" s="685"/>
      <c r="Z40" s="619"/>
      <c r="AA40" s="620"/>
      <c r="AB40" s="635" t="s">
        <v>739</v>
      </c>
      <c r="AC40" s="622"/>
      <c r="AD40" s="572"/>
      <c r="AE40" s="6"/>
      <c r="AF40" s="6"/>
      <c r="AG40" s="597">
        <v>720</v>
      </c>
      <c r="AH40" s="685"/>
      <c r="AI40" s="619"/>
      <c r="AJ40" s="620"/>
      <c r="AK40" s="635" t="s">
        <v>739</v>
      </c>
      <c r="AM40" s="567"/>
      <c r="AN40" s="6"/>
      <c r="AO40" s="6"/>
      <c r="AP40" s="597">
        <v>720</v>
      </c>
      <c r="AQ40" s="685"/>
      <c r="AR40" s="619"/>
      <c r="AS40" s="620"/>
      <c r="AT40" s="635" t="s">
        <v>739</v>
      </c>
      <c r="AU40" s="692"/>
      <c r="AV40" s="635"/>
    </row>
    <row r="41" spans="1:48" ht="58.15" customHeight="1" x14ac:dyDescent="0.25">
      <c r="A41" s="2206">
        <v>45189</v>
      </c>
      <c r="B41" s="574">
        <v>1</v>
      </c>
      <c r="C41" s="595"/>
      <c r="D41" s="596"/>
      <c r="E41" s="596"/>
      <c r="F41" s="597">
        <v>720</v>
      </c>
      <c r="G41" s="685"/>
      <c r="H41" s="619"/>
      <c r="I41" s="620"/>
      <c r="J41" s="635" t="s">
        <v>739</v>
      </c>
      <c r="K41" s="622"/>
      <c r="L41" s="572"/>
      <c r="M41" s="6"/>
      <c r="N41" s="6"/>
      <c r="O41" s="597">
        <v>720</v>
      </c>
      <c r="P41" s="685"/>
      <c r="Q41" s="619"/>
      <c r="R41" s="620"/>
      <c r="S41" s="635" t="s">
        <v>739</v>
      </c>
      <c r="T41" s="622"/>
      <c r="U41" s="572"/>
      <c r="V41" s="6"/>
      <c r="W41" s="6"/>
      <c r="X41" s="597">
        <v>720</v>
      </c>
      <c r="Y41" s="685"/>
      <c r="Z41" s="619"/>
      <c r="AA41" s="620"/>
      <c r="AB41" s="635" t="s">
        <v>739</v>
      </c>
      <c r="AC41" s="622"/>
      <c r="AD41" s="572"/>
      <c r="AE41" s="6"/>
      <c r="AF41" s="6"/>
      <c r="AG41" s="597">
        <v>720</v>
      </c>
      <c r="AH41" s="685"/>
      <c r="AI41" s="619"/>
      <c r="AJ41" s="620"/>
      <c r="AK41" s="635" t="s">
        <v>739</v>
      </c>
      <c r="AM41" s="572"/>
      <c r="AN41" s="6"/>
      <c r="AO41" s="6"/>
      <c r="AP41" s="597">
        <v>720</v>
      </c>
      <c r="AQ41" s="685"/>
      <c r="AR41" s="619"/>
      <c r="AS41" s="620"/>
      <c r="AT41" s="635" t="s">
        <v>739</v>
      </c>
      <c r="AU41" s="50"/>
      <c r="AV41" s="613"/>
    </row>
    <row r="42" spans="1:48" ht="61.15" customHeight="1" x14ac:dyDescent="0.25">
      <c r="A42" s="2205"/>
      <c r="B42" s="574">
        <v>2</v>
      </c>
      <c r="C42" s="596"/>
      <c r="D42" s="596"/>
      <c r="E42" s="596"/>
      <c r="F42" s="597">
        <v>720</v>
      </c>
      <c r="G42" s="685"/>
      <c r="H42" s="619"/>
      <c r="I42" s="620"/>
      <c r="J42" s="635" t="s">
        <v>739</v>
      </c>
      <c r="K42" s="622"/>
      <c r="L42" s="572"/>
      <c r="M42" s="6"/>
      <c r="N42" s="6"/>
      <c r="O42" s="597">
        <v>720</v>
      </c>
      <c r="P42" s="685"/>
      <c r="Q42" s="619"/>
      <c r="R42" s="620"/>
      <c r="S42" s="635" t="s">
        <v>739</v>
      </c>
      <c r="T42" s="622"/>
      <c r="U42" s="572"/>
      <c r="V42" s="6"/>
      <c r="W42" s="6"/>
      <c r="X42" s="597">
        <v>720</v>
      </c>
      <c r="Y42" s="685"/>
      <c r="Z42" s="619"/>
      <c r="AA42" s="620"/>
      <c r="AB42" s="635" t="s">
        <v>739</v>
      </c>
      <c r="AC42" s="622"/>
      <c r="AD42" s="572"/>
      <c r="AE42" s="6"/>
      <c r="AF42" s="6"/>
      <c r="AG42" s="597">
        <v>720</v>
      </c>
      <c r="AH42" s="685"/>
      <c r="AI42" s="619"/>
      <c r="AJ42" s="620"/>
      <c r="AK42" s="635" t="s">
        <v>739</v>
      </c>
      <c r="AM42" s="572"/>
      <c r="AN42" s="6"/>
      <c r="AO42" s="6"/>
      <c r="AP42" s="597">
        <v>720</v>
      </c>
      <c r="AQ42" s="685"/>
      <c r="AR42" s="619"/>
      <c r="AS42" s="620"/>
      <c r="AT42" s="635" t="s">
        <v>739</v>
      </c>
      <c r="AU42" s="635"/>
      <c r="AV42" s="613"/>
    </row>
    <row r="43" spans="1:48" ht="65.45" customHeight="1" x14ac:dyDescent="0.25">
      <c r="A43" s="2206">
        <v>45190</v>
      </c>
      <c r="B43" s="574">
        <v>1</v>
      </c>
      <c r="C43" s="596">
        <v>33</v>
      </c>
      <c r="D43" s="596"/>
      <c r="E43" s="596"/>
      <c r="F43" s="597">
        <v>224</v>
      </c>
      <c r="G43" s="619" t="s">
        <v>97</v>
      </c>
      <c r="H43" s="619"/>
      <c r="I43" s="620"/>
      <c r="J43" s="635" t="s">
        <v>739</v>
      </c>
      <c r="K43" s="622"/>
      <c r="L43" s="572"/>
      <c r="M43" s="6"/>
      <c r="N43" s="6"/>
      <c r="O43" s="613">
        <v>219</v>
      </c>
      <c r="P43" s="614"/>
      <c r="Q43" s="6"/>
      <c r="R43" s="6"/>
      <c r="S43" s="635" t="s">
        <v>739</v>
      </c>
      <c r="T43" s="622"/>
      <c r="U43" s="572"/>
      <c r="V43" s="6"/>
      <c r="W43" s="6"/>
      <c r="X43" s="613">
        <v>195</v>
      </c>
      <c r="Y43" s="614"/>
      <c r="Z43" s="6"/>
      <c r="AA43" s="620"/>
      <c r="AB43" s="635" t="s">
        <v>739</v>
      </c>
      <c r="AC43" s="622"/>
      <c r="AD43" s="572"/>
      <c r="AE43" s="6"/>
      <c r="AF43" s="6"/>
      <c r="AG43" s="613">
        <v>202</v>
      </c>
      <c r="AH43" s="605"/>
      <c r="AI43" s="620"/>
      <c r="AJ43" s="6"/>
      <c r="AK43" s="635" t="s">
        <v>739</v>
      </c>
      <c r="AM43" s="572"/>
      <c r="AN43" s="6"/>
      <c r="AO43" s="6"/>
      <c r="AP43" s="50">
        <v>242</v>
      </c>
      <c r="AQ43" s="613"/>
      <c r="AR43" s="605"/>
      <c r="AS43" s="620"/>
      <c r="AT43" s="635" t="s">
        <v>739</v>
      </c>
      <c r="AU43" s="635"/>
      <c r="AV43" s="613"/>
    </row>
    <row r="44" spans="1:48" ht="69" customHeight="1" x14ac:dyDescent="0.25">
      <c r="A44" s="2205"/>
      <c r="B44" s="574">
        <v>2</v>
      </c>
      <c r="C44" s="596"/>
      <c r="D44" s="596"/>
      <c r="E44" s="596">
        <v>133</v>
      </c>
      <c r="F44" s="597"/>
      <c r="G44" s="619"/>
      <c r="H44" s="619"/>
      <c r="I44" s="692" t="s">
        <v>97</v>
      </c>
      <c r="J44" s="635"/>
      <c r="K44" s="622"/>
      <c r="L44" s="572"/>
      <c r="M44" s="6"/>
      <c r="N44" s="6"/>
      <c r="O44" s="613"/>
      <c r="P44" s="993"/>
      <c r="Q44" s="6"/>
      <c r="R44" s="605"/>
      <c r="S44" s="635"/>
      <c r="T44" s="622"/>
      <c r="U44" s="572"/>
      <c r="V44" s="6"/>
      <c r="W44" s="596">
        <v>50</v>
      </c>
      <c r="X44" s="597"/>
      <c r="Y44" s="619"/>
      <c r="Z44" s="620"/>
      <c r="AA44" s="605" t="s">
        <v>97</v>
      </c>
      <c r="AB44" s="635"/>
      <c r="AC44" s="622"/>
      <c r="AD44" s="572"/>
      <c r="AE44" s="6"/>
      <c r="AF44" s="6"/>
      <c r="AG44" s="613"/>
      <c r="AH44" s="614"/>
      <c r="AI44" s="605"/>
      <c r="AJ44" s="605"/>
      <c r="AK44" s="635"/>
      <c r="AM44" s="572"/>
      <c r="AN44" s="6"/>
      <c r="AO44" s="6"/>
      <c r="AP44" s="50"/>
      <c r="AQ44" s="613"/>
      <c r="AR44" s="614"/>
      <c r="AS44" s="605"/>
      <c r="AT44" s="605"/>
      <c r="AU44" s="635"/>
      <c r="AV44" s="613"/>
    </row>
    <row r="45" spans="1:48" ht="48" customHeight="1" x14ac:dyDescent="0.25">
      <c r="A45" s="2206">
        <v>45191</v>
      </c>
      <c r="B45" s="574">
        <v>1</v>
      </c>
      <c r="C45" s="596"/>
      <c r="D45" s="596"/>
      <c r="E45" s="596"/>
      <c r="F45" s="597"/>
      <c r="G45" s="619"/>
      <c r="H45" s="619"/>
      <c r="I45" s="620"/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"/>
      <c r="W45" s="6">
        <v>35</v>
      </c>
      <c r="X45" s="613"/>
      <c r="Y45" s="619"/>
      <c r="Z45" s="620"/>
      <c r="AA45" s="605" t="s">
        <v>152</v>
      </c>
      <c r="AB45" s="613"/>
      <c r="AC45" s="622"/>
      <c r="AD45" s="572"/>
      <c r="AE45" s="6"/>
      <c r="AF45" s="6"/>
      <c r="AG45" s="613"/>
      <c r="AH45" s="614"/>
      <c r="AI45" s="605"/>
      <c r="AJ45" s="6"/>
      <c r="AK45" s="613"/>
      <c r="AM45" s="572"/>
      <c r="AN45" s="6"/>
      <c r="AO45" s="6"/>
      <c r="AP45" s="50"/>
      <c r="AQ45" s="613"/>
      <c r="AR45" s="614"/>
      <c r="AS45" s="605"/>
      <c r="AT45" s="6"/>
      <c r="AU45" s="50"/>
      <c r="AV45" s="613"/>
    </row>
    <row r="46" spans="1:48" ht="48.6" customHeight="1" x14ac:dyDescent="0.25">
      <c r="A46" s="2205"/>
      <c r="B46" s="574">
        <v>2</v>
      </c>
      <c r="C46" s="596"/>
      <c r="D46" s="596"/>
      <c r="E46" s="596"/>
      <c r="F46" s="597"/>
      <c r="G46" s="619"/>
      <c r="H46" s="619"/>
      <c r="I46" s="620"/>
      <c r="J46" s="635"/>
      <c r="K46" s="622"/>
      <c r="L46" s="572"/>
      <c r="M46" s="6"/>
      <c r="N46" s="6"/>
      <c r="O46" s="785"/>
      <c r="P46" s="614"/>
      <c r="Q46" s="620"/>
      <c r="R46" s="605"/>
      <c r="S46" s="635"/>
      <c r="T46" s="622"/>
      <c r="U46" s="572"/>
      <c r="V46" s="6"/>
      <c r="W46" s="6"/>
      <c r="X46" s="613"/>
      <c r="Y46" s="993"/>
      <c r="Z46" s="6"/>
      <c r="AA46" s="605"/>
      <c r="AB46" s="635"/>
      <c r="AC46" s="622"/>
      <c r="AD46" s="572"/>
      <c r="AE46" s="6"/>
      <c r="AF46" s="6"/>
      <c r="AG46" s="613"/>
      <c r="AH46" s="993"/>
      <c r="AI46" s="6"/>
      <c r="AJ46" s="6"/>
      <c r="AK46" s="635"/>
      <c r="AM46" s="572"/>
      <c r="AN46" s="6"/>
      <c r="AO46" s="6"/>
      <c r="AP46" s="50"/>
      <c r="AQ46" s="613"/>
      <c r="AR46" s="614"/>
      <c r="AS46" s="6"/>
      <c r="AT46" s="6"/>
      <c r="AU46" s="50"/>
      <c r="AV46" s="635"/>
    </row>
    <row r="47" spans="1:48" ht="36" customHeight="1" x14ac:dyDescent="0.25">
      <c r="A47" s="2206">
        <v>45192</v>
      </c>
      <c r="B47" s="574">
        <v>1</v>
      </c>
      <c r="C47" s="596"/>
      <c r="D47" s="596"/>
      <c r="E47" s="596">
        <v>21</v>
      </c>
      <c r="F47" s="597"/>
      <c r="G47" s="620"/>
      <c r="H47" s="619"/>
      <c r="I47" s="692" t="s">
        <v>315</v>
      </c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>
        <v>30</v>
      </c>
      <c r="X47" s="613"/>
      <c r="Y47" s="614"/>
      <c r="Z47" s="605"/>
      <c r="AA47" s="605" t="s">
        <v>152</v>
      </c>
      <c r="AB47" s="635"/>
      <c r="AC47" s="622"/>
      <c r="AD47" s="572"/>
      <c r="AE47" s="6"/>
      <c r="AF47" s="6"/>
      <c r="AG47" s="613"/>
      <c r="AH47" s="993"/>
      <c r="AI47" s="620"/>
      <c r="AJ47" s="6"/>
      <c r="AK47" s="613"/>
      <c r="AM47" s="572"/>
      <c r="AN47" s="6"/>
      <c r="AO47" s="6"/>
      <c r="AP47" s="50"/>
      <c r="AQ47" s="613"/>
      <c r="AR47" s="614"/>
      <c r="AS47" s="620"/>
      <c r="AT47" s="6"/>
      <c r="AU47" s="50"/>
      <c r="AV47" s="613"/>
    </row>
    <row r="48" spans="1:48" ht="34.9" customHeight="1" x14ac:dyDescent="0.25">
      <c r="A48" s="2205"/>
      <c r="B48" s="574">
        <v>2</v>
      </c>
      <c r="C48" s="596"/>
      <c r="D48" s="596"/>
      <c r="E48" s="596"/>
      <c r="F48" s="597"/>
      <c r="G48" s="620"/>
      <c r="H48" s="620"/>
      <c r="I48" s="692"/>
      <c r="J48" s="687"/>
      <c r="K48" s="622"/>
      <c r="L48" s="572"/>
      <c r="M48" s="6"/>
      <c r="N48" s="6"/>
      <c r="O48" s="613"/>
      <c r="P48" s="614"/>
      <c r="Q48" s="620"/>
      <c r="R48" s="605"/>
      <c r="S48" s="635"/>
      <c r="T48" s="622"/>
      <c r="U48" s="572"/>
      <c r="V48" s="6"/>
      <c r="W48" s="6">
        <v>10</v>
      </c>
      <c r="X48" s="613"/>
      <c r="Y48" s="993"/>
      <c r="Z48" s="6"/>
      <c r="AA48" s="605" t="s">
        <v>152</v>
      </c>
      <c r="AB48" s="613"/>
      <c r="AC48" s="622"/>
      <c r="AD48" s="572"/>
      <c r="AE48" s="6"/>
      <c r="AF48" s="6"/>
      <c r="AG48" s="613"/>
      <c r="AH48" s="614"/>
      <c r="AI48" s="605"/>
      <c r="AJ48" s="6"/>
      <c r="AK48" s="613"/>
      <c r="AM48" s="572"/>
      <c r="AN48" s="6"/>
      <c r="AO48" s="6"/>
      <c r="AP48" s="50"/>
      <c r="AQ48" s="613"/>
      <c r="AR48" s="614"/>
      <c r="AS48" s="605"/>
      <c r="AT48" s="6"/>
      <c r="AU48" s="50"/>
      <c r="AV48" s="613"/>
    </row>
    <row r="49" spans="1:48" ht="36" customHeight="1" x14ac:dyDescent="0.25">
      <c r="A49" s="2206">
        <v>45193</v>
      </c>
      <c r="B49" s="574">
        <v>1</v>
      </c>
      <c r="C49" s="596"/>
      <c r="D49" s="596"/>
      <c r="E49" s="596">
        <v>15</v>
      </c>
      <c r="F49" s="597"/>
      <c r="G49" s="620"/>
      <c r="H49" s="619"/>
      <c r="I49" s="692" t="s">
        <v>152</v>
      </c>
      <c r="J49" s="687"/>
      <c r="K49" s="622"/>
      <c r="L49" s="572"/>
      <c r="M49" s="6"/>
      <c r="N49" s="6"/>
      <c r="O49" s="613"/>
      <c r="P49" s="614"/>
      <c r="Q49" s="6"/>
      <c r="R49" s="6"/>
      <c r="S49" s="613"/>
      <c r="T49" s="622"/>
      <c r="U49" s="572"/>
      <c r="V49" s="6"/>
      <c r="W49" s="6">
        <v>21</v>
      </c>
      <c r="X49" s="613"/>
      <c r="Y49" s="614"/>
      <c r="Z49" s="605"/>
      <c r="AA49" s="605" t="s">
        <v>152</v>
      </c>
      <c r="AB49" s="635"/>
      <c r="AC49" s="622"/>
      <c r="AD49" s="572"/>
      <c r="AE49" s="6"/>
      <c r="AF49" s="6"/>
      <c r="AG49" s="613"/>
      <c r="AH49" s="614"/>
      <c r="AI49" s="605"/>
      <c r="AJ49" s="692"/>
      <c r="AK49" s="613"/>
      <c r="AM49" s="572"/>
      <c r="AN49" s="6"/>
      <c r="AO49" s="6"/>
      <c r="AP49" s="50"/>
      <c r="AQ49" s="613"/>
      <c r="AR49" s="614"/>
      <c r="AS49" s="605"/>
      <c r="AT49" s="6"/>
      <c r="AU49" s="50"/>
      <c r="AV49" s="613"/>
    </row>
    <row r="50" spans="1:48" ht="51.6" customHeight="1" x14ac:dyDescent="0.25">
      <c r="A50" s="2205"/>
      <c r="B50" s="574">
        <v>2</v>
      </c>
      <c r="C50" s="596"/>
      <c r="D50" s="596"/>
      <c r="E50" s="596">
        <v>12</v>
      </c>
      <c r="F50" s="597"/>
      <c r="G50" s="619"/>
      <c r="H50" s="619"/>
      <c r="I50" s="692" t="s">
        <v>152</v>
      </c>
      <c r="J50" s="635"/>
      <c r="K50" s="622"/>
      <c r="L50" s="572"/>
      <c r="M50" s="6"/>
      <c r="N50" s="6"/>
      <c r="O50" s="597"/>
      <c r="P50" s="619"/>
      <c r="Q50" s="619"/>
      <c r="R50" s="692"/>
      <c r="S50" s="635"/>
      <c r="T50" s="622"/>
      <c r="U50" s="572"/>
      <c r="V50" s="6">
        <v>16</v>
      </c>
      <c r="W50" s="6">
        <v>11</v>
      </c>
      <c r="X50" s="597"/>
      <c r="Y50" s="620"/>
      <c r="Z50" s="619" t="s">
        <v>163</v>
      </c>
      <c r="AA50" s="605" t="s">
        <v>152</v>
      </c>
      <c r="AB50" s="635"/>
      <c r="AC50" s="622"/>
      <c r="AD50" s="572"/>
      <c r="AE50" s="6"/>
      <c r="AF50" s="6"/>
      <c r="AG50" s="597"/>
      <c r="AH50" s="619"/>
      <c r="AI50" s="619"/>
      <c r="AJ50" s="692"/>
      <c r="AK50" s="635"/>
      <c r="AM50" s="572"/>
      <c r="AN50" s="6"/>
      <c r="AO50" s="6"/>
      <c r="AP50" s="50"/>
      <c r="AQ50" s="597"/>
      <c r="AR50" s="614"/>
      <c r="AS50" s="619"/>
      <c r="AT50" s="692"/>
      <c r="AU50" s="692"/>
      <c r="AV50" s="635"/>
    </row>
    <row r="51" spans="1:48" ht="34.9" customHeight="1" x14ac:dyDescent="0.25">
      <c r="A51" s="2206">
        <v>45194</v>
      </c>
      <c r="B51" s="574">
        <v>1</v>
      </c>
      <c r="C51" s="596"/>
      <c r="D51" s="596"/>
      <c r="E51" s="596"/>
      <c r="F51" s="597"/>
      <c r="G51" s="619"/>
      <c r="H51" s="619"/>
      <c r="I51" s="692"/>
      <c r="J51" s="635"/>
      <c r="K51" s="622"/>
      <c r="L51" s="572"/>
      <c r="M51" s="6"/>
      <c r="N51" s="6"/>
      <c r="O51" s="613"/>
      <c r="P51" s="614"/>
      <c r="Q51" s="620"/>
      <c r="R51" s="6"/>
      <c r="S51" s="613"/>
      <c r="T51" s="622"/>
      <c r="U51" s="572"/>
      <c r="V51" s="6"/>
      <c r="W51" s="6"/>
      <c r="X51" s="613"/>
      <c r="Y51" s="993"/>
      <c r="Z51" s="6"/>
      <c r="AA51" s="605"/>
      <c r="AB51" s="613"/>
      <c r="AC51" s="622"/>
      <c r="AD51" s="572"/>
      <c r="AE51" s="6"/>
      <c r="AF51" s="6"/>
      <c r="AG51" s="613"/>
      <c r="AH51" s="614"/>
      <c r="AI51" s="6"/>
      <c r="AJ51" s="6"/>
      <c r="AK51" s="613"/>
      <c r="AM51" s="572"/>
      <c r="AN51" s="6"/>
      <c r="AO51" s="6"/>
      <c r="AP51" s="50"/>
      <c r="AQ51" s="613"/>
      <c r="AR51" s="614"/>
      <c r="AS51" s="6"/>
      <c r="AT51" s="6"/>
      <c r="AU51" s="50"/>
      <c r="AV51" s="613"/>
    </row>
    <row r="52" spans="1:48" ht="49.15" customHeight="1" x14ac:dyDescent="0.25">
      <c r="A52" s="2205"/>
      <c r="B52" s="574">
        <v>2</v>
      </c>
      <c r="C52" s="596"/>
      <c r="D52" s="596"/>
      <c r="E52" s="596"/>
      <c r="F52" s="597"/>
      <c r="G52" s="620"/>
      <c r="H52" s="620"/>
      <c r="I52" s="692"/>
      <c r="J52" s="635"/>
      <c r="K52" s="622"/>
      <c r="L52" s="572"/>
      <c r="M52" s="6"/>
      <c r="N52" s="6"/>
      <c r="O52" s="597"/>
      <c r="P52" s="620"/>
      <c r="Q52" s="620"/>
      <c r="R52" s="692"/>
      <c r="S52" s="635"/>
      <c r="T52" s="622"/>
      <c r="U52" s="572"/>
      <c r="V52" s="6"/>
      <c r="W52" s="6"/>
      <c r="X52" s="597"/>
      <c r="Y52" s="620"/>
      <c r="Z52" s="620"/>
      <c r="AA52" s="692"/>
      <c r="AB52" s="635"/>
      <c r="AC52" s="622"/>
      <c r="AD52" s="572"/>
      <c r="AE52" s="6"/>
      <c r="AF52" s="6"/>
      <c r="AG52" s="597"/>
      <c r="AH52" s="620"/>
      <c r="AI52" s="620"/>
      <c r="AJ52" s="692"/>
      <c r="AK52" s="635"/>
      <c r="AM52" s="572"/>
      <c r="AN52" s="613"/>
      <c r="AO52" s="613"/>
      <c r="AP52" s="613"/>
      <c r="AQ52" s="613"/>
      <c r="AR52" s="614"/>
      <c r="AS52" s="6"/>
      <c r="AT52" s="6"/>
      <c r="AU52" s="50"/>
      <c r="AV52" s="613"/>
    </row>
    <row r="53" spans="1:48" ht="40.15" customHeight="1" x14ac:dyDescent="0.25">
      <c r="A53" s="2206">
        <v>45195</v>
      </c>
      <c r="B53" s="574">
        <v>1</v>
      </c>
      <c r="C53" s="596"/>
      <c r="D53" s="596"/>
      <c r="E53" s="596">
        <v>12</v>
      </c>
      <c r="F53" s="597"/>
      <c r="G53" s="619"/>
      <c r="H53" s="619"/>
      <c r="I53" s="692" t="s">
        <v>152</v>
      </c>
      <c r="J53" s="635"/>
      <c r="K53" s="622"/>
      <c r="L53" s="572"/>
      <c r="M53" s="6"/>
      <c r="N53" s="6"/>
      <c r="O53" s="613"/>
      <c r="P53" s="993"/>
      <c r="Q53" s="6"/>
      <c r="R53" s="6"/>
      <c r="S53" s="635"/>
      <c r="T53" s="622"/>
      <c r="U53" s="572"/>
      <c r="V53" s="6"/>
      <c r="W53" s="6">
        <v>21</v>
      </c>
      <c r="X53" s="613"/>
      <c r="Y53" s="993"/>
      <c r="Z53" s="6"/>
      <c r="AA53" s="605" t="s">
        <v>152</v>
      </c>
      <c r="AB53" s="613"/>
      <c r="AC53" s="622"/>
      <c r="AD53" s="572"/>
      <c r="AE53" s="605"/>
      <c r="AF53" s="6"/>
      <c r="AG53" s="613"/>
      <c r="AH53" s="614"/>
      <c r="AI53" s="605"/>
      <c r="AJ53" s="605"/>
      <c r="AK53" s="613"/>
      <c r="AM53" s="572"/>
      <c r="AN53" s="605"/>
      <c r="AO53" s="6"/>
      <c r="AP53" s="50"/>
      <c r="AQ53" s="613"/>
      <c r="AR53" s="614"/>
      <c r="AS53" s="605"/>
      <c r="AT53" s="6"/>
      <c r="AU53" s="50"/>
      <c r="AV53" s="613"/>
    </row>
    <row r="54" spans="1:48" ht="39.6" customHeight="1" x14ac:dyDescent="0.25">
      <c r="A54" s="2205"/>
      <c r="B54" s="989">
        <v>2</v>
      </c>
      <c r="C54" s="596"/>
      <c r="D54" s="596">
        <v>39</v>
      </c>
      <c r="E54" s="596"/>
      <c r="F54" s="597"/>
      <c r="G54" s="619"/>
      <c r="H54" s="619" t="s">
        <v>163</v>
      </c>
      <c r="I54" s="692"/>
      <c r="J54" s="635"/>
      <c r="K54" s="622"/>
      <c r="L54" s="572"/>
      <c r="M54" s="6"/>
      <c r="N54" s="6"/>
      <c r="O54" s="597"/>
      <c r="P54" s="619"/>
      <c r="Q54" s="619"/>
      <c r="R54" s="619"/>
      <c r="S54" s="635"/>
      <c r="T54" s="622"/>
      <c r="U54" s="572"/>
      <c r="V54" s="6"/>
      <c r="W54" s="6"/>
      <c r="X54" s="597"/>
      <c r="Y54" s="620"/>
      <c r="Z54" s="619"/>
      <c r="AA54" s="620"/>
      <c r="AB54" s="635"/>
      <c r="AC54" s="622"/>
      <c r="AD54" s="572"/>
      <c r="AE54" s="6"/>
      <c r="AF54" s="6"/>
      <c r="AG54" s="613"/>
      <c r="AH54" s="614"/>
      <c r="AI54" s="619"/>
      <c r="AJ54" s="6"/>
      <c r="AK54" s="635"/>
      <c r="AM54" s="572"/>
      <c r="AN54" s="6"/>
      <c r="AO54" s="6">
        <v>37</v>
      </c>
      <c r="AP54" s="50"/>
      <c r="AQ54" s="597"/>
      <c r="AR54" s="619"/>
      <c r="AS54" s="619"/>
      <c r="AT54" s="619" t="s">
        <v>97</v>
      </c>
      <c r="AU54" s="830"/>
      <c r="AV54" s="635"/>
    </row>
    <row r="55" spans="1:48" ht="39.6" customHeight="1" x14ac:dyDescent="0.25">
      <c r="A55" s="2206">
        <v>45196</v>
      </c>
      <c r="B55" s="574">
        <v>1</v>
      </c>
      <c r="C55" s="595"/>
      <c r="D55" s="596"/>
      <c r="E55" s="596"/>
      <c r="F55" s="597"/>
      <c r="G55" s="619"/>
      <c r="H55" s="619"/>
      <c r="I55" s="692"/>
      <c r="J55" s="613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/>
      <c r="X55" s="613"/>
      <c r="Y55" s="614"/>
      <c r="Z55" s="620"/>
      <c r="AA55" s="6"/>
      <c r="AB55" s="613"/>
      <c r="AC55" s="622"/>
      <c r="AD55" s="572"/>
      <c r="AE55" s="6"/>
      <c r="AF55" s="6"/>
      <c r="AG55" s="613"/>
      <c r="AH55" s="614"/>
      <c r="AI55" s="620"/>
      <c r="AJ55" s="6"/>
      <c r="AK55" s="613"/>
      <c r="AM55" s="572"/>
      <c r="AN55" s="6"/>
      <c r="AO55" s="6"/>
      <c r="AP55" s="50"/>
      <c r="AQ55" s="613"/>
      <c r="AR55" s="614"/>
      <c r="AS55" s="620"/>
      <c r="AT55" s="6"/>
      <c r="AU55" s="50"/>
      <c r="AV55" s="613"/>
    </row>
    <row r="56" spans="1:48" ht="94.15" customHeight="1" x14ac:dyDescent="0.25">
      <c r="A56" s="2205"/>
      <c r="B56" s="989">
        <v>2</v>
      </c>
      <c r="C56" s="595"/>
      <c r="D56" s="596"/>
      <c r="E56" s="596">
        <v>58</v>
      </c>
      <c r="F56" s="597"/>
      <c r="G56" s="620"/>
      <c r="H56" s="620"/>
      <c r="I56" s="692" t="s">
        <v>152</v>
      </c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/>
      <c r="V56" s="6"/>
      <c r="W56" s="6">
        <v>51</v>
      </c>
      <c r="X56" s="597"/>
      <c r="Y56" s="993"/>
      <c r="Z56" s="619"/>
      <c r="AA56" s="605" t="s">
        <v>152</v>
      </c>
      <c r="AB56" s="635"/>
      <c r="AC56" s="622"/>
      <c r="AD56" s="572"/>
      <c r="AE56" s="6"/>
      <c r="AF56" s="6"/>
      <c r="AG56" s="597"/>
      <c r="AH56" s="620"/>
      <c r="AI56" s="619"/>
      <c r="AJ56" s="620"/>
      <c r="AK56" s="635"/>
      <c r="AM56" s="572"/>
      <c r="AN56" s="6"/>
      <c r="AO56" s="6"/>
      <c r="AP56" s="50"/>
      <c r="AQ56" s="597"/>
      <c r="AR56" s="620"/>
      <c r="AS56" s="619"/>
      <c r="AT56" s="620"/>
      <c r="AU56" s="692"/>
      <c r="AV56" s="635"/>
    </row>
    <row r="57" spans="1:48" ht="52.15" customHeight="1" x14ac:dyDescent="0.25">
      <c r="A57" s="2206">
        <v>45197</v>
      </c>
      <c r="B57" s="574">
        <v>1</v>
      </c>
      <c r="C57" s="595"/>
      <c r="D57" s="596"/>
      <c r="E57" s="596">
        <v>55</v>
      </c>
      <c r="F57" s="597"/>
      <c r="G57" s="620"/>
      <c r="H57" s="620"/>
      <c r="I57" s="692" t="s">
        <v>383</v>
      </c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>
        <v>64</v>
      </c>
      <c r="X57" s="597"/>
      <c r="Y57" s="620"/>
      <c r="Z57" s="619"/>
      <c r="AA57" s="692" t="s">
        <v>383</v>
      </c>
      <c r="AB57" s="635"/>
      <c r="AC57" s="622"/>
      <c r="AD57" s="572"/>
      <c r="AE57" s="6"/>
      <c r="AF57" s="6">
        <v>20</v>
      </c>
      <c r="AG57" s="597"/>
      <c r="AH57" s="620"/>
      <c r="AI57" s="619"/>
      <c r="AJ57" s="620" t="s">
        <v>152</v>
      </c>
      <c r="AK57" s="635"/>
      <c r="AM57" s="572"/>
      <c r="AN57" s="6"/>
      <c r="AO57" s="6"/>
      <c r="AP57" s="50"/>
      <c r="AQ57" s="597"/>
      <c r="AR57" s="620"/>
      <c r="AS57" s="619"/>
      <c r="AT57" s="620"/>
      <c r="AU57" s="692"/>
      <c r="AV57" s="635"/>
    </row>
    <row r="58" spans="1:48" ht="78" customHeight="1" x14ac:dyDescent="0.25">
      <c r="A58" s="2205"/>
      <c r="B58" s="989">
        <v>2</v>
      </c>
      <c r="C58" s="595"/>
      <c r="D58" s="596"/>
      <c r="E58" s="596">
        <v>35</v>
      </c>
      <c r="F58" s="597"/>
      <c r="G58" s="620"/>
      <c r="H58" s="619"/>
      <c r="I58" s="692" t="s">
        <v>152</v>
      </c>
      <c r="J58" s="635"/>
      <c r="K58" s="622"/>
      <c r="L58" s="572"/>
      <c r="M58" s="6"/>
      <c r="N58" s="6"/>
      <c r="O58" s="597"/>
      <c r="P58" s="620"/>
      <c r="Q58" s="619"/>
      <c r="R58" s="620"/>
      <c r="S58" s="635"/>
      <c r="T58" s="622"/>
      <c r="U58" s="572"/>
      <c r="V58" s="6"/>
      <c r="W58" s="6">
        <v>171</v>
      </c>
      <c r="X58" s="597"/>
      <c r="Y58" s="620"/>
      <c r="Z58" s="619"/>
      <c r="AA58" s="605" t="s">
        <v>152</v>
      </c>
      <c r="AB58" s="635"/>
      <c r="AC58" s="622"/>
      <c r="AD58" s="572"/>
      <c r="AE58" s="6"/>
      <c r="AF58" s="6">
        <v>10</v>
      </c>
      <c r="AG58" s="597"/>
      <c r="AH58" s="620"/>
      <c r="AI58" s="619"/>
      <c r="AJ58" s="620" t="s">
        <v>152</v>
      </c>
      <c r="AK58" s="635"/>
      <c r="AM58" s="572"/>
      <c r="AN58" s="6"/>
      <c r="AO58" s="6">
        <v>29</v>
      </c>
      <c r="AP58" s="50"/>
      <c r="AQ58" s="597"/>
      <c r="AR58" s="620"/>
      <c r="AS58" s="619"/>
      <c r="AT58" s="620" t="s">
        <v>152</v>
      </c>
      <c r="AU58" s="692"/>
      <c r="AV58" s="635"/>
    </row>
    <row r="59" spans="1:48" ht="73.150000000000006" customHeight="1" x14ac:dyDescent="0.25">
      <c r="A59" s="2206">
        <v>45198</v>
      </c>
      <c r="B59" s="574">
        <v>1</v>
      </c>
      <c r="C59" s="595"/>
      <c r="D59" s="596"/>
      <c r="E59" s="596">
        <v>40</v>
      </c>
      <c r="F59" s="597"/>
      <c r="G59" s="619"/>
      <c r="H59" s="619"/>
      <c r="I59" s="692" t="s">
        <v>152</v>
      </c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>
        <v>50</v>
      </c>
      <c r="X59" s="613"/>
      <c r="Y59" s="614"/>
      <c r="Z59" s="6"/>
      <c r="AA59" s="605" t="s">
        <v>152</v>
      </c>
      <c r="AB59" s="635"/>
      <c r="AC59" s="622"/>
      <c r="AD59" s="572"/>
      <c r="AE59" s="6"/>
      <c r="AF59" s="6"/>
      <c r="AG59" s="613"/>
      <c r="AH59" s="993"/>
      <c r="AI59" s="6"/>
      <c r="AJ59" s="620"/>
      <c r="AK59" s="635"/>
      <c r="AM59" s="572"/>
      <c r="AN59" s="6"/>
      <c r="AO59" s="6"/>
      <c r="AP59" s="50"/>
      <c r="AQ59" s="613"/>
      <c r="AR59" s="993"/>
      <c r="AS59" s="6"/>
      <c r="AT59" s="620"/>
      <c r="AU59" s="692"/>
      <c r="AV59" s="635"/>
    </row>
    <row r="60" spans="1:48" ht="36" customHeight="1" x14ac:dyDescent="0.25">
      <c r="A60" s="2205"/>
      <c r="B60" s="989">
        <v>2</v>
      </c>
      <c r="C60" s="595"/>
      <c r="D60" s="596">
        <v>15</v>
      </c>
      <c r="E60" s="596"/>
      <c r="F60" s="597"/>
      <c r="G60" s="619"/>
      <c r="H60" s="620" t="s">
        <v>601</v>
      </c>
      <c r="I60" s="692"/>
      <c r="J60" s="635"/>
      <c r="K60" s="622"/>
      <c r="L60" s="572"/>
      <c r="M60" s="6"/>
      <c r="N60" s="6"/>
      <c r="O60" s="613"/>
      <c r="P60" s="614"/>
      <c r="Q60" s="6"/>
      <c r="R60" s="6"/>
      <c r="S60" s="635"/>
      <c r="T60" s="622"/>
      <c r="U60" s="572"/>
      <c r="V60" s="6">
        <v>19</v>
      </c>
      <c r="W60" s="6">
        <v>22</v>
      </c>
      <c r="X60" s="613"/>
      <c r="Y60" s="993"/>
      <c r="Z60" s="605" t="s">
        <v>601</v>
      </c>
      <c r="AA60" s="605" t="s">
        <v>152</v>
      </c>
      <c r="AB60" s="635"/>
      <c r="AC60" s="622"/>
      <c r="AD60" s="572"/>
      <c r="AE60" s="6"/>
      <c r="AF60" s="6"/>
      <c r="AG60" s="613"/>
      <c r="AH60" s="614"/>
      <c r="AI60" s="6"/>
      <c r="AJ60" s="605"/>
      <c r="AK60" s="635"/>
      <c r="AM60" s="572"/>
      <c r="AN60" s="6"/>
      <c r="AO60" s="6"/>
      <c r="AP60" s="50"/>
      <c r="AQ60" s="613"/>
      <c r="AR60" s="614"/>
      <c r="AS60" s="6"/>
      <c r="AT60" s="605"/>
      <c r="AU60" s="828"/>
      <c r="AV60" s="635"/>
    </row>
    <row r="61" spans="1:48" ht="32.450000000000003" customHeight="1" x14ac:dyDescent="0.25">
      <c r="A61" s="2206">
        <v>45199</v>
      </c>
      <c r="B61" s="574">
        <v>1</v>
      </c>
      <c r="C61" s="996"/>
      <c r="D61" s="998"/>
      <c r="E61" s="596"/>
      <c r="F61" s="749"/>
      <c r="G61" s="619"/>
      <c r="H61" s="997"/>
      <c r="I61" s="692"/>
      <c r="J61" s="687"/>
      <c r="K61" s="622"/>
      <c r="L61" s="572"/>
      <c r="M61" s="6"/>
      <c r="N61" s="6"/>
      <c r="O61" s="613"/>
      <c r="P61" s="752"/>
      <c r="Q61" s="994"/>
      <c r="R61" s="994"/>
      <c r="S61" s="753"/>
      <c r="T61" s="622"/>
      <c r="U61" s="572"/>
      <c r="V61" s="6"/>
      <c r="W61" s="6"/>
      <c r="X61" s="613"/>
      <c r="Y61" s="993"/>
      <c r="Z61" s="605"/>
      <c r="AA61" s="605"/>
      <c r="AB61" s="753"/>
      <c r="AC61" s="622"/>
      <c r="AD61" s="572"/>
      <c r="AE61" s="6"/>
      <c r="AF61" s="6"/>
      <c r="AG61" s="613"/>
      <c r="AH61" s="614"/>
      <c r="AI61" s="6"/>
      <c r="AJ61" s="605"/>
      <c r="AK61" s="753"/>
      <c r="AM61" s="572"/>
      <c r="AN61" s="6"/>
      <c r="AO61" s="6"/>
      <c r="AP61" s="50"/>
      <c r="AQ61" s="613"/>
      <c r="AR61" s="614"/>
      <c r="AS61" s="6"/>
      <c r="AT61" s="605"/>
      <c r="AU61" s="964"/>
      <c r="AV61" s="753"/>
    </row>
    <row r="62" spans="1:48" ht="62.45" customHeight="1" x14ac:dyDescent="0.25">
      <c r="A62" s="2205"/>
      <c r="B62" s="989">
        <v>2</v>
      </c>
      <c r="C62" s="996">
        <v>165</v>
      </c>
      <c r="D62" s="998"/>
      <c r="E62" s="998">
        <v>24</v>
      </c>
      <c r="F62" s="749"/>
      <c r="G62" s="1001" t="s">
        <v>740</v>
      </c>
      <c r="H62" s="997"/>
      <c r="I62" s="692" t="s">
        <v>152</v>
      </c>
      <c r="J62" s="687"/>
      <c r="K62" s="622"/>
      <c r="L62" s="572"/>
      <c r="M62" s="6"/>
      <c r="N62" s="6"/>
      <c r="O62" s="613"/>
      <c r="P62" s="752"/>
      <c r="Q62" s="994"/>
      <c r="R62" s="994"/>
      <c r="S62" s="753"/>
      <c r="T62" s="622"/>
      <c r="U62" s="572"/>
      <c r="V62" s="6"/>
      <c r="W62" s="6">
        <v>38</v>
      </c>
      <c r="X62" s="613"/>
      <c r="Y62" s="993"/>
      <c r="Z62" s="605"/>
      <c r="AA62" s="605" t="s">
        <v>152</v>
      </c>
      <c r="AB62" s="753"/>
      <c r="AC62" s="622"/>
      <c r="AD62" s="572"/>
      <c r="AE62" s="6"/>
      <c r="AF62" s="6"/>
      <c r="AG62" s="613"/>
      <c r="AH62" s="614"/>
      <c r="AI62" s="6"/>
      <c r="AJ62" s="605"/>
      <c r="AK62" s="753"/>
      <c r="AM62" s="572"/>
      <c r="AN62" s="6"/>
      <c r="AO62" s="6">
        <v>24</v>
      </c>
      <c r="AP62" s="50"/>
      <c r="AQ62" s="613"/>
      <c r="AR62" s="614"/>
      <c r="AS62" s="6"/>
      <c r="AT62" s="620" t="s">
        <v>152</v>
      </c>
      <c r="AU62" s="964"/>
      <c r="AV62" s="753"/>
    </row>
    <row r="63" spans="1:48" ht="33.6" customHeight="1" x14ac:dyDescent="0.25">
      <c r="A63" s="2206">
        <v>45200</v>
      </c>
      <c r="B63" s="574">
        <v>1</v>
      </c>
      <c r="C63" s="706"/>
      <c r="D63" s="707"/>
      <c r="E63" s="707"/>
      <c r="F63" s="708"/>
      <c r="G63" s="717"/>
      <c r="H63" s="709"/>
      <c r="I63" s="620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/>
      <c r="X63" s="597"/>
      <c r="Y63" s="685"/>
      <c r="Z63" s="619"/>
      <c r="AA63" s="6"/>
      <c r="AB63" s="992"/>
      <c r="AC63" s="622"/>
      <c r="AD63" s="572"/>
      <c r="AE63" s="6"/>
      <c r="AF63" s="6"/>
      <c r="AG63" s="597"/>
      <c r="AH63" s="685"/>
      <c r="AI63" s="619"/>
      <c r="AJ63" s="6"/>
      <c r="AK63" s="705"/>
      <c r="AM63" s="572"/>
      <c r="AN63" s="6"/>
      <c r="AO63" s="6"/>
      <c r="AP63" s="50"/>
      <c r="AQ63" s="597"/>
      <c r="AR63" s="685"/>
      <c r="AS63" s="619"/>
      <c r="AT63" s="619"/>
      <c r="AU63" s="965"/>
      <c r="AV63" s="705"/>
    </row>
    <row r="64" spans="1:48" ht="30.6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963"/>
      <c r="AQ64" s="636"/>
      <c r="AR64" s="637"/>
      <c r="AS64" s="638"/>
      <c r="AT64" s="638"/>
      <c r="AU64" s="966"/>
      <c r="AV64" s="713"/>
    </row>
    <row r="65" spans="1:43" ht="23.45" customHeight="1" x14ac:dyDescent="0.25">
      <c r="A65" s="524" t="s">
        <v>225</v>
      </c>
      <c r="C65" s="768">
        <f>SUM(C3:C64)</f>
        <v>198</v>
      </c>
      <c r="D65" s="525">
        <f>SUM(D3:D64)</f>
        <v>66</v>
      </c>
      <c r="E65" s="768">
        <f>SUM(E3:E64)</f>
        <v>505</v>
      </c>
      <c r="F65" s="525">
        <f>SUM(F3:F64)</f>
        <v>13864</v>
      </c>
      <c r="L65" s="525">
        <f>SUM(L3:L64)</f>
        <v>0</v>
      </c>
      <c r="M65" s="525">
        <f>SUM(M3:M64)</f>
        <v>0</v>
      </c>
      <c r="N65" s="525">
        <f>SUM(N3:N64)</f>
        <v>0</v>
      </c>
      <c r="O65" s="525">
        <f>SUM(O3:O64)</f>
        <v>13849</v>
      </c>
      <c r="U65" s="525">
        <f>SUM(U3:U64)</f>
        <v>0</v>
      </c>
      <c r="V65" s="525">
        <f>SUM(V3:V64)</f>
        <v>50</v>
      </c>
      <c r="W65" s="525">
        <f>SUM(W3:W64)</f>
        <v>720</v>
      </c>
      <c r="X65" s="525">
        <f>SUM(X3:X64)</f>
        <v>13828</v>
      </c>
      <c r="AD65" s="525">
        <f>SUM(AD3:AD64)</f>
        <v>26</v>
      </c>
      <c r="AE65" s="525">
        <f>SUM(AE3:AE64)</f>
        <v>0</v>
      </c>
      <c r="AF65" s="525">
        <f>SUM(AF3:AF64)</f>
        <v>96</v>
      </c>
      <c r="AG65" s="525">
        <f>SUM(AG3:AG64)</f>
        <v>13834</v>
      </c>
      <c r="AM65" s="525">
        <f>SUM(AM3:AM64)</f>
        <v>0</v>
      </c>
      <c r="AN65" s="525">
        <f>SUM(AN3:AN64)</f>
        <v>0</v>
      </c>
      <c r="AO65" s="525">
        <f>SUM(AO3:AO64)</f>
        <v>90</v>
      </c>
      <c r="AP65" s="525">
        <f>SUM(AP3:AP64)</f>
        <v>13880</v>
      </c>
      <c r="AQ65" s="525">
        <f>SUM(AQ3:AQ64)</f>
        <v>0</v>
      </c>
    </row>
    <row r="73" spans="1:43" ht="15.75" thickBot="1" x14ac:dyDescent="0.3"/>
    <row r="74" spans="1:43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3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3" ht="21.75" customHeight="1" x14ac:dyDescent="0.3">
      <c r="B76" s="651" t="s">
        <v>218</v>
      </c>
      <c r="C76" s="652">
        <f>C65</f>
        <v>198</v>
      </c>
      <c r="D76" s="653">
        <f>C76/60</f>
        <v>3.3</v>
      </c>
      <c r="E76" s="652">
        <f>D65</f>
        <v>66</v>
      </c>
      <c r="F76" s="654">
        <f>E76/60</f>
        <v>1.1000000000000001</v>
      </c>
      <c r="G76" s="652">
        <f>E65</f>
        <v>505</v>
      </c>
      <c r="H76" s="653">
        <f>G76/60</f>
        <v>8.4166666666666661</v>
      </c>
      <c r="I76" s="652">
        <f>F65</f>
        <v>13864</v>
      </c>
      <c r="J76" s="653">
        <f>I76/60</f>
        <v>231.06666666666666</v>
      </c>
    </row>
    <row r="77" spans="1:43" ht="19.5" customHeight="1" x14ac:dyDescent="0.3">
      <c r="B77" s="651" t="s">
        <v>219</v>
      </c>
      <c r="C77" s="655">
        <f>L65</f>
        <v>0</v>
      </c>
      <c r="D77" s="656">
        <f>C77/60</f>
        <v>0</v>
      </c>
      <c r="E77" s="655">
        <f>M65</f>
        <v>0</v>
      </c>
      <c r="F77" s="657">
        <f>E77/60</f>
        <v>0</v>
      </c>
      <c r="G77" s="655">
        <f>N65</f>
        <v>0</v>
      </c>
      <c r="H77" s="656">
        <f>G77/60</f>
        <v>0</v>
      </c>
      <c r="I77" s="655">
        <f>O65</f>
        <v>13849</v>
      </c>
      <c r="J77" s="656">
        <f>I77/60</f>
        <v>230.81666666666666</v>
      </c>
    </row>
    <row r="78" spans="1:43" ht="20.25" customHeight="1" x14ac:dyDescent="0.3">
      <c r="B78" s="651" t="s">
        <v>220</v>
      </c>
      <c r="C78" s="655">
        <f>U65</f>
        <v>0</v>
      </c>
      <c r="D78" s="656">
        <f>C78/60</f>
        <v>0</v>
      </c>
      <c r="E78" s="655">
        <f>V65</f>
        <v>50</v>
      </c>
      <c r="F78" s="657">
        <f>E78/60</f>
        <v>0.83333333333333337</v>
      </c>
      <c r="G78" s="655">
        <f>W65</f>
        <v>720</v>
      </c>
      <c r="H78" s="656">
        <f>G78/60</f>
        <v>12</v>
      </c>
      <c r="I78" s="655">
        <f>X65</f>
        <v>13828</v>
      </c>
      <c r="J78" s="656">
        <f>I78/60</f>
        <v>230.46666666666667</v>
      </c>
    </row>
    <row r="79" spans="1:43" ht="22.5" customHeight="1" thickBot="1" x14ac:dyDescent="0.35">
      <c r="B79" s="651" t="s">
        <v>221</v>
      </c>
      <c r="C79" s="658">
        <f>AD65</f>
        <v>26</v>
      </c>
      <c r="D79" s="659">
        <f>C79/60</f>
        <v>0.43333333333333335</v>
      </c>
      <c r="E79" s="658">
        <f>AE65</f>
        <v>0</v>
      </c>
      <c r="F79" s="660">
        <f>E79/60</f>
        <v>0</v>
      </c>
      <c r="G79" s="658">
        <f>AF65</f>
        <v>96</v>
      </c>
      <c r="H79" s="659">
        <f>G79/60</f>
        <v>1.6</v>
      </c>
      <c r="I79" s="658">
        <f>AG65</f>
        <v>13834</v>
      </c>
      <c r="J79" s="659">
        <f>I79/60</f>
        <v>230.56666666666666</v>
      </c>
    </row>
    <row r="80" spans="1:43" ht="22.5" customHeight="1" thickBot="1" x14ac:dyDescent="0.35">
      <c r="B80" s="651" t="s">
        <v>488</v>
      </c>
      <c r="C80" s="658">
        <f>AD66</f>
        <v>0</v>
      </c>
      <c r="D80" s="849">
        <f>C80/60</f>
        <v>0</v>
      </c>
      <c r="E80" s="850">
        <f>AN65</f>
        <v>0</v>
      </c>
      <c r="F80" s="851">
        <f>E80/60</f>
        <v>0</v>
      </c>
      <c r="G80" s="850">
        <f>AO65</f>
        <v>90</v>
      </c>
      <c r="H80" s="849">
        <f>G80/60</f>
        <v>1.5</v>
      </c>
      <c r="I80" s="850">
        <f>AP65</f>
        <v>13880</v>
      </c>
      <c r="J80" s="849">
        <f>I80/60</f>
        <v>231.33333333333334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3.7333333333333334</v>
      </c>
      <c r="E82" s="666"/>
      <c r="F82" s="667">
        <f>SUM(F76:F80)</f>
        <v>1.9333333333333336</v>
      </c>
      <c r="G82" s="666"/>
      <c r="H82" s="667">
        <f>SUM(H76:H80)</f>
        <v>23.516666666666666</v>
      </c>
      <c r="I82" s="666"/>
      <c r="J82" s="668">
        <f>AVERAGE(J76:J80)</f>
        <v>230.85</v>
      </c>
    </row>
  </sheetData>
  <mergeCells count="45">
    <mergeCell ref="A5:A6"/>
    <mergeCell ref="C1:F1"/>
    <mergeCell ref="G1:J1"/>
    <mergeCell ref="L1:O1"/>
    <mergeCell ref="P1:S1"/>
    <mergeCell ref="AD1:AG1"/>
    <mergeCell ref="AH1:AK1"/>
    <mergeCell ref="AM1:AQ1"/>
    <mergeCell ref="AR1:AV1"/>
    <mergeCell ref="A3:A4"/>
    <mergeCell ref="U1:X1"/>
    <mergeCell ref="Y1:AB1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</mergeCells>
  <pageMargins left="0.7" right="0.7" top="0.75" bottom="0.75" header="0.3" footer="0.3"/>
  <pageSetup paperSize="9" orientation="portrait" horizontalDpi="180" verticalDpi="18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2"/>
  <sheetViews>
    <sheetView zoomScale="55" zoomScaleNormal="55" workbookViewId="0">
      <pane xSplit="2" ySplit="2" topLeftCell="C66" activePane="bottomRight" state="frozen"/>
      <selection pane="topRight" activeCell="C1" sqref="C1"/>
      <selection pane="bottomLeft" activeCell="A3" sqref="A3"/>
      <selection pane="bottomRight" activeCell="F48" sqref="F48:F52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7.285156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3" style="524" customWidth="1"/>
    <col min="17" max="17" width="25.7109375" style="524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2.42578125" style="524" customWidth="1"/>
    <col min="28" max="28" width="27" style="524" customWidth="1"/>
    <col min="29" max="33" width="10.7109375" style="524" customWidth="1"/>
    <col min="34" max="34" width="31.28515625" style="524" customWidth="1"/>
    <col min="35" max="35" width="18.57031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3" width="10.7109375" style="524" customWidth="1"/>
    <col min="44" max="44" width="21.140625" style="524" customWidth="1"/>
    <col min="45" max="45" width="26.28515625" style="524" customWidth="1"/>
    <col min="46" max="46" width="27.140625" style="524" customWidth="1"/>
    <col min="47" max="47" width="24.42578125" style="524" customWidth="1"/>
    <col min="48" max="48" width="26.5703125" style="524" customWidth="1"/>
    <col min="49" max="16384" width="8.85546875" style="524"/>
  </cols>
  <sheetData>
    <row r="1" spans="1:48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0"/>
      <c r="AR1" s="2252" t="s">
        <v>206</v>
      </c>
      <c r="AS1" s="2252"/>
      <c r="AT1" s="2252"/>
      <c r="AU1" s="2252"/>
      <c r="AV1" s="2253"/>
    </row>
    <row r="2" spans="1:48" ht="42.6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6" t="s">
        <v>199</v>
      </c>
      <c r="AI2" s="984" t="s">
        <v>200</v>
      </c>
      <c r="AJ2" s="984" t="s">
        <v>201</v>
      </c>
      <c r="AK2" s="984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4" t="s">
        <v>204</v>
      </c>
      <c r="AR2" s="986" t="s">
        <v>199</v>
      </c>
      <c r="AS2" s="984" t="s">
        <v>200</v>
      </c>
      <c r="AT2" s="984" t="s">
        <v>201</v>
      </c>
      <c r="AU2" s="984" t="s">
        <v>204</v>
      </c>
      <c r="AV2" s="984" t="s">
        <v>204</v>
      </c>
    </row>
    <row r="3" spans="1:48" ht="78" customHeight="1" x14ac:dyDescent="0.25">
      <c r="A3" s="2206">
        <v>45200</v>
      </c>
      <c r="B3" s="1000">
        <v>1</v>
      </c>
      <c r="C3" s="592"/>
      <c r="D3" s="593"/>
      <c r="E3" s="847">
        <v>15</v>
      </c>
      <c r="F3" s="594"/>
      <c r="G3" s="685"/>
      <c r="H3" s="619"/>
      <c r="I3" s="848" t="s">
        <v>152</v>
      </c>
      <c r="J3" s="686"/>
      <c r="K3" s="622"/>
      <c r="L3" s="612"/>
      <c r="M3" s="630"/>
      <c r="N3" s="630"/>
      <c r="O3" s="628"/>
      <c r="P3" s="629"/>
      <c r="Q3" s="699"/>
      <c r="R3" s="699"/>
      <c r="S3" s="628"/>
      <c r="T3" s="622"/>
      <c r="U3" s="612"/>
      <c r="V3" s="630"/>
      <c r="W3" s="630"/>
      <c r="X3" s="613"/>
      <c r="Y3" s="1004"/>
      <c r="Z3" s="629"/>
      <c r="AA3" s="719"/>
      <c r="AB3" s="720"/>
      <c r="AC3" s="622"/>
      <c r="AD3" s="612"/>
      <c r="AE3" s="630"/>
      <c r="AF3" s="6"/>
      <c r="AG3" s="628"/>
      <c r="AH3" s="629"/>
      <c r="AI3" s="629"/>
      <c r="AJ3" s="605"/>
      <c r="AK3" s="628"/>
      <c r="AM3" s="612"/>
      <c r="AN3" s="630"/>
      <c r="AO3" s="6"/>
      <c r="AP3" s="962"/>
      <c r="AQ3" s="628"/>
      <c r="AR3" s="629"/>
      <c r="AS3" s="648"/>
      <c r="AT3" s="6"/>
      <c r="AU3" s="962"/>
      <c r="AV3" s="628"/>
    </row>
    <row r="4" spans="1:48" ht="70.150000000000006" customHeight="1" x14ac:dyDescent="0.25">
      <c r="A4" s="2205"/>
      <c r="B4" s="574">
        <v>2</v>
      </c>
      <c r="C4" s="595"/>
      <c r="D4" s="596"/>
      <c r="E4" s="596">
        <f>20+8+18</f>
        <v>46</v>
      </c>
      <c r="F4" s="597"/>
      <c r="G4" s="685"/>
      <c r="H4" s="619"/>
      <c r="I4" s="848" t="s">
        <v>152</v>
      </c>
      <c r="J4" s="687"/>
      <c r="K4" s="622"/>
      <c r="L4" s="572"/>
      <c r="M4" s="6"/>
      <c r="N4" s="6"/>
      <c r="O4" s="613"/>
      <c r="P4" s="614"/>
      <c r="Q4" s="619"/>
      <c r="R4" s="1006"/>
      <c r="S4" s="613"/>
      <c r="T4" s="622"/>
      <c r="U4" s="572"/>
      <c r="V4" s="605"/>
      <c r="W4" s="6">
        <f>15+8</f>
        <v>23</v>
      </c>
      <c r="X4" s="613"/>
      <c r="Y4" s="1004"/>
      <c r="Z4" s="619"/>
      <c r="AA4" s="698" t="s">
        <v>152</v>
      </c>
      <c r="AB4" s="722"/>
      <c r="AC4" s="622"/>
      <c r="AD4" s="572"/>
      <c r="AE4" s="6"/>
      <c r="AF4" s="6"/>
      <c r="AG4" s="613"/>
      <c r="AH4" s="614"/>
      <c r="AI4" s="619"/>
      <c r="AJ4" s="6"/>
      <c r="AK4" s="613"/>
      <c r="AM4" s="572"/>
      <c r="AN4" s="6"/>
      <c r="AO4" s="6"/>
      <c r="AP4" s="50"/>
      <c r="AQ4" s="613"/>
      <c r="AR4" s="614"/>
      <c r="AS4" s="620"/>
      <c r="AT4" s="6"/>
      <c r="AU4" s="50"/>
      <c r="AV4" s="613"/>
    </row>
    <row r="5" spans="1:48" ht="60" customHeight="1" x14ac:dyDescent="0.25">
      <c r="A5" s="2206">
        <v>45201</v>
      </c>
      <c r="B5" s="574">
        <v>1</v>
      </c>
      <c r="C5" s="595"/>
      <c r="D5" s="596"/>
      <c r="E5" s="596">
        <f>20+7</f>
        <v>27</v>
      </c>
      <c r="F5" s="597"/>
      <c r="G5" s="685"/>
      <c r="H5" s="619"/>
      <c r="I5" s="848" t="s">
        <v>152</v>
      </c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>
        <f>15+7</f>
        <v>22</v>
      </c>
      <c r="X5" s="613"/>
      <c r="Y5" s="1004"/>
      <c r="Z5" s="6"/>
      <c r="AA5" s="698" t="s">
        <v>152</v>
      </c>
      <c r="AB5" s="723"/>
      <c r="AC5" s="622"/>
      <c r="AD5" s="572"/>
      <c r="AE5" s="6"/>
      <c r="AF5" s="6"/>
      <c r="AG5" s="613"/>
      <c r="AH5" s="614"/>
      <c r="AI5" s="6"/>
      <c r="AJ5" s="719"/>
      <c r="AK5" s="613"/>
      <c r="AM5" s="572"/>
      <c r="AN5" s="6"/>
      <c r="AO5" s="6"/>
      <c r="AP5" s="50"/>
      <c r="AQ5" s="613"/>
      <c r="AR5" s="614"/>
      <c r="AS5" s="6"/>
      <c r="AT5" s="605"/>
      <c r="AU5" s="828"/>
      <c r="AV5" s="634"/>
    </row>
    <row r="6" spans="1:48" ht="80.45" customHeight="1" x14ac:dyDescent="0.25">
      <c r="A6" s="2205"/>
      <c r="B6" s="574">
        <v>2</v>
      </c>
      <c r="C6" s="595">
        <v>288</v>
      </c>
      <c r="D6" s="596"/>
      <c r="E6" s="596">
        <v>20</v>
      </c>
      <c r="F6" s="597"/>
      <c r="G6" s="684" t="s">
        <v>315</v>
      </c>
      <c r="H6" s="619"/>
      <c r="I6" s="848" t="s">
        <v>152</v>
      </c>
      <c r="J6" s="687"/>
      <c r="K6" s="622"/>
      <c r="L6" s="572"/>
      <c r="M6" s="6"/>
      <c r="N6" s="6"/>
      <c r="O6" s="613"/>
      <c r="P6" s="614"/>
      <c r="Q6" s="619"/>
      <c r="R6" s="6"/>
      <c r="S6" s="613"/>
      <c r="T6" s="622"/>
      <c r="U6" s="572"/>
      <c r="V6" s="6"/>
      <c r="W6" s="6"/>
      <c r="X6" s="613"/>
      <c r="Y6" s="1004"/>
      <c r="Z6" s="6"/>
      <c r="AA6" s="698"/>
      <c r="AB6" s="613"/>
      <c r="AC6" s="622"/>
      <c r="AD6" s="572"/>
      <c r="AE6" s="6"/>
      <c r="AF6" s="6"/>
      <c r="AG6" s="613"/>
      <c r="AH6" s="614"/>
      <c r="AI6" s="6"/>
      <c r="AJ6" s="6"/>
      <c r="AK6" s="613"/>
      <c r="AM6" s="572"/>
      <c r="AN6" s="6"/>
      <c r="AO6" s="6"/>
      <c r="AP6" s="50"/>
      <c r="AQ6" s="613"/>
      <c r="AR6" s="614"/>
      <c r="AS6" s="6"/>
      <c r="AT6" s="605"/>
      <c r="AU6" s="828"/>
      <c r="AV6" s="634"/>
    </row>
    <row r="7" spans="1:48" ht="71.45" customHeight="1" x14ac:dyDescent="0.25">
      <c r="A7" s="2206">
        <v>45202</v>
      </c>
      <c r="B7" s="574">
        <v>1</v>
      </c>
      <c r="C7" s="595"/>
      <c r="D7" s="596">
        <v>153</v>
      </c>
      <c r="E7" s="596">
        <v>10</v>
      </c>
      <c r="F7" s="597"/>
      <c r="G7" s="685"/>
      <c r="H7" s="1010" t="s">
        <v>741</v>
      </c>
      <c r="I7" s="848" t="s">
        <v>152</v>
      </c>
      <c r="J7" s="687"/>
      <c r="K7" s="622"/>
      <c r="L7" s="572"/>
      <c r="M7" s="614">
        <v>150</v>
      </c>
      <c r="N7" s="6"/>
      <c r="O7" s="613"/>
      <c r="P7" s="614"/>
      <c r="Q7" s="1010" t="s">
        <v>741</v>
      </c>
      <c r="R7" s="6"/>
      <c r="S7" s="613"/>
      <c r="T7" s="622"/>
      <c r="U7" s="572"/>
      <c r="V7" s="6">
        <v>155</v>
      </c>
      <c r="W7" s="6">
        <v>22</v>
      </c>
      <c r="X7" s="613"/>
      <c r="Y7" s="614"/>
      <c r="Z7" s="1010" t="s">
        <v>741</v>
      </c>
      <c r="AA7" s="698" t="s">
        <v>152</v>
      </c>
      <c r="AB7" s="613"/>
      <c r="AC7" s="622"/>
      <c r="AD7" s="572"/>
      <c r="AE7" s="6">
        <v>158</v>
      </c>
      <c r="AF7" s="6"/>
      <c r="AG7" s="613"/>
      <c r="AH7" s="614"/>
      <c r="AI7" s="1010" t="s">
        <v>741</v>
      </c>
      <c r="AJ7" s="6"/>
      <c r="AK7" s="613"/>
      <c r="AM7" s="572"/>
      <c r="AN7" s="6">
        <v>162</v>
      </c>
      <c r="AO7" s="6">
        <v>30</v>
      </c>
      <c r="AP7" s="50"/>
      <c r="AQ7" s="613"/>
      <c r="AR7" s="614"/>
      <c r="AS7" s="1010" t="s">
        <v>741</v>
      </c>
      <c r="AT7" s="620" t="s">
        <v>742</v>
      </c>
      <c r="AU7" s="692"/>
      <c r="AV7" s="634"/>
    </row>
    <row r="8" spans="1:48" ht="69.599999999999994" customHeight="1" x14ac:dyDescent="0.25">
      <c r="A8" s="2205"/>
      <c r="B8" s="574">
        <v>2</v>
      </c>
      <c r="C8" s="595"/>
      <c r="D8" s="596"/>
      <c r="E8" s="596"/>
      <c r="F8" s="597"/>
      <c r="G8" s="684"/>
      <c r="H8" s="620"/>
      <c r="I8" s="620"/>
      <c r="J8" s="635"/>
      <c r="K8" s="622"/>
      <c r="L8" s="572"/>
      <c r="M8" s="6"/>
      <c r="N8" s="6"/>
      <c r="O8" s="613"/>
      <c r="P8" s="1004"/>
      <c r="Q8" s="605"/>
      <c r="R8" s="605"/>
      <c r="S8" s="635"/>
      <c r="T8" s="622"/>
      <c r="U8" s="572"/>
      <c r="V8" s="831"/>
      <c r="W8" s="614">
        <v>15</v>
      </c>
      <c r="X8" s="613"/>
      <c r="Y8" s="1004"/>
      <c r="Z8" s="6"/>
      <c r="AA8" s="698" t="s">
        <v>152</v>
      </c>
      <c r="AB8" s="635"/>
      <c r="AC8" s="622"/>
      <c r="AD8" s="572"/>
      <c r="AE8" s="6"/>
      <c r="AF8" s="6"/>
      <c r="AG8" s="613"/>
      <c r="AH8" s="614"/>
      <c r="AI8" s="605"/>
      <c r="AJ8" s="620"/>
      <c r="AK8" s="635"/>
      <c r="AM8" s="572"/>
      <c r="AN8" s="6"/>
      <c r="AO8" s="6">
        <v>10</v>
      </c>
      <c r="AP8" s="50"/>
      <c r="AQ8" s="613"/>
      <c r="AR8" s="614"/>
      <c r="AS8" s="6"/>
      <c r="AT8" s="6" t="s">
        <v>152</v>
      </c>
      <c r="AU8" s="50"/>
      <c r="AV8" s="634"/>
    </row>
    <row r="9" spans="1:48" ht="76.900000000000006" customHeight="1" x14ac:dyDescent="0.25">
      <c r="A9" s="2206">
        <v>45203</v>
      </c>
      <c r="B9" s="574">
        <v>1</v>
      </c>
      <c r="C9" s="595"/>
      <c r="D9" s="596"/>
      <c r="E9" s="596">
        <f>14+10+10</f>
        <v>34</v>
      </c>
      <c r="F9" s="597"/>
      <c r="G9" s="684"/>
      <c r="H9" s="619"/>
      <c r="I9" s="848" t="s">
        <v>152</v>
      </c>
      <c r="J9" s="635"/>
      <c r="K9" s="622"/>
      <c r="L9" s="572"/>
      <c r="M9" s="6"/>
      <c r="N9" s="6"/>
      <c r="O9" s="613"/>
      <c r="P9" s="1004"/>
      <c r="Q9" s="620"/>
      <c r="R9" s="605"/>
      <c r="S9" s="635"/>
      <c r="T9" s="622"/>
      <c r="U9" s="572"/>
      <c r="V9" s="6"/>
      <c r="W9" s="6">
        <v>15</v>
      </c>
      <c r="X9" s="613"/>
      <c r="Y9" s="614"/>
      <c r="Z9" s="6"/>
      <c r="AA9" s="698" t="s">
        <v>152</v>
      </c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/>
      <c r="AN9" s="6"/>
      <c r="AO9" s="6">
        <v>10</v>
      </c>
      <c r="AP9" s="50"/>
      <c r="AQ9" s="613"/>
      <c r="AR9" s="614"/>
      <c r="AS9" s="6"/>
      <c r="AT9" s="6" t="s">
        <v>152</v>
      </c>
      <c r="AU9" s="828"/>
      <c r="AV9" s="634"/>
    </row>
    <row r="10" spans="1:48" ht="67.150000000000006" customHeight="1" x14ac:dyDescent="0.25">
      <c r="A10" s="2205"/>
      <c r="B10" s="574">
        <v>2</v>
      </c>
      <c r="C10" s="595"/>
      <c r="D10" s="596"/>
      <c r="E10" s="596">
        <v>20</v>
      </c>
      <c r="F10" s="597"/>
      <c r="G10" s="685"/>
      <c r="H10" s="619"/>
      <c r="I10" s="848" t="s">
        <v>152</v>
      </c>
      <c r="J10" s="635"/>
      <c r="K10" s="622"/>
      <c r="L10" s="572"/>
      <c r="M10" s="6"/>
      <c r="N10" s="6"/>
      <c r="O10" s="613"/>
      <c r="P10" s="1004"/>
      <c r="Q10" s="6"/>
      <c r="R10" s="605"/>
      <c r="S10" s="635"/>
      <c r="T10" s="622"/>
      <c r="U10" s="572"/>
      <c r="V10" s="6"/>
      <c r="W10" s="6">
        <v>10</v>
      </c>
      <c r="X10" s="613"/>
      <c r="Y10" s="567"/>
      <c r="Z10" s="1004"/>
      <c r="AA10" s="698" t="s">
        <v>152</v>
      </c>
      <c r="AB10" s="635"/>
      <c r="AC10" s="622"/>
      <c r="AD10" s="572"/>
      <c r="AE10" s="6"/>
      <c r="AF10" s="6">
        <v>5</v>
      </c>
      <c r="AG10" s="613"/>
      <c r="AH10" s="1004"/>
      <c r="AI10" s="605"/>
      <c r="AJ10" s="6" t="s">
        <v>743</v>
      </c>
      <c r="AK10" s="635"/>
      <c r="AM10" s="572"/>
      <c r="AN10" s="6"/>
      <c r="AO10" s="6"/>
      <c r="AP10" s="50"/>
      <c r="AQ10" s="613"/>
      <c r="AR10" s="614"/>
      <c r="AS10" s="6"/>
      <c r="AT10" s="6"/>
      <c r="AU10" s="50"/>
      <c r="AV10" s="634"/>
    </row>
    <row r="11" spans="1:48" ht="60" customHeight="1" x14ac:dyDescent="0.25">
      <c r="A11" s="2206">
        <v>45204</v>
      </c>
      <c r="B11" s="574">
        <v>1</v>
      </c>
      <c r="C11" s="595"/>
      <c r="D11" s="596"/>
      <c r="E11" s="596">
        <f>8+20</f>
        <v>28</v>
      </c>
      <c r="F11" s="597"/>
      <c r="G11" s="684"/>
      <c r="H11" s="619"/>
      <c r="I11" s="620" t="s">
        <v>744</v>
      </c>
      <c r="J11" s="687"/>
      <c r="K11" s="622"/>
      <c r="L11" s="572"/>
      <c r="M11" s="6"/>
      <c r="N11" s="6"/>
      <c r="O11" s="613"/>
      <c r="P11" s="1004"/>
      <c r="Q11" s="6"/>
      <c r="R11" s="605"/>
      <c r="S11" s="613"/>
      <c r="T11" s="622"/>
      <c r="U11" s="572"/>
      <c r="V11" s="6"/>
      <c r="W11" s="6">
        <v>29</v>
      </c>
      <c r="X11" s="613"/>
      <c r="Y11" s="614"/>
      <c r="Z11" s="6"/>
      <c r="AA11" s="698" t="s">
        <v>152</v>
      </c>
      <c r="AB11" s="613"/>
      <c r="AC11" s="622"/>
      <c r="AD11" s="572"/>
      <c r="AE11" s="6"/>
      <c r="AF11" s="6">
        <v>8</v>
      </c>
      <c r="AG11" s="613"/>
      <c r="AH11" s="614"/>
      <c r="AI11" s="6"/>
      <c r="AJ11" s="6" t="s">
        <v>743</v>
      </c>
      <c r="AK11" s="613"/>
      <c r="AM11" s="572"/>
      <c r="AN11" s="6"/>
      <c r="AO11" s="6">
        <v>8</v>
      </c>
      <c r="AP11" s="50"/>
      <c r="AQ11" s="613"/>
      <c r="AR11" s="614"/>
      <c r="AS11" s="6"/>
      <c r="AT11" s="6" t="s">
        <v>152</v>
      </c>
      <c r="AU11" s="50"/>
      <c r="AV11" s="634"/>
    </row>
    <row r="12" spans="1:48" ht="55.15" customHeight="1" x14ac:dyDescent="0.25">
      <c r="A12" s="2205"/>
      <c r="B12" s="574">
        <v>2</v>
      </c>
      <c r="C12" s="595"/>
      <c r="D12" s="596"/>
      <c r="E12" s="596"/>
      <c r="F12" s="597"/>
      <c r="G12" s="685"/>
      <c r="H12" s="619"/>
      <c r="I12" s="620"/>
      <c r="J12" s="635"/>
      <c r="K12" s="622"/>
      <c r="L12" s="572"/>
      <c r="M12" s="6"/>
      <c r="N12" s="6"/>
      <c r="O12" s="613"/>
      <c r="P12" s="1004"/>
      <c r="Q12" s="6"/>
      <c r="R12" s="605"/>
      <c r="S12" s="635"/>
      <c r="T12" s="622"/>
      <c r="U12" s="572"/>
      <c r="V12" s="6"/>
      <c r="W12" s="6"/>
      <c r="X12" s="613"/>
      <c r="Y12" s="614"/>
      <c r="Z12" s="6"/>
      <c r="AA12" s="698"/>
      <c r="AB12" s="635"/>
      <c r="AC12" s="622"/>
      <c r="AD12" s="572"/>
      <c r="AE12" s="6"/>
      <c r="AF12" s="6">
        <v>13</v>
      </c>
      <c r="AG12" s="613"/>
      <c r="AH12" s="614"/>
      <c r="AI12" s="605"/>
      <c r="AJ12" s="605" t="s">
        <v>745</v>
      </c>
      <c r="AK12" s="635"/>
      <c r="AM12" s="572"/>
      <c r="AN12" s="6"/>
      <c r="AO12" s="6"/>
      <c r="AP12" s="50"/>
      <c r="AQ12" s="613"/>
      <c r="AR12" s="614"/>
      <c r="AS12" s="6"/>
      <c r="AT12" s="6"/>
      <c r="AU12" s="50"/>
      <c r="AV12" s="635"/>
    </row>
    <row r="13" spans="1:48" ht="34.9" customHeight="1" x14ac:dyDescent="0.25">
      <c r="A13" s="2206">
        <v>45205</v>
      </c>
      <c r="B13" s="574">
        <v>1</v>
      </c>
      <c r="C13" s="595"/>
      <c r="D13" s="596"/>
      <c r="E13" s="596"/>
      <c r="F13" s="597"/>
      <c r="G13" s="685"/>
      <c r="H13" s="619"/>
      <c r="I13" s="620"/>
      <c r="J13" s="635"/>
      <c r="K13" s="622"/>
      <c r="L13" s="572"/>
      <c r="M13" s="6"/>
      <c r="N13" s="6"/>
      <c r="O13" s="597"/>
      <c r="P13" s="1004"/>
      <c r="Q13" s="6"/>
      <c r="R13" s="605"/>
      <c r="S13" s="635"/>
      <c r="T13" s="622"/>
      <c r="U13" s="572"/>
      <c r="V13" s="6"/>
      <c r="W13" s="6">
        <v>12</v>
      </c>
      <c r="X13" s="597"/>
      <c r="Y13" s="1004"/>
      <c r="Z13" s="605"/>
      <c r="AA13" s="6" t="s">
        <v>152</v>
      </c>
      <c r="AB13" s="635"/>
      <c r="AC13" s="622"/>
      <c r="AD13" s="572"/>
      <c r="AE13" s="6"/>
      <c r="AF13" s="6"/>
      <c r="AG13" s="597"/>
      <c r="AH13" s="614"/>
      <c r="AI13" s="6"/>
      <c r="AJ13" s="6"/>
      <c r="AK13" s="635"/>
      <c r="AM13" s="572"/>
      <c r="AN13" s="6"/>
      <c r="AO13" s="6"/>
      <c r="AP13" s="50"/>
      <c r="AQ13" s="597"/>
      <c r="AR13" s="614"/>
      <c r="AS13" s="6"/>
      <c r="AT13" s="6"/>
      <c r="AU13" s="50"/>
      <c r="AV13" s="635"/>
    </row>
    <row r="14" spans="1:48" ht="49.15" customHeight="1" x14ac:dyDescent="0.25">
      <c r="A14" s="2205"/>
      <c r="B14" s="574">
        <v>2</v>
      </c>
      <c r="C14" s="595"/>
      <c r="D14" s="596"/>
      <c r="E14" s="596"/>
      <c r="F14" s="597"/>
      <c r="G14" s="685"/>
      <c r="H14" s="620"/>
      <c r="I14" s="620"/>
      <c r="J14" s="635"/>
      <c r="K14" s="622"/>
      <c r="L14" s="572"/>
      <c r="M14" s="6"/>
      <c r="N14" s="6"/>
      <c r="O14" s="597"/>
      <c r="P14" s="614"/>
      <c r="Q14" s="6"/>
      <c r="R14" s="6"/>
      <c r="S14" s="635"/>
      <c r="T14" s="622"/>
      <c r="U14" s="572"/>
      <c r="V14" s="6"/>
      <c r="W14" s="6"/>
      <c r="X14" s="597"/>
      <c r="Y14" s="1004"/>
      <c r="Z14" s="605"/>
      <c r="AA14" s="605"/>
      <c r="AB14" s="635"/>
      <c r="AC14" s="622"/>
      <c r="AD14" s="572"/>
      <c r="AE14" s="6"/>
      <c r="AF14" s="6">
        <v>18</v>
      </c>
      <c r="AG14" s="597"/>
      <c r="AH14" s="1004"/>
      <c r="AI14" s="6"/>
      <c r="AJ14" s="6" t="s">
        <v>97</v>
      </c>
      <c r="AK14" s="635"/>
      <c r="AM14" s="572"/>
      <c r="AN14" s="6"/>
      <c r="AO14" s="6"/>
      <c r="AP14" s="50"/>
      <c r="AQ14" s="597"/>
      <c r="AR14" s="1004"/>
      <c r="AS14" s="6"/>
      <c r="AT14" s="6"/>
      <c r="AU14" s="50"/>
      <c r="AV14" s="635"/>
    </row>
    <row r="15" spans="1:48" ht="48" customHeight="1" x14ac:dyDescent="0.25">
      <c r="A15" s="2206">
        <v>45206</v>
      </c>
      <c r="B15" s="574">
        <v>1</v>
      </c>
      <c r="C15" s="595"/>
      <c r="D15" s="596"/>
      <c r="E15" s="6">
        <v>7</v>
      </c>
      <c r="F15" s="597"/>
      <c r="G15" s="685"/>
      <c r="H15" s="620"/>
      <c r="I15" s="620" t="s">
        <v>113</v>
      </c>
      <c r="J15" s="635"/>
      <c r="K15" s="622"/>
      <c r="L15" s="572"/>
      <c r="M15" s="6"/>
      <c r="N15" s="6"/>
      <c r="O15" s="597"/>
      <c r="P15" s="685"/>
      <c r="Q15" s="620"/>
      <c r="R15" s="620"/>
      <c r="S15" s="635"/>
      <c r="T15" s="622"/>
      <c r="U15" s="572"/>
      <c r="V15" s="6"/>
      <c r="W15" s="6">
        <v>22</v>
      </c>
      <c r="X15" s="597"/>
      <c r="Y15" s="685"/>
      <c r="Z15" s="620"/>
      <c r="AA15" s="620" t="s">
        <v>152</v>
      </c>
      <c r="AB15" s="635"/>
      <c r="AC15" s="622"/>
      <c r="AD15" s="572">
        <v>43</v>
      </c>
      <c r="AE15" s="6"/>
      <c r="AF15" s="622">
        <v>13</v>
      </c>
      <c r="AG15" s="597"/>
      <c r="AH15" s="685" t="s">
        <v>746</v>
      </c>
      <c r="AI15" s="620"/>
      <c r="AJ15" s="620" t="s">
        <v>113</v>
      </c>
      <c r="AK15" s="635"/>
      <c r="AM15" s="572"/>
      <c r="AN15" s="6"/>
      <c r="AO15" s="622">
        <v>10</v>
      </c>
      <c r="AP15" s="597"/>
      <c r="AQ15" s="685"/>
      <c r="AR15" s="620"/>
      <c r="AS15" s="620"/>
      <c r="AT15" s="620" t="s">
        <v>152</v>
      </c>
      <c r="AU15" s="635"/>
      <c r="AV15" s="635"/>
    </row>
    <row r="16" spans="1:48" ht="54.6" customHeight="1" x14ac:dyDescent="0.25">
      <c r="A16" s="2205"/>
      <c r="B16" s="574">
        <v>2</v>
      </c>
      <c r="C16" s="595"/>
      <c r="D16" s="596"/>
      <c r="E16" s="596">
        <v>6</v>
      </c>
      <c r="F16" s="597"/>
      <c r="G16" s="684"/>
      <c r="H16" s="830"/>
      <c r="I16" s="848" t="s">
        <v>152</v>
      </c>
      <c r="J16" s="635"/>
      <c r="K16" s="622"/>
      <c r="L16" s="572"/>
      <c r="M16" s="6"/>
      <c r="N16" s="6"/>
      <c r="O16" s="597"/>
      <c r="P16" s="684"/>
      <c r="Q16" s="830"/>
      <c r="R16" s="620"/>
      <c r="S16" s="635"/>
      <c r="T16" s="622"/>
      <c r="U16" s="572"/>
      <c r="V16" s="6"/>
      <c r="W16" s="6">
        <v>16</v>
      </c>
      <c r="X16" s="597"/>
      <c r="Y16" s="684"/>
      <c r="Z16" s="830"/>
      <c r="AA16" s="620" t="s">
        <v>152</v>
      </c>
      <c r="AB16" s="635"/>
      <c r="AC16" s="622"/>
      <c r="AD16" s="572">
        <v>475</v>
      </c>
      <c r="AE16" s="6"/>
      <c r="AF16" s="6">
        <v>30</v>
      </c>
      <c r="AG16" s="597"/>
      <c r="AH16" s="685" t="s">
        <v>746</v>
      </c>
      <c r="AI16" s="830"/>
      <c r="AJ16" s="6" t="s">
        <v>562</v>
      </c>
      <c r="AK16" s="635"/>
      <c r="AM16" s="572"/>
      <c r="AN16" s="6"/>
      <c r="AO16" s="6"/>
      <c r="AP16" s="597"/>
      <c r="AQ16" s="684"/>
      <c r="AR16" s="830"/>
      <c r="AS16" s="620"/>
      <c r="AT16" s="620"/>
      <c r="AU16" s="692"/>
      <c r="AV16" s="635"/>
    </row>
    <row r="17" spans="1:48" ht="66" customHeight="1" x14ac:dyDescent="0.25">
      <c r="A17" s="2206">
        <v>45207</v>
      </c>
      <c r="B17" s="644">
        <v>1</v>
      </c>
      <c r="C17" s="595"/>
      <c r="D17" s="596"/>
      <c r="E17" s="596">
        <v>10</v>
      </c>
      <c r="F17" s="597"/>
      <c r="G17" s="685"/>
      <c r="H17" s="619"/>
      <c r="I17" s="848" t="s">
        <v>152</v>
      </c>
      <c r="J17" s="635"/>
      <c r="K17" s="622"/>
      <c r="L17" s="572"/>
      <c r="M17" s="6"/>
      <c r="N17" s="6"/>
      <c r="O17" s="597"/>
      <c r="P17" s="685"/>
      <c r="Q17" s="619"/>
      <c r="R17" s="620"/>
      <c r="S17" s="635"/>
      <c r="T17" s="622"/>
      <c r="U17" s="572"/>
      <c r="V17" s="6"/>
      <c r="W17" s="6">
        <v>28</v>
      </c>
      <c r="X17" s="597"/>
      <c r="Y17" s="685"/>
      <c r="Z17" s="619"/>
      <c r="AA17" s="620" t="s">
        <v>152</v>
      </c>
      <c r="AB17" s="635"/>
      <c r="AC17" s="622"/>
      <c r="AD17" s="572"/>
      <c r="AE17" s="6"/>
      <c r="AF17" s="6"/>
      <c r="AG17" s="597"/>
      <c r="AH17" s="685"/>
      <c r="AI17" s="619"/>
      <c r="AJ17" s="620"/>
      <c r="AK17" s="635"/>
      <c r="AM17" s="572"/>
      <c r="AN17" s="6"/>
      <c r="AO17" s="6"/>
      <c r="AP17" s="597"/>
      <c r="AQ17" s="685"/>
      <c r="AR17" s="619"/>
      <c r="AS17" s="620"/>
      <c r="AT17" s="620"/>
      <c r="AU17" s="635"/>
      <c r="AV17" s="635"/>
    </row>
    <row r="18" spans="1:48" ht="49.9" customHeight="1" x14ac:dyDescent="0.25">
      <c r="A18" s="2205"/>
      <c r="B18" s="574">
        <v>2</v>
      </c>
      <c r="C18" s="595"/>
      <c r="D18" s="596"/>
      <c r="E18" s="596">
        <v>20</v>
      </c>
      <c r="F18" s="597"/>
      <c r="G18" s="684"/>
      <c r="H18" s="830"/>
      <c r="I18" s="848" t="s">
        <v>152</v>
      </c>
      <c r="J18" s="635"/>
      <c r="K18" s="622"/>
      <c r="L18" s="572"/>
      <c r="M18" s="6"/>
      <c r="N18" s="6"/>
      <c r="O18" s="597"/>
      <c r="P18" s="684"/>
      <c r="Q18" s="620"/>
      <c r="R18" s="619"/>
      <c r="S18" s="635"/>
      <c r="T18" s="622"/>
      <c r="U18" s="572"/>
      <c r="V18" s="6"/>
      <c r="W18" s="6">
        <v>45</v>
      </c>
      <c r="X18" s="597"/>
      <c r="Y18" s="684"/>
      <c r="Z18" s="620"/>
      <c r="AA18" s="620" t="s">
        <v>123</v>
      </c>
      <c r="AB18" s="635"/>
      <c r="AC18" s="622"/>
      <c r="AD18" s="572"/>
      <c r="AE18" s="6"/>
      <c r="AF18" s="6"/>
      <c r="AG18" s="597"/>
      <c r="AH18" s="684"/>
      <c r="AI18" s="620"/>
      <c r="AJ18" s="619"/>
      <c r="AK18" s="635"/>
      <c r="AM18" s="572"/>
      <c r="AN18" s="6"/>
      <c r="AO18" s="6"/>
      <c r="AP18" s="50"/>
      <c r="AQ18" s="597"/>
      <c r="AR18" s="684"/>
      <c r="AS18" s="620"/>
      <c r="AT18" s="620"/>
      <c r="AU18" s="830"/>
      <c r="AV18" s="635"/>
    </row>
    <row r="19" spans="1:48" ht="33.6" customHeight="1" x14ac:dyDescent="0.25">
      <c r="A19" s="2206">
        <v>45208</v>
      </c>
      <c r="B19" s="574">
        <v>1</v>
      </c>
      <c r="C19" s="622"/>
      <c r="D19" s="596"/>
      <c r="E19" s="596">
        <v>20</v>
      </c>
      <c r="F19" s="597"/>
      <c r="G19" s="567"/>
      <c r="H19" s="6"/>
      <c r="I19" s="848" t="s">
        <v>152</v>
      </c>
      <c r="J19" s="635"/>
      <c r="K19" s="622"/>
      <c r="L19" s="572"/>
      <c r="M19" s="6"/>
      <c r="N19" s="6"/>
      <c r="O19" s="597"/>
      <c r="P19" s="572"/>
      <c r="Q19" s="6"/>
      <c r="R19" s="6"/>
      <c r="S19" s="635"/>
      <c r="T19" s="622"/>
      <c r="U19" s="572"/>
      <c r="V19" s="6"/>
      <c r="W19" s="6">
        <v>17</v>
      </c>
      <c r="X19" s="597"/>
      <c r="Y19" s="572"/>
      <c r="Z19" s="605"/>
      <c r="AA19" s="620" t="s">
        <v>152</v>
      </c>
      <c r="AB19" s="635"/>
      <c r="AC19" s="622"/>
      <c r="AD19" s="572"/>
      <c r="AE19" s="6"/>
      <c r="AF19" s="6">
        <v>12</v>
      </c>
      <c r="AG19" s="597"/>
      <c r="AH19" s="572"/>
      <c r="AI19" s="6"/>
      <c r="AJ19" s="698" t="s">
        <v>152</v>
      </c>
      <c r="AK19" s="635"/>
      <c r="AM19" s="572"/>
      <c r="AN19" s="6"/>
      <c r="AO19" s="6"/>
      <c r="AP19" s="50"/>
      <c r="AQ19" s="597"/>
      <c r="AR19" s="572"/>
      <c r="AS19" s="6"/>
      <c r="AT19" s="620"/>
      <c r="AU19" s="828"/>
      <c r="AV19" s="635"/>
    </row>
    <row r="20" spans="1:48" ht="31.15" customHeight="1" x14ac:dyDescent="0.25">
      <c r="A20" s="2205"/>
      <c r="B20" s="574">
        <v>2</v>
      </c>
      <c r="C20" s="595"/>
      <c r="D20" s="596"/>
      <c r="E20" s="596"/>
      <c r="F20" s="597"/>
      <c r="G20" s="567"/>
      <c r="H20" s="605"/>
      <c r="I20" s="620"/>
      <c r="J20" s="635"/>
      <c r="K20" s="622"/>
      <c r="L20" s="572"/>
      <c r="M20" s="6"/>
      <c r="N20" s="6"/>
      <c r="O20" s="597"/>
      <c r="P20" s="572"/>
      <c r="Q20" s="605"/>
      <c r="R20" s="724"/>
      <c r="S20" s="635"/>
      <c r="T20" s="622"/>
      <c r="U20" s="572"/>
      <c r="V20" s="250"/>
      <c r="W20" s="6">
        <v>72</v>
      </c>
      <c r="X20" s="597"/>
      <c r="Y20" s="572"/>
      <c r="Z20" s="605"/>
      <c r="AA20" s="724" t="s">
        <v>747</v>
      </c>
      <c r="AB20" s="635"/>
      <c r="AC20" s="622"/>
      <c r="AD20" s="572"/>
      <c r="AE20" s="6"/>
      <c r="AF20" s="6"/>
      <c r="AG20" s="597"/>
      <c r="AH20" s="572"/>
      <c r="AI20" s="605"/>
      <c r="AJ20" s="762"/>
      <c r="AK20" s="635"/>
      <c r="AM20" s="572"/>
      <c r="AN20" s="6"/>
      <c r="AO20" s="6"/>
      <c r="AP20" s="50"/>
      <c r="AQ20" s="597"/>
      <c r="AR20" s="572"/>
      <c r="AS20" s="605"/>
      <c r="AT20" s="605"/>
      <c r="AU20" s="69"/>
      <c r="AV20" s="635"/>
    </row>
    <row r="21" spans="1:48" ht="39.6" customHeight="1" x14ac:dyDescent="0.25">
      <c r="A21" s="2206">
        <v>45209</v>
      </c>
      <c r="B21" s="574">
        <v>1</v>
      </c>
      <c r="C21" s="595"/>
      <c r="D21" s="596"/>
      <c r="E21" s="596">
        <v>23</v>
      </c>
      <c r="F21" s="597"/>
      <c r="G21" s="688"/>
      <c r="H21" s="619"/>
      <c r="I21" s="848" t="s">
        <v>328</v>
      </c>
      <c r="J21" s="635"/>
      <c r="K21" s="622"/>
      <c r="L21" s="572"/>
      <c r="M21" s="6"/>
      <c r="N21" s="6"/>
      <c r="O21" s="597"/>
      <c r="P21" s="572"/>
      <c r="Q21" s="6"/>
      <c r="R21" s="6"/>
      <c r="S21" s="635"/>
      <c r="T21" s="622"/>
      <c r="U21" s="572"/>
      <c r="V21" s="6"/>
      <c r="W21" s="6">
        <v>32</v>
      </c>
      <c r="X21" s="597"/>
      <c r="Y21" s="567"/>
      <c r="Z21" s="6"/>
      <c r="AA21" s="848" t="s">
        <v>328</v>
      </c>
      <c r="AB21" s="635"/>
      <c r="AC21" s="622"/>
      <c r="AD21" s="572"/>
      <c r="AE21" s="6"/>
      <c r="AF21" s="6">
        <f>10+10+25</f>
        <v>45</v>
      </c>
      <c r="AG21" s="597"/>
      <c r="AH21" s="572"/>
      <c r="AI21" s="6"/>
      <c r="AJ21" s="848" t="s">
        <v>748</v>
      </c>
      <c r="AK21" s="726"/>
      <c r="AM21" s="572"/>
      <c r="AN21" s="6"/>
      <c r="AO21" s="6"/>
      <c r="AP21" s="50"/>
      <c r="AQ21" s="597"/>
      <c r="AR21" s="572"/>
      <c r="AS21" s="605"/>
      <c r="AT21" s="50"/>
      <c r="AU21" s="50"/>
      <c r="AV21" s="635"/>
    </row>
    <row r="22" spans="1:48" ht="31.9" customHeight="1" x14ac:dyDescent="0.25">
      <c r="A22" s="2205"/>
      <c r="B22" s="574">
        <v>2</v>
      </c>
      <c r="C22" s="595"/>
      <c r="D22" s="596"/>
      <c r="E22" s="596">
        <v>23</v>
      </c>
      <c r="F22" s="597"/>
      <c r="G22" s="1002"/>
      <c r="H22" s="620"/>
      <c r="I22" s="848" t="s">
        <v>328</v>
      </c>
      <c r="J22" s="635"/>
      <c r="K22" s="622"/>
      <c r="L22" s="572"/>
      <c r="M22" s="6"/>
      <c r="N22" s="6"/>
      <c r="O22" s="597"/>
      <c r="P22" s="1004"/>
      <c r="Q22" s="6"/>
      <c r="R22" s="6"/>
      <c r="S22" s="635"/>
      <c r="T22" s="622"/>
      <c r="U22" s="572"/>
      <c r="V22" s="6"/>
      <c r="W22" s="6">
        <v>25</v>
      </c>
      <c r="X22" s="597"/>
      <c r="Y22" s="567"/>
      <c r="Z22" s="6"/>
      <c r="AA22" s="848" t="s">
        <v>325</v>
      </c>
      <c r="AB22" s="635"/>
      <c r="AC22" s="622"/>
      <c r="AD22" s="572"/>
      <c r="AE22" s="6"/>
      <c r="AF22" s="6">
        <v>80</v>
      </c>
      <c r="AG22" s="597"/>
      <c r="AH22" s="567"/>
      <c r="AI22" s="6"/>
      <c r="AJ22" s="848" t="s">
        <v>748</v>
      </c>
      <c r="AK22" s="726"/>
      <c r="AM22" s="572"/>
      <c r="AN22" s="6"/>
      <c r="AO22" s="6"/>
      <c r="AP22" s="50"/>
      <c r="AQ22" s="597"/>
      <c r="AR22" s="572"/>
      <c r="AS22" s="605"/>
      <c r="AT22" s="50"/>
      <c r="AU22" s="50"/>
      <c r="AV22" s="635"/>
    </row>
    <row r="23" spans="1:48" ht="47.45" customHeight="1" x14ac:dyDescent="0.25">
      <c r="A23" s="2206">
        <v>45210</v>
      </c>
      <c r="B23" s="644">
        <v>1</v>
      </c>
      <c r="C23" s="595"/>
      <c r="D23" s="596"/>
      <c r="E23" s="596"/>
      <c r="F23" s="597"/>
      <c r="G23" s="685"/>
      <c r="H23" s="619"/>
      <c r="I23" s="620"/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/>
      <c r="V23" s="6"/>
      <c r="W23" s="6"/>
      <c r="X23" s="597"/>
      <c r="Y23" s="567"/>
      <c r="Z23" s="619"/>
      <c r="AA23" s="620"/>
      <c r="AB23" s="635"/>
      <c r="AC23" s="622"/>
      <c r="AD23" s="572"/>
      <c r="AE23" s="6"/>
      <c r="AF23" s="6"/>
      <c r="AG23" s="597"/>
      <c r="AH23" s="6"/>
      <c r="AI23" s="619"/>
      <c r="AJ23" s="620"/>
      <c r="AK23" s="726"/>
      <c r="AM23" s="572"/>
      <c r="AN23" s="6"/>
      <c r="AO23" s="6"/>
      <c r="AP23" s="50"/>
      <c r="AQ23" s="597"/>
      <c r="AR23" s="6"/>
      <c r="AS23" s="619"/>
      <c r="AT23" s="692"/>
      <c r="AU23" s="692"/>
      <c r="AV23" s="635"/>
    </row>
    <row r="24" spans="1:48" ht="49.9" customHeight="1" x14ac:dyDescent="0.25">
      <c r="A24" s="2205"/>
      <c r="B24" s="574">
        <v>2</v>
      </c>
      <c r="C24" s="595"/>
      <c r="D24" s="596"/>
      <c r="E24" s="596"/>
      <c r="F24" s="597"/>
      <c r="G24" s="685"/>
      <c r="H24" s="619"/>
      <c r="I24" s="620"/>
      <c r="J24" s="635"/>
      <c r="K24" s="622"/>
      <c r="L24" s="572"/>
      <c r="M24" s="6"/>
      <c r="N24" s="6"/>
      <c r="O24" s="597"/>
      <c r="P24" s="685"/>
      <c r="Q24" s="619"/>
      <c r="R24" s="620"/>
      <c r="S24" s="635"/>
      <c r="T24" s="622"/>
      <c r="U24" s="572"/>
      <c r="V24" s="6"/>
      <c r="W24" s="6"/>
      <c r="X24" s="597"/>
      <c r="Y24" s="685"/>
      <c r="Z24" s="619"/>
      <c r="AA24" s="620"/>
      <c r="AB24" s="635"/>
      <c r="AC24" s="622"/>
      <c r="AD24" s="572"/>
      <c r="AE24" s="6">
        <v>65</v>
      </c>
      <c r="AF24" s="6"/>
      <c r="AG24" s="597"/>
      <c r="AH24" s="685"/>
      <c r="AI24" s="619" t="s">
        <v>590</v>
      </c>
      <c r="AJ24" s="620"/>
      <c r="AK24" s="635"/>
      <c r="AM24" s="572"/>
      <c r="AN24" s="6">
        <v>157</v>
      </c>
      <c r="AO24" s="6"/>
      <c r="AP24" s="597"/>
      <c r="AQ24" s="685"/>
      <c r="AR24" s="619"/>
      <c r="AS24" s="619" t="s">
        <v>590</v>
      </c>
      <c r="AT24" s="635"/>
      <c r="AU24" s="635"/>
      <c r="AV24" s="635"/>
    </row>
    <row r="25" spans="1:48" ht="46.15" customHeight="1" x14ac:dyDescent="0.25">
      <c r="A25" s="2206">
        <v>45211</v>
      </c>
      <c r="B25" s="574">
        <v>1</v>
      </c>
      <c r="C25" s="595"/>
      <c r="D25" s="596"/>
      <c r="E25" s="596">
        <v>10</v>
      </c>
      <c r="F25" s="597"/>
      <c r="G25" s="685"/>
      <c r="H25" s="619"/>
      <c r="I25" s="848" t="s">
        <v>152</v>
      </c>
      <c r="J25" s="635"/>
      <c r="K25" s="622"/>
      <c r="L25" s="572"/>
      <c r="M25" s="6"/>
      <c r="N25" s="6"/>
      <c r="O25" s="597"/>
      <c r="P25" s="572"/>
      <c r="Q25" s="619"/>
      <c r="R25" s="6"/>
      <c r="S25" s="635"/>
      <c r="T25" s="622"/>
      <c r="U25" s="572"/>
      <c r="V25" s="6"/>
      <c r="W25" s="6">
        <v>16</v>
      </c>
      <c r="X25" s="597"/>
      <c r="Y25" s="567"/>
      <c r="Z25" s="605"/>
      <c r="AA25" s="620" t="s">
        <v>152</v>
      </c>
      <c r="AB25" s="635"/>
      <c r="AC25" s="622"/>
      <c r="AD25" s="572"/>
      <c r="AE25" s="6"/>
      <c r="AF25" s="6"/>
      <c r="AG25" s="597"/>
      <c r="AH25" s="6"/>
      <c r="AI25" s="6"/>
      <c r="AJ25" s="6"/>
      <c r="AK25" s="726"/>
      <c r="AM25" s="572"/>
      <c r="AN25" s="6"/>
      <c r="AO25" s="6"/>
      <c r="AP25" s="50"/>
      <c r="AQ25" s="597"/>
      <c r="AR25" s="6"/>
      <c r="AS25" s="6"/>
      <c r="AT25" s="50"/>
      <c r="AU25" s="50"/>
      <c r="AV25" s="635"/>
    </row>
    <row r="26" spans="1:48" ht="42" customHeight="1" x14ac:dyDescent="0.25">
      <c r="A26" s="2205"/>
      <c r="B26" s="574">
        <v>2</v>
      </c>
      <c r="C26" s="595"/>
      <c r="D26" s="596"/>
      <c r="E26" s="596"/>
      <c r="F26" s="597"/>
      <c r="G26" s="685"/>
      <c r="H26" s="620"/>
      <c r="I26" s="692"/>
      <c r="J26" s="635"/>
      <c r="K26" s="622"/>
      <c r="L26" s="572"/>
      <c r="M26" s="6"/>
      <c r="N26" s="6"/>
      <c r="O26" s="597"/>
      <c r="P26" s="685"/>
      <c r="Q26" s="620"/>
      <c r="R26" s="692"/>
      <c r="S26" s="635"/>
      <c r="T26" s="622"/>
      <c r="U26" s="572"/>
      <c r="V26" s="596"/>
      <c r="W26" s="6">
        <v>15</v>
      </c>
      <c r="X26" s="597"/>
      <c r="Y26" s="685"/>
      <c r="Z26" s="620"/>
      <c r="AA26" s="692" t="s">
        <v>325</v>
      </c>
      <c r="AB26" s="635"/>
      <c r="AC26" s="622"/>
      <c r="AD26" s="572"/>
      <c r="AE26" s="596"/>
      <c r="AF26" s="6"/>
      <c r="AG26" s="597"/>
      <c r="AH26" s="685"/>
      <c r="AI26" s="620"/>
      <c r="AJ26" s="692"/>
      <c r="AK26" s="635"/>
      <c r="AM26" s="572"/>
      <c r="AN26" s="596"/>
      <c r="AO26" s="6"/>
      <c r="AP26" s="967"/>
      <c r="AQ26" s="597"/>
      <c r="AR26" s="685"/>
      <c r="AS26" s="620"/>
      <c r="AT26" s="692"/>
      <c r="AU26" s="635"/>
      <c r="AV26" s="635"/>
    </row>
    <row r="27" spans="1:48" ht="49.9" customHeight="1" x14ac:dyDescent="0.25">
      <c r="A27" s="2206">
        <v>45212</v>
      </c>
      <c r="B27" s="644">
        <v>1</v>
      </c>
      <c r="C27" s="595"/>
      <c r="D27" s="596"/>
      <c r="E27" s="596"/>
      <c r="F27" s="597"/>
      <c r="G27" s="685"/>
      <c r="H27" s="619"/>
      <c r="I27" s="692"/>
      <c r="J27" s="635"/>
      <c r="K27" s="622"/>
      <c r="L27" s="572"/>
      <c r="M27" s="6"/>
      <c r="N27" s="6"/>
      <c r="O27" s="597"/>
      <c r="P27" s="685"/>
      <c r="Q27" s="619"/>
      <c r="R27" s="620"/>
      <c r="S27" s="635"/>
      <c r="T27" s="622"/>
      <c r="U27" s="572"/>
      <c r="V27" s="6"/>
      <c r="W27" s="6">
        <f>6+10+12+15</f>
        <v>43</v>
      </c>
      <c r="X27" s="597"/>
      <c r="Y27" s="685"/>
      <c r="Z27" s="619"/>
      <c r="AA27" s="620" t="s">
        <v>559</v>
      </c>
      <c r="AB27" s="635"/>
      <c r="AC27" s="622"/>
      <c r="AD27" s="572"/>
      <c r="AE27" s="6"/>
      <c r="AF27" s="6"/>
      <c r="AG27" s="597"/>
      <c r="AH27" s="6"/>
      <c r="AI27" s="6"/>
      <c r="AJ27" s="620"/>
      <c r="AK27" s="635"/>
      <c r="AM27" s="572"/>
      <c r="AN27" s="6"/>
      <c r="AO27" s="6"/>
      <c r="AP27" s="50"/>
      <c r="AQ27" s="597"/>
      <c r="AR27" s="6"/>
      <c r="AS27" s="6"/>
      <c r="AT27" s="692"/>
      <c r="AU27" s="635"/>
      <c r="AV27" s="635"/>
    </row>
    <row r="28" spans="1:48" ht="72" customHeight="1" x14ac:dyDescent="0.25">
      <c r="A28" s="2205"/>
      <c r="B28" s="574">
        <v>2</v>
      </c>
      <c r="C28" s="595"/>
      <c r="D28" s="596"/>
      <c r="E28" s="596"/>
      <c r="F28" s="597"/>
      <c r="G28" s="620"/>
      <c r="H28" s="620"/>
      <c r="I28" s="620"/>
      <c r="J28" s="635"/>
      <c r="K28" s="622"/>
      <c r="L28" s="572"/>
      <c r="M28" s="6"/>
      <c r="N28" s="6"/>
      <c r="O28" s="597"/>
      <c r="P28" s="620"/>
      <c r="Q28" s="620"/>
      <c r="R28" s="620"/>
      <c r="S28" s="635"/>
      <c r="T28" s="622"/>
      <c r="U28" s="572">
        <v>713</v>
      </c>
      <c r="V28" s="6"/>
      <c r="W28" s="622"/>
      <c r="X28" s="597"/>
      <c r="Y28" s="620" t="s">
        <v>749</v>
      </c>
      <c r="Z28" s="6"/>
      <c r="AA28" s="692"/>
      <c r="AB28" s="635"/>
      <c r="AC28" s="622"/>
      <c r="AD28" s="572"/>
      <c r="AE28" s="6"/>
      <c r="AF28" s="6"/>
      <c r="AG28" s="597"/>
      <c r="AH28" s="605"/>
      <c r="AI28" s="6"/>
      <c r="AJ28" s="692"/>
      <c r="AK28" s="635"/>
      <c r="AM28" s="572"/>
      <c r="AN28" s="6"/>
      <c r="AO28" s="6"/>
      <c r="AP28" s="50"/>
      <c r="AQ28" s="597"/>
      <c r="AR28" s="605"/>
      <c r="AS28" s="6"/>
      <c r="AT28" s="692"/>
      <c r="AU28" s="635"/>
      <c r="AV28" s="634"/>
    </row>
    <row r="29" spans="1:48" ht="66" customHeight="1" x14ac:dyDescent="0.25">
      <c r="A29" s="2206">
        <v>45213</v>
      </c>
      <c r="B29" s="574">
        <v>1</v>
      </c>
      <c r="C29" s="595"/>
      <c r="D29" s="596"/>
      <c r="E29" s="596"/>
      <c r="F29" s="597"/>
      <c r="G29" s="620"/>
      <c r="H29" s="619"/>
      <c r="I29" s="692"/>
      <c r="J29" s="635"/>
      <c r="K29" s="622"/>
      <c r="L29" s="572"/>
      <c r="M29" s="6"/>
      <c r="N29" s="6"/>
      <c r="O29" s="597"/>
      <c r="P29" s="685"/>
      <c r="Q29" s="619"/>
      <c r="R29" s="620"/>
      <c r="S29" s="635"/>
      <c r="T29" s="622"/>
      <c r="U29" s="572">
        <v>218</v>
      </c>
      <c r="V29" s="6"/>
      <c r="W29" s="6">
        <v>502</v>
      </c>
      <c r="X29" s="597"/>
      <c r="Y29" s="620" t="s">
        <v>749</v>
      </c>
      <c r="Z29" s="619"/>
      <c r="AA29" s="692" t="s">
        <v>750</v>
      </c>
      <c r="AB29" s="635"/>
      <c r="AC29" s="622"/>
      <c r="AD29" s="572"/>
      <c r="AE29" s="6"/>
      <c r="AF29" s="6"/>
      <c r="AG29" s="597"/>
      <c r="AH29" s="685"/>
      <c r="AI29" s="619"/>
      <c r="AJ29" s="620"/>
      <c r="AK29" s="635"/>
      <c r="AM29" s="572"/>
      <c r="AN29" s="6"/>
      <c r="AO29" s="6"/>
      <c r="AP29" s="50"/>
      <c r="AQ29" s="597"/>
      <c r="AR29" s="685"/>
      <c r="AS29" s="619"/>
      <c r="AT29" s="620"/>
      <c r="AU29" s="635"/>
      <c r="AV29" s="613"/>
    </row>
    <row r="30" spans="1:48" ht="39.6" customHeight="1" x14ac:dyDescent="0.25">
      <c r="A30" s="2205"/>
      <c r="B30" s="644">
        <v>2</v>
      </c>
      <c r="C30" s="595"/>
      <c r="D30" s="596"/>
      <c r="E30" s="596"/>
      <c r="F30" s="597"/>
      <c r="G30" s="685"/>
      <c r="H30" s="619"/>
      <c r="I30" s="620"/>
      <c r="J30" s="635"/>
      <c r="K30" s="622"/>
      <c r="L30" s="572"/>
      <c r="M30" s="6"/>
      <c r="N30" s="6"/>
      <c r="O30" s="597"/>
      <c r="P30" s="685"/>
      <c r="Q30" s="620"/>
      <c r="R30" s="620"/>
      <c r="S30" s="635"/>
      <c r="T30" s="622"/>
      <c r="U30" s="572"/>
      <c r="V30" s="6"/>
      <c r="W30" s="6">
        <f>77+63</f>
        <v>140</v>
      </c>
      <c r="X30" s="597"/>
      <c r="Y30" s="685"/>
      <c r="Z30" s="619"/>
      <c r="AA30" s="692" t="s">
        <v>751</v>
      </c>
      <c r="AB30" s="635"/>
      <c r="AC30" s="622"/>
      <c r="AD30" s="572"/>
      <c r="AE30" s="6">
        <v>16</v>
      </c>
      <c r="AF30" s="6"/>
      <c r="AG30" s="597"/>
      <c r="AH30" s="684"/>
      <c r="AI30" s="620" t="s">
        <v>501</v>
      </c>
      <c r="AJ30" s="620"/>
      <c r="AK30" s="635"/>
      <c r="AM30" s="572"/>
      <c r="AN30" s="6"/>
      <c r="AO30" s="6"/>
      <c r="AP30" s="50"/>
      <c r="AQ30" s="597"/>
      <c r="AR30" s="614"/>
      <c r="AS30" s="605"/>
      <c r="AT30" s="828"/>
      <c r="AU30" s="635"/>
      <c r="AV30" s="613"/>
    </row>
    <row r="31" spans="1:48" ht="39.6" customHeight="1" x14ac:dyDescent="0.25">
      <c r="A31" s="2206">
        <v>45214</v>
      </c>
      <c r="B31" s="574">
        <v>1</v>
      </c>
      <c r="C31" s="595"/>
      <c r="D31" s="596"/>
      <c r="E31" s="596">
        <v>27</v>
      </c>
      <c r="F31" s="597"/>
      <c r="G31" s="685"/>
      <c r="H31" s="619"/>
      <c r="I31" s="620" t="s">
        <v>152</v>
      </c>
      <c r="J31" s="635"/>
      <c r="K31" s="622"/>
      <c r="L31" s="572"/>
      <c r="M31" s="6"/>
      <c r="N31" s="6"/>
      <c r="O31" s="597"/>
      <c r="P31" s="614"/>
      <c r="Q31" s="6"/>
      <c r="R31" s="6"/>
      <c r="S31" s="635"/>
      <c r="T31" s="622"/>
      <c r="U31" s="572"/>
      <c r="V31" s="6"/>
      <c r="W31" s="6">
        <v>25</v>
      </c>
      <c r="X31" s="597"/>
      <c r="Y31" s="1004"/>
      <c r="Z31" s="6"/>
      <c r="AA31" s="620" t="s">
        <v>152</v>
      </c>
      <c r="AB31" s="635"/>
      <c r="AC31" s="622"/>
      <c r="AD31" s="572"/>
      <c r="AE31" s="6"/>
      <c r="AF31" s="6"/>
      <c r="AG31" s="597"/>
      <c r="AH31" s="614"/>
      <c r="AI31" s="6"/>
      <c r="AJ31" s="6"/>
      <c r="AK31" s="635"/>
      <c r="AM31" s="572"/>
      <c r="AN31" s="6"/>
      <c r="AO31" s="6"/>
      <c r="AP31" s="50"/>
      <c r="AQ31" s="597"/>
      <c r="AR31" s="614"/>
      <c r="AS31" s="6"/>
      <c r="AT31" s="6"/>
      <c r="AU31" s="635"/>
      <c r="AV31" s="635"/>
    </row>
    <row r="32" spans="1:48" ht="63" customHeight="1" x14ac:dyDescent="0.25">
      <c r="A32" s="2205"/>
      <c r="B32" s="574">
        <v>2</v>
      </c>
      <c r="C32" s="595"/>
      <c r="D32" s="596"/>
      <c r="E32" s="596"/>
      <c r="F32" s="597"/>
      <c r="G32" s="685"/>
      <c r="H32" s="685"/>
      <c r="I32" s="692"/>
      <c r="J32" s="635"/>
      <c r="K32" s="622"/>
      <c r="L32" s="572"/>
      <c r="M32" s="6"/>
      <c r="N32" s="6"/>
      <c r="O32" s="597"/>
      <c r="P32" s="614"/>
      <c r="Q32" s="6"/>
      <c r="R32" s="6"/>
      <c r="S32" s="635"/>
      <c r="T32" s="622"/>
      <c r="U32" s="572"/>
      <c r="V32" s="6"/>
      <c r="W32" s="596"/>
      <c r="X32" s="597"/>
      <c r="Y32" s="685"/>
      <c r="Z32" s="685"/>
      <c r="AA32" s="684"/>
      <c r="AB32" s="635"/>
      <c r="AC32" s="622"/>
      <c r="AD32" s="572"/>
      <c r="AE32" s="6"/>
      <c r="AF32" s="596"/>
      <c r="AG32" s="597"/>
      <c r="AH32" s="685"/>
      <c r="AI32" s="685"/>
      <c r="AJ32" s="684"/>
      <c r="AK32" s="635"/>
      <c r="AM32" s="572"/>
      <c r="AN32" s="6"/>
      <c r="AO32" s="6">
        <v>11</v>
      </c>
      <c r="AP32" s="50"/>
      <c r="AQ32" s="597"/>
      <c r="AR32" s="614"/>
      <c r="AS32" s="605"/>
      <c r="AT32" s="828" t="s">
        <v>97</v>
      </c>
      <c r="AU32" s="635"/>
      <c r="AV32" s="613"/>
    </row>
    <row r="33" spans="1:48" ht="43.15" customHeight="1" x14ac:dyDescent="0.25">
      <c r="A33" s="2206">
        <v>45215</v>
      </c>
      <c r="B33" s="574">
        <v>1</v>
      </c>
      <c r="C33" s="595"/>
      <c r="D33" s="596"/>
      <c r="E33" s="596">
        <v>29</v>
      </c>
      <c r="F33" s="597"/>
      <c r="G33" s="685"/>
      <c r="H33" s="619"/>
      <c r="I33" s="620" t="s">
        <v>152</v>
      </c>
      <c r="J33" s="635"/>
      <c r="K33" s="622"/>
      <c r="L33" s="572"/>
      <c r="M33" s="6"/>
      <c r="N33" s="6"/>
      <c r="O33" s="597"/>
      <c r="P33" s="614"/>
      <c r="Q33" s="6"/>
      <c r="R33" s="6"/>
      <c r="S33" s="635"/>
      <c r="T33" s="622"/>
      <c r="U33" s="572"/>
      <c r="V33" s="6"/>
      <c r="W33" s="6">
        <v>10</v>
      </c>
      <c r="X33" s="597"/>
      <c r="Y33" s="614"/>
      <c r="Z33" s="6"/>
      <c r="AA33" s="620" t="s">
        <v>152</v>
      </c>
      <c r="AB33" s="635"/>
      <c r="AC33" s="622"/>
      <c r="AD33" s="572"/>
      <c r="AE33" s="6"/>
      <c r="AF33" s="6">
        <v>5</v>
      </c>
      <c r="AG33" s="597"/>
      <c r="AH33" s="614"/>
      <c r="AI33" s="605"/>
      <c r="AJ33" s="698" t="s">
        <v>152</v>
      </c>
      <c r="AK33" s="635"/>
      <c r="AM33" s="572"/>
      <c r="AN33" s="6"/>
      <c r="AO33" s="6"/>
      <c r="AP33" s="50"/>
      <c r="AQ33" s="597"/>
      <c r="AR33" s="614"/>
      <c r="AS33" s="605"/>
      <c r="AT33" s="6"/>
      <c r="AU33" s="635"/>
      <c r="AV33" s="613"/>
    </row>
    <row r="34" spans="1:48" ht="67.900000000000006" customHeight="1" x14ac:dyDescent="0.25">
      <c r="A34" s="2205"/>
      <c r="B34" s="644">
        <v>2</v>
      </c>
      <c r="C34" s="596"/>
      <c r="D34" s="596"/>
      <c r="E34" s="596"/>
      <c r="F34" s="829"/>
      <c r="G34" s="684"/>
      <c r="H34" s="620"/>
      <c r="I34" s="620"/>
      <c r="J34" s="635"/>
      <c r="K34" s="622"/>
      <c r="L34" s="572"/>
      <c r="M34" s="6"/>
      <c r="N34" s="6"/>
      <c r="O34" s="613"/>
      <c r="P34" s="614"/>
      <c r="Q34" s="620"/>
      <c r="R34" s="6"/>
      <c r="S34" s="635"/>
      <c r="T34" s="622"/>
      <c r="U34" s="572"/>
      <c r="V34" s="6"/>
      <c r="W34" s="6"/>
      <c r="X34" s="613"/>
      <c r="Y34" s="605"/>
      <c r="Z34" s="605"/>
      <c r="AA34" s="684"/>
      <c r="AB34" s="635"/>
      <c r="AC34" s="622"/>
      <c r="AD34" s="572"/>
      <c r="AE34" s="6"/>
      <c r="AF34" s="6"/>
      <c r="AG34" s="613"/>
      <c r="AH34" s="614"/>
      <c r="AI34" s="6"/>
      <c r="AJ34" s="6"/>
      <c r="AK34" s="635"/>
      <c r="AM34" s="572"/>
      <c r="AN34" s="6"/>
      <c r="AO34" s="6">
        <f>40+48+20</f>
        <v>108</v>
      </c>
      <c r="AP34" s="50"/>
      <c r="AQ34" s="613"/>
      <c r="AR34" s="614"/>
      <c r="AS34" s="6"/>
      <c r="AT34" s="828" t="s">
        <v>97</v>
      </c>
      <c r="AU34" s="635"/>
      <c r="AV34" s="613"/>
    </row>
    <row r="35" spans="1:48" ht="51" customHeight="1" x14ac:dyDescent="0.25">
      <c r="A35" s="2206">
        <v>45216</v>
      </c>
      <c r="B35" s="574">
        <v>1</v>
      </c>
      <c r="C35" s="596"/>
      <c r="D35" s="596"/>
      <c r="E35" s="50">
        <v>30</v>
      </c>
      <c r="F35" s="828"/>
      <c r="G35" s="567"/>
      <c r="H35" s="614"/>
      <c r="I35" s="620" t="s">
        <v>152</v>
      </c>
      <c r="J35" s="687"/>
      <c r="K35" s="622"/>
      <c r="L35" s="572"/>
      <c r="M35" s="6"/>
      <c r="N35" s="6"/>
      <c r="O35" s="613"/>
      <c r="P35" s="567"/>
      <c r="Q35" s="1008"/>
      <c r="R35" s="620"/>
      <c r="S35" s="635"/>
      <c r="T35" s="622"/>
      <c r="U35" s="572"/>
      <c r="V35" s="6"/>
      <c r="W35" s="50">
        <v>25</v>
      </c>
      <c r="X35" s="634"/>
      <c r="Y35" s="567"/>
      <c r="Z35" s="6"/>
      <c r="AA35" s="620" t="s">
        <v>152</v>
      </c>
      <c r="AB35" s="613"/>
      <c r="AC35" s="622"/>
      <c r="AD35" s="572"/>
      <c r="AE35" s="6"/>
      <c r="AF35" s="6"/>
      <c r="AG35" s="1004"/>
      <c r="AH35" s="567"/>
      <c r="AI35" s="6"/>
      <c r="AJ35" s="684"/>
      <c r="AK35" s="613"/>
      <c r="AM35" s="572"/>
      <c r="AN35" s="6"/>
      <c r="AO35" s="50"/>
      <c r="AP35" s="50"/>
      <c r="AQ35" s="634"/>
      <c r="AR35" s="567"/>
      <c r="AS35" s="692"/>
      <c r="AT35" s="605"/>
      <c r="AU35" s="828"/>
      <c r="AV35" s="613"/>
    </row>
    <row r="36" spans="1:48" ht="46.9" customHeight="1" x14ac:dyDescent="0.25">
      <c r="A36" s="2205"/>
      <c r="B36" s="574">
        <v>2</v>
      </c>
      <c r="C36" s="50"/>
      <c r="D36" s="6"/>
      <c r="E36" s="50">
        <v>19</v>
      </c>
      <c r="F36" s="828"/>
      <c r="G36" s="692"/>
      <c r="H36" s="1004"/>
      <c r="I36" s="620" t="s">
        <v>152</v>
      </c>
      <c r="J36" s="635"/>
      <c r="K36" s="622"/>
      <c r="L36" s="567"/>
      <c r="M36" s="6"/>
      <c r="N36" s="6"/>
      <c r="O36" s="1004"/>
      <c r="P36" s="567"/>
      <c r="Q36" s="605"/>
      <c r="R36" s="605"/>
      <c r="S36" s="635"/>
      <c r="T36" s="622"/>
      <c r="U36" s="572"/>
      <c r="V36" s="6"/>
      <c r="W36" s="6">
        <v>31</v>
      </c>
      <c r="X36" s="1004"/>
      <c r="Y36" s="567"/>
      <c r="Z36" s="605"/>
      <c r="AA36" s="620" t="s">
        <v>152</v>
      </c>
      <c r="AB36" s="613"/>
      <c r="AC36" s="622"/>
      <c r="AD36" s="572"/>
      <c r="AE36" s="6"/>
      <c r="AF36" s="50">
        <v>15</v>
      </c>
      <c r="AG36" s="634"/>
      <c r="AH36" s="567"/>
      <c r="AI36" s="605"/>
      <c r="AJ36" s="698" t="s">
        <v>152</v>
      </c>
      <c r="AK36" s="613"/>
      <c r="AM36" s="572"/>
      <c r="AN36" s="6"/>
      <c r="AO36" s="6"/>
      <c r="AP36" s="614"/>
      <c r="AQ36" s="1004"/>
      <c r="AR36" s="567"/>
      <c r="AS36" s="605"/>
      <c r="AT36" s="605"/>
      <c r="AU36" s="828"/>
      <c r="AV36" s="613"/>
    </row>
    <row r="37" spans="1:48" ht="59.45" customHeight="1" x14ac:dyDescent="0.25">
      <c r="A37" s="2206">
        <v>45217</v>
      </c>
      <c r="B37" s="644">
        <v>1</v>
      </c>
      <c r="C37" s="50"/>
      <c r="D37" s="596">
        <v>505</v>
      </c>
      <c r="E37" s="50">
        <v>9</v>
      </c>
      <c r="F37" s="50"/>
      <c r="G37" s="692"/>
      <c r="H37" s="1011" t="s">
        <v>753</v>
      </c>
      <c r="I37" s="692" t="s">
        <v>752</v>
      </c>
      <c r="J37" s="635"/>
      <c r="K37" s="622"/>
      <c r="L37" s="572"/>
      <c r="M37" s="6"/>
      <c r="N37" s="6"/>
      <c r="O37" s="727"/>
      <c r="P37" s="614"/>
      <c r="Q37" s="6"/>
      <c r="R37" s="6"/>
      <c r="S37" s="613"/>
      <c r="T37" s="622"/>
      <c r="U37" s="572"/>
      <c r="V37" s="6"/>
      <c r="W37" s="6">
        <v>22</v>
      </c>
      <c r="X37" s="613"/>
      <c r="Y37" s="614"/>
      <c r="Z37" s="605"/>
      <c r="AA37" s="620" t="s">
        <v>152</v>
      </c>
      <c r="AB37" s="635"/>
      <c r="AC37" s="622"/>
      <c r="AD37" s="572"/>
      <c r="AE37" s="6"/>
      <c r="AF37" s="6">
        <v>10</v>
      </c>
      <c r="AG37" s="613"/>
      <c r="AH37" s="614"/>
      <c r="AI37" s="6"/>
      <c r="AJ37" s="698" t="s">
        <v>152</v>
      </c>
      <c r="AK37" s="613"/>
      <c r="AM37" s="572"/>
      <c r="AN37" s="6"/>
      <c r="AO37" s="6"/>
      <c r="AP37" s="50"/>
      <c r="AQ37" s="613"/>
      <c r="AR37" s="614"/>
      <c r="AS37" s="6"/>
      <c r="AT37" s="6"/>
      <c r="AU37" s="50"/>
      <c r="AV37" s="613"/>
    </row>
    <row r="38" spans="1:48" ht="55.9" customHeight="1" x14ac:dyDescent="0.25">
      <c r="A38" s="2205"/>
      <c r="B38" s="574">
        <v>2</v>
      </c>
      <c r="C38" s="50"/>
      <c r="D38" s="596"/>
      <c r="E38" s="50">
        <f>13+15</f>
        <v>28</v>
      </c>
      <c r="F38" s="829"/>
      <c r="G38" s="692"/>
      <c r="H38" s="1004"/>
      <c r="I38" s="620" t="s">
        <v>152</v>
      </c>
      <c r="J38" s="635"/>
      <c r="K38" s="622"/>
      <c r="L38" s="572"/>
      <c r="M38" s="6"/>
      <c r="N38" s="6"/>
      <c r="O38" s="613"/>
      <c r="P38" s="1004"/>
      <c r="Q38" s="1004"/>
      <c r="R38" s="6"/>
      <c r="S38" s="635"/>
      <c r="T38" s="622"/>
      <c r="U38" s="572"/>
      <c r="V38" s="6"/>
      <c r="W38" s="6">
        <f>16+13+16+15</f>
        <v>60</v>
      </c>
      <c r="X38" s="613"/>
      <c r="Y38" s="614"/>
      <c r="Z38" s="605"/>
      <c r="AA38" s="684" t="s">
        <v>328</v>
      </c>
      <c r="AB38" s="635"/>
      <c r="AC38" s="622"/>
      <c r="AD38" s="572"/>
      <c r="AE38" s="6"/>
      <c r="AF38" s="6">
        <f>25+15</f>
        <v>40</v>
      </c>
      <c r="AG38" s="613"/>
      <c r="AH38" s="1004"/>
      <c r="AI38" s="6"/>
      <c r="AJ38" s="684" t="s">
        <v>328</v>
      </c>
      <c r="AK38" s="635"/>
      <c r="AM38" s="572"/>
      <c r="AN38" s="6"/>
      <c r="AO38" s="6"/>
      <c r="AP38" s="50"/>
      <c r="AQ38" s="613"/>
      <c r="AR38" s="614"/>
      <c r="AS38" s="6"/>
      <c r="AT38" s="605"/>
      <c r="AU38" s="828"/>
      <c r="AV38" s="635"/>
    </row>
    <row r="39" spans="1:48" ht="39" customHeight="1" x14ac:dyDescent="0.25">
      <c r="A39" s="2206">
        <v>45218</v>
      </c>
      <c r="B39" s="574">
        <v>1</v>
      </c>
      <c r="C39" s="50"/>
      <c r="D39" s="596">
        <v>63</v>
      </c>
      <c r="E39" s="50">
        <v>16</v>
      </c>
      <c r="F39" s="597"/>
      <c r="G39" s="692"/>
      <c r="H39" s="619" t="s">
        <v>755</v>
      </c>
      <c r="I39" s="692" t="s">
        <v>754</v>
      </c>
      <c r="J39" s="687"/>
      <c r="K39" s="622"/>
      <c r="L39" s="572"/>
      <c r="M39" s="6"/>
      <c r="N39" s="6"/>
      <c r="O39" s="597"/>
      <c r="P39" s="685"/>
      <c r="Q39" s="619"/>
      <c r="R39" s="692"/>
      <c r="S39" s="687"/>
      <c r="T39" s="622"/>
      <c r="U39" s="572"/>
      <c r="V39" s="6"/>
      <c r="W39" s="6"/>
      <c r="X39" s="597"/>
      <c r="Y39" s="685"/>
      <c r="Z39" s="619"/>
      <c r="AA39" s="692"/>
      <c r="AB39" s="687"/>
      <c r="AC39" s="622"/>
      <c r="AD39" s="572"/>
      <c r="AE39" s="6"/>
      <c r="AF39" s="6"/>
      <c r="AG39" s="597"/>
      <c r="AH39" s="685"/>
      <c r="AI39" s="619"/>
      <c r="AJ39" s="692"/>
      <c r="AK39" s="687"/>
      <c r="AM39" s="572"/>
      <c r="AN39" s="6"/>
      <c r="AO39" s="6"/>
      <c r="AP39" s="50"/>
      <c r="AQ39" s="597"/>
      <c r="AR39" s="685"/>
      <c r="AS39" s="619"/>
      <c r="AT39" s="692"/>
      <c r="AU39" s="692"/>
      <c r="AV39" s="687"/>
    </row>
    <row r="40" spans="1:48" ht="72.599999999999994" customHeight="1" x14ac:dyDescent="0.25">
      <c r="A40" s="2205"/>
      <c r="B40" s="574">
        <v>2</v>
      </c>
      <c r="C40" s="596"/>
      <c r="D40" s="596"/>
      <c r="E40" s="596">
        <f>18+15+15</f>
        <v>48</v>
      </c>
      <c r="F40" s="613"/>
      <c r="G40" s="692"/>
      <c r="H40" s="620"/>
      <c r="I40" s="692" t="s">
        <v>328</v>
      </c>
      <c r="J40" s="635"/>
      <c r="K40" s="622"/>
      <c r="L40" s="572"/>
      <c r="M40" s="6"/>
      <c r="N40" s="6"/>
      <c r="O40" s="613"/>
      <c r="P40" s="685"/>
      <c r="Q40" s="619"/>
      <c r="R40" s="692"/>
      <c r="S40" s="635"/>
      <c r="T40" s="622"/>
      <c r="U40" s="572"/>
      <c r="V40" s="6"/>
      <c r="W40" s="6">
        <f>15+17+17+16+20+14</f>
        <v>99</v>
      </c>
      <c r="X40" s="613"/>
      <c r="Y40" s="685"/>
      <c r="Z40" s="619"/>
      <c r="AA40" s="684" t="s">
        <v>328</v>
      </c>
      <c r="AB40" s="635"/>
      <c r="AC40" s="622"/>
      <c r="AD40" s="572"/>
      <c r="AE40" s="6"/>
      <c r="AF40" s="6"/>
      <c r="AG40" s="613"/>
      <c r="AH40" s="567"/>
      <c r="AI40" s="619"/>
      <c r="AJ40" s="692"/>
      <c r="AK40" s="635"/>
      <c r="AM40" s="567"/>
      <c r="AN40" s="6"/>
      <c r="AO40" s="6"/>
      <c r="AP40" s="50"/>
      <c r="AQ40" s="613"/>
      <c r="AR40" s="685"/>
      <c r="AS40" s="619"/>
      <c r="AT40" s="692"/>
      <c r="AU40" s="692"/>
      <c r="AV40" s="635"/>
    </row>
    <row r="41" spans="1:48" ht="39.6" customHeight="1" x14ac:dyDescent="0.25">
      <c r="A41" s="2206">
        <v>45219</v>
      </c>
      <c r="B41" s="574">
        <v>1</v>
      </c>
      <c r="C41" s="595"/>
      <c r="D41" s="596"/>
      <c r="E41" s="596"/>
      <c r="F41" s="613"/>
      <c r="G41" s="685"/>
      <c r="H41" s="620"/>
      <c r="I41" s="692"/>
      <c r="J41" s="635"/>
      <c r="K41" s="622"/>
      <c r="L41" s="572"/>
      <c r="M41" s="6"/>
      <c r="N41" s="6"/>
      <c r="O41" s="613"/>
      <c r="P41" s="614"/>
      <c r="Q41" s="6"/>
      <c r="R41" s="692"/>
      <c r="S41" s="635"/>
      <c r="T41" s="622"/>
      <c r="U41" s="572"/>
      <c r="V41" s="6"/>
      <c r="W41" s="6"/>
      <c r="X41" s="613"/>
      <c r="Y41" s="614"/>
      <c r="Z41" s="605"/>
      <c r="AA41" s="692"/>
      <c r="AB41" s="613"/>
      <c r="AC41" s="622"/>
      <c r="AD41" s="572"/>
      <c r="AE41" s="6"/>
      <c r="AF41" s="6"/>
      <c r="AG41" s="613"/>
      <c r="AH41" s="567"/>
      <c r="AI41" s="605"/>
      <c r="AJ41" s="6"/>
      <c r="AK41" s="613"/>
      <c r="AM41" s="572"/>
      <c r="AN41" s="6"/>
      <c r="AO41" s="6"/>
      <c r="AP41" s="50"/>
      <c r="AQ41" s="613"/>
      <c r="AR41" s="614"/>
      <c r="AS41" s="605"/>
      <c r="AT41" s="692"/>
      <c r="AU41" s="50"/>
      <c r="AV41" s="613"/>
    </row>
    <row r="42" spans="1:48" ht="33" customHeight="1" x14ac:dyDescent="0.25">
      <c r="A42" s="2205"/>
      <c r="B42" s="574">
        <v>2</v>
      </c>
      <c r="C42" s="596"/>
      <c r="D42" s="596"/>
      <c r="E42" s="596"/>
      <c r="F42" s="613"/>
      <c r="G42" s="685"/>
      <c r="H42" s="620"/>
      <c r="I42" s="692"/>
      <c r="J42" s="635"/>
      <c r="K42" s="622"/>
      <c r="L42" s="572"/>
      <c r="M42" s="6"/>
      <c r="N42" s="6"/>
      <c r="O42" s="613"/>
      <c r="P42" s="614"/>
      <c r="Q42" s="6"/>
      <c r="R42" s="6"/>
      <c r="S42" s="635"/>
      <c r="T42" s="622"/>
      <c r="U42" s="572">
        <v>63</v>
      </c>
      <c r="V42" s="6"/>
      <c r="W42" s="6"/>
      <c r="X42" s="613"/>
      <c r="Y42" s="1011" t="s">
        <v>756</v>
      </c>
      <c r="Z42" s="6"/>
      <c r="AA42" s="605"/>
      <c r="AB42" s="635"/>
      <c r="AC42" s="622"/>
      <c r="AD42" s="572"/>
      <c r="AE42" s="6"/>
      <c r="AF42" s="6"/>
      <c r="AG42" s="613"/>
      <c r="AH42" s="614"/>
      <c r="AI42" s="6"/>
      <c r="AJ42" s="6"/>
      <c r="AK42" s="635"/>
      <c r="AM42" s="572"/>
      <c r="AN42" s="6"/>
      <c r="AO42" s="6"/>
      <c r="AP42" s="50"/>
      <c r="AQ42" s="613"/>
      <c r="AR42" s="614"/>
      <c r="AS42" s="6"/>
      <c r="AT42" s="6"/>
      <c r="AU42" s="635"/>
      <c r="AV42" s="613"/>
    </row>
    <row r="43" spans="1:48" ht="65.45" customHeight="1" x14ac:dyDescent="0.25">
      <c r="A43" s="2206">
        <v>45220</v>
      </c>
      <c r="B43" s="574">
        <v>1</v>
      </c>
      <c r="C43" s="596"/>
      <c r="D43" s="596"/>
      <c r="E43" s="596"/>
      <c r="F43" s="597"/>
      <c r="G43" s="619"/>
      <c r="H43" s="619"/>
      <c r="I43" s="620"/>
      <c r="J43" s="635"/>
      <c r="K43" s="622"/>
      <c r="L43" s="572"/>
      <c r="M43" s="6"/>
      <c r="N43" s="6"/>
      <c r="O43" s="613"/>
      <c r="P43" s="614"/>
      <c r="Q43" s="6"/>
      <c r="R43" s="6"/>
      <c r="S43" s="635"/>
      <c r="T43" s="622"/>
      <c r="U43" s="572"/>
      <c r="V43" s="6"/>
      <c r="W43" s="6">
        <v>10</v>
      </c>
      <c r="X43" s="613"/>
      <c r="Y43" s="614"/>
      <c r="Z43" s="6"/>
      <c r="AA43" s="620" t="s">
        <v>97</v>
      </c>
      <c r="AB43" s="635"/>
      <c r="AC43" s="622"/>
      <c r="AD43" s="572"/>
      <c r="AE43" s="6"/>
      <c r="AF43" s="6"/>
      <c r="AG43" s="613"/>
      <c r="AH43" s="605"/>
      <c r="AI43" s="620"/>
      <c r="AJ43" s="6"/>
      <c r="AK43" s="635"/>
      <c r="AM43" s="572"/>
      <c r="AN43" s="6">
        <v>363</v>
      </c>
      <c r="AO43" s="6"/>
      <c r="AP43" s="50"/>
      <c r="AQ43" s="613"/>
      <c r="AR43" s="605"/>
      <c r="AS43" s="620" t="s">
        <v>757</v>
      </c>
      <c r="AT43" s="6"/>
      <c r="AU43" s="635"/>
      <c r="AV43" s="613"/>
    </row>
    <row r="44" spans="1:48" ht="69" customHeight="1" x14ac:dyDescent="0.25">
      <c r="A44" s="2205"/>
      <c r="B44" s="574">
        <v>2</v>
      </c>
      <c r="C44" s="596"/>
      <c r="D44" s="596">
        <v>30</v>
      </c>
      <c r="E44" s="596"/>
      <c r="F44" s="597"/>
      <c r="G44" s="619"/>
      <c r="H44" s="620" t="s">
        <v>758</v>
      </c>
      <c r="I44" s="692"/>
      <c r="J44" s="635"/>
      <c r="K44" s="622"/>
      <c r="L44" s="572"/>
      <c r="M44" s="6"/>
      <c r="N44" s="6"/>
      <c r="O44" s="613"/>
      <c r="P44" s="1004"/>
      <c r="Q44" s="6"/>
      <c r="R44" s="605"/>
      <c r="S44" s="635"/>
      <c r="T44" s="622"/>
      <c r="U44" s="572"/>
      <c r="V44" s="6"/>
      <c r="W44" s="596"/>
      <c r="X44" s="597"/>
      <c r="Y44" s="619"/>
      <c r="Z44" s="620"/>
      <c r="AA44" s="605"/>
      <c r="AB44" s="635"/>
      <c r="AC44" s="622"/>
      <c r="AD44" s="572"/>
      <c r="AE44" s="6"/>
      <c r="AF44" s="6"/>
      <c r="AG44" s="613"/>
      <c r="AH44" s="614"/>
      <c r="AI44" s="605"/>
      <c r="AJ44" s="605"/>
      <c r="AK44" s="635"/>
      <c r="AM44" s="572"/>
      <c r="AN44" s="6"/>
      <c r="AO44" s="6"/>
      <c r="AP44" s="50"/>
      <c r="AQ44" s="613"/>
      <c r="AR44" s="614"/>
      <c r="AS44" s="605"/>
      <c r="AT44" s="605"/>
      <c r="AU44" s="635"/>
      <c r="AV44" s="613"/>
    </row>
    <row r="45" spans="1:48" ht="48" customHeight="1" x14ac:dyDescent="0.25">
      <c r="A45" s="2206">
        <v>45221</v>
      </c>
      <c r="B45" s="574">
        <v>1</v>
      </c>
      <c r="C45" s="596"/>
      <c r="D45" s="596">
        <v>13</v>
      </c>
      <c r="E45" s="596">
        <v>9</v>
      </c>
      <c r="F45" s="597"/>
      <c r="G45" s="619"/>
      <c r="H45" s="619" t="s">
        <v>759</v>
      </c>
      <c r="I45" s="620" t="s">
        <v>325</v>
      </c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"/>
      <c r="W45" s="6">
        <f>7+6+4+6+11</f>
        <v>34</v>
      </c>
      <c r="X45" s="613"/>
      <c r="Y45" s="619"/>
      <c r="Z45" s="620"/>
      <c r="AA45" s="605" t="s">
        <v>383</v>
      </c>
      <c r="AB45" s="613"/>
      <c r="AC45" s="622"/>
      <c r="AD45" s="572"/>
      <c r="AE45" s="6"/>
      <c r="AF45" s="6">
        <v>11</v>
      </c>
      <c r="AG45" s="613"/>
      <c r="AH45" s="614"/>
      <c r="AI45" s="605"/>
      <c r="AJ45" s="605" t="s">
        <v>383</v>
      </c>
      <c r="AK45" s="613"/>
      <c r="AM45" s="572"/>
      <c r="AN45" s="6"/>
      <c r="AO45" s="6"/>
      <c r="AP45" s="50"/>
      <c r="AQ45" s="613"/>
      <c r="AR45" s="614"/>
      <c r="AS45" s="605"/>
      <c r="AT45" s="6"/>
      <c r="AU45" s="50"/>
      <c r="AV45" s="613"/>
    </row>
    <row r="46" spans="1:48" ht="48.6" customHeight="1" x14ac:dyDescent="0.25">
      <c r="A46" s="2205"/>
      <c r="B46" s="574">
        <v>2</v>
      </c>
      <c r="C46" s="596"/>
      <c r="D46" s="596"/>
      <c r="E46" s="596"/>
      <c r="F46" s="597"/>
      <c r="G46" s="619"/>
      <c r="H46" s="619"/>
      <c r="I46" s="692"/>
      <c r="J46" s="635"/>
      <c r="K46" s="622"/>
      <c r="L46" s="572"/>
      <c r="M46" s="6"/>
      <c r="N46" s="6"/>
      <c r="O46" s="785"/>
      <c r="P46" s="614"/>
      <c r="Q46" s="620"/>
      <c r="R46" s="605"/>
      <c r="S46" s="635"/>
      <c r="T46" s="622"/>
      <c r="U46" s="572"/>
      <c r="V46" s="6"/>
      <c r="W46" s="6">
        <f>17+16+13+12+11+10+16</f>
        <v>95</v>
      </c>
      <c r="X46" s="613"/>
      <c r="Y46" s="1004"/>
      <c r="Z46" s="6"/>
      <c r="AA46" s="605" t="s">
        <v>383</v>
      </c>
      <c r="AB46" s="635"/>
      <c r="AC46" s="622"/>
      <c r="AD46" s="572"/>
      <c r="AE46" s="6"/>
      <c r="AF46" s="6"/>
      <c r="AG46" s="613"/>
      <c r="AH46" s="1004"/>
      <c r="AI46" s="6"/>
      <c r="AJ46" s="6"/>
      <c r="AK46" s="635"/>
      <c r="AM46" s="572"/>
      <c r="AN46" s="6">
        <v>230</v>
      </c>
      <c r="AO46" s="6"/>
      <c r="AP46" s="50"/>
      <c r="AQ46" s="613"/>
      <c r="AR46" s="614"/>
      <c r="AS46" s="620" t="s">
        <v>760</v>
      </c>
      <c r="AT46" s="6"/>
      <c r="AU46" s="50"/>
      <c r="AV46" s="635"/>
    </row>
    <row r="47" spans="1:48" ht="58.9" customHeight="1" x14ac:dyDescent="0.25">
      <c r="A47" s="2206">
        <v>45222</v>
      </c>
      <c r="B47" s="574">
        <v>1</v>
      </c>
      <c r="C47" s="596"/>
      <c r="D47" s="596"/>
      <c r="E47" s="596">
        <v>38</v>
      </c>
      <c r="F47" s="597"/>
      <c r="G47" s="619"/>
      <c r="H47" s="619"/>
      <c r="I47" s="692" t="s">
        <v>328</v>
      </c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>
        <v>83</v>
      </c>
      <c r="X47" s="613"/>
      <c r="Y47" s="614"/>
      <c r="Z47" s="605"/>
      <c r="AA47" s="605" t="s">
        <v>761</v>
      </c>
      <c r="AB47" s="635"/>
      <c r="AC47" s="622"/>
      <c r="AD47" s="572"/>
      <c r="AE47" s="6"/>
      <c r="AF47" s="6">
        <v>10</v>
      </c>
      <c r="AG47" s="613"/>
      <c r="AH47" s="1004"/>
      <c r="AI47" s="620"/>
      <c r="AJ47" s="605" t="s">
        <v>383</v>
      </c>
      <c r="AK47" s="613"/>
      <c r="AM47" s="572"/>
      <c r="AN47" s="6"/>
      <c r="AO47" s="6"/>
      <c r="AP47" s="50"/>
      <c r="AQ47" s="613"/>
      <c r="AR47" s="614"/>
      <c r="AS47" s="620"/>
      <c r="AT47" s="6"/>
      <c r="AU47" s="50"/>
      <c r="AV47" s="613"/>
    </row>
    <row r="48" spans="1:48" ht="34.9" customHeight="1" x14ac:dyDescent="0.25">
      <c r="A48" s="2205"/>
      <c r="B48" s="574">
        <v>2</v>
      </c>
      <c r="C48" s="596"/>
      <c r="D48" s="596"/>
      <c r="E48" s="596"/>
      <c r="F48" s="597">
        <v>560</v>
      </c>
      <c r="G48" s="620"/>
      <c r="H48" s="620"/>
      <c r="I48" s="692"/>
      <c r="J48" s="635" t="s">
        <v>762</v>
      </c>
      <c r="K48" s="622"/>
      <c r="L48" s="572"/>
      <c r="M48" s="6"/>
      <c r="N48" s="6"/>
      <c r="O48" s="597">
        <v>560</v>
      </c>
      <c r="P48" s="620"/>
      <c r="Q48" s="620"/>
      <c r="R48" s="692"/>
      <c r="S48" s="635" t="s">
        <v>762</v>
      </c>
      <c r="T48" s="622"/>
      <c r="U48" s="572"/>
      <c r="V48" s="6"/>
      <c r="W48" s="6"/>
      <c r="X48" s="597">
        <v>560</v>
      </c>
      <c r="Y48" s="620"/>
      <c r="Z48" s="620"/>
      <c r="AA48" s="692"/>
      <c r="AB48" s="635" t="s">
        <v>762</v>
      </c>
      <c r="AC48" s="622"/>
      <c r="AD48" s="572"/>
      <c r="AE48" s="6"/>
      <c r="AF48" s="6"/>
      <c r="AG48" s="597">
        <v>560</v>
      </c>
      <c r="AH48" s="620"/>
      <c r="AI48" s="620"/>
      <c r="AJ48" s="692"/>
      <c r="AK48" s="635" t="s">
        <v>762</v>
      </c>
      <c r="AM48" s="572"/>
      <c r="AN48" s="6"/>
      <c r="AO48" s="6"/>
      <c r="AP48" s="597">
        <v>560</v>
      </c>
      <c r="AQ48" s="620"/>
      <c r="AR48" s="620"/>
      <c r="AS48" s="692"/>
      <c r="AT48" s="635"/>
      <c r="AU48" s="635" t="s">
        <v>762</v>
      </c>
      <c r="AV48" s="613"/>
    </row>
    <row r="49" spans="1:48" ht="36" customHeight="1" x14ac:dyDescent="0.25">
      <c r="A49" s="2206">
        <v>45223</v>
      </c>
      <c r="B49" s="574">
        <v>1</v>
      </c>
      <c r="C49" s="596"/>
      <c r="D49" s="596"/>
      <c r="E49" s="596"/>
      <c r="F49" s="597">
        <v>720</v>
      </c>
      <c r="G49" s="620"/>
      <c r="H49" s="619"/>
      <c r="I49" s="692"/>
      <c r="J49" s="635" t="s">
        <v>762</v>
      </c>
      <c r="K49" s="622"/>
      <c r="L49" s="572"/>
      <c r="M49" s="6"/>
      <c r="N49" s="6"/>
      <c r="O49" s="597">
        <v>720</v>
      </c>
      <c r="P49" s="620"/>
      <c r="Q49" s="619"/>
      <c r="R49" s="692"/>
      <c r="S49" s="635" t="s">
        <v>762</v>
      </c>
      <c r="T49" s="622"/>
      <c r="U49" s="572"/>
      <c r="V49" s="6"/>
      <c r="W49" s="6"/>
      <c r="X49" s="597">
        <v>720</v>
      </c>
      <c r="Y49" s="620"/>
      <c r="Z49" s="619"/>
      <c r="AA49" s="692"/>
      <c r="AB49" s="635" t="s">
        <v>762</v>
      </c>
      <c r="AC49" s="622"/>
      <c r="AD49" s="572"/>
      <c r="AE49" s="6"/>
      <c r="AF49" s="6"/>
      <c r="AG49" s="597">
        <v>720</v>
      </c>
      <c r="AH49" s="620"/>
      <c r="AI49" s="619"/>
      <c r="AJ49" s="692"/>
      <c r="AK49" s="635" t="s">
        <v>762</v>
      </c>
      <c r="AM49" s="572"/>
      <c r="AN49" s="6"/>
      <c r="AO49" s="6"/>
      <c r="AP49" s="597">
        <v>720</v>
      </c>
      <c r="AQ49" s="620"/>
      <c r="AR49" s="619"/>
      <c r="AS49" s="692"/>
      <c r="AT49" s="635"/>
      <c r="AU49" s="635" t="s">
        <v>762</v>
      </c>
      <c r="AV49" s="613"/>
    </row>
    <row r="50" spans="1:48" ht="51.6" customHeight="1" x14ac:dyDescent="0.25">
      <c r="A50" s="2205"/>
      <c r="B50" s="574">
        <v>2</v>
      </c>
      <c r="C50" s="596"/>
      <c r="D50" s="596"/>
      <c r="E50" s="596"/>
      <c r="F50" s="597">
        <v>720</v>
      </c>
      <c r="G50" s="619"/>
      <c r="H50" s="619"/>
      <c r="I50" s="692"/>
      <c r="J50" s="635" t="s">
        <v>762</v>
      </c>
      <c r="K50" s="622"/>
      <c r="L50" s="572"/>
      <c r="M50" s="6"/>
      <c r="N50" s="6"/>
      <c r="O50" s="597">
        <v>720</v>
      </c>
      <c r="P50" s="619"/>
      <c r="Q50" s="619"/>
      <c r="R50" s="692"/>
      <c r="S50" s="635" t="s">
        <v>762</v>
      </c>
      <c r="T50" s="622"/>
      <c r="U50" s="572"/>
      <c r="V50" s="6"/>
      <c r="W50" s="6"/>
      <c r="X50" s="597">
        <v>720</v>
      </c>
      <c r="Y50" s="619"/>
      <c r="Z50" s="619"/>
      <c r="AA50" s="692"/>
      <c r="AB50" s="635" t="s">
        <v>762</v>
      </c>
      <c r="AC50" s="622"/>
      <c r="AD50" s="572"/>
      <c r="AE50" s="6"/>
      <c r="AF50" s="6"/>
      <c r="AG50" s="597">
        <v>720</v>
      </c>
      <c r="AH50" s="619"/>
      <c r="AI50" s="619"/>
      <c r="AJ50" s="692"/>
      <c r="AK50" s="635" t="s">
        <v>762</v>
      </c>
      <c r="AM50" s="572"/>
      <c r="AN50" s="6"/>
      <c r="AO50" s="6"/>
      <c r="AP50" s="597">
        <v>720</v>
      </c>
      <c r="AQ50" s="619"/>
      <c r="AR50" s="619"/>
      <c r="AS50" s="692"/>
      <c r="AT50" s="635"/>
      <c r="AU50" s="635" t="s">
        <v>762</v>
      </c>
      <c r="AV50" s="635"/>
    </row>
    <row r="51" spans="1:48" ht="34.9" customHeight="1" x14ac:dyDescent="0.25">
      <c r="A51" s="2206">
        <v>45224</v>
      </c>
      <c r="B51" s="574">
        <v>1</v>
      </c>
      <c r="C51" s="596"/>
      <c r="D51" s="596"/>
      <c r="E51" s="596"/>
      <c r="F51" s="597">
        <v>720</v>
      </c>
      <c r="G51" s="619"/>
      <c r="H51" s="619"/>
      <c r="I51" s="692"/>
      <c r="J51" s="635" t="s">
        <v>762</v>
      </c>
      <c r="K51" s="622"/>
      <c r="L51" s="572"/>
      <c r="M51" s="6"/>
      <c r="N51" s="6"/>
      <c r="O51" s="597">
        <v>720</v>
      </c>
      <c r="P51" s="619"/>
      <c r="Q51" s="619"/>
      <c r="R51" s="692"/>
      <c r="S51" s="635" t="s">
        <v>762</v>
      </c>
      <c r="T51" s="622"/>
      <c r="U51" s="572"/>
      <c r="V51" s="6"/>
      <c r="W51" s="6"/>
      <c r="X51" s="597">
        <v>720</v>
      </c>
      <c r="Y51" s="619"/>
      <c r="Z51" s="619"/>
      <c r="AA51" s="692"/>
      <c r="AB51" s="635" t="s">
        <v>762</v>
      </c>
      <c r="AC51" s="622"/>
      <c r="AD51" s="572"/>
      <c r="AE51" s="6"/>
      <c r="AF51" s="6"/>
      <c r="AG51" s="597">
        <v>720</v>
      </c>
      <c r="AH51" s="619"/>
      <c r="AI51" s="619"/>
      <c r="AJ51" s="692"/>
      <c r="AK51" s="635" t="s">
        <v>762</v>
      </c>
      <c r="AM51" s="572"/>
      <c r="AN51" s="6"/>
      <c r="AO51" s="6"/>
      <c r="AP51" s="597">
        <v>720</v>
      </c>
      <c r="AQ51" s="619"/>
      <c r="AR51" s="619"/>
      <c r="AS51" s="692"/>
      <c r="AT51" s="635"/>
      <c r="AU51" s="635" t="s">
        <v>762</v>
      </c>
      <c r="AV51" s="613"/>
    </row>
    <row r="52" spans="1:48" ht="49.15" customHeight="1" x14ac:dyDescent="0.25">
      <c r="A52" s="2205"/>
      <c r="B52" s="574">
        <v>2</v>
      </c>
      <c r="C52" s="596"/>
      <c r="D52" s="596"/>
      <c r="E52" s="596"/>
      <c r="F52" s="597">
        <v>665</v>
      </c>
      <c r="G52" s="620"/>
      <c r="H52" s="620"/>
      <c r="I52" s="692"/>
      <c r="J52" s="635" t="s">
        <v>763</v>
      </c>
      <c r="K52" s="622"/>
      <c r="L52" s="572"/>
      <c r="M52" s="6"/>
      <c r="N52" s="6"/>
      <c r="O52" s="597">
        <v>670</v>
      </c>
      <c r="P52" s="620"/>
      <c r="Q52" s="620"/>
      <c r="R52" s="692"/>
      <c r="S52" s="635" t="s">
        <v>763</v>
      </c>
      <c r="T52" s="622"/>
      <c r="U52" s="572"/>
      <c r="V52" s="6"/>
      <c r="W52" s="6"/>
      <c r="X52" s="597">
        <v>706</v>
      </c>
      <c r="Y52" s="620"/>
      <c r="Z52" s="620"/>
      <c r="AA52" s="692"/>
      <c r="AB52" s="635" t="s">
        <v>763</v>
      </c>
      <c r="AC52" s="622"/>
      <c r="AD52" s="572"/>
      <c r="AE52" s="6"/>
      <c r="AF52" s="6"/>
      <c r="AG52" s="597">
        <v>673</v>
      </c>
      <c r="AH52" s="620"/>
      <c r="AI52" s="620"/>
      <c r="AJ52" s="692"/>
      <c r="AK52" s="635" t="s">
        <v>763</v>
      </c>
      <c r="AM52" s="572"/>
      <c r="AN52" s="613"/>
      <c r="AO52" s="613"/>
      <c r="AP52" s="613">
        <v>679</v>
      </c>
      <c r="AQ52" s="613"/>
      <c r="AR52" s="614"/>
      <c r="AS52" s="6"/>
      <c r="AT52" s="635"/>
      <c r="AU52" s="635" t="s">
        <v>763</v>
      </c>
      <c r="AV52" s="613"/>
    </row>
    <row r="53" spans="1:48" ht="40.15" customHeight="1" x14ac:dyDescent="0.25">
      <c r="A53" s="2206">
        <v>45225</v>
      </c>
      <c r="B53" s="574">
        <v>1</v>
      </c>
      <c r="C53" s="596"/>
      <c r="D53" s="596"/>
      <c r="E53" s="596"/>
      <c r="F53" s="597"/>
      <c r="G53" s="619"/>
      <c r="H53" s="619"/>
      <c r="I53" s="692"/>
      <c r="J53" s="635"/>
      <c r="K53" s="622"/>
      <c r="L53" s="572"/>
      <c r="M53" s="6"/>
      <c r="N53" s="6"/>
      <c r="O53" s="613"/>
      <c r="P53" s="1004"/>
      <c r="Q53" s="6"/>
      <c r="R53" s="6"/>
      <c r="S53" s="635"/>
      <c r="T53" s="622"/>
      <c r="U53" s="572"/>
      <c r="V53" s="6"/>
      <c r="W53" s="6"/>
      <c r="X53" s="613"/>
      <c r="Y53" s="1004"/>
      <c r="Z53" s="6"/>
      <c r="AA53" s="605"/>
      <c r="AB53" s="613"/>
      <c r="AC53" s="622"/>
      <c r="AD53" s="572"/>
      <c r="AE53" s="605"/>
      <c r="AF53" s="6"/>
      <c r="AG53" s="613"/>
      <c r="AH53" s="614"/>
      <c r="AI53" s="605"/>
      <c r="AJ53" s="605"/>
      <c r="AK53" s="613"/>
      <c r="AM53" s="572"/>
      <c r="AN53" s="605"/>
      <c r="AO53" s="6">
        <v>187</v>
      </c>
      <c r="AP53" s="50"/>
      <c r="AQ53" s="613"/>
      <c r="AR53" s="614"/>
      <c r="AS53" s="605"/>
      <c r="AT53" s="6" t="s">
        <v>521</v>
      </c>
      <c r="AU53" s="50"/>
      <c r="AV53" s="613"/>
    </row>
    <row r="54" spans="1:48" ht="39.6" customHeight="1" x14ac:dyDescent="0.25">
      <c r="A54" s="2205"/>
      <c r="B54" s="999">
        <v>2</v>
      </c>
      <c r="C54" s="596"/>
      <c r="D54" s="596"/>
      <c r="E54" s="596">
        <v>39</v>
      </c>
      <c r="F54" s="597"/>
      <c r="G54" s="619"/>
      <c r="H54" s="619"/>
      <c r="I54" s="692" t="s">
        <v>328</v>
      </c>
      <c r="J54" s="635"/>
      <c r="K54" s="622"/>
      <c r="L54" s="572"/>
      <c r="M54" s="6"/>
      <c r="N54" s="6"/>
      <c r="O54" s="597"/>
      <c r="P54" s="619"/>
      <c r="Q54" s="619"/>
      <c r="R54" s="619"/>
      <c r="S54" s="635"/>
      <c r="T54" s="622"/>
      <c r="U54" s="572"/>
      <c r="V54" s="6"/>
      <c r="W54" s="6">
        <v>102</v>
      </c>
      <c r="X54" s="597"/>
      <c r="Y54" s="620"/>
      <c r="Z54" s="619"/>
      <c r="AA54" s="620" t="s">
        <v>764</v>
      </c>
      <c r="AB54" s="635"/>
      <c r="AC54" s="622"/>
      <c r="AD54" s="572"/>
      <c r="AE54" s="6"/>
      <c r="AF54" s="6">
        <v>11</v>
      </c>
      <c r="AG54" s="613"/>
      <c r="AH54" s="614"/>
      <c r="AI54" s="619"/>
      <c r="AJ54" s="6" t="s">
        <v>325</v>
      </c>
      <c r="AK54" s="635"/>
      <c r="AM54" s="572"/>
      <c r="AN54" s="6"/>
      <c r="AO54" s="6"/>
      <c r="AP54" s="50"/>
      <c r="AQ54" s="597"/>
      <c r="AR54" s="619"/>
      <c r="AS54" s="619"/>
      <c r="AT54" s="619"/>
      <c r="AU54" s="830"/>
      <c r="AV54" s="635"/>
    </row>
    <row r="55" spans="1:48" ht="39.6" customHeight="1" x14ac:dyDescent="0.25">
      <c r="A55" s="2206">
        <v>45226</v>
      </c>
      <c r="B55" s="574">
        <v>1</v>
      </c>
      <c r="C55" s="595"/>
      <c r="D55" s="596"/>
      <c r="E55" s="596">
        <v>48</v>
      </c>
      <c r="F55" s="597"/>
      <c r="G55" s="619"/>
      <c r="H55" s="619"/>
      <c r="I55" s="692" t="s">
        <v>328</v>
      </c>
      <c r="J55" s="613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>
        <v>87</v>
      </c>
      <c r="X55" s="613"/>
      <c r="Y55" s="614"/>
      <c r="Z55" s="620"/>
      <c r="AA55" s="605" t="s">
        <v>383</v>
      </c>
      <c r="AB55" s="613"/>
      <c r="AC55" s="622"/>
      <c r="AD55" s="572"/>
      <c r="AE55" s="6"/>
      <c r="AF55" s="6"/>
      <c r="AG55" s="613"/>
      <c r="AH55" s="614"/>
      <c r="AI55" s="620"/>
      <c r="AJ55" s="6"/>
      <c r="AK55" s="613"/>
      <c r="AM55" s="572"/>
      <c r="AN55" s="6"/>
      <c r="AO55" s="6"/>
      <c r="AP55" s="50"/>
      <c r="AQ55" s="613"/>
      <c r="AR55" s="614"/>
      <c r="AS55" s="620"/>
      <c r="AT55" s="6"/>
      <c r="AU55" s="50"/>
      <c r="AV55" s="613"/>
    </row>
    <row r="56" spans="1:48" ht="94.15" customHeight="1" x14ac:dyDescent="0.25">
      <c r="A56" s="2205"/>
      <c r="B56" s="999">
        <v>2</v>
      </c>
      <c r="C56" s="595"/>
      <c r="D56" s="596"/>
      <c r="E56" s="596">
        <f>63+26+10</f>
        <v>99</v>
      </c>
      <c r="F56" s="597"/>
      <c r="G56" s="620"/>
      <c r="H56" s="620"/>
      <c r="I56" s="692" t="s">
        <v>328</v>
      </c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/>
      <c r="V56" s="6"/>
      <c r="W56" s="6">
        <v>59</v>
      </c>
      <c r="X56" s="597"/>
      <c r="Y56" s="1004"/>
      <c r="Z56" s="619"/>
      <c r="AA56" s="605" t="s">
        <v>383</v>
      </c>
      <c r="AB56" s="635"/>
      <c r="AC56" s="622"/>
      <c r="AD56" s="572"/>
      <c r="AE56" s="6"/>
      <c r="AF56" s="6"/>
      <c r="AG56" s="597"/>
      <c r="AH56" s="620"/>
      <c r="AI56" s="619"/>
      <c r="AJ56" s="620"/>
      <c r="AK56" s="635"/>
      <c r="AM56" s="572"/>
      <c r="AN56" s="6"/>
      <c r="AO56" s="6"/>
      <c r="AP56" s="50"/>
      <c r="AQ56" s="597"/>
      <c r="AR56" s="620"/>
      <c r="AS56" s="619"/>
      <c r="AT56" s="620"/>
      <c r="AU56" s="692"/>
      <c r="AV56" s="635"/>
    </row>
    <row r="57" spans="1:48" ht="52.15" customHeight="1" x14ac:dyDescent="0.25">
      <c r="A57" s="2206">
        <v>45227</v>
      </c>
      <c r="B57" s="574">
        <v>1</v>
      </c>
      <c r="C57" s="595"/>
      <c r="D57" s="596"/>
      <c r="E57" s="596">
        <f>32+20</f>
        <v>52</v>
      </c>
      <c r="F57" s="597"/>
      <c r="G57" s="620"/>
      <c r="H57" s="620"/>
      <c r="I57" s="692" t="s">
        <v>328</v>
      </c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>
        <f>6+27+20</f>
        <v>53</v>
      </c>
      <c r="X57" s="597"/>
      <c r="Y57" s="620"/>
      <c r="Z57" s="619"/>
      <c r="AA57" s="605" t="s">
        <v>383</v>
      </c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/>
      <c r="AP57" s="50"/>
      <c r="AQ57" s="597"/>
      <c r="AR57" s="620"/>
      <c r="AS57" s="619"/>
      <c r="AT57" s="620"/>
      <c r="AU57" s="692"/>
      <c r="AV57" s="635"/>
    </row>
    <row r="58" spans="1:48" ht="78" customHeight="1" x14ac:dyDescent="0.25">
      <c r="A58" s="2205"/>
      <c r="B58" s="999">
        <v>2</v>
      </c>
      <c r="C58" s="595"/>
      <c r="D58" s="596"/>
      <c r="E58" s="596">
        <v>26</v>
      </c>
      <c r="F58" s="597"/>
      <c r="G58" s="620"/>
      <c r="H58" s="619"/>
      <c r="I58" s="692" t="s">
        <v>328</v>
      </c>
      <c r="J58" s="635"/>
      <c r="K58" s="622"/>
      <c r="L58" s="572"/>
      <c r="M58" s="6"/>
      <c r="N58" s="6"/>
      <c r="O58" s="597"/>
      <c r="P58" s="620"/>
      <c r="Q58" s="619"/>
      <c r="R58" s="620"/>
      <c r="S58" s="635"/>
      <c r="T58" s="622"/>
      <c r="U58" s="572"/>
      <c r="V58" s="6"/>
      <c r="W58" s="6">
        <f>12+32+14</f>
        <v>58</v>
      </c>
      <c r="X58" s="597"/>
      <c r="Y58" s="620"/>
      <c r="Z58" s="619"/>
      <c r="AA58" s="605" t="s">
        <v>383</v>
      </c>
      <c r="AB58" s="635"/>
      <c r="AC58" s="622"/>
      <c r="AD58" s="572"/>
      <c r="AE58" s="6"/>
      <c r="AF58" s="6">
        <f>32+10</f>
        <v>42</v>
      </c>
      <c r="AG58" s="597"/>
      <c r="AH58" s="620"/>
      <c r="AI58" s="619"/>
      <c r="AJ58" s="6" t="s">
        <v>325</v>
      </c>
      <c r="AK58" s="635"/>
      <c r="AM58" s="572"/>
      <c r="AN58" s="6"/>
      <c r="AO58" s="6"/>
      <c r="AP58" s="50"/>
      <c r="AQ58" s="597"/>
      <c r="AR58" s="620"/>
      <c r="AS58" s="619"/>
      <c r="AT58" s="620"/>
      <c r="AU58" s="692"/>
      <c r="AV58" s="635"/>
    </row>
    <row r="59" spans="1:48" ht="73.150000000000006" customHeight="1" x14ac:dyDescent="0.25">
      <c r="A59" s="2206">
        <v>45228</v>
      </c>
      <c r="B59" s="574">
        <v>1</v>
      </c>
      <c r="C59" s="595"/>
      <c r="D59" s="596"/>
      <c r="E59" s="596">
        <f>17+21</f>
        <v>38</v>
      </c>
      <c r="F59" s="597"/>
      <c r="G59" s="619"/>
      <c r="H59" s="619"/>
      <c r="I59" s="692" t="s">
        <v>328</v>
      </c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>
        <v>19</v>
      </c>
      <c r="X59" s="613"/>
      <c r="Y59" s="614"/>
      <c r="Z59" s="6"/>
      <c r="AA59" s="605" t="s">
        <v>383</v>
      </c>
      <c r="AB59" s="635"/>
      <c r="AC59" s="622"/>
      <c r="AD59" s="572"/>
      <c r="AE59" s="6"/>
      <c r="AF59" s="6"/>
      <c r="AG59" s="613"/>
      <c r="AH59" s="1004"/>
      <c r="AI59" s="6"/>
      <c r="AJ59" s="620"/>
      <c r="AK59" s="635"/>
      <c r="AM59" s="572"/>
      <c r="AN59" s="6"/>
      <c r="AO59" s="6"/>
      <c r="AP59" s="50"/>
      <c r="AQ59" s="613"/>
      <c r="AR59" s="1004"/>
      <c r="AS59" s="6"/>
      <c r="AT59" s="620"/>
      <c r="AU59" s="692"/>
      <c r="AV59" s="635"/>
    </row>
    <row r="60" spans="1:48" ht="36" customHeight="1" x14ac:dyDescent="0.25">
      <c r="A60" s="2205"/>
      <c r="B60" s="999">
        <v>2</v>
      </c>
      <c r="C60" s="595"/>
      <c r="D60" s="596"/>
      <c r="E60" s="596">
        <f>24+33</f>
        <v>57</v>
      </c>
      <c r="F60" s="597"/>
      <c r="G60" s="619"/>
      <c r="H60" s="620"/>
      <c r="I60" s="692" t="s">
        <v>328</v>
      </c>
      <c r="J60" s="635"/>
      <c r="K60" s="622"/>
      <c r="L60" s="572"/>
      <c r="M60" s="6"/>
      <c r="N60" s="6"/>
      <c r="O60" s="613"/>
      <c r="P60" s="614"/>
      <c r="Q60" s="6"/>
      <c r="R60" s="6"/>
      <c r="S60" s="635"/>
      <c r="T60" s="622"/>
      <c r="U60" s="572"/>
      <c r="V60" s="6"/>
      <c r="W60" s="6">
        <f>124+19</f>
        <v>143</v>
      </c>
      <c r="X60" s="613"/>
      <c r="Y60" s="1004"/>
      <c r="Z60" s="605"/>
      <c r="AA60" s="605" t="s">
        <v>383</v>
      </c>
      <c r="AB60" s="635"/>
      <c r="AC60" s="622"/>
      <c r="AD60" s="572"/>
      <c r="AE60" s="6"/>
      <c r="AF60" s="6">
        <f>25+120+8</f>
        <v>153</v>
      </c>
      <c r="AG60" s="613"/>
      <c r="AH60" s="614"/>
      <c r="AI60" s="6"/>
      <c r="AJ60" s="605" t="s">
        <v>383</v>
      </c>
      <c r="AK60" s="635"/>
      <c r="AM60" s="572"/>
      <c r="AN60" s="6"/>
      <c r="AO60" s="6"/>
      <c r="AP60" s="50"/>
      <c r="AQ60" s="613"/>
      <c r="AR60" s="614"/>
      <c r="AS60" s="6"/>
      <c r="AT60" s="605"/>
      <c r="AU60" s="828"/>
      <c r="AV60" s="635"/>
    </row>
    <row r="61" spans="1:48" ht="32.450000000000003" customHeight="1" x14ac:dyDescent="0.25">
      <c r="A61" s="2206">
        <v>45229</v>
      </c>
      <c r="B61" s="574">
        <v>1</v>
      </c>
      <c r="C61" s="1007"/>
      <c r="D61" s="1009"/>
      <c r="E61" s="596">
        <v>40</v>
      </c>
      <c r="F61" s="749"/>
      <c r="G61" s="619"/>
      <c r="H61" s="1008"/>
      <c r="I61" s="692" t="s">
        <v>328</v>
      </c>
      <c r="J61" s="687"/>
      <c r="K61" s="622"/>
      <c r="L61" s="572"/>
      <c r="M61" s="6"/>
      <c r="N61" s="6"/>
      <c r="O61" s="613"/>
      <c r="P61" s="752"/>
      <c r="Q61" s="1005"/>
      <c r="R61" s="1005"/>
      <c r="S61" s="753"/>
      <c r="T61" s="622"/>
      <c r="U61" s="572"/>
      <c r="V61" s="6"/>
      <c r="W61" s="6">
        <v>65</v>
      </c>
      <c r="X61" s="613"/>
      <c r="Y61" s="1004"/>
      <c r="Z61" s="605"/>
      <c r="AA61" s="605" t="s">
        <v>383</v>
      </c>
      <c r="AB61" s="753"/>
      <c r="AC61" s="622"/>
      <c r="AD61" s="572"/>
      <c r="AE61" s="6"/>
      <c r="AF61" s="6"/>
      <c r="AG61" s="613"/>
      <c r="AH61" s="614"/>
      <c r="AI61" s="6"/>
      <c r="AJ61" s="605"/>
      <c r="AK61" s="753"/>
      <c r="AM61" s="572">
        <v>126</v>
      </c>
      <c r="AN61" s="6"/>
      <c r="AO61" s="6"/>
      <c r="AP61" s="50"/>
      <c r="AQ61" s="613"/>
      <c r="AR61" s="1012" t="s">
        <v>765</v>
      </c>
      <c r="AS61" s="6"/>
      <c r="AT61" s="605"/>
      <c r="AU61" s="964"/>
      <c r="AV61" s="753"/>
    </row>
    <row r="62" spans="1:48" ht="62.45" customHeight="1" x14ac:dyDescent="0.25">
      <c r="A62" s="2205"/>
      <c r="B62" s="999">
        <v>2</v>
      </c>
      <c r="C62" s="1007"/>
      <c r="D62" s="1009"/>
      <c r="E62" s="1009">
        <v>47</v>
      </c>
      <c r="F62" s="749"/>
      <c r="G62" s="1001"/>
      <c r="H62" s="1008"/>
      <c r="I62" s="692" t="s">
        <v>328</v>
      </c>
      <c r="J62" s="687"/>
      <c r="K62" s="622"/>
      <c r="L62" s="572"/>
      <c r="M62" s="6"/>
      <c r="N62" s="6"/>
      <c r="O62" s="613"/>
      <c r="P62" s="752"/>
      <c r="Q62" s="1005"/>
      <c r="R62" s="1005"/>
      <c r="S62" s="753"/>
      <c r="T62" s="622"/>
      <c r="U62" s="572"/>
      <c r="V62" s="6"/>
      <c r="W62" s="6">
        <v>67</v>
      </c>
      <c r="X62" s="613"/>
      <c r="Y62" s="1004"/>
      <c r="Z62" s="605"/>
      <c r="AA62" s="605" t="s">
        <v>383</v>
      </c>
      <c r="AB62" s="753"/>
      <c r="AC62" s="622"/>
      <c r="AD62" s="572"/>
      <c r="AE62" s="6"/>
      <c r="AF62" s="6">
        <v>29</v>
      </c>
      <c r="AG62" s="613"/>
      <c r="AH62" s="614"/>
      <c r="AI62" s="6"/>
      <c r="AJ62" s="605" t="s">
        <v>383</v>
      </c>
      <c r="AK62" s="753"/>
      <c r="AM62" s="572"/>
      <c r="AN62" s="6"/>
      <c r="AO62" s="6"/>
      <c r="AP62" s="50"/>
      <c r="AQ62" s="613"/>
      <c r="AR62" s="614"/>
      <c r="AS62" s="6"/>
      <c r="AT62" s="605"/>
      <c r="AU62" s="964"/>
      <c r="AV62" s="753"/>
    </row>
    <row r="63" spans="1:48" ht="64.150000000000006" customHeight="1" x14ac:dyDescent="0.25">
      <c r="A63" s="2206">
        <v>45230</v>
      </c>
      <c r="B63" s="574">
        <v>1</v>
      </c>
      <c r="C63" s="706"/>
      <c r="D63" s="707"/>
      <c r="E63" s="707">
        <v>20</v>
      </c>
      <c r="F63" s="708"/>
      <c r="G63" s="717"/>
      <c r="H63" s="709"/>
      <c r="I63" s="692" t="s">
        <v>328</v>
      </c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>
        <v>45</v>
      </c>
      <c r="X63" s="597"/>
      <c r="Y63" s="685"/>
      <c r="Z63" s="619"/>
      <c r="AA63" s="605" t="s">
        <v>383</v>
      </c>
      <c r="AB63" s="1003"/>
      <c r="AC63" s="622"/>
      <c r="AD63" s="572"/>
      <c r="AE63" s="6"/>
      <c r="AF63" s="6"/>
      <c r="AG63" s="597"/>
      <c r="AH63" s="685"/>
      <c r="AI63" s="619"/>
      <c r="AJ63" s="6"/>
      <c r="AK63" s="705"/>
      <c r="AM63" s="572"/>
      <c r="AN63" s="6"/>
      <c r="AO63" s="6"/>
      <c r="AP63" s="50"/>
      <c r="AQ63" s="597"/>
      <c r="AR63" s="685"/>
      <c r="AS63" s="619"/>
      <c r="AT63" s="619"/>
      <c r="AU63" s="965"/>
      <c r="AV63" s="705"/>
    </row>
    <row r="64" spans="1:48" ht="62.45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963"/>
      <c r="AQ64" s="636"/>
      <c r="AR64" s="637"/>
      <c r="AS64" s="638"/>
      <c r="AT64" s="638"/>
      <c r="AU64" s="966"/>
      <c r="AV64" s="713"/>
    </row>
    <row r="65" spans="1:43" ht="23.45" customHeight="1" x14ac:dyDescent="0.25">
      <c r="A65" s="524" t="s">
        <v>225</v>
      </c>
      <c r="C65" s="768">
        <f>SUM(C3:C64)</f>
        <v>288</v>
      </c>
      <c r="D65" s="525">
        <f>SUM(D3:D64)</f>
        <v>764</v>
      </c>
      <c r="E65" s="768">
        <f>SUM(E3:E64)</f>
        <v>1038</v>
      </c>
      <c r="F65" s="525">
        <f>SUM(F3:F64)</f>
        <v>3385</v>
      </c>
      <c r="L65" s="525">
        <f>SUM(L3:L64)</f>
        <v>0</v>
      </c>
      <c r="M65" s="525">
        <f>SUM(M3:M64)</f>
        <v>150</v>
      </c>
      <c r="N65" s="525">
        <f>SUM(N3:N64)</f>
        <v>0</v>
      </c>
      <c r="O65" s="525">
        <f>SUM(O3:O64)</f>
        <v>3390</v>
      </c>
      <c r="U65" s="525">
        <f>SUM(U3:U64)</f>
        <v>994</v>
      </c>
      <c r="V65" s="525">
        <f>SUM(V3:V64)</f>
        <v>155</v>
      </c>
      <c r="W65" s="525">
        <f>SUM(W3:W64)</f>
        <v>2313</v>
      </c>
      <c r="X65" s="525">
        <f>SUM(X3:X64)</f>
        <v>3426</v>
      </c>
      <c r="AD65" s="525">
        <f>SUM(AD3:AD64)</f>
        <v>518</v>
      </c>
      <c r="AE65" s="525">
        <f>SUM(AE3:AE64)</f>
        <v>239</v>
      </c>
      <c r="AF65" s="525">
        <f>SUM(AF3:AF64)</f>
        <v>550</v>
      </c>
      <c r="AG65" s="525">
        <f>SUM(AG3:AG64)</f>
        <v>3393</v>
      </c>
      <c r="AM65" s="525">
        <f>SUM(AM3:AM64)</f>
        <v>126</v>
      </c>
      <c r="AN65" s="525">
        <f>SUM(AN3:AN64)</f>
        <v>912</v>
      </c>
      <c r="AO65" s="525">
        <f>SUM(AO3:AO64)</f>
        <v>374</v>
      </c>
      <c r="AP65" s="525"/>
      <c r="AQ65" s="525">
        <f>SUM(AQ3:AQ64)</f>
        <v>0</v>
      </c>
    </row>
    <row r="73" spans="1:43" ht="15.75" thickBot="1" x14ac:dyDescent="0.3"/>
    <row r="74" spans="1:43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3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3" ht="21.75" customHeight="1" x14ac:dyDescent="0.3">
      <c r="B76" s="651" t="s">
        <v>218</v>
      </c>
      <c r="C76" s="652">
        <f>C65</f>
        <v>288</v>
      </c>
      <c r="D76" s="653">
        <f>C76/60</f>
        <v>4.8</v>
      </c>
      <c r="E76" s="652">
        <f>D65</f>
        <v>764</v>
      </c>
      <c r="F76" s="654">
        <f>E76/60</f>
        <v>12.733333333333333</v>
      </c>
      <c r="G76" s="652">
        <f>E65</f>
        <v>1038</v>
      </c>
      <c r="H76" s="653">
        <f>G76/60</f>
        <v>17.3</v>
      </c>
      <c r="I76" s="652">
        <f>F65</f>
        <v>3385</v>
      </c>
      <c r="J76" s="653">
        <f>I76/60</f>
        <v>56.416666666666664</v>
      </c>
    </row>
    <row r="77" spans="1:43" ht="19.5" customHeight="1" x14ac:dyDescent="0.3">
      <c r="B77" s="651" t="s">
        <v>219</v>
      </c>
      <c r="C77" s="655">
        <f>L65</f>
        <v>0</v>
      </c>
      <c r="D77" s="656">
        <f>C77/60</f>
        <v>0</v>
      </c>
      <c r="E77" s="655">
        <f>M65</f>
        <v>150</v>
      </c>
      <c r="F77" s="657">
        <f>E77/60</f>
        <v>2.5</v>
      </c>
      <c r="G77" s="655">
        <f>N65</f>
        <v>0</v>
      </c>
      <c r="H77" s="656">
        <f>G77/60</f>
        <v>0</v>
      </c>
      <c r="I77" s="655">
        <f>O65</f>
        <v>3390</v>
      </c>
      <c r="J77" s="656">
        <f>I77/60</f>
        <v>56.5</v>
      </c>
    </row>
    <row r="78" spans="1:43" ht="20.25" customHeight="1" x14ac:dyDescent="0.3">
      <c r="B78" s="651" t="s">
        <v>220</v>
      </c>
      <c r="C78" s="655">
        <f>U65</f>
        <v>994</v>
      </c>
      <c r="D78" s="656">
        <f>C78/60</f>
        <v>16.566666666666666</v>
      </c>
      <c r="E78" s="655">
        <f>V65</f>
        <v>155</v>
      </c>
      <c r="F78" s="657">
        <f>E78/60</f>
        <v>2.5833333333333335</v>
      </c>
      <c r="G78" s="655">
        <f>W65</f>
        <v>2313</v>
      </c>
      <c r="H78" s="656">
        <f>G78/60</f>
        <v>38.549999999999997</v>
      </c>
      <c r="I78" s="655">
        <f>X65</f>
        <v>3426</v>
      </c>
      <c r="J78" s="656">
        <f>I78/60</f>
        <v>57.1</v>
      </c>
    </row>
    <row r="79" spans="1:43" ht="22.5" customHeight="1" thickBot="1" x14ac:dyDescent="0.35">
      <c r="B79" s="651" t="s">
        <v>221</v>
      </c>
      <c r="C79" s="658">
        <f>AD65</f>
        <v>518</v>
      </c>
      <c r="D79" s="659">
        <f>C79/60</f>
        <v>8.6333333333333329</v>
      </c>
      <c r="E79" s="658">
        <f>AE65</f>
        <v>239</v>
      </c>
      <c r="F79" s="660">
        <f>E79/60</f>
        <v>3.9833333333333334</v>
      </c>
      <c r="G79" s="658">
        <f>AF65</f>
        <v>550</v>
      </c>
      <c r="H79" s="659">
        <f>G79/60</f>
        <v>9.1666666666666661</v>
      </c>
      <c r="I79" s="658">
        <f>AG65</f>
        <v>3393</v>
      </c>
      <c r="J79" s="659">
        <f>I79/60</f>
        <v>56.55</v>
      </c>
    </row>
    <row r="80" spans="1:43" ht="22.5" customHeight="1" thickBot="1" x14ac:dyDescent="0.35">
      <c r="B80" s="651" t="s">
        <v>488</v>
      </c>
      <c r="C80" s="850">
        <f>AM65</f>
        <v>126</v>
      </c>
      <c r="D80" s="849">
        <f>C80/60</f>
        <v>2.1</v>
      </c>
      <c r="E80" s="850">
        <f>AN65</f>
        <v>912</v>
      </c>
      <c r="F80" s="851">
        <f>E80/60</f>
        <v>15.2</v>
      </c>
      <c r="G80" s="850">
        <f>AO65</f>
        <v>374</v>
      </c>
      <c r="H80" s="849">
        <f>G80/60</f>
        <v>6.2333333333333334</v>
      </c>
      <c r="I80" s="850">
        <f>AQ65</f>
        <v>0</v>
      </c>
      <c r="J80" s="849">
        <f>I80/60</f>
        <v>0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32.1</v>
      </c>
      <c r="E82" s="666"/>
      <c r="F82" s="667">
        <f>SUM(F76:F80)</f>
        <v>37</v>
      </c>
      <c r="G82" s="666"/>
      <c r="H82" s="667">
        <f>SUM(H76:H80)</f>
        <v>71.25</v>
      </c>
      <c r="I82" s="666"/>
      <c r="J82" s="668">
        <f>AVERAGE(J76:J80)</f>
        <v>45.313333333333333</v>
      </c>
    </row>
  </sheetData>
  <mergeCells count="45">
    <mergeCell ref="A5:A6"/>
    <mergeCell ref="C1:F1"/>
    <mergeCell ref="G1:J1"/>
    <mergeCell ref="L1:O1"/>
    <mergeCell ref="P1:S1"/>
    <mergeCell ref="AD1:AG1"/>
    <mergeCell ref="AH1:AK1"/>
    <mergeCell ref="AM1:AQ1"/>
    <mergeCell ref="AR1:AV1"/>
    <mergeCell ref="A3:A4"/>
    <mergeCell ref="U1:X1"/>
    <mergeCell ref="Y1:AB1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</mergeCells>
  <pageMargins left="0.7" right="0.7" top="0.75" bottom="0.75" header="0.3" footer="0.3"/>
  <pageSetup paperSize="9" orientation="portrait" horizontalDpi="180" verticalDpi="18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2"/>
  <sheetViews>
    <sheetView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Y63" sqref="Y63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7.285156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3" style="524" customWidth="1"/>
    <col min="17" max="17" width="25.7109375" style="524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2.42578125" style="524" customWidth="1"/>
    <col min="28" max="28" width="27" style="524" customWidth="1"/>
    <col min="29" max="33" width="10.7109375" style="524" customWidth="1"/>
    <col min="34" max="34" width="31.28515625" style="524" customWidth="1"/>
    <col min="35" max="35" width="18.57031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3" width="10.7109375" style="524" customWidth="1"/>
    <col min="44" max="44" width="21.140625" style="524" customWidth="1"/>
    <col min="45" max="45" width="26.28515625" style="524" customWidth="1"/>
    <col min="46" max="46" width="27.140625" style="524" customWidth="1"/>
    <col min="47" max="47" width="24.42578125" style="524" customWidth="1"/>
    <col min="48" max="48" width="26.5703125" style="524" customWidth="1"/>
    <col min="49" max="16384" width="8.85546875" style="524"/>
  </cols>
  <sheetData>
    <row r="1" spans="1:48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0"/>
      <c r="AR1" s="2252" t="s">
        <v>206</v>
      </c>
      <c r="AS1" s="2252"/>
      <c r="AT1" s="2252"/>
      <c r="AU1" s="2252"/>
      <c r="AV1" s="2253"/>
    </row>
    <row r="2" spans="1:48" ht="42.6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6" t="s">
        <v>199</v>
      </c>
      <c r="AI2" s="984" t="s">
        <v>200</v>
      </c>
      <c r="AJ2" s="984" t="s">
        <v>201</v>
      </c>
      <c r="AK2" s="984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4" t="s">
        <v>204</v>
      </c>
      <c r="AR2" s="986" t="s">
        <v>199</v>
      </c>
      <c r="AS2" s="984" t="s">
        <v>200</v>
      </c>
      <c r="AT2" s="984" t="s">
        <v>201</v>
      </c>
      <c r="AU2" s="984" t="s">
        <v>204</v>
      </c>
      <c r="AV2" s="984" t="s">
        <v>204</v>
      </c>
    </row>
    <row r="3" spans="1:48" ht="78" customHeight="1" x14ac:dyDescent="0.25">
      <c r="A3" s="2206">
        <v>45231</v>
      </c>
      <c r="B3" s="1014">
        <v>1</v>
      </c>
      <c r="C3" s="592"/>
      <c r="D3" s="593"/>
      <c r="E3" s="6">
        <f>19+38</f>
        <v>57</v>
      </c>
      <c r="F3" s="594"/>
      <c r="G3" s="685"/>
      <c r="H3" s="619"/>
      <c r="I3" s="620" t="s">
        <v>767</v>
      </c>
      <c r="J3" s="686"/>
      <c r="K3" s="622"/>
      <c r="L3" s="612"/>
      <c r="M3" s="630"/>
      <c r="N3" s="630"/>
      <c r="O3" s="628"/>
      <c r="P3" s="629"/>
      <c r="Q3" s="699"/>
      <c r="R3" s="699"/>
      <c r="S3" s="628"/>
      <c r="T3" s="622"/>
      <c r="U3" s="612"/>
      <c r="V3" s="630"/>
      <c r="W3" s="6"/>
      <c r="X3" s="613"/>
      <c r="Y3" s="1018"/>
      <c r="Z3" s="629"/>
      <c r="AA3" s="620"/>
      <c r="AB3" s="720"/>
      <c r="AC3" s="622"/>
      <c r="AD3" s="612"/>
      <c r="AE3" s="630"/>
      <c r="AF3" s="6"/>
      <c r="AG3" s="628"/>
      <c r="AH3" s="629"/>
      <c r="AI3" s="629"/>
      <c r="AJ3" s="605"/>
      <c r="AK3" s="628"/>
      <c r="AM3" s="612"/>
      <c r="AN3" s="630"/>
      <c r="AO3" s="6"/>
      <c r="AP3" s="962"/>
      <c r="AQ3" s="628"/>
      <c r="AR3" s="629"/>
      <c r="AS3" s="648"/>
      <c r="AT3" s="6"/>
      <c r="AU3" s="962"/>
      <c r="AV3" s="628"/>
    </row>
    <row r="4" spans="1:48" ht="70.150000000000006" customHeight="1" x14ac:dyDescent="0.25">
      <c r="A4" s="2205"/>
      <c r="B4" s="574">
        <v>2</v>
      </c>
      <c r="C4" s="595"/>
      <c r="D4" s="596"/>
      <c r="E4" s="596">
        <v>24</v>
      </c>
      <c r="F4" s="597"/>
      <c r="G4" s="685"/>
      <c r="H4" s="619"/>
      <c r="I4" s="848" t="s">
        <v>328</v>
      </c>
      <c r="J4" s="687"/>
      <c r="K4" s="622"/>
      <c r="L4" s="572"/>
      <c r="M4" s="6"/>
      <c r="N4" s="6"/>
      <c r="O4" s="613"/>
      <c r="P4" s="614"/>
      <c r="Q4" s="619"/>
      <c r="R4" s="1020"/>
      <c r="S4" s="613"/>
      <c r="T4" s="622"/>
      <c r="U4" s="572"/>
      <c r="V4" s="605"/>
      <c r="W4" s="6">
        <v>19</v>
      </c>
      <c r="X4" s="613"/>
      <c r="Y4" s="1018"/>
      <c r="Z4" s="619"/>
      <c r="AA4" s="698" t="s">
        <v>152</v>
      </c>
      <c r="AB4" s="722"/>
      <c r="AC4" s="622"/>
      <c r="AD4" s="572"/>
      <c r="AE4" s="6"/>
      <c r="AF4" s="6"/>
      <c r="AG4" s="613"/>
      <c r="AH4" s="614"/>
      <c r="AI4" s="619"/>
      <c r="AJ4" s="6"/>
      <c r="AK4" s="613"/>
      <c r="AM4" s="572"/>
      <c r="AN4" s="6"/>
      <c r="AO4" s="6"/>
      <c r="AP4" s="50"/>
      <c r="AQ4" s="613"/>
      <c r="AR4" s="614"/>
      <c r="AS4" s="620"/>
      <c r="AT4" s="6"/>
      <c r="AU4" s="50"/>
      <c r="AV4" s="613"/>
    </row>
    <row r="5" spans="1:48" ht="60" customHeight="1" x14ac:dyDescent="0.25">
      <c r="A5" s="2206">
        <v>45232</v>
      </c>
      <c r="B5" s="574">
        <v>1</v>
      </c>
      <c r="C5" s="595"/>
      <c r="D5" s="596"/>
      <c r="E5" s="596">
        <v>25</v>
      </c>
      <c r="F5" s="597"/>
      <c r="G5" s="685"/>
      <c r="H5" s="619"/>
      <c r="I5" s="848" t="s">
        <v>328</v>
      </c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>
        <v>6</v>
      </c>
      <c r="X5" s="613"/>
      <c r="Y5" s="1018"/>
      <c r="Z5" s="6"/>
      <c r="AA5" s="698" t="s">
        <v>325</v>
      </c>
      <c r="AB5" s="723"/>
      <c r="AC5" s="622"/>
      <c r="AD5" s="572"/>
      <c r="AE5" s="6"/>
      <c r="AF5" s="6">
        <v>35</v>
      </c>
      <c r="AG5" s="613"/>
      <c r="AH5" s="614"/>
      <c r="AI5" s="6"/>
      <c r="AJ5" s="1036" t="s">
        <v>769</v>
      </c>
      <c r="AK5" s="613"/>
      <c r="AM5" s="572">
        <v>450</v>
      </c>
      <c r="AN5" s="6"/>
      <c r="AO5" s="6">
        <v>245</v>
      </c>
      <c r="AP5" s="50"/>
      <c r="AQ5" s="613"/>
      <c r="AR5" s="614" t="s">
        <v>766</v>
      </c>
      <c r="AS5" s="6"/>
      <c r="AT5" s="605" t="s">
        <v>768</v>
      </c>
      <c r="AU5" s="828"/>
      <c r="AV5" s="634"/>
    </row>
    <row r="6" spans="1:48" ht="80.45" customHeight="1" x14ac:dyDescent="0.25">
      <c r="A6" s="2205"/>
      <c r="B6" s="574">
        <v>2</v>
      </c>
      <c r="C6" s="595"/>
      <c r="D6" s="596"/>
      <c r="E6" s="596">
        <v>7</v>
      </c>
      <c r="F6" s="597"/>
      <c r="G6" s="685"/>
      <c r="H6" s="619"/>
      <c r="I6" s="848" t="s">
        <v>152</v>
      </c>
      <c r="J6" s="687"/>
      <c r="K6" s="622"/>
      <c r="L6" s="572"/>
      <c r="M6" s="6"/>
      <c r="N6" s="6"/>
      <c r="O6" s="613"/>
      <c r="P6" s="614"/>
      <c r="Q6" s="619"/>
      <c r="R6" s="6"/>
      <c r="S6" s="613"/>
      <c r="T6" s="622"/>
      <c r="U6" s="572"/>
      <c r="V6" s="6"/>
      <c r="W6" s="6">
        <v>33</v>
      </c>
      <c r="X6" s="613"/>
      <c r="Y6" s="1018"/>
      <c r="Z6" s="6"/>
      <c r="AA6" s="698" t="s">
        <v>770</v>
      </c>
      <c r="AB6" s="613"/>
      <c r="AC6" s="622"/>
      <c r="AD6" s="572"/>
      <c r="AE6" s="6"/>
      <c r="AF6" s="6">
        <v>15</v>
      </c>
      <c r="AG6" s="613"/>
      <c r="AH6" s="614"/>
      <c r="AI6" s="6"/>
      <c r="AJ6" s="6" t="s">
        <v>401</v>
      </c>
      <c r="AK6" s="613"/>
      <c r="AM6" s="572">
        <v>720</v>
      </c>
      <c r="AN6" s="6"/>
      <c r="AO6" s="6"/>
      <c r="AP6" s="50"/>
      <c r="AQ6" s="613"/>
      <c r="AR6" s="614" t="s">
        <v>766</v>
      </c>
      <c r="AS6" s="6"/>
      <c r="AT6" s="605"/>
      <c r="AU6" s="828"/>
      <c r="AV6" s="634"/>
    </row>
    <row r="7" spans="1:48" ht="71.45" customHeight="1" x14ac:dyDescent="0.25">
      <c r="A7" s="2206">
        <v>45233</v>
      </c>
      <c r="B7" s="574">
        <v>1</v>
      </c>
      <c r="C7" s="595"/>
      <c r="D7" s="596"/>
      <c r="E7" s="596">
        <v>28</v>
      </c>
      <c r="F7" s="597"/>
      <c r="G7" s="685"/>
      <c r="H7" s="1010"/>
      <c r="I7" s="848" t="s">
        <v>152</v>
      </c>
      <c r="J7" s="687"/>
      <c r="K7" s="622"/>
      <c r="L7" s="572"/>
      <c r="M7" s="614"/>
      <c r="N7" s="6"/>
      <c r="O7" s="613"/>
      <c r="P7" s="614"/>
      <c r="Q7" s="1010"/>
      <c r="R7" s="6"/>
      <c r="S7" s="613"/>
      <c r="T7" s="622"/>
      <c r="U7" s="572"/>
      <c r="V7" s="6"/>
      <c r="W7" s="6">
        <v>18</v>
      </c>
      <c r="X7" s="613"/>
      <c r="Y7" s="614"/>
      <c r="Z7" s="1010"/>
      <c r="AA7" s="698" t="s">
        <v>152</v>
      </c>
      <c r="AB7" s="613"/>
      <c r="AC7" s="622"/>
      <c r="AD7" s="572"/>
      <c r="AE7" s="6"/>
      <c r="AF7" s="6"/>
      <c r="AG7" s="613"/>
      <c r="AH7" s="614"/>
      <c r="AI7" s="1010"/>
      <c r="AJ7" s="6"/>
      <c r="AK7" s="613"/>
      <c r="AM7" s="572">
        <v>720</v>
      </c>
      <c r="AN7" s="6"/>
      <c r="AO7" s="6"/>
      <c r="AP7" s="50"/>
      <c r="AQ7" s="613"/>
      <c r="AR7" s="614" t="s">
        <v>766</v>
      </c>
      <c r="AS7" s="1010"/>
      <c r="AT7" s="620"/>
      <c r="AU7" s="692"/>
      <c r="AV7" s="634"/>
    </row>
    <row r="8" spans="1:48" ht="69.599999999999994" customHeight="1" x14ac:dyDescent="0.25">
      <c r="A8" s="2205"/>
      <c r="B8" s="574">
        <v>2</v>
      </c>
      <c r="C8" s="595"/>
      <c r="D8" s="596"/>
      <c r="E8" s="596">
        <v>15</v>
      </c>
      <c r="F8" s="597"/>
      <c r="G8" s="684"/>
      <c r="H8" s="620"/>
      <c r="I8" s="848" t="s">
        <v>152</v>
      </c>
      <c r="J8" s="635"/>
      <c r="K8" s="622"/>
      <c r="L8" s="572"/>
      <c r="M8" s="6"/>
      <c r="N8" s="6"/>
      <c r="O8" s="613"/>
      <c r="P8" s="1018"/>
      <c r="Q8" s="605"/>
      <c r="R8" s="605"/>
      <c r="S8" s="635"/>
      <c r="T8" s="622"/>
      <c r="U8" s="572"/>
      <c r="V8" s="831"/>
      <c r="W8" s="614">
        <v>30</v>
      </c>
      <c r="X8" s="613"/>
      <c r="Y8" s="1018"/>
      <c r="Z8" s="6"/>
      <c r="AA8" s="698" t="s">
        <v>152</v>
      </c>
      <c r="AB8" s="635"/>
      <c r="AC8" s="622"/>
      <c r="AD8" s="572"/>
      <c r="AE8" s="6"/>
      <c r="AF8" s="6"/>
      <c r="AG8" s="613"/>
      <c r="AH8" s="614"/>
      <c r="AI8" s="605"/>
      <c r="AJ8" s="620"/>
      <c r="AK8" s="635"/>
      <c r="AM8" s="572">
        <v>720</v>
      </c>
      <c r="AN8" s="6"/>
      <c r="AO8" s="6"/>
      <c r="AP8" s="50"/>
      <c r="AQ8" s="613"/>
      <c r="AR8" s="614" t="s">
        <v>766</v>
      </c>
      <c r="AS8" s="6"/>
      <c r="AT8" s="6"/>
      <c r="AU8" s="50"/>
      <c r="AV8" s="634"/>
    </row>
    <row r="9" spans="1:48" ht="76.900000000000006" customHeight="1" x14ac:dyDescent="0.25">
      <c r="A9" s="2206">
        <v>45234</v>
      </c>
      <c r="B9" s="574">
        <v>1</v>
      </c>
      <c r="C9" s="595"/>
      <c r="D9" s="596"/>
      <c r="E9" s="596">
        <v>19</v>
      </c>
      <c r="F9" s="597"/>
      <c r="G9" s="684"/>
      <c r="H9" s="619"/>
      <c r="I9" s="848" t="s">
        <v>152</v>
      </c>
      <c r="J9" s="635"/>
      <c r="K9" s="622"/>
      <c r="L9" s="572"/>
      <c r="M9" s="6"/>
      <c r="N9" s="6"/>
      <c r="O9" s="613"/>
      <c r="P9" s="1018"/>
      <c r="Q9" s="620"/>
      <c r="R9" s="605"/>
      <c r="S9" s="635"/>
      <c r="T9" s="622"/>
      <c r="U9" s="572"/>
      <c r="V9" s="6"/>
      <c r="W9" s="6">
        <v>32</v>
      </c>
      <c r="X9" s="613"/>
      <c r="Y9" s="614"/>
      <c r="Z9" s="6"/>
      <c r="AA9" s="698" t="s">
        <v>152</v>
      </c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>
        <v>88</v>
      </c>
      <c r="AN9" s="6"/>
      <c r="AO9" s="6">
        <v>632</v>
      </c>
      <c r="AP9" s="50"/>
      <c r="AQ9" s="613"/>
      <c r="AR9" s="614" t="s">
        <v>766</v>
      </c>
      <c r="AS9" s="6"/>
      <c r="AT9" s="6" t="s">
        <v>649</v>
      </c>
      <c r="AU9" s="828"/>
      <c r="AV9" s="634"/>
    </row>
    <row r="10" spans="1:48" ht="67.150000000000006" customHeight="1" x14ac:dyDescent="0.25">
      <c r="A10" s="2205"/>
      <c r="B10" s="574">
        <v>2</v>
      </c>
      <c r="C10" s="595"/>
      <c r="D10" s="596">
        <v>15</v>
      </c>
      <c r="E10" s="596">
        <v>48</v>
      </c>
      <c r="F10" s="597"/>
      <c r="G10" s="685"/>
      <c r="H10" s="619" t="s">
        <v>276</v>
      </c>
      <c r="I10" s="848" t="s">
        <v>152</v>
      </c>
      <c r="J10" s="635"/>
      <c r="K10" s="622"/>
      <c r="L10" s="572"/>
      <c r="M10" s="6">
        <v>118</v>
      </c>
      <c r="N10" s="6"/>
      <c r="O10" s="613"/>
      <c r="P10" s="1018"/>
      <c r="Q10" s="6" t="s">
        <v>96</v>
      </c>
      <c r="R10" s="605"/>
      <c r="S10" s="635"/>
      <c r="T10" s="622"/>
      <c r="U10" s="572"/>
      <c r="V10" s="6"/>
      <c r="W10" s="6">
        <v>15</v>
      </c>
      <c r="X10" s="613"/>
      <c r="Y10" s="567"/>
      <c r="Z10" s="1018"/>
      <c r="AA10" s="698" t="s">
        <v>152</v>
      </c>
      <c r="AB10" s="635"/>
      <c r="AC10" s="622"/>
      <c r="AD10" s="572"/>
      <c r="AE10" s="6"/>
      <c r="AF10" s="6"/>
      <c r="AG10" s="613"/>
      <c r="AH10" s="1018"/>
      <c r="AI10" s="605"/>
      <c r="AJ10" s="6"/>
      <c r="AK10" s="635"/>
      <c r="AM10" s="572"/>
      <c r="AN10" s="6"/>
      <c r="AO10" s="6">
        <v>253</v>
      </c>
      <c r="AP10" s="50"/>
      <c r="AQ10" s="613"/>
      <c r="AR10" s="614"/>
      <c r="AS10" s="6"/>
      <c r="AT10" s="605" t="s">
        <v>771</v>
      </c>
      <c r="AU10" s="50"/>
      <c r="AV10" s="634"/>
    </row>
    <row r="11" spans="1:48" ht="60" customHeight="1" x14ac:dyDescent="0.25">
      <c r="A11" s="2206">
        <v>45235</v>
      </c>
      <c r="B11" s="574">
        <v>1</v>
      </c>
      <c r="C11" s="595"/>
      <c r="D11" s="596"/>
      <c r="E11" s="596"/>
      <c r="F11" s="597"/>
      <c r="G11" s="684"/>
      <c r="H11" s="619"/>
      <c r="I11" s="620"/>
      <c r="J11" s="687"/>
      <c r="K11" s="622"/>
      <c r="L11" s="572"/>
      <c r="M11" s="6"/>
      <c r="N11" s="6"/>
      <c r="O11" s="613"/>
      <c r="P11" s="1018"/>
      <c r="Q11" s="6"/>
      <c r="R11" s="605"/>
      <c r="S11" s="613"/>
      <c r="T11" s="622"/>
      <c r="U11" s="572"/>
      <c r="V11" s="6"/>
      <c r="W11" s="6">
        <v>49</v>
      </c>
      <c r="X11" s="613"/>
      <c r="Y11" s="614"/>
      <c r="Z11" s="6"/>
      <c r="AA11" s="698" t="s">
        <v>152</v>
      </c>
      <c r="AB11" s="613"/>
      <c r="AC11" s="622"/>
      <c r="AD11" s="572"/>
      <c r="AE11" s="6"/>
      <c r="AF11" s="6">
        <v>25</v>
      </c>
      <c r="AG11" s="613"/>
      <c r="AH11" s="614"/>
      <c r="AI11" s="6"/>
      <c r="AJ11" s="605" t="s">
        <v>772</v>
      </c>
      <c r="AK11" s="613"/>
      <c r="AM11" s="572"/>
      <c r="AN11" s="6"/>
      <c r="AO11" s="6"/>
      <c r="AP11" s="50"/>
      <c r="AQ11" s="613"/>
      <c r="AR11" s="614"/>
      <c r="AS11" s="6"/>
      <c r="AT11" s="6"/>
      <c r="AU11" s="50"/>
      <c r="AV11" s="634"/>
    </row>
    <row r="12" spans="1:48" ht="55.15" customHeight="1" x14ac:dyDescent="0.25">
      <c r="A12" s="2205"/>
      <c r="B12" s="574">
        <v>2</v>
      </c>
      <c r="C12" s="595"/>
      <c r="D12" s="596"/>
      <c r="E12" s="596">
        <v>26</v>
      </c>
      <c r="F12" s="597"/>
      <c r="G12" s="685"/>
      <c r="H12" s="619"/>
      <c r="I12" s="848" t="s">
        <v>152</v>
      </c>
      <c r="J12" s="635"/>
      <c r="K12" s="622"/>
      <c r="L12" s="572"/>
      <c r="M12" s="6"/>
      <c r="N12" s="6"/>
      <c r="O12" s="613"/>
      <c r="P12" s="1018"/>
      <c r="Q12" s="6"/>
      <c r="R12" s="605"/>
      <c r="S12" s="635"/>
      <c r="T12" s="622"/>
      <c r="U12" s="572"/>
      <c r="V12" s="6"/>
      <c r="W12" s="6"/>
      <c r="X12" s="613"/>
      <c r="Y12" s="614"/>
      <c r="Z12" s="6"/>
      <c r="AA12" s="698"/>
      <c r="AB12" s="635"/>
      <c r="AC12" s="622"/>
      <c r="AD12" s="572"/>
      <c r="AE12" s="6"/>
      <c r="AF12" s="6">
        <v>28</v>
      </c>
      <c r="AG12" s="613"/>
      <c r="AH12" s="614"/>
      <c r="AI12" s="605"/>
      <c r="AJ12" s="605" t="s">
        <v>773</v>
      </c>
      <c r="AK12" s="635"/>
      <c r="AM12" s="572"/>
      <c r="AN12" s="6"/>
      <c r="AO12" s="6"/>
      <c r="AP12" s="50"/>
      <c r="AQ12" s="613"/>
      <c r="AR12" s="614"/>
      <c r="AS12" s="6"/>
      <c r="AT12" s="6"/>
      <c r="AU12" s="50"/>
      <c r="AV12" s="635"/>
    </row>
    <row r="13" spans="1:48" ht="34.9" customHeight="1" x14ac:dyDescent="0.25">
      <c r="A13" s="2206">
        <v>45236</v>
      </c>
      <c r="B13" s="574">
        <v>1</v>
      </c>
      <c r="C13" s="595"/>
      <c r="D13" s="596"/>
      <c r="E13" s="596">
        <f>25+9+9</f>
        <v>43</v>
      </c>
      <c r="F13" s="597"/>
      <c r="G13" s="685"/>
      <c r="H13" s="619"/>
      <c r="I13" s="848" t="s">
        <v>328</v>
      </c>
      <c r="J13" s="635"/>
      <c r="K13" s="622"/>
      <c r="L13" s="572"/>
      <c r="M13" s="6"/>
      <c r="N13" s="6"/>
      <c r="O13" s="597"/>
      <c r="P13" s="1018"/>
      <c r="Q13" s="6"/>
      <c r="R13" s="605"/>
      <c r="S13" s="635"/>
      <c r="T13" s="622"/>
      <c r="U13" s="572"/>
      <c r="V13" s="6"/>
      <c r="W13" s="6">
        <v>25</v>
      </c>
      <c r="X13" s="597"/>
      <c r="Y13" s="1018"/>
      <c r="Z13" s="605"/>
      <c r="AA13" s="698" t="s">
        <v>328</v>
      </c>
      <c r="AB13" s="635"/>
      <c r="AC13" s="622"/>
      <c r="AD13" s="572"/>
      <c r="AE13" s="6"/>
      <c r="AF13" s="6">
        <v>26</v>
      </c>
      <c r="AG13" s="597"/>
      <c r="AH13" s="614"/>
      <c r="AI13" s="6"/>
      <c r="AJ13" s="698" t="s">
        <v>774</v>
      </c>
      <c r="AK13" s="635"/>
      <c r="AM13" s="572"/>
      <c r="AN13" s="6"/>
      <c r="AO13" s="6"/>
      <c r="AP13" s="50"/>
      <c r="AQ13" s="597"/>
      <c r="AR13" s="614"/>
      <c r="AS13" s="6"/>
      <c r="AT13" s="6"/>
      <c r="AU13" s="50"/>
      <c r="AV13" s="635"/>
    </row>
    <row r="14" spans="1:48" ht="49.15" customHeight="1" x14ac:dyDescent="0.25">
      <c r="A14" s="2205"/>
      <c r="B14" s="574">
        <v>2</v>
      </c>
      <c r="C14" s="595"/>
      <c r="D14" s="596"/>
      <c r="E14" s="596">
        <v>27</v>
      </c>
      <c r="F14" s="597"/>
      <c r="G14" s="685"/>
      <c r="H14" s="620"/>
      <c r="I14" s="848" t="s">
        <v>152</v>
      </c>
      <c r="J14" s="635"/>
      <c r="K14" s="622"/>
      <c r="L14" s="572"/>
      <c r="M14" s="6"/>
      <c r="N14" s="6"/>
      <c r="O14" s="597"/>
      <c r="P14" s="614"/>
      <c r="Q14" s="6"/>
      <c r="R14" s="6"/>
      <c r="S14" s="635"/>
      <c r="T14" s="622"/>
      <c r="U14" s="572"/>
      <c r="V14" s="6"/>
      <c r="W14" s="6">
        <v>17</v>
      </c>
      <c r="X14" s="597"/>
      <c r="Y14" s="1018"/>
      <c r="Z14" s="605"/>
      <c r="AA14" s="698" t="s">
        <v>328</v>
      </c>
      <c r="AB14" s="635"/>
      <c r="AC14" s="622"/>
      <c r="AD14" s="572"/>
      <c r="AE14" s="6"/>
      <c r="AF14" s="6">
        <v>20</v>
      </c>
      <c r="AG14" s="597"/>
      <c r="AH14" s="1018"/>
      <c r="AI14" s="6"/>
      <c r="AJ14" s="6" t="s">
        <v>325</v>
      </c>
      <c r="AK14" s="635"/>
      <c r="AM14" s="572"/>
      <c r="AN14" s="6"/>
      <c r="AO14" s="6"/>
      <c r="AP14" s="50"/>
      <c r="AQ14" s="597"/>
      <c r="AR14" s="1018"/>
      <c r="AS14" s="6"/>
      <c r="AT14" s="6"/>
      <c r="AU14" s="50"/>
      <c r="AV14" s="635"/>
    </row>
    <row r="15" spans="1:48" ht="48" customHeight="1" x14ac:dyDescent="0.25">
      <c r="A15" s="2206">
        <v>45237</v>
      </c>
      <c r="B15" s="574">
        <v>1</v>
      </c>
      <c r="C15" s="595"/>
      <c r="D15" s="596"/>
      <c r="E15" s="6">
        <v>30</v>
      </c>
      <c r="F15" s="597"/>
      <c r="G15" s="685"/>
      <c r="H15" s="620"/>
      <c r="I15" s="848" t="s">
        <v>328</v>
      </c>
      <c r="J15" s="635"/>
      <c r="K15" s="622"/>
      <c r="L15" s="572"/>
      <c r="M15" s="6"/>
      <c r="N15" s="6"/>
      <c r="O15" s="597"/>
      <c r="P15" s="685"/>
      <c r="Q15" s="620"/>
      <c r="R15" s="620"/>
      <c r="S15" s="635"/>
      <c r="T15" s="622"/>
      <c r="U15" s="572"/>
      <c r="V15" s="6"/>
      <c r="W15" s="6">
        <v>20</v>
      </c>
      <c r="X15" s="597"/>
      <c r="Y15" s="685"/>
      <c r="Z15" s="620"/>
      <c r="AA15" s="698" t="s">
        <v>328</v>
      </c>
      <c r="AB15" s="635"/>
      <c r="AC15" s="622"/>
      <c r="AD15" s="572"/>
      <c r="AE15" s="6"/>
      <c r="AF15" s="622">
        <v>10</v>
      </c>
      <c r="AG15" s="597"/>
      <c r="AH15" s="685"/>
      <c r="AI15" s="620"/>
      <c r="AJ15" s="620" t="s">
        <v>775</v>
      </c>
      <c r="AK15" s="635"/>
      <c r="AM15" s="572"/>
      <c r="AN15" s="6"/>
      <c r="AO15" s="622">
        <v>120</v>
      </c>
      <c r="AP15" s="597"/>
      <c r="AQ15" s="685"/>
      <c r="AR15" s="620"/>
      <c r="AS15" s="620"/>
      <c r="AT15" s="620" t="s">
        <v>401</v>
      </c>
      <c r="AU15" s="635"/>
      <c r="AV15" s="635"/>
    </row>
    <row r="16" spans="1:48" ht="54.6" customHeight="1" x14ac:dyDescent="0.25">
      <c r="A16" s="2205"/>
      <c r="B16" s="574">
        <v>2</v>
      </c>
      <c r="C16" s="595"/>
      <c r="D16" s="596"/>
      <c r="E16" s="596"/>
      <c r="F16" s="597"/>
      <c r="G16" s="684"/>
      <c r="H16" s="830"/>
      <c r="I16" s="848"/>
      <c r="J16" s="635"/>
      <c r="K16" s="622"/>
      <c r="L16" s="572"/>
      <c r="M16" s="6"/>
      <c r="N16" s="6"/>
      <c r="O16" s="597"/>
      <c r="P16" s="684"/>
      <c r="Q16" s="830"/>
      <c r="R16" s="620"/>
      <c r="S16" s="635"/>
      <c r="T16" s="622"/>
      <c r="U16" s="572"/>
      <c r="V16" s="6"/>
      <c r="W16" s="6"/>
      <c r="X16" s="597"/>
      <c r="Y16" s="684"/>
      <c r="Z16" s="830"/>
      <c r="AA16" s="620"/>
      <c r="AB16" s="635"/>
      <c r="AC16" s="622"/>
      <c r="AD16" s="572"/>
      <c r="AE16" s="6"/>
      <c r="AF16" s="6"/>
      <c r="AG16" s="597"/>
      <c r="AH16" s="685"/>
      <c r="AI16" s="830"/>
      <c r="AJ16" s="6"/>
      <c r="AK16" s="635"/>
      <c r="AM16" s="572"/>
      <c r="AN16" s="6"/>
      <c r="AO16" s="6">
        <v>600</v>
      </c>
      <c r="AP16" s="597"/>
      <c r="AQ16" s="684"/>
      <c r="AR16" s="830"/>
      <c r="AS16" s="620"/>
      <c r="AT16" s="620" t="s">
        <v>401</v>
      </c>
      <c r="AU16" s="692"/>
      <c r="AV16" s="635"/>
    </row>
    <row r="17" spans="1:48" ht="66" customHeight="1" x14ac:dyDescent="0.25">
      <c r="A17" s="2206">
        <v>45238</v>
      </c>
      <c r="B17" s="644">
        <v>1</v>
      </c>
      <c r="C17" s="595"/>
      <c r="D17" s="596"/>
      <c r="E17" s="596">
        <f>52+17</f>
        <v>69</v>
      </c>
      <c r="F17" s="597"/>
      <c r="G17" s="685"/>
      <c r="H17" s="619"/>
      <c r="I17" s="848" t="s">
        <v>152</v>
      </c>
      <c r="J17" s="635"/>
      <c r="K17" s="622"/>
      <c r="L17" s="572"/>
      <c r="M17" s="6"/>
      <c r="N17" s="6"/>
      <c r="O17" s="597"/>
      <c r="P17" s="685"/>
      <c r="Q17" s="619"/>
      <c r="R17" s="620"/>
      <c r="S17" s="635"/>
      <c r="T17" s="622"/>
      <c r="U17" s="572"/>
      <c r="V17" s="6"/>
      <c r="W17" s="6">
        <f>50+28</f>
        <v>78</v>
      </c>
      <c r="X17" s="597"/>
      <c r="Y17" s="685"/>
      <c r="Z17" s="619"/>
      <c r="AA17" s="698" t="s">
        <v>152</v>
      </c>
      <c r="AB17" s="635"/>
      <c r="AC17" s="622"/>
      <c r="AD17" s="572"/>
      <c r="AE17" s="6"/>
      <c r="AF17" s="6">
        <v>33</v>
      </c>
      <c r="AG17" s="597"/>
      <c r="AH17" s="685"/>
      <c r="AI17" s="619"/>
      <c r="AJ17" s="620" t="s">
        <v>776</v>
      </c>
      <c r="AK17" s="635"/>
      <c r="AM17" s="572"/>
      <c r="AN17" s="6"/>
      <c r="AO17" s="6">
        <v>272</v>
      </c>
      <c r="AP17" s="597"/>
      <c r="AQ17" s="685"/>
      <c r="AR17" s="619"/>
      <c r="AS17" s="620"/>
      <c r="AT17" s="620" t="s">
        <v>401</v>
      </c>
      <c r="AU17" s="635"/>
      <c r="AV17" s="635"/>
    </row>
    <row r="18" spans="1:48" ht="49.9" customHeight="1" x14ac:dyDescent="0.25">
      <c r="A18" s="2205"/>
      <c r="B18" s="574">
        <v>2</v>
      </c>
      <c r="C18" s="595"/>
      <c r="D18" s="596"/>
      <c r="E18" s="596">
        <v>58</v>
      </c>
      <c r="F18" s="597"/>
      <c r="G18" s="684"/>
      <c r="H18" s="830"/>
      <c r="I18" s="848" t="s">
        <v>152</v>
      </c>
      <c r="J18" s="635"/>
      <c r="K18" s="622"/>
      <c r="L18" s="572"/>
      <c r="M18" s="6"/>
      <c r="N18" s="6"/>
      <c r="O18" s="597"/>
      <c r="P18" s="684"/>
      <c r="Q18" s="620"/>
      <c r="R18" s="619"/>
      <c r="S18" s="635"/>
      <c r="T18" s="622"/>
      <c r="U18" s="572"/>
      <c r="V18" s="6"/>
      <c r="W18" s="6">
        <v>42</v>
      </c>
      <c r="X18" s="597"/>
      <c r="Y18" s="684"/>
      <c r="Z18" s="620"/>
      <c r="AA18" s="698" t="s">
        <v>152</v>
      </c>
      <c r="AB18" s="635"/>
      <c r="AC18" s="622"/>
      <c r="AD18" s="572"/>
      <c r="AE18" s="6"/>
      <c r="AF18" s="6"/>
      <c r="AG18" s="597"/>
      <c r="AH18" s="684"/>
      <c r="AI18" s="620"/>
      <c r="AJ18" s="619"/>
      <c r="AK18" s="635"/>
      <c r="AM18" s="572"/>
      <c r="AN18" s="6"/>
      <c r="AO18" s="6">
        <v>455</v>
      </c>
      <c r="AP18" s="50"/>
      <c r="AQ18" s="597"/>
      <c r="AR18" s="684"/>
      <c r="AS18" s="620"/>
      <c r="AT18" s="620" t="s">
        <v>401</v>
      </c>
      <c r="AU18" s="830"/>
      <c r="AV18" s="635"/>
    </row>
    <row r="19" spans="1:48" ht="33.6" customHeight="1" x14ac:dyDescent="0.25">
      <c r="A19" s="2206">
        <v>45239</v>
      </c>
      <c r="B19" s="574">
        <v>1</v>
      </c>
      <c r="C19" s="622"/>
      <c r="D19" s="596"/>
      <c r="E19" s="596">
        <v>38</v>
      </c>
      <c r="F19" s="597"/>
      <c r="G19" s="567"/>
      <c r="H19" s="6"/>
      <c r="I19" s="848" t="s">
        <v>152</v>
      </c>
      <c r="J19" s="635"/>
      <c r="K19" s="622"/>
      <c r="L19" s="572"/>
      <c r="M19" s="6"/>
      <c r="N19" s="6"/>
      <c r="O19" s="597"/>
      <c r="P19" s="572"/>
      <c r="Q19" s="6"/>
      <c r="R19" s="6"/>
      <c r="S19" s="635"/>
      <c r="T19" s="622"/>
      <c r="U19" s="572"/>
      <c r="V19" s="6"/>
      <c r="W19" s="6">
        <v>40</v>
      </c>
      <c r="X19" s="597"/>
      <c r="Y19" s="572"/>
      <c r="Z19" s="605"/>
      <c r="AA19" s="698" t="s">
        <v>152</v>
      </c>
      <c r="AB19" s="635"/>
      <c r="AC19" s="622"/>
      <c r="AD19" s="572"/>
      <c r="AE19" s="6"/>
      <c r="AF19" s="6"/>
      <c r="AG19" s="597"/>
      <c r="AH19" s="572"/>
      <c r="AI19" s="6"/>
      <c r="AJ19" s="698"/>
      <c r="AK19" s="635"/>
      <c r="AM19" s="572"/>
      <c r="AN19" s="6"/>
      <c r="AO19" s="6"/>
      <c r="AP19" s="50"/>
      <c r="AQ19" s="597"/>
      <c r="AR19" s="572"/>
      <c r="AS19" s="6"/>
      <c r="AT19" s="620"/>
      <c r="AU19" s="828"/>
      <c r="AV19" s="635"/>
    </row>
    <row r="20" spans="1:48" ht="31.15" customHeight="1" x14ac:dyDescent="0.25">
      <c r="A20" s="2205"/>
      <c r="B20" s="574">
        <v>2</v>
      </c>
      <c r="C20" s="595"/>
      <c r="D20" s="596"/>
      <c r="E20" s="596">
        <v>44</v>
      </c>
      <c r="F20" s="597"/>
      <c r="G20" s="567"/>
      <c r="H20" s="605"/>
      <c r="I20" s="848" t="s">
        <v>152</v>
      </c>
      <c r="J20" s="635"/>
      <c r="K20" s="622"/>
      <c r="L20" s="572"/>
      <c r="M20" s="6"/>
      <c r="N20" s="6"/>
      <c r="O20" s="597"/>
      <c r="P20" s="572"/>
      <c r="Q20" s="605"/>
      <c r="R20" s="724"/>
      <c r="S20" s="635"/>
      <c r="T20" s="622"/>
      <c r="U20" s="572"/>
      <c r="V20" s="250"/>
      <c r="W20" s="6">
        <v>25</v>
      </c>
      <c r="X20" s="597"/>
      <c r="Y20" s="572"/>
      <c r="Z20" s="605"/>
      <c r="AA20" s="698" t="s">
        <v>152</v>
      </c>
      <c r="AB20" s="635"/>
      <c r="AC20" s="622"/>
      <c r="AD20" s="572"/>
      <c r="AE20" s="6"/>
      <c r="AF20" s="6">
        <v>23</v>
      </c>
      <c r="AG20" s="597"/>
      <c r="AH20" s="572"/>
      <c r="AI20" s="605"/>
      <c r="AJ20" s="698" t="s">
        <v>152</v>
      </c>
      <c r="AK20" s="635"/>
      <c r="AM20" s="572"/>
      <c r="AN20" s="6"/>
      <c r="AO20" s="6">
        <v>13</v>
      </c>
      <c r="AP20" s="50"/>
      <c r="AQ20" s="597"/>
      <c r="AR20" s="572"/>
      <c r="AS20" s="605"/>
      <c r="AT20" s="605" t="s">
        <v>724</v>
      </c>
      <c r="AU20" s="69"/>
      <c r="AV20" s="635"/>
    </row>
    <row r="21" spans="1:48" ht="39.6" customHeight="1" x14ac:dyDescent="0.25">
      <c r="A21" s="2206">
        <v>45240</v>
      </c>
      <c r="B21" s="574">
        <v>1</v>
      </c>
      <c r="C21" s="595"/>
      <c r="D21" s="596"/>
      <c r="E21" s="596">
        <v>33</v>
      </c>
      <c r="F21" s="597"/>
      <c r="G21" s="688"/>
      <c r="H21" s="619"/>
      <c r="I21" s="848" t="s">
        <v>152</v>
      </c>
      <c r="J21" s="635"/>
      <c r="K21" s="622"/>
      <c r="L21" s="572"/>
      <c r="M21" s="6"/>
      <c r="N21" s="6"/>
      <c r="O21" s="597"/>
      <c r="P21" s="572"/>
      <c r="Q21" s="6"/>
      <c r="R21" s="6"/>
      <c r="S21" s="635"/>
      <c r="T21" s="622"/>
      <c r="U21" s="572"/>
      <c r="V21" s="6"/>
      <c r="W21" s="6">
        <v>56</v>
      </c>
      <c r="X21" s="597"/>
      <c r="Y21" s="567"/>
      <c r="Z21" s="6"/>
      <c r="AA21" s="698" t="s">
        <v>152</v>
      </c>
      <c r="AB21" s="635"/>
      <c r="AC21" s="622"/>
      <c r="AD21" s="572"/>
      <c r="AE21" s="6"/>
      <c r="AF21" s="6"/>
      <c r="AG21" s="597"/>
      <c r="AH21" s="572"/>
      <c r="AI21" s="6"/>
      <c r="AJ21" s="848"/>
      <c r="AK21" s="726"/>
      <c r="AM21" s="572"/>
      <c r="AN21" s="6"/>
      <c r="AO21" s="6"/>
      <c r="AP21" s="50"/>
      <c r="AQ21" s="597"/>
      <c r="AR21" s="572"/>
      <c r="AS21" s="605"/>
      <c r="AT21" s="50"/>
      <c r="AU21" s="50"/>
      <c r="AV21" s="635"/>
    </row>
    <row r="22" spans="1:48" ht="31.9" customHeight="1" x14ac:dyDescent="0.25">
      <c r="A22" s="2205"/>
      <c r="B22" s="574">
        <v>2</v>
      </c>
      <c r="C22" s="595"/>
      <c r="D22" s="596"/>
      <c r="E22" s="596">
        <v>34</v>
      </c>
      <c r="F22" s="597"/>
      <c r="G22" s="1016"/>
      <c r="H22" s="620"/>
      <c r="I22" s="848" t="s">
        <v>152</v>
      </c>
      <c r="J22" s="635"/>
      <c r="K22" s="622"/>
      <c r="L22" s="572"/>
      <c r="M22" s="6"/>
      <c r="N22" s="6"/>
      <c r="O22" s="597"/>
      <c r="P22" s="1018"/>
      <c r="Q22" s="6"/>
      <c r="R22" s="6"/>
      <c r="S22" s="635"/>
      <c r="T22" s="622"/>
      <c r="U22" s="572"/>
      <c r="V22" s="6"/>
      <c r="W22" s="6">
        <v>37</v>
      </c>
      <c r="X22" s="597"/>
      <c r="Y22" s="567"/>
      <c r="Z22" s="6"/>
      <c r="AA22" s="698" t="s">
        <v>152</v>
      </c>
      <c r="AB22" s="635"/>
      <c r="AC22" s="622"/>
      <c r="AD22" s="572"/>
      <c r="AE22" s="6"/>
      <c r="AF22" s="6">
        <v>12</v>
      </c>
      <c r="AG22" s="597"/>
      <c r="AH22" s="567"/>
      <c r="AI22" s="6"/>
      <c r="AJ22" s="698" t="s">
        <v>152</v>
      </c>
      <c r="AK22" s="726"/>
      <c r="AM22" s="572"/>
      <c r="AN22" s="6"/>
      <c r="AO22" s="6"/>
      <c r="AP22" s="50"/>
      <c r="AQ22" s="597"/>
      <c r="AR22" s="572"/>
      <c r="AS22" s="605"/>
      <c r="AT22" s="50"/>
      <c r="AU22" s="50"/>
      <c r="AV22" s="635"/>
    </row>
    <row r="23" spans="1:48" ht="47.45" customHeight="1" x14ac:dyDescent="0.25">
      <c r="A23" s="2206">
        <v>45241</v>
      </c>
      <c r="B23" s="644">
        <v>1</v>
      </c>
      <c r="C23" s="595"/>
      <c r="D23" s="596"/>
      <c r="E23" s="596"/>
      <c r="F23" s="597"/>
      <c r="G23" s="685"/>
      <c r="H23" s="619"/>
      <c r="I23" s="620"/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/>
      <c r="V23" s="6"/>
      <c r="W23" s="6">
        <v>48</v>
      </c>
      <c r="X23" s="597"/>
      <c r="Y23" s="567"/>
      <c r="Z23" s="619"/>
      <c r="AA23" s="698" t="s">
        <v>152</v>
      </c>
      <c r="AB23" s="635"/>
      <c r="AC23" s="622"/>
      <c r="AD23" s="572"/>
      <c r="AE23" s="6"/>
      <c r="AF23" s="6">
        <v>55</v>
      </c>
      <c r="AG23" s="597"/>
      <c r="AH23" s="6"/>
      <c r="AI23" s="619"/>
      <c r="AJ23" s="620" t="s">
        <v>97</v>
      </c>
      <c r="AK23" s="726"/>
      <c r="AM23" s="572"/>
      <c r="AN23" s="6"/>
      <c r="AO23" s="6"/>
      <c r="AP23" s="50"/>
      <c r="AQ23" s="597"/>
      <c r="AR23" s="6"/>
      <c r="AS23" s="619"/>
      <c r="AT23" s="692"/>
      <c r="AU23" s="692"/>
      <c r="AV23" s="635"/>
    </row>
    <row r="24" spans="1:48" ht="49.9" customHeight="1" x14ac:dyDescent="0.25">
      <c r="A24" s="2205"/>
      <c r="B24" s="574">
        <v>2</v>
      </c>
      <c r="C24" s="595"/>
      <c r="D24" s="596"/>
      <c r="E24" s="596"/>
      <c r="F24" s="597"/>
      <c r="G24" s="685"/>
      <c r="H24" s="619"/>
      <c r="I24" s="620"/>
      <c r="J24" s="635"/>
      <c r="K24" s="622"/>
      <c r="L24" s="572"/>
      <c r="M24" s="6"/>
      <c r="N24" s="6"/>
      <c r="O24" s="597"/>
      <c r="P24" s="685"/>
      <c r="Q24" s="619"/>
      <c r="R24" s="620"/>
      <c r="S24" s="635"/>
      <c r="T24" s="622"/>
      <c r="U24" s="572"/>
      <c r="V24" s="6"/>
      <c r="W24" s="6">
        <v>22</v>
      </c>
      <c r="X24" s="597"/>
      <c r="Y24" s="685"/>
      <c r="Z24" s="619"/>
      <c r="AA24" s="698" t="s">
        <v>152</v>
      </c>
      <c r="AB24" s="635"/>
      <c r="AC24" s="622"/>
      <c r="AD24" s="572"/>
      <c r="AE24" s="6"/>
      <c r="AF24" s="6"/>
      <c r="AG24" s="597"/>
      <c r="AH24" s="685"/>
      <c r="AI24" s="619"/>
      <c r="AJ24" s="620"/>
      <c r="AK24" s="635"/>
      <c r="AM24" s="572"/>
      <c r="AN24" s="6"/>
      <c r="AO24" s="6"/>
      <c r="AP24" s="597"/>
      <c r="AQ24" s="685"/>
      <c r="AR24" s="619"/>
      <c r="AS24" s="619"/>
      <c r="AT24" s="635"/>
      <c r="AU24" s="635"/>
      <c r="AV24" s="635"/>
    </row>
    <row r="25" spans="1:48" ht="46.15" customHeight="1" x14ac:dyDescent="0.25">
      <c r="A25" s="2206">
        <v>45242</v>
      </c>
      <c r="B25" s="574">
        <v>1</v>
      </c>
      <c r="C25" s="595"/>
      <c r="D25" s="596"/>
      <c r="E25" s="596"/>
      <c r="F25" s="597"/>
      <c r="G25" s="685"/>
      <c r="H25" s="619"/>
      <c r="I25" s="848"/>
      <c r="J25" s="635"/>
      <c r="K25" s="622"/>
      <c r="L25" s="572"/>
      <c r="M25" s="6"/>
      <c r="N25" s="6"/>
      <c r="O25" s="597"/>
      <c r="P25" s="572"/>
      <c r="Q25" s="619"/>
      <c r="R25" s="6"/>
      <c r="S25" s="635"/>
      <c r="T25" s="622"/>
      <c r="U25" s="572"/>
      <c r="V25" s="6"/>
      <c r="W25" s="6"/>
      <c r="X25" s="597"/>
      <c r="Y25" s="567"/>
      <c r="Z25" s="605"/>
      <c r="AA25" s="620"/>
      <c r="AB25" s="635"/>
      <c r="AC25" s="622"/>
      <c r="AD25" s="572"/>
      <c r="AE25" s="6">
        <v>53</v>
      </c>
      <c r="AF25" s="6">
        <v>35</v>
      </c>
      <c r="AG25" s="597"/>
      <c r="AH25" s="6"/>
      <c r="AI25" s="605" t="s">
        <v>317</v>
      </c>
      <c r="AJ25" s="620" t="s">
        <v>97</v>
      </c>
      <c r="AK25" s="726"/>
      <c r="AM25" s="572"/>
      <c r="AN25" s="6"/>
      <c r="AO25" s="6"/>
      <c r="AP25" s="50"/>
      <c r="AQ25" s="597"/>
      <c r="AR25" s="6"/>
      <c r="AS25" s="6"/>
      <c r="AT25" s="50"/>
      <c r="AU25" s="50"/>
      <c r="AV25" s="635"/>
    </row>
    <row r="26" spans="1:48" ht="42" customHeight="1" x14ac:dyDescent="0.25">
      <c r="A26" s="2205"/>
      <c r="B26" s="574">
        <v>2</v>
      </c>
      <c r="C26" s="595"/>
      <c r="D26" s="596"/>
      <c r="E26" s="596">
        <v>16</v>
      </c>
      <c r="F26" s="597"/>
      <c r="G26" s="685"/>
      <c r="H26" s="620"/>
      <c r="I26" s="848" t="s">
        <v>152</v>
      </c>
      <c r="J26" s="635"/>
      <c r="K26" s="622"/>
      <c r="L26" s="572"/>
      <c r="M26" s="6"/>
      <c r="N26" s="6"/>
      <c r="O26" s="597"/>
      <c r="P26" s="685"/>
      <c r="Q26" s="620"/>
      <c r="R26" s="692"/>
      <c r="S26" s="635"/>
      <c r="T26" s="622"/>
      <c r="U26" s="572"/>
      <c r="V26" s="596"/>
      <c r="W26" s="6">
        <v>54</v>
      </c>
      <c r="X26" s="597"/>
      <c r="Y26" s="685"/>
      <c r="Z26" s="620"/>
      <c r="AA26" s="698" t="s">
        <v>152</v>
      </c>
      <c r="AB26" s="635"/>
      <c r="AC26" s="622"/>
      <c r="AD26" s="572">
        <v>521</v>
      </c>
      <c r="AE26" s="596"/>
      <c r="AF26" s="6">
        <v>199</v>
      </c>
      <c r="AG26" s="597"/>
      <c r="AH26" s="685" t="s">
        <v>444</v>
      </c>
      <c r="AI26" s="620"/>
      <c r="AJ26" s="692" t="s">
        <v>768</v>
      </c>
      <c r="AK26" s="635"/>
      <c r="AM26" s="572"/>
      <c r="AN26" s="596"/>
      <c r="AO26" s="6">
        <v>10</v>
      </c>
      <c r="AP26" s="967"/>
      <c r="AQ26" s="597"/>
      <c r="AR26" s="685"/>
      <c r="AS26" s="620"/>
      <c r="AT26" s="692" t="s">
        <v>152</v>
      </c>
      <c r="AU26" s="635"/>
      <c r="AV26" s="635"/>
    </row>
    <row r="27" spans="1:48" ht="49.9" customHeight="1" x14ac:dyDescent="0.25">
      <c r="A27" s="2206">
        <v>45243</v>
      </c>
      <c r="B27" s="644">
        <v>1</v>
      </c>
      <c r="C27" s="595"/>
      <c r="D27" s="596"/>
      <c r="E27" s="596"/>
      <c r="F27" s="597"/>
      <c r="G27" s="685"/>
      <c r="H27" s="619"/>
      <c r="I27" s="692"/>
      <c r="J27" s="635"/>
      <c r="K27" s="622"/>
      <c r="L27" s="572"/>
      <c r="M27" s="6"/>
      <c r="N27" s="6"/>
      <c r="O27" s="597"/>
      <c r="P27" s="685"/>
      <c r="Q27" s="619"/>
      <c r="R27" s="620"/>
      <c r="S27" s="635"/>
      <c r="T27" s="622"/>
      <c r="U27" s="572"/>
      <c r="V27" s="6"/>
      <c r="W27" s="6"/>
      <c r="X27" s="597"/>
      <c r="Y27" s="685"/>
      <c r="Z27" s="619"/>
      <c r="AA27" s="620"/>
      <c r="AB27" s="635"/>
      <c r="AC27" s="622"/>
      <c r="AD27" s="572">
        <v>720</v>
      </c>
      <c r="AE27" s="6"/>
      <c r="AF27" s="6"/>
      <c r="AG27" s="597"/>
      <c r="AH27" s="685" t="s">
        <v>444</v>
      </c>
      <c r="AI27" s="6"/>
      <c r="AJ27" s="620"/>
      <c r="AK27" s="635"/>
      <c r="AM27" s="572"/>
      <c r="AN27" s="6"/>
      <c r="AO27" s="6"/>
      <c r="AP27" s="50"/>
      <c r="AQ27" s="597"/>
      <c r="AR27" s="6"/>
      <c r="AS27" s="6"/>
      <c r="AT27" s="692"/>
      <c r="AU27" s="635"/>
      <c r="AV27" s="635"/>
    </row>
    <row r="28" spans="1:48" ht="72" customHeight="1" x14ac:dyDescent="0.25">
      <c r="A28" s="2205"/>
      <c r="B28" s="574">
        <v>2</v>
      </c>
      <c r="C28" s="595"/>
      <c r="D28" s="596"/>
      <c r="E28" s="596">
        <v>24</v>
      </c>
      <c r="F28" s="597"/>
      <c r="G28" s="620"/>
      <c r="H28" s="620"/>
      <c r="I28" s="848" t="s">
        <v>152</v>
      </c>
      <c r="J28" s="635"/>
      <c r="K28" s="622"/>
      <c r="L28" s="572"/>
      <c r="M28" s="6"/>
      <c r="N28" s="6"/>
      <c r="O28" s="597"/>
      <c r="P28" s="620"/>
      <c r="Q28" s="620"/>
      <c r="R28" s="620"/>
      <c r="S28" s="635"/>
      <c r="T28" s="622"/>
      <c r="U28" s="572"/>
      <c r="V28" s="6"/>
      <c r="W28" s="622">
        <v>57</v>
      </c>
      <c r="X28" s="597"/>
      <c r="Y28" s="620"/>
      <c r="Z28" s="6"/>
      <c r="AA28" s="698" t="s">
        <v>152</v>
      </c>
      <c r="AB28" s="635"/>
      <c r="AC28" s="622"/>
      <c r="AD28" s="572">
        <v>720</v>
      </c>
      <c r="AE28" s="6"/>
      <c r="AF28" s="6"/>
      <c r="AG28" s="597"/>
      <c r="AH28" s="685" t="s">
        <v>444</v>
      </c>
      <c r="AI28" s="6"/>
      <c r="AJ28" s="692"/>
      <c r="AK28" s="635"/>
      <c r="AM28" s="572"/>
      <c r="AN28" s="6"/>
      <c r="AO28" s="6">
        <v>18</v>
      </c>
      <c r="AP28" s="50"/>
      <c r="AQ28" s="597"/>
      <c r="AR28" s="605"/>
      <c r="AS28" s="6"/>
      <c r="AT28" s="692" t="s">
        <v>737</v>
      </c>
      <c r="AU28" s="635"/>
      <c r="AV28" s="634"/>
    </row>
    <row r="29" spans="1:48" ht="66" customHeight="1" x14ac:dyDescent="0.25">
      <c r="A29" s="2206">
        <v>45244</v>
      </c>
      <c r="B29" s="574">
        <v>1</v>
      </c>
      <c r="C29" s="595"/>
      <c r="D29" s="596"/>
      <c r="E29" s="596">
        <v>15</v>
      </c>
      <c r="F29" s="597"/>
      <c r="G29" s="620"/>
      <c r="H29" s="619"/>
      <c r="I29" s="848" t="s">
        <v>152</v>
      </c>
      <c r="J29" s="635"/>
      <c r="K29" s="622"/>
      <c r="L29" s="572"/>
      <c r="M29" s="6"/>
      <c r="N29" s="6"/>
      <c r="O29" s="597"/>
      <c r="P29" s="685"/>
      <c r="Q29" s="619"/>
      <c r="R29" s="620"/>
      <c r="S29" s="635"/>
      <c r="T29" s="622"/>
      <c r="U29" s="572"/>
      <c r="V29" s="6"/>
      <c r="W29" s="6">
        <v>23</v>
      </c>
      <c r="X29" s="597"/>
      <c r="Y29" s="620"/>
      <c r="Z29" s="619"/>
      <c r="AA29" s="698" t="s">
        <v>152</v>
      </c>
      <c r="AB29" s="635"/>
      <c r="AC29" s="622"/>
      <c r="AD29" s="572">
        <v>720</v>
      </c>
      <c r="AE29" s="6"/>
      <c r="AF29" s="6"/>
      <c r="AG29" s="597"/>
      <c r="AH29" s="685" t="s">
        <v>444</v>
      </c>
      <c r="AI29" s="619"/>
      <c r="AJ29" s="620"/>
      <c r="AK29" s="635"/>
      <c r="AM29" s="572"/>
      <c r="AN29" s="6"/>
      <c r="AO29" s="6"/>
      <c r="AP29" s="50"/>
      <c r="AQ29" s="597"/>
      <c r="AR29" s="685"/>
      <c r="AS29" s="619"/>
      <c r="AT29" s="620"/>
      <c r="AU29" s="635"/>
      <c r="AV29" s="613"/>
    </row>
    <row r="30" spans="1:48" ht="39.6" customHeight="1" x14ac:dyDescent="0.25">
      <c r="A30" s="2205"/>
      <c r="B30" s="644">
        <v>2</v>
      </c>
      <c r="C30" s="595"/>
      <c r="D30" s="596"/>
      <c r="E30" s="596">
        <v>30</v>
      </c>
      <c r="F30" s="597"/>
      <c r="G30" s="685"/>
      <c r="H30" s="619"/>
      <c r="I30" s="848" t="s">
        <v>152</v>
      </c>
      <c r="J30" s="635"/>
      <c r="K30" s="622"/>
      <c r="L30" s="572"/>
      <c r="M30" s="6"/>
      <c r="N30" s="6"/>
      <c r="O30" s="597"/>
      <c r="P30" s="685"/>
      <c r="Q30" s="620"/>
      <c r="R30" s="620"/>
      <c r="S30" s="635"/>
      <c r="T30" s="622"/>
      <c r="U30" s="572"/>
      <c r="V30" s="6"/>
      <c r="W30" s="6">
        <v>71</v>
      </c>
      <c r="X30" s="597"/>
      <c r="Y30" s="685"/>
      <c r="Z30" s="619"/>
      <c r="AA30" s="698" t="s">
        <v>152</v>
      </c>
      <c r="AB30" s="635"/>
      <c r="AC30" s="622"/>
      <c r="AD30" s="572">
        <v>720</v>
      </c>
      <c r="AE30" s="6"/>
      <c r="AF30" s="6"/>
      <c r="AG30" s="597"/>
      <c r="AH30" s="685" t="s">
        <v>444</v>
      </c>
      <c r="AI30" s="620"/>
      <c r="AJ30" s="620"/>
      <c r="AK30" s="635"/>
      <c r="AM30" s="572"/>
      <c r="AN30" s="6"/>
      <c r="AO30" s="6"/>
      <c r="AP30" s="50"/>
      <c r="AQ30" s="597"/>
      <c r="AR30" s="614"/>
      <c r="AS30" s="605"/>
      <c r="AT30" s="828"/>
      <c r="AU30" s="635"/>
      <c r="AV30" s="613"/>
    </row>
    <row r="31" spans="1:48" ht="39.6" customHeight="1" x14ac:dyDescent="0.25">
      <c r="A31" s="2206">
        <v>45245</v>
      </c>
      <c r="B31" s="574">
        <v>1</v>
      </c>
      <c r="C31" s="595"/>
      <c r="D31" s="596"/>
      <c r="E31" s="596">
        <v>37</v>
      </c>
      <c r="F31" s="597"/>
      <c r="G31" s="685"/>
      <c r="H31" s="619"/>
      <c r="I31" s="848" t="s">
        <v>152</v>
      </c>
      <c r="J31" s="635"/>
      <c r="K31" s="622"/>
      <c r="L31" s="572"/>
      <c r="M31" s="6"/>
      <c r="N31" s="6"/>
      <c r="O31" s="597"/>
      <c r="P31" s="614"/>
      <c r="Q31" s="6"/>
      <c r="R31" s="6"/>
      <c r="S31" s="635"/>
      <c r="T31" s="622"/>
      <c r="U31" s="572"/>
      <c r="V31" s="6"/>
      <c r="W31" s="6">
        <v>86</v>
      </c>
      <c r="X31" s="597"/>
      <c r="Y31" s="1018"/>
      <c r="Z31" s="6"/>
      <c r="AA31" s="698" t="s">
        <v>152</v>
      </c>
      <c r="AB31" s="635"/>
      <c r="AC31" s="622"/>
      <c r="AD31" s="572">
        <v>150</v>
      </c>
      <c r="AE31" s="6"/>
      <c r="AF31" s="6">
        <v>570</v>
      </c>
      <c r="AG31" s="597"/>
      <c r="AH31" s="685" t="s">
        <v>444</v>
      </c>
      <c r="AI31" s="6"/>
      <c r="AJ31" s="6" t="s">
        <v>443</v>
      </c>
      <c r="AK31" s="635"/>
      <c r="AM31" s="572"/>
      <c r="AN31" s="6"/>
      <c r="AO31" s="6"/>
      <c r="AP31" s="50"/>
      <c r="AQ31" s="597"/>
      <c r="AR31" s="614"/>
      <c r="AS31" s="6"/>
      <c r="AT31" s="6"/>
      <c r="AU31" s="635"/>
      <c r="AV31" s="635"/>
    </row>
    <row r="32" spans="1:48" ht="63" customHeight="1" x14ac:dyDescent="0.25">
      <c r="A32" s="2205"/>
      <c r="B32" s="574">
        <v>2</v>
      </c>
      <c r="C32" s="595"/>
      <c r="D32" s="596"/>
      <c r="E32" s="596">
        <v>47</v>
      </c>
      <c r="F32" s="597"/>
      <c r="G32" s="685"/>
      <c r="H32" s="685"/>
      <c r="I32" s="848" t="s">
        <v>152</v>
      </c>
      <c r="J32" s="635"/>
      <c r="K32" s="622"/>
      <c r="L32" s="572"/>
      <c r="M32" s="6"/>
      <c r="N32" s="6"/>
      <c r="O32" s="597"/>
      <c r="P32" s="614"/>
      <c r="Q32" s="6"/>
      <c r="R32" s="6"/>
      <c r="S32" s="635"/>
      <c r="T32" s="622"/>
      <c r="U32" s="572"/>
      <c r="V32" s="6"/>
      <c r="W32" s="596">
        <v>113</v>
      </c>
      <c r="X32" s="597"/>
      <c r="Y32" s="685"/>
      <c r="Z32" s="685"/>
      <c r="AA32" s="698" t="s">
        <v>152</v>
      </c>
      <c r="AB32" s="635"/>
      <c r="AC32" s="622"/>
      <c r="AD32" s="572"/>
      <c r="AE32" s="6"/>
      <c r="AF32" s="596">
        <f>162+47</f>
        <v>209</v>
      </c>
      <c r="AG32" s="597"/>
      <c r="AH32" s="685"/>
      <c r="AI32" s="685"/>
      <c r="AJ32" s="684" t="s">
        <v>777</v>
      </c>
      <c r="AK32" s="635"/>
      <c r="AM32" s="572"/>
      <c r="AN32" s="6"/>
      <c r="AO32" s="6"/>
      <c r="AP32" s="50"/>
      <c r="AQ32" s="597"/>
      <c r="AR32" s="614"/>
      <c r="AS32" s="605"/>
      <c r="AT32" s="828"/>
      <c r="AU32" s="635"/>
      <c r="AV32" s="613"/>
    </row>
    <row r="33" spans="1:48" ht="43.15" customHeight="1" x14ac:dyDescent="0.25">
      <c r="A33" s="2206">
        <v>45246</v>
      </c>
      <c r="B33" s="574">
        <v>1</v>
      </c>
      <c r="C33" s="595"/>
      <c r="D33" s="596"/>
      <c r="E33" s="596">
        <v>22</v>
      </c>
      <c r="F33" s="597"/>
      <c r="G33" s="685"/>
      <c r="H33" s="619"/>
      <c r="I33" s="848" t="s">
        <v>152</v>
      </c>
      <c r="J33" s="635"/>
      <c r="K33" s="622"/>
      <c r="L33" s="572"/>
      <c r="M33" s="6"/>
      <c r="N33" s="6"/>
      <c r="O33" s="597"/>
      <c r="P33" s="614"/>
      <c r="Q33" s="6"/>
      <c r="R33" s="6"/>
      <c r="S33" s="635"/>
      <c r="T33" s="622"/>
      <c r="U33" s="572"/>
      <c r="V33" s="6"/>
      <c r="W33" s="6">
        <v>89</v>
      </c>
      <c r="X33" s="597"/>
      <c r="Y33" s="614"/>
      <c r="Z33" s="6"/>
      <c r="AA33" s="698" t="s">
        <v>152</v>
      </c>
      <c r="AB33" s="635"/>
      <c r="AC33" s="622"/>
      <c r="AD33" s="572"/>
      <c r="AE33" s="6"/>
      <c r="AF33" s="6">
        <v>45</v>
      </c>
      <c r="AG33" s="597"/>
      <c r="AH33" s="614"/>
      <c r="AI33" s="605"/>
      <c r="AJ33" s="698" t="s">
        <v>152</v>
      </c>
      <c r="AK33" s="635"/>
      <c r="AM33" s="572"/>
      <c r="AN33" s="6"/>
      <c r="AO33" s="6"/>
      <c r="AP33" s="50"/>
      <c r="AQ33" s="597"/>
      <c r="AR33" s="614"/>
      <c r="AS33" s="605"/>
      <c r="AT33" s="6"/>
      <c r="AU33" s="635"/>
      <c r="AV33" s="613"/>
    </row>
    <row r="34" spans="1:48" ht="67.900000000000006" customHeight="1" x14ac:dyDescent="0.25">
      <c r="A34" s="2205"/>
      <c r="B34" s="644">
        <v>2</v>
      </c>
      <c r="C34" s="596"/>
      <c r="D34" s="596"/>
      <c r="E34" s="596">
        <v>21</v>
      </c>
      <c r="F34" s="829"/>
      <c r="G34" s="684"/>
      <c r="H34" s="620"/>
      <c r="I34" s="848" t="s">
        <v>152</v>
      </c>
      <c r="J34" s="635"/>
      <c r="K34" s="622"/>
      <c r="L34" s="572"/>
      <c r="M34" s="6"/>
      <c r="N34" s="6"/>
      <c r="O34" s="613"/>
      <c r="P34" s="614"/>
      <c r="Q34" s="620"/>
      <c r="R34" s="6"/>
      <c r="S34" s="635"/>
      <c r="T34" s="622"/>
      <c r="U34" s="572"/>
      <c r="V34" s="6"/>
      <c r="W34" s="6">
        <v>16</v>
      </c>
      <c r="X34" s="613"/>
      <c r="Y34" s="605"/>
      <c r="Z34" s="605"/>
      <c r="AA34" s="698" t="s">
        <v>152</v>
      </c>
      <c r="AB34" s="635"/>
      <c r="AC34" s="622"/>
      <c r="AD34" s="572"/>
      <c r="AE34" s="6"/>
      <c r="AF34" s="6">
        <v>59</v>
      </c>
      <c r="AG34" s="613"/>
      <c r="AH34" s="614"/>
      <c r="AI34" s="6"/>
      <c r="AJ34" s="605" t="s">
        <v>670</v>
      </c>
      <c r="AK34" s="635"/>
      <c r="AM34" s="572"/>
      <c r="AN34" s="6"/>
      <c r="AO34" s="6"/>
      <c r="AP34" s="50"/>
      <c r="AQ34" s="613"/>
      <c r="AR34" s="614"/>
      <c r="AS34" s="6"/>
      <c r="AT34" s="828"/>
      <c r="AU34" s="635"/>
      <c r="AV34" s="613"/>
    </row>
    <row r="35" spans="1:48" ht="51" customHeight="1" x14ac:dyDescent="0.25">
      <c r="A35" s="2206">
        <v>45247</v>
      </c>
      <c r="B35" s="574">
        <v>1</v>
      </c>
      <c r="C35" s="596"/>
      <c r="D35" s="596"/>
      <c r="E35" s="50">
        <v>84</v>
      </c>
      <c r="F35" s="828"/>
      <c r="G35" s="567"/>
      <c r="H35" s="614"/>
      <c r="I35" s="848" t="s">
        <v>152</v>
      </c>
      <c r="J35" s="687"/>
      <c r="K35" s="622"/>
      <c r="L35" s="572"/>
      <c r="M35" s="6"/>
      <c r="N35" s="6"/>
      <c r="O35" s="613"/>
      <c r="P35" s="567"/>
      <c r="Q35" s="1022"/>
      <c r="R35" s="620"/>
      <c r="S35" s="635"/>
      <c r="T35" s="622"/>
      <c r="U35" s="572"/>
      <c r="V35" s="6"/>
      <c r="W35" s="50">
        <v>103</v>
      </c>
      <c r="X35" s="634"/>
      <c r="Y35" s="567"/>
      <c r="Z35" s="6"/>
      <c r="AA35" s="698" t="s">
        <v>152</v>
      </c>
      <c r="AB35" s="613"/>
      <c r="AC35" s="622"/>
      <c r="AD35" s="572"/>
      <c r="AE35" s="6"/>
      <c r="AF35" s="6">
        <v>37</v>
      </c>
      <c r="AG35" s="1018"/>
      <c r="AH35" s="567"/>
      <c r="AI35" s="6"/>
      <c r="AJ35" s="698" t="s">
        <v>152</v>
      </c>
      <c r="AK35" s="613"/>
      <c r="AM35" s="572"/>
      <c r="AN35" s="6"/>
      <c r="AO35" s="50"/>
      <c r="AP35" s="50"/>
      <c r="AQ35" s="634"/>
      <c r="AR35" s="567"/>
      <c r="AS35" s="692"/>
      <c r="AT35" s="605"/>
      <c r="AU35" s="828"/>
      <c r="AV35" s="613"/>
    </row>
    <row r="36" spans="1:48" ht="46.9" customHeight="1" x14ac:dyDescent="0.25">
      <c r="A36" s="2205"/>
      <c r="B36" s="574">
        <v>2</v>
      </c>
      <c r="C36" s="50"/>
      <c r="D36" s="6"/>
      <c r="E36" s="50">
        <v>32</v>
      </c>
      <c r="F36" s="828"/>
      <c r="G36" s="692"/>
      <c r="H36" s="1018"/>
      <c r="I36" s="848" t="s">
        <v>152</v>
      </c>
      <c r="J36" s="635"/>
      <c r="K36" s="622"/>
      <c r="L36" s="567"/>
      <c r="M36" s="6"/>
      <c r="N36" s="6"/>
      <c r="O36" s="1018"/>
      <c r="P36" s="567"/>
      <c r="Q36" s="605"/>
      <c r="R36" s="605"/>
      <c r="S36" s="635"/>
      <c r="T36" s="622"/>
      <c r="U36" s="572"/>
      <c r="V36" s="6">
        <v>15</v>
      </c>
      <c r="W36" s="6">
        <v>33</v>
      </c>
      <c r="X36" s="1018"/>
      <c r="Y36" s="567"/>
      <c r="Z36" s="605" t="s">
        <v>471</v>
      </c>
      <c r="AA36" s="698" t="s">
        <v>152</v>
      </c>
      <c r="AB36" s="613"/>
      <c r="AC36" s="622"/>
      <c r="AD36" s="572"/>
      <c r="AE36" s="6"/>
      <c r="AF36" s="50">
        <v>23</v>
      </c>
      <c r="AG36" s="634"/>
      <c r="AH36" s="567"/>
      <c r="AI36" s="605"/>
      <c r="AJ36" s="698" t="s">
        <v>152</v>
      </c>
      <c r="AK36" s="613"/>
      <c r="AM36" s="572"/>
      <c r="AN36" s="6"/>
      <c r="AO36" s="6"/>
      <c r="AP36" s="614"/>
      <c r="AQ36" s="1018"/>
      <c r="AR36" s="567"/>
      <c r="AS36" s="605"/>
      <c r="AT36" s="605"/>
      <c r="AU36" s="828"/>
      <c r="AV36" s="613"/>
    </row>
    <row r="37" spans="1:48" ht="59.45" customHeight="1" x14ac:dyDescent="0.25">
      <c r="A37" s="2206">
        <v>45248</v>
      </c>
      <c r="B37" s="644">
        <v>1</v>
      </c>
      <c r="C37" s="50"/>
      <c r="D37" s="596"/>
      <c r="E37" s="50">
        <v>74</v>
      </c>
      <c r="F37" s="50"/>
      <c r="G37" s="692"/>
      <c r="H37" s="1018"/>
      <c r="I37" s="848" t="s">
        <v>152</v>
      </c>
      <c r="J37" s="635"/>
      <c r="K37" s="622"/>
      <c r="L37" s="572"/>
      <c r="M37" s="6"/>
      <c r="N37" s="6"/>
      <c r="O37" s="727"/>
      <c r="P37" s="614"/>
      <c r="Q37" s="6"/>
      <c r="R37" s="6"/>
      <c r="S37" s="613"/>
      <c r="T37" s="622"/>
      <c r="U37" s="572"/>
      <c r="V37" s="6">
        <v>20</v>
      </c>
      <c r="W37" s="6">
        <v>107</v>
      </c>
      <c r="X37" s="613"/>
      <c r="Y37" s="614"/>
      <c r="Z37" s="605"/>
      <c r="AA37" s="698" t="s">
        <v>152</v>
      </c>
      <c r="AB37" s="635"/>
      <c r="AC37" s="622"/>
      <c r="AD37" s="572"/>
      <c r="AE37" s="6"/>
      <c r="AF37" s="6">
        <v>10</v>
      </c>
      <c r="AG37" s="613"/>
      <c r="AH37" s="1029"/>
      <c r="AI37" s="6"/>
      <c r="AJ37" s="698" t="s">
        <v>152</v>
      </c>
      <c r="AK37" s="613"/>
      <c r="AM37" s="572"/>
      <c r="AN37" s="6"/>
      <c r="AO37" s="6"/>
      <c r="AP37" s="50"/>
      <c r="AQ37" s="613"/>
      <c r="AR37" s="614"/>
      <c r="AS37" s="6"/>
      <c r="AT37" s="6"/>
      <c r="AU37" s="50"/>
      <c r="AV37" s="613"/>
    </row>
    <row r="38" spans="1:48" ht="55.9" customHeight="1" x14ac:dyDescent="0.25">
      <c r="A38" s="2205"/>
      <c r="B38" s="574">
        <v>2</v>
      </c>
      <c r="C38" s="50"/>
      <c r="D38" s="596"/>
      <c r="E38" s="50">
        <v>22</v>
      </c>
      <c r="F38" s="829"/>
      <c r="G38" s="692"/>
      <c r="H38" s="1018"/>
      <c r="I38" s="848" t="s">
        <v>152</v>
      </c>
      <c r="J38" s="635"/>
      <c r="K38" s="622"/>
      <c r="L38" s="572"/>
      <c r="M38" s="6"/>
      <c r="N38" s="6"/>
      <c r="O38" s="613"/>
      <c r="P38" s="1018"/>
      <c r="Q38" s="1018"/>
      <c r="R38" s="6"/>
      <c r="S38" s="635"/>
      <c r="T38" s="622"/>
      <c r="U38" s="572"/>
      <c r="V38" s="6"/>
      <c r="W38" s="6">
        <v>36</v>
      </c>
      <c r="X38" s="613"/>
      <c r="Y38" s="614"/>
      <c r="Z38" s="605"/>
      <c r="AA38" s="698" t="s">
        <v>152</v>
      </c>
      <c r="AB38" s="635"/>
      <c r="AC38" s="622"/>
      <c r="AD38" s="572"/>
      <c r="AE38" s="6"/>
      <c r="AF38" s="6">
        <v>26</v>
      </c>
      <c r="AG38" s="613"/>
      <c r="AH38" s="1018"/>
      <c r="AI38" s="6"/>
      <c r="AJ38" s="698" t="s">
        <v>778</v>
      </c>
      <c r="AK38" s="635"/>
      <c r="AM38" s="572"/>
      <c r="AN38" s="6"/>
      <c r="AO38" s="6"/>
      <c r="AP38" s="50"/>
      <c r="AQ38" s="613"/>
      <c r="AR38" s="614"/>
      <c r="AS38" s="6"/>
      <c r="AT38" s="605"/>
      <c r="AU38" s="828"/>
      <c r="AV38" s="635"/>
    </row>
    <row r="39" spans="1:48" ht="70.900000000000006" customHeight="1" x14ac:dyDescent="0.25">
      <c r="A39" s="2206">
        <v>45249</v>
      </c>
      <c r="B39" s="574">
        <v>1</v>
      </c>
      <c r="C39" s="50"/>
      <c r="D39" s="596"/>
      <c r="E39" s="50"/>
      <c r="F39" s="597">
        <v>585</v>
      </c>
      <c r="G39" s="692"/>
      <c r="H39" s="619"/>
      <c r="I39" s="692"/>
      <c r="J39" s="635" t="s">
        <v>779</v>
      </c>
      <c r="K39" s="622"/>
      <c r="L39" s="572"/>
      <c r="M39" s="6"/>
      <c r="N39" s="6"/>
      <c r="O39" s="597">
        <v>585</v>
      </c>
      <c r="P39" s="692"/>
      <c r="Q39" s="619"/>
      <c r="R39" s="692"/>
      <c r="S39" s="635" t="s">
        <v>779</v>
      </c>
      <c r="T39" s="622"/>
      <c r="U39" s="572"/>
      <c r="V39" s="6"/>
      <c r="W39" s="6">
        <v>21</v>
      </c>
      <c r="X39" s="597">
        <v>585</v>
      </c>
      <c r="Y39" s="692"/>
      <c r="Z39" s="619"/>
      <c r="AA39" s="698" t="s">
        <v>152</v>
      </c>
      <c r="AB39" s="635" t="s">
        <v>779</v>
      </c>
      <c r="AC39" s="622"/>
      <c r="AD39" s="572"/>
      <c r="AE39" s="6"/>
      <c r="AF39" s="6"/>
      <c r="AG39" s="597">
        <v>585</v>
      </c>
      <c r="AH39" s="692"/>
      <c r="AI39" s="619"/>
      <c r="AJ39" s="692"/>
      <c r="AK39" s="635" t="s">
        <v>779</v>
      </c>
      <c r="AM39" s="572"/>
      <c r="AN39" s="6"/>
      <c r="AO39" s="6"/>
      <c r="AP39" s="597">
        <v>585</v>
      </c>
      <c r="AQ39" s="692"/>
      <c r="AR39" s="619"/>
      <c r="AS39" s="692"/>
      <c r="AT39" s="635"/>
      <c r="AU39" s="635" t="s">
        <v>779</v>
      </c>
      <c r="AV39" s="687"/>
    </row>
    <row r="40" spans="1:48" ht="72.599999999999994" customHeight="1" x14ac:dyDescent="0.25">
      <c r="A40" s="2205"/>
      <c r="B40" s="574">
        <v>2</v>
      </c>
      <c r="C40" s="596"/>
      <c r="D40" s="596"/>
      <c r="E40" s="596"/>
      <c r="F40" s="613">
        <v>246</v>
      </c>
      <c r="G40" s="692"/>
      <c r="H40" s="620"/>
      <c r="I40" s="692"/>
      <c r="J40" s="635" t="s">
        <v>780</v>
      </c>
      <c r="K40" s="622"/>
      <c r="L40" s="572"/>
      <c r="M40" s="6"/>
      <c r="N40" s="6"/>
      <c r="O40" s="613">
        <v>205</v>
      </c>
      <c r="P40" s="685"/>
      <c r="Q40" s="619"/>
      <c r="R40" s="692"/>
      <c r="S40" s="635" t="s">
        <v>780</v>
      </c>
      <c r="T40" s="622"/>
      <c r="U40" s="572"/>
      <c r="V40" s="6"/>
      <c r="W40" s="6"/>
      <c r="X40" s="613">
        <v>320</v>
      </c>
      <c r="Y40" s="685"/>
      <c r="Z40" s="619"/>
      <c r="AA40" s="684"/>
      <c r="AB40" s="635" t="s">
        <v>780</v>
      </c>
      <c r="AC40" s="622"/>
      <c r="AD40" s="572"/>
      <c r="AE40" s="6"/>
      <c r="AF40" s="6"/>
      <c r="AG40" s="613">
        <v>210</v>
      </c>
      <c r="AH40" s="567"/>
      <c r="AI40" s="619"/>
      <c r="AJ40" s="692"/>
      <c r="AK40" s="635" t="s">
        <v>780</v>
      </c>
      <c r="AM40" s="567"/>
      <c r="AN40" s="6"/>
      <c r="AO40" s="6"/>
      <c r="AP40" s="50">
        <v>214</v>
      </c>
      <c r="AQ40" s="613"/>
      <c r="AR40" s="685"/>
      <c r="AS40" s="619"/>
      <c r="AT40" s="692"/>
      <c r="AU40" s="635" t="s">
        <v>780</v>
      </c>
      <c r="AV40" s="635"/>
    </row>
    <row r="41" spans="1:48" ht="39.6" customHeight="1" x14ac:dyDescent="0.25">
      <c r="A41" s="2206">
        <v>45250</v>
      </c>
      <c r="B41" s="574">
        <v>1</v>
      </c>
      <c r="C41" s="595"/>
      <c r="D41" s="596"/>
      <c r="E41" s="596">
        <v>58</v>
      </c>
      <c r="F41" s="613"/>
      <c r="G41" s="685"/>
      <c r="H41" s="620"/>
      <c r="I41" s="692" t="s">
        <v>152</v>
      </c>
      <c r="J41" s="635"/>
      <c r="K41" s="622"/>
      <c r="L41" s="572"/>
      <c r="M41" s="6"/>
      <c r="N41" s="6"/>
      <c r="O41" s="613"/>
      <c r="P41" s="614"/>
      <c r="Q41" s="6"/>
      <c r="R41" s="692"/>
      <c r="S41" s="635"/>
      <c r="T41" s="622"/>
      <c r="U41" s="572"/>
      <c r="V41" s="6"/>
      <c r="W41" s="6">
        <v>55</v>
      </c>
      <c r="X41" s="613"/>
      <c r="Y41" s="614"/>
      <c r="Z41" s="605"/>
      <c r="AA41" s="698" t="s">
        <v>152</v>
      </c>
      <c r="AB41" s="613"/>
      <c r="AC41" s="622"/>
      <c r="AD41" s="572"/>
      <c r="AE41" s="6"/>
      <c r="AF41" s="6"/>
      <c r="AG41" s="613"/>
      <c r="AH41" s="567"/>
      <c r="AI41" s="605"/>
      <c r="AJ41" s="6"/>
      <c r="AK41" s="613"/>
      <c r="AM41" s="572"/>
      <c r="AN41" s="6"/>
      <c r="AO41" s="6"/>
      <c r="AP41" s="50"/>
      <c r="AQ41" s="613"/>
      <c r="AR41" s="614"/>
      <c r="AS41" s="605"/>
      <c r="AT41" s="692"/>
      <c r="AU41" s="50"/>
      <c r="AV41" s="613"/>
    </row>
    <row r="42" spans="1:48" ht="33" customHeight="1" x14ac:dyDescent="0.25">
      <c r="A42" s="2205"/>
      <c r="B42" s="574">
        <v>2</v>
      </c>
      <c r="C42" s="596"/>
      <c r="D42" s="596"/>
      <c r="E42" s="596">
        <v>10</v>
      </c>
      <c r="F42" s="613"/>
      <c r="G42" s="685"/>
      <c r="H42" s="620"/>
      <c r="I42" s="692" t="s">
        <v>152</v>
      </c>
      <c r="J42" s="635"/>
      <c r="K42" s="622"/>
      <c r="L42" s="572"/>
      <c r="M42" s="6">
        <v>23</v>
      </c>
      <c r="N42" s="6"/>
      <c r="O42" s="613"/>
      <c r="P42" s="614"/>
      <c r="Q42" s="6" t="s">
        <v>276</v>
      </c>
      <c r="R42" s="6"/>
      <c r="S42" s="635"/>
      <c r="T42" s="622"/>
      <c r="U42" s="572"/>
      <c r="V42" s="6"/>
      <c r="W42" s="6">
        <v>10</v>
      </c>
      <c r="X42" s="613"/>
      <c r="Y42" s="1018"/>
      <c r="Z42" s="6"/>
      <c r="AA42" s="698" t="s">
        <v>152</v>
      </c>
      <c r="AB42" s="635"/>
      <c r="AC42" s="622"/>
      <c r="AD42" s="572"/>
      <c r="AE42" s="6"/>
      <c r="AF42" s="6"/>
      <c r="AG42" s="613"/>
      <c r="AH42" s="614"/>
      <c r="AI42" s="6"/>
      <c r="AJ42" s="6"/>
      <c r="AK42" s="635"/>
      <c r="AM42" s="572"/>
      <c r="AN42" s="6">
        <v>19</v>
      </c>
      <c r="AO42" s="6"/>
      <c r="AP42" s="50"/>
      <c r="AQ42" s="613"/>
      <c r="AR42" s="614"/>
      <c r="AS42" s="6" t="s">
        <v>317</v>
      </c>
      <c r="AT42" s="6"/>
      <c r="AU42" s="635"/>
      <c r="AV42" s="613"/>
    </row>
    <row r="43" spans="1:48" ht="65.45" customHeight="1" x14ac:dyDescent="0.25">
      <c r="A43" s="2206">
        <v>45251</v>
      </c>
      <c r="B43" s="574">
        <v>1</v>
      </c>
      <c r="C43" s="596"/>
      <c r="D43" s="596"/>
      <c r="E43" s="596">
        <v>15</v>
      </c>
      <c r="F43" s="597"/>
      <c r="G43" s="619"/>
      <c r="H43" s="619"/>
      <c r="I43" s="692" t="s">
        <v>152</v>
      </c>
      <c r="J43" s="635"/>
      <c r="K43" s="622"/>
      <c r="L43" s="572"/>
      <c r="M43" s="6"/>
      <c r="N43" s="6"/>
      <c r="O43" s="613"/>
      <c r="P43" s="614"/>
      <c r="Q43" s="6"/>
      <c r="R43" s="6"/>
      <c r="S43" s="635"/>
      <c r="T43" s="622"/>
      <c r="U43" s="572"/>
      <c r="V43" s="6"/>
      <c r="W43" s="6">
        <v>21</v>
      </c>
      <c r="X43" s="613"/>
      <c r="Y43" s="614"/>
      <c r="Z43" s="6"/>
      <c r="AA43" s="698" t="s">
        <v>152</v>
      </c>
      <c r="AB43" s="635"/>
      <c r="AC43" s="622"/>
      <c r="AD43" s="572"/>
      <c r="AE43" s="6"/>
      <c r="AF43" s="6"/>
      <c r="AG43" s="613"/>
      <c r="AH43" s="605"/>
      <c r="AI43" s="620"/>
      <c r="AJ43" s="6"/>
      <c r="AK43" s="635"/>
      <c r="AM43" s="572"/>
      <c r="AN43" s="6"/>
      <c r="AO43" s="6"/>
      <c r="AP43" s="50"/>
      <c r="AQ43" s="613"/>
      <c r="AR43" s="605"/>
      <c r="AS43" s="620"/>
      <c r="AT43" s="6"/>
      <c r="AU43" s="635"/>
      <c r="AV43" s="613"/>
    </row>
    <row r="44" spans="1:48" ht="69" customHeight="1" x14ac:dyDescent="0.25">
      <c r="A44" s="2205"/>
      <c r="B44" s="574">
        <v>2</v>
      </c>
      <c r="C44" s="596"/>
      <c r="D44" s="596">
        <v>8</v>
      </c>
      <c r="E44" s="596">
        <v>22</v>
      </c>
      <c r="F44" s="597"/>
      <c r="G44" s="619"/>
      <c r="H44" s="620" t="s">
        <v>276</v>
      </c>
      <c r="I44" s="692" t="s">
        <v>152</v>
      </c>
      <c r="J44" s="635"/>
      <c r="K44" s="622"/>
      <c r="L44" s="572"/>
      <c r="M44" s="6"/>
      <c r="N44" s="6"/>
      <c r="O44" s="613"/>
      <c r="P44" s="1018"/>
      <c r="Q44" s="6"/>
      <c r="R44" s="605"/>
      <c r="S44" s="635"/>
      <c r="T44" s="622"/>
      <c r="U44" s="572"/>
      <c r="V44" s="6"/>
      <c r="W44" s="596">
        <v>17</v>
      </c>
      <c r="X44" s="597"/>
      <c r="Y44" s="619"/>
      <c r="Z44" s="620"/>
      <c r="AA44" s="698" t="s">
        <v>152</v>
      </c>
      <c r="AB44" s="635"/>
      <c r="AC44" s="622"/>
      <c r="AD44" s="572"/>
      <c r="AE44" s="6"/>
      <c r="AF44" s="6"/>
      <c r="AG44" s="613"/>
      <c r="AH44" s="614"/>
      <c r="AI44" s="605"/>
      <c r="AJ44" s="605"/>
      <c r="AK44" s="635"/>
      <c r="AM44" s="572"/>
      <c r="AN44" s="6"/>
      <c r="AO44" s="6"/>
      <c r="AP44" s="50"/>
      <c r="AQ44" s="613"/>
      <c r="AR44" s="614"/>
      <c r="AS44" s="605"/>
      <c r="AT44" s="605"/>
      <c r="AU44" s="635"/>
      <c r="AV44" s="613"/>
    </row>
    <row r="45" spans="1:48" ht="48" customHeight="1" x14ac:dyDescent="0.25">
      <c r="A45" s="2206">
        <v>45252</v>
      </c>
      <c r="B45" s="574">
        <v>1</v>
      </c>
      <c r="C45" s="596"/>
      <c r="D45" s="596"/>
      <c r="E45" s="596">
        <v>17</v>
      </c>
      <c r="F45" s="597"/>
      <c r="G45" s="619"/>
      <c r="H45" s="619"/>
      <c r="I45" s="692" t="s">
        <v>152</v>
      </c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"/>
      <c r="W45" s="6"/>
      <c r="X45" s="613"/>
      <c r="Y45" s="619"/>
      <c r="Z45" s="620"/>
      <c r="AA45" s="605"/>
      <c r="AB45" s="613"/>
      <c r="AC45" s="622"/>
      <c r="AD45" s="572"/>
      <c r="AE45" s="6"/>
      <c r="AF45" s="6"/>
      <c r="AG45" s="613"/>
      <c r="AH45" s="614"/>
      <c r="AI45" s="605"/>
      <c r="AJ45" s="605"/>
      <c r="AK45" s="613"/>
      <c r="AM45" s="572"/>
      <c r="AN45" s="6"/>
      <c r="AO45" s="6"/>
      <c r="AP45" s="50"/>
      <c r="AQ45" s="613"/>
      <c r="AR45" s="614"/>
      <c r="AS45" s="605"/>
      <c r="AT45" s="6"/>
      <c r="AU45" s="50"/>
      <c r="AV45" s="613"/>
    </row>
    <row r="46" spans="1:48" ht="48.6" customHeight="1" x14ac:dyDescent="0.25">
      <c r="A46" s="2205"/>
      <c r="B46" s="574">
        <v>2</v>
      </c>
      <c r="C46" s="596"/>
      <c r="D46" s="596"/>
      <c r="E46" s="596"/>
      <c r="F46" s="597"/>
      <c r="G46" s="619"/>
      <c r="H46" s="619"/>
      <c r="I46" s="692"/>
      <c r="J46" s="635"/>
      <c r="K46" s="622"/>
      <c r="L46" s="572"/>
      <c r="M46" s="6"/>
      <c r="N46" s="6"/>
      <c r="O46" s="785"/>
      <c r="P46" s="614"/>
      <c r="Q46" s="620"/>
      <c r="R46" s="605"/>
      <c r="S46" s="635"/>
      <c r="T46" s="622"/>
      <c r="U46" s="572"/>
      <c r="V46" s="6"/>
      <c r="W46" s="6"/>
      <c r="X46" s="613"/>
      <c r="Y46" s="1018"/>
      <c r="Z46" s="6"/>
      <c r="AA46" s="605"/>
      <c r="AB46" s="635"/>
      <c r="AC46" s="622"/>
      <c r="AD46" s="572"/>
      <c r="AE46" s="6"/>
      <c r="AF46" s="6">
        <v>15</v>
      </c>
      <c r="AG46" s="613"/>
      <c r="AH46" s="1018"/>
      <c r="AI46" s="6"/>
      <c r="AJ46" s="6" t="s">
        <v>97</v>
      </c>
      <c r="AK46" s="635"/>
      <c r="AM46" s="572"/>
      <c r="AN46" s="6"/>
      <c r="AO46" s="6"/>
      <c r="AP46" s="50"/>
      <c r="AQ46" s="613"/>
      <c r="AR46" s="614"/>
      <c r="AS46" s="620"/>
      <c r="AT46" s="6"/>
      <c r="AU46" s="50"/>
      <c r="AV46" s="635"/>
    </row>
    <row r="47" spans="1:48" ht="58.9" customHeight="1" x14ac:dyDescent="0.25">
      <c r="A47" s="2206">
        <v>45253</v>
      </c>
      <c r="B47" s="574">
        <v>1</v>
      </c>
      <c r="C47" s="596"/>
      <c r="D47" s="596"/>
      <c r="E47" s="596">
        <v>16</v>
      </c>
      <c r="F47" s="597"/>
      <c r="G47" s="619"/>
      <c r="H47" s="619"/>
      <c r="I47" s="692" t="s">
        <v>152</v>
      </c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/>
      <c r="X47" s="613"/>
      <c r="Y47" s="614"/>
      <c r="Z47" s="605"/>
      <c r="AA47" s="605"/>
      <c r="AB47" s="635"/>
      <c r="AC47" s="622"/>
      <c r="AD47" s="572"/>
      <c r="AE47" s="6"/>
      <c r="AF47" s="6"/>
      <c r="AG47" s="613"/>
      <c r="AH47" s="1018"/>
      <c r="AI47" s="620"/>
      <c r="AJ47" s="605"/>
      <c r="AK47" s="613"/>
      <c r="AM47" s="572"/>
      <c r="AN47" s="6"/>
      <c r="AO47" s="6"/>
      <c r="AP47" s="50"/>
      <c r="AQ47" s="613"/>
      <c r="AR47" s="614"/>
      <c r="AS47" s="620"/>
      <c r="AT47" s="6"/>
      <c r="AU47" s="50"/>
      <c r="AV47" s="613"/>
    </row>
    <row r="48" spans="1:48" ht="34.9" customHeight="1" x14ac:dyDescent="0.25">
      <c r="A48" s="2205"/>
      <c r="B48" s="574">
        <v>2</v>
      </c>
      <c r="C48" s="596"/>
      <c r="D48" s="596"/>
      <c r="E48" s="596"/>
      <c r="F48" s="597"/>
      <c r="G48" s="620"/>
      <c r="H48" s="620"/>
      <c r="I48" s="692"/>
      <c r="J48" s="635"/>
      <c r="K48" s="622"/>
      <c r="L48" s="572"/>
      <c r="M48" s="6"/>
      <c r="N48" s="6"/>
      <c r="O48" s="597"/>
      <c r="P48" s="620"/>
      <c r="Q48" s="620"/>
      <c r="R48" s="692"/>
      <c r="S48" s="635"/>
      <c r="T48" s="622"/>
      <c r="U48" s="572"/>
      <c r="V48" s="6"/>
      <c r="W48" s="6"/>
      <c r="X48" s="597"/>
      <c r="Y48" s="620"/>
      <c r="Z48" s="620"/>
      <c r="AA48" s="692"/>
      <c r="AB48" s="635"/>
      <c r="AC48" s="622"/>
      <c r="AD48" s="572"/>
      <c r="AE48" s="6"/>
      <c r="AF48" s="6"/>
      <c r="AG48" s="597"/>
      <c r="AH48" s="620"/>
      <c r="AI48" s="620"/>
      <c r="AJ48" s="692"/>
      <c r="AK48" s="635"/>
      <c r="AM48" s="572"/>
      <c r="AN48" s="6"/>
      <c r="AO48" s="572">
        <v>116</v>
      </c>
      <c r="AP48" s="6"/>
      <c r="AQ48" s="6"/>
      <c r="AR48" s="597"/>
      <c r="AS48" s="620"/>
      <c r="AT48" s="620" t="s">
        <v>521</v>
      </c>
      <c r="AU48" s="635"/>
      <c r="AV48" s="613"/>
    </row>
    <row r="49" spans="1:48" ht="36" customHeight="1" x14ac:dyDescent="0.25">
      <c r="A49" s="2206">
        <v>45254</v>
      </c>
      <c r="B49" s="574">
        <v>1</v>
      </c>
      <c r="C49" s="596"/>
      <c r="D49" s="596"/>
      <c r="E49" s="596">
        <v>52</v>
      </c>
      <c r="F49" s="597"/>
      <c r="G49" s="620"/>
      <c r="H49" s="619"/>
      <c r="I49" s="692" t="s">
        <v>152</v>
      </c>
      <c r="J49" s="635"/>
      <c r="K49" s="622"/>
      <c r="L49" s="572"/>
      <c r="M49" s="6"/>
      <c r="N49" s="6"/>
      <c r="O49" s="597"/>
      <c r="P49" s="620"/>
      <c r="Q49" s="619"/>
      <c r="R49" s="692"/>
      <c r="S49" s="635"/>
      <c r="T49" s="622"/>
      <c r="U49" s="572"/>
      <c r="V49" s="6"/>
      <c r="W49" s="6">
        <v>15</v>
      </c>
      <c r="X49" s="597"/>
      <c r="Y49" s="620"/>
      <c r="Z49" s="619"/>
      <c r="AA49" s="698" t="s">
        <v>152</v>
      </c>
      <c r="AB49" s="635"/>
      <c r="AC49" s="622"/>
      <c r="AD49" s="572"/>
      <c r="AE49" s="6"/>
      <c r="AF49" s="6"/>
      <c r="AG49" s="597"/>
      <c r="AH49" s="620"/>
      <c r="AI49" s="619"/>
      <c r="AJ49" s="692"/>
      <c r="AK49" s="635"/>
      <c r="AM49" s="572"/>
      <c r="AN49" s="6"/>
      <c r="AO49" s="6"/>
      <c r="AP49" s="597"/>
      <c r="AQ49" s="620"/>
      <c r="AR49" s="619"/>
      <c r="AS49" s="692"/>
      <c r="AT49" s="635"/>
      <c r="AU49" s="635"/>
      <c r="AV49" s="613"/>
    </row>
    <row r="50" spans="1:48" ht="51.6" customHeight="1" x14ac:dyDescent="0.25">
      <c r="A50" s="2205"/>
      <c r="B50" s="574">
        <v>2</v>
      </c>
      <c r="C50" s="596"/>
      <c r="D50" s="596"/>
      <c r="E50" s="596">
        <v>14</v>
      </c>
      <c r="F50" s="597"/>
      <c r="G50" s="619"/>
      <c r="H50" s="619"/>
      <c r="I50" s="692" t="s">
        <v>152</v>
      </c>
      <c r="J50" s="635"/>
      <c r="K50" s="622"/>
      <c r="L50" s="572"/>
      <c r="M50" s="6"/>
      <c r="N50" s="6"/>
      <c r="O50" s="597"/>
      <c r="P50" s="619"/>
      <c r="Q50" s="619"/>
      <c r="R50" s="692"/>
      <c r="S50" s="635"/>
      <c r="T50" s="622"/>
      <c r="U50" s="572"/>
      <c r="V50" s="6"/>
      <c r="W50" s="6">
        <v>16</v>
      </c>
      <c r="X50" s="597"/>
      <c r="Y50" s="619"/>
      <c r="Z50" s="619"/>
      <c r="AA50" s="698" t="s">
        <v>152</v>
      </c>
      <c r="AB50" s="635"/>
      <c r="AC50" s="622"/>
      <c r="AD50" s="572"/>
      <c r="AE50" s="6"/>
      <c r="AF50" s="6"/>
      <c r="AG50" s="597"/>
      <c r="AH50" s="619"/>
      <c r="AI50" s="619"/>
      <c r="AJ50" s="692"/>
      <c r="AK50" s="635"/>
      <c r="AM50" s="572"/>
      <c r="AN50" s="6"/>
      <c r="AO50" s="6"/>
      <c r="AP50" s="597"/>
      <c r="AQ50" s="619"/>
      <c r="AR50" s="619"/>
      <c r="AS50" s="692"/>
      <c r="AT50" s="635"/>
      <c r="AU50" s="635"/>
      <c r="AV50" s="635"/>
    </row>
    <row r="51" spans="1:48" ht="34.9" customHeight="1" x14ac:dyDescent="0.25">
      <c r="A51" s="2206">
        <v>45255</v>
      </c>
      <c r="B51" s="574">
        <v>1</v>
      </c>
      <c r="C51" s="596"/>
      <c r="D51" s="596"/>
      <c r="E51" s="596"/>
      <c r="F51" s="597"/>
      <c r="G51" s="619"/>
      <c r="H51" s="619"/>
      <c r="I51" s="692"/>
      <c r="J51" s="635"/>
      <c r="K51" s="622"/>
      <c r="L51" s="572"/>
      <c r="M51" s="6"/>
      <c r="N51" s="6"/>
      <c r="O51" s="597"/>
      <c r="P51" s="619"/>
      <c r="Q51" s="619"/>
      <c r="R51" s="692"/>
      <c r="S51" s="635"/>
      <c r="T51" s="622"/>
      <c r="U51" s="572"/>
      <c r="V51" s="6"/>
      <c r="W51" s="6"/>
      <c r="X51" s="597"/>
      <c r="Y51" s="619"/>
      <c r="Z51" s="619"/>
      <c r="AA51" s="692"/>
      <c r="AB51" s="635"/>
      <c r="AC51" s="622"/>
      <c r="AD51" s="572"/>
      <c r="AE51" s="6"/>
      <c r="AF51" s="6">
        <v>32</v>
      </c>
      <c r="AG51" s="597"/>
      <c r="AH51" s="619"/>
      <c r="AI51" s="619"/>
      <c r="AJ51" s="692" t="s">
        <v>781</v>
      </c>
      <c r="AK51" s="635"/>
      <c r="AM51" s="572"/>
      <c r="AN51" s="6"/>
      <c r="AO51" s="6"/>
      <c r="AP51" s="597"/>
      <c r="AQ51" s="619"/>
      <c r="AR51" s="619"/>
      <c r="AS51" s="692"/>
      <c r="AT51" s="635"/>
      <c r="AU51" s="635"/>
      <c r="AV51" s="613"/>
    </row>
    <row r="52" spans="1:48" ht="49.15" customHeight="1" x14ac:dyDescent="0.25">
      <c r="A52" s="2205"/>
      <c r="B52" s="574">
        <v>2</v>
      </c>
      <c r="C52" s="596"/>
      <c r="D52" s="596"/>
      <c r="E52" s="596">
        <v>21</v>
      </c>
      <c r="F52" s="597"/>
      <c r="G52" s="620"/>
      <c r="H52" s="620"/>
      <c r="I52" s="692" t="s">
        <v>152</v>
      </c>
      <c r="J52" s="635"/>
      <c r="K52" s="622"/>
      <c r="L52" s="572"/>
      <c r="M52" s="6"/>
      <c r="N52" s="6"/>
      <c r="O52" s="597"/>
      <c r="P52" s="620"/>
      <c r="Q52" s="620"/>
      <c r="R52" s="692"/>
      <c r="S52" s="635"/>
      <c r="T52" s="622"/>
      <c r="U52" s="572"/>
      <c r="V52" s="6"/>
      <c r="W52" s="6"/>
      <c r="X52" s="597"/>
      <c r="Y52" s="620"/>
      <c r="Z52" s="620"/>
      <c r="AA52" s="692"/>
      <c r="AB52" s="635"/>
      <c r="AC52" s="622"/>
      <c r="AD52" s="572"/>
      <c r="AE52" s="6"/>
      <c r="AF52" s="6"/>
      <c r="AG52" s="597"/>
      <c r="AH52" s="620"/>
      <c r="AI52" s="620"/>
      <c r="AJ52" s="692"/>
      <c r="AK52" s="635"/>
      <c r="AM52" s="572"/>
      <c r="AN52" s="613"/>
      <c r="AO52" s="613"/>
      <c r="AP52" s="613"/>
      <c r="AQ52" s="613"/>
      <c r="AR52" s="614"/>
      <c r="AS52" s="6"/>
      <c r="AT52" s="635"/>
      <c r="AU52" s="635"/>
      <c r="AV52" s="613"/>
    </row>
    <row r="53" spans="1:48" ht="40.15" customHeight="1" x14ac:dyDescent="0.25">
      <c r="A53" s="2206">
        <v>45256</v>
      </c>
      <c r="B53" s="574">
        <v>1</v>
      </c>
      <c r="C53" s="596"/>
      <c r="D53" s="596"/>
      <c r="E53" s="596"/>
      <c r="F53" s="597"/>
      <c r="G53" s="619"/>
      <c r="H53" s="619"/>
      <c r="I53" s="692"/>
      <c r="J53" s="635"/>
      <c r="K53" s="622"/>
      <c r="L53" s="572"/>
      <c r="M53" s="6"/>
      <c r="N53" s="6"/>
      <c r="O53" s="613"/>
      <c r="P53" s="1018"/>
      <c r="Q53" s="6"/>
      <c r="R53" s="6"/>
      <c r="S53" s="635"/>
      <c r="T53" s="622"/>
      <c r="U53" s="572"/>
      <c r="V53" s="6"/>
      <c r="W53" s="6"/>
      <c r="X53" s="613"/>
      <c r="Y53" s="1018"/>
      <c r="Z53" s="6"/>
      <c r="AA53" s="605"/>
      <c r="AB53" s="613"/>
      <c r="AC53" s="622"/>
      <c r="AD53" s="572"/>
      <c r="AE53" s="605"/>
      <c r="AF53" s="6"/>
      <c r="AG53" s="613"/>
      <c r="AH53" s="614"/>
      <c r="AI53" s="605"/>
      <c r="AJ53" s="605"/>
      <c r="AK53" s="613"/>
      <c r="AM53" s="572"/>
      <c r="AN53" s="605"/>
      <c r="AO53" s="6"/>
      <c r="AP53" s="50"/>
      <c r="AQ53" s="613"/>
      <c r="AR53" s="614"/>
      <c r="AS53" s="605"/>
      <c r="AT53" s="6"/>
      <c r="AU53" s="50"/>
      <c r="AV53" s="613"/>
    </row>
    <row r="54" spans="1:48" ht="39.6" customHeight="1" x14ac:dyDescent="0.25">
      <c r="A54" s="2205"/>
      <c r="B54" s="1013">
        <v>2</v>
      </c>
      <c r="C54" s="596"/>
      <c r="D54" s="596">
        <v>8</v>
      </c>
      <c r="E54" s="596"/>
      <c r="F54" s="597"/>
      <c r="G54" s="619"/>
      <c r="H54" s="620" t="s">
        <v>782</v>
      </c>
      <c r="I54" s="692"/>
      <c r="J54" s="635"/>
      <c r="K54" s="622"/>
      <c r="L54" s="572"/>
      <c r="M54" s="6"/>
      <c r="N54" s="6"/>
      <c r="O54" s="597"/>
      <c r="P54" s="619"/>
      <c r="Q54" s="619"/>
      <c r="R54" s="619"/>
      <c r="S54" s="635"/>
      <c r="T54" s="622"/>
      <c r="U54" s="572"/>
      <c r="V54" s="6"/>
      <c r="W54" s="6"/>
      <c r="X54" s="597"/>
      <c r="Y54" s="620"/>
      <c r="Z54" s="619"/>
      <c r="AA54" s="620"/>
      <c r="AB54" s="635"/>
      <c r="AC54" s="622"/>
      <c r="AD54" s="572"/>
      <c r="AE54" s="6"/>
      <c r="AF54" s="6"/>
      <c r="AG54" s="613"/>
      <c r="AH54" s="614"/>
      <c r="AI54" s="619"/>
      <c r="AJ54" s="6"/>
      <c r="AK54" s="635"/>
      <c r="AM54" s="572"/>
      <c r="AN54" s="6"/>
      <c r="AO54" s="6"/>
      <c r="AP54" s="50"/>
      <c r="AQ54" s="597"/>
      <c r="AR54" s="619"/>
      <c r="AS54" s="619"/>
      <c r="AT54" s="619"/>
      <c r="AU54" s="830"/>
      <c r="AV54" s="635"/>
    </row>
    <row r="55" spans="1:48" ht="39.6" customHeight="1" x14ac:dyDescent="0.25">
      <c r="A55" s="2206">
        <v>45257</v>
      </c>
      <c r="B55" s="574">
        <v>1</v>
      </c>
      <c r="C55" s="595"/>
      <c r="D55" s="596"/>
      <c r="E55" s="596">
        <v>10</v>
      </c>
      <c r="F55" s="597"/>
      <c r="G55" s="619"/>
      <c r="H55" s="619"/>
      <c r="I55" s="692" t="s">
        <v>152</v>
      </c>
      <c r="J55" s="613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/>
      <c r="X55" s="613"/>
      <c r="Y55" s="614"/>
      <c r="Z55" s="620"/>
      <c r="AA55" s="605"/>
      <c r="AB55" s="613"/>
      <c r="AC55" s="622"/>
      <c r="AD55" s="572"/>
      <c r="AE55" s="6"/>
      <c r="AF55" s="6"/>
      <c r="AG55" s="613"/>
      <c r="AH55" s="614"/>
      <c r="AI55" s="620"/>
      <c r="AJ55" s="6"/>
      <c r="AK55" s="613"/>
      <c r="AM55" s="572"/>
      <c r="AN55" s="6"/>
      <c r="AO55" s="6"/>
      <c r="AP55" s="50"/>
      <c r="AQ55" s="613"/>
      <c r="AR55" s="614"/>
      <c r="AS55" s="620"/>
      <c r="AT55" s="6"/>
      <c r="AU55" s="50"/>
      <c r="AV55" s="613"/>
    </row>
    <row r="56" spans="1:48" ht="94.15" customHeight="1" x14ac:dyDescent="0.25">
      <c r="A56" s="2205"/>
      <c r="B56" s="1013">
        <v>2</v>
      </c>
      <c r="C56" s="595"/>
      <c r="D56" s="596"/>
      <c r="E56" s="596">
        <v>8</v>
      </c>
      <c r="F56" s="597"/>
      <c r="G56" s="620"/>
      <c r="H56" s="620"/>
      <c r="I56" s="692" t="s">
        <v>783</v>
      </c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/>
      <c r="V56" s="6"/>
      <c r="W56" s="6"/>
      <c r="X56" s="597"/>
      <c r="Y56" s="1018"/>
      <c r="Z56" s="619"/>
      <c r="AA56" s="605"/>
      <c r="AB56" s="635"/>
      <c r="AC56" s="622"/>
      <c r="AD56" s="572"/>
      <c r="AE56" s="6"/>
      <c r="AF56" s="6"/>
      <c r="AG56" s="597"/>
      <c r="AH56" s="620"/>
      <c r="AI56" s="619"/>
      <c r="AJ56" s="620"/>
      <c r="AK56" s="635"/>
      <c r="AM56" s="572"/>
      <c r="AN56" s="6"/>
      <c r="AO56" s="6"/>
      <c r="AP56" s="50"/>
      <c r="AQ56" s="597"/>
      <c r="AR56" s="620"/>
      <c r="AS56" s="619"/>
      <c r="AT56" s="620"/>
      <c r="AU56" s="692"/>
      <c r="AV56" s="635"/>
    </row>
    <row r="57" spans="1:48" ht="52.15" customHeight="1" x14ac:dyDescent="0.25">
      <c r="A57" s="2206">
        <v>45258</v>
      </c>
      <c r="B57" s="574">
        <v>1</v>
      </c>
      <c r="C57" s="595"/>
      <c r="D57" s="596"/>
      <c r="E57" s="596"/>
      <c r="F57" s="597"/>
      <c r="G57" s="620"/>
      <c r="H57" s="620"/>
      <c r="I57" s="692"/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>
        <v>46</v>
      </c>
      <c r="X57" s="597"/>
      <c r="Y57" s="620"/>
      <c r="Z57" s="619"/>
      <c r="AA57" s="605" t="s">
        <v>325</v>
      </c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/>
      <c r="AP57" s="50"/>
      <c r="AQ57" s="597"/>
      <c r="AR57" s="620"/>
      <c r="AS57" s="619"/>
      <c r="AT57" s="620"/>
      <c r="AU57" s="692"/>
      <c r="AV57" s="635"/>
    </row>
    <row r="58" spans="1:48" ht="78" customHeight="1" x14ac:dyDescent="0.25">
      <c r="A58" s="2205"/>
      <c r="B58" s="1013">
        <v>2</v>
      </c>
      <c r="C58" s="595"/>
      <c r="D58" s="596"/>
      <c r="E58" s="596">
        <v>46</v>
      </c>
      <c r="F58" s="597"/>
      <c r="G58" s="620"/>
      <c r="H58" s="619"/>
      <c r="I58" s="692" t="s">
        <v>152</v>
      </c>
      <c r="J58" s="635"/>
      <c r="K58" s="622"/>
      <c r="L58" s="572"/>
      <c r="M58" s="6"/>
      <c r="N58" s="6"/>
      <c r="O58" s="597"/>
      <c r="P58" s="620"/>
      <c r="Q58" s="619"/>
      <c r="R58" s="620"/>
      <c r="S58" s="635"/>
      <c r="T58" s="622"/>
      <c r="U58" s="572"/>
      <c r="V58" s="6"/>
      <c r="W58" s="6"/>
      <c r="X58" s="597"/>
      <c r="Y58" s="620"/>
      <c r="Z58" s="619"/>
      <c r="AA58" s="605"/>
      <c r="AB58" s="635"/>
      <c r="AC58" s="622"/>
      <c r="AD58" s="572"/>
      <c r="AE58" s="6"/>
      <c r="AF58" s="6"/>
      <c r="AG58" s="597"/>
      <c r="AH58" s="620"/>
      <c r="AI58" s="619"/>
      <c r="AJ58" s="6"/>
      <c r="AK58" s="635"/>
      <c r="AM58" s="572"/>
      <c r="AN58" s="6"/>
      <c r="AO58" s="6">
        <v>24</v>
      </c>
      <c r="AP58" s="50"/>
      <c r="AQ58" s="597"/>
      <c r="AR58" s="620"/>
      <c r="AS58" s="619"/>
      <c r="AT58" s="620" t="s">
        <v>567</v>
      </c>
      <c r="AU58" s="692"/>
      <c r="AV58" s="635"/>
    </row>
    <row r="59" spans="1:48" ht="73.150000000000006" customHeight="1" x14ac:dyDescent="0.25">
      <c r="A59" s="2206">
        <v>45259</v>
      </c>
      <c r="B59" s="574">
        <v>1</v>
      </c>
      <c r="C59" s="595"/>
      <c r="D59" s="596"/>
      <c r="E59" s="596">
        <v>24</v>
      </c>
      <c r="F59" s="597"/>
      <c r="G59" s="619"/>
      <c r="H59" s="619"/>
      <c r="I59" s="692" t="s">
        <v>152</v>
      </c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/>
      <c r="X59" s="613"/>
      <c r="Y59" s="614"/>
      <c r="Z59" s="6"/>
      <c r="AA59" s="605"/>
      <c r="AB59" s="635"/>
      <c r="AC59" s="622"/>
      <c r="AD59" s="572"/>
      <c r="AE59" s="6"/>
      <c r="AF59" s="6"/>
      <c r="AG59" s="613"/>
      <c r="AH59" s="1018"/>
      <c r="AI59" s="6"/>
      <c r="AJ59" s="620"/>
      <c r="AK59" s="635"/>
      <c r="AM59" s="572"/>
      <c r="AN59" s="6"/>
      <c r="AO59" s="6"/>
      <c r="AP59" s="50"/>
      <c r="AQ59" s="613"/>
      <c r="AR59" s="1018"/>
      <c r="AS59" s="6"/>
      <c r="AT59" s="620"/>
      <c r="AU59" s="692"/>
      <c r="AV59" s="635"/>
    </row>
    <row r="60" spans="1:48" ht="36" customHeight="1" x14ac:dyDescent="0.25">
      <c r="A60" s="2205"/>
      <c r="B60" s="1013">
        <v>2</v>
      </c>
      <c r="C60" s="595"/>
      <c r="D60" s="596"/>
      <c r="E60" s="596"/>
      <c r="F60" s="597"/>
      <c r="G60" s="619"/>
      <c r="H60" s="620"/>
      <c r="I60" s="692"/>
      <c r="J60" s="635"/>
      <c r="K60" s="622"/>
      <c r="L60" s="572"/>
      <c r="M60" s="6"/>
      <c r="N60" s="6"/>
      <c r="O60" s="613"/>
      <c r="P60" s="614"/>
      <c r="Q60" s="6"/>
      <c r="R60" s="6"/>
      <c r="S60" s="635"/>
      <c r="T60" s="622"/>
      <c r="U60" s="572"/>
      <c r="V60" s="6"/>
      <c r="W60" s="6"/>
      <c r="X60" s="613"/>
      <c r="Y60" s="1018"/>
      <c r="Z60" s="605"/>
      <c r="AA60" s="605"/>
      <c r="AB60" s="635"/>
      <c r="AC60" s="622"/>
      <c r="AD60" s="572"/>
      <c r="AE60" s="6"/>
      <c r="AF60" s="6">
        <v>8</v>
      </c>
      <c r="AG60" s="613"/>
      <c r="AH60" s="614"/>
      <c r="AI60" s="6"/>
      <c r="AJ60" s="605" t="s">
        <v>325</v>
      </c>
      <c r="AK60" s="635"/>
      <c r="AM60" s="572"/>
      <c r="AN60" s="6"/>
      <c r="AO60" s="6"/>
      <c r="AP60" s="50"/>
      <c r="AQ60" s="613"/>
      <c r="AR60" s="614"/>
      <c r="AS60" s="6"/>
      <c r="AT60" s="605"/>
      <c r="AU60" s="828"/>
      <c r="AV60" s="635"/>
    </row>
    <row r="61" spans="1:48" ht="32.450000000000003" customHeight="1" x14ac:dyDescent="0.25">
      <c r="A61" s="2206">
        <v>45260</v>
      </c>
      <c r="B61" s="574">
        <v>1</v>
      </c>
      <c r="C61" s="1021"/>
      <c r="D61" s="1023"/>
      <c r="E61" s="596">
        <v>10</v>
      </c>
      <c r="F61" s="749"/>
      <c r="G61" s="619"/>
      <c r="H61" s="1022"/>
      <c r="I61" s="692" t="s">
        <v>152</v>
      </c>
      <c r="J61" s="687"/>
      <c r="K61" s="622"/>
      <c r="L61" s="572"/>
      <c r="M61" s="6"/>
      <c r="N61" s="6"/>
      <c r="O61" s="613"/>
      <c r="P61" s="752"/>
      <c r="Q61" s="1019"/>
      <c r="R61" s="1019"/>
      <c r="S61" s="753"/>
      <c r="T61" s="622"/>
      <c r="U61" s="572"/>
      <c r="V61" s="6"/>
      <c r="W61" s="6"/>
      <c r="X61" s="613"/>
      <c r="Y61" s="1018"/>
      <c r="Z61" s="605"/>
      <c r="AA61" s="605"/>
      <c r="AB61" s="753"/>
      <c r="AC61" s="622"/>
      <c r="AD61" s="572"/>
      <c r="AE61" s="6"/>
      <c r="AF61" s="6"/>
      <c r="AG61" s="613"/>
      <c r="AH61" s="614"/>
      <c r="AI61" s="6"/>
      <c r="AJ61" s="605"/>
      <c r="AK61" s="753"/>
      <c r="AM61" s="572"/>
      <c r="AN61" s="6"/>
      <c r="AO61" s="6"/>
      <c r="AP61" s="50"/>
      <c r="AQ61" s="613"/>
      <c r="AR61" s="1018"/>
      <c r="AS61" s="6"/>
      <c r="AT61" s="605"/>
      <c r="AU61" s="964"/>
      <c r="AV61" s="753"/>
    </row>
    <row r="62" spans="1:48" ht="62.45" customHeight="1" x14ac:dyDescent="0.25">
      <c r="A62" s="2205"/>
      <c r="B62" s="1013">
        <v>2</v>
      </c>
      <c r="C62" s="1021"/>
      <c r="D62" s="1023"/>
      <c r="E62" s="1023"/>
      <c r="F62" s="749"/>
      <c r="G62" s="1015"/>
      <c r="H62" s="1022"/>
      <c r="I62" s="692"/>
      <c r="J62" s="687"/>
      <c r="K62" s="622"/>
      <c r="L62" s="572"/>
      <c r="M62" s="6"/>
      <c r="N62" s="6"/>
      <c r="O62" s="613"/>
      <c r="P62" s="752"/>
      <c r="Q62" s="1019"/>
      <c r="R62" s="1019"/>
      <c r="S62" s="753"/>
      <c r="T62" s="622"/>
      <c r="U62" s="572"/>
      <c r="V62" s="6">
        <v>17</v>
      </c>
      <c r="W62" s="6"/>
      <c r="X62" s="613"/>
      <c r="Y62" s="1018"/>
      <c r="Z62" s="605" t="s">
        <v>784</v>
      </c>
      <c r="AA62" s="605"/>
      <c r="AB62" s="753"/>
      <c r="AC62" s="622"/>
      <c r="AD62" s="572"/>
      <c r="AE62" s="6"/>
      <c r="AF62" s="6"/>
      <c r="AG62" s="613"/>
      <c r="AH62" s="614"/>
      <c r="AI62" s="6"/>
      <c r="AJ62" s="605"/>
      <c r="AK62" s="753"/>
      <c r="AM62" s="572"/>
      <c r="AN62" s="6"/>
      <c r="AO62" s="6"/>
      <c r="AP62" s="50"/>
      <c r="AQ62" s="613"/>
      <c r="AR62" s="614"/>
      <c r="AS62" s="6"/>
      <c r="AT62" s="605"/>
      <c r="AU62" s="964"/>
      <c r="AV62" s="753"/>
    </row>
    <row r="63" spans="1:48" ht="64.150000000000006" customHeight="1" x14ac:dyDescent="0.25">
      <c r="A63" s="2206"/>
      <c r="B63" s="574">
        <v>1</v>
      </c>
      <c r="C63" s="706"/>
      <c r="D63" s="707"/>
      <c r="E63" s="707"/>
      <c r="F63" s="708"/>
      <c r="G63" s="717"/>
      <c r="H63" s="709"/>
      <c r="I63" s="692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/>
      <c r="X63" s="597"/>
      <c r="Y63" s="685"/>
      <c r="Z63" s="619"/>
      <c r="AA63" s="605"/>
      <c r="AB63" s="1017"/>
      <c r="AC63" s="622"/>
      <c r="AD63" s="572"/>
      <c r="AE63" s="6"/>
      <c r="AF63" s="6"/>
      <c r="AG63" s="597"/>
      <c r="AH63" s="685"/>
      <c r="AI63" s="619"/>
      <c r="AJ63" s="6"/>
      <c r="AK63" s="705"/>
      <c r="AM63" s="572"/>
      <c r="AN63" s="6"/>
      <c r="AO63" s="6"/>
      <c r="AP63" s="50"/>
      <c r="AQ63" s="597"/>
      <c r="AR63" s="685"/>
      <c r="AS63" s="619"/>
      <c r="AT63" s="619"/>
      <c r="AU63" s="965"/>
      <c r="AV63" s="705"/>
    </row>
    <row r="64" spans="1:48" ht="62.45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963"/>
      <c r="AQ64" s="636"/>
      <c r="AR64" s="637"/>
      <c r="AS64" s="638"/>
      <c r="AT64" s="638"/>
      <c r="AU64" s="966"/>
      <c r="AV64" s="713"/>
    </row>
    <row r="65" spans="1:43" ht="23.45" customHeight="1" x14ac:dyDescent="0.25">
      <c r="A65" s="524" t="s">
        <v>225</v>
      </c>
      <c r="C65" s="768">
        <f>SUM(C3:C64)</f>
        <v>0</v>
      </c>
      <c r="D65" s="525">
        <f>SUM(D3:D64)</f>
        <v>31</v>
      </c>
      <c r="E65" s="768">
        <f>SUM(E3:E64)</f>
        <v>1372</v>
      </c>
      <c r="F65" s="525">
        <f>SUM(F3:F64)</f>
        <v>831</v>
      </c>
      <c r="L65" s="525">
        <f>SUM(L3:L64)</f>
        <v>0</v>
      </c>
      <c r="M65" s="525">
        <f>SUM(M3:M64)</f>
        <v>141</v>
      </c>
      <c r="N65" s="525">
        <f>SUM(N3:N64)</f>
        <v>0</v>
      </c>
      <c r="O65" s="525">
        <f>SUM(O3:O64)</f>
        <v>790</v>
      </c>
      <c r="U65" s="525">
        <f>SUM(U3:U64)</f>
        <v>0</v>
      </c>
      <c r="V65" s="525">
        <f>SUM(V3:V64)</f>
        <v>52</v>
      </c>
      <c r="W65" s="525">
        <f>SUM(W3:W64)</f>
        <v>1601</v>
      </c>
      <c r="X65" s="525">
        <f>SUM(X3:X64)</f>
        <v>905</v>
      </c>
      <c r="AD65" s="525">
        <f>SUM(AD3:AD64)</f>
        <v>3551</v>
      </c>
      <c r="AE65" s="525">
        <f>SUM(AE3:AE64)</f>
        <v>53</v>
      </c>
      <c r="AF65" s="525">
        <f>SUM(AF3:AF64)</f>
        <v>1550</v>
      </c>
      <c r="AG65" s="525">
        <f>SUM(AG3:AG64)</f>
        <v>795</v>
      </c>
      <c r="AM65" s="525">
        <f>SUM(AM3:AM64)</f>
        <v>2698</v>
      </c>
      <c r="AN65" s="525">
        <f>SUM(AN3:AN64)</f>
        <v>19</v>
      </c>
      <c r="AO65" s="525">
        <f>SUM(AO3:AO64)</f>
        <v>2758</v>
      </c>
      <c r="AP65" s="525"/>
      <c r="AQ65" s="525">
        <f>SUM(AQ3:AQ64)</f>
        <v>0</v>
      </c>
    </row>
    <row r="73" spans="1:43" ht="15.75" thickBot="1" x14ac:dyDescent="0.3"/>
    <row r="74" spans="1:43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3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3" ht="21.75" customHeight="1" x14ac:dyDescent="0.3">
      <c r="B76" s="651" t="s">
        <v>218</v>
      </c>
      <c r="C76" s="652">
        <f>C65</f>
        <v>0</v>
      </c>
      <c r="D76" s="653">
        <f>C76/60</f>
        <v>0</v>
      </c>
      <c r="E76" s="652">
        <f>D65</f>
        <v>31</v>
      </c>
      <c r="F76" s="654">
        <f>E76/60</f>
        <v>0.51666666666666672</v>
      </c>
      <c r="G76" s="652">
        <f>E65</f>
        <v>1372</v>
      </c>
      <c r="H76" s="653">
        <f>G76/60</f>
        <v>22.866666666666667</v>
      </c>
      <c r="I76" s="652">
        <f>F65</f>
        <v>831</v>
      </c>
      <c r="J76" s="653">
        <f>I76/60</f>
        <v>13.85</v>
      </c>
    </row>
    <row r="77" spans="1:43" ht="19.5" customHeight="1" x14ac:dyDescent="0.3">
      <c r="B77" s="651" t="s">
        <v>219</v>
      </c>
      <c r="C77" s="655">
        <f>L65</f>
        <v>0</v>
      </c>
      <c r="D77" s="656">
        <f>C77/60</f>
        <v>0</v>
      </c>
      <c r="E77" s="655">
        <f>M65</f>
        <v>141</v>
      </c>
      <c r="F77" s="657">
        <f>E77/60</f>
        <v>2.35</v>
      </c>
      <c r="G77" s="655">
        <f>N65</f>
        <v>0</v>
      </c>
      <c r="H77" s="656">
        <f>G77/60</f>
        <v>0</v>
      </c>
      <c r="I77" s="655">
        <f>O65</f>
        <v>790</v>
      </c>
      <c r="J77" s="656">
        <f>I77/60</f>
        <v>13.166666666666666</v>
      </c>
    </row>
    <row r="78" spans="1:43" ht="20.25" customHeight="1" x14ac:dyDescent="0.3">
      <c r="B78" s="651" t="s">
        <v>220</v>
      </c>
      <c r="C78" s="655">
        <f>U65</f>
        <v>0</v>
      </c>
      <c r="D78" s="656">
        <f>C78/60</f>
        <v>0</v>
      </c>
      <c r="E78" s="655">
        <f>V65</f>
        <v>52</v>
      </c>
      <c r="F78" s="657">
        <f>E78/60</f>
        <v>0.8666666666666667</v>
      </c>
      <c r="G78" s="655">
        <f>W65</f>
        <v>1601</v>
      </c>
      <c r="H78" s="656">
        <f>G78/60</f>
        <v>26.683333333333334</v>
      </c>
      <c r="I78" s="655">
        <f>X65</f>
        <v>905</v>
      </c>
      <c r="J78" s="656">
        <f>I78/60</f>
        <v>15.083333333333334</v>
      </c>
    </row>
    <row r="79" spans="1:43" ht="22.5" customHeight="1" thickBot="1" x14ac:dyDescent="0.35">
      <c r="B79" s="651" t="s">
        <v>221</v>
      </c>
      <c r="C79" s="658">
        <f>AD65</f>
        <v>3551</v>
      </c>
      <c r="D79" s="659">
        <f>C79/60</f>
        <v>59.18333333333333</v>
      </c>
      <c r="E79" s="658">
        <f>AE65</f>
        <v>53</v>
      </c>
      <c r="F79" s="660">
        <f>E79/60</f>
        <v>0.8833333333333333</v>
      </c>
      <c r="G79" s="658">
        <f>AF65</f>
        <v>1550</v>
      </c>
      <c r="H79" s="659">
        <f>G79/60</f>
        <v>25.833333333333332</v>
      </c>
      <c r="I79" s="658">
        <f>AG65</f>
        <v>795</v>
      </c>
      <c r="J79" s="659">
        <f>I79/60</f>
        <v>13.25</v>
      </c>
    </row>
    <row r="80" spans="1:43" ht="22.5" customHeight="1" thickBot="1" x14ac:dyDescent="0.35">
      <c r="B80" s="651" t="s">
        <v>488</v>
      </c>
      <c r="C80" s="850">
        <f>AM65</f>
        <v>2698</v>
      </c>
      <c r="D80" s="849">
        <f>C80/60</f>
        <v>44.966666666666669</v>
      </c>
      <c r="E80" s="850">
        <f>AN65</f>
        <v>19</v>
      </c>
      <c r="F80" s="851">
        <f>E80/60</f>
        <v>0.31666666666666665</v>
      </c>
      <c r="G80" s="850">
        <f>AO65</f>
        <v>2758</v>
      </c>
      <c r="H80" s="849">
        <f>G80/60</f>
        <v>45.966666666666669</v>
      </c>
      <c r="I80" s="850">
        <f>AQ65</f>
        <v>0</v>
      </c>
      <c r="J80" s="849">
        <f>I80/60</f>
        <v>0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104.15</v>
      </c>
      <c r="E82" s="666"/>
      <c r="F82" s="667">
        <f>SUM(F76:F80)</f>
        <v>4.9333333333333336</v>
      </c>
      <c r="G82" s="666"/>
      <c r="H82" s="667">
        <f>SUM(H76:H80)</f>
        <v>121.35</v>
      </c>
      <c r="I82" s="666"/>
      <c r="J82" s="668">
        <f>AVERAGE(J76:J80)</f>
        <v>11.07</v>
      </c>
    </row>
  </sheetData>
  <mergeCells count="45">
    <mergeCell ref="A5:A6"/>
    <mergeCell ref="C1:F1"/>
    <mergeCell ref="G1:J1"/>
    <mergeCell ref="L1:O1"/>
    <mergeCell ref="P1:S1"/>
    <mergeCell ref="AD1:AG1"/>
    <mergeCell ref="AH1:AK1"/>
    <mergeCell ref="AM1:AQ1"/>
    <mergeCell ref="AR1:AV1"/>
    <mergeCell ref="A3:A4"/>
    <mergeCell ref="U1:X1"/>
    <mergeCell ref="Y1:AB1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</mergeCells>
  <pageMargins left="0.7" right="0.7" top="0.75" bottom="0.75" header="0.3" footer="0.3"/>
  <pageSetup paperSize="9" orientation="portrait" horizontalDpi="180" verticalDpi="18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2"/>
  <sheetViews>
    <sheetView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10" sqref="P10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7.285156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3" style="524" customWidth="1"/>
    <col min="17" max="17" width="25.7109375" style="524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2.42578125" style="524" customWidth="1"/>
    <col min="28" max="28" width="27" style="524" customWidth="1"/>
    <col min="29" max="33" width="10.7109375" style="524" customWidth="1"/>
    <col min="34" max="34" width="31.28515625" style="524" customWidth="1"/>
    <col min="35" max="35" width="18.57031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3" width="10.7109375" style="524" customWidth="1"/>
    <col min="44" max="44" width="21.140625" style="524" customWidth="1"/>
    <col min="45" max="45" width="26.28515625" style="524" customWidth="1"/>
    <col min="46" max="46" width="27.140625" style="524" customWidth="1"/>
    <col min="47" max="47" width="24.42578125" style="524" customWidth="1"/>
    <col min="48" max="48" width="26.5703125" style="524" customWidth="1"/>
    <col min="49" max="16384" width="8.85546875" style="524"/>
  </cols>
  <sheetData>
    <row r="1" spans="1:48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0"/>
      <c r="AR1" s="2252" t="s">
        <v>206</v>
      </c>
      <c r="AS1" s="2252"/>
      <c r="AT1" s="2252"/>
      <c r="AU1" s="2252"/>
      <c r="AV1" s="2253"/>
    </row>
    <row r="2" spans="1:48" ht="42.6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6" t="s">
        <v>199</v>
      </c>
      <c r="AI2" s="984" t="s">
        <v>200</v>
      </c>
      <c r="AJ2" s="984" t="s">
        <v>201</v>
      </c>
      <c r="AK2" s="984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4" t="s">
        <v>204</v>
      </c>
      <c r="AR2" s="986" t="s">
        <v>199</v>
      </c>
      <c r="AS2" s="984" t="s">
        <v>200</v>
      </c>
      <c r="AT2" s="984" t="s">
        <v>201</v>
      </c>
      <c r="AU2" s="984" t="s">
        <v>204</v>
      </c>
      <c r="AV2" s="984" t="s">
        <v>204</v>
      </c>
    </row>
    <row r="3" spans="1:48" ht="78" customHeight="1" x14ac:dyDescent="0.25">
      <c r="A3" s="2206">
        <v>45261</v>
      </c>
      <c r="B3" s="1025">
        <v>1</v>
      </c>
      <c r="C3" s="592"/>
      <c r="D3" s="593"/>
      <c r="E3" s="6">
        <v>5</v>
      </c>
      <c r="F3" s="594"/>
      <c r="G3" s="685"/>
      <c r="H3" s="619"/>
      <c r="I3" s="620" t="s">
        <v>325</v>
      </c>
      <c r="J3" s="686"/>
      <c r="K3" s="622"/>
      <c r="L3" s="612"/>
      <c r="M3" s="630"/>
      <c r="N3" s="630"/>
      <c r="O3" s="628"/>
      <c r="P3" s="629"/>
      <c r="Q3" s="699"/>
      <c r="R3" s="699"/>
      <c r="S3" s="628"/>
      <c r="T3" s="622"/>
      <c r="U3" s="612"/>
      <c r="V3" s="630"/>
      <c r="W3" s="6"/>
      <c r="X3" s="613"/>
      <c r="Y3" s="1029"/>
      <c r="Z3" s="629"/>
      <c r="AA3" s="620"/>
      <c r="AB3" s="720"/>
      <c r="AC3" s="622"/>
      <c r="AD3" s="612"/>
      <c r="AE3" s="630"/>
      <c r="AF3" s="6"/>
      <c r="AG3" s="628"/>
      <c r="AH3" s="629"/>
      <c r="AI3" s="629"/>
      <c r="AJ3" s="605"/>
      <c r="AK3" s="628"/>
      <c r="AM3" s="612"/>
      <c r="AN3" s="630"/>
      <c r="AO3" s="6"/>
      <c r="AP3" s="962"/>
      <c r="AQ3" s="628"/>
      <c r="AR3" s="629"/>
      <c r="AS3" s="648"/>
      <c r="AT3" s="6"/>
      <c r="AU3" s="962"/>
      <c r="AV3" s="628"/>
    </row>
    <row r="4" spans="1:48" ht="70.150000000000006" customHeight="1" x14ac:dyDescent="0.25">
      <c r="A4" s="2205"/>
      <c r="B4" s="574">
        <v>2</v>
      </c>
      <c r="C4" s="595"/>
      <c r="D4" s="596"/>
      <c r="E4" s="596">
        <v>10</v>
      </c>
      <c r="F4" s="597"/>
      <c r="G4" s="685"/>
      <c r="H4" s="619"/>
      <c r="I4" s="848" t="s">
        <v>152</v>
      </c>
      <c r="J4" s="687"/>
      <c r="K4" s="622"/>
      <c r="L4" s="572"/>
      <c r="M4" s="6"/>
      <c r="N4" s="6"/>
      <c r="O4" s="613"/>
      <c r="P4" s="614"/>
      <c r="Q4" s="619"/>
      <c r="R4" s="1031"/>
      <c r="S4" s="613"/>
      <c r="T4" s="622"/>
      <c r="U4" s="572"/>
      <c r="V4" s="605">
        <v>21</v>
      </c>
      <c r="W4" s="6">
        <v>25</v>
      </c>
      <c r="X4" s="613"/>
      <c r="Y4" s="1029"/>
      <c r="Z4" s="619" t="s">
        <v>785</v>
      </c>
      <c r="AA4" s="698" t="s">
        <v>786</v>
      </c>
      <c r="AB4" s="722"/>
      <c r="AC4" s="622"/>
      <c r="AD4" s="572"/>
      <c r="AE4" s="6"/>
      <c r="AF4" s="6"/>
      <c r="AG4" s="613"/>
      <c r="AH4" s="614"/>
      <c r="AI4" s="619"/>
      <c r="AJ4" s="6"/>
      <c r="AK4" s="613"/>
      <c r="AM4" s="572"/>
      <c r="AN4" s="6"/>
      <c r="AO4" s="6"/>
      <c r="AP4" s="50"/>
      <c r="AQ4" s="613"/>
      <c r="AR4" s="614"/>
      <c r="AS4" s="620"/>
      <c r="AT4" s="6"/>
      <c r="AU4" s="50"/>
      <c r="AV4" s="613"/>
    </row>
    <row r="5" spans="1:48" ht="60" customHeight="1" x14ac:dyDescent="0.25">
      <c r="A5" s="2206">
        <v>45262</v>
      </c>
      <c r="B5" s="574">
        <v>1</v>
      </c>
      <c r="C5" s="595"/>
      <c r="D5" s="596">
        <v>15</v>
      </c>
      <c r="E5" s="596">
        <v>11</v>
      </c>
      <c r="F5" s="597"/>
      <c r="G5" s="684"/>
      <c r="H5" s="684" t="s">
        <v>787</v>
      </c>
      <c r="I5" s="848" t="s">
        <v>152</v>
      </c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>
        <v>44</v>
      </c>
      <c r="X5" s="613"/>
      <c r="Y5" s="1029"/>
      <c r="Z5" s="6"/>
      <c r="AA5" s="698" t="s">
        <v>788</v>
      </c>
      <c r="AB5" s="723"/>
      <c r="AC5" s="622"/>
      <c r="AD5" s="572"/>
      <c r="AE5" s="6"/>
      <c r="AF5" s="6"/>
      <c r="AG5" s="613"/>
      <c r="AH5" s="614"/>
      <c r="AI5" s="6"/>
      <c r="AJ5" s="1036"/>
      <c r="AK5" s="613"/>
      <c r="AM5" s="572"/>
      <c r="AN5" s="6"/>
      <c r="AO5" s="6"/>
      <c r="AP5" s="50"/>
      <c r="AQ5" s="613"/>
      <c r="AR5" s="614"/>
      <c r="AS5" s="6"/>
      <c r="AT5" s="605"/>
      <c r="AU5" s="828"/>
      <c r="AV5" s="634"/>
    </row>
    <row r="6" spans="1:48" ht="80.45" customHeight="1" x14ac:dyDescent="0.25">
      <c r="A6" s="2205"/>
      <c r="B6" s="574">
        <v>2</v>
      </c>
      <c r="C6" s="595">
        <v>256</v>
      </c>
      <c r="D6" s="596"/>
      <c r="E6" s="596">
        <v>11</v>
      </c>
      <c r="F6" s="597"/>
      <c r="G6" s="685" t="s">
        <v>789</v>
      </c>
      <c r="H6" s="619"/>
      <c r="I6" s="848" t="s">
        <v>152</v>
      </c>
      <c r="J6" s="687"/>
      <c r="K6" s="622"/>
      <c r="L6" s="572">
        <v>278</v>
      </c>
      <c r="M6" s="6"/>
      <c r="N6" s="6"/>
      <c r="O6" s="613"/>
      <c r="P6" s="614" t="s">
        <v>789</v>
      </c>
      <c r="Q6" s="619"/>
      <c r="R6" s="6"/>
      <c r="S6" s="613"/>
      <c r="T6" s="622"/>
      <c r="U6" s="572">
        <v>623</v>
      </c>
      <c r="V6" s="6"/>
      <c r="W6" s="6"/>
      <c r="X6" s="613"/>
      <c r="Y6" s="614" t="s">
        <v>789</v>
      </c>
      <c r="Z6" s="6"/>
      <c r="AA6" s="698"/>
      <c r="AB6" s="613"/>
      <c r="AC6" s="622"/>
      <c r="AD6" s="572">
        <v>262</v>
      </c>
      <c r="AE6" s="6"/>
      <c r="AF6" s="6">
        <v>5</v>
      </c>
      <c r="AG6" s="613"/>
      <c r="AH6" s="614" t="s">
        <v>789</v>
      </c>
      <c r="AI6" s="6"/>
      <c r="AJ6" s="6" t="s">
        <v>336</v>
      </c>
      <c r="AK6" s="613"/>
      <c r="AM6" s="572">
        <v>275</v>
      </c>
      <c r="AN6" s="6"/>
      <c r="AO6" s="6"/>
      <c r="AP6" s="50"/>
      <c r="AQ6" s="613"/>
      <c r="AR6" s="614" t="s">
        <v>789</v>
      </c>
      <c r="AS6" s="6"/>
      <c r="AT6" s="605"/>
      <c r="AU6" s="828"/>
      <c r="AV6" s="634"/>
    </row>
    <row r="7" spans="1:48" ht="71.45" customHeight="1" x14ac:dyDescent="0.25">
      <c r="A7" s="2206">
        <v>45263</v>
      </c>
      <c r="B7" s="574">
        <v>1</v>
      </c>
      <c r="C7" s="595"/>
      <c r="D7" s="596"/>
      <c r="E7" s="596">
        <v>32</v>
      </c>
      <c r="F7" s="597"/>
      <c r="G7" s="685"/>
      <c r="H7" s="1010"/>
      <c r="I7" s="848" t="s">
        <v>152</v>
      </c>
      <c r="J7" s="687"/>
      <c r="K7" s="622"/>
      <c r="L7" s="572"/>
      <c r="M7" s="614"/>
      <c r="N7" s="6"/>
      <c r="O7" s="613"/>
      <c r="P7" s="614"/>
      <c r="Q7" s="1010"/>
      <c r="R7" s="6"/>
      <c r="S7" s="613"/>
      <c r="T7" s="622"/>
      <c r="U7" s="572"/>
      <c r="V7" s="6"/>
      <c r="W7" s="6">
        <v>16</v>
      </c>
      <c r="X7" s="613"/>
      <c r="Y7" s="614"/>
      <c r="Z7" s="1010"/>
      <c r="AA7" s="698" t="s">
        <v>790</v>
      </c>
      <c r="AB7" s="613"/>
      <c r="AC7" s="622"/>
      <c r="AD7" s="572"/>
      <c r="AE7" s="6"/>
      <c r="AF7" s="6"/>
      <c r="AG7" s="613"/>
      <c r="AH7" s="614"/>
      <c r="AI7" s="1010"/>
      <c r="AJ7" s="6"/>
      <c r="AK7" s="613"/>
      <c r="AM7" s="572"/>
      <c r="AN7" s="6"/>
      <c r="AO7" s="6"/>
      <c r="AP7" s="50"/>
      <c r="AQ7" s="613"/>
      <c r="AR7" s="614"/>
      <c r="AS7" s="1010"/>
      <c r="AT7" s="620"/>
      <c r="AU7" s="692"/>
      <c r="AV7" s="634"/>
    </row>
    <row r="8" spans="1:48" ht="69.599999999999994" customHeight="1" x14ac:dyDescent="0.25">
      <c r="A8" s="2205"/>
      <c r="B8" s="574">
        <v>2</v>
      </c>
      <c r="C8" s="595"/>
      <c r="D8" s="596"/>
      <c r="E8" s="596">
        <v>25</v>
      </c>
      <c r="F8" s="597"/>
      <c r="G8" s="684"/>
      <c r="H8" s="620"/>
      <c r="I8" s="848" t="s">
        <v>152</v>
      </c>
      <c r="J8" s="635"/>
      <c r="K8" s="622"/>
      <c r="L8" s="572"/>
      <c r="M8" s="6"/>
      <c r="N8" s="6"/>
      <c r="O8" s="613"/>
      <c r="P8" s="1029"/>
      <c r="Q8" s="605"/>
      <c r="R8" s="605"/>
      <c r="S8" s="635"/>
      <c r="T8" s="622"/>
      <c r="U8" s="572"/>
      <c r="V8" s="831"/>
      <c r="W8" s="614"/>
      <c r="X8" s="613"/>
      <c r="Y8" s="1029"/>
      <c r="Z8" s="6"/>
      <c r="AA8" s="698"/>
      <c r="AB8" s="635"/>
      <c r="AC8" s="622"/>
      <c r="AD8" s="572"/>
      <c r="AE8" s="6"/>
      <c r="AF8" s="6"/>
      <c r="AG8" s="613"/>
      <c r="AH8" s="614"/>
      <c r="AI8" s="605"/>
      <c r="AJ8" s="620"/>
      <c r="AK8" s="635"/>
      <c r="AM8" s="572"/>
      <c r="AN8" s="6"/>
      <c r="AO8" s="6"/>
      <c r="AP8" s="50"/>
      <c r="AQ8" s="613"/>
      <c r="AR8" s="614"/>
      <c r="AS8" s="6"/>
      <c r="AT8" s="6"/>
      <c r="AU8" s="50"/>
      <c r="AV8" s="634"/>
    </row>
    <row r="9" spans="1:48" ht="76.900000000000006" customHeight="1" x14ac:dyDescent="0.25">
      <c r="A9" s="2206">
        <v>45264</v>
      </c>
      <c r="B9" s="574">
        <v>1</v>
      </c>
      <c r="C9" s="595"/>
      <c r="D9" s="596"/>
      <c r="E9" s="596">
        <v>41</v>
      </c>
      <c r="F9" s="597"/>
      <c r="G9" s="684"/>
      <c r="H9" s="619"/>
      <c r="I9" s="848" t="s">
        <v>152</v>
      </c>
      <c r="J9" s="635"/>
      <c r="K9" s="622"/>
      <c r="L9" s="572"/>
      <c r="M9" s="6"/>
      <c r="N9" s="6"/>
      <c r="O9" s="613"/>
      <c r="P9" s="1029"/>
      <c r="Q9" s="620"/>
      <c r="R9" s="605"/>
      <c r="S9" s="635"/>
      <c r="T9" s="622"/>
      <c r="U9" s="572"/>
      <c r="V9" s="6"/>
      <c r="W9" s="6"/>
      <c r="X9" s="613"/>
      <c r="Y9" s="614"/>
      <c r="Z9" s="6"/>
      <c r="AA9" s="698"/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/>
      <c r="AN9" s="6"/>
      <c r="AO9" s="6"/>
      <c r="AP9" s="50"/>
      <c r="AQ9" s="613"/>
      <c r="AR9" s="614"/>
      <c r="AS9" s="6"/>
      <c r="AT9" s="6"/>
      <c r="AU9" s="828"/>
      <c r="AV9" s="634"/>
    </row>
    <row r="10" spans="1:48" ht="67.150000000000006" customHeight="1" x14ac:dyDescent="0.25">
      <c r="A10" s="2205"/>
      <c r="B10" s="574">
        <v>2</v>
      </c>
      <c r="C10" s="595"/>
      <c r="D10" s="596"/>
      <c r="E10" s="596">
        <v>34</v>
      </c>
      <c r="F10" s="597"/>
      <c r="G10" s="685"/>
      <c r="H10" s="619"/>
      <c r="I10" s="848" t="s">
        <v>152</v>
      </c>
      <c r="J10" s="635"/>
      <c r="K10" s="622"/>
      <c r="L10" s="572">
        <v>181</v>
      </c>
      <c r="M10" s="6"/>
      <c r="N10" s="6"/>
      <c r="O10" s="613"/>
      <c r="P10" s="1035" t="s">
        <v>513</v>
      </c>
      <c r="Q10" s="6"/>
      <c r="R10" s="605"/>
      <c r="S10" s="635"/>
      <c r="T10" s="622"/>
      <c r="U10" s="572"/>
      <c r="V10" s="6"/>
      <c r="W10" s="6">
        <v>22</v>
      </c>
      <c r="X10" s="613"/>
      <c r="Y10" s="567"/>
      <c r="Z10" s="1029"/>
      <c r="AA10" s="698" t="s">
        <v>152</v>
      </c>
      <c r="AB10" s="635"/>
      <c r="AC10" s="622"/>
      <c r="AD10" s="572"/>
      <c r="AE10" s="6"/>
      <c r="AF10" s="6"/>
      <c r="AG10" s="613"/>
      <c r="AH10" s="1029"/>
      <c r="AI10" s="605"/>
      <c r="AJ10" s="6"/>
      <c r="AK10" s="635"/>
      <c r="AM10" s="572"/>
      <c r="AN10" s="6"/>
      <c r="AO10" s="6"/>
      <c r="AP10" s="50"/>
      <c r="AQ10" s="613"/>
      <c r="AR10" s="614"/>
      <c r="AS10" s="6"/>
      <c r="AT10" s="605"/>
      <c r="AU10" s="50"/>
      <c r="AV10" s="634"/>
    </row>
    <row r="11" spans="1:48" ht="60" customHeight="1" x14ac:dyDescent="0.25">
      <c r="A11" s="2206">
        <v>45265</v>
      </c>
      <c r="B11" s="574">
        <v>1</v>
      </c>
      <c r="C11" s="595"/>
      <c r="D11" s="596"/>
      <c r="E11" s="596">
        <v>60</v>
      </c>
      <c r="F11" s="597"/>
      <c r="G11" s="684"/>
      <c r="H11" s="619"/>
      <c r="I11" s="848" t="s">
        <v>152</v>
      </c>
      <c r="J11" s="687"/>
      <c r="K11" s="622"/>
      <c r="L11" s="572"/>
      <c r="M11" s="6"/>
      <c r="N11" s="6"/>
      <c r="O11" s="613"/>
      <c r="P11" s="1029"/>
      <c r="Q11" s="6"/>
      <c r="R11" s="605"/>
      <c r="S11" s="613"/>
      <c r="T11" s="622"/>
      <c r="U11" s="572"/>
      <c r="V11" s="6"/>
      <c r="W11" s="6">
        <v>3</v>
      </c>
      <c r="X11" s="613"/>
      <c r="Y11" s="614"/>
      <c r="Z11" s="6"/>
      <c r="AA11" s="698" t="s">
        <v>152</v>
      </c>
      <c r="AB11" s="613"/>
      <c r="AC11" s="622"/>
      <c r="AD11" s="572"/>
      <c r="AE11" s="6"/>
      <c r="AF11" s="6">
        <v>44</v>
      </c>
      <c r="AG11" s="613"/>
      <c r="AH11" s="614"/>
      <c r="AI11" s="6"/>
      <c r="AJ11" s="605" t="s">
        <v>791</v>
      </c>
      <c r="AK11" s="613"/>
      <c r="AM11" s="572"/>
      <c r="AN11" s="6"/>
      <c r="AO11" s="6"/>
      <c r="AP11" s="50"/>
      <c r="AQ11" s="613"/>
      <c r="AR11" s="614"/>
      <c r="AS11" s="6"/>
      <c r="AT11" s="6"/>
      <c r="AU11" s="50"/>
      <c r="AV11" s="634"/>
    </row>
    <row r="12" spans="1:48" ht="55.15" customHeight="1" x14ac:dyDescent="0.25">
      <c r="A12" s="2205"/>
      <c r="B12" s="574">
        <v>2</v>
      </c>
      <c r="C12" s="595">
        <v>506</v>
      </c>
      <c r="D12" s="596"/>
      <c r="E12" s="596">
        <v>18</v>
      </c>
      <c r="F12" s="597"/>
      <c r="G12" s="685" t="s">
        <v>513</v>
      </c>
      <c r="H12" s="619"/>
      <c r="I12" s="848" t="s">
        <v>152</v>
      </c>
      <c r="J12" s="635"/>
      <c r="K12" s="622"/>
      <c r="L12" s="572"/>
      <c r="M12" s="6"/>
      <c r="N12" s="6"/>
      <c r="O12" s="613"/>
      <c r="P12" s="1029"/>
      <c r="Q12" s="6"/>
      <c r="R12" s="605"/>
      <c r="S12" s="635"/>
      <c r="T12" s="622"/>
      <c r="U12" s="572"/>
      <c r="V12" s="6"/>
      <c r="W12" s="6">
        <v>30</v>
      </c>
      <c r="X12" s="613"/>
      <c r="Y12" s="614"/>
      <c r="Z12" s="6"/>
      <c r="AA12" s="698" t="s">
        <v>152</v>
      </c>
      <c r="AB12" s="635"/>
      <c r="AC12" s="622"/>
      <c r="AD12" s="572"/>
      <c r="AE12" s="6"/>
      <c r="AF12" s="6">
        <v>12</v>
      </c>
      <c r="AG12" s="613"/>
      <c r="AH12" s="614"/>
      <c r="AI12" s="605"/>
      <c r="AJ12" s="605" t="s">
        <v>336</v>
      </c>
      <c r="AK12" s="635"/>
      <c r="AM12" s="572"/>
      <c r="AN12" s="6"/>
      <c r="AO12" s="6"/>
      <c r="AP12" s="50"/>
      <c r="AQ12" s="613"/>
      <c r="AR12" s="614"/>
      <c r="AS12" s="6"/>
      <c r="AT12" s="6"/>
      <c r="AU12" s="50"/>
      <c r="AV12" s="635"/>
    </row>
    <row r="13" spans="1:48" ht="34.9" customHeight="1" x14ac:dyDescent="0.25">
      <c r="A13" s="2206">
        <v>45266</v>
      </c>
      <c r="B13" s="574">
        <v>1</v>
      </c>
      <c r="C13" s="595"/>
      <c r="D13" s="596"/>
      <c r="E13" s="596">
        <v>8</v>
      </c>
      <c r="F13" s="597"/>
      <c r="G13" s="685"/>
      <c r="H13" s="619"/>
      <c r="I13" s="848" t="s">
        <v>152</v>
      </c>
      <c r="J13" s="635"/>
      <c r="K13" s="622"/>
      <c r="L13" s="572"/>
      <c r="M13" s="6"/>
      <c r="N13" s="6"/>
      <c r="O13" s="597"/>
      <c r="P13" s="1029"/>
      <c r="Q13" s="6"/>
      <c r="R13" s="605"/>
      <c r="S13" s="635"/>
      <c r="T13" s="622"/>
      <c r="U13" s="572"/>
      <c r="V13" s="6"/>
      <c r="W13" s="6">
        <v>8</v>
      </c>
      <c r="X13" s="597"/>
      <c r="Y13" s="1029"/>
      <c r="Z13" s="605"/>
      <c r="AA13" s="698" t="s">
        <v>336</v>
      </c>
      <c r="AB13" s="635"/>
      <c r="AC13" s="622"/>
      <c r="AD13" s="572"/>
      <c r="AE13" s="6"/>
      <c r="AF13" s="6">
        <v>15</v>
      </c>
      <c r="AG13" s="597"/>
      <c r="AH13" s="614"/>
      <c r="AI13" s="6"/>
      <c r="AJ13" s="605" t="s">
        <v>336</v>
      </c>
      <c r="AK13" s="635"/>
      <c r="AM13" s="572"/>
      <c r="AN13" s="6"/>
      <c r="AO13" s="6">
        <v>15</v>
      </c>
      <c r="AP13" s="50"/>
      <c r="AQ13" s="597"/>
      <c r="AR13" s="614"/>
      <c r="AS13" s="6"/>
      <c r="AT13" s="6" t="s">
        <v>97</v>
      </c>
      <c r="AU13" s="50"/>
      <c r="AV13" s="635"/>
    </row>
    <row r="14" spans="1:48" ht="49.15" customHeight="1" x14ac:dyDescent="0.25">
      <c r="A14" s="2205"/>
      <c r="B14" s="574">
        <v>2</v>
      </c>
      <c r="C14" s="595"/>
      <c r="D14" s="596"/>
      <c r="E14" s="596">
        <v>10</v>
      </c>
      <c r="F14" s="597"/>
      <c r="G14" s="685"/>
      <c r="H14" s="620"/>
      <c r="I14" s="848" t="s">
        <v>152</v>
      </c>
      <c r="J14" s="635"/>
      <c r="K14" s="622"/>
      <c r="L14" s="572"/>
      <c r="M14" s="6"/>
      <c r="N14" s="6"/>
      <c r="O14" s="597"/>
      <c r="P14" s="614"/>
      <c r="Q14" s="6"/>
      <c r="R14" s="6"/>
      <c r="S14" s="635"/>
      <c r="T14" s="622"/>
      <c r="U14" s="572"/>
      <c r="V14" s="6"/>
      <c r="W14" s="6"/>
      <c r="X14" s="597"/>
      <c r="Y14" s="1029"/>
      <c r="Z14" s="605"/>
      <c r="AA14" s="698"/>
      <c r="AB14" s="635"/>
      <c r="AC14" s="622"/>
      <c r="AD14" s="572"/>
      <c r="AE14" s="6"/>
      <c r="AF14" s="6"/>
      <c r="AG14" s="597"/>
      <c r="AH14" s="1029"/>
      <c r="AI14" s="6"/>
      <c r="AJ14" s="6"/>
      <c r="AK14" s="635"/>
      <c r="AM14" s="572"/>
      <c r="AN14" s="6"/>
      <c r="AO14" s="6"/>
      <c r="AP14" s="50"/>
      <c r="AQ14" s="597"/>
      <c r="AR14" s="1029"/>
      <c r="AS14" s="6"/>
      <c r="AT14" s="6"/>
      <c r="AU14" s="50"/>
      <c r="AV14" s="635"/>
    </row>
    <row r="15" spans="1:48" ht="48" customHeight="1" x14ac:dyDescent="0.25">
      <c r="A15" s="2206">
        <v>45267</v>
      </c>
      <c r="B15" s="574">
        <v>1</v>
      </c>
      <c r="C15" s="595"/>
      <c r="D15" s="596"/>
      <c r="E15" s="6">
        <v>46</v>
      </c>
      <c r="F15" s="597"/>
      <c r="G15" s="685"/>
      <c r="H15" s="620"/>
      <c r="I15" s="848" t="s">
        <v>152</v>
      </c>
      <c r="J15" s="635"/>
      <c r="K15" s="622"/>
      <c r="L15" s="572"/>
      <c r="M15" s="6"/>
      <c r="N15" s="6"/>
      <c r="O15" s="597"/>
      <c r="P15" s="685"/>
      <c r="Q15" s="620"/>
      <c r="R15" s="620"/>
      <c r="S15" s="635"/>
      <c r="T15" s="622"/>
      <c r="U15" s="572"/>
      <c r="V15" s="6"/>
      <c r="W15" s="6">
        <v>7</v>
      </c>
      <c r="X15" s="597"/>
      <c r="Y15" s="685"/>
      <c r="Z15" s="620"/>
      <c r="AA15" s="698" t="s">
        <v>152</v>
      </c>
      <c r="AB15" s="635"/>
      <c r="AC15" s="622"/>
      <c r="AD15" s="572"/>
      <c r="AE15" s="6"/>
      <c r="AF15" s="622"/>
      <c r="AG15" s="597"/>
      <c r="AH15" s="685"/>
      <c r="AI15" s="620"/>
      <c r="AJ15" s="620"/>
      <c r="AK15" s="635"/>
      <c r="AM15" s="572"/>
      <c r="AN15" s="6"/>
      <c r="AO15" s="622"/>
      <c r="AP15" s="597"/>
      <c r="AQ15" s="685"/>
      <c r="AR15" s="620"/>
      <c r="AS15" s="620"/>
      <c r="AT15" s="620"/>
      <c r="AU15" s="635"/>
      <c r="AV15" s="635"/>
    </row>
    <row r="16" spans="1:48" ht="54.6" customHeight="1" x14ac:dyDescent="0.25">
      <c r="A16" s="2205"/>
      <c r="B16" s="574">
        <v>2</v>
      </c>
      <c r="C16" s="595"/>
      <c r="D16" s="596"/>
      <c r="E16" s="596">
        <v>18</v>
      </c>
      <c r="F16" s="597"/>
      <c r="G16" s="684"/>
      <c r="H16" s="830"/>
      <c r="I16" s="848" t="s">
        <v>152</v>
      </c>
      <c r="J16" s="635"/>
      <c r="K16" s="622"/>
      <c r="L16" s="572"/>
      <c r="M16" s="6"/>
      <c r="N16" s="6"/>
      <c r="O16" s="597"/>
      <c r="P16" s="684"/>
      <c r="Q16" s="830"/>
      <c r="R16" s="620"/>
      <c r="S16" s="635"/>
      <c r="T16" s="622"/>
      <c r="U16" s="572"/>
      <c r="V16" s="6"/>
      <c r="W16" s="6"/>
      <c r="X16" s="597"/>
      <c r="Y16" s="684"/>
      <c r="Z16" s="830"/>
      <c r="AA16" s="620"/>
      <c r="AB16" s="635"/>
      <c r="AC16" s="622"/>
      <c r="AD16" s="572">
        <v>15</v>
      </c>
      <c r="AE16" s="6"/>
      <c r="AF16" s="6"/>
      <c r="AG16" s="597"/>
      <c r="AH16" s="685" t="s">
        <v>113</v>
      </c>
      <c r="AI16" s="830"/>
      <c r="AJ16" s="6"/>
      <c r="AK16" s="635"/>
      <c r="AM16" s="572"/>
      <c r="AN16" s="6"/>
      <c r="AO16" s="6"/>
      <c r="AP16" s="597"/>
      <c r="AQ16" s="684"/>
      <c r="AR16" s="830"/>
      <c r="AS16" s="620"/>
      <c r="AT16" s="620"/>
      <c r="AU16" s="692"/>
      <c r="AV16" s="635"/>
    </row>
    <row r="17" spans="1:48" ht="66" customHeight="1" x14ac:dyDescent="0.25">
      <c r="A17" s="2206">
        <v>45268</v>
      </c>
      <c r="B17" s="644">
        <v>1</v>
      </c>
      <c r="C17" s="595"/>
      <c r="D17" s="596">
        <v>15</v>
      </c>
      <c r="E17" s="596">
        <v>24</v>
      </c>
      <c r="F17" s="597"/>
      <c r="G17" s="685"/>
      <c r="H17" s="619" t="s">
        <v>792</v>
      </c>
      <c r="I17" s="848" t="s">
        <v>152</v>
      </c>
      <c r="J17" s="635"/>
      <c r="K17" s="622"/>
      <c r="L17" s="572"/>
      <c r="M17" s="6"/>
      <c r="N17" s="6"/>
      <c r="O17" s="597"/>
      <c r="P17" s="685"/>
      <c r="Q17" s="619"/>
      <c r="R17" s="620"/>
      <c r="S17" s="635"/>
      <c r="T17" s="622"/>
      <c r="U17" s="572"/>
      <c r="V17" s="6"/>
      <c r="W17" s="6"/>
      <c r="X17" s="597"/>
      <c r="Y17" s="685"/>
      <c r="Z17" s="619"/>
      <c r="AA17" s="698"/>
      <c r="AB17" s="635"/>
      <c r="AC17" s="622"/>
      <c r="AD17" s="572"/>
      <c r="AE17" s="6"/>
      <c r="AF17" s="6"/>
      <c r="AG17" s="597"/>
      <c r="AH17" s="685"/>
      <c r="AI17" s="619"/>
      <c r="AJ17" s="620"/>
      <c r="AK17" s="635"/>
      <c r="AM17" s="572"/>
      <c r="AN17" s="6"/>
      <c r="AO17" s="6"/>
      <c r="AP17" s="597"/>
      <c r="AQ17" s="685"/>
      <c r="AR17" s="619"/>
      <c r="AS17" s="620"/>
      <c r="AT17" s="698"/>
      <c r="AU17" s="635"/>
      <c r="AV17" s="635"/>
    </row>
    <row r="18" spans="1:48" ht="49.9" customHeight="1" x14ac:dyDescent="0.25">
      <c r="A18" s="2205"/>
      <c r="B18" s="574">
        <v>2</v>
      </c>
      <c r="C18" s="595"/>
      <c r="D18" s="596"/>
      <c r="E18" s="596">
        <v>35</v>
      </c>
      <c r="F18" s="597"/>
      <c r="G18" s="684"/>
      <c r="H18" s="830"/>
      <c r="I18" s="848" t="s">
        <v>793</v>
      </c>
      <c r="J18" s="635"/>
      <c r="K18" s="622"/>
      <c r="L18" s="572"/>
      <c r="M18" s="6"/>
      <c r="N18" s="6"/>
      <c r="O18" s="597"/>
      <c r="P18" s="684"/>
      <c r="Q18" s="620"/>
      <c r="R18" s="619"/>
      <c r="S18" s="635"/>
      <c r="T18" s="622"/>
      <c r="U18" s="572"/>
      <c r="V18" s="6"/>
      <c r="W18" s="6">
        <v>5</v>
      </c>
      <c r="X18" s="597"/>
      <c r="Y18" s="684"/>
      <c r="Z18" s="620"/>
      <c r="AA18" s="698" t="s">
        <v>794</v>
      </c>
      <c r="AB18" s="635"/>
      <c r="AC18" s="622"/>
      <c r="AD18" s="572"/>
      <c r="AE18" s="6"/>
      <c r="AF18" s="6"/>
      <c r="AG18" s="597"/>
      <c r="AH18" s="684"/>
      <c r="AI18" s="620"/>
      <c r="AJ18" s="619"/>
      <c r="AK18" s="635"/>
      <c r="AM18" s="572"/>
      <c r="AN18" s="6"/>
      <c r="AO18" s="6">
        <v>5</v>
      </c>
      <c r="AP18" s="50"/>
      <c r="AQ18" s="597"/>
      <c r="AR18" s="684"/>
      <c r="AS18" s="620"/>
      <c r="AT18" s="698" t="s">
        <v>794</v>
      </c>
      <c r="AU18" s="830"/>
      <c r="AV18" s="635"/>
    </row>
    <row r="19" spans="1:48" ht="33.6" customHeight="1" x14ac:dyDescent="0.25">
      <c r="A19" s="2206">
        <v>45269</v>
      </c>
      <c r="B19" s="574">
        <v>1</v>
      </c>
      <c r="C19" s="622"/>
      <c r="D19" s="596"/>
      <c r="E19" s="596">
        <v>5</v>
      </c>
      <c r="F19" s="597"/>
      <c r="G19" s="567"/>
      <c r="H19" s="6"/>
      <c r="I19" s="848" t="s">
        <v>152</v>
      </c>
      <c r="J19" s="635"/>
      <c r="K19" s="622"/>
      <c r="L19" s="572"/>
      <c r="M19" s="6"/>
      <c r="N19" s="6"/>
      <c r="O19" s="597"/>
      <c r="P19" s="572"/>
      <c r="Q19" s="6"/>
      <c r="R19" s="6"/>
      <c r="S19" s="635"/>
      <c r="T19" s="622"/>
      <c r="U19" s="572"/>
      <c r="V19" s="6"/>
      <c r="W19" s="6">
        <v>12</v>
      </c>
      <c r="X19" s="597"/>
      <c r="Y19" s="572"/>
      <c r="Z19" s="605"/>
      <c r="AA19" s="698" t="s">
        <v>152</v>
      </c>
      <c r="AB19" s="635"/>
      <c r="AC19" s="622"/>
      <c r="AD19" s="572"/>
      <c r="AE19" s="6"/>
      <c r="AF19" s="6"/>
      <c r="AG19" s="597"/>
      <c r="AH19" s="572"/>
      <c r="AI19" s="6"/>
      <c r="AJ19" s="698"/>
      <c r="AK19" s="635"/>
      <c r="AM19" s="572"/>
      <c r="AN19" s="6"/>
      <c r="AO19" s="6"/>
      <c r="AP19" s="50"/>
      <c r="AQ19" s="597"/>
      <c r="AR19" s="572"/>
      <c r="AS19" s="6"/>
      <c r="AT19" s="620"/>
      <c r="AU19" s="828"/>
      <c r="AV19" s="635"/>
    </row>
    <row r="20" spans="1:48" ht="31.15" customHeight="1" x14ac:dyDescent="0.25">
      <c r="A20" s="2205"/>
      <c r="B20" s="574">
        <v>2</v>
      </c>
      <c r="C20" s="595"/>
      <c r="D20" s="596">
        <v>15</v>
      </c>
      <c r="E20" s="596">
        <v>17</v>
      </c>
      <c r="F20" s="597"/>
      <c r="G20" s="567"/>
      <c r="H20" s="605"/>
      <c r="I20" s="848" t="s">
        <v>152</v>
      </c>
      <c r="J20" s="635"/>
      <c r="K20" s="622"/>
      <c r="L20" s="572"/>
      <c r="M20" s="6"/>
      <c r="N20" s="6"/>
      <c r="O20" s="597"/>
      <c r="P20" s="572"/>
      <c r="Q20" s="605"/>
      <c r="R20" s="724"/>
      <c r="S20" s="635"/>
      <c r="T20" s="622"/>
      <c r="U20" s="572"/>
      <c r="V20" s="250"/>
      <c r="W20" s="6"/>
      <c r="X20" s="597"/>
      <c r="Y20" s="572"/>
      <c r="Z20" s="605"/>
      <c r="AA20" s="698"/>
      <c r="AB20" s="635"/>
      <c r="AC20" s="622"/>
      <c r="AD20" s="572"/>
      <c r="AE20" s="6"/>
      <c r="AF20" s="6"/>
      <c r="AG20" s="597"/>
      <c r="AH20" s="572"/>
      <c r="AI20" s="605"/>
      <c r="AJ20" s="698"/>
      <c r="AK20" s="635"/>
      <c r="AM20" s="572"/>
      <c r="AN20" s="6"/>
      <c r="AO20" s="6">
        <v>24</v>
      </c>
      <c r="AP20" s="50"/>
      <c r="AQ20" s="597">
        <v>36</v>
      </c>
      <c r="AR20" s="572"/>
      <c r="AS20" s="605"/>
      <c r="AT20" s="605" t="s">
        <v>97</v>
      </c>
      <c r="AU20" s="1038" t="s">
        <v>795</v>
      </c>
      <c r="AV20" s="635"/>
    </row>
    <row r="21" spans="1:48" ht="39.6" customHeight="1" x14ac:dyDescent="0.25">
      <c r="A21" s="2206">
        <v>45270</v>
      </c>
      <c r="B21" s="574">
        <v>1</v>
      </c>
      <c r="C21" s="595"/>
      <c r="D21" s="596"/>
      <c r="E21" s="596"/>
      <c r="F21" s="597"/>
      <c r="G21" s="688"/>
      <c r="H21" s="619"/>
      <c r="I21" s="848"/>
      <c r="J21" s="635"/>
      <c r="K21" s="622"/>
      <c r="L21" s="572"/>
      <c r="M21" s="6"/>
      <c r="N21" s="6"/>
      <c r="O21" s="597"/>
      <c r="P21" s="572"/>
      <c r="Q21" s="6"/>
      <c r="R21" s="6"/>
      <c r="S21" s="635"/>
      <c r="T21" s="622"/>
      <c r="U21" s="572"/>
      <c r="V21" s="6"/>
      <c r="W21" s="6"/>
      <c r="X21" s="597"/>
      <c r="Y21" s="567"/>
      <c r="Z21" s="6"/>
      <c r="AA21" s="698"/>
      <c r="AB21" s="635"/>
      <c r="AC21" s="622"/>
      <c r="AD21" s="572"/>
      <c r="AE21" s="6"/>
      <c r="AF21" s="6"/>
      <c r="AG21" s="597"/>
      <c r="AH21" s="572"/>
      <c r="AI21" s="6"/>
      <c r="AJ21" s="848"/>
      <c r="AK21" s="726"/>
      <c r="AM21" s="572"/>
      <c r="AN21" s="6"/>
      <c r="AO21" s="6"/>
      <c r="AP21" s="50"/>
      <c r="AQ21" s="597"/>
      <c r="AR21" s="572"/>
      <c r="AS21" s="605"/>
      <c r="AT21" s="50"/>
      <c r="AU21" s="50"/>
      <c r="AV21" s="635"/>
    </row>
    <row r="22" spans="1:48" ht="31.9" customHeight="1" x14ac:dyDescent="0.25">
      <c r="A22" s="2205"/>
      <c r="B22" s="574">
        <v>2</v>
      </c>
      <c r="C22" s="595"/>
      <c r="D22" s="596"/>
      <c r="E22" s="596">
        <v>47</v>
      </c>
      <c r="F22" s="597"/>
      <c r="G22" s="1027"/>
      <c r="H22" s="620"/>
      <c r="I22" s="848" t="s">
        <v>796</v>
      </c>
      <c r="J22" s="635"/>
      <c r="K22" s="622"/>
      <c r="L22" s="572"/>
      <c r="M22" s="6"/>
      <c r="N22" s="6"/>
      <c r="O22" s="597"/>
      <c r="P22" s="1029"/>
      <c r="Q22" s="6"/>
      <c r="R22" s="6"/>
      <c r="S22" s="635"/>
      <c r="T22" s="622"/>
      <c r="U22" s="572"/>
      <c r="V22" s="6"/>
      <c r="W22" s="6">
        <v>7</v>
      </c>
      <c r="X22" s="597"/>
      <c r="Y22" s="567"/>
      <c r="Z22" s="6"/>
      <c r="AA22" s="698" t="s">
        <v>152</v>
      </c>
      <c r="AB22" s="635"/>
      <c r="AC22" s="622"/>
      <c r="AD22" s="572"/>
      <c r="AE22" s="6"/>
      <c r="AF22" s="6"/>
      <c r="AG22" s="597"/>
      <c r="AH22" s="567"/>
      <c r="AI22" s="6"/>
      <c r="AJ22" s="698"/>
      <c r="AK22" s="726"/>
      <c r="AM22" s="572"/>
      <c r="AN22" s="6"/>
      <c r="AO22" s="6"/>
      <c r="AP22" s="50"/>
      <c r="AQ22" s="597"/>
      <c r="AR22" s="572"/>
      <c r="AS22" s="605"/>
      <c r="AT22" s="50"/>
      <c r="AU22" s="50"/>
      <c r="AV22" s="635"/>
    </row>
    <row r="23" spans="1:48" ht="47.45" customHeight="1" x14ac:dyDescent="0.25">
      <c r="A23" s="2206">
        <v>45271</v>
      </c>
      <c r="B23" s="644">
        <v>1</v>
      </c>
      <c r="C23" s="595"/>
      <c r="D23" s="596"/>
      <c r="E23" s="596">
        <v>15</v>
      </c>
      <c r="F23" s="597"/>
      <c r="G23" s="685"/>
      <c r="H23" s="619"/>
      <c r="I23" s="848" t="s">
        <v>152</v>
      </c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/>
      <c r="V23" s="6"/>
      <c r="W23" s="6"/>
      <c r="X23" s="597"/>
      <c r="Y23" s="567"/>
      <c r="Z23" s="619"/>
      <c r="AA23" s="698"/>
      <c r="AB23" s="635"/>
      <c r="AC23" s="622"/>
      <c r="AD23" s="572"/>
      <c r="AE23" s="6"/>
      <c r="AF23" s="6"/>
      <c r="AG23" s="597"/>
      <c r="AH23" s="6"/>
      <c r="AI23" s="619"/>
      <c r="AJ23" s="620"/>
      <c r="AK23" s="726"/>
      <c r="AM23" s="572"/>
      <c r="AN23" s="6"/>
      <c r="AO23" s="6"/>
      <c r="AP23" s="50"/>
      <c r="AQ23" s="597"/>
      <c r="AR23" s="6"/>
      <c r="AS23" s="619"/>
      <c r="AT23" s="692"/>
      <c r="AU23" s="692"/>
      <c r="AV23" s="635"/>
    </row>
    <row r="24" spans="1:48" ht="49.9" customHeight="1" x14ac:dyDescent="0.25">
      <c r="A24" s="2205"/>
      <c r="B24" s="574">
        <v>2</v>
      </c>
      <c r="C24" s="595"/>
      <c r="D24" s="596"/>
      <c r="E24" s="596">
        <v>27</v>
      </c>
      <c r="F24" s="597"/>
      <c r="G24" s="685"/>
      <c r="H24" s="619"/>
      <c r="I24" s="848" t="s">
        <v>796</v>
      </c>
      <c r="J24" s="635"/>
      <c r="K24" s="622"/>
      <c r="L24" s="572"/>
      <c r="M24" s="6"/>
      <c r="N24" s="6"/>
      <c r="O24" s="597"/>
      <c r="P24" s="685"/>
      <c r="Q24" s="619"/>
      <c r="R24" s="620"/>
      <c r="S24" s="635"/>
      <c r="T24" s="622"/>
      <c r="U24" s="572"/>
      <c r="V24" s="6"/>
      <c r="W24" s="6">
        <v>36</v>
      </c>
      <c r="X24" s="597"/>
      <c r="Y24" s="685"/>
      <c r="Z24" s="619"/>
      <c r="AA24" s="848" t="s">
        <v>796</v>
      </c>
      <c r="AB24" s="635"/>
      <c r="AC24" s="622"/>
      <c r="AD24" s="572"/>
      <c r="AE24" s="6"/>
      <c r="AF24" s="6"/>
      <c r="AG24" s="597"/>
      <c r="AH24" s="685"/>
      <c r="AI24" s="619"/>
      <c r="AJ24" s="620"/>
      <c r="AK24" s="635"/>
      <c r="AM24" s="572"/>
      <c r="AN24" s="6"/>
      <c r="AO24" s="6"/>
      <c r="AP24" s="597"/>
      <c r="AQ24" s="685"/>
      <c r="AR24" s="619"/>
      <c r="AS24" s="619"/>
      <c r="AT24" s="635"/>
      <c r="AU24" s="635"/>
      <c r="AV24" s="635"/>
    </row>
    <row r="25" spans="1:48" ht="46.15" customHeight="1" x14ac:dyDescent="0.25">
      <c r="A25" s="2206">
        <v>45272</v>
      </c>
      <c r="B25" s="574">
        <v>1</v>
      </c>
      <c r="C25" s="595"/>
      <c r="D25" s="596"/>
      <c r="E25" s="596">
        <v>27</v>
      </c>
      <c r="F25" s="597">
        <v>158</v>
      </c>
      <c r="G25" s="685"/>
      <c r="H25" s="619"/>
      <c r="I25" s="848" t="s">
        <v>152</v>
      </c>
      <c r="J25" s="635" t="s">
        <v>797</v>
      </c>
      <c r="K25" s="622"/>
      <c r="L25" s="572"/>
      <c r="M25" s="6"/>
      <c r="N25" s="6"/>
      <c r="O25" s="597"/>
      <c r="P25" s="572"/>
      <c r="Q25" s="619"/>
      <c r="R25" s="6"/>
      <c r="S25" s="635"/>
      <c r="T25" s="622"/>
      <c r="U25" s="572"/>
      <c r="V25" s="6"/>
      <c r="W25" s="6">
        <v>7</v>
      </c>
      <c r="X25" s="597">
        <v>375</v>
      </c>
      <c r="Y25" s="567"/>
      <c r="Z25" s="605"/>
      <c r="AA25" s="698" t="s">
        <v>152</v>
      </c>
      <c r="AB25" s="635" t="s">
        <v>797</v>
      </c>
      <c r="AC25" s="622"/>
      <c r="AD25" s="572"/>
      <c r="AE25" s="6"/>
      <c r="AF25" s="6"/>
      <c r="AG25" s="597"/>
      <c r="AH25" s="6"/>
      <c r="AI25" s="605"/>
      <c r="AJ25" s="620"/>
      <c r="AK25" s="726"/>
      <c r="AM25" s="572"/>
      <c r="AN25" s="6"/>
      <c r="AO25" s="6"/>
      <c r="AP25" s="50"/>
      <c r="AQ25" s="597"/>
      <c r="AR25" s="6"/>
      <c r="AS25" s="6"/>
      <c r="AT25" s="50"/>
      <c r="AU25" s="50"/>
      <c r="AV25" s="635"/>
    </row>
    <row r="26" spans="1:48" ht="42" customHeight="1" x14ac:dyDescent="0.25">
      <c r="A26" s="2205"/>
      <c r="B26" s="574">
        <v>2</v>
      </c>
      <c r="C26" s="595"/>
      <c r="D26" s="596"/>
      <c r="E26" s="596">
        <v>38</v>
      </c>
      <c r="F26" s="597"/>
      <c r="G26" s="685"/>
      <c r="H26" s="620"/>
      <c r="I26" s="848" t="s">
        <v>796</v>
      </c>
      <c r="J26" s="635"/>
      <c r="K26" s="622"/>
      <c r="L26" s="572"/>
      <c r="M26" s="6"/>
      <c r="N26" s="6"/>
      <c r="O26" s="597"/>
      <c r="P26" s="685"/>
      <c r="Q26" s="620"/>
      <c r="R26" s="692"/>
      <c r="S26" s="635"/>
      <c r="T26" s="622"/>
      <c r="U26" s="572"/>
      <c r="V26" s="596">
        <v>20</v>
      </c>
      <c r="W26" s="6"/>
      <c r="X26" s="597">
        <v>165</v>
      </c>
      <c r="Y26" s="685"/>
      <c r="Z26" s="620" t="s">
        <v>798</v>
      </c>
      <c r="AA26" s="698"/>
      <c r="AB26" s="635" t="s">
        <v>797</v>
      </c>
      <c r="AC26" s="622"/>
      <c r="AD26" s="572"/>
      <c r="AE26" s="596"/>
      <c r="AF26" s="6">
        <v>40</v>
      </c>
      <c r="AG26" s="597"/>
      <c r="AH26" s="685"/>
      <c r="AI26" s="620"/>
      <c r="AJ26" s="692" t="s">
        <v>799</v>
      </c>
      <c r="AK26" s="635"/>
      <c r="AM26" s="572"/>
      <c r="AN26" s="596"/>
      <c r="AO26" s="6"/>
      <c r="AP26" s="967"/>
      <c r="AQ26" s="597"/>
      <c r="AR26" s="685"/>
      <c r="AS26" s="620"/>
      <c r="AT26" s="692"/>
      <c r="AU26" s="635"/>
      <c r="AV26" s="635"/>
    </row>
    <row r="27" spans="1:48" ht="49.9" customHeight="1" x14ac:dyDescent="0.25">
      <c r="A27" s="2206">
        <v>45273</v>
      </c>
      <c r="B27" s="644">
        <v>1</v>
      </c>
      <c r="C27" s="595"/>
      <c r="D27" s="596"/>
      <c r="E27" s="596"/>
      <c r="F27" s="597"/>
      <c r="G27" s="685"/>
      <c r="H27" s="619"/>
      <c r="I27" s="692"/>
      <c r="J27" s="635"/>
      <c r="K27" s="622"/>
      <c r="L27" s="572"/>
      <c r="M27" s="6"/>
      <c r="N27" s="6"/>
      <c r="O27" s="597"/>
      <c r="P27" s="685"/>
      <c r="Q27" s="619"/>
      <c r="R27" s="620"/>
      <c r="S27" s="635"/>
      <c r="T27" s="622"/>
      <c r="U27" s="572"/>
      <c r="V27" s="6"/>
      <c r="W27" s="6">
        <v>14</v>
      </c>
      <c r="X27" s="597"/>
      <c r="Y27" s="685"/>
      <c r="Z27" s="619"/>
      <c r="AA27" s="698" t="s">
        <v>152</v>
      </c>
      <c r="AB27" s="635"/>
      <c r="AC27" s="622"/>
      <c r="AD27" s="572"/>
      <c r="AE27" s="6"/>
      <c r="AF27" s="6"/>
      <c r="AG27" s="597"/>
      <c r="AH27" s="685"/>
      <c r="AI27" s="6"/>
      <c r="AJ27" s="620"/>
      <c r="AK27" s="635"/>
      <c r="AM27" s="572"/>
      <c r="AN27" s="6"/>
      <c r="AO27" s="6"/>
      <c r="AP27" s="50"/>
      <c r="AQ27" s="597"/>
      <c r="AR27" s="6"/>
      <c r="AS27" s="6"/>
      <c r="AT27" s="692"/>
      <c r="AU27" s="635"/>
      <c r="AV27" s="635"/>
    </row>
    <row r="28" spans="1:48" ht="72" customHeight="1" x14ac:dyDescent="0.25">
      <c r="A28" s="2205"/>
      <c r="B28" s="574">
        <v>2</v>
      </c>
      <c r="C28" s="595"/>
      <c r="D28" s="596"/>
      <c r="E28" s="596">
        <v>50</v>
      </c>
      <c r="F28" s="597"/>
      <c r="G28" s="620"/>
      <c r="H28" s="620"/>
      <c r="I28" s="698" t="s">
        <v>800</v>
      </c>
      <c r="J28" s="635"/>
      <c r="K28" s="622"/>
      <c r="L28" s="572"/>
      <c r="M28" s="6"/>
      <c r="N28" s="6"/>
      <c r="O28" s="597"/>
      <c r="P28" s="620"/>
      <c r="Q28" s="620"/>
      <c r="R28" s="620"/>
      <c r="S28" s="635"/>
      <c r="T28" s="622"/>
      <c r="U28" s="572"/>
      <c r="V28" s="6"/>
      <c r="W28" s="622">
        <v>68</v>
      </c>
      <c r="X28" s="597"/>
      <c r="Y28" s="620"/>
      <c r="Z28" s="6"/>
      <c r="AA28" s="698" t="s">
        <v>801</v>
      </c>
      <c r="AB28" s="635"/>
      <c r="AC28" s="622"/>
      <c r="AD28" s="572"/>
      <c r="AE28" s="6"/>
      <c r="AF28" s="6"/>
      <c r="AG28" s="597"/>
      <c r="AH28" s="685"/>
      <c r="AI28" s="6"/>
      <c r="AJ28" s="692"/>
      <c r="AK28" s="635"/>
      <c r="AM28" s="572"/>
      <c r="AN28" s="6"/>
      <c r="AO28" s="6"/>
      <c r="AP28" s="50"/>
      <c r="AQ28" s="597"/>
      <c r="AR28" s="605"/>
      <c r="AS28" s="6"/>
      <c r="AT28" s="692"/>
      <c r="AU28" s="635"/>
      <c r="AV28" s="634"/>
    </row>
    <row r="29" spans="1:48" ht="66" customHeight="1" x14ac:dyDescent="0.25">
      <c r="A29" s="2206">
        <v>45274</v>
      </c>
      <c r="B29" s="574">
        <v>1</v>
      </c>
      <c r="C29" s="595"/>
      <c r="D29" s="596"/>
      <c r="E29" s="596"/>
      <c r="F29" s="597"/>
      <c r="G29" s="620"/>
      <c r="H29" s="619"/>
      <c r="I29" s="848"/>
      <c r="J29" s="635"/>
      <c r="K29" s="622"/>
      <c r="L29" s="572"/>
      <c r="M29" s="6"/>
      <c r="N29" s="6"/>
      <c r="O29" s="597"/>
      <c r="P29" s="685"/>
      <c r="Q29" s="619"/>
      <c r="R29" s="620"/>
      <c r="S29" s="635"/>
      <c r="T29" s="622"/>
      <c r="U29" s="572"/>
      <c r="V29" s="6"/>
      <c r="W29" s="6">
        <v>6</v>
      </c>
      <c r="X29" s="597"/>
      <c r="Y29" s="620"/>
      <c r="Z29" s="619"/>
      <c r="AA29" s="698" t="s">
        <v>152</v>
      </c>
      <c r="AB29" s="635"/>
      <c r="AC29" s="622"/>
      <c r="AD29" s="572"/>
      <c r="AE29" s="6"/>
      <c r="AF29" s="6"/>
      <c r="AG29" s="597"/>
      <c r="AH29" s="685"/>
      <c r="AI29" s="619"/>
      <c r="AJ29" s="620"/>
      <c r="AK29" s="635"/>
      <c r="AM29" s="572"/>
      <c r="AN29" s="6"/>
      <c r="AO29" s="6"/>
      <c r="AP29" s="50"/>
      <c r="AQ29" s="597"/>
      <c r="AR29" s="685"/>
      <c r="AS29" s="619"/>
      <c r="AT29" s="620"/>
      <c r="AU29" s="635"/>
      <c r="AV29" s="613"/>
    </row>
    <row r="30" spans="1:48" ht="39.6" customHeight="1" x14ac:dyDescent="0.25">
      <c r="A30" s="2205"/>
      <c r="B30" s="644">
        <v>2</v>
      </c>
      <c r="C30" s="595"/>
      <c r="D30" s="596"/>
      <c r="E30" s="596">
        <v>22</v>
      </c>
      <c r="F30" s="597"/>
      <c r="G30" s="685"/>
      <c r="H30" s="619"/>
      <c r="I30" s="698" t="s">
        <v>802</v>
      </c>
      <c r="J30" s="635"/>
      <c r="K30" s="622"/>
      <c r="L30" s="572"/>
      <c r="M30" s="6"/>
      <c r="N30" s="6"/>
      <c r="O30" s="597"/>
      <c r="P30" s="685"/>
      <c r="Q30" s="620"/>
      <c r="R30" s="620"/>
      <c r="S30" s="635"/>
      <c r="T30" s="622"/>
      <c r="U30" s="572"/>
      <c r="V30" s="6"/>
      <c r="W30" s="6">
        <v>32</v>
      </c>
      <c r="X30" s="597"/>
      <c r="Y30" s="685"/>
      <c r="Z30" s="619"/>
      <c r="AA30" s="698" t="s">
        <v>803</v>
      </c>
      <c r="AB30" s="635"/>
      <c r="AC30" s="622"/>
      <c r="AD30" s="572"/>
      <c r="AE30" s="6"/>
      <c r="AF30" s="6"/>
      <c r="AG30" s="597"/>
      <c r="AH30" s="685"/>
      <c r="AI30" s="620"/>
      <c r="AJ30" s="620"/>
      <c r="AK30" s="635"/>
      <c r="AM30" s="572"/>
      <c r="AN30" s="6"/>
      <c r="AO30" s="6"/>
      <c r="AP30" s="50"/>
      <c r="AQ30" s="597"/>
      <c r="AR30" s="614"/>
      <c r="AS30" s="605"/>
      <c r="AT30" s="828"/>
      <c r="AU30" s="635"/>
      <c r="AV30" s="613"/>
    </row>
    <row r="31" spans="1:48" ht="39.6" customHeight="1" x14ac:dyDescent="0.25">
      <c r="A31" s="2206">
        <v>45275</v>
      </c>
      <c r="B31" s="574">
        <v>1</v>
      </c>
      <c r="C31" s="595"/>
      <c r="D31" s="596"/>
      <c r="E31" s="596">
        <v>44</v>
      </c>
      <c r="F31" s="597"/>
      <c r="G31" s="685"/>
      <c r="H31" s="619"/>
      <c r="I31" s="848" t="s">
        <v>152</v>
      </c>
      <c r="J31" s="635"/>
      <c r="K31" s="622"/>
      <c r="L31" s="572"/>
      <c r="M31" s="6"/>
      <c r="N31" s="6"/>
      <c r="O31" s="597"/>
      <c r="P31" s="614"/>
      <c r="Q31" s="6"/>
      <c r="R31" s="6"/>
      <c r="S31" s="635"/>
      <c r="T31" s="622"/>
      <c r="U31" s="572"/>
      <c r="V31" s="6"/>
      <c r="W31" s="6"/>
      <c r="X31" s="597"/>
      <c r="Y31" s="1029"/>
      <c r="Z31" s="6"/>
      <c r="AA31" s="698"/>
      <c r="AB31" s="635"/>
      <c r="AC31" s="622"/>
      <c r="AD31" s="572"/>
      <c r="AE31" s="6"/>
      <c r="AF31" s="6"/>
      <c r="AG31" s="597"/>
      <c r="AH31" s="685"/>
      <c r="AI31" s="6"/>
      <c r="AJ31" s="6"/>
      <c r="AK31" s="635"/>
      <c r="AM31" s="572"/>
      <c r="AN31" s="6"/>
      <c r="AO31" s="6"/>
      <c r="AP31" s="50"/>
      <c r="AQ31" s="597"/>
      <c r="AR31" s="614"/>
      <c r="AS31" s="6"/>
      <c r="AT31" s="6"/>
      <c r="AU31" s="635"/>
      <c r="AV31" s="635"/>
    </row>
    <row r="32" spans="1:48" ht="63" customHeight="1" x14ac:dyDescent="0.25">
      <c r="A32" s="2205"/>
      <c r="B32" s="574">
        <v>2</v>
      </c>
      <c r="C32" s="595"/>
      <c r="D32" s="596"/>
      <c r="E32" s="596">
        <v>55</v>
      </c>
      <c r="F32" s="597">
        <v>14</v>
      </c>
      <c r="G32" s="685"/>
      <c r="H32" s="685"/>
      <c r="I32" s="698" t="s">
        <v>802</v>
      </c>
      <c r="J32" s="635" t="s">
        <v>804</v>
      </c>
      <c r="K32" s="622"/>
      <c r="L32" s="572"/>
      <c r="M32" s="6"/>
      <c r="N32" s="6"/>
      <c r="O32" s="597"/>
      <c r="P32" s="614"/>
      <c r="Q32" s="6"/>
      <c r="R32" s="6"/>
      <c r="S32" s="635"/>
      <c r="T32" s="622"/>
      <c r="U32" s="572"/>
      <c r="V32" s="6">
        <v>17</v>
      </c>
      <c r="W32" s="596">
        <v>22</v>
      </c>
      <c r="X32" s="597">
        <v>12</v>
      </c>
      <c r="Y32" s="685"/>
      <c r="Z32" s="685" t="s">
        <v>806</v>
      </c>
      <c r="AA32" s="698" t="s">
        <v>807</v>
      </c>
      <c r="AB32" s="635" t="s">
        <v>805</v>
      </c>
      <c r="AC32" s="622"/>
      <c r="AD32" s="572"/>
      <c r="AE32" s="6"/>
      <c r="AF32" s="596">
        <v>10</v>
      </c>
      <c r="AG32" s="597"/>
      <c r="AH32" s="685"/>
      <c r="AI32" s="685"/>
      <c r="AJ32" s="684" t="s">
        <v>401</v>
      </c>
      <c r="AK32" s="635"/>
      <c r="AM32" s="572"/>
      <c r="AN32" s="6"/>
      <c r="AO32" s="6">
        <v>15</v>
      </c>
      <c r="AP32" s="50"/>
      <c r="AQ32" s="597"/>
      <c r="AR32" s="614"/>
      <c r="AS32" s="605"/>
      <c r="AT32" s="684" t="s">
        <v>401</v>
      </c>
      <c r="AU32" s="635"/>
      <c r="AV32" s="613"/>
    </row>
    <row r="33" spans="1:48" ht="43.15" customHeight="1" x14ac:dyDescent="0.25">
      <c r="A33" s="2206">
        <v>45276</v>
      </c>
      <c r="B33" s="574">
        <v>1</v>
      </c>
      <c r="C33" s="595"/>
      <c r="D33" s="596"/>
      <c r="E33" s="596">
        <v>19</v>
      </c>
      <c r="F33" s="597"/>
      <c r="G33" s="685"/>
      <c r="H33" s="619"/>
      <c r="I33" s="848" t="s">
        <v>152</v>
      </c>
      <c r="J33" s="635"/>
      <c r="K33" s="622"/>
      <c r="L33" s="572"/>
      <c r="M33" s="6"/>
      <c r="N33" s="6"/>
      <c r="O33" s="597"/>
      <c r="P33" s="614"/>
      <c r="Q33" s="6"/>
      <c r="R33" s="6"/>
      <c r="S33" s="635"/>
      <c r="T33" s="622"/>
      <c r="U33" s="572"/>
      <c r="V33" s="6"/>
      <c r="W33" s="6">
        <v>8</v>
      </c>
      <c r="X33" s="597"/>
      <c r="Y33" s="614"/>
      <c r="Z33" s="6"/>
      <c r="AA33" s="698" t="s">
        <v>152</v>
      </c>
      <c r="AB33" s="635"/>
      <c r="AC33" s="622"/>
      <c r="AD33" s="572"/>
      <c r="AE33" s="6"/>
      <c r="AF33" s="6"/>
      <c r="AG33" s="597"/>
      <c r="AH33" s="614"/>
      <c r="AI33" s="605"/>
      <c r="AJ33" s="698"/>
      <c r="AK33" s="635"/>
      <c r="AM33" s="572"/>
      <c r="AN33" s="6"/>
      <c r="AO33" s="6"/>
      <c r="AP33" s="50"/>
      <c r="AQ33" s="597"/>
      <c r="AR33" s="614"/>
      <c r="AS33" s="605"/>
      <c r="AT33" s="6"/>
      <c r="AU33" s="635"/>
      <c r="AV33" s="613"/>
    </row>
    <row r="34" spans="1:48" ht="67.900000000000006" customHeight="1" x14ac:dyDescent="0.25">
      <c r="A34" s="2205"/>
      <c r="B34" s="644">
        <v>2</v>
      </c>
      <c r="C34" s="596"/>
      <c r="D34" s="596"/>
      <c r="E34" s="596">
        <v>35</v>
      </c>
      <c r="F34" s="829"/>
      <c r="G34" s="684"/>
      <c r="H34" s="620"/>
      <c r="I34" s="698" t="s">
        <v>800</v>
      </c>
      <c r="J34" s="635"/>
      <c r="K34" s="622"/>
      <c r="L34" s="572"/>
      <c r="M34" s="6"/>
      <c r="N34" s="6"/>
      <c r="O34" s="613"/>
      <c r="P34" s="614"/>
      <c r="Q34" s="620"/>
      <c r="R34" s="6"/>
      <c r="S34" s="635"/>
      <c r="T34" s="622"/>
      <c r="U34" s="572"/>
      <c r="V34" s="6"/>
      <c r="W34" s="6"/>
      <c r="X34" s="613"/>
      <c r="Y34" s="605"/>
      <c r="Z34" s="605"/>
      <c r="AA34" s="698"/>
      <c r="AB34" s="635"/>
      <c r="AC34" s="622"/>
      <c r="AD34" s="572">
        <v>20</v>
      </c>
      <c r="AE34" s="6"/>
      <c r="AF34" s="6"/>
      <c r="AG34" s="613"/>
      <c r="AH34" s="614"/>
      <c r="AI34" s="6"/>
      <c r="AJ34" s="605" t="s">
        <v>263</v>
      </c>
      <c r="AK34" s="635"/>
      <c r="AM34" s="572"/>
      <c r="AN34" s="6"/>
      <c r="AO34" s="6"/>
      <c r="AP34" s="50"/>
      <c r="AQ34" s="613"/>
      <c r="AR34" s="614"/>
      <c r="AS34" s="6"/>
      <c r="AT34" s="828"/>
      <c r="AU34" s="635"/>
      <c r="AV34" s="613"/>
    </row>
    <row r="35" spans="1:48" ht="51" customHeight="1" x14ac:dyDescent="0.25">
      <c r="A35" s="2206">
        <v>45277</v>
      </c>
      <c r="B35" s="574">
        <v>1</v>
      </c>
      <c r="C35" s="596">
        <v>13</v>
      </c>
      <c r="D35" s="596"/>
      <c r="E35" s="50">
        <v>25</v>
      </c>
      <c r="F35" s="828"/>
      <c r="G35" s="567" t="s">
        <v>743</v>
      </c>
      <c r="H35" s="614"/>
      <c r="I35" s="848" t="s">
        <v>152</v>
      </c>
      <c r="J35" s="687"/>
      <c r="K35" s="622"/>
      <c r="L35" s="572"/>
      <c r="M35" s="6"/>
      <c r="N35" s="6"/>
      <c r="O35" s="613"/>
      <c r="P35" s="567"/>
      <c r="Q35" s="1033"/>
      <c r="R35" s="620"/>
      <c r="S35" s="635"/>
      <c r="T35" s="622"/>
      <c r="U35" s="572"/>
      <c r="V35" s="6"/>
      <c r="W35" s="50">
        <v>25</v>
      </c>
      <c r="X35" s="634"/>
      <c r="Y35" s="567"/>
      <c r="Z35" s="6"/>
      <c r="AA35" s="698" t="s">
        <v>807</v>
      </c>
      <c r="AB35" s="613"/>
      <c r="AC35" s="622"/>
      <c r="AD35" s="572"/>
      <c r="AE35" s="6"/>
      <c r="AF35" s="6">
        <v>12</v>
      </c>
      <c r="AG35" s="1029"/>
      <c r="AH35" s="567"/>
      <c r="AI35" s="6"/>
      <c r="AJ35" s="684" t="s">
        <v>401</v>
      </c>
      <c r="AK35" s="613"/>
      <c r="AM35" s="572"/>
      <c r="AN35" s="6"/>
      <c r="AO35" s="50"/>
      <c r="AP35" s="50"/>
      <c r="AQ35" s="634"/>
      <c r="AR35" s="567"/>
      <c r="AS35" s="692"/>
      <c r="AT35" s="605"/>
      <c r="AU35" s="828"/>
      <c r="AV35" s="613"/>
    </row>
    <row r="36" spans="1:48" ht="46.9" customHeight="1" x14ac:dyDescent="0.25">
      <c r="A36" s="2205"/>
      <c r="B36" s="574">
        <v>2</v>
      </c>
      <c r="C36" s="50"/>
      <c r="D36" s="6"/>
      <c r="E36" s="50">
        <v>22</v>
      </c>
      <c r="F36" s="828"/>
      <c r="G36" s="692"/>
      <c r="H36" s="1029"/>
      <c r="I36" s="848" t="s">
        <v>152</v>
      </c>
      <c r="J36" s="635"/>
      <c r="K36" s="622"/>
      <c r="L36" s="567"/>
      <c r="M36" s="6"/>
      <c r="N36" s="6"/>
      <c r="O36" s="1029"/>
      <c r="P36" s="567"/>
      <c r="Q36" s="605"/>
      <c r="R36" s="605"/>
      <c r="S36" s="635"/>
      <c r="T36" s="622"/>
      <c r="U36" s="572"/>
      <c r="V36" s="6">
        <v>43</v>
      </c>
      <c r="W36" s="6">
        <v>8</v>
      </c>
      <c r="X36" s="1029"/>
      <c r="Y36" s="567"/>
      <c r="Z36" s="605" t="s">
        <v>61</v>
      </c>
      <c r="AA36" s="698" t="s">
        <v>808</v>
      </c>
      <c r="AB36" s="613"/>
      <c r="AC36" s="622"/>
      <c r="AD36" s="572"/>
      <c r="AE36" s="6"/>
      <c r="AF36" s="50"/>
      <c r="AG36" s="634"/>
      <c r="AH36" s="567"/>
      <c r="AI36" s="605"/>
      <c r="AJ36" s="698"/>
      <c r="AK36" s="613"/>
      <c r="AM36" s="572"/>
      <c r="AN36" s="6"/>
      <c r="AO36" s="6"/>
      <c r="AP36" s="614"/>
      <c r="AQ36" s="1029"/>
      <c r="AR36" s="567"/>
      <c r="AS36" s="605"/>
      <c r="AT36" s="605"/>
      <c r="AU36" s="828"/>
      <c r="AV36" s="613"/>
    </row>
    <row r="37" spans="1:48" ht="59.45" customHeight="1" x14ac:dyDescent="0.25">
      <c r="A37" s="2206">
        <v>45278</v>
      </c>
      <c r="B37" s="644">
        <v>1</v>
      </c>
      <c r="C37" s="50"/>
      <c r="D37" s="596"/>
      <c r="E37" s="50">
        <v>30</v>
      </c>
      <c r="F37" s="50"/>
      <c r="G37" s="692"/>
      <c r="H37" s="1029"/>
      <c r="I37" s="848" t="s">
        <v>152</v>
      </c>
      <c r="J37" s="635"/>
      <c r="K37" s="622"/>
      <c r="L37" s="572"/>
      <c r="M37" s="6"/>
      <c r="N37" s="6"/>
      <c r="O37" s="727"/>
      <c r="P37" s="614"/>
      <c r="Q37" s="6"/>
      <c r="R37" s="6"/>
      <c r="S37" s="613"/>
      <c r="T37" s="622"/>
      <c r="U37" s="572"/>
      <c r="V37" s="6"/>
      <c r="W37" s="6">
        <v>10</v>
      </c>
      <c r="X37" s="613"/>
      <c r="Y37" s="614"/>
      <c r="Z37" s="605"/>
      <c r="AA37" s="698" t="s">
        <v>152</v>
      </c>
      <c r="AB37" s="635"/>
      <c r="AC37" s="622"/>
      <c r="AD37" s="572"/>
      <c r="AE37" s="6"/>
      <c r="AF37" s="6"/>
      <c r="AG37" s="613"/>
      <c r="AH37" s="1029"/>
      <c r="AI37" s="6"/>
      <c r="AJ37" s="698"/>
      <c r="AK37" s="613"/>
      <c r="AM37" s="572"/>
      <c r="AN37" s="6"/>
      <c r="AO37" s="6"/>
      <c r="AP37" s="50"/>
      <c r="AQ37" s="613"/>
      <c r="AR37" s="614"/>
      <c r="AS37" s="6"/>
      <c r="AT37" s="6"/>
      <c r="AU37" s="50"/>
      <c r="AV37" s="613"/>
    </row>
    <row r="38" spans="1:48" ht="55.9" customHeight="1" x14ac:dyDescent="0.25">
      <c r="A38" s="2205"/>
      <c r="B38" s="574">
        <v>2</v>
      </c>
      <c r="C38" s="50"/>
      <c r="D38" s="596"/>
      <c r="E38" s="50"/>
      <c r="F38" s="829"/>
      <c r="G38" s="692"/>
      <c r="H38" s="1029"/>
      <c r="I38" s="848"/>
      <c r="J38" s="635"/>
      <c r="K38" s="622"/>
      <c r="L38" s="572"/>
      <c r="M38" s="6"/>
      <c r="N38" s="6"/>
      <c r="O38" s="613"/>
      <c r="P38" s="1029"/>
      <c r="Q38" s="1029"/>
      <c r="R38" s="6"/>
      <c r="S38" s="635"/>
      <c r="T38" s="622"/>
      <c r="U38" s="572">
        <v>38</v>
      </c>
      <c r="V38" s="6"/>
      <c r="W38" s="6"/>
      <c r="X38" s="613"/>
      <c r="Y38" s="614" t="s">
        <v>809</v>
      </c>
      <c r="Z38" s="605"/>
      <c r="AA38" s="698"/>
      <c r="AB38" s="635"/>
      <c r="AC38" s="622"/>
      <c r="AD38" s="572"/>
      <c r="AE38" s="6"/>
      <c r="AF38" s="6"/>
      <c r="AG38" s="613"/>
      <c r="AH38" s="1029"/>
      <c r="AI38" s="6"/>
      <c r="AJ38" s="698"/>
      <c r="AK38" s="635"/>
      <c r="AM38" s="572"/>
      <c r="AN38" s="6"/>
      <c r="AO38" s="6"/>
      <c r="AP38" s="50"/>
      <c r="AQ38" s="613"/>
      <c r="AR38" s="614"/>
      <c r="AS38" s="6"/>
      <c r="AT38" s="605"/>
      <c r="AU38" s="828"/>
      <c r="AV38" s="635"/>
    </row>
    <row r="39" spans="1:48" ht="70.900000000000006" customHeight="1" x14ac:dyDescent="0.25">
      <c r="A39" s="2206">
        <v>45279</v>
      </c>
      <c r="B39" s="574">
        <v>1</v>
      </c>
      <c r="C39" s="50"/>
      <c r="D39" s="596"/>
      <c r="E39" s="50">
        <v>28</v>
      </c>
      <c r="F39" s="829"/>
      <c r="G39" s="692"/>
      <c r="H39" s="1037"/>
      <c r="I39" s="848" t="s">
        <v>152</v>
      </c>
      <c r="J39" s="635"/>
      <c r="K39" s="622"/>
      <c r="L39" s="572"/>
      <c r="M39" s="6"/>
      <c r="N39" s="6"/>
      <c r="O39" s="597"/>
      <c r="P39" s="692"/>
      <c r="Q39" s="619"/>
      <c r="R39" s="692"/>
      <c r="S39" s="635"/>
      <c r="T39" s="622"/>
      <c r="U39" s="572"/>
      <c r="V39" s="6"/>
      <c r="W39" s="6">
        <v>18</v>
      </c>
      <c r="X39" s="597"/>
      <c r="Y39" s="692"/>
      <c r="Z39" s="619"/>
      <c r="AA39" s="698" t="s">
        <v>152</v>
      </c>
      <c r="AB39" s="635"/>
      <c r="AC39" s="622"/>
      <c r="AD39" s="572"/>
      <c r="AE39" s="6"/>
      <c r="AF39" s="6"/>
      <c r="AG39" s="597"/>
      <c r="AH39" s="692"/>
      <c r="AI39" s="619"/>
      <c r="AJ39" s="692"/>
      <c r="AK39" s="635"/>
      <c r="AM39" s="572"/>
      <c r="AN39" s="6"/>
      <c r="AO39" s="6"/>
      <c r="AP39" s="597"/>
      <c r="AQ39" s="692"/>
      <c r="AR39" s="619"/>
      <c r="AS39" s="692"/>
      <c r="AT39" s="635"/>
      <c r="AU39" s="635"/>
      <c r="AV39" s="687"/>
    </row>
    <row r="40" spans="1:48" ht="72.599999999999994" customHeight="1" x14ac:dyDescent="0.25">
      <c r="A40" s="2205"/>
      <c r="B40" s="574">
        <v>2</v>
      </c>
      <c r="C40" s="596"/>
      <c r="D40" s="596"/>
      <c r="E40" s="596"/>
      <c r="F40" s="613"/>
      <c r="G40" s="692"/>
      <c r="H40" s="620"/>
      <c r="I40" s="692"/>
      <c r="J40" s="635"/>
      <c r="K40" s="622"/>
      <c r="L40" s="572"/>
      <c r="M40" s="6"/>
      <c r="N40" s="6"/>
      <c r="O40" s="613"/>
      <c r="P40" s="685"/>
      <c r="Q40" s="619"/>
      <c r="R40" s="692"/>
      <c r="S40" s="635"/>
      <c r="T40" s="622"/>
      <c r="U40" s="572"/>
      <c r="V40" s="6"/>
      <c r="W40" s="6"/>
      <c r="X40" s="613"/>
      <c r="Y40" s="685"/>
      <c r="Z40" s="619"/>
      <c r="AA40" s="684"/>
      <c r="AB40" s="635"/>
      <c r="AC40" s="622"/>
      <c r="AD40" s="572"/>
      <c r="AE40" s="6">
        <v>50</v>
      </c>
      <c r="AF40" s="6"/>
      <c r="AG40" s="613"/>
      <c r="AH40" s="567"/>
      <c r="AI40" s="620" t="s">
        <v>691</v>
      </c>
      <c r="AJ40" s="692"/>
      <c r="AK40" s="635"/>
      <c r="AM40" s="567"/>
      <c r="AN40" s="6"/>
      <c r="AO40" s="6"/>
      <c r="AP40" s="50"/>
      <c r="AQ40" s="613"/>
      <c r="AR40" s="685"/>
      <c r="AS40" s="619"/>
      <c r="AT40" s="692"/>
      <c r="AU40" s="635"/>
      <c r="AV40" s="635"/>
    </row>
    <row r="41" spans="1:48" ht="39.6" customHeight="1" x14ac:dyDescent="0.25">
      <c r="A41" s="2206">
        <v>45280</v>
      </c>
      <c r="B41" s="574">
        <v>1</v>
      </c>
      <c r="C41" s="595"/>
      <c r="D41" s="596"/>
      <c r="E41" s="596"/>
      <c r="F41" s="613"/>
      <c r="G41" s="685"/>
      <c r="H41" s="620"/>
      <c r="I41" s="692"/>
      <c r="J41" s="635"/>
      <c r="K41" s="622"/>
      <c r="L41" s="572"/>
      <c r="M41" s="6"/>
      <c r="N41" s="6"/>
      <c r="O41" s="613"/>
      <c r="P41" s="614"/>
      <c r="Q41" s="6"/>
      <c r="R41" s="692"/>
      <c r="S41" s="635"/>
      <c r="T41" s="622"/>
      <c r="U41" s="572"/>
      <c r="V41" s="6"/>
      <c r="W41" s="6">
        <v>26</v>
      </c>
      <c r="X41" s="613"/>
      <c r="Y41" s="614"/>
      <c r="Z41" s="605"/>
      <c r="AA41" s="698" t="s">
        <v>152</v>
      </c>
      <c r="AB41" s="613"/>
      <c r="AC41" s="622"/>
      <c r="AD41" s="572"/>
      <c r="AE41" s="6"/>
      <c r="AF41" s="6"/>
      <c r="AG41" s="613"/>
      <c r="AH41" s="567"/>
      <c r="AI41" s="605"/>
      <c r="AJ41" s="6"/>
      <c r="AK41" s="613"/>
      <c r="AM41" s="572"/>
      <c r="AN41" s="6"/>
      <c r="AO41" s="6"/>
      <c r="AP41" s="50"/>
      <c r="AQ41" s="613"/>
      <c r="AR41" s="614"/>
      <c r="AS41" s="605"/>
      <c r="AT41" s="692"/>
      <c r="AU41" s="50"/>
      <c r="AV41" s="613"/>
    </row>
    <row r="42" spans="1:48" ht="33" customHeight="1" x14ac:dyDescent="0.25">
      <c r="A42" s="2205"/>
      <c r="B42" s="574">
        <v>2</v>
      </c>
      <c r="C42" s="596"/>
      <c r="D42" s="596"/>
      <c r="E42" s="596"/>
      <c r="F42" s="613"/>
      <c r="G42" s="685"/>
      <c r="H42" s="620"/>
      <c r="I42" s="692"/>
      <c r="J42" s="635"/>
      <c r="K42" s="622"/>
      <c r="L42" s="572"/>
      <c r="M42" s="6"/>
      <c r="N42" s="6"/>
      <c r="O42" s="613"/>
      <c r="P42" s="614"/>
      <c r="Q42" s="6"/>
      <c r="R42" s="6"/>
      <c r="S42" s="635"/>
      <c r="T42" s="622"/>
      <c r="U42" s="572"/>
      <c r="V42" s="6"/>
      <c r="W42" s="6"/>
      <c r="X42" s="613"/>
      <c r="Y42" s="1029"/>
      <c r="Z42" s="6"/>
      <c r="AA42" s="698"/>
      <c r="AB42" s="635"/>
      <c r="AC42" s="622"/>
      <c r="AD42" s="572">
        <v>275</v>
      </c>
      <c r="AE42" s="6"/>
      <c r="AF42" s="6"/>
      <c r="AG42" s="613"/>
      <c r="AH42" s="614" t="s">
        <v>583</v>
      </c>
      <c r="AI42" s="6"/>
      <c r="AJ42" s="6"/>
      <c r="AK42" s="635"/>
      <c r="AM42" s="572"/>
      <c r="AN42" s="6"/>
      <c r="AO42" s="6"/>
      <c r="AP42" s="50"/>
      <c r="AQ42" s="613"/>
      <c r="AR42" s="614"/>
      <c r="AS42" s="6"/>
      <c r="AT42" s="6"/>
      <c r="AU42" s="635"/>
      <c r="AV42" s="613"/>
    </row>
    <row r="43" spans="1:48" ht="65.45" customHeight="1" x14ac:dyDescent="0.25">
      <c r="A43" s="2206">
        <v>45281</v>
      </c>
      <c r="B43" s="574">
        <v>1</v>
      </c>
      <c r="C43" s="596"/>
      <c r="D43" s="596"/>
      <c r="E43" s="596">
        <v>36</v>
      </c>
      <c r="F43" s="597"/>
      <c r="G43" s="619"/>
      <c r="H43" s="619"/>
      <c r="I43" s="848" t="s">
        <v>152</v>
      </c>
      <c r="J43" s="635"/>
      <c r="K43" s="622"/>
      <c r="L43" s="572"/>
      <c r="M43" s="6"/>
      <c r="N43" s="6"/>
      <c r="O43" s="613"/>
      <c r="P43" s="614"/>
      <c r="Q43" s="6"/>
      <c r="R43" s="6"/>
      <c r="S43" s="635"/>
      <c r="T43" s="622"/>
      <c r="U43" s="572"/>
      <c r="V43" s="6"/>
      <c r="W43" s="6">
        <v>20</v>
      </c>
      <c r="X43" s="613"/>
      <c r="Y43" s="614"/>
      <c r="Z43" s="6"/>
      <c r="AA43" s="698" t="s">
        <v>152</v>
      </c>
      <c r="AB43" s="635"/>
      <c r="AC43" s="622"/>
      <c r="AD43" s="572"/>
      <c r="AE43" s="6"/>
      <c r="AF43" s="6"/>
      <c r="AG43" s="613"/>
      <c r="AH43" s="605"/>
      <c r="AI43" s="620"/>
      <c r="AJ43" s="6"/>
      <c r="AK43" s="635"/>
      <c r="AM43" s="572"/>
      <c r="AN43" s="6"/>
      <c r="AO43" s="6"/>
      <c r="AP43" s="50"/>
      <c r="AQ43" s="613"/>
      <c r="AR43" s="605"/>
      <c r="AS43" s="620"/>
      <c r="AT43" s="6"/>
      <c r="AU43" s="635"/>
      <c r="AV43" s="613"/>
    </row>
    <row r="44" spans="1:48" ht="69" customHeight="1" x14ac:dyDescent="0.25">
      <c r="A44" s="2205"/>
      <c r="B44" s="574">
        <v>2</v>
      </c>
      <c r="C44" s="596"/>
      <c r="D44" s="596"/>
      <c r="E44" s="596"/>
      <c r="F44" s="597"/>
      <c r="G44" s="619"/>
      <c r="H44" s="620"/>
      <c r="I44" s="692"/>
      <c r="J44" s="635"/>
      <c r="K44" s="622"/>
      <c r="L44" s="572"/>
      <c r="M44" s="6"/>
      <c r="N44" s="6"/>
      <c r="O44" s="613"/>
      <c r="P44" s="1029"/>
      <c r="Q44" s="6"/>
      <c r="R44" s="605"/>
      <c r="S44" s="635"/>
      <c r="T44" s="622"/>
      <c r="U44" s="572"/>
      <c r="V44" s="6">
        <v>23</v>
      </c>
      <c r="W44" s="596"/>
      <c r="X44" s="597"/>
      <c r="Y44" s="619"/>
      <c r="Z44" s="620" t="s">
        <v>276</v>
      </c>
      <c r="AA44" s="698"/>
      <c r="AB44" s="635"/>
      <c r="AC44" s="622"/>
      <c r="AD44" s="572"/>
      <c r="AE44" s="6"/>
      <c r="AF44" s="6"/>
      <c r="AG44" s="613"/>
      <c r="AH44" s="614"/>
      <c r="AI44" s="605"/>
      <c r="AJ44" s="605"/>
      <c r="AK44" s="635"/>
      <c r="AM44" s="572"/>
      <c r="AN44" s="6"/>
      <c r="AO44" s="6"/>
      <c r="AP44" s="50"/>
      <c r="AQ44" s="613"/>
      <c r="AR44" s="614"/>
      <c r="AS44" s="605"/>
      <c r="AT44" s="605"/>
      <c r="AU44" s="635"/>
      <c r="AV44" s="613"/>
    </row>
    <row r="45" spans="1:48" ht="48" customHeight="1" x14ac:dyDescent="0.25">
      <c r="A45" s="2206">
        <v>45282</v>
      </c>
      <c r="B45" s="574">
        <v>1</v>
      </c>
      <c r="C45" s="596"/>
      <c r="D45" s="596"/>
      <c r="E45" s="596"/>
      <c r="F45" s="597"/>
      <c r="G45" s="619"/>
      <c r="H45" s="619"/>
      <c r="I45" s="692"/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"/>
      <c r="W45" s="6"/>
      <c r="X45" s="613"/>
      <c r="Y45" s="619"/>
      <c r="Z45" s="620"/>
      <c r="AA45" s="605"/>
      <c r="AB45" s="613"/>
      <c r="AC45" s="622"/>
      <c r="AD45" s="572"/>
      <c r="AE45" s="6"/>
      <c r="AF45" s="6"/>
      <c r="AG45" s="613"/>
      <c r="AH45" s="614"/>
      <c r="AI45" s="605"/>
      <c r="AJ45" s="605"/>
      <c r="AK45" s="613"/>
      <c r="AM45" s="572"/>
      <c r="AN45" s="6"/>
      <c r="AO45" s="6"/>
      <c r="AP45" s="50"/>
      <c r="AQ45" s="613"/>
      <c r="AR45" s="614"/>
      <c r="AS45" s="605"/>
      <c r="AT45" s="6"/>
      <c r="AU45" s="50"/>
      <c r="AV45" s="613"/>
    </row>
    <row r="46" spans="1:48" ht="48.6" customHeight="1" x14ac:dyDescent="0.25">
      <c r="A46" s="2205"/>
      <c r="B46" s="574">
        <v>2</v>
      </c>
      <c r="C46" s="596"/>
      <c r="D46" s="596"/>
      <c r="E46" s="596"/>
      <c r="F46" s="597"/>
      <c r="G46" s="619"/>
      <c r="H46" s="619"/>
      <c r="I46" s="692"/>
      <c r="J46" s="635"/>
      <c r="K46" s="622"/>
      <c r="L46" s="572"/>
      <c r="M46" s="6"/>
      <c r="N46" s="6"/>
      <c r="O46" s="785"/>
      <c r="P46" s="614"/>
      <c r="Q46" s="620"/>
      <c r="R46" s="605"/>
      <c r="S46" s="635"/>
      <c r="T46" s="622"/>
      <c r="U46" s="572"/>
      <c r="V46" s="6"/>
      <c r="W46" s="6"/>
      <c r="X46" s="613"/>
      <c r="Y46" s="1029"/>
      <c r="Z46" s="6"/>
      <c r="AA46" s="605"/>
      <c r="AB46" s="635"/>
      <c r="AC46" s="622"/>
      <c r="AD46" s="572"/>
      <c r="AE46" s="6"/>
      <c r="AF46" s="6"/>
      <c r="AG46" s="613"/>
      <c r="AH46" s="1029"/>
      <c r="AI46" s="6"/>
      <c r="AJ46" s="6"/>
      <c r="AK46" s="635"/>
      <c r="AM46" s="572"/>
      <c r="AN46" s="6"/>
      <c r="AO46" s="6"/>
      <c r="AP46" s="50"/>
      <c r="AQ46" s="613"/>
      <c r="AR46" s="614"/>
      <c r="AS46" s="620"/>
      <c r="AT46" s="6"/>
      <c r="AU46" s="50"/>
      <c r="AV46" s="635"/>
    </row>
    <row r="47" spans="1:48" ht="58.9" customHeight="1" x14ac:dyDescent="0.25">
      <c r="A47" s="2206">
        <v>45283</v>
      </c>
      <c r="B47" s="574">
        <v>1</v>
      </c>
      <c r="C47" s="596"/>
      <c r="D47" s="596"/>
      <c r="E47" s="596"/>
      <c r="F47" s="597"/>
      <c r="G47" s="619"/>
      <c r="H47" s="619"/>
      <c r="I47" s="692"/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/>
      <c r="X47" s="613"/>
      <c r="Y47" s="614"/>
      <c r="Z47" s="605"/>
      <c r="AA47" s="605"/>
      <c r="AB47" s="635"/>
      <c r="AC47" s="622"/>
      <c r="AD47" s="572"/>
      <c r="AE47" s="6"/>
      <c r="AF47" s="6"/>
      <c r="AG47" s="613"/>
      <c r="AH47" s="1029"/>
      <c r="AI47" s="620"/>
      <c r="AJ47" s="605"/>
      <c r="AK47" s="613"/>
      <c r="AM47" s="572"/>
      <c r="AN47" s="6"/>
      <c r="AO47" s="6"/>
      <c r="AP47" s="50"/>
      <c r="AQ47" s="613"/>
      <c r="AR47" s="614"/>
      <c r="AS47" s="620"/>
      <c r="AT47" s="6"/>
      <c r="AU47" s="50"/>
      <c r="AV47" s="613"/>
    </row>
    <row r="48" spans="1:48" ht="34.9" customHeight="1" x14ac:dyDescent="0.25">
      <c r="A48" s="2205"/>
      <c r="B48" s="574">
        <v>2</v>
      </c>
      <c r="C48" s="596"/>
      <c r="D48" s="596"/>
      <c r="E48" s="596"/>
      <c r="F48" s="597"/>
      <c r="G48" s="620"/>
      <c r="H48" s="620"/>
      <c r="I48" s="692"/>
      <c r="J48" s="635"/>
      <c r="K48" s="622"/>
      <c r="L48" s="572"/>
      <c r="M48" s="6"/>
      <c r="N48" s="6"/>
      <c r="O48" s="597"/>
      <c r="P48" s="620"/>
      <c r="Q48" s="620"/>
      <c r="R48" s="692"/>
      <c r="S48" s="635"/>
      <c r="T48" s="622"/>
      <c r="U48" s="572"/>
      <c r="V48" s="6"/>
      <c r="W48" s="6"/>
      <c r="X48" s="597"/>
      <c r="Y48" s="620"/>
      <c r="Z48" s="620"/>
      <c r="AA48" s="692"/>
      <c r="AB48" s="635"/>
      <c r="AC48" s="622"/>
      <c r="AD48" s="572"/>
      <c r="AE48" s="6"/>
      <c r="AF48" s="6"/>
      <c r="AG48" s="597"/>
      <c r="AH48" s="620"/>
      <c r="AI48" s="620"/>
      <c r="AJ48" s="692"/>
      <c r="AK48" s="635"/>
      <c r="AM48" s="572"/>
      <c r="AN48" s="6"/>
      <c r="AO48" s="572"/>
      <c r="AP48" s="6"/>
      <c r="AQ48" s="6"/>
      <c r="AR48" s="597"/>
      <c r="AS48" s="620"/>
      <c r="AT48" s="620"/>
      <c r="AU48" s="635"/>
      <c r="AV48" s="613"/>
    </row>
    <row r="49" spans="1:48" ht="36" customHeight="1" x14ac:dyDescent="0.25">
      <c r="A49" s="2206">
        <v>45284</v>
      </c>
      <c r="B49" s="574">
        <v>1</v>
      </c>
      <c r="C49" s="596"/>
      <c r="D49" s="596"/>
      <c r="E49" s="596">
        <v>40</v>
      </c>
      <c r="F49" s="597"/>
      <c r="G49" s="620"/>
      <c r="H49" s="619"/>
      <c r="I49" s="848" t="s">
        <v>152</v>
      </c>
      <c r="J49" s="635"/>
      <c r="K49" s="622"/>
      <c r="L49" s="572"/>
      <c r="M49" s="6"/>
      <c r="N49" s="6"/>
      <c r="O49" s="597"/>
      <c r="P49" s="620"/>
      <c r="Q49" s="619"/>
      <c r="R49" s="692"/>
      <c r="S49" s="635"/>
      <c r="T49" s="622"/>
      <c r="U49" s="572"/>
      <c r="V49" s="6"/>
      <c r="W49" s="6">
        <v>39</v>
      </c>
      <c r="X49" s="597"/>
      <c r="Y49" s="620"/>
      <c r="Z49" s="619"/>
      <c r="AA49" s="698" t="s">
        <v>152</v>
      </c>
      <c r="AB49" s="635"/>
      <c r="AC49" s="622"/>
      <c r="AD49" s="572"/>
      <c r="AE49" s="6"/>
      <c r="AF49" s="6"/>
      <c r="AG49" s="597"/>
      <c r="AH49" s="620"/>
      <c r="AI49" s="619"/>
      <c r="AJ49" s="692"/>
      <c r="AK49" s="635"/>
      <c r="AM49" s="572"/>
      <c r="AN49" s="6"/>
      <c r="AO49" s="6"/>
      <c r="AP49" s="597"/>
      <c r="AQ49" s="620"/>
      <c r="AR49" s="619"/>
      <c r="AS49" s="692"/>
      <c r="AT49" s="635"/>
      <c r="AU49" s="635"/>
      <c r="AV49" s="613"/>
    </row>
    <row r="50" spans="1:48" ht="51.6" customHeight="1" x14ac:dyDescent="0.25">
      <c r="A50" s="2205"/>
      <c r="B50" s="574">
        <v>2</v>
      </c>
      <c r="C50" s="596"/>
      <c r="D50" s="596"/>
      <c r="E50" s="596"/>
      <c r="F50" s="597"/>
      <c r="G50" s="619"/>
      <c r="H50" s="619"/>
      <c r="I50" s="692"/>
      <c r="J50" s="635"/>
      <c r="K50" s="622"/>
      <c r="L50" s="572"/>
      <c r="M50" s="6"/>
      <c r="N50" s="6"/>
      <c r="O50" s="597"/>
      <c r="P50" s="619"/>
      <c r="Q50" s="619"/>
      <c r="R50" s="692"/>
      <c r="S50" s="635"/>
      <c r="T50" s="622"/>
      <c r="U50" s="572"/>
      <c r="V50" s="6"/>
      <c r="W50" s="6"/>
      <c r="X50" s="597"/>
      <c r="Y50" s="619"/>
      <c r="Z50" s="619"/>
      <c r="AA50" s="698"/>
      <c r="AB50" s="635"/>
      <c r="AC50" s="622"/>
      <c r="AD50" s="572"/>
      <c r="AE50" s="6"/>
      <c r="AF50" s="6"/>
      <c r="AG50" s="597"/>
      <c r="AH50" s="619"/>
      <c r="AI50" s="619"/>
      <c r="AJ50" s="692"/>
      <c r="AK50" s="635"/>
      <c r="AM50" s="572"/>
      <c r="AN50" s="6"/>
      <c r="AO50" s="6"/>
      <c r="AP50" s="597"/>
      <c r="AQ50" s="619"/>
      <c r="AR50" s="619"/>
      <c r="AS50" s="692"/>
      <c r="AT50" s="635"/>
      <c r="AU50" s="635"/>
      <c r="AV50" s="635"/>
    </row>
    <row r="51" spans="1:48" ht="34.9" customHeight="1" x14ac:dyDescent="0.25">
      <c r="A51" s="2206">
        <v>45285</v>
      </c>
      <c r="B51" s="574">
        <v>1</v>
      </c>
      <c r="C51" s="596"/>
      <c r="D51" s="596"/>
      <c r="E51" s="596"/>
      <c r="F51" s="597"/>
      <c r="G51" s="619"/>
      <c r="H51" s="619"/>
      <c r="I51" s="692"/>
      <c r="J51" s="635"/>
      <c r="K51" s="622"/>
      <c r="L51" s="572"/>
      <c r="M51" s="6"/>
      <c r="N51" s="6"/>
      <c r="O51" s="597"/>
      <c r="P51" s="619"/>
      <c r="Q51" s="619"/>
      <c r="R51" s="692"/>
      <c r="S51" s="635"/>
      <c r="T51" s="622"/>
      <c r="U51" s="572"/>
      <c r="V51" s="6"/>
      <c r="W51" s="6"/>
      <c r="X51" s="597"/>
      <c r="Y51" s="619"/>
      <c r="Z51" s="619"/>
      <c r="AA51" s="692"/>
      <c r="AB51" s="635"/>
      <c r="AC51" s="622"/>
      <c r="AD51" s="572"/>
      <c r="AE51" s="6"/>
      <c r="AF51" s="6"/>
      <c r="AG51" s="597"/>
      <c r="AH51" s="619"/>
      <c r="AI51" s="619"/>
      <c r="AJ51" s="692"/>
      <c r="AK51" s="635"/>
      <c r="AM51" s="572"/>
      <c r="AN51" s="6"/>
      <c r="AO51" s="6"/>
      <c r="AP51" s="597"/>
      <c r="AQ51" s="619"/>
      <c r="AR51" s="619"/>
      <c r="AS51" s="692"/>
      <c r="AT51" s="635"/>
      <c r="AU51" s="635"/>
      <c r="AV51" s="613"/>
    </row>
    <row r="52" spans="1:48" ht="49.15" customHeight="1" x14ac:dyDescent="0.25">
      <c r="A52" s="2205"/>
      <c r="B52" s="574">
        <v>2</v>
      </c>
      <c r="C52" s="596"/>
      <c r="D52" s="596"/>
      <c r="E52" s="596"/>
      <c r="F52" s="597"/>
      <c r="G52" s="620"/>
      <c r="H52" s="620"/>
      <c r="I52" s="692"/>
      <c r="J52" s="635"/>
      <c r="K52" s="622"/>
      <c r="L52" s="572"/>
      <c r="M52" s="6">
        <v>35</v>
      </c>
      <c r="N52" s="6"/>
      <c r="O52" s="597"/>
      <c r="P52" s="620"/>
      <c r="Q52" s="620" t="s">
        <v>163</v>
      </c>
      <c r="R52" s="692"/>
      <c r="S52" s="635"/>
      <c r="T52" s="622"/>
      <c r="U52" s="572"/>
      <c r="V52" s="6"/>
      <c r="W52" s="6"/>
      <c r="X52" s="597"/>
      <c r="Y52" s="620"/>
      <c r="Z52" s="620"/>
      <c r="AA52" s="692"/>
      <c r="AB52" s="635"/>
      <c r="AC52" s="622"/>
      <c r="AD52" s="572"/>
      <c r="AE52" s="6"/>
      <c r="AF52" s="6"/>
      <c r="AG52" s="597"/>
      <c r="AH52" s="620"/>
      <c r="AI52" s="620"/>
      <c r="AJ52" s="692"/>
      <c r="AK52" s="635"/>
      <c r="AM52" s="572"/>
      <c r="AN52" s="613"/>
      <c r="AO52" s="613"/>
      <c r="AP52" s="613"/>
      <c r="AQ52" s="613"/>
      <c r="AR52" s="614"/>
      <c r="AS52" s="6"/>
      <c r="AT52" s="635"/>
      <c r="AU52" s="635"/>
      <c r="AV52" s="613"/>
    </row>
    <row r="53" spans="1:48" ht="40.15" customHeight="1" x14ac:dyDescent="0.25">
      <c r="A53" s="2206">
        <v>45286</v>
      </c>
      <c r="B53" s="574">
        <v>1</v>
      </c>
      <c r="C53" s="596"/>
      <c r="D53" s="596"/>
      <c r="E53" s="596"/>
      <c r="F53" s="597"/>
      <c r="G53" s="619"/>
      <c r="H53" s="619"/>
      <c r="I53" s="692"/>
      <c r="J53" s="635"/>
      <c r="K53" s="622"/>
      <c r="L53" s="572"/>
      <c r="M53" s="6"/>
      <c r="N53" s="6"/>
      <c r="O53" s="613"/>
      <c r="P53" s="1029"/>
      <c r="Q53" s="6"/>
      <c r="R53" s="6"/>
      <c r="S53" s="635"/>
      <c r="T53" s="622"/>
      <c r="U53" s="572"/>
      <c r="V53" s="6"/>
      <c r="W53" s="6"/>
      <c r="X53" s="613"/>
      <c r="Y53" s="1029"/>
      <c r="Z53" s="6"/>
      <c r="AA53" s="605"/>
      <c r="AB53" s="613"/>
      <c r="AC53" s="622"/>
      <c r="AD53" s="572"/>
      <c r="AE53" s="605"/>
      <c r="AF53" s="6"/>
      <c r="AG53" s="613"/>
      <c r="AH53" s="614"/>
      <c r="AI53" s="605"/>
      <c r="AJ53" s="605"/>
      <c r="AK53" s="613"/>
      <c r="AM53" s="572"/>
      <c r="AN53" s="605"/>
      <c r="AO53" s="6"/>
      <c r="AP53" s="50"/>
      <c r="AQ53" s="613"/>
      <c r="AR53" s="614"/>
      <c r="AS53" s="605"/>
      <c r="AT53" s="6"/>
      <c r="AU53" s="50"/>
      <c r="AV53" s="613"/>
    </row>
    <row r="54" spans="1:48" ht="39.6" customHeight="1" x14ac:dyDescent="0.25">
      <c r="A54" s="2205"/>
      <c r="B54" s="1024">
        <v>2</v>
      </c>
      <c r="C54" s="596"/>
      <c r="D54" s="596"/>
      <c r="E54" s="596"/>
      <c r="F54" s="597"/>
      <c r="G54" s="619"/>
      <c r="H54" s="620"/>
      <c r="I54" s="692"/>
      <c r="J54" s="635"/>
      <c r="K54" s="622"/>
      <c r="L54" s="572"/>
      <c r="M54" s="6"/>
      <c r="N54" s="6"/>
      <c r="O54" s="597"/>
      <c r="P54" s="619"/>
      <c r="Q54" s="619"/>
      <c r="R54" s="619"/>
      <c r="S54" s="635"/>
      <c r="T54" s="622"/>
      <c r="U54" s="572"/>
      <c r="V54" s="6"/>
      <c r="W54" s="6"/>
      <c r="X54" s="597"/>
      <c r="Y54" s="620"/>
      <c r="Z54" s="619"/>
      <c r="AA54" s="620"/>
      <c r="AB54" s="635"/>
      <c r="AC54" s="622"/>
      <c r="AD54" s="572"/>
      <c r="AE54" s="6"/>
      <c r="AF54" s="6"/>
      <c r="AG54" s="613"/>
      <c r="AH54" s="614"/>
      <c r="AI54" s="619"/>
      <c r="AJ54" s="6"/>
      <c r="AK54" s="635"/>
      <c r="AM54" s="572"/>
      <c r="AN54" s="6"/>
      <c r="AO54" s="6"/>
      <c r="AP54" s="50"/>
      <c r="AQ54" s="597"/>
      <c r="AR54" s="619"/>
      <c r="AS54" s="619"/>
      <c r="AT54" s="619"/>
      <c r="AU54" s="830"/>
      <c r="AV54" s="635"/>
    </row>
    <row r="55" spans="1:48" ht="39.6" customHeight="1" x14ac:dyDescent="0.25">
      <c r="A55" s="2206">
        <v>45287</v>
      </c>
      <c r="B55" s="574">
        <v>1</v>
      </c>
      <c r="C55" s="595"/>
      <c r="D55" s="596"/>
      <c r="E55" s="596">
        <v>17</v>
      </c>
      <c r="F55" s="597"/>
      <c r="G55" s="619"/>
      <c r="H55" s="619"/>
      <c r="I55" s="848" t="s">
        <v>152</v>
      </c>
      <c r="J55" s="613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>
        <v>17</v>
      </c>
      <c r="X55" s="613"/>
      <c r="Y55" s="614"/>
      <c r="Z55" s="620"/>
      <c r="AA55" s="698" t="s">
        <v>152</v>
      </c>
      <c r="AB55" s="613"/>
      <c r="AC55" s="622"/>
      <c r="AD55" s="572"/>
      <c r="AE55" s="6"/>
      <c r="AF55" s="6"/>
      <c r="AG55" s="613"/>
      <c r="AH55" s="614"/>
      <c r="AI55" s="620"/>
      <c r="AJ55" s="6"/>
      <c r="AK55" s="613"/>
      <c r="AM55" s="572"/>
      <c r="AN55" s="6"/>
      <c r="AO55" s="6"/>
      <c r="AP55" s="50"/>
      <c r="AQ55" s="613"/>
      <c r="AR55" s="614"/>
      <c r="AS55" s="620"/>
      <c r="AT55" s="6"/>
      <c r="AU55" s="50"/>
      <c r="AV55" s="613"/>
    </row>
    <row r="56" spans="1:48" ht="94.15" customHeight="1" x14ac:dyDescent="0.25">
      <c r="A56" s="2205"/>
      <c r="B56" s="1024">
        <v>2</v>
      </c>
      <c r="C56" s="595"/>
      <c r="D56" s="596"/>
      <c r="E56" s="596">
        <v>38</v>
      </c>
      <c r="F56" s="597"/>
      <c r="G56" s="620"/>
      <c r="H56" s="620"/>
      <c r="I56" s="848" t="s">
        <v>152</v>
      </c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/>
      <c r="V56" s="6"/>
      <c r="W56" s="6"/>
      <c r="X56" s="597"/>
      <c r="Y56" s="1029"/>
      <c r="Z56" s="619"/>
      <c r="AA56" s="605"/>
      <c r="AB56" s="635"/>
      <c r="AC56" s="622"/>
      <c r="AD56" s="572"/>
      <c r="AE56" s="6"/>
      <c r="AF56" s="6"/>
      <c r="AG56" s="597"/>
      <c r="AH56" s="620"/>
      <c r="AI56" s="619"/>
      <c r="AJ56" s="620"/>
      <c r="AK56" s="635"/>
      <c r="AM56" s="572"/>
      <c r="AN56" s="6"/>
      <c r="AO56" s="6"/>
      <c r="AP56" s="50"/>
      <c r="AQ56" s="597"/>
      <c r="AR56" s="620"/>
      <c r="AS56" s="619"/>
      <c r="AT56" s="620"/>
      <c r="AU56" s="692"/>
      <c r="AV56" s="635"/>
    </row>
    <row r="57" spans="1:48" ht="52.15" customHeight="1" x14ac:dyDescent="0.25">
      <c r="A57" s="2206">
        <v>45288</v>
      </c>
      <c r="B57" s="574">
        <v>1</v>
      </c>
      <c r="C57" s="595"/>
      <c r="D57" s="596"/>
      <c r="E57" s="596"/>
      <c r="F57" s="597"/>
      <c r="G57" s="620"/>
      <c r="H57" s="620"/>
      <c r="I57" s="692"/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/>
      <c r="X57" s="597"/>
      <c r="Y57" s="620"/>
      <c r="Z57" s="619"/>
      <c r="AA57" s="605"/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/>
      <c r="AP57" s="50"/>
      <c r="AQ57" s="597"/>
      <c r="AR57" s="620"/>
      <c r="AS57" s="619"/>
      <c r="AT57" s="620"/>
      <c r="AU57" s="692"/>
      <c r="AV57" s="635"/>
    </row>
    <row r="58" spans="1:48" ht="78" customHeight="1" x14ac:dyDescent="0.25">
      <c r="A58" s="2205"/>
      <c r="B58" s="1024">
        <v>2</v>
      </c>
      <c r="C58" s="595"/>
      <c r="D58" s="596"/>
      <c r="E58" s="596"/>
      <c r="F58" s="597"/>
      <c r="G58" s="620"/>
      <c r="H58" s="619"/>
      <c r="I58" s="692"/>
      <c r="J58" s="635"/>
      <c r="K58" s="622"/>
      <c r="L58" s="572"/>
      <c r="M58" s="6"/>
      <c r="N58" s="6"/>
      <c r="O58" s="597"/>
      <c r="P58" s="620"/>
      <c r="Q58" s="619"/>
      <c r="R58" s="620"/>
      <c r="S58" s="635"/>
      <c r="T58" s="622"/>
      <c r="U58" s="572"/>
      <c r="V58" s="6"/>
      <c r="W58" s="6"/>
      <c r="X58" s="597"/>
      <c r="Y58" s="620"/>
      <c r="Z58" s="619"/>
      <c r="AA58" s="605"/>
      <c r="AB58" s="635"/>
      <c r="AC58" s="622"/>
      <c r="AD58" s="572"/>
      <c r="AE58" s="6"/>
      <c r="AF58" s="6"/>
      <c r="AG58" s="597"/>
      <c r="AH58" s="620"/>
      <c r="AI58" s="619"/>
      <c r="AJ58" s="6"/>
      <c r="AK58" s="635"/>
      <c r="AM58" s="572"/>
      <c r="AN58" s="6"/>
      <c r="AO58" s="6"/>
      <c r="AP58" s="50"/>
      <c r="AQ58" s="597"/>
      <c r="AR58" s="620"/>
      <c r="AS58" s="619"/>
      <c r="AT58" s="620"/>
      <c r="AU58" s="692"/>
      <c r="AV58" s="635"/>
    </row>
    <row r="59" spans="1:48" ht="73.150000000000006" customHeight="1" x14ac:dyDescent="0.25">
      <c r="A59" s="2206">
        <v>45289</v>
      </c>
      <c r="B59" s="574">
        <v>1</v>
      </c>
      <c r="C59" s="595"/>
      <c r="D59" s="596"/>
      <c r="E59" s="596"/>
      <c r="F59" s="597"/>
      <c r="G59" s="619"/>
      <c r="H59" s="619"/>
      <c r="I59" s="692"/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/>
      <c r="X59" s="613"/>
      <c r="Y59" s="614"/>
      <c r="Z59" s="6"/>
      <c r="AA59" s="605"/>
      <c r="AB59" s="635"/>
      <c r="AC59" s="622"/>
      <c r="AD59" s="572"/>
      <c r="AE59" s="6"/>
      <c r="AF59" s="6"/>
      <c r="AG59" s="613"/>
      <c r="AH59" s="1029"/>
      <c r="AI59" s="6"/>
      <c r="AJ59" s="620"/>
      <c r="AK59" s="635"/>
      <c r="AM59" s="572"/>
      <c r="AN59" s="6"/>
      <c r="AO59" s="6"/>
      <c r="AP59" s="50"/>
      <c r="AQ59" s="613"/>
      <c r="AR59" s="1029"/>
      <c r="AS59" s="6"/>
      <c r="AT59" s="620"/>
      <c r="AU59" s="692"/>
      <c r="AV59" s="635"/>
    </row>
    <row r="60" spans="1:48" ht="36" customHeight="1" x14ac:dyDescent="0.25">
      <c r="A60" s="2205"/>
      <c r="B60" s="1024">
        <v>2</v>
      </c>
      <c r="C60" s="595"/>
      <c r="D60" s="596"/>
      <c r="E60" s="596"/>
      <c r="F60" s="597"/>
      <c r="G60" s="619"/>
      <c r="H60" s="620"/>
      <c r="I60" s="692"/>
      <c r="J60" s="635"/>
      <c r="K60" s="622"/>
      <c r="L60" s="572"/>
      <c r="M60" s="6"/>
      <c r="N60" s="6"/>
      <c r="O60" s="613"/>
      <c r="P60" s="614"/>
      <c r="Q60" s="6"/>
      <c r="R60" s="6"/>
      <c r="S60" s="635"/>
      <c r="T60" s="622"/>
      <c r="U60" s="572"/>
      <c r="V60" s="6"/>
      <c r="W60" s="6"/>
      <c r="X60" s="613"/>
      <c r="Y60" s="1029"/>
      <c r="Z60" s="605"/>
      <c r="AA60" s="605"/>
      <c r="AB60" s="635"/>
      <c r="AC60" s="622"/>
      <c r="AD60" s="572"/>
      <c r="AE60" s="6"/>
      <c r="AF60" s="6"/>
      <c r="AG60" s="613"/>
      <c r="AH60" s="614"/>
      <c r="AI60" s="6"/>
      <c r="AJ60" s="605"/>
      <c r="AK60" s="635"/>
      <c r="AM60" s="572"/>
      <c r="AN60" s="6"/>
      <c r="AO60" s="6"/>
      <c r="AP60" s="50"/>
      <c r="AQ60" s="613"/>
      <c r="AR60" s="614"/>
      <c r="AS60" s="6"/>
      <c r="AT60" s="605"/>
      <c r="AU60" s="828"/>
      <c r="AV60" s="635"/>
    </row>
    <row r="61" spans="1:48" ht="32.450000000000003" customHeight="1" x14ac:dyDescent="0.25">
      <c r="A61" s="2206">
        <v>45290</v>
      </c>
      <c r="B61" s="574">
        <v>1</v>
      </c>
      <c r="C61" s="1032"/>
      <c r="D61" s="1034"/>
      <c r="E61" s="596"/>
      <c r="F61" s="749"/>
      <c r="G61" s="619"/>
      <c r="H61" s="1033"/>
      <c r="I61" s="692"/>
      <c r="J61" s="687"/>
      <c r="K61" s="622"/>
      <c r="L61" s="572"/>
      <c r="M61" s="6"/>
      <c r="N61" s="6"/>
      <c r="O61" s="613"/>
      <c r="P61" s="752"/>
      <c r="Q61" s="1030"/>
      <c r="R61" s="1030"/>
      <c r="S61" s="753"/>
      <c r="T61" s="622"/>
      <c r="U61" s="572"/>
      <c r="V61" s="6"/>
      <c r="W61" s="6"/>
      <c r="X61" s="613"/>
      <c r="Y61" s="1029"/>
      <c r="Z61" s="605"/>
      <c r="AA61" s="605"/>
      <c r="AB61" s="753"/>
      <c r="AC61" s="622"/>
      <c r="AD61" s="572"/>
      <c r="AE61" s="6"/>
      <c r="AF61" s="6"/>
      <c r="AG61" s="613"/>
      <c r="AH61" s="614"/>
      <c r="AI61" s="6"/>
      <c r="AJ61" s="605"/>
      <c r="AK61" s="753"/>
      <c r="AM61" s="572"/>
      <c r="AN61" s="6"/>
      <c r="AO61" s="6"/>
      <c r="AP61" s="50"/>
      <c r="AQ61" s="613"/>
      <c r="AR61" s="1029"/>
      <c r="AS61" s="6"/>
      <c r="AT61" s="605"/>
      <c r="AU61" s="964"/>
      <c r="AV61" s="753"/>
    </row>
    <row r="62" spans="1:48" ht="62.45" customHeight="1" x14ac:dyDescent="0.25">
      <c r="A62" s="2205"/>
      <c r="B62" s="1024">
        <v>2</v>
      </c>
      <c r="C62" s="1032"/>
      <c r="D62" s="1034"/>
      <c r="E62" s="1034"/>
      <c r="F62" s="749"/>
      <c r="G62" s="1026"/>
      <c r="H62" s="1033"/>
      <c r="I62" s="692"/>
      <c r="J62" s="687"/>
      <c r="K62" s="622"/>
      <c r="L62" s="572"/>
      <c r="M62" s="6"/>
      <c r="N62" s="6"/>
      <c r="O62" s="613"/>
      <c r="P62" s="752"/>
      <c r="Q62" s="1030"/>
      <c r="R62" s="1030"/>
      <c r="S62" s="753"/>
      <c r="T62" s="622"/>
      <c r="U62" s="572"/>
      <c r="V62" s="6"/>
      <c r="W62" s="6"/>
      <c r="X62" s="613"/>
      <c r="Y62" s="1029"/>
      <c r="Z62" s="605"/>
      <c r="AA62" s="605"/>
      <c r="AB62" s="753"/>
      <c r="AC62" s="622"/>
      <c r="AD62" s="572"/>
      <c r="AE62" s="6"/>
      <c r="AF62" s="6"/>
      <c r="AG62" s="613"/>
      <c r="AH62" s="614"/>
      <c r="AI62" s="6"/>
      <c r="AJ62" s="605"/>
      <c r="AK62" s="753"/>
      <c r="AM62" s="572"/>
      <c r="AN62" s="6"/>
      <c r="AO62" s="6"/>
      <c r="AP62" s="50"/>
      <c r="AQ62" s="613"/>
      <c r="AR62" s="614"/>
      <c r="AS62" s="6"/>
      <c r="AT62" s="605"/>
      <c r="AU62" s="964"/>
      <c r="AV62" s="753"/>
    </row>
    <row r="63" spans="1:48" ht="64.150000000000006" customHeight="1" x14ac:dyDescent="0.25">
      <c r="A63" s="2206">
        <v>45291</v>
      </c>
      <c r="B63" s="574">
        <v>1</v>
      </c>
      <c r="C63" s="706"/>
      <c r="D63" s="707"/>
      <c r="E63" s="707"/>
      <c r="F63" s="708"/>
      <c r="G63" s="717"/>
      <c r="H63" s="709"/>
      <c r="I63" s="692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/>
      <c r="X63" s="597"/>
      <c r="Y63" s="685"/>
      <c r="Z63" s="619"/>
      <c r="AA63" s="605"/>
      <c r="AB63" s="1028"/>
      <c r="AC63" s="622"/>
      <c r="AD63" s="572"/>
      <c r="AE63" s="6"/>
      <c r="AF63" s="6"/>
      <c r="AG63" s="597"/>
      <c r="AH63" s="685"/>
      <c r="AI63" s="619"/>
      <c r="AJ63" s="6"/>
      <c r="AK63" s="705"/>
      <c r="AM63" s="572"/>
      <c r="AN63" s="6"/>
      <c r="AO63" s="6"/>
      <c r="AP63" s="50"/>
      <c r="AQ63" s="597"/>
      <c r="AR63" s="685"/>
      <c r="AS63" s="619"/>
      <c r="AT63" s="619"/>
      <c r="AU63" s="965"/>
      <c r="AV63" s="705"/>
    </row>
    <row r="64" spans="1:48" ht="62.45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963"/>
      <c r="AQ64" s="636"/>
      <c r="AR64" s="637"/>
      <c r="AS64" s="638"/>
      <c r="AT64" s="638"/>
      <c r="AU64" s="966"/>
      <c r="AV64" s="713"/>
    </row>
    <row r="65" spans="1:43" ht="23.45" customHeight="1" x14ac:dyDescent="0.25">
      <c r="A65" s="524" t="s">
        <v>225</v>
      </c>
      <c r="C65" s="768">
        <f>SUM(C3:C64)</f>
        <v>775</v>
      </c>
      <c r="D65" s="525">
        <f>SUM(D3:D64)</f>
        <v>45</v>
      </c>
      <c r="E65" s="768">
        <f>SUM(E3:E64)</f>
        <v>1025</v>
      </c>
      <c r="F65" s="525">
        <f>SUM(F3:F64)</f>
        <v>172</v>
      </c>
      <c r="L65" s="525">
        <f>SUM(L3:L64)</f>
        <v>459</v>
      </c>
      <c r="M65" s="525">
        <f>SUM(M3:M64)</f>
        <v>35</v>
      </c>
      <c r="N65" s="525">
        <f>SUM(N3:N64)</f>
        <v>0</v>
      </c>
      <c r="O65" s="525">
        <f>SUM(O3:O64)</f>
        <v>0</v>
      </c>
      <c r="U65" s="525">
        <f>SUM(U3:U64)</f>
        <v>661</v>
      </c>
      <c r="V65" s="525">
        <f>SUM(V3:V64)</f>
        <v>124</v>
      </c>
      <c r="W65" s="525">
        <f>SUM(W3:W64)</f>
        <v>535</v>
      </c>
      <c r="X65" s="525">
        <f>SUM(X3:X64)</f>
        <v>552</v>
      </c>
      <c r="AD65" s="525">
        <f>SUM(AD3:AD64)</f>
        <v>572</v>
      </c>
      <c r="AE65" s="525">
        <f>SUM(AE3:AE64)</f>
        <v>50</v>
      </c>
      <c r="AF65" s="525">
        <f>SUM(AF3:AF64)</f>
        <v>138</v>
      </c>
      <c r="AG65" s="525">
        <f>SUM(AG3:AG64)</f>
        <v>0</v>
      </c>
      <c r="AM65" s="525">
        <f>SUM(AM3:AM64)</f>
        <v>275</v>
      </c>
      <c r="AN65" s="525">
        <f>SUM(AN3:AN64)</f>
        <v>0</v>
      </c>
      <c r="AO65" s="525">
        <f>SUM(AO3:AO64)</f>
        <v>59</v>
      </c>
      <c r="AP65" s="525"/>
      <c r="AQ65" s="525">
        <f>SUM(AQ3:AQ64)</f>
        <v>36</v>
      </c>
    </row>
    <row r="73" spans="1:43" ht="15.75" thickBot="1" x14ac:dyDescent="0.3"/>
    <row r="74" spans="1:43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3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3" ht="21.75" customHeight="1" x14ac:dyDescent="0.3">
      <c r="B76" s="651" t="s">
        <v>218</v>
      </c>
      <c r="C76" s="652">
        <f>C65</f>
        <v>775</v>
      </c>
      <c r="D76" s="653">
        <f>C76/60</f>
        <v>12.916666666666666</v>
      </c>
      <c r="E76" s="652">
        <f>D65</f>
        <v>45</v>
      </c>
      <c r="F76" s="654">
        <f>E76/60</f>
        <v>0.75</v>
      </c>
      <c r="G76" s="652">
        <f>E65</f>
        <v>1025</v>
      </c>
      <c r="H76" s="653">
        <f>G76/60</f>
        <v>17.083333333333332</v>
      </c>
      <c r="I76" s="652">
        <f>F65</f>
        <v>172</v>
      </c>
      <c r="J76" s="653">
        <f>I76/60</f>
        <v>2.8666666666666667</v>
      </c>
    </row>
    <row r="77" spans="1:43" ht="19.5" customHeight="1" x14ac:dyDescent="0.3">
      <c r="B77" s="651" t="s">
        <v>219</v>
      </c>
      <c r="C77" s="655">
        <f>L65</f>
        <v>459</v>
      </c>
      <c r="D77" s="656">
        <f>C77/60</f>
        <v>7.65</v>
      </c>
      <c r="E77" s="655">
        <f>M65</f>
        <v>35</v>
      </c>
      <c r="F77" s="657">
        <f>E77/60</f>
        <v>0.58333333333333337</v>
      </c>
      <c r="G77" s="655">
        <f>N65</f>
        <v>0</v>
      </c>
      <c r="H77" s="656">
        <f>G77/60</f>
        <v>0</v>
      </c>
      <c r="I77" s="655">
        <f>O65</f>
        <v>0</v>
      </c>
      <c r="J77" s="656">
        <f>I77/60</f>
        <v>0</v>
      </c>
    </row>
    <row r="78" spans="1:43" ht="20.25" customHeight="1" x14ac:dyDescent="0.3">
      <c r="B78" s="651" t="s">
        <v>220</v>
      </c>
      <c r="C78" s="655">
        <f>U65</f>
        <v>661</v>
      </c>
      <c r="D78" s="656">
        <f>C78/60</f>
        <v>11.016666666666667</v>
      </c>
      <c r="E78" s="655">
        <f>V65</f>
        <v>124</v>
      </c>
      <c r="F78" s="657">
        <f>E78/60</f>
        <v>2.0666666666666669</v>
      </c>
      <c r="G78" s="655">
        <f>W65</f>
        <v>535</v>
      </c>
      <c r="H78" s="656">
        <f>G78/60</f>
        <v>8.9166666666666661</v>
      </c>
      <c r="I78" s="655">
        <f>X65</f>
        <v>552</v>
      </c>
      <c r="J78" s="656">
        <f>I78/60</f>
        <v>9.1999999999999993</v>
      </c>
    </row>
    <row r="79" spans="1:43" ht="22.5" customHeight="1" thickBot="1" x14ac:dyDescent="0.35">
      <c r="B79" s="651" t="s">
        <v>221</v>
      </c>
      <c r="C79" s="658">
        <f>AD65</f>
        <v>572</v>
      </c>
      <c r="D79" s="659">
        <f>C79/60</f>
        <v>9.5333333333333332</v>
      </c>
      <c r="E79" s="658">
        <f>AE65</f>
        <v>50</v>
      </c>
      <c r="F79" s="660">
        <f>E79/60</f>
        <v>0.83333333333333337</v>
      </c>
      <c r="G79" s="658">
        <f>AF65</f>
        <v>138</v>
      </c>
      <c r="H79" s="659">
        <f>G79/60</f>
        <v>2.2999999999999998</v>
      </c>
      <c r="I79" s="658">
        <f>AG65</f>
        <v>0</v>
      </c>
      <c r="J79" s="659">
        <f>I79/60</f>
        <v>0</v>
      </c>
    </row>
    <row r="80" spans="1:43" ht="22.5" customHeight="1" thickBot="1" x14ac:dyDescent="0.35">
      <c r="B80" s="651" t="s">
        <v>488</v>
      </c>
      <c r="C80" s="850">
        <f>AM65</f>
        <v>275</v>
      </c>
      <c r="D80" s="849">
        <f>C80/60</f>
        <v>4.583333333333333</v>
      </c>
      <c r="E80" s="850">
        <f>AN65</f>
        <v>0</v>
      </c>
      <c r="F80" s="851">
        <f>E80/60</f>
        <v>0</v>
      </c>
      <c r="G80" s="850">
        <f>AO65</f>
        <v>59</v>
      </c>
      <c r="H80" s="849">
        <f>G80/60</f>
        <v>0.98333333333333328</v>
      </c>
      <c r="I80" s="850">
        <f>AQ65</f>
        <v>36</v>
      </c>
      <c r="J80" s="849">
        <f>I80/60</f>
        <v>0.6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45.7</v>
      </c>
      <c r="E82" s="666"/>
      <c r="F82" s="667">
        <f>SUM(F76:F80)</f>
        <v>4.2333333333333334</v>
      </c>
      <c r="G82" s="666"/>
      <c r="H82" s="667">
        <f>SUM(H76:H80)</f>
        <v>29.283333333333335</v>
      </c>
      <c r="I82" s="666"/>
      <c r="J82" s="668">
        <f>AVERAGE(J76:J80)</f>
        <v>2.5333333333333332</v>
      </c>
    </row>
  </sheetData>
  <mergeCells count="45">
    <mergeCell ref="A5:A6"/>
    <mergeCell ref="C1:F1"/>
    <mergeCell ref="G1:J1"/>
    <mergeCell ref="L1:O1"/>
    <mergeCell ref="P1:S1"/>
    <mergeCell ref="AD1:AG1"/>
    <mergeCell ref="AH1:AK1"/>
    <mergeCell ref="AM1:AQ1"/>
    <mergeCell ref="AR1:AV1"/>
    <mergeCell ref="A3:A4"/>
    <mergeCell ref="U1:X1"/>
    <mergeCell ref="Y1:AB1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</mergeCells>
  <pageMargins left="0.7" right="0.7" top="0.75" bottom="0.75" header="0.3" footer="0.3"/>
  <pageSetup paperSize="9" orientation="portrait" horizontalDpi="180" verticalDpi="18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2"/>
  <sheetViews>
    <sheetView zoomScale="60" zoomScaleNormal="60" workbookViewId="0">
      <pane xSplit="2" ySplit="2" topLeftCell="C55" activePane="bottomRight" state="frozen"/>
      <selection pane="topRight" activeCell="C1" sqref="C1"/>
      <selection pane="bottomLeft" activeCell="A3" sqref="A3"/>
      <selection pane="bottomRight" activeCell="D53" sqref="D53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7.285156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3" style="524" customWidth="1"/>
    <col min="17" max="17" width="25.7109375" style="524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2.42578125" style="524" customWidth="1"/>
    <col min="28" max="28" width="27" style="524" customWidth="1"/>
    <col min="29" max="33" width="10.7109375" style="524" customWidth="1"/>
    <col min="34" max="34" width="31.28515625" style="524" customWidth="1"/>
    <col min="35" max="35" width="18.57031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3" width="10.7109375" style="524" customWidth="1"/>
    <col min="44" max="44" width="21.140625" style="524" customWidth="1"/>
    <col min="45" max="45" width="26.28515625" style="524" customWidth="1"/>
    <col min="46" max="46" width="27.140625" style="524" customWidth="1"/>
    <col min="47" max="47" width="24.42578125" style="524" customWidth="1"/>
    <col min="48" max="48" width="26.5703125" style="524" customWidth="1"/>
    <col min="49" max="16384" width="8.85546875" style="524"/>
  </cols>
  <sheetData>
    <row r="1" spans="1:48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0"/>
      <c r="AR1" s="2252" t="s">
        <v>206</v>
      </c>
      <c r="AS1" s="2252"/>
      <c r="AT1" s="2252"/>
      <c r="AU1" s="2252"/>
      <c r="AV1" s="2253"/>
    </row>
    <row r="2" spans="1:48" ht="42.6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6" t="s">
        <v>199</v>
      </c>
      <c r="AI2" s="984" t="s">
        <v>200</v>
      </c>
      <c r="AJ2" s="984" t="s">
        <v>201</v>
      </c>
      <c r="AK2" s="984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4" t="s">
        <v>204</v>
      </c>
      <c r="AR2" s="986" t="s">
        <v>199</v>
      </c>
      <c r="AS2" s="984" t="s">
        <v>200</v>
      </c>
      <c r="AT2" s="984" t="s">
        <v>201</v>
      </c>
      <c r="AU2" s="984" t="s">
        <v>204</v>
      </c>
      <c r="AV2" s="984" t="s">
        <v>204</v>
      </c>
    </row>
    <row r="3" spans="1:48" ht="78" customHeight="1" x14ac:dyDescent="0.25">
      <c r="A3" s="2206">
        <v>45292</v>
      </c>
      <c r="B3" s="1040">
        <v>1</v>
      </c>
      <c r="C3" s="592"/>
      <c r="D3" s="593"/>
      <c r="E3" s="6"/>
      <c r="F3" s="594"/>
      <c r="G3" s="685"/>
      <c r="H3" s="619"/>
      <c r="I3" s="620"/>
      <c r="J3" s="686"/>
      <c r="K3" s="622"/>
      <c r="L3" s="612"/>
      <c r="M3" s="630"/>
      <c r="N3" s="630"/>
      <c r="O3" s="628"/>
      <c r="P3" s="629"/>
      <c r="Q3" s="699"/>
      <c r="R3" s="699"/>
      <c r="S3" s="628"/>
      <c r="T3" s="622"/>
      <c r="U3" s="612"/>
      <c r="V3" s="630">
        <v>10</v>
      </c>
      <c r="W3" s="6"/>
      <c r="X3" s="613"/>
      <c r="Y3" s="1044"/>
      <c r="Z3" s="629" t="s">
        <v>276</v>
      </c>
      <c r="AA3" s="620"/>
      <c r="AB3" s="720"/>
      <c r="AC3" s="622"/>
      <c r="AD3" s="612"/>
      <c r="AE3" s="630"/>
      <c r="AF3" s="6"/>
      <c r="AG3" s="628"/>
      <c r="AH3" s="629"/>
      <c r="AI3" s="629"/>
      <c r="AJ3" s="605"/>
      <c r="AK3" s="628"/>
      <c r="AM3" s="612"/>
      <c r="AN3" s="630"/>
      <c r="AO3" s="6">
        <v>30</v>
      </c>
      <c r="AP3" s="962"/>
      <c r="AQ3" s="628"/>
      <c r="AR3" s="629"/>
      <c r="AS3" s="648"/>
      <c r="AT3" s="6" t="s">
        <v>97</v>
      </c>
      <c r="AU3" s="962"/>
      <c r="AV3" s="628"/>
    </row>
    <row r="4" spans="1:48" ht="70.150000000000006" customHeight="1" x14ac:dyDescent="0.25">
      <c r="A4" s="2205"/>
      <c r="B4" s="574">
        <v>2</v>
      </c>
      <c r="C4" s="595"/>
      <c r="D4" s="596"/>
      <c r="E4" s="596">
        <v>68</v>
      </c>
      <c r="F4" s="597"/>
      <c r="G4" s="685"/>
      <c r="H4" s="619"/>
      <c r="I4" s="848" t="s">
        <v>232</v>
      </c>
      <c r="J4" s="687"/>
      <c r="K4" s="622"/>
      <c r="L4" s="572"/>
      <c r="M4" s="6"/>
      <c r="N4" s="6"/>
      <c r="O4" s="613"/>
      <c r="P4" s="614"/>
      <c r="Q4" s="619"/>
      <c r="R4" s="1046"/>
      <c r="S4" s="613"/>
      <c r="T4" s="622"/>
      <c r="U4" s="572"/>
      <c r="V4" s="605">
        <v>5</v>
      </c>
      <c r="W4" s="6"/>
      <c r="X4" s="613"/>
      <c r="Y4" s="1044"/>
      <c r="Z4" s="619" t="s">
        <v>810</v>
      </c>
      <c r="AA4" s="698"/>
      <c r="AB4" s="722"/>
      <c r="AC4" s="622"/>
      <c r="AD4" s="572"/>
      <c r="AE4" s="6"/>
      <c r="AF4" s="6"/>
      <c r="AG4" s="613"/>
      <c r="AH4" s="614"/>
      <c r="AI4" s="619"/>
      <c r="AJ4" s="6"/>
      <c r="AK4" s="613"/>
      <c r="AM4" s="572"/>
      <c r="AN4" s="6"/>
      <c r="AO4" s="6"/>
      <c r="AP4" s="50"/>
      <c r="AQ4" s="613"/>
      <c r="AR4" s="614"/>
      <c r="AS4" s="620"/>
      <c r="AT4" s="6"/>
      <c r="AU4" s="50"/>
      <c r="AV4" s="613"/>
    </row>
    <row r="5" spans="1:48" ht="60" customHeight="1" x14ac:dyDescent="0.25">
      <c r="A5" s="2206">
        <v>45293</v>
      </c>
      <c r="B5" s="574">
        <v>1</v>
      </c>
      <c r="C5" s="595"/>
      <c r="D5" s="596"/>
      <c r="E5" s="596">
        <v>29</v>
      </c>
      <c r="F5" s="597"/>
      <c r="G5" s="684"/>
      <c r="H5" s="684"/>
      <c r="I5" s="848" t="s">
        <v>152</v>
      </c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/>
      <c r="X5" s="613"/>
      <c r="Y5" s="1044"/>
      <c r="Z5" s="6"/>
      <c r="AA5" s="698"/>
      <c r="AB5" s="723"/>
      <c r="AC5" s="622"/>
      <c r="AD5" s="572"/>
      <c r="AE5" s="6"/>
      <c r="AF5" s="6"/>
      <c r="AG5" s="613"/>
      <c r="AH5" s="614"/>
      <c r="AI5" s="6"/>
      <c r="AJ5" s="1036"/>
      <c r="AK5" s="613"/>
      <c r="AM5" s="572"/>
      <c r="AN5" s="6"/>
      <c r="AO5" s="6"/>
      <c r="AP5" s="50"/>
      <c r="AQ5" s="613"/>
      <c r="AR5" s="614"/>
      <c r="AS5" s="6"/>
      <c r="AT5" s="605"/>
      <c r="AU5" s="828"/>
      <c r="AV5" s="634"/>
    </row>
    <row r="6" spans="1:48" ht="80.45" customHeight="1" x14ac:dyDescent="0.25">
      <c r="A6" s="2205"/>
      <c r="B6" s="574">
        <v>2</v>
      </c>
      <c r="C6" s="595"/>
      <c r="D6" s="596"/>
      <c r="E6" s="596">
        <v>26</v>
      </c>
      <c r="F6" s="597"/>
      <c r="G6" s="685"/>
      <c r="H6" s="619"/>
      <c r="I6" s="848" t="s">
        <v>328</v>
      </c>
      <c r="J6" s="687"/>
      <c r="K6" s="622"/>
      <c r="L6" s="572"/>
      <c r="M6" s="6"/>
      <c r="N6" s="6"/>
      <c r="O6" s="613"/>
      <c r="P6" s="614"/>
      <c r="Q6" s="619"/>
      <c r="R6" s="6"/>
      <c r="S6" s="613"/>
      <c r="T6" s="622"/>
      <c r="U6" s="572"/>
      <c r="V6" s="6"/>
      <c r="W6" s="6"/>
      <c r="X6" s="613"/>
      <c r="Y6" s="614"/>
      <c r="Z6" s="6"/>
      <c r="AA6" s="698"/>
      <c r="AB6" s="613"/>
      <c r="AC6" s="622"/>
      <c r="AD6" s="572"/>
      <c r="AE6" s="6"/>
      <c r="AF6" s="6"/>
      <c r="AG6" s="613"/>
      <c r="AH6" s="614"/>
      <c r="AI6" s="6"/>
      <c r="AJ6" s="6"/>
      <c r="AK6" s="613"/>
      <c r="AM6" s="572"/>
      <c r="AN6" s="6"/>
      <c r="AO6" s="6"/>
      <c r="AP6" s="50"/>
      <c r="AQ6" s="613"/>
      <c r="AR6" s="614"/>
      <c r="AS6" s="6"/>
      <c r="AT6" s="605"/>
      <c r="AU6" s="828"/>
      <c r="AV6" s="634"/>
    </row>
    <row r="7" spans="1:48" ht="71.45" customHeight="1" x14ac:dyDescent="0.25">
      <c r="A7" s="2206">
        <v>45294</v>
      </c>
      <c r="B7" s="574">
        <v>1</v>
      </c>
      <c r="C7" s="595"/>
      <c r="D7" s="596"/>
      <c r="E7" s="596"/>
      <c r="F7" s="597"/>
      <c r="G7" s="685"/>
      <c r="H7" s="1010"/>
      <c r="I7" s="848"/>
      <c r="J7" s="687"/>
      <c r="K7" s="622"/>
      <c r="L7" s="572"/>
      <c r="M7" s="614"/>
      <c r="N7" s="6"/>
      <c r="O7" s="613"/>
      <c r="P7" s="614"/>
      <c r="Q7" s="1010"/>
      <c r="R7" s="6"/>
      <c r="S7" s="613"/>
      <c r="T7" s="622"/>
      <c r="U7" s="572"/>
      <c r="V7" s="6"/>
      <c r="W7" s="6">
        <v>7</v>
      </c>
      <c r="X7" s="613"/>
      <c r="Y7" s="614"/>
      <c r="Z7" s="1010"/>
      <c r="AA7" s="698" t="s">
        <v>152</v>
      </c>
      <c r="AB7" s="613"/>
      <c r="AC7" s="622"/>
      <c r="AD7" s="572"/>
      <c r="AE7" s="6"/>
      <c r="AF7" s="6"/>
      <c r="AG7" s="613"/>
      <c r="AH7" s="614"/>
      <c r="AI7" s="1010"/>
      <c r="AJ7" s="6"/>
      <c r="AK7" s="613"/>
      <c r="AM7" s="572"/>
      <c r="AN7" s="6"/>
      <c r="AO7" s="6"/>
      <c r="AP7" s="50"/>
      <c r="AQ7" s="613"/>
      <c r="AR7" s="614"/>
      <c r="AS7" s="1010"/>
      <c r="AT7" s="620"/>
      <c r="AU7" s="692"/>
      <c r="AV7" s="634"/>
    </row>
    <row r="8" spans="1:48" ht="69.599999999999994" customHeight="1" x14ac:dyDescent="0.25">
      <c r="A8" s="2205"/>
      <c r="B8" s="574">
        <v>2</v>
      </c>
      <c r="C8" s="595"/>
      <c r="D8" s="596"/>
      <c r="E8" s="596">
        <v>33</v>
      </c>
      <c r="F8" s="597"/>
      <c r="G8" s="684"/>
      <c r="H8" s="620"/>
      <c r="I8" s="848" t="s">
        <v>152</v>
      </c>
      <c r="J8" s="635"/>
      <c r="K8" s="622"/>
      <c r="L8" s="572"/>
      <c r="M8" s="6">
        <v>113</v>
      </c>
      <c r="N8" s="6"/>
      <c r="O8" s="613"/>
      <c r="P8" s="1044"/>
      <c r="Q8" s="6" t="s">
        <v>811</v>
      </c>
      <c r="R8" s="605"/>
      <c r="S8" s="635"/>
      <c r="T8" s="622"/>
      <c r="U8" s="572"/>
      <c r="V8" s="831"/>
      <c r="W8" s="614">
        <v>13</v>
      </c>
      <c r="X8" s="613"/>
      <c r="Y8" s="1044"/>
      <c r="Z8" s="6"/>
      <c r="AA8" s="698" t="s">
        <v>328</v>
      </c>
      <c r="AB8" s="635"/>
      <c r="AC8" s="622"/>
      <c r="AD8" s="572"/>
      <c r="AE8" s="6"/>
      <c r="AF8" s="6">
        <v>5</v>
      </c>
      <c r="AG8" s="613"/>
      <c r="AH8" s="614"/>
      <c r="AI8" s="605"/>
      <c r="AJ8" s="620" t="s">
        <v>152</v>
      </c>
      <c r="AK8" s="635"/>
      <c r="AM8" s="572"/>
      <c r="AN8" s="6"/>
      <c r="AO8" s="6"/>
      <c r="AP8" s="50"/>
      <c r="AQ8" s="613"/>
      <c r="AR8" s="614"/>
      <c r="AS8" s="6"/>
      <c r="AT8" s="6"/>
      <c r="AU8" s="50"/>
      <c r="AV8" s="634"/>
    </row>
    <row r="9" spans="1:48" ht="76.900000000000006" customHeight="1" x14ac:dyDescent="0.25">
      <c r="A9" s="2206">
        <v>45295</v>
      </c>
      <c r="B9" s="574">
        <v>1</v>
      </c>
      <c r="C9" s="595"/>
      <c r="D9" s="596"/>
      <c r="E9" s="596"/>
      <c r="F9" s="597"/>
      <c r="G9" s="684"/>
      <c r="H9" s="619"/>
      <c r="I9" s="848"/>
      <c r="J9" s="635"/>
      <c r="K9" s="622"/>
      <c r="L9" s="572"/>
      <c r="M9" s="6"/>
      <c r="N9" s="6"/>
      <c r="O9" s="613"/>
      <c r="P9" s="1044"/>
      <c r="Q9" s="6"/>
      <c r="R9" s="605"/>
      <c r="S9" s="635"/>
      <c r="T9" s="622"/>
      <c r="U9" s="572"/>
      <c r="V9" s="6"/>
      <c r="W9" s="6">
        <v>10</v>
      </c>
      <c r="X9" s="613"/>
      <c r="Y9" s="614"/>
      <c r="Z9" s="6"/>
      <c r="AA9" s="698" t="s">
        <v>152</v>
      </c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/>
      <c r="AN9" s="6"/>
      <c r="AO9" s="6"/>
      <c r="AP9" s="50"/>
      <c r="AQ9" s="613"/>
      <c r="AR9" s="614"/>
      <c r="AS9" s="6"/>
      <c r="AT9" s="6"/>
      <c r="AU9" s="828"/>
      <c r="AV9" s="634"/>
    </row>
    <row r="10" spans="1:48" ht="67.150000000000006" customHeight="1" x14ac:dyDescent="0.25">
      <c r="A10" s="2205"/>
      <c r="B10" s="574">
        <v>2</v>
      </c>
      <c r="C10" s="595"/>
      <c r="D10" s="596"/>
      <c r="E10" s="596">
        <v>40</v>
      </c>
      <c r="F10" s="597"/>
      <c r="G10" s="685"/>
      <c r="H10" s="619"/>
      <c r="I10" s="848" t="s">
        <v>152</v>
      </c>
      <c r="J10" s="635"/>
      <c r="K10" s="622"/>
      <c r="L10" s="572"/>
      <c r="M10" s="6"/>
      <c r="N10" s="6"/>
      <c r="O10" s="613"/>
      <c r="P10" s="1044"/>
      <c r="Q10" s="6"/>
      <c r="R10" s="605"/>
      <c r="S10" s="635"/>
      <c r="T10" s="622"/>
      <c r="U10" s="572">
        <v>462</v>
      </c>
      <c r="V10" s="6"/>
      <c r="W10" s="6">
        <v>15</v>
      </c>
      <c r="X10" s="613"/>
      <c r="Y10" s="567" t="s">
        <v>812</v>
      </c>
      <c r="Z10" s="1044"/>
      <c r="AA10" s="698" t="s">
        <v>152</v>
      </c>
      <c r="AB10" s="635"/>
      <c r="AC10" s="622"/>
      <c r="AD10" s="572"/>
      <c r="AE10" s="6"/>
      <c r="AF10" s="6">
        <v>15</v>
      </c>
      <c r="AG10" s="613"/>
      <c r="AH10" s="1044"/>
      <c r="AI10" s="605"/>
      <c r="AJ10" s="620" t="s">
        <v>152</v>
      </c>
      <c r="AK10" s="635"/>
      <c r="AM10" s="572"/>
      <c r="AN10" s="6"/>
      <c r="AO10" s="6"/>
      <c r="AP10" s="50"/>
      <c r="AQ10" s="613"/>
      <c r="AR10" s="614"/>
      <c r="AS10" s="6"/>
      <c r="AT10" s="605"/>
      <c r="AU10" s="50"/>
      <c r="AV10" s="634"/>
    </row>
    <row r="11" spans="1:48" ht="60" customHeight="1" x14ac:dyDescent="0.25">
      <c r="A11" s="2206">
        <v>45296</v>
      </c>
      <c r="B11" s="574">
        <v>1</v>
      </c>
      <c r="C11" s="595"/>
      <c r="D11" s="596"/>
      <c r="E11" s="596">
        <v>11</v>
      </c>
      <c r="F11" s="597"/>
      <c r="G11" s="684"/>
      <c r="H11" s="619"/>
      <c r="I11" s="848" t="s">
        <v>152</v>
      </c>
      <c r="J11" s="687"/>
      <c r="K11" s="622"/>
      <c r="L11" s="572"/>
      <c r="M11" s="6"/>
      <c r="N11" s="6"/>
      <c r="O11" s="613"/>
      <c r="P11" s="1044"/>
      <c r="Q11" s="6"/>
      <c r="R11" s="605"/>
      <c r="S11" s="613"/>
      <c r="T11" s="622"/>
      <c r="U11" s="572"/>
      <c r="V11" s="6"/>
      <c r="W11" s="6">
        <v>25</v>
      </c>
      <c r="X11" s="613"/>
      <c r="Y11" s="614"/>
      <c r="Z11" s="6"/>
      <c r="AA11" s="698" t="s">
        <v>152</v>
      </c>
      <c r="AB11" s="613"/>
      <c r="AC11" s="622"/>
      <c r="AD11" s="572"/>
      <c r="AE11" s="6"/>
      <c r="AF11" s="6"/>
      <c r="AG11" s="613"/>
      <c r="AH11" s="614"/>
      <c r="AI11" s="6"/>
      <c r="AJ11" s="605"/>
      <c r="AK11" s="613"/>
      <c r="AM11" s="572"/>
      <c r="AN11" s="6"/>
      <c r="AO11" s="6"/>
      <c r="AP11" s="50"/>
      <c r="AQ11" s="613"/>
      <c r="AR11" s="614"/>
      <c r="AS11" s="6"/>
      <c r="AT11" s="6"/>
      <c r="AU11" s="50"/>
      <c r="AV11" s="634"/>
    </row>
    <row r="12" spans="1:48" ht="55.15" customHeight="1" x14ac:dyDescent="0.25">
      <c r="A12" s="2205"/>
      <c r="B12" s="574">
        <v>2</v>
      </c>
      <c r="C12" s="595"/>
      <c r="D12" s="596"/>
      <c r="E12" s="596">
        <v>20</v>
      </c>
      <c r="F12" s="597"/>
      <c r="G12" s="685"/>
      <c r="H12" s="619"/>
      <c r="I12" s="848" t="s">
        <v>152</v>
      </c>
      <c r="J12" s="635"/>
      <c r="K12" s="622"/>
      <c r="L12" s="572"/>
      <c r="M12" s="6"/>
      <c r="N12" s="6"/>
      <c r="O12" s="613"/>
      <c r="P12" s="1044"/>
      <c r="Q12" s="6"/>
      <c r="R12" s="605"/>
      <c r="S12" s="635"/>
      <c r="T12" s="622"/>
      <c r="U12" s="572"/>
      <c r="V12" s="6"/>
      <c r="W12" s="6">
        <v>22</v>
      </c>
      <c r="X12" s="613"/>
      <c r="Y12" s="614"/>
      <c r="Z12" s="6"/>
      <c r="AA12" s="848" t="s">
        <v>152</v>
      </c>
      <c r="AB12" s="635"/>
      <c r="AC12" s="622"/>
      <c r="AD12" s="572">
        <v>239</v>
      </c>
      <c r="AE12" s="6"/>
      <c r="AF12" s="6"/>
      <c r="AG12" s="613"/>
      <c r="AH12" s="614" t="s">
        <v>813</v>
      </c>
      <c r="AI12" s="605"/>
      <c r="AJ12" s="605"/>
      <c r="AK12" s="635"/>
      <c r="AM12" s="572"/>
      <c r="AN12" s="6"/>
      <c r="AO12" s="6"/>
      <c r="AP12" s="50"/>
      <c r="AQ12" s="613"/>
      <c r="AR12" s="614"/>
      <c r="AS12" s="6"/>
      <c r="AT12" s="6"/>
      <c r="AU12" s="50"/>
      <c r="AV12" s="635"/>
    </row>
    <row r="13" spans="1:48" ht="34.9" customHeight="1" x14ac:dyDescent="0.25">
      <c r="A13" s="2206">
        <v>45297</v>
      </c>
      <c r="B13" s="574">
        <v>1</v>
      </c>
      <c r="C13" s="595"/>
      <c r="D13" s="596"/>
      <c r="E13" s="596">
        <v>59</v>
      </c>
      <c r="F13" s="597"/>
      <c r="G13" s="685"/>
      <c r="H13" s="619"/>
      <c r="I13" s="848" t="s">
        <v>152</v>
      </c>
      <c r="J13" s="635"/>
      <c r="K13" s="622"/>
      <c r="L13" s="572"/>
      <c r="M13" s="6"/>
      <c r="N13" s="6"/>
      <c r="O13" s="597"/>
      <c r="P13" s="1044"/>
      <c r="Q13" s="6"/>
      <c r="R13" s="605"/>
      <c r="S13" s="635"/>
      <c r="T13" s="622"/>
      <c r="U13" s="572"/>
      <c r="V13" s="6">
        <v>21</v>
      </c>
      <c r="W13" s="6">
        <v>47</v>
      </c>
      <c r="X13" s="597"/>
      <c r="Y13" s="1044"/>
      <c r="Z13" s="605" t="s">
        <v>811</v>
      </c>
      <c r="AA13" s="848" t="s">
        <v>152</v>
      </c>
      <c r="AB13" s="635"/>
      <c r="AC13" s="622"/>
      <c r="AD13" s="572"/>
      <c r="AE13" s="6"/>
      <c r="AF13" s="6">
        <v>5</v>
      </c>
      <c r="AG13" s="597"/>
      <c r="AH13" s="614"/>
      <c r="AI13" s="6"/>
      <c r="AJ13" s="605" t="s">
        <v>152</v>
      </c>
      <c r="AK13" s="635"/>
      <c r="AM13" s="572"/>
      <c r="AN13" s="6"/>
      <c r="AO13" s="6"/>
      <c r="AP13" s="50"/>
      <c r="AQ13" s="597"/>
      <c r="AR13" s="614"/>
      <c r="AS13" s="6"/>
      <c r="AT13" s="6"/>
      <c r="AU13" s="50"/>
      <c r="AV13" s="635"/>
    </row>
    <row r="14" spans="1:48" ht="49.15" customHeight="1" x14ac:dyDescent="0.25">
      <c r="A14" s="2205"/>
      <c r="B14" s="574">
        <v>2</v>
      </c>
      <c r="C14" s="595"/>
      <c r="D14" s="596"/>
      <c r="E14" s="596">
        <v>25</v>
      </c>
      <c r="F14" s="597"/>
      <c r="G14" s="685"/>
      <c r="H14" s="620"/>
      <c r="I14" s="848" t="s">
        <v>152</v>
      </c>
      <c r="J14" s="635"/>
      <c r="K14" s="622"/>
      <c r="L14" s="572"/>
      <c r="M14" s="6"/>
      <c r="N14" s="6"/>
      <c r="O14" s="597"/>
      <c r="P14" s="614"/>
      <c r="Q14" s="6"/>
      <c r="R14" s="6"/>
      <c r="S14" s="635"/>
      <c r="T14" s="622"/>
      <c r="U14" s="572"/>
      <c r="V14" s="6">
        <v>85</v>
      </c>
      <c r="W14" s="6">
        <v>25</v>
      </c>
      <c r="X14" s="597"/>
      <c r="Y14" s="1044"/>
      <c r="Z14" s="605" t="s">
        <v>814</v>
      </c>
      <c r="AA14" s="848" t="s">
        <v>152</v>
      </c>
      <c r="AB14" s="635"/>
      <c r="AC14" s="622"/>
      <c r="AD14" s="572"/>
      <c r="AE14" s="6"/>
      <c r="AF14" s="6"/>
      <c r="AG14" s="597"/>
      <c r="AH14" s="1044"/>
      <c r="AI14" s="6"/>
      <c r="AJ14" s="6"/>
      <c r="AK14" s="635"/>
      <c r="AM14" s="572"/>
      <c r="AN14" s="6"/>
      <c r="AO14" s="6"/>
      <c r="AP14" s="50"/>
      <c r="AQ14" s="597"/>
      <c r="AR14" s="1044"/>
      <c r="AS14" s="6"/>
      <c r="AT14" s="6"/>
      <c r="AU14" s="50"/>
      <c r="AV14" s="635"/>
    </row>
    <row r="15" spans="1:48" ht="48" customHeight="1" x14ac:dyDescent="0.25">
      <c r="A15" s="2206">
        <v>45298</v>
      </c>
      <c r="B15" s="574">
        <v>1</v>
      </c>
      <c r="C15" s="595"/>
      <c r="D15" s="596"/>
      <c r="E15" s="6">
        <v>7</v>
      </c>
      <c r="F15" s="597"/>
      <c r="G15" s="685"/>
      <c r="H15" s="620"/>
      <c r="I15" s="848" t="s">
        <v>152</v>
      </c>
      <c r="J15" s="635"/>
      <c r="K15" s="622"/>
      <c r="L15" s="572"/>
      <c r="M15" s="6"/>
      <c r="N15" s="6"/>
      <c r="O15" s="597"/>
      <c r="P15" s="685"/>
      <c r="Q15" s="620"/>
      <c r="R15" s="620"/>
      <c r="S15" s="635"/>
      <c r="T15" s="622"/>
      <c r="U15" s="572"/>
      <c r="V15" s="6"/>
      <c r="W15" s="6"/>
      <c r="X15" s="597"/>
      <c r="Y15" s="685"/>
      <c r="Z15" s="620"/>
      <c r="AA15" s="698"/>
      <c r="AB15" s="635"/>
      <c r="AC15" s="622"/>
      <c r="AD15" s="572"/>
      <c r="AE15" s="6"/>
      <c r="AF15" s="622"/>
      <c r="AG15" s="597"/>
      <c r="AH15" s="685"/>
      <c r="AI15" s="620"/>
      <c r="AJ15" s="620"/>
      <c r="AK15" s="635"/>
      <c r="AM15" s="572"/>
      <c r="AN15" s="6"/>
      <c r="AO15" s="622"/>
      <c r="AP15" s="597"/>
      <c r="AQ15" s="685"/>
      <c r="AR15" s="620"/>
      <c r="AS15" s="620"/>
      <c r="AT15" s="620"/>
      <c r="AU15" s="635"/>
      <c r="AV15" s="635"/>
    </row>
    <row r="16" spans="1:48" ht="54.6" customHeight="1" x14ac:dyDescent="0.25">
      <c r="A16" s="2205"/>
      <c r="B16" s="574">
        <v>2</v>
      </c>
      <c r="C16" s="595">
        <v>238</v>
      </c>
      <c r="D16" s="596"/>
      <c r="E16" s="596"/>
      <c r="F16" s="597"/>
      <c r="G16" s="685" t="s">
        <v>513</v>
      </c>
      <c r="H16" s="830"/>
      <c r="I16" s="848"/>
      <c r="J16" s="635"/>
      <c r="K16" s="622"/>
      <c r="L16" s="572"/>
      <c r="M16" s="6"/>
      <c r="N16" s="6"/>
      <c r="O16" s="597"/>
      <c r="P16" s="684"/>
      <c r="Q16" s="830"/>
      <c r="R16" s="620"/>
      <c r="S16" s="635"/>
      <c r="T16" s="622"/>
      <c r="U16" s="572"/>
      <c r="V16" s="6"/>
      <c r="W16" s="6">
        <v>25</v>
      </c>
      <c r="X16" s="597"/>
      <c r="Y16" s="684"/>
      <c r="Z16" s="830"/>
      <c r="AA16" s="848" t="s">
        <v>152</v>
      </c>
      <c r="AB16" s="635"/>
      <c r="AC16" s="622"/>
      <c r="AD16" s="572"/>
      <c r="AE16" s="6"/>
      <c r="AF16" s="6"/>
      <c r="AG16" s="597"/>
      <c r="AH16" s="685"/>
      <c r="AI16" s="830"/>
      <c r="AJ16" s="6"/>
      <c r="AK16" s="635"/>
      <c r="AM16" s="572"/>
      <c r="AN16" s="6"/>
      <c r="AO16" s="6"/>
      <c r="AP16" s="597"/>
      <c r="AQ16" s="684"/>
      <c r="AR16" s="830"/>
      <c r="AS16" s="620"/>
      <c r="AT16" s="620"/>
      <c r="AU16" s="692"/>
      <c r="AV16" s="635"/>
    </row>
    <row r="17" spans="1:48" ht="66" customHeight="1" x14ac:dyDescent="0.25">
      <c r="A17" s="2206">
        <v>45299</v>
      </c>
      <c r="B17" s="644">
        <v>1</v>
      </c>
      <c r="C17" s="595"/>
      <c r="D17" s="596"/>
      <c r="E17" s="596">
        <v>10</v>
      </c>
      <c r="F17" s="597"/>
      <c r="G17" s="685"/>
      <c r="H17" s="619"/>
      <c r="I17" s="848" t="s">
        <v>152</v>
      </c>
      <c r="J17" s="635"/>
      <c r="K17" s="622"/>
      <c r="L17" s="572"/>
      <c r="M17" s="6"/>
      <c r="N17" s="6"/>
      <c r="O17" s="597"/>
      <c r="P17" s="685"/>
      <c r="Q17" s="619"/>
      <c r="R17" s="620"/>
      <c r="S17" s="635"/>
      <c r="T17" s="622"/>
      <c r="U17" s="572"/>
      <c r="V17" s="6"/>
      <c r="W17" s="6">
        <v>17</v>
      </c>
      <c r="X17" s="597"/>
      <c r="Y17" s="685"/>
      <c r="Z17" s="619"/>
      <c r="AA17" s="848" t="s">
        <v>152</v>
      </c>
      <c r="AB17" s="635"/>
      <c r="AC17" s="622"/>
      <c r="AD17" s="572"/>
      <c r="AE17" s="6"/>
      <c r="AF17" s="6"/>
      <c r="AG17" s="597"/>
      <c r="AH17" s="685"/>
      <c r="AI17" s="619"/>
      <c r="AJ17" s="620"/>
      <c r="AK17" s="635"/>
      <c r="AM17" s="572"/>
      <c r="AN17" s="6"/>
      <c r="AO17" s="6"/>
      <c r="AP17" s="597"/>
      <c r="AQ17" s="685"/>
      <c r="AR17" s="619"/>
      <c r="AS17" s="620"/>
      <c r="AT17" s="698"/>
      <c r="AU17" s="635"/>
      <c r="AV17" s="635"/>
    </row>
    <row r="18" spans="1:48" ht="49.9" customHeight="1" x14ac:dyDescent="0.25">
      <c r="A18" s="2205"/>
      <c r="B18" s="574">
        <v>2</v>
      </c>
      <c r="C18" s="595"/>
      <c r="D18" s="596"/>
      <c r="E18" s="596">
        <v>19</v>
      </c>
      <c r="F18" s="597"/>
      <c r="G18" s="684"/>
      <c r="H18" s="830"/>
      <c r="I18" s="848" t="s">
        <v>152</v>
      </c>
      <c r="J18" s="635"/>
      <c r="K18" s="622"/>
      <c r="L18" s="572"/>
      <c r="M18" s="6"/>
      <c r="N18" s="6"/>
      <c r="O18" s="597"/>
      <c r="P18" s="684"/>
      <c r="Q18" s="620"/>
      <c r="R18" s="619"/>
      <c r="S18" s="635"/>
      <c r="T18" s="622"/>
      <c r="U18" s="572">
        <v>15</v>
      </c>
      <c r="V18" s="6">
        <v>10</v>
      </c>
      <c r="W18" s="6">
        <v>10</v>
      </c>
      <c r="X18" s="597"/>
      <c r="Y18" s="684" t="s">
        <v>815</v>
      </c>
      <c r="Z18" s="620" t="s">
        <v>61</v>
      </c>
      <c r="AA18" s="698" t="s">
        <v>522</v>
      </c>
      <c r="AB18" s="635"/>
      <c r="AC18" s="622"/>
      <c r="AD18" s="572"/>
      <c r="AE18" s="6">
        <v>10</v>
      </c>
      <c r="AF18" s="6"/>
      <c r="AG18" s="597"/>
      <c r="AH18" s="684"/>
      <c r="AI18" s="620" t="s">
        <v>61</v>
      </c>
      <c r="AJ18" s="619"/>
      <c r="AK18" s="635"/>
      <c r="AM18" s="572"/>
      <c r="AN18" s="6"/>
      <c r="AO18" s="6"/>
      <c r="AP18" s="50"/>
      <c r="AQ18" s="597"/>
      <c r="AR18" s="684"/>
      <c r="AS18" s="620"/>
      <c r="AT18" s="698"/>
      <c r="AU18" s="830"/>
      <c r="AV18" s="635"/>
    </row>
    <row r="19" spans="1:48" ht="33.6" customHeight="1" x14ac:dyDescent="0.25">
      <c r="A19" s="2206">
        <v>45300</v>
      </c>
      <c r="B19" s="574">
        <v>1</v>
      </c>
      <c r="C19" s="622"/>
      <c r="D19" s="596"/>
      <c r="E19" s="596">
        <v>4</v>
      </c>
      <c r="F19" s="597"/>
      <c r="G19" s="567"/>
      <c r="H19" s="6"/>
      <c r="I19" s="848" t="s">
        <v>152</v>
      </c>
      <c r="J19" s="635"/>
      <c r="K19" s="622"/>
      <c r="L19" s="572"/>
      <c r="M19" s="6">
        <v>135</v>
      </c>
      <c r="N19" s="6"/>
      <c r="O19" s="597"/>
      <c r="P19" s="572"/>
      <c r="Q19" s="6" t="s">
        <v>28</v>
      </c>
      <c r="R19" s="6"/>
      <c r="S19" s="635"/>
      <c r="T19" s="622"/>
      <c r="U19" s="572"/>
      <c r="V19" s="6"/>
      <c r="W19" s="6">
        <v>18</v>
      </c>
      <c r="X19" s="597"/>
      <c r="Y19" s="572"/>
      <c r="Z19" s="605"/>
      <c r="AA19" s="848" t="s">
        <v>152</v>
      </c>
      <c r="AB19" s="635"/>
      <c r="AC19" s="622"/>
      <c r="AD19" s="572"/>
      <c r="AE19" s="6"/>
      <c r="AF19" s="6">
        <v>4</v>
      </c>
      <c r="AG19" s="597"/>
      <c r="AH19" s="572"/>
      <c r="AI19" s="6"/>
      <c r="AJ19" s="698" t="s">
        <v>816</v>
      </c>
      <c r="AK19" s="635"/>
      <c r="AM19" s="572"/>
      <c r="AN19" s="6"/>
      <c r="AO19" s="6"/>
      <c r="AP19" s="50"/>
      <c r="AQ19" s="597"/>
      <c r="AR19" s="572"/>
      <c r="AS19" s="6"/>
      <c r="AT19" s="620"/>
      <c r="AU19" s="828"/>
      <c r="AV19" s="635"/>
    </row>
    <row r="20" spans="1:48" ht="31.15" customHeight="1" x14ac:dyDescent="0.25">
      <c r="A20" s="2205"/>
      <c r="B20" s="574">
        <v>2</v>
      </c>
      <c r="C20" s="595"/>
      <c r="D20" s="596"/>
      <c r="E20" s="596">
        <v>32</v>
      </c>
      <c r="F20" s="597"/>
      <c r="G20" s="567"/>
      <c r="H20" s="605"/>
      <c r="I20" s="848" t="s">
        <v>152</v>
      </c>
      <c r="J20" s="635"/>
      <c r="K20" s="622"/>
      <c r="L20" s="572"/>
      <c r="M20" s="6">
        <v>40</v>
      </c>
      <c r="N20" s="6"/>
      <c r="O20" s="597"/>
      <c r="P20" s="572"/>
      <c r="Q20" s="6" t="s">
        <v>28</v>
      </c>
      <c r="R20" s="724"/>
      <c r="S20" s="635"/>
      <c r="T20" s="622"/>
      <c r="U20" s="572"/>
      <c r="V20" s="6">
        <v>10</v>
      </c>
      <c r="W20" s="6">
        <v>35</v>
      </c>
      <c r="X20" s="597"/>
      <c r="Y20" s="572"/>
      <c r="Z20" s="6" t="s">
        <v>811</v>
      </c>
      <c r="AA20" s="848" t="s">
        <v>817</v>
      </c>
      <c r="AB20" s="635"/>
      <c r="AC20" s="622"/>
      <c r="AD20" s="572"/>
      <c r="AE20" s="6"/>
      <c r="AF20" s="6"/>
      <c r="AG20" s="597"/>
      <c r="AH20" s="572"/>
      <c r="AI20" s="605"/>
      <c r="AJ20" s="698"/>
      <c r="AK20" s="635"/>
      <c r="AM20" s="572">
        <v>597</v>
      </c>
      <c r="AN20" s="6"/>
      <c r="AO20" s="6"/>
      <c r="AP20" s="50"/>
      <c r="AQ20" s="597"/>
      <c r="AR20" s="572" t="s">
        <v>813</v>
      </c>
      <c r="AS20" s="605"/>
      <c r="AT20" s="605"/>
      <c r="AU20" s="1038"/>
      <c r="AV20" s="635"/>
    </row>
    <row r="21" spans="1:48" ht="39.6" customHeight="1" x14ac:dyDescent="0.25">
      <c r="A21" s="2206">
        <v>45301</v>
      </c>
      <c r="B21" s="574">
        <v>1</v>
      </c>
      <c r="C21" s="595"/>
      <c r="D21" s="596"/>
      <c r="E21" s="596">
        <v>8</v>
      </c>
      <c r="F21" s="597"/>
      <c r="G21" s="688"/>
      <c r="H21" s="619"/>
      <c r="I21" s="848" t="s">
        <v>152</v>
      </c>
      <c r="J21" s="635"/>
      <c r="K21" s="622"/>
      <c r="L21" s="572"/>
      <c r="M21" s="6"/>
      <c r="N21" s="6"/>
      <c r="O21" s="597"/>
      <c r="P21" s="572"/>
      <c r="Q21" s="6"/>
      <c r="R21" s="6"/>
      <c r="S21" s="635"/>
      <c r="T21" s="622"/>
      <c r="U21" s="572"/>
      <c r="V21" s="6"/>
      <c r="W21" s="6">
        <v>12</v>
      </c>
      <c r="X21" s="597"/>
      <c r="Y21" s="567"/>
      <c r="Z21" s="6"/>
      <c r="AA21" s="848" t="s">
        <v>152</v>
      </c>
      <c r="AB21" s="635"/>
      <c r="AC21" s="622"/>
      <c r="AD21" s="572"/>
      <c r="AE21" s="6"/>
      <c r="AF21" s="6"/>
      <c r="AG21" s="597"/>
      <c r="AH21" s="572"/>
      <c r="AI21" s="6"/>
      <c r="AJ21" s="848"/>
      <c r="AK21" s="726"/>
      <c r="AM21" s="572"/>
      <c r="AN21" s="6"/>
      <c r="AO21" s="6"/>
      <c r="AP21" s="50"/>
      <c r="AQ21" s="597"/>
      <c r="AR21" s="572"/>
      <c r="AS21" s="605"/>
      <c r="AT21" s="50"/>
      <c r="AU21" s="50"/>
      <c r="AV21" s="635"/>
    </row>
    <row r="22" spans="1:48" ht="49.9" customHeight="1" x14ac:dyDescent="0.25">
      <c r="A22" s="2205"/>
      <c r="B22" s="574">
        <v>2</v>
      </c>
      <c r="C22" s="595"/>
      <c r="D22" s="596">
        <v>8</v>
      </c>
      <c r="E22" s="596"/>
      <c r="F22" s="597">
        <v>240</v>
      </c>
      <c r="G22" s="1042"/>
      <c r="H22" s="620" t="s">
        <v>818</v>
      </c>
      <c r="I22" s="848"/>
      <c r="J22" s="635" t="s">
        <v>819</v>
      </c>
      <c r="K22" s="622"/>
      <c r="L22" s="572"/>
      <c r="M22" s="6"/>
      <c r="N22" s="6"/>
      <c r="O22" s="597">
        <v>240</v>
      </c>
      <c r="P22" s="1044"/>
      <c r="Q22" s="6"/>
      <c r="R22" s="6"/>
      <c r="S22" s="635" t="s">
        <v>819</v>
      </c>
      <c r="T22" s="622"/>
      <c r="U22" s="572"/>
      <c r="V22" s="6"/>
      <c r="W22" s="6">
        <v>15</v>
      </c>
      <c r="X22" s="597">
        <v>240</v>
      </c>
      <c r="Y22" s="567"/>
      <c r="Z22" s="6"/>
      <c r="AA22" s="698" t="s">
        <v>191</v>
      </c>
      <c r="AB22" s="635" t="s">
        <v>819</v>
      </c>
      <c r="AC22" s="622"/>
      <c r="AD22" s="572"/>
      <c r="AE22" s="6"/>
      <c r="AF22" s="6">
        <v>24</v>
      </c>
      <c r="AG22" s="597">
        <v>240</v>
      </c>
      <c r="AH22" s="567"/>
      <c r="AI22" s="6"/>
      <c r="AJ22" s="698" t="s">
        <v>191</v>
      </c>
      <c r="AK22" s="635" t="s">
        <v>819</v>
      </c>
      <c r="AM22" s="572"/>
      <c r="AN22" s="6"/>
      <c r="AO22" s="6"/>
      <c r="AP22" s="50">
        <v>240</v>
      </c>
      <c r="AQ22" s="597"/>
      <c r="AR22" s="572"/>
      <c r="AS22" s="605"/>
      <c r="AT22" s="50"/>
      <c r="AU22" s="635" t="s">
        <v>819</v>
      </c>
      <c r="AV22" s="635"/>
    </row>
    <row r="23" spans="1:48" ht="47.45" customHeight="1" x14ac:dyDescent="0.25">
      <c r="A23" s="2206">
        <v>45302</v>
      </c>
      <c r="B23" s="644">
        <v>1</v>
      </c>
      <c r="C23" s="595"/>
      <c r="D23" s="596"/>
      <c r="E23" s="596"/>
      <c r="F23" s="597">
        <v>720</v>
      </c>
      <c r="G23" s="685"/>
      <c r="H23" s="619"/>
      <c r="I23" s="848"/>
      <c r="J23" s="635" t="s">
        <v>819</v>
      </c>
      <c r="K23" s="622"/>
      <c r="L23" s="572"/>
      <c r="M23" s="6"/>
      <c r="N23" s="6"/>
      <c r="O23" s="597">
        <v>720</v>
      </c>
      <c r="P23" s="685"/>
      <c r="Q23" s="619"/>
      <c r="R23" s="620"/>
      <c r="S23" s="635" t="s">
        <v>819</v>
      </c>
      <c r="T23" s="622"/>
      <c r="U23" s="572"/>
      <c r="V23" s="6"/>
      <c r="W23" s="6"/>
      <c r="X23" s="597">
        <v>720</v>
      </c>
      <c r="Y23" s="567"/>
      <c r="Z23" s="619"/>
      <c r="AA23" s="698"/>
      <c r="AB23" s="635" t="s">
        <v>819</v>
      </c>
      <c r="AC23" s="622"/>
      <c r="AD23" s="572"/>
      <c r="AE23" s="6"/>
      <c r="AF23" s="6"/>
      <c r="AG23" s="597">
        <v>720</v>
      </c>
      <c r="AH23" s="6"/>
      <c r="AI23" s="619"/>
      <c r="AJ23" s="620"/>
      <c r="AK23" s="635" t="s">
        <v>819</v>
      </c>
      <c r="AM23" s="572"/>
      <c r="AN23" s="6"/>
      <c r="AO23" s="6"/>
      <c r="AP23" s="50">
        <v>720</v>
      </c>
      <c r="AQ23" s="597"/>
      <c r="AR23" s="6"/>
      <c r="AS23" s="619"/>
      <c r="AT23" s="692"/>
      <c r="AU23" s="635" t="s">
        <v>819</v>
      </c>
      <c r="AV23" s="635"/>
    </row>
    <row r="24" spans="1:48" ht="49.9" customHeight="1" x14ac:dyDescent="0.25">
      <c r="A24" s="2205"/>
      <c r="B24" s="574">
        <v>2</v>
      </c>
      <c r="C24" s="595"/>
      <c r="D24" s="596">
        <v>120</v>
      </c>
      <c r="E24" s="596"/>
      <c r="F24" s="597">
        <v>194</v>
      </c>
      <c r="G24" s="685"/>
      <c r="H24" s="619" t="s">
        <v>820</v>
      </c>
      <c r="I24" s="848"/>
      <c r="J24" s="635" t="s">
        <v>819</v>
      </c>
      <c r="K24" s="622"/>
      <c r="L24" s="572"/>
      <c r="M24" s="6"/>
      <c r="N24" s="6"/>
      <c r="O24" s="597">
        <v>212</v>
      </c>
      <c r="P24" s="685"/>
      <c r="Q24" s="619"/>
      <c r="R24" s="620"/>
      <c r="S24" s="635" t="s">
        <v>819</v>
      </c>
      <c r="T24" s="622"/>
      <c r="U24" s="572"/>
      <c r="V24" s="6"/>
      <c r="W24" s="6"/>
      <c r="X24" s="597">
        <v>199</v>
      </c>
      <c r="Y24" s="685"/>
      <c r="Z24" s="619"/>
      <c r="AA24" s="848"/>
      <c r="AB24" s="635" t="s">
        <v>819</v>
      </c>
      <c r="AC24" s="622"/>
      <c r="AD24" s="572"/>
      <c r="AE24" s="6"/>
      <c r="AF24" s="6"/>
      <c r="AG24" s="597">
        <v>207</v>
      </c>
      <c r="AH24" s="685"/>
      <c r="AI24" s="619"/>
      <c r="AJ24" s="620"/>
      <c r="AK24" s="635" t="s">
        <v>819</v>
      </c>
      <c r="AM24" s="572"/>
      <c r="AN24" s="6"/>
      <c r="AO24" s="6"/>
      <c r="AP24" s="597">
        <v>215</v>
      </c>
      <c r="AQ24" s="685"/>
      <c r="AR24" s="619"/>
      <c r="AS24" s="619"/>
      <c r="AT24" s="635"/>
      <c r="AU24" s="635" t="s">
        <v>819</v>
      </c>
      <c r="AV24" s="635"/>
    </row>
    <row r="25" spans="1:48" ht="46.15" customHeight="1" x14ac:dyDescent="0.25">
      <c r="A25" s="2206">
        <v>45303</v>
      </c>
      <c r="B25" s="574">
        <v>1</v>
      </c>
      <c r="C25" s="595"/>
      <c r="D25" s="596"/>
      <c r="E25" s="596">
        <v>28</v>
      </c>
      <c r="F25" s="597"/>
      <c r="G25" s="685"/>
      <c r="H25" s="619"/>
      <c r="I25" s="848" t="s">
        <v>336</v>
      </c>
      <c r="J25" s="635"/>
      <c r="K25" s="622"/>
      <c r="L25" s="572"/>
      <c r="M25" s="6"/>
      <c r="N25" s="6"/>
      <c r="O25" s="597"/>
      <c r="P25" s="572"/>
      <c r="Q25" s="619"/>
      <c r="R25" s="6"/>
      <c r="S25" s="635"/>
      <c r="T25" s="622"/>
      <c r="U25" s="572"/>
      <c r="V25" s="6"/>
      <c r="W25" s="6">
        <v>57</v>
      </c>
      <c r="X25" s="597"/>
      <c r="Y25" s="567"/>
      <c r="Z25" s="605"/>
      <c r="AA25" s="698" t="s">
        <v>191</v>
      </c>
      <c r="AB25" s="635"/>
      <c r="AC25" s="622"/>
      <c r="AD25" s="572"/>
      <c r="AE25" s="6"/>
      <c r="AF25" s="6">
        <v>60</v>
      </c>
      <c r="AG25" s="597"/>
      <c r="AH25" s="6"/>
      <c r="AI25" s="605"/>
      <c r="AJ25" s="620" t="s">
        <v>821</v>
      </c>
      <c r="AK25" s="726"/>
      <c r="AM25" s="572"/>
      <c r="AN25" s="6"/>
      <c r="AO25" s="6"/>
      <c r="AP25" s="50"/>
      <c r="AQ25" s="597"/>
      <c r="AR25" s="6"/>
      <c r="AS25" s="6"/>
      <c r="AT25" s="50"/>
      <c r="AU25" s="50"/>
      <c r="AV25" s="635"/>
    </row>
    <row r="26" spans="1:48" ht="42" customHeight="1" x14ac:dyDescent="0.25">
      <c r="A26" s="2205"/>
      <c r="B26" s="574">
        <v>2</v>
      </c>
      <c r="C26" s="595"/>
      <c r="D26" s="596"/>
      <c r="E26" s="596">
        <v>37</v>
      </c>
      <c r="F26" s="597"/>
      <c r="G26" s="685"/>
      <c r="H26" s="620"/>
      <c r="I26" s="848" t="s">
        <v>336</v>
      </c>
      <c r="J26" s="635"/>
      <c r="K26" s="622"/>
      <c r="L26" s="572"/>
      <c r="M26" s="6"/>
      <c r="N26" s="6"/>
      <c r="O26" s="597"/>
      <c r="P26" s="685"/>
      <c r="Q26" s="620"/>
      <c r="R26" s="692"/>
      <c r="S26" s="635"/>
      <c r="T26" s="622"/>
      <c r="U26" s="572"/>
      <c r="V26" s="596"/>
      <c r="W26" s="6">
        <v>19</v>
      </c>
      <c r="X26" s="597"/>
      <c r="Y26" s="685"/>
      <c r="Z26" s="620"/>
      <c r="AA26" s="698" t="s">
        <v>336</v>
      </c>
      <c r="AB26" s="635"/>
      <c r="AC26" s="622"/>
      <c r="AD26" s="572"/>
      <c r="AE26" s="596"/>
      <c r="AF26" s="6">
        <v>20</v>
      </c>
      <c r="AG26" s="597"/>
      <c r="AH26" s="685"/>
      <c r="AI26" s="620"/>
      <c r="AJ26" s="692" t="s">
        <v>657</v>
      </c>
      <c r="AK26" s="635"/>
      <c r="AM26" s="572"/>
      <c r="AN26" s="596"/>
      <c r="AO26" s="6"/>
      <c r="AP26" s="967"/>
      <c r="AQ26" s="597"/>
      <c r="AR26" s="685"/>
      <c r="AS26" s="620"/>
      <c r="AT26" s="692"/>
      <c r="AU26" s="635"/>
      <c r="AV26" s="635"/>
    </row>
    <row r="27" spans="1:48" ht="49.9" customHeight="1" x14ac:dyDescent="0.25">
      <c r="A27" s="2206">
        <v>45304</v>
      </c>
      <c r="B27" s="644">
        <v>1</v>
      </c>
      <c r="C27" s="595"/>
      <c r="D27" s="596"/>
      <c r="E27" s="596">
        <v>10</v>
      </c>
      <c r="F27" s="597"/>
      <c r="G27" s="685"/>
      <c r="H27" s="619"/>
      <c r="I27" s="692" t="s">
        <v>152</v>
      </c>
      <c r="J27" s="635"/>
      <c r="K27" s="622"/>
      <c r="L27" s="572"/>
      <c r="M27" s="6"/>
      <c r="N27" s="6"/>
      <c r="O27" s="597"/>
      <c r="P27" s="685"/>
      <c r="Q27" s="619"/>
      <c r="R27" s="620"/>
      <c r="S27" s="635"/>
      <c r="T27" s="622"/>
      <c r="U27" s="572"/>
      <c r="V27" s="6"/>
      <c r="W27" s="6">
        <v>35</v>
      </c>
      <c r="X27" s="597"/>
      <c r="Y27" s="685"/>
      <c r="Z27" s="619"/>
      <c r="AA27" s="698" t="s">
        <v>152</v>
      </c>
      <c r="AB27" s="635"/>
      <c r="AC27" s="622"/>
      <c r="AD27" s="572"/>
      <c r="AE27" s="6"/>
      <c r="AF27" s="6">
        <v>37</v>
      </c>
      <c r="AG27" s="597"/>
      <c r="AH27" s="685"/>
      <c r="AI27" s="6"/>
      <c r="AJ27" s="620" t="s">
        <v>152</v>
      </c>
      <c r="AK27" s="635"/>
      <c r="AM27" s="572">
        <v>80</v>
      </c>
      <c r="AN27" s="6"/>
      <c r="AO27" s="6"/>
      <c r="AP27" s="50"/>
      <c r="AQ27" s="597"/>
      <c r="AR27" s="605" t="s">
        <v>789</v>
      </c>
      <c r="AS27" s="6"/>
      <c r="AT27" s="692"/>
      <c r="AU27" s="635"/>
      <c r="AV27" s="635"/>
    </row>
    <row r="28" spans="1:48" ht="72" customHeight="1" x14ac:dyDescent="0.25">
      <c r="A28" s="2205"/>
      <c r="B28" s="574">
        <v>2</v>
      </c>
      <c r="C28" s="595"/>
      <c r="D28" s="596"/>
      <c r="E28" s="596">
        <v>40</v>
      </c>
      <c r="F28" s="597"/>
      <c r="G28" s="620"/>
      <c r="H28" s="620"/>
      <c r="I28" s="698"/>
      <c r="J28" s="635"/>
      <c r="K28" s="622"/>
      <c r="L28" s="572"/>
      <c r="M28" s="6"/>
      <c r="N28" s="6"/>
      <c r="O28" s="597"/>
      <c r="P28" s="620"/>
      <c r="Q28" s="620"/>
      <c r="R28" s="620"/>
      <c r="S28" s="635"/>
      <c r="T28" s="622"/>
      <c r="U28" s="572">
        <v>15</v>
      </c>
      <c r="V28" s="6"/>
      <c r="W28" s="622">
        <v>10</v>
      </c>
      <c r="X28" s="597"/>
      <c r="Y28" s="620" t="s">
        <v>743</v>
      </c>
      <c r="Z28" s="6"/>
      <c r="AA28" s="698" t="s">
        <v>152</v>
      </c>
      <c r="AB28" s="635"/>
      <c r="AC28" s="622"/>
      <c r="AD28" s="572">
        <v>10</v>
      </c>
      <c r="AE28" s="6"/>
      <c r="AF28" s="6"/>
      <c r="AG28" s="597"/>
      <c r="AH28" s="685" t="s">
        <v>743</v>
      </c>
      <c r="AI28" s="6"/>
      <c r="AJ28" s="692"/>
      <c r="AK28" s="635"/>
      <c r="AM28" s="572">
        <v>422</v>
      </c>
      <c r="AN28" s="6"/>
      <c r="AO28" s="6"/>
      <c r="AP28" s="50"/>
      <c r="AQ28" s="597"/>
      <c r="AR28" s="605" t="s">
        <v>822</v>
      </c>
      <c r="AS28" s="6"/>
      <c r="AT28" s="692"/>
      <c r="AU28" s="635"/>
      <c r="AV28" s="634"/>
    </row>
    <row r="29" spans="1:48" ht="66" customHeight="1" x14ac:dyDescent="0.25">
      <c r="A29" s="2206">
        <v>45305</v>
      </c>
      <c r="B29" s="574">
        <v>1</v>
      </c>
      <c r="C29" s="595"/>
      <c r="D29" s="596"/>
      <c r="E29" s="596">
        <v>10</v>
      </c>
      <c r="F29" s="597"/>
      <c r="G29" s="620"/>
      <c r="H29" s="619"/>
      <c r="I29" s="1062" t="s">
        <v>152</v>
      </c>
      <c r="J29" s="635"/>
      <c r="K29" s="622"/>
      <c r="L29" s="572"/>
      <c r="M29" s="6"/>
      <c r="N29" s="6"/>
      <c r="O29" s="597"/>
      <c r="P29" s="685"/>
      <c r="Q29" s="619"/>
      <c r="R29" s="620"/>
      <c r="S29" s="635"/>
      <c r="T29" s="622"/>
      <c r="U29" s="572"/>
      <c r="V29" s="6"/>
      <c r="W29" s="6">
        <v>20</v>
      </c>
      <c r="X29" s="597"/>
      <c r="Y29" s="620"/>
      <c r="Z29" s="619"/>
      <c r="AA29" s="698" t="s">
        <v>152</v>
      </c>
      <c r="AB29" s="635"/>
      <c r="AC29" s="622"/>
      <c r="AD29" s="572"/>
      <c r="AE29" s="6"/>
      <c r="AF29" s="6"/>
      <c r="AG29" s="597"/>
      <c r="AH29" s="685"/>
      <c r="AI29" s="619"/>
      <c r="AJ29" s="620"/>
      <c r="AK29" s="635"/>
      <c r="AM29" s="572">
        <v>30</v>
      </c>
      <c r="AN29" s="6"/>
      <c r="AO29" s="6"/>
      <c r="AP29" s="50"/>
      <c r="AQ29" s="597"/>
      <c r="AR29" s="605" t="s">
        <v>822</v>
      </c>
      <c r="AS29" s="619"/>
      <c r="AT29" s="620"/>
      <c r="AU29" s="635"/>
      <c r="AV29" s="613"/>
    </row>
    <row r="30" spans="1:48" ht="39.6" customHeight="1" x14ac:dyDescent="0.25">
      <c r="A30" s="2205"/>
      <c r="B30" s="644">
        <v>2</v>
      </c>
      <c r="C30" s="595"/>
      <c r="D30" s="596">
        <v>12</v>
      </c>
      <c r="E30" s="596">
        <v>87</v>
      </c>
      <c r="F30" s="597"/>
      <c r="G30" s="685"/>
      <c r="H30" s="620" t="s">
        <v>818</v>
      </c>
      <c r="I30" s="698" t="s">
        <v>152</v>
      </c>
      <c r="J30" s="635"/>
      <c r="K30" s="622"/>
      <c r="L30" s="572"/>
      <c r="M30" s="6"/>
      <c r="N30" s="6"/>
      <c r="O30" s="597"/>
      <c r="P30" s="685"/>
      <c r="Q30" s="620"/>
      <c r="R30" s="620"/>
      <c r="S30" s="635"/>
      <c r="T30" s="622"/>
      <c r="U30" s="572"/>
      <c r="V30" s="6"/>
      <c r="W30" s="6">
        <v>100</v>
      </c>
      <c r="X30" s="597"/>
      <c r="Y30" s="685"/>
      <c r="Z30" s="619"/>
      <c r="AA30" s="698" t="s">
        <v>823</v>
      </c>
      <c r="AB30" s="635"/>
      <c r="AC30" s="622"/>
      <c r="AD30" s="572"/>
      <c r="AE30" s="6"/>
      <c r="AF30" s="6">
        <v>5</v>
      </c>
      <c r="AG30" s="597"/>
      <c r="AH30" s="685"/>
      <c r="AI30" s="620"/>
      <c r="AJ30" s="620" t="s">
        <v>522</v>
      </c>
      <c r="AK30" s="635"/>
      <c r="AM30" s="572">
        <v>10</v>
      </c>
      <c r="AN30" s="6"/>
      <c r="AO30" s="6"/>
      <c r="AP30" s="50"/>
      <c r="AQ30" s="597"/>
      <c r="AR30" s="1050" t="s">
        <v>824</v>
      </c>
      <c r="AS30" s="605"/>
      <c r="AT30" s="828"/>
      <c r="AU30" s="635"/>
      <c r="AV30" s="613"/>
    </row>
    <row r="31" spans="1:48" ht="39.6" customHeight="1" x14ac:dyDescent="0.25">
      <c r="A31" s="2206">
        <v>45306</v>
      </c>
      <c r="B31" s="574">
        <v>1</v>
      </c>
      <c r="C31" s="595"/>
      <c r="D31" s="596"/>
      <c r="E31" s="596">
        <v>41</v>
      </c>
      <c r="F31" s="597"/>
      <c r="G31" s="685"/>
      <c r="H31" s="620"/>
      <c r="I31" s="848" t="s">
        <v>152</v>
      </c>
      <c r="J31" s="635"/>
      <c r="K31" s="622"/>
      <c r="L31" s="572"/>
      <c r="M31" s="6"/>
      <c r="N31" s="6"/>
      <c r="O31" s="597"/>
      <c r="P31" s="614"/>
      <c r="Q31" s="6"/>
      <c r="R31" s="6"/>
      <c r="S31" s="635"/>
      <c r="T31" s="622"/>
      <c r="U31" s="572"/>
      <c r="V31" s="6"/>
      <c r="W31" s="6">
        <v>47</v>
      </c>
      <c r="X31" s="597"/>
      <c r="Y31" s="1044"/>
      <c r="Z31" s="6"/>
      <c r="AA31" s="698" t="s">
        <v>152</v>
      </c>
      <c r="AB31" s="635"/>
      <c r="AC31" s="622"/>
      <c r="AD31" s="572"/>
      <c r="AE31" s="6"/>
      <c r="AF31" s="6">
        <v>20</v>
      </c>
      <c r="AG31" s="597"/>
      <c r="AH31" s="685"/>
      <c r="AI31" s="6"/>
      <c r="AJ31" s="6" t="s">
        <v>825</v>
      </c>
      <c r="AK31" s="635"/>
      <c r="AM31" s="572"/>
      <c r="AN31" s="6"/>
      <c r="AO31" s="6"/>
      <c r="AP31" s="50"/>
      <c r="AQ31" s="597"/>
      <c r="AR31" s="614"/>
      <c r="AS31" s="6"/>
      <c r="AT31" s="6"/>
      <c r="AU31" s="635"/>
      <c r="AV31" s="635"/>
    </row>
    <row r="32" spans="1:48" ht="63" customHeight="1" x14ac:dyDescent="0.25">
      <c r="A32" s="2205"/>
      <c r="B32" s="574">
        <v>2</v>
      </c>
      <c r="C32" s="595">
        <v>8</v>
      </c>
      <c r="D32" s="596">
        <v>32</v>
      </c>
      <c r="E32" s="596">
        <v>38</v>
      </c>
      <c r="F32" s="597"/>
      <c r="G32" s="685" t="s">
        <v>743</v>
      </c>
      <c r="H32" s="684" t="s">
        <v>826</v>
      </c>
      <c r="I32" s="698" t="s">
        <v>152</v>
      </c>
      <c r="J32" s="635"/>
      <c r="K32" s="622"/>
      <c r="L32" s="572"/>
      <c r="M32" s="6"/>
      <c r="N32" s="6"/>
      <c r="O32" s="597"/>
      <c r="P32" s="614"/>
      <c r="Q32" s="6"/>
      <c r="R32" s="6"/>
      <c r="S32" s="635"/>
      <c r="T32" s="622"/>
      <c r="U32" s="572"/>
      <c r="V32" s="6">
        <v>6</v>
      </c>
      <c r="W32" s="596">
        <v>18</v>
      </c>
      <c r="X32" s="597"/>
      <c r="Y32" s="685"/>
      <c r="Z32" s="685" t="s">
        <v>520</v>
      </c>
      <c r="AA32" s="698" t="s">
        <v>152</v>
      </c>
      <c r="AB32" s="635"/>
      <c r="AC32" s="622"/>
      <c r="AD32" s="572">
        <v>10</v>
      </c>
      <c r="AE32" s="6">
        <v>5</v>
      </c>
      <c r="AF32" s="596">
        <v>24</v>
      </c>
      <c r="AG32" s="597"/>
      <c r="AH32" s="685" t="s">
        <v>743</v>
      </c>
      <c r="AI32" s="685" t="s">
        <v>520</v>
      </c>
      <c r="AJ32" s="684" t="s">
        <v>827</v>
      </c>
      <c r="AK32" s="635"/>
      <c r="AM32" s="572"/>
      <c r="AN32" s="6"/>
      <c r="AO32" s="6"/>
      <c r="AP32" s="50"/>
      <c r="AQ32" s="597"/>
      <c r="AR32" s="614"/>
      <c r="AS32" s="605"/>
      <c r="AT32" s="684"/>
      <c r="AU32" s="635"/>
      <c r="AV32" s="613"/>
    </row>
    <row r="33" spans="1:48" ht="43.15" customHeight="1" x14ac:dyDescent="0.25">
      <c r="A33" s="2206">
        <v>45307</v>
      </c>
      <c r="B33" s="574">
        <v>1</v>
      </c>
      <c r="C33" s="595"/>
      <c r="D33" s="596"/>
      <c r="E33" s="596">
        <v>33</v>
      </c>
      <c r="F33" s="597"/>
      <c r="G33" s="685"/>
      <c r="H33" s="620"/>
      <c r="I33" s="698" t="s">
        <v>152</v>
      </c>
      <c r="J33" s="635"/>
      <c r="K33" s="622"/>
      <c r="L33" s="572"/>
      <c r="M33" s="6"/>
      <c r="N33" s="6"/>
      <c r="O33" s="597"/>
      <c r="P33" s="614"/>
      <c r="Q33" s="6"/>
      <c r="R33" s="6"/>
      <c r="S33" s="635"/>
      <c r="T33" s="622"/>
      <c r="U33" s="572"/>
      <c r="V33" s="6"/>
      <c r="W33" s="6">
        <v>28</v>
      </c>
      <c r="X33" s="597"/>
      <c r="Y33" s="614"/>
      <c r="Z33" s="6"/>
      <c r="AA33" s="698" t="s">
        <v>152</v>
      </c>
      <c r="AB33" s="635"/>
      <c r="AC33" s="622"/>
      <c r="AD33" s="572"/>
      <c r="AE33" s="6"/>
      <c r="AF33" s="6"/>
      <c r="AG33" s="597"/>
      <c r="AH33" s="614"/>
      <c r="AI33" s="605"/>
      <c r="AJ33" s="698"/>
      <c r="AK33" s="635"/>
      <c r="AM33" s="572"/>
      <c r="AN33" s="6"/>
      <c r="AO33" s="6"/>
      <c r="AP33" s="50"/>
      <c r="AQ33" s="597"/>
      <c r="AR33" s="614"/>
      <c r="AS33" s="605"/>
      <c r="AT33" s="6"/>
      <c r="AU33" s="635"/>
      <c r="AV33" s="613"/>
    </row>
    <row r="34" spans="1:48" ht="67.900000000000006" customHeight="1" x14ac:dyDescent="0.25">
      <c r="A34" s="2205"/>
      <c r="B34" s="644">
        <v>2</v>
      </c>
      <c r="C34" s="596"/>
      <c r="D34" s="596"/>
      <c r="E34" s="596">
        <v>62</v>
      </c>
      <c r="F34" s="829"/>
      <c r="G34" s="684"/>
      <c r="H34" s="620"/>
      <c r="I34" s="698" t="s">
        <v>823</v>
      </c>
      <c r="J34" s="635"/>
      <c r="K34" s="622"/>
      <c r="L34" s="572"/>
      <c r="M34" s="6"/>
      <c r="N34" s="6"/>
      <c r="O34" s="613"/>
      <c r="P34" s="614"/>
      <c r="Q34" s="620"/>
      <c r="R34" s="6"/>
      <c r="S34" s="635"/>
      <c r="T34" s="622"/>
      <c r="U34" s="572"/>
      <c r="V34" s="6"/>
      <c r="W34" s="6">
        <v>41</v>
      </c>
      <c r="X34" s="613"/>
      <c r="Y34" s="605"/>
      <c r="Z34" s="605"/>
      <c r="AA34" s="698" t="s">
        <v>823</v>
      </c>
      <c r="AB34" s="635"/>
      <c r="AC34" s="622"/>
      <c r="AD34" s="572"/>
      <c r="AE34" s="6"/>
      <c r="AF34" s="6"/>
      <c r="AG34" s="613"/>
      <c r="AH34" s="614"/>
      <c r="AI34" s="6"/>
      <c r="AJ34" s="605"/>
      <c r="AK34" s="635"/>
      <c r="AM34" s="572"/>
      <c r="AN34" s="6"/>
      <c r="AO34" s="6"/>
      <c r="AP34" s="50"/>
      <c r="AQ34" s="613"/>
      <c r="AR34" s="614"/>
      <c r="AS34" s="6"/>
      <c r="AT34" s="828"/>
      <c r="AU34" s="635"/>
      <c r="AV34" s="613"/>
    </row>
    <row r="35" spans="1:48" ht="51" customHeight="1" x14ac:dyDescent="0.25">
      <c r="A35" s="2206">
        <v>45308</v>
      </c>
      <c r="B35" s="574">
        <v>1</v>
      </c>
      <c r="C35" s="596"/>
      <c r="D35" s="596"/>
      <c r="E35" s="50">
        <v>40</v>
      </c>
      <c r="F35" s="828"/>
      <c r="G35" s="567"/>
      <c r="H35" s="614"/>
      <c r="I35" s="698" t="s">
        <v>823</v>
      </c>
      <c r="J35" s="687"/>
      <c r="K35" s="622"/>
      <c r="L35" s="572"/>
      <c r="M35" s="6"/>
      <c r="N35" s="6"/>
      <c r="O35" s="613"/>
      <c r="P35" s="567"/>
      <c r="Q35" s="1048"/>
      <c r="R35" s="620"/>
      <c r="S35" s="635"/>
      <c r="T35" s="622"/>
      <c r="U35" s="572"/>
      <c r="V35" s="6">
        <v>12</v>
      </c>
      <c r="W35" s="50">
        <v>27</v>
      </c>
      <c r="X35" s="634"/>
      <c r="Y35" s="567"/>
      <c r="Z35" s="6" t="s">
        <v>61</v>
      </c>
      <c r="AA35" s="698" t="s">
        <v>823</v>
      </c>
      <c r="AB35" s="613"/>
      <c r="AC35" s="622"/>
      <c r="AD35" s="572"/>
      <c r="AE35" s="6"/>
      <c r="AF35" s="6"/>
      <c r="AG35" s="1044"/>
      <c r="AH35" s="567"/>
      <c r="AI35" s="6"/>
      <c r="AJ35" s="684"/>
      <c r="AK35" s="613"/>
      <c r="AM35" s="572"/>
      <c r="AN35" s="6"/>
      <c r="AO35" s="50"/>
      <c r="AP35" s="50"/>
      <c r="AQ35" s="634"/>
      <c r="AR35" s="567"/>
      <c r="AS35" s="692"/>
      <c r="AT35" s="605"/>
      <c r="AU35" s="828"/>
      <c r="AV35" s="613"/>
    </row>
    <row r="36" spans="1:48" ht="46.9" customHeight="1" x14ac:dyDescent="0.25">
      <c r="A36" s="2205"/>
      <c r="B36" s="574">
        <v>2</v>
      </c>
      <c r="C36" s="50">
        <v>10</v>
      </c>
      <c r="D36" s="6">
        <v>5</v>
      </c>
      <c r="E36" s="50">
        <v>37</v>
      </c>
      <c r="F36" s="828"/>
      <c r="G36" s="692" t="s">
        <v>743</v>
      </c>
      <c r="H36" s="620" t="s">
        <v>818</v>
      </c>
      <c r="I36" s="848" t="s">
        <v>152</v>
      </c>
      <c r="J36" s="635"/>
      <c r="K36" s="622"/>
      <c r="L36" s="567"/>
      <c r="M36" s="6"/>
      <c r="N36" s="6"/>
      <c r="O36" s="1044"/>
      <c r="P36" s="567"/>
      <c r="Q36" s="605"/>
      <c r="R36" s="605"/>
      <c r="S36" s="635"/>
      <c r="T36" s="622"/>
      <c r="U36" s="572"/>
      <c r="V36" s="6"/>
      <c r="W36" s="6">
        <v>30</v>
      </c>
      <c r="X36" s="1044"/>
      <c r="Y36" s="567"/>
      <c r="Z36" s="605"/>
      <c r="AA36" s="698" t="s">
        <v>328</v>
      </c>
      <c r="AB36" s="613"/>
      <c r="AC36" s="622"/>
      <c r="AD36" s="572"/>
      <c r="AE36" s="6"/>
      <c r="AF36" s="50">
        <v>9</v>
      </c>
      <c r="AG36" s="634"/>
      <c r="AH36" s="567"/>
      <c r="AI36" s="605"/>
      <c r="AJ36" s="698" t="s">
        <v>325</v>
      </c>
      <c r="AK36" s="613"/>
      <c r="AM36" s="572"/>
      <c r="AN36" s="6"/>
      <c r="AO36" s="6"/>
      <c r="AP36" s="614"/>
      <c r="AQ36" s="1044"/>
      <c r="AR36" s="567"/>
      <c r="AS36" s="605"/>
      <c r="AT36" s="605"/>
      <c r="AU36" s="828"/>
      <c r="AV36" s="613"/>
    </row>
    <row r="37" spans="1:48" ht="59.45" customHeight="1" x14ac:dyDescent="0.25">
      <c r="A37" s="2206">
        <v>45309</v>
      </c>
      <c r="B37" s="644">
        <v>1</v>
      </c>
      <c r="C37" s="50"/>
      <c r="D37" s="596"/>
      <c r="E37" s="50">
        <v>10</v>
      </c>
      <c r="F37" s="50"/>
      <c r="G37" s="692"/>
      <c r="H37" s="1044"/>
      <c r="I37" s="848" t="s">
        <v>152</v>
      </c>
      <c r="J37" s="635"/>
      <c r="K37" s="622"/>
      <c r="L37" s="572"/>
      <c r="M37" s="6"/>
      <c r="N37" s="6"/>
      <c r="O37" s="727"/>
      <c r="P37" s="614"/>
      <c r="Q37" s="6"/>
      <c r="R37" s="6"/>
      <c r="S37" s="613"/>
      <c r="T37" s="622"/>
      <c r="U37" s="572"/>
      <c r="V37" s="6"/>
      <c r="W37" s="6">
        <v>20</v>
      </c>
      <c r="X37" s="613"/>
      <c r="Y37" s="614"/>
      <c r="Z37" s="605"/>
      <c r="AA37" s="698" t="s">
        <v>152</v>
      </c>
      <c r="AB37" s="635"/>
      <c r="AC37" s="622"/>
      <c r="AD37" s="572"/>
      <c r="AE37" s="6"/>
      <c r="AF37" s="6">
        <v>6</v>
      </c>
      <c r="AG37" s="613"/>
      <c r="AH37" s="1044"/>
      <c r="AI37" s="6"/>
      <c r="AJ37" s="698" t="s">
        <v>336</v>
      </c>
      <c r="AK37" s="613"/>
      <c r="AM37" s="572"/>
      <c r="AN37" s="6"/>
      <c r="AO37" s="6"/>
      <c r="AP37" s="50"/>
      <c r="AQ37" s="613"/>
      <c r="AR37" s="614"/>
      <c r="AS37" s="6"/>
      <c r="AT37" s="6"/>
      <c r="AU37" s="50"/>
      <c r="AV37" s="613"/>
    </row>
    <row r="38" spans="1:48" ht="55.9" customHeight="1" x14ac:dyDescent="0.25">
      <c r="A38" s="2205"/>
      <c r="B38" s="574">
        <v>2</v>
      </c>
      <c r="C38" s="50"/>
      <c r="D38" s="596">
        <v>25</v>
      </c>
      <c r="E38" s="50"/>
      <c r="F38" s="829"/>
      <c r="G38" s="692"/>
      <c r="H38" s="1050" t="s">
        <v>829</v>
      </c>
      <c r="I38" s="848"/>
      <c r="J38" s="635"/>
      <c r="K38" s="622"/>
      <c r="L38" s="572"/>
      <c r="M38" s="6"/>
      <c r="N38" s="6"/>
      <c r="O38" s="613"/>
      <c r="P38" s="1044"/>
      <c r="Q38" s="1044"/>
      <c r="R38" s="6"/>
      <c r="S38" s="635"/>
      <c r="T38" s="622"/>
      <c r="U38" s="572">
        <v>246</v>
      </c>
      <c r="V38" s="6"/>
      <c r="W38" s="6"/>
      <c r="X38" s="613"/>
      <c r="Y38" s="614" t="s">
        <v>828</v>
      </c>
      <c r="Z38" s="605"/>
      <c r="AA38" s="698"/>
      <c r="AB38" s="635"/>
      <c r="AC38" s="622"/>
      <c r="AD38" s="572"/>
      <c r="AE38" s="6"/>
      <c r="AF38" s="6">
        <v>10</v>
      </c>
      <c r="AG38" s="613"/>
      <c r="AH38" s="1044"/>
      <c r="AI38" s="6"/>
      <c r="AJ38" s="698" t="s">
        <v>325</v>
      </c>
      <c r="AK38" s="635"/>
      <c r="AM38" s="572"/>
      <c r="AN38" s="6"/>
      <c r="AO38" s="6"/>
      <c r="AP38" s="50"/>
      <c r="AQ38" s="613"/>
      <c r="AR38" s="614"/>
      <c r="AS38" s="6"/>
      <c r="AT38" s="605"/>
      <c r="AU38" s="828"/>
      <c r="AV38" s="635"/>
    </row>
    <row r="39" spans="1:48" ht="70.900000000000006" customHeight="1" x14ac:dyDescent="0.25">
      <c r="A39" s="2206">
        <v>45310</v>
      </c>
      <c r="B39" s="574">
        <v>1</v>
      </c>
      <c r="C39" s="50"/>
      <c r="D39" s="596"/>
      <c r="E39" s="50"/>
      <c r="F39" s="829"/>
      <c r="G39" s="692"/>
      <c r="H39" s="1044"/>
      <c r="I39" s="848"/>
      <c r="J39" s="635"/>
      <c r="K39" s="622"/>
      <c r="L39" s="572"/>
      <c r="M39" s="6"/>
      <c r="N39" s="6"/>
      <c r="O39" s="597"/>
      <c r="P39" s="692"/>
      <c r="Q39" s="619"/>
      <c r="R39" s="692"/>
      <c r="S39" s="635"/>
      <c r="T39" s="622"/>
      <c r="U39" s="572">
        <v>40</v>
      </c>
      <c r="V39" s="6"/>
      <c r="W39" s="6">
        <v>30</v>
      </c>
      <c r="X39" s="597"/>
      <c r="Y39" s="614" t="s">
        <v>828</v>
      </c>
      <c r="Z39" s="619"/>
      <c r="AA39" s="698" t="s">
        <v>830</v>
      </c>
      <c r="AB39" s="635"/>
      <c r="AC39" s="622"/>
      <c r="AD39" s="572"/>
      <c r="AE39" s="6"/>
      <c r="AF39" s="6"/>
      <c r="AG39" s="597"/>
      <c r="AH39" s="692"/>
      <c r="AI39" s="619"/>
      <c r="AJ39" s="692"/>
      <c r="AK39" s="635"/>
      <c r="AM39" s="572"/>
      <c r="AN39" s="6"/>
      <c r="AO39" s="6"/>
      <c r="AP39" s="597"/>
      <c r="AQ39" s="692"/>
      <c r="AR39" s="619"/>
      <c r="AS39" s="692"/>
      <c r="AT39" s="635"/>
      <c r="AU39" s="635"/>
      <c r="AV39" s="687"/>
    </row>
    <row r="40" spans="1:48" ht="72.599999999999994" customHeight="1" x14ac:dyDescent="0.25">
      <c r="A40" s="2205"/>
      <c r="B40" s="574">
        <v>2</v>
      </c>
      <c r="C40" s="596"/>
      <c r="D40" s="596">
        <v>15</v>
      </c>
      <c r="E40" s="596">
        <v>50</v>
      </c>
      <c r="F40" s="613"/>
      <c r="G40" s="692"/>
      <c r="H40" s="620" t="s">
        <v>61</v>
      </c>
      <c r="I40" s="620" t="s">
        <v>328</v>
      </c>
      <c r="J40" s="635"/>
      <c r="K40" s="622"/>
      <c r="L40" s="572"/>
      <c r="M40" s="6"/>
      <c r="N40" s="6"/>
      <c r="O40" s="613"/>
      <c r="P40" s="685"/>
      <c r="Q40" s="619"/>
      <c r="R40" s="692"/>
      <c r="S40" s="635"/>
      <c r="T40" s="622"/>
      <c r="U40" s="572">
        <v>89</v>
      </c>
      <c r="V40" s="6"/>
      <c r="W40" s="6">
        <v>26</v>
      </c>
      <c r="X40" s="613"/>
      <c r="Y40" s="685" t="s">
        <v>621</v>
      </c>
      <c r="Z40" s="619"/>
      <c r="AA40" s="684" t="s">
        <v>330</v>
      </c>
      <c r="AB40" s="635"/>
      <c r="AC40" s="622"/>
      <c r="AD40" s="572"/>
      <c r="AE40" s="6"/>
      <c r="AF40" s="6"/>
      <c r="AG40" s="613"/>
      <c r="AH40" s="567"/>
      <c r="AI40" s="620"/>
      <c r="AJ40" s="692"/>
      <c r="AK40" s="635"/>
      <c r="AM40" s="567"/>
      <c r="AN40" s="6"/>
      <c r="AO40" s="6"/>
      <c r="AP40" s="50"/>
      <c r="AQ40" s="613"/>
      <c r="AR40" s="685"/>
      <c r="AS40" s="619"/>
      <c r="AT40" s="692"/>
      <c r="AU40" s="635"/>
      <c r="AV40" s="635"/>
    </row>
    <row r="41" spans="1:48" ht="39.6" customHeight="1" x14ac:dyDescent="0.25">
      <c r="A41" s="2206">
        <v>45311</v>
      </c>
      <c r="B41" s="574">
        <v>1</v>
      </c>
      <c r="C41" s="595"/>
      <c r="D41" s="596"/>
      <c r="E41" s="596">
        <v>62</v>
      </c>
      <c r="F41" s="613"/>
      <c r="G41" s="685"/>
      <c r="H41" s="620"/>
      <c r="I41" s="620" t="s">
        <v>328</v>
      </c>
      <c r="J41" s="635"/>
      <c r="K41" s="622"/>
      <c r="L41" s="572"/>
      <c r="M41" s="6"/>
      <c r="N41" s="6"/>
      <c r="O41" s="613"/>
      <c r="P41" s="614"/>
      <c r="Q41" s="6"/>
      <c r="R41" s="692"/>
      <c r="S41" s="635"/>
      <c r="T41" s="622"/>
      <c r="U41" s="572"/>
      <c r="V41" s="6"/>
      <c r="W41" s="6">
        <v>47</v>
      </c>
      <c r="X41" s="613"/>
      <c r="Y41" s="614"/>
      <c r="Z41" s="605"/>
      <c r="AA41" s="698" t="s">
        <v>830</v>
      </c>
      <c r="AB41" s="613"/>
      <c r="AC41" s="622"/>
      <c r="AD41" s="572"/>
      <c r="AE41" s="6"/>
      <c r="AF41" s="6"/>
      <c r="AG41" s="613"/>
      <c r="AH41" s="567"/>
      <c r="AI41" s="605"/>
      <c r="AJ41" s="6"/>
      <c r="AK41" s="613"/>
      <c r="AM41" s="572"/>
      <c r="AN41" s="6"/>
      <c r="AO41" s="6"/>
      <c r="AP41" s="50"/>
      <c r="AQ41" s="613"/>
      <c r="AR41" s="614"/>
      <c r="AS41" s="605"/>
      <c r="AT41" s="692"/>
      <c r="AU41" s="50"/>
      <c r="AV41" s="613"/>
    </row>
    <row r="42" spans="1:48" ht="33" customHeight="1" x14ac:dyDescent="0.25">
      <c r="A42" s="2205"/>
      <c r="B42" s="574">
        <v>2</v>
      </c>
      <c r="C42" s="596"/>
      <c r="D42" s="596"/>
      <c r="E42" s="596">
        <v>103</v>
      </c>
      <c r="F42" s="613"/>
      <c r="G42" s="685"/>
      <c r="H42" s="620"/>
      <c r="I42" s="692" t="s">
        <v>831</v>
      </c>
      <c r="J42" s="635"/>
      <c r="K42" s="622"/>
      <c r="L42" s="572"/>
      <c r="M42" s="6"/>
      <c r="N42" s="6"/>
      <c r="O42" s="613"/>
      <c r="P42" s="614"/>
      <c r="Q42" s="6"/>
      <c r="R42" s="6"/>
      <c r="S42" s="635"/>
      <c r="T42" s="622"/>
      <c r="U42" s="572"/>
      <c r="V42" s="6"/>
      <c r="W42" s="6">
        <v>47</v>
      </c>
      <c r="X42" s="613"/>
      <c r="Y42" s="1044"/>
      <c r="Z42" s="6"/>
      <c r="AA42" s="698" t="s">
        <v>401</v>
      </c>
      <c r="AB42" s="635"/>
      <c r="AC42" s="622"/>
      <c r="AD42" s="572"/>
      <c r="AE42" s="6"/>
      <c r="AF42" s="6">
        <v>32</v>
      </c>
      <c r="AG42" s="613"/>
      <c r="AH42" s="614"/>
      <c r="AI42" s="6"/>
      <c r="AJ42" s="6" t="s">
        <v>401</v>
      </c>
      <c r="AK42" s="635"/>
      <c r="AM42" s="572"/>
      <c r="AN42" s="6"/>
      <c r="AO42" s="6"/>
      <c r="AP42" s="50"/>
      <c r="AQ42" s="613"/>
      <c r="AR42" s="614"/>
      <c r="AS42" s="6"/>
      <c r="AT42" s="6"/>
      <c r="AU42" s="635"/>
      <c r="AV42" s="613"/>
    </row>
    <row r="43" spans="1:48" ht="65.45" customHeight="1" x14ac:dyDescent="0.25">
      <c r="A43" s="2206">
        <v>45312</v>
      </c>
      <c r="B43" s="574">
        <v>1</v>
      </c>
      <c r="C43" s="596"/>
      <c r="D43" s="596"/>
      <c r="E43" s="596">
        <v>14</v>
      </c>
      <c r="F43" s="597"/>
      <c r="G43" s="619"/>
      <c r="H43" s="619"/>
      <c r="I43" s="848" t="s">
        <v>152</v>
      </c>
      <c r="J43" s="635"/>
      <c r="K43" s="622"/>
      <c r="L43" s="572"/>
      <c r="M43" s="6"/>
      <c r="N43" s="6"/>
      <c r="O43" s="613"/>
      <c r="P43" s="614"/>
      <c r="Q43" s="6"/>
      <c r="R43" s="6"/>
      <c r="S43" s="635"/>
      <c r="T43" s="622"/>
      <c r="U43" s="572"/>
      <c r="V43" s="6"/>
      <c r="W43" s="6">
        <v>32</v>
      </c>
      <c r="X43" s="613"/>
      <c r="Y43" s="614"/>
      <c r="Z43" s="6"/>
      <c r="AA43" s="698" t="s">
        <v>830</v>
      </c>
      <c r="AB43" s="635"/>
      <c r="AC43" s="622"/>
      <c r="AD43" s="572"/>
      <c r="AE43" s="6"/>
      <c r="AF43" s="6"/>
      <c r="AG43" s="613"/>
      <c r="AH43" s="605"/>
      <c r="AI43" s="620"/>
      <c r="AJ43" s="6"/>
      <c r="AK43" s="635"/>
      <c r="AM43" s="572"/>
      <c r="AN43" s="6"/>
      <c r="AO43" s="6"/>
      <c r="AP43" s="50"/>
      <c r="AQ43" s="613"/>
      <c r="AR43" s="605"/>
      <c r="AS43" s="620"/>
      <c r="AT43" s="6"/>
      <c r="AU43" s="635"/>
      <c r="AV43" s="613"/>
    </row>
    <row r="44" spans="1:48" ht="69" customHeight="1" x14ac:dyDescent="0.25">
      <c r="A44" s="2205"/>
      <c r="B44" s="574">
        <v>2</v>
      </c>
      <c r="C44" s="596"/>
      <c r="D44" s="596"/>
      <c r="E44" s="596">
        <v>50</v>
      </c>
      <c r="F44" s="597"/>
      <c r="G44" s="619"/>
      <c r="H44" s="620"/>
      <c r="I44" s="848" t="s">
        <v>152</v>
      </c>
      <c r="J44" s="635"/>
      <c r="K44" s="622"/>
      <c r="L44" s="572"/>
      <c r="M44" s="6"/>
      <c r="N44" s="6"/>
      <c r="O44" s="613"/>
      <c r="P44" s="1044"/>
      <c r="Q44" s="6"/>
      <c r="R44" s="605"/>
      <c r="S44" s="635"/>
      <c r="T44" s="622"/>
      <c r="U44" s="572"/>
      <c r="V44" s="6"/>
      <c r="W44" s="596">
        <v>60</v>
      </c>
      <c r="X44" s="597"/>
      <c r="Y44" s="619"/>
      <c r="Z44" s="620"/>
      <c r="AA44" s="698" t="s">
        <v>830</v>
      </c>
      <c r="AB44" s="635"/>
      <c r="AC44" s="622"/>
      <c r="AD44" s="572"/>
      <c r="AE44" s="6"/>
      <c r="AF44" s="6">
        <v>20</v>
      </c>
      <c r="AG44" s="613"/>
      <c r="AH44" s="614"/>
      <c r="AI44" s="605"/>
      <c r="AJ44" s="698" t="s">
        <v>325</v>
      </c>
      <c r="AK44" s="635"/>
      <c r="AM44" s="572"/>
      <c r="AN44" s="6"/>
      <c r="AO44" s="6"/>
      <c r="AP44" s="50"/>
      <c r="AQ44" s="613"/>
      <c r="AR44" s="614"/>
      <c r="AS44" s="605"/>
      <c r="AT44" s="605"/>
      <c r="AU44" s="635"/>
      <c r="AV44" s="613"/>
    </row>
    <row r="45" spans="1:48" ht="48" customHeight="1" x14ac:dyDescent="0.25">
      <c r="A45" s="2206">
        <v>45313</v>
      </c>
      <c r="B45" s="574">
        <v>1</v>
      </c>
      <c r="C45" s="596"/>
      <c r="D45" s="596">
        <v>30</v>
      </c>
      <c r="E45" s="596"/>
      <c r="F45" s="597"/>
      <c r="G45" s="619"/>
      <c r="H45" s="619" t="s">
        <v>832</v>
      </c>
      <c r="I45" s="692"/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"/>
      <c r="W45" s="6"/>
      <c r="X45" s="613"/>
      <c r="Y45" s="619"/>
      <c r="Z45" s="620"/>
      <c r="AA45" s="605"/>
      <c r="AB45" s="613"/>
      <c r="AC45" s="622"/>
      <c r="AD45" s="572"/>
      <c r="AE45" s="6"/>
      <c r="AF45" s="6"/>
      <c r="AG45" s="613"/>
      <c r="AH45" s="614"/>
      <c r="AI45" s="605"/>
      <c r="AJ45" s="605"/>
      <c r="AK45" s="613"/>
      <c r="AM45" s="572"/>
      <c r="AN45" s="6"/>
      <c r="AO45" s="6"/>
      <c r="AP45" s="50"/>
      <c r="AQ45" s="613"/>
      <c r="AR45" s="614"/>
      <c r="AS45" s="605"/>
      <c r="AT45" s="6"/>
      <c r="AU45" s="50"/>
      <c r="AV45" s="613"/>
    </row>
    <row r="46" spans="1:48" ht="48.6" customHeight="1" x14ac:dyDescent="0.25">
      <c r="A46" s="2205"/>
      <c r="B46" s="574">
        <v>2</v>
      </c>
      <c r="C46" s="596"/>
      <c r="D46" s="596"/>
      <c r="E46" s="596">
        <v>15</v>
      </c>
      <c r="F46" s="597"/>
      <c r="G46" s="619"/>
      <c r="H46" s="619"/>
      <c r="I46" s="848" t="s">
        <v>152</v>
      </c>
      <c r="J46" s="635"/>
      <c r="K46" s="622"/>
      <c r="L46" s="572"/>
      <c r="M46" s="6"/>
      <c r="N46" s="6"/>
      <c r="O46" s="785"/>
      <c r="P46" s="614"/>
      <c r="Q46" s="620"/>
      <c r="R46" s="605"/>
      <c r="S46" s="635"/>
      <c r="T46" s="622"/>
      <c r="U46" s="572"/>
      <c r="V46" s="6">
        <v>5</v>
      </c>
      <c r="W46" s="6">
        <v>10</v>
      </c>
      <c r="X46" s="613"/>
      <c r="Y46" s="1044"/>
      <c r="Z46" s="6" t="s">
        <v>811</v>
      </c>
      <c r="AA46" s="605" t="s">
        <v>152</v>
      </c>
      <c r="AB46" s="635"/>
      <c r="AC46" s="622"/>
      <c r="AD46" s="572"/>
      <c r="AE46" s="6"/>
      <c r="AF46" s="6">
        <v>6</v>
      </c>
      <c r="AG46" s="613"/>
      <c r="AH46" s="1044"/>
      <c r="AI46" s="6"/>
      <c r="AJ46" s="698" t="s">
        <v>325</v>
      </c>
      <c r="AK46" s="635"/>
      <c r="AM46" s="572"/>
      <c r="AN46" s="6"/>
      <c r="AO46" s="6"/>
      <c r="AP46" s="50"/>
      <c r="AQ46" s="613"/>
      <c r="AR46" s="614"/>
      <c r="AS46" s="620"/>
      <c r="AT46" s="6"/>
      <c r="AU46" s="50"/>
      <c r="AV46" s="635"/>
    </row>
    <row r="47" spans="1:48" ht="58.9" customHeight="1" x14ac:dyDescent="0.25">
      <c r="A47" s="2206">
        <v>45314</v>
      </c>
      <c r="B47" s="574">
        <v>1</v>
      </c>
      <c r="C47" s="596"/>
      <c r="D47" s="596"/>
      <c r="E47" s="596">
        <v>27</v>
      </c>
      <c r="F47" s="597"/>
      <c r="G47" s="619"/>
      <c r="H47" s="619"/>
      <c r="I47" s="848" t="s">
        <v>152</v>
      </c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>
        <v>7</v>
      </c>
      <c r="W47" s="6">
        <v>27</v>
      </c>
      <c r="X47" s="613"/>
      <c r="Y47" s="614"/>
      <c r="Z47" s="605" t="s">
        <v>833</v>
      </c>
      <c r="AA47" s="605" t="s">
        <v>152</v>
      </c>
      <c r="AB47" s="635"/>
      <c r="AC47" s="622"/>
      <c r="AD47" s="572"/>
      <c r="AE47" s="6"/>
      <c r="AF47" s="6"/>
      <c r="AG47" s="613"/>
      <c r="AH47" s="1044"/>
      <c r="AI47" s="620"/>
      <c r="AJ47" s="698"/>
      <c r="AK47" s="613"/>
      <c r="AM47" s="572"/>
      <c r="AN47" s="6"/>
      <c r="AO47" s="6"/>
      <c r="AP47" s="50"/>
      <c r="AQ47" s="613"/>
      <c r="AR47" s="614"/>
      <c r="AS47" s="620"/>
      <c r="AT47" s="6"/>
      <c r="AU47" s="50"/>
      <c r="AV47" s="613"/>
    </row>
    <row r="48" spans="1:48" ht="34.9" customHeight="1" x14ac:dyDescent="0.25">
      <c r="A48" s="2205"/>
      <c r="B48" s="574">
        <v>2</v>
      </c>
      <c r="C48" s="596"/>
      <c r="D48" s="596"/>
      <c r="E48" s="596"/>
      <c r="F48" s="597"/>
      <c r="G48" s="620"/>
      <c r="H48" s="620"/>
      <c r="I48" s="692"/>
      <c r="J48" s="635"/>
      <c r="K48" s="622"/>
      <c r="L48" s="572"/>
      <c r="M48" s="6"/>
      <c r="N48" s="6"/>
      <c r="O48" s="597"/>
      <c r="P48" s="620"/>
      <c r="Q48" s="620"/>
      <c r="R48" s="692"/>
      <c r="S48" s="635"/>
      <c r="T48" s="622"/>
      <c r="U48" s="572"/>
      <c r="V48" s="6"/>
      <c r="W48" s="6">
        <v>15</v>
      </c>
      <c r="X48" s="597"/>
      <c r="Y48" s="620"/>
      <c r="Z48" s="620"/>
      <c r="AA48" s="692" t="s">
        <v>834</v>
      </c>
      <c r="AB48" s="635"/>
      <c r="AC48" s="622"/>
      <c r="AD48" s="572"/>
      <c r="AE48" s="6"/>
      <c r="AF48" s="6"/>
      <c r="AG48" s="597"/>
      <c r="AH48" s="620"/>
      <c r="AI48" s="620"/>
      <c r="AJ48" s="692"/>
      <c r="AK48" s="635"/>
      <c r="AM48" s="572"/>
      <c r="AN48" s="6"/>
      <c r="AO48" s="572"/>
      <c r="AP48" s="6"/>
      <c r="AQ48" s="6"/>
      <c r="AR48" s="597"/>
      <c r="AS48" s="620"/>
      <c r="AT48" s="620"/>
      <c r="AU48" s="635"/>
      <c r="AV48" s="613"/>
    </row>
    <row r="49" spans="1:48" ht="36" customHeight="1" x14ac:dyDescent="0.25">
      <c r="A49" s="2206">
        <v>45315</v>
      </c>
      <c r="B49" s="574">
        <v>1</v>
      </c>
      <c r="C49" s="596"/>
      <c r="D49" s="596"/>
      <c r="E49" s="596">
        <v>27</v>
      </c>
      <c r="F49" s="597"/>
      <c r="G49" s="620"/>
      <c r="H49" s="619"/>
      <c r="I49" s="848" t="s">
        <v>152</v>
      </c>
      <c r="J49" s="635"/>
      <c r="K49" s="622"/>
      <c r="L49" s="572"/>
      <c r="M49" s="6"/>
      <c r="N49" s="6"/>
      <c r="O49" s="597"/>
      <c r="P49" s="620"/>
      <c r="Q49" s="619"/>
      <c r="R49" s="692"/>
      <c r="S49" s="635"/>
      <c r="T49" s="622"/>
      <c r="U49" s="572"/>
      <c r="V49" s="6"/>
      <c r="W49" s="6">
        <v>24</v>
      </c>
      <c r="X49" s="597"/>
      <c r="Y49" s="620"/>
      <c r="Z49" s="605"/>
      <c r="AA49" s="605" t="s">
        <v>152</v>
      </c>
      <c r="AB49" s="635"/>
      <c r="AC49" s="622"/>
      <c r="AD49" s="572"/>
      <c r="AE49" s="6"/>
      <c r="AF49" s="6"/>
      <c r="AG49" s="597"/>
      <c r="AH49" s="620"/>
      <c r="AI49" s="619"/>
      <c r="AJ49" s="692"/>
      <c r="AK49" s="635"/>
      <c r="AM49" s="572"/>
      <c r="AN49" s="6"/>
      <c r="AO49" s="6"/>
      <c r="AP49" s="597"/>
      <c r="AQ49" s="620"/>
      <c r="AR49" s="619"/>
      <c r="AS49" s="692"/>
      <c r="AT49" s="635"/>
      <c r="AU49" s="635"/>
      <c r="AV49" s="613"/>
    </row>
    <row r="50" spans="1:48" ht="51.6" customHeight="1" x14ac:dyDescent="0.25">
      <c r="A50" s="2205"/>
      <c r="B50" s="574">
        <v>2</v>
      </c>
      <c r="C50" s="596"/>
      <c r="D50" s="596"/>
      <c r="E50" s="596">
        <v>22</v>
      </c>
      <c r="F50" s="597"/>
      <c r="G50" s="619"/>
      <c r="H50" s="619"/>
      <c r="I50" s="692" t="s">
        <v>333</v>
      </c>
      <c r="J50" s="635"/>
      <c r="K50" s="622"/>
      <c r="L50" s="572"/>
      <c r="M50" s="6"/>
      <c r="N50" s="6"/>
      <c r="O50" s="597"/>
      <c r="P50" s="619"/>
      <c r="Q50" s="619"/>
      <c r="R50" s="692"/>
      <c r="S50" s="635"/>
      <c r="T50" s="622"/>
      <c r="U50" s="572"/>
      <c r="V50" s="6">
        <v>9</v>
      </c>
      <c r="W50" s="6">
        <v>24</v>
      </c>
      <c r="X50" s="597"/>
      <c r="Y50" s="619"/>
      <c r="Z50" s="619" t="s">
        <v>835</v>
      </c>
      <c r="AA50" s="698" t="s">
        <v>333</v>
      </c>
      <c r="AB50" s="635"/>
      <c r="AC50" s="622"/>
      <c r="AD50" s="572"/>
      <c r="AE50" s="6"/>
      <c r="AF50" s="6"/>
      <c r="AG50" s="597"/>
      <c r="AH50" s="619"/>
      <c r="AI50" s="619"/>
      <c r="AJ50" s="692"/>
      <c r="AK50" s="635"/>
      <c r="AM50" s="572"/>
      <c r="AN50" s="6"/>
      <c r="AO50" s="6"/>
      <c r="AP50" s="597"/>
      <c r="AQ50" s="619"/>
      <c r="AR50" s="619"/>
      <c r="AS50" s="692"/>
      <c r="AT50" s="635"/>
      <c r="AU50" s="635"/>
      <c r="AV50" s="635"/>
    </row>
    <row r="51" spans="1:48" ht="34.9" customHeight="1" x14ac:dyDescent="0.25">
      <c r="A51" s="2206">
        <v>45316</v>
      </c>
      <c r="B51" s="574">
        <v>1</v>
      </c>
      <c r="C51" s="596"/>
      <c r="D51" s="596"/>
      <c r="E51" s="596">
        <v>7</v>
      </c>
      <c r="F51" s="597"/>
      <c r="G51" s="619"/>
      <c r="H51" s="619"/>
      <c r="I51" s="848" t="s">
        <v>152</v>
      </c>
      <c r="J51" s="635"/>
      <c r="K51" s="622"/>
      <c r="L51" s="572"/>
      <c r="M51" s="6"/>
      <c r="N51" s="6"/>
      <c r="O51" s="597"/>
      <c r="P51" s="619"/>
      <c r="Q51" s="619"/>
      <c r="R51" s="692"/>
      <c r="S51" s="635"/>
      <c r="T51" s="622"/>
      <c r="U51" s="572"/>
      <c r="V51" s="6"/>
      <c r="W51" s="6">
        <v>17</v>
      </c>
      <c r="X51" s="597"/>
      <c r="Y51" s="619"/>
      <c r="Z51" s="619"/>
      <c r="AA51" s="698" t="s">
        <v>333</v>
      </c>
      <c r="AB51" s="635"/>
      <c r="AC51" s="622"/>
      <c r="AD51" s="572"/>
      <c r="AE51" s="6"/>
      <c r="AF51" s="6"/>
      <c r="AG51" s="597"/>
      <c r="AH51" s="619"/>
      <c r="AI51" s="619"/>
      <c r="AJ51" s="692"/>
      <c r="AK51" s="635"/>
      <c r="AM51" s="572"/>
      <c r="AN51" s="6"/>
      <c r="AO51" s="6"/>
      <c r="AP51" s="597"/>
      <c r="AQ51" s="619"/>
      <c r="AR51" s="619"/>
      <c r="AS51" s="692"/>
      <c r="AT51" s="635"/>
      <c r="AU51" s="635"/>
      <c r="AV51" s="613"/>
    </row>
    <row r="52" spans="1:48" ht="49.15" customHeight="1" x14ac:dyDescent="0.25">
      <c r="A52" s="2205"/>
      <c r="B52" s="574">
        <v>2</v>
      </c>
      <c r="C52" s="596"/>
      <c r="D52" s="596"/>
      <c r="E52" s="596">
        <v>16</v>
      </c>
      <c r="F52" s="597"/>
      <c r="G52" s="620"/>
      <c r="H52" s="620"/>
      <c r="I52" s="848" t="s">
        <v>152</v>
      </c>
      <c r="J52" s="635"/>
      <c r="K52" s="622"/>
      <c r="L52" s="572"/>
      <c r="M52" s="6"/>
      <c r="N52" s="6"/>
      <c r="O52" s="597"/>
      <c r="P52" s="620"/>
      <c r="Q52" s="620"/>
      <c r="R52" s="692"/>
      <c r="S52" s="635"/>
      <c r="T52" s="622"/>
      <c r="U52" s="572"/>
      <c r="V52" s="6">
        <v>6</v>
      </c>
      <c r="W52" s="6">
        <v>31</v>
      </c>
      <c r="X52" s="597"/>
      <c r="Y52" s="620"/>
      <c r="Z52" s="605" t="s">
        <v>833</v>
      </c>
      <c r="AA52" s="698" t="s">
        <v>333</v>
      </c>
      <c r="AB52" s="635"/>
      <c r="AC52" s="622"/>
      <c r="AD52" s="572"/>
      <c r="AE52" s="6"/>
      <c r="AF52" s="6"/>
      <c r="AG52" s="597"/>
      <c r="AH52" s="620"/>
      <c r="AI52" s="620"/>
      <c r="AJ52" s="692"/>
      <c r="AK52" s="635"/>
      <c r="AM52" s="572"/>
      <c r="AN52" s="613"/>
      <c r="AO52" s="613"/>
      <c r="AP52" s="613"/>
      <c r="AQ52" s="613"/>
      <c r="AR52" s="614"/>
      <c r="AS52" s="6"/>
      <c r="AT52" s="635"/>
      <c r="AU52" s="635"/>
      <c r="AV52" s="613"/>
    </row>
    <row r="53" spans="1:48" ht="40.15" customHeight="1" x14ac:dyDescent="0.25">
      <c r="A53" s="2206">
        <v>45317</v>
      </c>
      <c r="B53" s="574">
        <v>1</v>
      </c>
      <c r="C53" s="596"/>
      <c r="D53" s="596">
        <v>247</v>
      </c>
      <c r="E53" s="596">
        <v>10</v>
      </c>
      <c r="F53" s="597"/>
      <c r="G53" s="619"/>
      <c r="H53" s="619" t="s">
        <v>836</v>
      </c>
      <c r="I53" s="848" t="s">
        <v>152</v>
      </c>
      <c r="J53" s="635"/>
      <c r="K53" s="622"/>
      <c r="L53" s="572"/>
      <c r="M53" s="6">
        <v>249</v>
      </c>
      <c r="N53" s="6"/>
      <c r="O53" s="613"/>
      <c r="P53" s="1044"/>
      <c r="Q53" s="620" t="s">
        <v>836</v>
      </c>
      <c r="R53" s="6"/>
      <c r="S53" s="635"/>
      <c r="T53" s="622"/>
      <c r="U53" s="572"/>
      <c r="V53" s="6">
        <v>230</v>
      </c>
      <c r="W53" s="6"/>
      <c r="X53" s="613"/>
      <c r="Y53" s="1044"/>
      <c r="Z53" s="6" t="s">
        <v>837</v>
      </c>
      <c r="AA53" s="605"/>
      <c r="AB53" s="613"/>
      <c r="AC53" s="622"/>
      <c r="AD53" s="572"/>
      <c r="AE53" s="605">
        <v>290</v>
      </c>
      <c r="AF53" s="6"/>
      <c r="AG53" s="613"/>
      <c r="AH53" s="614"/>
      <c r="AI53" s="6" t="s">
        <v>837</v>
      </c>
      <c r="AJ53" s="605"/>
      <c r="AK53" s="613"/>
      <c r="AM53" s="572"/>
      <c r="AN53" s="605">
        <v>350</v>
      </c>
      <c r="AO53" s="6"/>
      <c r="AP53" s="50"/>
      <c r="AQ53" s="613"/>
      <c r="AR53" s="614"/>
      <c r="AS53" s="6" t="s">
        <v>837</v>
      </c>
      <c r="AT53" s="6"/>
      <c r="AU53" s="50"/>
      <c r="AV53" s="613"/>
    </row>
    <row r="54" spans="1:48" ht="39.6" customHeight="1" x14ac:dyDescent="0.25">
      <c r="A54" s="2205"/>
      <c r="B54" s="1039">
        <v>2</v>
      </c>
      <c r="C54" s="596"/>
      <c r="D54" s="596">
        <v>356</v>
      </c>
      <c r="E54" s="596"/>
      <c r="F54" s="597"/>
      <c r="G54" s="619"/>
      <c r="H54" s="620" t="s">
        <v>838</v>
      </c>
      <c r="I54" s="692"/>
      <c r="J54" s="635"/>
      <c r="K54" s="622"/>
      <c r="L54" s="572"/>
      <c r="M54" s="6">
        <v>295</v>
      </c>
      <c r="N54" s="6"/>
      <c r="O54" s="597"/>
      <c r="P54" s="619"/>
      <c r="Q54" s="620" t="s">
        <v>838</v>
      </c>
      <c r="R54" s="619"/>
      <c r="S54" s="635"/>
      <c r="T54" s="622"/>
      <c r="U54" s="572"/>
      <c r="V54" s="6">
        <v>345</v>
      </c>
      <c r="W54" s="6"/>
      <c r="X54" s="597"/>
      <c r="Y54" s="620"/>
      <c r="Z54" s="620" t="s">
        <v>838</v>
      </c>
      <c r="AA54" s="620"/>
      <c r="AB54" s="635"/>
      <c r="AC54" s="622"/>
      <c r="AD54" s="572"/>
      <c r="AE54" s="6">
        <v>317</v>
      </c>
      <c r="AF54" s="6"/>
      <c r="AG54" s="613"/>
      <c r="AH54" s="614"/>
      <c r="AI54" s="620" t="s">
        <v>838</v>
      </c>
      <c r="AJ54" s="6"/>
      <c r="AK54" s="635"/>
      <c r="AM54" s="572"/>
      <c r="AN54" s="6">
        <v>347</v>
      </c>
      <c r="AO54" s="6"/>
      <c r="AP54" s="50"/>
      <c r="AQ54" s="597"/>
      <c r="AR54" s="619"/>
      <c r="AS54" s="620" t="s">
        <v>838</v>
      </c>
      <c r="AT54" s="619"/>
      <c r="AU54" s="830"/>
      <c r="AV54" s="635"/>
    </row>
    <row r="55" spans="1:48" ht="39.6" customHeight="1" x14ac:dyDescent="0.25">
      <c r="A55" s="2206">
        <v>45318</v>
      </c>
      <c r="B55" s="574">
        <v>1</v>
      </c>
      <c r="C55" s="595"/>
      <c r="D55" s="596"/>
      <c r="E55" s="596"/>
      <c r="F55" s="597"/>
      <c r="G55" s="619"/>
      <c r="H55" s="619"/>
      <c r="I55" s="848"/>
      <c r="J55" s="613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/>
      <c r="X55" s="613"/>
      <c r="Y55" s="614"/>
      <c r="Z55" s="620"/>
      <c r="AA55" s="698"/>
      <c r="AB55" s="613"/>
      <c r="AC55" s="622"/>
      <c r="AD55" s="572"/>
      <c r="AE55" s="6"/>
      <c r="AF55" s="6"/>
      <c r="AG55" s="613"/>
      <c r="AH55" s="614"/>
      <c r="AI55" s="620"/>
      <c r="AJ55" s="6"/>
      <c r="AK55" s="613"/>
      <c r="AM55" s="572"/>
      <c r="AN55" s="6"/>
      <c r="AO55" s="6"/>
      <c r="AP55" s="50"/>
      <c r="AQ55" s="613"/>
      <c r="AR55" s="614"/>
      <c r="AS55" s="620"/>
      <c r="AT55" s="6"/>
      <c r="AU55" s="50"/>
      <c r="AV55" s="613"/>
    </row>
    <row r="56" spans="1:48" ht="94.15" customHeight="1" x14ac:dyDescent="0.25">
      <c r="A56" s="2205"/>
      <c r="B56" s="1039">
        <v>2</v>
      </c>
      <c r="C56" s="595"/>
      <c r="D56" s="596"/>
      <c r="E56" s="596"/>
      <c r="F56" s="597"/>
      <c r="G56" s="620"/>
      <c r="H56" s="620"/>
      <c r="I56" s="848"/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/>
      <c r="V56" s="6"/>
      <c r="W56" s="6"/>
      <c r="X56" s="597"/>
      <c r="Y56" s="1044"/>
      <c r="Z56" s="619"/>
      <c r="AA56" s="605"/>
      <c r="AB56" s="635"/>
      <c r="AC56" s="622"/>
      <c r="AD56" s="572"/>
      <c r="AE56" s="6"/>
      <c r="AF56" s="6"/>
      <c r="AG56" s="597"/>
      <c r="AH56" s="620"/>
      <c r="AI56" s="619"/>
      <c r="AJ56" s="620"/>
      <c r="AK56" s="635"/>
      <c r="AM56" s="572"/>
      <c r="AN56" s="6"/>
      <c r="AO56" s="6"/>
      <c r="AP56" s="50"/>
      <c r="AQ56" s="597"/>
      <c r="AR56" s="620"/>
      <c r="AS56" s="619"/>
      <c r="AT56" s="620"/>
      <c r="AU56" s="692"/>
      <c r="AV56" s="635"/>
    </row>
    <row r="57" spans="1:48" ht="52.15" customHeight="1" x14ac:dyDescent="0.25">
      <c r="A57" s="2206">
        <v>45319</v>
      </c>
      <c r="B57" s="574">
        <v>1</v>
      </c>
      <c r="C57" s="595"/>
      <c r="D57" s="596"/>
      <c r="E57" s="596"/>
      <c r="F57" s="597"/>
      <c r="G57" s="620"/>
      <c r="H57" s="620"/>
      <c r="I57" s="692"/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/>
      <c r="X57" s="597"/>
      <c r="Y57" s="620"/>
      <c r="Z57" s="619"/>
      <c r="AA57" s="605"/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/>
      <c r="AP57" s="50"/>
      <c r="AQ57" s="597"/>
      <c r="AR57" s="620"/>
      <c r="AS57" s="619"/>
      <c r="AT57" s="620"/>
      <c r="AU57" s="692"/>
      <c r="AV57" s="635"/>
    </row>
    <row r="58" spans="1:48" ht="78" customHeight="1" x14ac:dyDescent="0.25">
      <c r="A58" s="2205"/>
      <c r="B58" s="1039">
        <v>2</v>
      </c>
      <c r="C58" s="595"/>
      <c r="D58" s="596"/>
      <c r="E58" s="596">
        <v>32</v>
      </c>
      <c r="F58" s="597"/>
      <c r="G58" s="620"/>
      <c r="H58" s="619"/>
      <c r="I58" s="848" t="s">
        <v>152</v>
      </c>
      <c r="J58" s="635"/>
      <c r="K58" s="622"/>
      <c r="L58" s="572"/>
      <c r="M58" s="6"/>
      <c r="N58" s="6"/>
      <c r="O58" s="597"/>
      <c r="P58" s="620"/>
      <c r="Q58" s="619"/>
      <c r="R58" s="620"/>
      <c r="S58" s="635"/>
      <c r="T58" s="622"/>
      <c r="U58" s="572"/>
      <c r="V58" s="6"/>
      <c r="W58" s="6">
        <v>30</v>
      </c>
      <c r="X58" s="597"/>
      <c r="Y58" s="620"/>
      <c r="Z58" s="619"/>
      <c r="AA58" s="698" t="s">
        <v>333</v>
      </c>
      <c r="AB58" s="635"/>
      <c r="AC58" s="622"/>
      <c r="AD58" s="572"/>
      <c r="AE58" s="6"/>
      <c r="AF58" s="6"/>
      <c r="AG58" s="597"/>
      <c r="AH58" s="620"/>
      <c r="AI58" s="619"/>
      <c r="AJ58" s="6"/>
      <c r="AK58" s="635"/>
      <c r="AM58" s="572"/>
      <c r="AN58" s="6"/>
      <c r="AO58" s="6"/>
      <c r="AP58" s="50"/>
      <c r="AQ58" s="597"/>
      <c r="AR58" s="620"/>
      <c r="AS58" s="619"/>
      <c r="AT58" s="620"/>
      <c r="AU58" s="692"/>
      <c r="AV58" s="635"/>
    </row>
    <row r="59" spans="1:48" ht="73.150000000000006" customHeight="1" x14ac:dyDescent="0.25">
      <c r="A59" s="2206">
        <v>45320</v>
      </c>
      <c r="B59" s="574">
        <v>1</v>
      </c>
      <c r="C59" s="595"/>
      <c r="D59" s="596"/>
      <c r="E59" s="596">
        <v>19</v>
      </c>
      <c r="F59" s="597"/>
      <c r="G59" s="619"/>
      <c r="H59" s="619"/>
      <c r="I59" s="848" t="s">
        <v>152</v>
      </c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>
        <v>17</v>
      </c>
      <c r="X59" s="613"/>
      <c r="Y59" s="614"/>
      <c r="Z59" s="6"/>
      <c r="AA59" s="698" t="s">
        <v>333</v>
      </c>
      <c r="AB59" s="635"/>
      <c r="AC59" s="622"/>
      <c r="AD59" s="572"/>
      <c r="AE59" s="6"/>
      <c r="AF59" s="6"/>
      <c r="AG59" s="613"/>
      <c r="AH59" s="1044"/>
      <c r="AI59" s="6"/>
      <c r="AJ59" s="620"/>
      <c r="AK59" s="635"/>
      <c r="AM59" s="572"/>
      <c r="AN59" s="6"/>
      <c r="AO59" s="6"/>
      <c r="AP59" s="50"/>
      <c r="AQ59" s="613"/>
      <c r="AR59" s="1044"/>
      <c r="AS59" s="6"/>
      <c r="AT59" s="620"/>
      <c r="AU59" s="692"/>
      <c r="AV59" s="635"/>
    </row>
    <row r="60" spans="1:48" ht="58.9" customHeight="1" x14ac:dyDescent="0.25">
      <c r="A60" s="2205"/>
      <c r="B60" s="1039">
        <v>2</v>
      </c>
      <c r="C60" s="595"/>
      <c r="D60" s="596">
        <v>186</v>
      </c>
      <c r="E60" s="596">
        <v>11</v>
      </c>
      <c r="F60" s="597"/>
      <c r="G60" s="619"/>
      <c r="H60" s="620" t="s">
        <v>839</v>
      </c>
      <c r="I60" s="848" t="s">
        <v>152</v>
      </c>
      <c r="J60" s="635"/>
      <c r="K60" s="622"/>
      <c r="L60" s="572"/>
      <c r="M60" s="6">
        <v>168</v>
      </c>
      <c r="N60" s="6"/>
      <c r="O60" s="613"/>
      <c r="P60" s="614"/>
      <c r="Q60" s="620" t="s">
        <v>839</v>
      </c>
      <c r="R60" s="6"/>
      <c r="S60" s="635"/>
      <c r="T60" s="622"/>
      <c r="U60" s="572"/>
      <c r="V60" s="6">
        <v>190</v>
      </c>
      <c r="W60" s="6">
        <v>6</v>
      </c>
      <c r="X60" s="613"/>
      <c r="Y60" s="1044"/>
      <c r="Z60" s="620" t="s">
        <v>839</v>
      </c>
      <c r="AA60" s="605" t="s">
        <v>152</v>
      </c>
      <c r="AB60" s="635"/>
      <c r="AC60" s="622"/>
      <c r="AD60" s="572"/>
      <c r="AE60" s="6">
        <v>196</v>
      </c>
      <c r="AF60" s="6"/>
      <c r="AG60" s="613"/>
      <c r="AH60" s="614"/>
      <c r="AI60" s="620" t="s">
        <v>839</v>
      </c>
      <c r="AJ60" s="605"/>
      <c r="AK60" s="635"/>
      <c r="AM60" s="572"/>
      <c r="AN60" s="6">
        <v>195</v>
      </c>
      <c r="AO60" s="6"/>
      <c r="AP60" s="50"/>
      <c r="AQ60" s="613"/>
      <c r="AR60" s="614"/>
      <c r="AS60" s="620" t="s">
        <v>839</v>
      </c>
      <c r="AT60" s="605"/>
      <c r="AU60" s="828"/>
      <c r="AV60" s="635"/>
    </row>
    <row r="61" spans="1:48" ht="32.450000000000003" customHeight="1" x14ac:dyDescent="0.25">
      <c r="A61" s="2206">
        <v>45321</v>
      </c>
      <c r="B61" s="574">
        <v>1</v>
      </c>
      <c r="C61" s="1047"/>
      <c r="D61" s="1049">
        <v>12</v>
      </c>
      <c r="E61" s="596"/>
      <c r="F61" s="749"/>
      <c r="G61" s="619"/>
      <c r="H61" s="1060" t="s">
        <v>601</v>
      </c>
      <c r="I61" s="692"/>
      <c r="J61" s="687"/>
      <c r="K61" s="622"/>
      <c r="L61" s="572"/>
      <c r="M61" s="6"/>
      <c r="N61" s="6"/>
      <c r="O61" s="613"/>
      <c r="P61" s="752"/>
      <c r="Q61" s="1045"/>
      <c r="R61" s="1045"/>
      <c r="S61" s="753"/>
      <c r="T61" s="622"/>
      <c r="U61" s="572"/>
      <c r="V61" s="6">
        <v>48</v>
      </c>
      <c r="W61" s="6"/>
      <c r="X61" s="613"/>
      <c r="Y61" s="1044"/>
      <c r="Z61" s="605" t="s">
        <v>840</v>
      </c>
      <c r="AA61" s="605"/>
      <c r="AB61" s="753"/>
      <c r="AC61" s="622"/>
      <c r="AD61" s="572"/>
      <c r="AE61" s="6"/>
      <c r="AF61" s="6"/>
      <c r="AG61" s="613"/>
      <c r="AH61" s="614"/>
      <c r="AI61" s="6"/>
      <c r="AJ61" s="605"/>
      <c r="AK61" s="753"/>
      <c r="AM61" s="572"/>
      <c r="AN61" s="6"/>
      <c r="AO61" s="6"/>
      <c r="AP61" s="50"/>
      <c r="AQ61" s="613"/>
      <c r="AR61" s="1044"/>
      <c r="AS61" s="6"/>
      <c r="AT61" s="605"/>
      <c r="AU61" s="964"/>
      <c r="AV61" s="753"/>
    </row>
    <row r="62" spans="1:48" ht="62.45" customHeight="1" x14ac:dyDescent="0.25">
      <c r="A62" s="2205"/>
      <c r="B62" s="1039">
        <v>2</v>
      </c>
      <c r="C62" s="1047"/>
      <c r="D62" s="1049"/>
      <c r="E62" s="1049"/>
      <c r="F62" s="749"/>
      <c r="G62" s="1041"/>
      <c r="H62" s="1048"/>
      <c r="I62" s="692"/>
      <c r="J62" s="687"/>
      <c r="K62" s="622"/>
      <c r="L62" s="572"/>
      <c r="M62" s="6"/>
      <c r="N62" s="6"/>
      <c r="O62" s="613"/>
      <c r="P62" s="752"/>
      <c r="Q62" s="1045"/>
      <c r="R62" s="1045"/>
      <c r="S62" s="753"/>
      <c r="T62" s="622"/>
      <c r="U62" s="572"/>
      <c r="V62" s="6"/>
      <c r="W62" s="6"/>
      <c r="X62" s="613"/>
      <c r="Y62" s="1044"/>
      <c r="Z62" s="605"/>
      <c r="AA62" s="605"/>
      <c r="AB62" s="753"/>
      <c r="AC62" s="622"/>
      <c r="AD62" s="572"/>
      <c r="AE62" s="6"/>
      <c r="AF62" s="6"/>
      <c r="AG62" s="613"/>
      <c r="AH62" s="614"/>
      <c r="AI62" s="6"/>
      <c r="AJ62" s="605"/>
      <c r="AK62" s="753"/>
      <c r="AM62" s="572"/>
      <c r="AN62" s="6"/>
      <c r="AO62" s="6"/>
      <c r="AP62" s="50"/>
      <c r="AQ62" s="613"/>
      <c r="AR62" s="614"/>
      <c r="AS62" s="6"/>
      <c r="AT62" s="605"/>
      <c r="AU62" s="964"/>
      <c r="AV62" s="753"/>
    </row>
    <row r="63" spans="1:48" ht="64.150000000000006" customHeight="1" x14ac:dyDescent="0.25">
      <c r="A63" s="2206">
        <v>45322</v>
      </c>
      <c r="B63" s="574">
        <v>1</v>
      </c>
      <c r="C63" s="706"/>
      <c r="D63" s="707"/>
      <c r="E63" s="707"/>
      <c r="F63" s="708"/>
      <c r="G63" s="717"/>
      <c r="H63" s="709"/>
      <c r="I63" s="692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/>
      <c r="X63" s="597"/>
      <c r="Y63" s="685"/>
      <c r="Z63" s="619"/>
      <c r="AA63" s="605"/>
      <c r="AB63" s="1043"/>
      <c r="AC63" s="622"/>
      <c r="AD63" s="572"/>
      <c r="AE63" s="6"/>
      <c r="AF63" s="6"/>
      <c r="AG63" s="597"/>
      <c r="AH63" s="685"/>
      <c r="AI63" s="619"/>
      <c r="AJ63" s="6"/>
      <c r="AK63" s="705"/>
      <c r="AM63" s="572"/>
      <c r="AN63" s="6"/>
      <c r="AO63" s="6"/>
      <c r="AP63" s="50"/>
      <c r="AQ63" s="597"/>
      <c r="AR63" s="685"/>
      <c r="AS63" s="619"/>
      <c r="AT63" s="619"/>
      <c r="AU63" s="965"/>
      <c r="AV63" s="705"/>
    </row>
    <row r="64" spans="1:48" ht="62.45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963"/>
      <c r="AQ64" s="636"/>
      <c r="AR64" s="637"/>
      <c r="AS64" s="638"/>
      <c r="AT64" s="638"/>
      <c r="AU64" s="966"/>
      <c r="AV64" s="713"/>
    </row>
    <row r="65" spans="1:43" ht="23.45" customHeight="1" x14ac:dyDescent="0.25">
      <c r="A65" s="524" t="s">
        <v>225</v>
      </c>
      <c r="C65" s="768">
        <f>SUM(C3:C64)</f>
        <v>256</v>
      </c>
      <c r="D65" s="525">
        <f>SUM(D3:D64)</f>
        <v>1048</v>
      </c>
      <c r="E65" s="768">
        <f>SUM(E3:E64)</f>
        <v>1329</v>
      </c>
      <c r="F65" s="525">
        <f>SUM(F3:F64)</f>
        <v>1154</v>
      </c>
      <c r="L65" s="525">
        <f>SUM(L3:L64)</f>
        <v>0</v>
      </c>
      <c r="M65" s="525">
        <f>SUM(M3:M64)</f>
        <v>1000</v>
      </c>
      <c r="N65" s="525">
        <f>SUM(N3:N64)</f>
        <v>0</v>
      </c>
      <c r="O65" s="525">
        <f>SUM(O3:O64)</f>
        <v>1172</v>
      </c>
      <c r="U65" s="525">
        <f>SUM(U3:U64)</f>
        <v>867</v>
      </c>
      <c r="V65" s="525">
        <f>SUM(V3:V64)</f>
        <v>999</v>
      </c>
      <c r="W65" s="525">
        <f>SUM(W3:W64)</f>
        <v>1191</v>
      </c>
      <c r="X65" s="525">
        <f>SUM(X3:X64)</f>
        <v>1159</v>
      </c>
      <c r="AD65" s="525">
        <f>SUM(AD3:AD64)</f>
        <v>259</v>
      </c>
      <c r="AE65" s="525">
        <f>SUM(AE3:AE64)</f>
        <v>818</v>
      </c>
      <c r="AF65" s="525">
        <f>SUM(AF3:AF64)</f>
        <v>302</v>
      </c>
      <c r="AG65" s="525">
        <f>SUM(AG3:AG64)</f>
        <v>1167</v>
      </c>
      <c r="AM65" s="525">
        <f>SUM(AM3:AM64)</f>
        <v>1139</v>
      </c>
      <c r="AN65" s="525">
        <f>SUM(AN3:AN64)</f>
        <v>892</v>
      </c>
      <c r="AO65" s="525">
        <f>SUM(AO3:AO64)</f>
        <v>30</v>
      </c>
      <c r="AP65" s="525"/>
      <c r="AQ65" s="525">
        <f>SUM(AQ3:AQ64)</f>
        <v>0</v>
      </c>
    </row>
    <row r="73" spans="1:43" ht="15.75" thickBot="1" x14ac:dyDescent="0.3"/>
    <row r="74" spans="1:43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3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3" ht="21.75" customHeight="1" x14ac:dyDescent="0.3">
      <c r="B76" s="651" t="s">
        <v>218</v>
      </c>
      <c r="C76" s="652">
        <f>C65</f>
        <v>256</v>
      </c>
      <c r="D76" s="653">
        <f>C76/60</f>
        <v>4.2666666666666666</v>
      </c>
      <c r="E76" s="652">
        <f>D65</f>
        <v>1048</v>
      </c>
      <c r="F76" s="654">
        <f>E76/60</f>
        <v>17.466666666666665</v>
      </c>
      <c r="G76" s="652">
        <f>E65</f>
        <v>1329</v>
      </c>
      <c r="H76" s="653">
        <f>G76/60</f>
        <v>22.15</v>
      </c>
      <c r="I76" s="652">
        <f>F65</f>
        <v>1154</v>
      </c>
      <c r="J76" s="653">
        <f>I76/60</f>
        <v>19.233333333333334</v>
      </c>
    </row>
    <row r="77" spans="1:43" ht="19.5" customHeight="1" x14ac:dyDescent="0.3">
      <c r="B77" s="651" t="s">
        <v>219</v>
      </c>
      <c r="C77" s="655">
        <f>L65</f>
        <v>0</v>
      </c>
      <c r="D77" s="656">
        <f>C77/60</f>
        <v>0</v>
      </c>
      <c r="E77" s="655">
        <f>M65</f>
        <v>1000</v>
      </c>
      <c r="F77" s="657">
        <f>E77/60</f>
        <v>16.666666666666668</v>
      </c>
      <c r="G77" s="655">
        <f>N65</f>
        <v>0</v>
      </c>
      <c r="H77" s="656">
        <f>G77/60</f>
        <v>0</v>
      </c>
      <c r="I77" s="655">
        <f>O65</f>
        <v>1172</v>
      </c>
      <c r="J77" s="656">
        <f>I77/60</f>
        <v>19.533333333333335</v>
      </c>
    </row>
    <row r="78" spans="1:43" ht="20.25" customHeight="1" x14ac:dyDescent="0.3">
      <c r="B78" s="651" t="s">
        <v>220</v>
      </c>
      <c r="C78" s="655">
        <f>U65</f>
        <v>867</v>
      </c>
      <c r="D78" s="656">
        <f>C78/60</f>
        <v>14.45</v>
      </c>
      <c r="E78" s="655">
        <f>V65</f>
        <v>999</v>
      </c>
      <c r="F78" s="657">
        <f>E78/60</f>
        <v>16.649999999999999</v>
      </c>
      <c r="G78" s="655">
        <f>W65</f>
        <v>1191</v>
      </c>
      <c r="H78" s="656">
        <f>G78/60</f>
        <v>19.850000000000001</v>
      </c>
      <c r="I78" s="655">
        <f>X65</f>
        <v>1159</v>
      </c>
      <c r="J78" s="656">
        <f>I78/60</f>
        <v>19.316666666666666</v>
      </c>
    </row>
    <row r="79" spans="1:43" ht="22.5" customHeight="1" thickBot="1" x14ac:dyDescent="0.35">
      <c r="B79" s="651" t="s">
        <v>221</v>
      </c>
      <c r="C79" s="658">
        <f>AD65</f>
        <v>259</v>
      </c>
      <c r="D79" s="659">
        <f>C79/60</f>
        <v>4.3166666666666664</v>
      </c>
      <c r="E79" s="658">
        <f>AE65</f>
        <v>818</v>
      </c>
      <c r="F79" s="660">
        <f>E79/60</f>
        <v>13.633333333333333</v>
      </c>
      <c r="G79" s="658">
        <f>AF65</f>
        <v>302</v>
      </c>
      <c r="H79" s="659">
        <f>G79/60</f>
        <v>5.0333333333333332</v>
      </c>
      <c r="I79" s="658">
        <f>AG65</f>
        <v>1167</v>
      </c>
      <c r="J79" s="659">
        <f>I79/60</f>
        <v>19.45</v>
      </c>
    </row>
    <row r="80" spans="1:43" ht="22.5" customHeight="1" thickBot="1" x14ac:dyDescent="0.35">
      <c r="B80" s="651" t="s">
        <v>488</v>
      </c>
      <c r="C80" s="850">
        <f>AM65</f>
        <v>1139</v>
      </c>
      <c r="D80" s="849">
        <f>C80/60</f>
        <v>18.983333333333334</v>
      </c>
      <c r="E80" s="850">
        <f>AN65</f>
        <v>892</v>
      </c>
      <c r="F80" s="851">
        <f>E80/60</f>
        <v>14.866666666666667</v>
      </c>
      <c r="G80" s="850">
        <f>AO65</f>
        <v>30</v>
      </c>
      <c r="H80" s="849">
        <f>G80/60</f>
        <v>0.5</v>
      </c>
      <c r="I80" s="850">
        <f>AQ65</f>
        <v>0</v>
      </c>
      <c r="J80" s="849">
        <f>I80/60</f>
        <v>0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42.016666666666666</v>
      </c>
      <c r="E82" s="666"/>
      <c r="F82" s="667">
        <f>SUM(F76:F80)</f>
        <v>79.283333333333331</v>
      </c>
      <c r="G82" s="666"/>
      <c r="H82" s="667">
        <f>SUM(H76:H80)</f>
        <v>47.533333333333331</v>
      </c>
      <c r="I82" s="666"/>
      <c r="J82" s="668">
        <f>AVERAGE(J76:J80)</f>
        <v>15.506666666666666</v>
      </c>
    </row>
  </sheetData>
  <mergeCells count="45"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D1:AG1"/>
    <mergeCell ref="AH1:AK1"/>
    <mergeCell ref="AM1:AQ1"/>
    <mergeCell ref="AR1:AV1"/>
    <mergeCell ref="A3:A4"/>
    <mergeCell ref="U1:X1"/>
    <mergeCell ref="Y1:AB1"/>
    <mergeCell ref="A5:A6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2"/>
  <sheetViews>
    <sheetView zoomScale="60" zoomScaleNormal="60" workbookViewId="0">
      <pane xSplit="2" ySplit="2" topLeftCell="C63" activePane="bottomRight" state="frozen"/>
      <selection pane="topRight" activeCell="C1" sqref="C1"/>
      <selection pane="bottomLeft" activeCell="A3" sqref="A3"/>
      <selection pane="bottomRight" activeCell="F48" sqref="F48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7.285156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3" style="524" customWidth="1"/>
    <col min="17" max="17" width="25.7109375" style="524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2.42578125" style="524" customWidth="1"/>
    <col min="28" max="28" width="27" style="524" customWidth="1"/>
    <col min="29" max="33" width="10.7109375" style="524" customWidth="1"/>
    <col min="34" max="34" width="31.28515625" style="524" customWidth="1"/>
    <col min="35" max="35" width="18.57031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3" width="10.7109375" style="524" customWidth="1"/>
    <col min="44" max="44" width="21.140625" style="524" customWidth="1"/>
    <col min="45" max="45" width="26.28515625" style="524" customWidth="1"/>
    <col min="46" max="46" width="27.140625" style="524" customWidth="1"/>
    <col min="47" max="47" width="24.42578125" style="524" customWidth="1"/>
    <col min="48" max="48" width="26.5703125" style="524" customWidth="1"/>
    <col min="49" max="16384" width="8.85546875" style="524"/>
  </cols>
  <sheetData>
    <row r="1" spans="1:48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0"/>
      <c r="AR1" s="2252" t="s">
        <v>206</v>
      </c>
      <c r="AS1" s="2252"/>
      <c r="AT1" s="2252"/>
      <c r="AU1" s="2252"/>
      <c r="AV1" s="2253"/>
    </row>
    <row r="2" spans="1:48" ht="42.6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6" t="s">
        <v>199</v>
      </c>
      <c r="AI2" s="984" t="s">
        <v>200</v>
      </c>
      <c r="AJ2" s="984" t="s">
        <v>201</v>
      </c>
      <c r="AK2" s="984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4" t="s">
        <v>204</v>
      </c>
      <c r="AR2" s="986" t="s">
        <v>199</v>
      </c>
      <c r="AS2" s="984" t="s">
        <v>200</v>
      </c>
      <c r="AT2" s="984" t="s">
        <v>201</v>
      </c>
      <c r="AU2" s="984" t="s">
        <v>204</v>
      </c>
      <c r="AV2" s="984" t="s">
        <v>204</v>
      </c>
    </row>
    <row r="3" spans="1:48" ht="78" customHeight="1" x14ac:dyDescent="0.25">
      <c r="A3" s="2206">
        <v>45323</v>
      </c>
      <c r="B3" s="1052">
        <v>1</v>
      </c>
      <c r="C3" s="592"/>
      <c r="D3" s="593"/>
      <c r="E3" s="6"/>
      <c r="F3" s="594"/>
      <c r="G3" s="685"/>
      <c r="H3" s="619"/>
      <c r="I3" s="620"/>
      <c r="J3" s="686"/>
      <c r="K3" s="622"/>
      <c r="L3" s="612"/>
      <c r="M3" s="630"/>
      <c r="N3" s="630"/>
      <c r="O3" s="628"/>
      <c r="P3" s="629"/>
      <c r="Q3" s="699"/>
      <c r="R3" s="699"/>
      <c r="S3" s="628"/>
      <c r="T3" s="622"/>
      <c r="U3" s="612"/>
      <c r="V3" s="630"/>
      <c r="W3" s="6"/>
      <c r="X3" s="613"/>
      <c r="Y3" s="1056"/>
      <c r="Z3" s="629"/>
      <c r="AA3" s="620"/>
      <c r="AB3" s="720"/>
      <c r="AC3" s="622"/>
      <c r="AD3" s="612"/>
      <c r="AE3" s="630"/>
      <c r="AF3" s="6"/>
      <c r="AG3" s="628"/>
      <c r="AH3" s="629"/>
      <c r="AI3" s="629"/>
      <c r="AJ3" s="605"/>
      <c r="AK3" s="628"/>
      <c r="AM3" s="612"/>
      <c r="AN3" s="630"/>
      <c r="AO3" s="6"/>
      <c r="AP3" s="962"/>
      <c r="AQ3" s="628"/>
      <c r="AR3" s="629"/>
      <c r="AS3" s="648"/>
      <c r="AT3" s="6"/>
      <c r="AU3" s="962"/>
      <c r="AV3" s="628"/>
    </row>
    <row r="4" spans="1:48" ht="70.150000000000006" customHeight="1" x14ac:dyDescent="0.25">
      <c r="A4" s="2205"/>
      <c r="B4" s="574">
        <v>2</v>
      </c>
      <c r="C4" s="595"/>
      <c r="D4" s="596"/>
      <c r="E4" s="596">
        <v>5</v>
      </c>
      <c r="F4" s="597"/>
      <c r="G4" s="685"/>
      <c r="H4" s="619"/>
      <c r="I4" s="848" t="s">
        <v>152</v>
      </c>
      <c r="J4" s="687"/>
      <c r="K4" s="622"/>
      <c r="L4" s="572"/>
      <c r="M4" s="6"/>
      <c r="N4" s="6"/>
      <c r="O4" s="613"/>
      <c r="P4" s="614"/>
      <c r="Q4" s="619"/>
      <c r="R4" s="1058"/>
      <c r="S4" s="613"/>
      <c r="T4" s="622"/>
      <c r="U4" s="572"/>
      <c r="V4" s="605"/>
      <c r="W4" s="6">
        <v>10</v>
      </c>
      <c r="X4" s="613"/>
      <c r="Y4" s="1056"/>
      <c r="Z4" s="619"/>
      <c r="AA4" s="698" t="s">
        <v>325</v>
      </c>
      <c r="AB4" s="722"/>
      <c r="AC4" s="622"/>
      <c r="AD4" s="572"/>
      <c r="AE4" s="6"/>
      <c r="AF4" s="6"/>
      <c r="AG4" s="613"/>
      <c r="AH4" s="614"/>
      <c r="AI4" s="619"/>
      <c r="AJ4" s="6"/>
      <c r="AK4" s="613"/>
      <c r="AM4" s="572"/>
      <c r="AN4" s="6"/>
      <c r="AO4" s="6"/>
      <c r="AP4" s="50"/>
      <c r="AQ4" s="613"/>
      <c r="AR4" s="614"/>
      <c r="AS4" s="620"/>
      <c r="AT4" s="6"/>
      <c r="AU4" s="50"/>
      <c r="AV4" s="613"/>
    </row>
    <row r="5" spans="1:48" ht="60" customHeight="1" x14ac:dyDescent="0.25">
      <c r="A5" s="2206">
        <v>45324</v>
      </c>
      <c r="B5" s="574">
        <v>1</v>
      </c>
      <c r="C5" s="595"/>
      <c r="D5" s="596"/>
      <c r="E5" s="596">
        <v>15</v>
      </c>
      <c r="F5" s="597"/>
      <c r="G5" s="684"/>
      <c r="H5" s="684"/>
      <c r="I5" s="848" t="s">
        <v>152</v>
      </c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>
        <v>10</v>
      </c>
      <c r="X5" s="613"/>
      <c r="Y5" s="1056"/>
      <c r="Z5" s="6"/>
      <c r="AA5" s="698" t="s">
        <v>152</v>
      </c>
      <c r="AB5" s="723"/>
      <c r="AC5" s="622"/>
      <c r="AD5" s="572"/>
      <c r="AE5" s="6"/>
      <c r="AF5" s="6"/>
      <c r="AG5" s="613"/>
      <c r="AH5" s="614"/>
      <c r="AI5" s="6"/>
      <c r="AJ5" s="1036"/>
      <c r="AK5" s="613"/>
      <c r="AM5" s="572">
        <v>192</v>
      </c>
      <c r="AN5" s="6"/>
      <c r="AO5" s="6"/>
      <c r="AP5" s="50"/>
      <c r="AQ5" s="613"/>
      <c r="AR5" s="614" t="s">
        <v>45</v>
      </c>
      <c r="AS5" s="6"/>
      <c r="AT5" s="605"/>
      <c r="AU5" s="828"/>
      <c r="AV5" s="634"/>
    </row>
    <row r="6" spans="1:48" ht="80.45" customHeight="1" x14ac:dyDescent="0.25">
      <c r="A6" s="2205"/>
      <c r="B6" s="574">
        <v>2</v>
      </c>
      <c r="C6" s="595"/>
      <c r="D6" s="596">
        <v>13</v>
      </c>
      <c r="E6" s="596"/>
      <c r="F6" s="597"/>
      <c r="G6" s="685"/>
      <c r="H6" s="620" t="s">
        <v>841</v>
      </c>
      <c r="I6" s="848"/>
      <c r="J6" s="687"/>
      <c r="K6" s="622"/>
      <c r="L6" s="572"/>
      <c r="M6" s="6"/>
      <c r="N6" s="6"/>
      <c r="O6" s="613"/>
      <c r="P6" s="614"/>
      <c r="Q6" s="619"/>
      <c r="R6" s="6"/>
      <c r="S6" s="613"/>
      <c r="T6" s="622"/>
      <c r="U6" s="572"/>
      <c r="V6" s="6">
        <v>10</v>
      </c>
      <c r="W6" s="6"/>
      <c r="X6" s="613"/>
      <c r="Y6" s="614"/>
      <c r="Z6" s="620" t="s">
        <v>833</v>
      </c>
      <c r="AA6" s="698"/>
      <c r="AB6" s="613"/>
      <c r="AC6" s="622"/>
      <c r="AD6" s="572"/>
      <c r="AE6" s="6"/>
      <c r="AF6" s="6"/>
      <c r="AG6" s="613"/>
      <c r="AH6" s="614"/>
      <c r="AI6" s="6"/>
      <c r="AJ6" s="6"/>
      <c r="AK6" s="613"/>
      <c r="AM6" s="572">
        <v>720</v>
      </c>
      <c r="AN6" s="6"/>
      <c r="AO6" s="6"/>
      <c r="AP6" s="50"/>
      <c r="AQ6" s="613"/>
      <c r="AR6" s="614" t="s">
        <v>45</v>
      </c>
      <c r="AS6" s="6"/>
      <c r="AT6" s="605"/>
      <c r="AU6" s="828"/>
      <c r="AV6" s="634"/>
    </row>
    <row r="7" spans="1:48" ht="71.45" customHeight="1" x14ac:dyDescent="0.25">
      <c r="A7" s="2206">
        <v>45325</v>
      </c>
      <c r="B7" s="574">
        <v>1</v>
      </c>
      <c r="C7" s="595"/>
      <c r="D7" s="596"/>
      <c r="E7" s="596">
        <v>18</v>
      </c>
      <c r="F7" s="597"/>
      <c r="G7" s="685"/>
      <c r="H7" s="620"/>
      <c r="I7" s="1062" t="s">
        <v>823</v>
      </c>
      <c r="J7" s="687"/>
      <c r="K7" s="622"/>
      <c r="L7" s="572"/>
      <c r="M7" s="614"/>
      <c r="N7" s="6"/>
      <c r="O7" s="613"/>
      <c r="P7" s="614"/>
      <c r="Q7" s="1010"/>
      <c r="R7" s="6"/>
      <c r="S7" s="613"/>
      <c r="T7" s="622"/>
      <c r="U7" s="572"/>
      <c r="V7" s="6"/>
      <c r="W7" s="6">
        <v>19</v>
      </c>
      <c r="X7" s="613"/>
      <c r="Y7" s="614"/>
      <c r="Z7" s="620"/>
      <c r="AA7" s="698" t="s">
        <v>152</v>
      </c>
      <c r="AB7" s="613"/>
      <c r="AC7" s="622"/>
      <c r="AD7" s="572"/>
      <c r="AE7" s="6"/>
      <c r="AF7" s="6"/>
      <c r="AG7" s="613"/>
      <c r="AH7" s="614"/>
      <c r="AI7" s="1010"/>
      <c r="AJ7" s="6"/>
      <c r="AK7" s="613"/>
      <c r="AM7" s="572">
        <v>720</v>
      </c>
      <c r="AN7" s="6"/>
      <c r="AO7" s="6"/>
      <c r="AP7" s="50"/>
      <c r="AQ7" s="613"/>
      <c r="AR7" s="614" t="s">
        <v>45</v>
      </c>
      <c r="AS7" s="1010"/>
      <c r="AT7" s="620"/>
      <c r="AU7" s="692"/>
      <c r="AV7" s="634"/>
    </row>
    <row r="8" spans="1:48" ht="69.599999999999994" customHeight="1" x14ac:dyDescent="0.25">
      <c r="A8" s="2205"/>
      <c r="B8" s="574">
        <v>2</v>
      </c>
      <c r="C8" s="595"/>
      <c r="D8" s="596"/>
      <c r="E8" s="596"/>
      <c r="F8" s="597"/>
      <c r="G8" s="684"/>
      <c r="H8" s="620"/>
      <c r="I8" s="848"/>
      <c r="J8" s="635"/>
      <c r="K8" s="622"/>
      <c r="L8" s="572"/>
      <c r="M8" s="6"/>
      <c r="N8" s="6"/>
      <c r="O8" s="613"/>
      <c r="P8" s="1056"/>
      <c r="Q8" s="6"/>
      <c r="R8" s="605"/>
      <c r="S8" s="635"/>
      <c r="T8" s="622"/>
      <c r="U8" s="572">
        <v>25</v>
      </c>
      <c r="V8" s="831"/>
      <c r="W8" s="614"/>
      <c r="X8" s="613"/>
      <c r="Y8" s="1063" t="s">
        <v>842</v>
      </c>
      <c r="Z8" s="6"/>
      <c r="AA8" s="698"/>
      <c r="AB8" s="635"/>
      <c r="AC8" s="622"/>
      <c r="AD8" s="572"/>
      <c r="AE8" s="6"/>
      <c r="AF8" s="6"/>
      <c r="AG8" s="613"/>
      <c r="AH8" s="614"/>
      <c r="AI8" s="605"/>
      <c r="AJ8" s="620"/>
      <c r="AK8" s="635"/>
      <c r="AM8" s="572">
        <v>492</v>
      </c>
      <c r="AN8" s="6"/>
      <c r="AO8" s="6"/>
      <c r="AP8" s="50"/>
      <c r="AQ8" s="613"/>
      <c r="AR8" s="614" t="s">
        <v>45</v>
      </c>
      <c r="AS8" s="6"/>
      <c r="AT8" s="6"/>
      <c r="AU8" s="50"/>
      <c r="AV8" s="634"/>
    </row>
    <row r="9" spans="1:48" ht="76.900000000000006" customHeight="1" x14ac:dyDescent="0.25">
      <c r="A9" s="2206">
        <v>45326</v>
      </c>
      <c r="B9" s="574">
        <v>1</v>
      </c>
      <c r="C9" s="595"/>
      <c r="D9" s="596">
        <v>49</v>
      </c>
      <c r="E9" s="596">
        <v>7</v>
      </c>
      <c r="F9" s="597"/>
      <c r="G9" s="684"/>
      <c r="H9" s="619" t="s">
        <v>811</v>
      </c>
      <c r="I9" s="848"/>
      <c r="J9" s="635"/>
      <c r="K9" s="622"/>
      <c r="L9" s="572"/>
      <c r="M9" s="6">
        <v>45</v>
      </c>
      <c r="N9" s="6"/>
      <c r="O9" s="613"/>
      <c r="P9" s="1056"/>
      <c r="Q9" s="6" t="s">
        <v>811</v>
      </c>
      <c r="R9" s="605"/>
      <c r="S9" s="635"/>
      <c r="T9" s="622"/>
      <c r="U9" s="572"/>
      <c r="V9" s="6"/>
      <c r="W9" s="6">
        <v>10</v>
      </c>
      <c r="X9" s="613"/>
      <c r="Y9" s="614"/>
      <c r="Z9" s="6"/>
      <c r="AA9" s="698" t="s">
        <v>152</v>
      </c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/>
      <c r="AN9" s="6"/>
      <c r="AO9" s="6"/>
      <c r="AP9" s="50"/>
      <c r="AQ9" s="613"/>
      <c r="AR9" s="614"/>
      <c r="AS9" s="6"/>
      <c r="AT9" s="6"/>
      <c r="AU9" s="828"/>
      <c r="AV9" s="634"/>
    </row>
    <row r="10" spans="1:48" ht="67.150000000000006" customHeight="1" x14ac:dyDescent="0.25">
      <c r="A10" s="2205"/>
      <c r="B10" s="574">
        <v>2</v>
      </c>
      <c r="C10" s="595"/>
      <c r="D10" s="596"/>
      <c r="E10" s="596">
        <v>30</v>
      </c>
      <c r="F10" s="597"/>
      <c r="G10" s="685"/>
      <c r="H10" s="619"/>
      <c r="I10" s="848" t="s">
        <v>843</v>
      </c>
      <c r="J10" s="635"/>
      <c r="K10" s="622"/>
      <c r="L10" s="572"/>
      <c r="M10" s="6"/>
      <c r="N10" s="6"/>
      <c r="O10" s="613"/>
      <c r="P10" s="1056"/>
      <c r="Q10" s="6"/>
      <c r="R10" s="605"/>
      <c r="S10" s="635"/>
      <c r="T10" s="622"/>
      <c r="U10" s="572"/>
      <c r="V10" s="6"/>
      <c r="W10" s="6"/>
      <c r="X10" s="613"/>
      <c r="Y10" s="567"/>
      <c r="Z10" s="1056"/>
      <c r="AA10" s="698"/>
      <c r="AB10" s="635"/>
      <c r="AC10" s="622"/>
      <c r="AD10" s="572"/>
      <c r="AE10" s="6"/>
      <c r="AF10" s="6"/>
      <c r="AG10" s="613"/>
      <c r="AH10" s="1056"/>
      <c r="AI10" s="605"/>
      <c r="AJ10" s="620"/>
      <c r="AK10" s="635"/>
      <c r="AM10" s="572"/>
      <c r="AN10" s="6"/>
      <c r="AO10" s="6"/>
      <c r="AP10" s="50"/>
      <c r="AQ10" s="613"/>
      <c r="AR10" s="614"/>
      <c r="AS10" s="6"/>
      <c r="AT10" s="605"/>
      <c r="AU10" s="50"/>
      <c r="AV10" s="634"/>
    </row>
    <row r="11" spans="1:48" ht="60" customHeight="1" x14ac:dyDescent="0.25">
      <c r="A11" s="2206">
        <v>45327</v>
      </c>
      <c r="B11" s="574">
        <v>1</v>
      </c>
      <c r="C11" s="595">
        <v>210</v>
      </c>
      <c r="D11" s="596"/>
      <c r="E11" s="596">
        <v>7</v>
      </c>
      <c r="F11" s="597"/>
      <c r="G11" s="684" t="s">
        <v>45</v>
      </c>
      <c r="H11" s="619"/>
      <c r="I11" s="848" t="s">
        <v>152</v>
      </c>
      <c r="J11" s="687"/>
      <c r="K11" s="622"/>
      <c r="L11" s="572"/>
      <c r="M11" s="6"/>
      <c r="N11" s="6"/>
      <c r="O11" s="613"/>
      <c r="P11" s="1056"/>
      <c r="Q11" s="6"/>
      <c r="R11" s="605"/>
      <c r="S11" s="613"/>
      <c r="T11" s="622"/>
      <c r="U11" s="572"/>
      <c r="V11" s="6"/>
      <c r="W11" s="6"/>
      <c r="X11" s="613"/>
      <c r="Y11" s="614"/>
      <c r="Z11" s="6"/>
      <c r="AA11" s="698"/>
      <c r="AB11" s="613"/>
      <c r="AC11" s="622"/>
      <c r="AD11" s="572"/>
      <c r="AE11" s="6"/>
      <c r="AF11" s="6"/>
      <c r="AG11" s="613"/>
      <c r="AH11" s="614"/>
      <c r="AI11" s="6"/>
      <c r="AJ11" s="605"/>
      <c r="AK11" s="613"/>
      <c r="AM11" s="572"/>
      <c r="AN11" s="6"/>
      <c r="AO11" s="6"/>
      <c r="AP11" s="50"/>
      <c r="AQ11" s="613"/>
      <c r="AR11" s="614"/>
      <c r="AS11" s="6"/>
      <c r="AT11" s="6"/>
      <c r="AU11" s="50"/>
      <c r="AV11" s="634"/>
    </row>
    <row r="12" spans="1:48" ht="55.15" customHeight="1" x14ac:dyDescent="0.25">
      <c r="A12" s="2205"/>
      <c r="B12" s="574">
        <v>2</v>
      </c>
      <c r="C12" s="595">
        <v>720</v>
      </c>
      <c r="D12" s="596"/>
      <c r="E12" s="596"/>
      <c r="F12" s="597"/>
      <c r="G12" s="684" t="s">
        <v>45</v>
      </c>
      <c r="H12" s="619"/>
      <c r="I12" s="848"/>
      <c r="J12" s="635"/>
      <c r="K12" s="622"/>
      <c r="L12" s="572"/>
      <c r="M12" s="6"/>
      <c r="N12" s="6"/>
      <c r="O12" s="613"/>
      <c r="P12" s="1056"/>
      <c r="Q12" s="6"/>
      <c r="R12" s="605"/>
      <c r="S12" s="635"/>
      <c r="T12" s="622"/>
      <c r="U12" s="572"/>
      <c r="V12" s="6"/>
      <c r="W12" s="6">
        <v>33</v>
      </c>
      <c r="X12" s="613"/>
      <c r="Y12" s="614"/>
      <c r="Z12" s="6"/>
      <c r="AA12" s="698" t="s">
        <v>823</v>
      </c>
      <c r="AB12" s="635"/>
      <c r="AC12" s="622"/>
      <c r="AD12" s="572"/>
      <c r="AE12" s="6"/>
      <c r="AF12" s="6"/>
      <c r="AG12" s="613"/>
      <c r="AH12" s="614"/>
      <c r="AI12" s="605"/>
      <c r="AJ12" s="605"/>
      <c r="AK12" s="635"/>
      <c r="AM12" s="572"/>
      <c r="AN12" s="6"/>
      <c r="AO12" s="6"/>
      <c r="AP12" s="50"/>
      <c r="AQ12" s="613"/>
      <c r="AR12" s="614"/>
      <c r="AS12" s="6"/>
      <c r="AT12" s="6"/>
      <c r="AU12" s="50"/>
      <c r="AV12" s="635"/>
    </row>
    <row r="13" spans="1:48" ht="34.9" customHeight="1" x14ac:dyDescent="0.25">
      <c r="A13" s="2206">
        <v>45328</v>
      </c>
      <c r="B13" s="574">
        <v>1</v>
      </c>
      <c r="C13" s="595">
        <v>720</v>
      </c>
      <c r="D13" s="596"/>
      <c r="E13" s="596"/>
      <c r="F13" s="597"/>
      <c r="G13" s="684" t="s">
        <v>45</v>
      </c>
      <c r="H13" s="619"/>
      <c r="I13" s="848"/>
      <c r="J13" s="635"/>
      <c r="K13" s="622"/>
      <c r="L13" s="572"/>
      <c r="M13" s="6"/>
      <c r="N13" s="6"/>
      <c r="O13" s="597"/>
      <c r="P13" s="1056"/>
      <c r="Q13" s="6"/>
      <c r="R13" s="605"/>
      <c r="S13" s="635"/>
      <c r="T13" s="622"/>
      <c r="U13" s="572"/>
      <c r="V13" s="6"/>
      <c r="W13" s="6">
        <v>20</v>
      </c>
      <c r="X13" s="597"/>
      <c r="Y13" s="1056"/>
      <c r="Z13" s="605"/>
      <c r="AA13" s="698" t="s">
        <v>152</v>
      </c>
      <c r="AB13" s="635"/>
      <c r="AC13" s="622"/>
      <c r="AD13" s="572"/>
      <c r="AE13" s="6"/>
      <c r="AF13" s="6">
        <v>10</v>
      </c>
      <c r="AG13" s="597"/>
      <c r="AH13" s="614"/>
      <c r="AI13" s="6"/>
      <c r="AJ13" s="605" t="s">
        <v>844</v>
      </c>
      <c r="AK13" s="635"/>
      <c r="AM13" s="572"/>
      <c r="AN13" s="6"/>
      <c r="AO13" s="6"/>
      <c r="AP13" s="50"/>
      <c r="AQ13" s="597"/>
      <c r="AR13" s="614"/>
      <c r="AS13" s="6"/>
      <c r="AT13" s="6"/>
      <c r="AU13" s="50"/>
      <c r="AV13" s="635"/>
    </row>
    <row r="14" spans="1:48" ht="49.15" customHeight="1" x14ac:dyDescent="0.25">
      <c r="A14" s="2205"/>
      <c r="B14" s="574">
        <v>2</v>
      </c>
      <c r="C14" s="595">
        <v>720</v>
      </c>
      <c r="D14" s="596"/>
      <c r="E14" s="596"/>
      <c r="F14" s="597"/>
      <c r="G14" s="684" t="s">
        <v>45</v>
      </c>
      <c r="H14" s="620"/>
      <c r="I14" s="848"/>
      <c r="J14" s="635"/>
      <c r="K14" s="622"/>
      <c r="L14" s="572"/>
      <c r="M14" s="6"/>
      <c r="N14" s="6"/>
      <c r="O14" s="597"/>
      <c r="P14" s="614"/>
      <c r="Q14" s="6"/>
      <c r="R14" s="6"/>
      <c r="S14" s="635"/>
      <c r="T14" s="622"/>
      <c r="U14" s="572"/>
      <c r="V14" s="6"/>
      <c r="W14" s="6">
        <v>10</v>
      </c>
      <c r="X14" s="597"/>
      <c r="Y14" s="1056"/>
      <c r="Z14" s="605"/>
      <c r="AA14" s="698" t="s">
        <v>152</v>
      </c>
      <c r="AB14" s="635"/>
      <c r="AC14" s="622"/>
      <c r="AD14" s="572"/>
      <c r="AE14" s="6"/>
      <c r="AF14" s="6"/>
      <c r="AG14" s="597"/>
      <c r="AH14" s="1056"/>
      <c r="AI14" s="6"/>
      <c r="AJ14" s="6"/>
      <c r="AK14" s="635"/>
      <c r="AM14" s="572"/>
      <c r="AN14" s="6"/>
      <c r="AO14" s="6"/>
      <c r="AP14" s="50"/>
      <c r="AQ14" s="597"/>
      <c r="AR14" s="1056"/>
      <c r="AS14" s="6"/>
      <c r="AT14" s="6"/>
      <c r="AU14" s="50"/>
      <c r="AV14" s="635"/>
    </row>
    <row r="15" spans="1:48" ht="48" customHeight="1" x14ac:dyDescent="0.25">
      <c r="A15" s="2206">
        <v>45329</v>
      </c>
      <c r="B15" s="574">
        <v>1</v>
      </c>
      <c r="C15" s="595">
        <v>666</v>
      </c>
      <c r="D15" s="596"/>
      <c r="E15" s="6"/>
      <c r="F15" s="597"/>
      <c r="G15" s="684" t="s">
        <v>45</v>
      </c>
      <c r="H15" s="620"/>
      <c r="I15" s="848"/>
      <c r="J15" s="635"/>
      <c r="K15" s="622"/>
      <c r="L15" s="572"/>
      <c r="M15" s="6"/>
      <c r="N15" s="6"/>
      <c r="O15" s="597"/>
      <c r="P15" s="685"/>
      <c r="Q15" s="620"/>
      <c r="R15" s="620"/>
      <c r="S15" s="635"/>
      <c r="T15" s="622"/>
      <c r="U15" s="572"/>
      <c r="V15" s="6"/>
      <c r="W15" s="6"/>
      <c r="X15" s="597"/>
      <c r="Y15" s="685"/>
      <c r="Z15" s="620"/>
      <c r="AA15" s="698"/>
      <c r="AB15" s="635"/>
      <c r="AC15" s="622"/>
      <c r="AD15" s="572"/>
      <c r="AE15" s="6">
        <v>10</v>
      </c>
      <c r="AF15" s="622">
        <v>17</v>
      </c>
      <c r="AG15" s="597"/>
      <c r="AH15" s="685"/>
      <c r="AI15" s="620" t="s">
        <v>846</v>
      </c>
      <c r="AJ15" s="620" t="s">
        <v>845</v>
      </c>
      <c r="AK15" s="635"/>
      <c r="AM15" s="572"/>
      <c r="AN15" s="6"/>
      <c r="AO15" s="622"/>
      <c r="AP15" s="597"/>
      <c r="AQ15" s="685"/>
      <c r="AR15" s="620"/>
      <c r="AS15" s="620"/>
      <c r="AT15" s="620"/>
      <c r="AU15" s="635"/>
      <c r="AV15" s="635"/>
    </row>
    <row r="16" spans="1:48" ht="54.6" customHeight="1" x14ac:dyDescent="0.25">
      <c r="A16" s="2205"/>
      <c r="B16" s="574">
        <v>2</v>
      </c>
      <c r="C16" s="595">
        <v>138</v>
      </c>
      <c r="D16" s="596"/>
      <c r="E16" s="596"/>
      <c r="F16" s="597"/>
      <c r="G16" s="685" t="s">
        <v>847</v>
      </c>
      <c r="H16" s="830"/>
      <c r="I16" s="848"/>
      <c r="J16" s="635"/>
      <c r="K16" s="622"/>
      <c r="L16" s="572"/>
      <c r="M16" s="6"/>
      <c r="N16" s="6"/>
      <c r="O16" s="597"/>
      <c r="P16" s="684"/>
      <c r="Q16" s="830"/>
      <c r="R16" s="620"/>
      <c r="S16" s="635"/>
      <c r="T16" s="622"/>
      <c r="U16" s="572">
        <v>656</v>
      </c>
      <c r="V16" s="6"/>
      <c r="W16" s="6"/>
      <c r="X16" s="597"/>
      <c r="Y16" s="684" t="s">
        <v>45</v>
      </c>
      <c r="Z16" s="830"/>
      <c r="AA16" s="848"/>
      <c r="AB16" s="635"/>
      <c r="AC16" s="622"/>
      <c r="AD16" s="572"/>
      <c r="AE16" s="6"/>
      <c r="AF16" s="6"/>
      <c r="AG16" s="597"/>
      <c r="AH16" s="685"/>
      <c r="AI16" s="830"/>
      <c r="AJ16" s="6"/>
      <c r="AK16" s="635"/>
      <c r="AM16" s="572"/>
      <c r="AN16" s="6"/>
      <c r="AO16" s="6"/>
      <c r="AP16" s="597"/>
      <c r="AQ16" s="684"/>
      <c r="AR16" s="830"/>
      <c r="AS16" s="620"/>
      <c r="AT16" s="620"/>
      <c r="AU16" s="692"/>
      <c r="AV16" s="635"/>
    </row>
    <row r="17" spans="1:48" ht="66" customHeight="1" x14ac:dyDescent="0.25">
      <c r="A17" s="2206">
        <v>45330</v>
      </c>
      <c r="B17" s="644">
        <v>1</v>
      </c>
      <c r="C17" s="595"/>
      <c r="D17" s="596"/>
      <c r="E17" s="596"/>
      <c r="F17" s="597"/>
      <c r="G17" s="685"/>
      <c r="H17" s="619"/>
      <c r="I17" s="848"/>
      <c r="J17" s="635"/>
      <c r="K17" s="622"/>
      <c r="L17" s="572"/>
      <c r="M17" s="6"/>
      <c r="N17" s="6"/>
      <c r="O17" s="597"/>
      <c r="P17" s="685"/>
      <c r="Q17" s="619"/>
      <c r="R17" s="620"/>
      <c r="S17" s="635"/>
      <c r="T17" s="622"/>
      <c r="U17" s="572">
        <v>720</v>
      </c>
      <c r="V17" s="6"/>
      <c r="W17" s="6"/>
      <c r="X17" s="597"/>
      <c r="Y17" s="684" t="s">
        <v>45</v>
      </c>
      <c r="Z17" s="619"/>
      <c r="AA17" s="848"/>
      <c r="AB17" s="635"/>
      <c r="AC17" s="622"/>
      <c r="AD17" s="572"/>
      <c r="AE17" s="6"/>
      <c r="AF17" s="6"/>
      <c r="AG17" s="597"/>
      <c r="AH17" s="685"/>
      <c r="AI17" s="619"/>
      <c r="AJ17" s="620"/>
      <c r="AK17" s="635"/>
      <c r="AM17" s="572"/>
      <c r="AN17" s="6"/>
      <c r="AO17" s="6"/>
      <c r="AP17" s="597"/>
      <c r="AQ17" s="685"/>
      <c r="AR17" s="619"/>
      <c r="AS17" s="620"/>
      <c r="AT17" s="698"/>
      <c r="AU17" s="635"/>
      <c r="AV17" s="635"/>
    </row>
    <row r="18" spans="1:48" ht="49.9" customHeight="1" x14ac:dyDescent="0.25">
      <c r="A18" s="2205"/>
      <c r="B18" s="574">
        <v>2</v>
      </c>
      <c r="C18" s="595"/>
      <c r="D18" s="596"/>
      <c r="E18" s="596"/>
      <c r="F18" s="597"/>
      <c r="G18" s="684"/>
      <c r="H18" s="830"/>
      <c r="I18" s="848"/>
      <c r="J18" s="635"/>
      <c r="K18" s="622"/>
      <c r="L18" s="572"/>
      <c r="M18" s="6"/>
      <c r="N18" s="6"/>
      <c r="O18" s="597"/>
      <c r="P18" s="684"/>
      <c r="Q18" s="620"/>
      <c r="R18" s="619"/>
      <c r="S18" s="635"/>
      <c r="T18" s="622"/>
      <c r="U18" s="572">
        <v>720</v>
      </c>
      <c r="V18" s="6"/>
      <c r="W18" s="6"/>
      <c r="X18" s="597"/>
      <c r="Y18" s="684" t="s">
        <v>45</v>
      </c>
      <c r="Z18" s="620"/>
      <c r="AA18" s="698"/>
      <c r="AB18" s="635"/>
      <c r="AC18" s="622"/>
      <c r="AD18" s="572"/>
      <c r="AE18" s="6"/>
      <c r="AF18" s="6"/>
      <c r="AG18" s="597"/>
      <c r="AH18" s="684"/>
      <c r="AI18" s="620"/>
      <c r="AJ18" s="619"/>
      <c r="AK18" s="635"/>
      <c r="AM18" s="572">
        <v>10</v>
      </c>
      <c r="AN18" s="6"/>
      <c r="AO18" s="6"/>
      <c r="AP18" s="50"/>
      <c r="AQ18" s="597"/>
      <c r="AR18" s="684" t="s">
        <v>848</v>
      </c>
      <c r="AS18" s="620"/>
      <c r="AT18" s="698"/>
      <c r="AU18" s="830"/>
      <c r="AV18" s="635"/>
    </row>
    <row r="19" spans="1:48" ht="33.6" customHeight="1" x14ac:dyDescent="0.25">
      <c r="A19" s="2206">
        <v>45331</v>
      </c>
      <c r="B19" s="574">
        <v>1</v>
      </c>
      <c r="C19" s="622"/>
      <c r="D19" s="596"/>
      <c r="E19" s="596">
        <v>6</v>
      </c>
      <c r="F19" s="597"/>
      <c r="G19" s="567"/>
      <c r="H19" s="6"/>
      <c r="I19" s="848" t="s">
        <v>152</v>
      </c>
      <c r="J19" s="635"/>
      <c r="K19" s="622"/>
      <c r="L19" s="572"/>
      <c r="M19" s="6"/>
      <c r="N19" s="6"/>
      <c r="O19" s="597"/>
      <c r="P19" s="572"/>
      <c r="Q19" s="6"/>
      <c r="R19" s="6"/>
      <c r="S19" s="635"/>
      <c r="T19" s="622"/>
      <c r="U19" s="572"/>
      <c r="V19" s="6"/>
      <c r="W19" s="6">
        <v>720</v>
      </c>
      <c r="X19" s="597"/>
      <c r="Y19" s="572"/>
      <c r="Z19" s="605"/>
      <c r="AA19" s="1062" t="s">
        <v>849</v>
      </c>
      <c r="AB19" s="635"/>
      <c r="AC19" s="622"/>
      <c r="AD19" s="572"/>
      <c r="AE19" s="6"/>
      <c r="AF19" s="6"/>
      <c r="AG19" s="597"/>
      <c r="AH19" s="572"/>
      <c r="AI19" s="6"/>
      <c r="AJ19" s="698"/>
      <c r="AK19" s="635"/>
      <c r="AM19" s="572"/>
      <c r="AN19" s="6"/>
      <c r="AO19" s="6"/>
      <c r="AP19" s="50"/>
      <c r="AQ19" s="597"/>
      <c r="AR19" s="572"/>
      <c r="AS19" s="6"/>
      <c r="AT19" s="620"/>
      <c r="AU19" s="828"/>
      <c r="AV19" s="635"/>
    </row>
    <row r="20" spans="1:48" ht="31.15" customHeight="1" x14ac:dyDescent="0.25">
      <c r="A20" s="2205"/>
      <c r="B20" s="574">
        <v>2</v>
      </c>
      <c r="C20" s="595"/>
      <c r="D20" s="596"/>
      <c r="E20" s="596">
        <v>15</v>
      </c>
      <c r="F20" s="597"/>
      <c r="G20" s="567"/>
      <c r="H20" s="605"/>
      <c r="I20" s="848" t="s">
        <v>152</v>
      </c>
      <c r="J20" s="635"/>
      <c r="K20" s="622"/>
      <c r="L20" s="572"/>
      <c r="M20" s="6"/>
      <c r="N20" s="6"/>
      <c r="O20" s="597"/>
      <c r="P20" s="572"/>
      <c r="Q20" s="6"/>
      <c r="R20" s="724"/>
      <c r="S20" s="635"/>
      <c r="T20" s="622"/>
      <c r="U20" s="572">
        <v>111</v>
      </c>
      <c r="V20" s="6">
        <v>68</v>
      </c>
      <c r="W20" s="6">
        <v>380</v>
      </c>
      <c r="X20" s="597"/>
      <c r="Y20" s="572" t="s">
        <v>850</v>
      </c>
      <c r="Z20" s="605" t="s">
        <v>851</v>
      </c>
      <c r="AA20" s="1062" t="s">
        <v>849</v>
      </c>
      <c r="AB20" s="635"/>
      <c r="AC20" s="622"/>
      <c r="AD20" s="572"/>
      <c r="AE20" s="6"/>
      <c r="AF20" s="6"/>
      <c r="AG20" s="597"/>
      <c r="AH20" s="572"/>
      <c r="AI20" s="605"/>
      <c r="AJ20" s="698"/>
      <c r="AK20" s="635"/>
      <c r="AM20" s="572"/>
      <c r="AN20" s="6"/>
      <c r="AO20" s="6"/>
      <c r="AP20" s="50"/>
      <c r="AQ20" s="597"/>
      <c r="AR20" s="572"/>
      <c r="AS20" s="605"/>
      <c r="AT20" s="605"/>
      <c r="AU20" s="1038"/>
      <c r="AV20" s="635"/>
    </row>
    <row r="21" spans="1:48" ht="39.6" customHeight="1" x14ac:dyDescent="0.25">
      <c r="A21" s="2206">
        <v>45332</v>
      </c>
      <c r="B21" s="574">
        <v>1</v>
      </c>
      <c r="C21" s="595"/>
      <c r="D21" s="596"/>
      <c r="E21" s="596">
        <v>10</v>
      </c>
      <c r="F21" s="597"/>
      <c r="G21" s="688"/>
      <c r="H21" s="619"/>
      <c r="I21" s="848" t="s">
        <v>152</v>
      </c>
      <c r="J21" s="635"/>
      <c r="K21" s="622"/>
      <c r="L21" s="572"/>
      <c r="M21" s="6"/>
      <c r="N21" s="6"/>
      <c r="O21" s="597"/>
      <c r="P21" s="572"/>
      <c r="Q21" s="6"/>
      <c r="R21" s="6"/>
      <c r="S21" s="635"/>
      <c r="T21" s="622"/>
      <c r="U21" s="572"/>
      <c r="V21" s="6"/>
      <c r="W21" s="6"/>
      <c r="X21" s="597"/>
      <c r="Y21" s="567"/>
      <c r="Z21" s="6"/>
      <c r="AA21" s="848"/>
      <c r="AB21" s="635"/>
      <c r="AC21" s="622"/>
      <c r="AD21" s="572">
        <v>185</v>
      </c>
      <c r="AE21" s="6"/>
      <c r="AF21" s="6"/>
      <c r="AG21" s="597"/>
      <c r="AH21" s="572" t="s">
        <v>45</v>
      </c>
      <c r="AI21" s="6"/>
      <c r="AJ21" s="848"/>
      <c r="AK21" s="726"/>
      <c r="AM21" s="572"/>
      <c r="AN21" s="6"/>
      <c r="AO21" s="6"/>
      <c r="AP21" s="50"/>
      <c r="AQ21" s="597"/>
      <c r="AR21" s="572"/>
      <c r="AS21" s="605"/>
      <c r="AT21" s="50"/>
      <c r="AU21" s="50"/>
      <c r="AV21" s="635"/>
    </row>
    <row r="22" spans="1:48" ht="49.9" customHeight="1" x14ac:dyDescent="0.25">
      <c r="A22" s="2205"/>
      <c r="B22" s="574">
        <v>2</v>
      </c>
      <c r="C22" s="595"/>
      <c r="D22" s="596">
        <v>222</v>
      </c>
      <c r="E22" s="596"/>
      <c r="F22" s="597"/>
      <c r="G22" s="1054"/>
      <c r="H22" s="620" t="s">
        <v>852</v>
      </c>
      <c r="I22" s="848"/>
      <c r="J22" s="635"/>
      <c r="K22" s="622"/>
      <c r="L22" s="572"/>
      <c r="M22" s="6">
        <v>216</v>
      </c>
      <c r="N22" s="6"/>
      <c r="O22" s="597"/>
      <c r="P22" s="1056"/>
      <c r="Q22" s="620" t="s">
        <v>852</v>
      </c>
      <c r="R22" s="6"/>
      <c r="S22" s="635"/>
      <c r="T22" s="622"/>
      <c r="U22" s="572"/>
      <c r="V22" s="6">
        <v>222</v>
      </c>
      <c r="W22" s="6"/>
      <c r="X22" s="597"/>
      <c r="Y22" s="567"/>
      <c r="Z22" s="620" t="s">
        <v>852</v>
      </c>
      <c r="AA22" s="698"/>
      <c r="AB22" s="635"/>
      <c r="AC22" s="622"/>
      <c r="AD22" s="572">
        <v>720</v>
      </c>
      <c r="AE22" s="6"/>
      <c r="AF22" s="6"/>
      <c r="AG22" s="597"/>
      <c r="AH22" s="572" t="s">
        <v>45</v>
      </c>
      <c r="AI22" s="6"/>
      <c r="AJ22" s="698"/>
      <c r="AK22" s="635"/>
      <c r="AM22" s="572"/>
      <c r="AN22" s="6">
        <v>230</v>
      </c>
      <c r="AO22" s="6">
        <v>30</v>
      </c>
      <c r="AP22" s="50"/>
      <c r="AQ22" s="597"/>
      <c r="AR22" s="572"/>
      <c r="AS22" s="620" t="s">
        <v>852</v>
      </c>
      <c r="AT22" s="50" t="s">
        <v>152</v>
      </c>
      <c r="AU22" s="635"/>
      <c r="AV22" s="635"/>
    </row>
    <row r="23" spans="1:48" ht="47.45" customHeight="1" x14ac:dyDescent="0.25">
      <c r="A23" s="2206">
        <v>45333</v>
      </c>
      <c r="B23" s="644">
        <v>1</v>
      </c>
      <c r="C23" s="595"/>
      <c r="D23" s="596"/>
      <c r="E23" s="596"/>
      <c r="F23" s="597"/>
      <c r="G23" s="685"/>
      <c r="H23" s="619"/>
      <c r="I23" s="848"/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/>
      <c r="V23" s="6">
        <v>22</v>
      </c>
      <c r="W23" s="6"/>
      <c r="X23" s="597"/>
      <c r="Y23" s="567"/>
      <c r="Z23" s="620" t="s">
        <v>854</v>
      </c>
      <c r="AA23" s="698"/>
      <c r="AB23" s="635"/>
      <c r="AC23" s="622"/>
      <c r="AD23" s="572"/>
      <c r="AE23" s="6"/>
      <c r="AF23" s="614">
        <v>720</v>
      </c>
      <c r="AG23" s="597"/>
      <c r="AH23" s="572"/>
      <c r="AI23" s="619"/>
      <c r="AJ23" s="620" t="s">
        <v>853</v>
      </c>
      <c r="AK23" s="635"/>
      <c r="AM23" s="572"/>
      <c r="AN23" s="6"/>
      <c r="AO23" s="6"/>
      <c r="AP23" s="50"/>
      <c r="AQ23" s="597"/>
      <c r="AR23" s="6"/>
      <c r="AS23" s="619"/>
      <c r="AT23" s="692"/>
      <c r="AU23" s="635"/>
      <c r="AV23" s="635"/>
    </row>
    <row r="24" spans="1:48" ht="49.9" customHeight="1" x14ac:dyDescent="0.25">
      <c r="A24" s="2205"/>
      <c r="B24" s="574">
        <v>2</v>
      </c>
      <c r="C24" s="595"/>
      <c r="D24" s="596"/>
      <c r="E24" s="596"/>
      <c r="F24" s="597"/>
      <c r="G24" s="685"/>
      <c r="H24" s="619"/>
      <c r="I24" s="848"/>
      <c r="J24" s="635"/>
      <c r="K24" s="622"/>
      <c r="L24" s="572"/>
      <c r="M24" s="6"/>
      <c r="N24" s="6"/>
      <c r="O24" s="597"/>
      <c r="P24" s="685"/>
      <c r="Q24" s="619"/>
      <c r="R24" s="620"/>
      <c r="S24" s="635"/>
      <c r="T24" s="622"/>
      <c r="U24" s="572"/>
      <c r="V24" s="6"/>
      <c r="W24" s="6"/>
      <c r="X24" s="597"/>
      <c r="Y24" s="685"/>
      <c r="Z24" s="619"/>
      <c r="AA24" s="848"/>
      <c r="AB24" s="635"/>
      <c r="AC24" s="622"/>
      <c r="AD24" s="572"/>
      <c r="AE24" s="6"/>
      <c r="AF24" s="614"/>
      <c r="AG24" s="597"/>
      <c r="AH24" s="572"/>
      <c r="AI24" s="619"/>
      <c r="AJ24" s="620"/>
      <c r="AK24" s="635"/>
      <c r="AM24" s="572"/>
      <c r="AN24" s="6"/>
      <c r="AO24" s="6"/>
      <c r="AP24" s="597"/>
      <c r="AQ24" s="685"/>
      <c r="AR24" s="619"/>
      <c r="AS24" s="619"/>
      <c r="AT24" s="635"/>
      <c r="AU24" s="635"/>
      <c r="AV24" s="635"/>
    </row>
    <row r="25" spans="1:48" ht="53.45" customHeight="1" x14ac:dyDescent="0.25">
      <c r="A25" s="2206">
        <v>45334</v>
      </c>
      <c r="B25" s="574">
        <v>1</v>
      </c>
      <c r="C25" s="595"/>
      <c r="D25" s="596"/>
      <c r="E25" s="596"/>
      <c r="F25" s="597"/>
      <c r="G25" s="685"/>
      <c r="H25" s="619"/>
      <c r="I25" s="848"/>
      <c r="J25" s="635"/>
      <c r="K25" s="622"/>
      <c r="L25" s="572"/>
      <c r="M25" s="6"/>
      <c r="N25" s="6"/>
      <c r="O25" s="597"/>
      <c r="P25" s="572"/>
      <c r="Q25" s="619"/>
      <c r="R25" s="6"/>
      <c r="S25" s="635"/>
      <c r="T25" s="622"/>
      <c r="U25" s="572"/>
      <c r="V25" s="6"/>
      <c r="W25" s="6"/>
      <c r="X25" s="597"/>
      <c r="Y25" s="567"/>
      <c r="Z25" s="605"/>
      <c r="AA25" s="698"/>
      <c r="AB25" s="635"/>
      <c r="AC25" s="622"/>
      <c r="AD25" s="572"/>
      <c r="AE25" s="6"/>
      <c r="AF25" s="6">
        <v>471</v>
      </c>
      <c r="AG25" s="597"/>
      <c r="AH25" s="6"/>
      <c r="AI25" s="605"/>
      <c r="AJ25" s="620" t="s">
        <v>853</v>
      </c>
      <c r="AK25" s="726"/>
      <c r="AM25" s="572"/>
      <c r="AN25" s="6"/>
      <c r="AO25" s="6"/>
      <c r="AP25" s="50"/>
      <c r="AQ25" s="597"/>
      <c r="AR25" s="6"/>
      <c r="AS25" s="6"/>
      <c r="AT25" s="50"/>
      <c r="AU25" s="50"/>
      <c r="AV25" s="635"/>
    </row>
    <row r="26" spans="1:48" ht="42" customHeight="1" x14ac:dyDescent="0.25">
      <c r="A26" s="2205"/>
      <c r="B26" s="574">
        <v>2</v>
      </c>
      <c r="C26" s="595"/>
      <c r="D26" s="596"/>
      <c r="E26" s="596"/>
      <c r="F26" s="597"/>
      <c r="G26" s="685"/>
      <c r="H26" s="620"/>
      <c r="I26" s="848"/>
      <c r="J26" s="635"/>
      <c r="K26" s="622"/>
      <c r="L26" s="572"/>
      <c r="M26" s="6"/>
      <c r="N26" s="6"/>
      <c r="O26" s="597"/>
      <c r="P26" s="685"/>
      <c r="Q26" s="620"/>
      <c r="R26" s="692"/>
      <c r="S26" s="635"/>
      <c r="T26" s="622"/>
      <c r="U26" s="572"/>
      <c r="V26" s="596"/>
      <c r="W26" s="6">
        <v>17</v>
      </c>
      <c r="X26" s="597"/>
      <c r="Y26" s="685"/>
      <c r="Z26" s="620"/>
      <c r="AA26" s="698" t="s">
        <v>97</v>
      </c>
      <c r="AB26" s="635"/>
      <c r="AC26" s="622"/>
      <c r="AD26" s="572"/>
      <c r="AE26" s="596"/>
      <c r="AF26" s="6"/>
      <c r="AG26" s="597"/>
      <c r="AH26" s="685"/>
      <c r="AI26" s="620"/>
      <c r="AJ26" s="692"/>
      <c r="AK26" s="635"/>
      <c r="AM26" s="572"/>
      <c r="AN26" s="596">
        <v>20</v>
      </c>
      <c r="AO26" s="6"/>
      <c r="AP26" s="967"/>
      <c r="AQ26" s="597"/>
      <c r="AR26" s="685"/>
      <c r="AS26" s="620" t="s">
        <v>855</v>
      </c>
      <c r="AT26" s="692"/>
      <c r="AU26" s="635"/>
      <c r="AV26" s="635"/>
    </row>
    <row r="27" spans="1:48" ht="49.9" customHeight="1" x14ac:dyDescent="0.25">
      <c r="A27" s="2206">
        <v>45335</v>
      </c>
      <c r="B27" s="644">
        <v>1</v>
      </c>
      <c r="C27" s="595"/>
      <c r="D27" s="596"/>
      <c r="E27" s="596"/>
      <c r="F27" s="597"/>
      <c r="G27" s="685"/>
      <c r="H27" s="619"/>
      <c r="I27" s="692"/>
      <c r="J27" s="635"/>
      <c r="K27" s="622"/>
      <c r="L27" s="572"/>
      <c r="M27" s="6"/>
      <c r="N27" s="6"/>
      <c r="O27" s="597"/>
      <c r="P27" s="685"/>
      <c r="Q27" s="619"/>
      <c r="R27" s="620"/>
      <c r="S27" s="635"/>
      <c r="T27" s="622"/>
      <c r="U27" s="572"/>
      <c r="V27" s="6">
        <v>10</v>
      </c>
      <c r="W27" s="6"/>
      <c r="X27" s="597"/>
      <c r="Y27" s="685"/>
      <c r="Z27" s="620" t="s">
        <v>856</v>
      </c>
      <c r="AA27" s="698"/>
      <c r="AB27" s="635"/>
      <c r="AC27" s="622"/>
      <c r="AD27" s="572"/>
      <c r="AE27" s="6"/>
      <c r="AF27" s="6"/>
      <c r="AG27" s="597"/>
      <c r="AH27" s="685"/>
      <c r="AI27" s="6"/>
      <c r="AJ27" s="620"/>
      <c r="AK27" s="635"/>
      <c r="AM27" s="572"/>
      <c r="AN27" s="6"/>
      <c r="AO27" s="6"/>
      <c r="AP27" s="50"/>
      <c r="AQ27" s="597"/>
      <c r="AR27" s="605"/>
      <c r="AS27" s="6"/>
      <c r="AT27" s="692"/>
      <c r="AU27" s="635"/>
      <c r="AV27" s="635"/>
    </row>
    <row r="28" spans="1:48" ht="72" customHeight="1" x14ac:dyDescent="0.25">
      <c r="A28" s="2205"/>
      <c r="B28" s="574">
        <v>2</v>
      </c>
      <c r="C28" s="595"/>
      <c r="D28" s="596"/>
      <c r="E28" s="596"/>
      <c r="F28" s="597"/>
      <c r="G28" s="620"/>
      <c r="H28" s="620"/>
      <c r="I28" s="698"/>
      <c r="J28" s="635"/>
      <c r="K28" s="622"/>
      <c r="L28" s="572"/>
      <c r="M28" s="6"/>
      <c r="N28" s="6"/>
      <c r="O28" s="597"/>
      <c r="P28" s="620"/>
      <c r="Q28" s="620"/>
      <c r="R28" s="620"/>
      <c r="S28" s="635"/>
      <c r="T28" s="622"/>
      <c r="U28" s="572"/>
      <c r="V28" s="6"/>
      <c r="W28" s="622"/>
      <c r="X28" s="597"/>
      <c r="Y28" s="620"/>
      <c r="Z28" s="6"/>
      <c r="AA28" s="698"/>
      <c r="AB28" s="635"/>
      <c r="AC28" s="622"/>
      <c r="AD28" s="572"/>
      <c r="AE28" s="6"/>
      <c r="AF28" s="6"/>
      <c r="AG28" s="597"/>
      <c r="AH28" s="685"/>
      <c r="AI28" s="6"/>
      <c r="AJ28" s="692"/>
      <c r="AK28" s="635"/>
      <c r="AM28" s="572"/>
      <c r="AN28" s="6"/>
      <c r="AO28" s="6"/>
      <c r="AP28" s="50"/>
      <c r="AQ28" s="597"/>
      <c r="AR28" s="605"/>
      <c r="AS28" s="6"/>
      <c r="AT28" s="692"/>
      <c r="AU28" s="635"/>
      <c r="AV28" s="634"/>
    </row>
    <row r="29" spans="1:48" ht="66" customHeight="1" x14ac:dyDescent="0.25">
      <c r="A29" s="2206">
        <v>45336</v>
      </c>
      <c r="B29" s="574">
        <v>1</v>
      </c>
      <c r="C29" s="595"/>
      <c r="D29" s="596"/>
      <c r="E29" s="596">
        <v>7</v>
      </c>
      <c r="F29" s="597"/>
      <c r="G29" s="620"/>
      <c r="H29" s="619"/>
      <c r="I29" s="1062" t="s">
        <v>857</v>
      </c>
      <c r="J29" s="635"/>
      <c r="K29" s="622"/>
      <c r="L29" s="572"/>
      <c r="M29" s="6"/>
      <c r="N29" s="6"/>
      <c r="O29" s="597"/>
      <c r="P29" s="685"/>
      <c r="Q29" s="619"/>
      <c r="R29" s="620"/>
      <c r="S29" s="635"/>
      <c r="T29" s="622"/>
      <c r="U29" s="572"/>
      <c r="V29" s="6"/>
      <c r="W29" s="6">
        <v>25</v>
      </c>
      <c r="X29" s="597"/>
      <c r="Y29" s="620"/>
      <c r="Z29" s="619"/>
      <c r="AA29" s="698" t="s">
        <v>816</v>
      </c>
      <c r="AB29" s="635"/>
      <c r="AC29" s="622"/>
      <c r="AD29" s="572"/>
      <c r="AE29" s="6"/>
      <c r="AF29" s="6">
        <v>20</v>
      </c>
      <c r="AG29" s="597"/>
      <c r="AH29" s="685"/>
      <c r="AI29" s="619"/>
      <c r="AJ29" s="620" t="s">
        <v>816</v>
      </c>
      <c r="AK29" s="635"/>
      <c r="AM29" s="572"/>
      <c r="AN29" s="6"/>
      <c r="AO29" s="6"/>
      <c r="AP29" s="50"/>
      <c r="AQ29" s="597"/>
      <c r="AR29" s="605"/>
      <c r="AS29" s="619"/>
      <c r="AT29" s="620"/>
      <c r="AU29" s="635"/>
      <c r="AV29" s="613"/>
    </row>
    <row r="30" spans="1:48" ht="39.6" customHeight="1" x14ac:dyDescent="0.25">
      <c r="A30" s="2205"/>
      <c r="B30" s="644">
        <v>2</v>
      </c>
      <c r="C30" s="595"/>
      <c r="D30" s="596"/>
      <c r="E30" s="596"/>
      <c r="F30" s="597"/>
      <c r="G30" s="685"/>
      <c r="H30" s="620"/>
      <c r="I30" s="698"/>
      <c r="J30" s="635"/>
      <c r="K30" s="622"/>
      <c r="L30" s="572"/>
      <c r="M30" s="6"/>
      <c r="N30" s="6"/>
      <c r="O30" s="597"/>
      <c r="P30" s="685"/>
      <c r="Q30" s="620"/>
      <c r="R30" s="620"/>
      <c r="S30" s="635"/>
      <c r="T30" s="622"/>
      <c r="U30" s="572"/>
      <c r="V30" s="6"/>
      <c r="W30" s="6">
        <v>7</v>
      </c>
      <c r="X30" s="597"/>
      <c r="Y30" s="685"/>
      <c r="Z30" s="619"/>
      <c r="AA30" s="698" t="s">
        <v>401</v>
      </c>
      <c r="AB30" s="635"/>
      <c r="AC30" s="622"/>
      <c r="AD30" s="572"/>
      <c r="AE30" s="6"/>
      <c r="AF30" s="6"/>
      <c r="AG30" s="597"/>
      <c r="AH30" s="685"/>
      <c r="AI30" s="620"/>
      <c r="AJ30" s="620"/>
      <c r="AK30" s="635"/>
      <c r="AM30" s="572"/>
      <c r="AN30" s="6"/>
      <c r="AO30" s="6">
        <v>10</v>
      </c>
      <c r="AP30" s="50"/>
      <c r="AQ30" s="597"/>
      <c r="AR30" s="1056"/>
      <c r="AS30" s="605"/>
      <c r="AT30" s="828" t="s">
        <v>304</v>
      </c>
      <c r="AU30" s="635"/>
      <c r="AV30" s="613"/>
    </row>
    <row r="31" spans="1:48" ht="39.6" customHeight="1" x14ac:dyDescent="0.25">
      <c r="A31" s="2206">
        <v>45337</v>
      </c>
      <c r="B31" s="574">
        <v>1</v>
      </c>
      <c r="C31" s="595"/>
      <c r="D31" s="596"/>
      <c r="E31" s="596">
        <v>10</v>
      </c>
      <c r="F31" s="597"/>
      <c r="G31" s="685"/>
      <c r="H31" s="620"/>
      <c r="I31" s="1062" t="s">
        <v>857</v>
      </c>
      <c r="J31" s="635"/>
      <c r="K31" s="622"/>
      <c r="L31" s="572"/>
      <c r="M31" s="6"/>
      <c r="N31" s="6"/>
      <c r="O31" s="597"/>
      <c r="P31" s="614"/>
      <c r="Q31" s="6"/>
      <c r="R31" s="6"/>
      <c r="S31" s="635"/>
      <c r="T31" s="622"/>
      <c r="U31" s="572"/>
      <c r="V31" s="6"/>
      <c r="W31" s="6">
        <v>17</v>
      </c>
      <c r="X31" s="597"/>
      <c r="Y31" s="1056"/>
      <c r="Z31" s="6"/>
      <c r="AA31" s="698" t="s">
        <v>857</v>
      </c>
      <c r="AB31" s="635"/>
      <c r="AC31" s="622"/>
      <c r="AD31" s="572"/>
      <c r="AE31" s="6"/>
      <c r="AF31" s="6">
        <v>30</v>
      </c>
      <c r="AG31" s="597"/>
      <c r="AH31" s="685"/>
      <c r="AI31" s="6"/>
      <c r="AJ31" s="6" t="s">
        <v>857</v>
      </c>
      <c r="AK31" s="635"/>
      <c r="AM31" s="572"/>
      <c r="AN31" s="6"/>
      <c r="AO31" s="6"/>
      <c r="AP31" s="50"/>
      <c r="AQ31" s="597"/>
      <c r="AR31" s="614"/>
      <c r="AS31" s="6"/>
      <c r="AT31" s="6"/>
      <c r="AU31" s="635"/>
      <c r="AV31" s="635"/>
    </row>
    <row r="32" spans="1:48" ht="63" customHeight="1" x14ac:dyDescent="0.25">
      <c r="A32" s="2205"/>
      <c r="B32" s="574">
        <v>2</v>
      </c>
      <c r="C32" s="595"/>
      <c r="D32" s="596"/>
      <c r="E32" s="596">
        <v>40</v>
      </c>
      <c r="F32" s="597"/>
      <c r="G32" s="685"/>
      <c r="H32" s="684"/>
      <c r="I32" s="1062" t="s">
        <v>857</v>
      </c>
      <c r="J32" s="635"/>
      <c r="K32" s="622"/>
      <c r="L32" s="572"/>
      <c r="M32" s="6"/>
      <c r="N32" s="6"/>
      <c r="O32" s="597"/>
      <c r="P32" s="614"/>
      <c r="Q32" s="6"/>
      <c r="R32" s="6"/>
      <c r="S32" s="635"/>
      <c r="T32" s="622"/>
      <c r="U32" s="572"/>
      <c r="V32" s="6"/>
      <c r="W32" s="596"/>
      <c r="X32" s="597"/>
      <c r="Y32" s="685"/>
      <c r="Z32" s="685"/>
      <c r="AA32" s="698"/>
      <c r="AB32" s="635"/>
      <c r="AC32" s="622"/>
      <c r="AD32" s="572"/>
      <c r="AE32" s="6"/>
      <c r="AF32" s="596"/>
      <c r="AG32" s="597"/>
      <c r="AH32" s="685"/>
      <c r="AI32" s="685"/>
      <c r="AJ32" s="684"/>
      <c r="AK32" s="635"/>
      <c r="AM32" s="572"/>
      <c r="AN32" s="6"/>
      <c r="AO32" s="6"/>
      <c r="AP32" s="50"/>
      <c r="AQ32" s="597"/>
      <c r="AR32" s="614"/>
      <c r="AS32" s="605"/>
      <c r="AT32" s="684"/>
      <c r="AU32" s="635"/>
      <c r="AV32" s="613"/>
    </row>
    <row r="33" spans="1:48" ht="43.15" customHeight="1" x14ac:dyDescent="0.25">
      <c r="A33" s="2206">
        <v>45338</v>
      </c>
      <c r="B33" s="574">
        <v>1</v>
      </c>
      <c r="C33" s="595"/>
      <c r="D33" s="596"/>
      <c r="E33" s="596"/>
      <c r="F33" s="597"/>
      <c r="G33" s="685"/>
      <c r="H33" s="620"/>
      <c r="I33" s="698"/>
      <c r="J33" s="635"/>
      <c r="K33" s="622"/>
      <c r="L33" s="572"/>
      <c r="M33" s="6"/>
      <c r="N33" s="6"/>
      <c r="O33" s="597"/>
      <c r="P33" s="614"/>
      <c r="Q33" s="6"/>
      <c r="R33" s="6"/>
      <c r="S33" s="635"/>
      <c r="T33" s="622"/>
      <c r="U33" s="572"/>
      <c r="V33" s="6"/>
      <c r="W33" s="6">
        <v>49</v>
      </c>
      <c r="X33" s="597"/>
      <c r="Y33" s="614"/>
      <c r="Z33" s="6"/>
      <c r="AA33" s="698" t="s">
        <v>858</v>
      </c>
      <c r="AB33" s="635"/>
      <c r="AC33" s="622"/>
      <c r="AD33" s="572"/>
      <c r="AE33" s="6"/>
      <c r="AF33" s="6"/>
      <c r="AG33" s="597"/>
      <c r="AH33" s="614"/>
      <c r="AI33" s="605"/>
      <c r="AJ33" s="698"/>
      <c r="AK33" s="635"/>
      <c r="AM33" s="572"/>
      <c r="AN33" s="6"/>
      <c r="AO33" s="6"/>
      <c r="AP33" s="50"/>
      <c r="AQ33" s="597"/>
      <c r="AR33" s="614"/>
      <c r="AS33" s="605"/>
      <c r="AT33" s="6"/>
      <c r="AU33" s="635"/>
      <c r="AV33" s="613"/>
    </row>
    <row r="34" spans="1:48" ht="67.900000000000006" customHeight="1" x14ac:dyDescent="0.25">
      <c r="A34" s="2205"/>
      <c r="B34" s="644">
        <v>2</v>
      </c>
      <c r="C34" s="596"/>
      <c r="D34" s="596"/>
      <c r="E34" s="596">
        <v>51</v>
      </c>
      <c r="F34" s="829"/>
      <c r="G34" s="684"/>
      <c r="H34" s="620"/>
      <c r="I34" s="698" t="s">
        <v>859</v>
      </c>
      <c r="J34" s="635"/>
      <c r="K34" s="622"/>
      <c r="L34" s="572"/>
      <c r="M34" s="6"/>
      <c r="N34" s="6"/>
      <c r="O34" s="613"/>
      <c r="P34" s="614"/>
      <c r="Q34" s="620"/>
      <c r="R34" s="6"/>
      <c r="S34" s="635"/>
      <c r="T34" s="622"/>
      <c r="U34" s="572"/>
      <c r="V34" s="6"/>
      <c r="W34" s="6">
        <v>25</v>
      </c>
      <c r="X34" s="613"/>
      <c r="Y34" s="605"/>
      <c r="Z34" s="605"/>
      <c r="AA34" s="698" t="s">
        <v>860</v>
      </c>
      <c r="AB34" s="635"/>
      <c r="AC34" s="622"/>
      <c r="AD34" s="572"/>
      <c r="AE34" s="6"/>
      <c r="AF34" s="6"/>
      <c r="AG34" s="613"/>
      <c r="AH34" s="614"/>
      <c r="AI34" s="6"/>
      <c r="AJ34" s="605"/>
      <c r="AK34" s="635"/>
      <c r="AM34" s="572"/>
      <c r="AN34" s="6"/>
      <c r="AO34" s="6"/>
      <c r="AP34" s="50"/>
      <c r="AQ34" s="613"/>
      <c r="AR34" s="614"/>
      <c r="AS34" s="6"/>
      <c r="AT34" s="828"/>
      <c r="AU34" s="635"/>
      <c r="AV34" s="613"/>
    </row>
    <row r="35" spans="1:48" ht="51" customHeight="1" x14ac:dyDescent="0.25">
      <c r="A35" s="2206">
        <v>45339</v>
      </c>
      <c r="B35" s="574">
        <v>1</v>
      </c>
      <c r="C35" s="596"/>
      <c r="D35" s="596"/>
      <c r="E35" s="50"/>
      <c r="F35" s="828"/>
      <c r="G35" s="567"/>
      <c r="H35" s="614"/>
      <c r="I35" s="698"/>
      <c r="J35" s="687"/>
      <c r="K35" s="622"/>
      <c r="L35" s="572"/>
      <c r="M35" s="6"/>
      <c r="N35" s="6"/>
      <c r="O35" s="613"/>
      <c r="P35" s="567"/>
      <c r="Q35" s="1060"/>
      <c r="R35" s="620"/>
      <c r="S35" s="635"/>
      <c r="T35" s="622"/>
      <c r="U35" s="572">
        <v>176</v>
      </c>
      <c r="V35" s="6"/>
      <c r="W35" s="50">
        <v>250</v>
      </c>
      <c r="X35" s="634"/>
      <c r="Y35" s="567" t="s">
        <v>861</v>
      </c>
      <c r="Z35" s="6"/>
      <c r="AA35" s="698" t="s">
        <v>401</v>
      </c>
      <c r="AB35" s="613"/>
      <c r="AC35" s="622"/>
      <c r="AD35" s="572"/>
      <c r="AE35" s="6"/>
      <c r="AF35" s="6"/>
      <c r="AG35" s="1056"/>
      <c r="AH35" s="567"/>
      <c r="AI35" s="6"/>
      <c r="AJ35" s="684"/>
      <c r="AK35" s="613"/>
      <c r="AM35" s="572"/>
      <c r="AN35" s="6"/>
      <c r="AO35" s="50"/>
      <c r="AP35" s="50"/>
      <c r="AQ35" s="634"/>
      <c r="AR35" s="567"/>
      <c r="AS35" s="692"/>
      <c r="AT35" s="605"/>
      <c r="AU35" s="828"/>
      <c r="AV35" s="613"/>
    </row>
    <row r="36" spans="1:48" ht="46.9" customHeight="1" x14ac:dyDescent="0.25">
      <c r="A36" s="2205"/>
      <c r="B36" s="574">
        <v>2</v>
      </c>
      <c r="C36" s="50"/>
      <c r="D36" s="6"/>
      <c r="E36" s="50">
        <v>26</v>
      </c>
      <c r="F36" s="828"/>
      <c r="G36" s="692"/>
      <c r="H36" s="620"/>
      <c r="I36" s="848" t="s">
        <v>385</v>
      </c>
      <c r="J36" s="635"/>
      <c r="K36" s="622"/>
      <c r="L36" s="567"/>
      <c r="M36" s="6"/>
      <c r="N36" s="6"/>
      <c r="O36" s="1056"/>
      <c r="P36" s="567"/>
      <c r="Q36" s="605"/>
      <c r="R36" s="605"/>
      <c r="S36" s="635"/>
      <c r="T36" s="622"/>
      <c r="U36" s="572"/>
      <c r="V36" s="6"/>
      <c r="W36" s="6">
        <v>16</v>
      </c>
      <c r="X36" s="1056"/>
      <c r="Y36" s="567"/>
      <c r="Z36" s="605"/>
      <c r="AA36" s="698" t="s">
        <v>325</v>
      </c>
      <c r="AB36" s="613"/>
      <c r="AC36" s="622"/>
      <c r="AD36" s="572"/>
      <c r="AE36" s="6"/>
      <c r="AF36" s="50">
        <v>22</v>
      </c>
      <c r="AG36" s="634"/>
      <c r="AH36" s="567"/>
      <c r="AI36" s="605"/>
      <c r="AJ36" s="698" t="s">
        <v>325</v>
      </c>
      <c r="AK36" s="613"/>
      <c r="AM36" s="572"/>
      <c r="AN36" s="6"/>
      <c r="AO36" s="6"/>
      <c r="AP36" s="614"/>
      <c r="AQ36" s="1056"/>
      <c r="AR36" s="567"/>
      <c r="AS36" s="605"/>
      <c r="AT36" s="605"/>
      <c r="AU36" s="828"/>
      <c r="AV36" s="613"/>
    </row>
    <row r="37" spans="1:48" ht="59.45" customHeight="1" x14ac:dyDescent="0.25">
      <c r="A37" s="2206">
        <v>45340</v>
      </c>
      <c r="B37" s="644">
        <v>1</v>
      </c>
      <c r="C37" s="50"/>
      <c r="D37" s="596"/>
      <c r="E37" s="50">
        <v>7</v>
      </c>
      <c r="F37" s="50"/>
      <c r="G37" s="692"/>
      <c r="H37" s="1056"/>
      <c r="I37" s="848" t="s">
        <v>385</v>
      </c>
      <c r="J37" s="635"/>
      <c r="K37" s="622"/>
      <c r="L37" s="572"/>
      <c r="M37" s="6"/>
      <c r="N37" s="6"/>
      <c r="O37" s="727"/>
      <c r="P37" s="614"/>
      <c r="Q37" s="6"/>
      <c r="R37" s="6"/>
      <c r="S37" s="613"/>
      <c r="T37" s="622"/>
      <c r="U37" s="572"/>
      <c r="V37" s="6"/>
      <c r="W37" s="6">
        <v>13</v>
      </c>
      <c r="X37" s="613"/>
      <c r="Y37" s="614"/>
      <c r="Z37" s="605"/>
      <c r="AA37" s="698" t="s">
        <v>325</v>
      </c>
      <c r="AB37" s="635"/>
      <c r="AC37" s="622"/>
      <c r="AD37" s="572"/>
      <c r="AE37" s="6"/>
      <c r="AF37" s="6">
        <v>11</v>
      </c>
      <c r="AG37" s="613"/>
      <c r="AH37" s="1056"/>
      <c r="AI37" s="6"/>
      <c r="AJ37" s="698" t="s">
        <v>325</v>
      </c>
      <c r="AK37" s="613"/>
      <c r="AM37" s="572"/>
      <c r="AN37" s="6"/>
      <c r="AO37" s="6"/>
      <c r="AP37" s="50"/>
      <c r="AQ37" s="613"/>
      <c r="AR37" s="614"/>
      <c r="AS37" s="6"/>
      <c r="AT37" s="6"/>
      <c r="AU37" s="50"/>
      <c r="AV37" s="613"/>
    </row>
    <row r="38" spans="1:48" ht="55.9" customHeight="1" x14ac:dyDescent="0.25">
      <c r="A38" s="2205"/>
      <c r="B38" s="574">
        <v>2</v>
      </c>
      <c r="C38" s="50"/>
      <c r="D38" s="596"/>
      <c r="E38" s="50"/>
      <c r="F38" s="829"/>
      <c r="G38" s="692"/>
      <c r="H38" s="1056"/>
      <c r="I38" s="848"/>
      <c r="J38" s="635"/>
      <c r="K38" s="622"/>
      <c r="L38" s="572"/>
      <c r="M38" s="6"/>
      <c r="N38" s="6"/>
      <c r="O38" s="613"/>
      <c r="P38" s="1056"/>
      <c r="Q38" s="1056"/>
      <c r="R38" s="6"/>
      <c r="S38" s="635"/>
      <c r="T38" s="622"/>
      <c r="U38" s="572"/>
      <c r="V38" s="6"/>
      <c r="W38" s="6"/>
      <c r="X38" s="613"/>
      <c r="Y38" s="614"/>
      <c r="Z38" s="605"/>
      <c r="AA38" s="698"/>
      <c r="AB38" s="635"/>
      <c r="AC38" s="622"/>
      <c r="AD38" s="572"/>
      <c r="AE38" s="6"/>
      <c r="AF38" s="6"/>
      <c r="AG38" s="613"/>
      <c r="AH38" s="1056"/>
      <c r="AI38" s="6"/>
      <c r="AJ38" s="698"/>
      <c r="AK38" s="635"/>
      <c r="AM38" s="572"/>
      <c r="AN38" s="6"/>
      <c r="AO38" s="6"/>
      <c r="AP38" s="50"/>
      <c r="AQ38" s="613"/>
      <c r="AR38" s="614"/>
      <c r="AS38" s="6"/>
      <c r="AT38" s="605"/>
      <c r="AU38" s="828"/>
      <c r="AV38" s="635"/>
    </row>
    <row r="39" spans="1:48" ht="70.900000000000006" customHeight="1" x14ac:dyDescent="0.25">
      <c r="A39" s="2206">
        <v>45341</v>
      </c>
      <c r="B39" s="574">
        <v>1</v>
      </c>
      <c r="C39" s="50"/>
      <c r="D39" s="596"/>
      <c r="E39" s="50"/>
      <c r="F39" s="829"/>
      <c r="G39" s="692"/>
      <c r="H39" s="1056"/>
      <c r="I39" s="848"/>
      <c r="J39" s="635"/>
      <c r="K39" s="622"/>
      <c r="L39" s="572"/>
      <c r="M39" s="6"/>
      <c r="N39" s="6"/>
      <c r="O39" s="597"/>
      <c r="P39" s="692"/>
      <c r="Q39" s="619"/>
      <c r="R39" s="692"/>
      <c r="S39" s="635"/>
      <c r="T39" s="622"/>
      <c r="U39" s="572"/>
      <c r="V39" s="6"/>
      <c r="W39" s="6">
        <v>10</v>
      </c>
      <c r="X39" s="597"/>
      <c r="Y39" s="614"/>
      <c r="Z39" s="619"/>
      <c r="AA39" s="698" t="s">
        <v>325</v>
      </c>
      <c r="AB39" s="635"/>
      <c r="AC39" s="622"/>
      <c r="AD39" s="572"/>
      <c r="AE39" s="6"/>
      <c r="AF39" s="6"/>
      <c r="AG39" s="597"/>
      <c r="AH39" s="692"/>
      <c r="AI39" s="619"/>
      <c r="AJ39" s="692"/>
      <c r="AK39" s="635"/>
      <c r="AM39" s="572"/>
      <c r="AN39" s="6"/>
      <c r="AO39" s="6"/>
      <c r="AP39" s="597"/>
      <c r="AQ39" s="692"/>
      <c r="AR39" s="619"/>
      <c r="AS39" s="692"/>
      <c r="AT39" s="635"/>
      <c r="AU39" s="635"/>
      <c r="AV39" s="687"/>
    </row>
    <row r="40" spans="1:48" ht="72.599999999999994" customHeight="1" x14ac:dyDescent="0.25">
      <c r="A40" s="2205"/>
      <c r="B40" s="574">
        <v>2</v>
      </c>
      <c r="C40" s="596"/>
      <c r="D40" s="596"/>
      <c r="E40" s="596"/>
      <c r="F40" s="613"/>
      <c r="G40" s="692"/>
      <c r="H40" s="620"/>
      <c r="I40" s="620"/>
      <c r="J40" s="635"/>
      <c r="K40" s="622"/>
      <c r="L40" s="572"/>
      <c r="M40" s="6"/>
      <c r="N40" s="6"/>
      <c r="O40" s="613"/>
      <c r="P40" s="685"/>
      <c r="Q40" s="619"/>
      <c r="R40" s="692"/>
      <c r="S40" s="635"/>
      <c r="T40" s="622"/>
      <c r="U40" s="572"/>
      <c r="V40" s="6"/>
      <c r="W40" s="6"/>
      <c r="X40" s="613"/>
      <c r="Y40" s="685"/>
      <c r="Z40" s="619"/>
      <c r="AA40" s="684"/>
      <c r="AB40" s="635"/>
      <c r="AC40" s="622"/>
      <c r="AD40" s="572"/>
      <c r="AE40" s="6"/>
      <c r="AF40" s="6"/>
      <c r="AG40" s="613"/>
      <c r="AH40" s="567"/>
      <c r="AI40" s="620"/>
      <c r="AJ40" s="692"/>
      <c r="AK40" s="635"/>
      <c r="AM40" s="567"/>
      <c r="AN40" s="6"/>
      <c r="AO40" s="6"/>
      <c r="AP40" s="50"/>
      <c r="AQ40" s="613"/>
      <c r="AR40" s="685"/>
      <c r="AS40" s="619"/>
      <c r="AT40" s="692"/>
      <c r="AU40" s="635"/>
      <c r="AV40" s="635"/>
    </row>
    <row r="41" spans="1:48" ht="39.6" customHeight="1" x14ac:dyDescent="0.25">
      <c r="A41" s="2206">
        <v>45342</v>
      </c>
      <c r="B41" s="574">
        <v>1</v>
      </c>
      <c r="C41" s="595"/>
      <c r="D41" s="596"/>
      <c r="E41" s="596"/>
      <c r="F41" s="613"/>
      <c r="G41" s="685"/>
      <c r="H41" s="620"/>
      <c r="I41" s="620"/>
      <c r="J41" s="635"/>
      <c r="K41" s="622"/>
      <c r="L41" s="572"/>
      <c r="M41" s="6"/>
      <c r="N41" s="6"/>
      <c r="O41" s="613"/>
      <c r="P41" s="614"/>
      <c r="Q41" s="6"/>
      <c r="R41" s="692"/>
      <c r="S41" s="635"/>
      <c r="T41" s="622"/>
      <c r="U41" s="572"/>
      <c r="V41" s="6"/>
      <c r="W41" s="6"/>
      <c r="X41" s="613"/>
      <c r="Y41" s="614"/>
      <c r="Z41" s="605"/>
      <c r="AA41" s="698"/>
      <c r="AB41" s="613"/>
      <c r="AC41" s="622"/>
      <c r="AD41" s="572"/>
      <c r="AE41" s="6"/>
      <c r="AF41" s="6"/>
      <c r="AG41" s="613"/>
      <c r="AH41" s="567"/>
      <c r="AI41" s="605"/>
      <c r="AJ41" s="6"/>
      <c r="AK41" s="613"/>
      <c r="AM41" s="572"/>
      <c r="AN41" s="6"/>
      <c r="AO41" s="6"/>
      <c r="AP41" s="50"/>
      <c r="AQ41" s="613"/>
      <c r="AR41" s="614"/>
      <c r="AS41" s="605"/>
      <c r="AT41" s="692"/>
      <c r="AU41" s="50"/>
      <c r="AV41" s="613"/>
    </row>
    <row r="42" spans="1:48" ht="52.9" customHeight="1" x14ac:dyDescent="0.25">
      <c r="A42" s="2205"/>
      <c r="B42" s="574">
        <v>2</v>
      </c>
      <c r="C42" s="596"/>
      <c r="D42" s="596"/>
      <c r="E42" s="596"/>
      <c r="F42" s="613"/>
      <c r="G42" s="685"/>
      <c r="H42" s="620"/>
      <c r="I42" s="692"/>
      <c r="J42" s="635"/>
      <c r="K42" s="622"/>
      <c r="L42" s="572"/>
      <c r="M42" s="6"/>
      <c r="N42" s="6"/>
      <c r="O42" s="613"/>
      <c r="P42" s="614"/>
      <c r="Q42" s="6"/>
      <c r="R42" s="6"/>
      <c r="S42" s="635"/>
      <c r="T42" s="622"/>
      <c r="U42" s="572"/>
      <c r="V42" s="6"/>
      <c r="W42" s="6">
        <v>18</v>
      </c>
      <c r="X42" s="613"/>
      <c r="Y42" s="1056"/>
      <c r="Z42" s="6"/>
      <c r="AA42" s="698" t="s">
        <v>97</v>
      </c>
      <c r="AB42" s="635"/>
      <c r="AC42" s="622"/>
      <c r="AD42" s="572"/>
      <c r="AE42" s="6">
        <v>53</v>
      </c>
      <c r="AF42" s="6"/>
      <c r="AG42" s="613"/>
      <c r="AH42" s="614"/>
      <c r="AI42" s="605" t="s">
        <v>394</v>
      </c>
      <c r="AJ42" s="6"/>
      <c r="AK42" s="635"/>
      <c r="AM42" s="572"/>
      <c r="AN42" s="6"/>
      <c r="AO42" s="6"/>
      <c r="AP42" s="50"/>
      <c r="AQ42" s="613"/>
      <c r="AR42" s="614"/>
      <c r="AS42" s="6"/>
      <c r="AT42" s="6"/>
      <c r="AU42" s="635"/>
      <c r="AV42" s="613"/>
    </row>
    <row r="43" spans="1:48" ht="65.45" customHeight="1" x14ac:dyDescent="0.25">
      <c r="A43" s="2206">
        <v>45343</v>
      </c>
      <c r="B43" s="574">
        <v>1</v>
      </c>
      <c r="C43" s="596"/>
      <c r="D43" s="596"/>
      <c r="E43" s="596"/>
      <c r="F43" s="597"/>
      <c r="G43" s="619"/>
      <c r="H43" s="619"/>
      <c r="I43" s="848"/>
      <c r="J43" s="635"/>
      <c r="K43" s="622"/>
      <c r="L43" s="572"/>
      <c r="M43" s="6"/>
      <c r="N43" s="6"/>
      <c r="O43" s="613"/>
      <c r="P43" s="614"/>
      <c r="Q43" s="6"/>
      <c r="R43" s="6"/>
      <c r="S43" s="635"/>
      <c r="T43" s="622"/>
      <c r="U43" s="572"/>
      <c r="V43" s="6"/>
      <c r="W43" s="6"/>
      <c r="X43" s="613"/>
      <c r="Y43" s="614"/>
      <c r="Z43" s="6"/>
      <c r="AA43" s="698"/>
      <c r="AB43" s="635"/>
      <c r="AC43" s="622"/>
      <c r="AD43" s="572"/>
      <c r="AE43" s="6"/>
      <c r="AF43" s="6"/>
      <c r="AG43" s="613"/>
      <c r="AH43" s="605"/>
      <c r="AI43" s="620"/>
      <c r="AJ43" s="6"/>
      <c r="AK43" s="635"/>
      <c r="AM43" s="572"/>
      <c r="AN43" s="6"/>
      <c r="AO43" s="6"/>
      <c r="AP43" s="50"/>
      <c r="AQ43" s="613"/>
      <c r="AR43" s="605"/>
      <c r="AS43" s="620"/>
      <c r="AT43" s="6"/>
      <c r="AU43" s="635"/>
      <c r="AV43" s="613"/>
    </row>
    <row r="44" spans="1:48" ht="69" customHeight="1" x14ac:dyDescent="0.25">
      <c r="A44" s="2205"/>
      <c r="B44" s="574">
        <v>2</v>
      </c>
      <c r="C44" s="596"/>
      <c r="D44" s="596"/>
      <c r="E44" s="596"/>
      <c r="F44" s="597"/>
      <c r="G44" s="619"/>
      <c r="H44" s="620"/>
      <c r="I44" s="848"/>
      <c r="J44" s="635"/>
      <c r="K44" s="622"/>
      <c r="L44" s="572"/>
      <c r="M44" s="6"/>
      <c r="N44" s="6"/>
      <c r="O44" s="613"/>
      <c r="P44" s="1056"/>
      <c r="Q44" s="6"/>
      <c r="R44" s="605"/>
      <c r="S44" s="635"/>
      <c r="T44" s="622"/>
      <c r="U44" s="572"/>
      <c r="V44" s="6"/>
      <c r="W44" s="596"/>
      <c r="X44" s="597"/>
      <c r="Y44" s="619"/>
      <c r="Z44" s="620"/>
      <c r="AA44" s="698"/>
      <c r="AB44" s="635"/>
      <c r="AC44" s="622"/>
      <c r="AD44" s="572"/>
      <c r="AE44" s="6"/>
      <c r="AF44" s="6"/>
      <c r="AG44" s="613"/>
      <c r="AH44" s="614"/>
      <c r="AI44" s="605"/>
      <c r="AJ44" s="698"/>
      <c r="AK44" s="635"/>
      <c r="AM44" s="572"/>
      <c r="AN44" s="6"/>
      <c r="AO44" s="6"/>
      <c r="AP44" s="50"/>
      <c r="AQ44" s="613"/>
      <c r="AR44" s="614"/>
      <c r="AS44" s="605"/>
      <c r="AT44" s="605"/>
      <c r="AU44" s="635"/>
      <c r="AV44" s="613"/>
    </row>
    <row r="45" spans="1:48" ht="69" customHeight="1" x14ac:dyDescent="0.25">
      <c r="A45" s="2206">
        <v>45344</v>
      </c>
      <c r="B45" s="574">
        <v>1</v>
      </c>
      <c r="C45" s="596"/>
      <c r="D45" s="596"/>
      <c r="E45" s="596"/>
      <c r="F45" s="597"/>
      <c r="G45" s="619"/>
      <c r="H45" s="619"/>
      <c r="I45" s="692"/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>
        <v>50</v>
      </c>
      <c r="V45" s="605">
        <v>15</v>
      </c>
      <c r="W45" s="6"/>
      <c r="X45" s="613"/>
      <c r="Y45" s="619" t="s">
        <v>207</v>
      </c>
      <c r="Z45" s="605" t="s">
        <v>862</v>
      </c>
      <c r="AA45" s="605"/>
      <c r="AB45" s="613"/>
      <c r="AC45" s="622"/>
      <c r="AD45" s="572"/>
      <c r="AE45" s="6">
        <v>53</v>
      </c>
      <c r="AF45" s="6"/>
      <c r="AG45" s="613"/>
      <c r="AH45" s="614"/>
      <c r="AI45" s="605" t="s">
        <v>317</v>
      </c>
      <c r="AJ45" s="605"/>
      <c r="AK45" s="613"/>
      <c r="AM45" s="572"/>
      <c r="AN45" s="6"/>
      <c r="AO45" s="6"/>
      <c r="AP45" s="50"/>
      <c r="AQ45" s="613"/>
      <c r="AR45" s="614"/>
      <c r="AS45" s="605"/>
      <c r="AT45" s="6"/>
      <c r="AU45" s="50"/>
      <c r="AV45" s="613"/>
    </row>
    <row r="46" spans="1:48" ht="48.6" customHeight="1" x14ac:dyDescent="0.25">
      <c r="A46" s="2205"/>
      <c r="B46" s="574">
        <v>2</v>
      </c>
      <c r="C46" s="596"/>
      <c r="D46" s="596"/>
      <c r="E46" s="596">
        <v>15</v>
      </c>
      <c r="F46" s="597"/>
      <c r="G46" s="619"/>
      <c r="H46" s="619"/>
      <c r="I46" s="848" t="s">
        <v>325</v>
      </c>
      <c r="J46" s="635"/>
      <c r="K46" s="622"/>
      <c r="L46" s="572"/>
      <c r="M46" s="6"/>
      <c r="N46" s="6"/>
      <c r="O46" s="785"/>
      <c r="P46" s="614"/>
      <c r="Q46" s="620"/>
      <c r="R46" s="605"/>
      <c r="S46" s="635"/>
      <c r="T46" s="622"/>
      <c r="U46" s="572"/>
      <c r="V46" s="6"/>
      <c r="W46" s="6">
        <v>12</v>
      </c>
      <c r="X46" s="613"/>
      <c r="Y46" s="1056"/>
      <c r="Z46" s="6"/>
      <c r="AA46" s="605" t="s">
        <v>325</v>
      </c>
      <c r="AB46" s="635"/>
      <c r="AC46" s="622"/>
      <c r="AD46" s="572"/>
      <c r="AE46" s="6">
        <v>12</v>
      </c>
      <c r="AF46" s="6"/>
      <c r="AG46" s="613"/>
      <c r="AH46" s="1056"/>
      <c r="AI46" s="605" t="s">
        <v>317</v>
      </c>
      <c r="AJ46" s="698"/>
      <c r="AK46" s="635"/>
      <c r="AM46" s="572"/>
      <c r="AN46" s="6"/>
      <c r="AO46" s="6"/>
      <c r="AP46" s="50"/>
      <c r="AQ46" s="613"/>
      <c r="AR46" s="614"/>
      <c r="AS46" s="620"/>
      <c r="AT46" s="6"/>
      <c r="AU46" s="50"/>
      <c r="AV46" s="635"/>
    </row>
    <row r="47" spans="1:48" ht="58.9" customHeight="1" x14ac:dyDescent="0.25">
      <c r="A47" s="2206">
        <v>45345</v>
      </c>
      <c r="B47" s="574">
        <v>1</v>
      </c>
      <c r="C47" s="596"/>
      <c r="D47" s="596">
        <v>210</v>
      </c>
      <c r="E47" s="596"/>
      <c r="F47" s="597"/>
      <c r="G47" s="619"/>
      <c r="H47" s="620" t="s">
        <v>864</v>
      </c>
      <c r="I47" s="848"/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>
        <v>40</v>
      </c>
      <c r="V47" s="6"/>
      <c r="W47" s="6">
        <v>12</v>
      </c>
      <c r="X47" s="613"/>
      <c r="Y47" s="619" t="s">
        <v>207</v>
      </c>
      <c r="Z47" s="605"/>
      <c r="AA47" s="605" t="s">
        <v>325</v>
      </c>
      <c r="AB47" s="635"/>
      <c r="AC47" s="622"/>
      <c r="AD47" s="572"/>
      <c r="AE47" s="6"/>
      <c r="AF47" s="6"/>
      <c r="AG47" s="613"/>
      <c r="AH47" s="1056"/>
      <c r="AI47" s="620"/>
      <c r="AJ47" s="698"/>
      <c r="AK47" s="613"/>
      <c r="AM47" s="572"/>
      <c r="AN47" s="6"/>
      <c r="AO47" s="6">
        <v>50</v>
      </c>
      <c r="AP47" s="50"/>
      <c r="AQ47" s="613"/>
      <c r="AR47" s="614"/>
      <c r="AS47" s="620"/>
      <c r="AT47" s="6" t="s">
        <v>152</v>
      </c>
      <c r="AU47" s="50"/>
      <c r="AV47" s="613"/>
    </row>
    <row r="48" spans="1:48" ht="34.9" customHeight="1" x14ac:dyDescent="0.25">
      <c r="A48" s="2205"/>
      <c r="B48" s="574">
        <v>2</v>
      </c>
      <c r="C48" s="596"/>
      <c r="D48" s="596"/>
      <c r="E48" s="596"/>
      <c r="F48" s="597"/>
      <c r="G48" s="620"/>
      <c r="H48" s="620"/>
      <c r="I48" s="692"/>
      <c r="J48" s="635"/>
      <c r="K48" s="622"/>
      <c r="L48" s="572"/>
      <c r="M48" s="6"/>
      <c r="N48" s="6"/>
      <c r="O48" s="597"/>
      <c r="P48" s="620"/>
      <c r="Q48" s="620"/>
      <c r="R48" s="692"/>
      <c r="S48" s="635"/>
      <c r="T48" s="622"/>
      <c r="U48" s="572"/>
      <c r="V48" s="6"/>
      <c r="W48" s="6">
        <v>31</v>
      </c>
      <c r="X48" s="597"/>
      <c r="Y48" s="620"/>
      <c r="Z48" s="620"/>
      <c r="AA48" s="692" t="s">
        <v>863</v>
      </c>
      <c r="AB48" s="635"/>
      <c r="AC48" s="622"/>
      <c r="AD48" s="572"/>
      <c r="AE48" s="6"/>
      <c r="AF48" s="6">
        <v>15</v>
      </c>
      <c r="AG48" s="597"/>
      <c r="AH48" s="620"/>
      <c r="AI48" s="620" t="s">
        <v>401</v>
      </c>
      <c r="AJ48" s="692"/>
      <c r="AK48" s="635"/>
      <c r="AM48" s="572"/>
      <c r="AN48" s="6"/>
      <c r="AO48" s="572"/>
      <c r="AP48" s="6"/>
      <c r="AQ48" s="6"/>
      <c r="AR48" s="597"/>
      <c r="AS48" s="620"/>
      <c r="AT48" s="620"/>
      <c r="AU48" s="635"/>
      <c r="AV48" s="613"/>
    </row>
    <row r="49" spans="1:48" ht="36" customHeight="1" x14ac:dyDescent="0.25">
      <c r="A49" s="2206">
        <v>45346</v>
      </c>
      <c r="B49" s="574">
        <v>1</v>
      </c>
      <c r="C49" s="596"/>
      <c r="D49" s="596"/>
      <c r="E49" s="596"/>
      <c r="F49" s="597"/>
      <c r="G49" s="620"/>
      <c r="H49" s="619"/>
      <c r="I49" s="848"/>
      <c r="J49" s="635"/>
      <c r="K49" s="622"/>
      <c r="L49" s="572"/>
      <c r="M49" s="6"/>
      <c r="N49" s="6"/>
      <c r="O49" s="597"/>
      <c r="P49" s="620"/>
      <c r="Q49" s="619"/>
      <c r="R49" s="692"/>
      <c r="S49" s="635"/>
      <c r="T49" s="622"/>
      <c r="U49" s="572"/>
      <c r="V49" s="6"/>
      <c r="W49" s="6"/>
      <c r="X49" s="597"/>
      <c r="Y49" s="620"/>
      <c r="Z49" s="605"/>
      <c r="AA49" s="605"/>
      <c r="AB49" s="635"/>
      <c r="AC49" s="622"/>
      <c r="AD49" s="572"/>
      <c r="AE49" s="6"/>
      <c r="AF49" s="6"/>
      <c r="AG49" s="597"/>
      <c r="AH49" s="620"/>
      <c r="AI49" s="619"/>
      <c r="AJ49" s="692"/>
      <c r="AK49" s="635"/>
      <c r="AM49" s="572"/>
      <c r="AN49" s="6"/>
      <c r="AO49" s="6"/>
      <c r="AP49" s="597"/>
      <c r="AQ49" s="620"/>
      <c r="AR49" s="619"/>
      <c r="AS49" s="692"/>
      <c r="AT49" s="635"/>
      <c r="AU49" s="635"/>
      <c r="AV49" s="613"/>
    </row>
    <row r="50" spans="1:48" ht="51.6" customHeight="1" x14ac:dyDescent="0.25">
      <c r="A50" s="2205"/>
      <c r="B50" s="574">
        <v>2</v>
      </c>
      <c r="C50" s="596"/>
      <c r="D50" s="596"/>
      <c r="E50" s="596"/>
      <c r="F50" s="597"/>
      <c r="G50" s="619"/>
      <c r="H50" s="619"/>
      <c r="I50" s="692"/>
      <c r="J50" s="635"/>
      <c r="K50" s="622"/>
      <c r="L50" s="572"/>
      <c r="M50" s="6"/>
      <c r="N50" s="6"/>
      <c r="O50" s="597"/>
      <c r="P50" s="619"/>
      <c r="Q50" s="619"/>
      <c r="R50" s="692"/>
      <c r="S50" s="635"/>
      <c r="T50" s="622"/>
      <c r="U50" s="572"/>
      <c r="V50" s="6"/>
      <c r="W50" s="6"/>
      <c r="X50" s="597"/>
      <c r="Y50" s="619"/>
      <c r="Z50" s="619"/>
      <c r="AA50" s="698"/>
      <c r="AB50" s="635"/>
      <c r="AC50" s="622"/>
      <c r="AD50" s="572"/>
      <c r="AE50" s="6"/>
      <c r="AF50" s="6"/>
      <c r="AG50" s="597"/>
      <c r="AH50" s="619"/>
      <c r="AI50" s="619"/>
      <c r="AJ50" s="692"/>
      <c r="AK50" s="635"/>
      <c r="AM50" s="572"/>
      <c r="AN50" s="6"/>
      <c r="AO50" s="6"/>
      <c r="AP50" s="597"/>
      <c r="AQ50" s="619"/>
      <c r="AR50" s="619"/>
      <c r="AS50" s="692"/>
      <c r="AT50" s="635"/>
      <c r="AU50" s="635"/>
      <c r="AV50" s="635"/>
    </row>
    <row r="51" spans="1:48" ht="34.9" customHeight="1" x14ac:dyDescent="0.25">
      <c r="A51" s="2206">
        <v>45347</v>
      </c>
      <c r="B51" s="574">
        <v>1</v>
      </c>
      <c r="C51" s="596"/>
      <c r="D51" s="596"/>
      <c r="E51" s="596"/>
      <c r="F51" s="597"/>
      <c r="G51" s="619"/>
      <c r="H51" s="619"/>
      <c r="I51" s="848"/>
      <c r="J51" s="635"/>
      <c r="K51" s="622"/>
      <c r="L51" s="572"/>
      <c r="M51" s="6"/>
      <c r="N51" s="6"/>
      <c r="O51" s="597"/>
      <c r="P51" s="619"/>
      <c r="Q51" s="619"/>
      <c r="R51" s="692"/>
      <c r="S51" s="635"/>
      <c r="T51" s="622"/>
      <c r="U51" s="572"/>
      <c r="V51" s="6"/>
      <c r="W51" s="6"/>
      <c r="X51" s="597"/>
      <c r="Y51" s="619"/>
      <c r="Z51" s="619"/>
      <c r="AA51" s="698"/>
      <c r="AB51" s="635"/>
      <c r="AC51" s="622"/>
      <c r="AD51" s="572"/>
      <c r="AE51" s="6"/>
      <c r="AF51" s="6"/>
      <c r="AG51" s="597"/>
      <c r="AH51" s="619"/>
      <c r="AI51" s="619"/>
      <c r="AJ51" s="692"/>
      <c r="AK51" s="635"/>
      <c r="AM51" s="572"/>
      <c r="AN51" s="6"/>
      <c r="AO51" s="6"/>
      <c r="AP51" s="597"/>
      <c r="AQ51" s="619"/>
      <c r="AR51" s="619"/>
      <c r="AS51" s="692"/>
      <c r="AT51" s="635"/>
      <c r="AU51" s="635"/>
      <c r="AV51" s="613"/>
    </row>
    <row r="52" spans="1:48" ht="49.15" customHeight="1" x14ac:dyDescent="0.25">
      <c r="A52" s="2205"/>
      <c r="B52" s="574">
        <v>2</v>
      </c>
      <c r="C52" s="596"/>
      <c r="D52" s="596"/>
      <c r="E52" s="596"/>
      <c r="F52" s="597"/>
      <c r="G52" s="620"/>
      <c r="H52" s="620"/>
      <c r="I52" s="848"/>
      <c r="J52" s="635"/>
      <c r="K52" s="622"/>
      <c r="L52" s="572"/>
      <c r="M52" s="6"/>
      <c r="N52" s="6"/>
      <c r="O52" s="597"/>
      <c r="P52" s="620"/>
      <c r="Q52" s="620"/>
      <c r="R52" s="692"/>
      <c r="S52" s="635"/>
      <c r="T52" s="622"/>
      <c r="U52" s="572"/>
      <c r="V52" s="6"/>
      <c r="W52" s="6"/>
      <c r="X52" s="597"/>
      <c r="Y52" s="620"/>
      <c r="Z52" s="605"/>
      <c r="AA52" s="698"/>
      <c r="AB52" s="635"/>
      <c r="AC52" s="622"/>
      <c r="AD52" s="572"/>
      <c r="AE52" s="6"/>
      <c r="AF52" s="6"/>
      <c r="AG52" s="597"/>
      <c r="AH52" s="620"/>
      <c r="AI52" s="620"/>
      <c r="AJ52" s="692"/>
      <c r="AK52" s="635"/>
      <c r="AM52" s="572"/>
      <c r="AN52" s="613"/>
      <c r="AO52" s="613"/>
      <c r="AP52" s="613"/>
      <c r="AQ52" s="613"/>
      <c r="AR52" s="614"/>
      <c r="AS52" s="6"/>
      <c r="AT52" s="635"/>
      <c r="AU52" s="635"/>
      <c r="AV52" s="613"/>
    </row>
    <row r="53" spans="1:48" ht="40.15" customHeight="1" x14ac:dyDescent="0.25">
      <c r="A53" s="2206">
        <v>45348</v>
      </c>
      <c r="B53" s="574">
        <v>1</v>
      </c>
      <c r="C53" s="596"/>
      <c r="D53" s="596"/>
      <c r="E53" s="596"/>
      <c r="F53" s="597"/>
      <c r="G53" s="619"/>
      <c r="H53" s="619"/>
      <c r="I53" s="848"/>
      <c r="J53" s="635"/>
      <c r="K53" s="622"/>
      <c r="L53" s="572"/>
      <c r="M53" s="6"/>
      <c r="N53" s="6"/>
      <c r="O53" s="613"/>
      <c r="P53" s="1056"/>
      <c r="Q53" s="620"/>
      <c r="R53" s="6"/>
      <c r="S53" s="635"/>
      <c r="T53" s="622"/>
      <c r="U53" s="572"/>
      <c r="V53" s="6"/>
      <c r="W53" s="6"/>
      <c r="X53" s="613"/>
      <c r="Y53" s="1056"/>
      <c r="Z53" s="6"/>
      <c r="AA53" s="605"/>
      <c r="AB53" s="613"/>
      <c r="AC53" s="622"/>
      <c r="AD53" s="572"/>
      <c r="AE53" s="605"/>
      <c r="AF53" s="6"/>
      <c r="AG53" s="613"/>
      <c r="AH53" s="614"/>
      <c r="AI53" s="6"/>
      <c r="AJ53" s="605"/>
      <c r="AK53" s="613"/>
      <c r="AM53" s="572"/>
      <c r="AN53" s="605"/>
      <c r="AO53" s="6"/>
      <c r="AP53" s="50"/>
      <c r="AQ53" s="613"/>
      <c r="AR53" s="614"/>
      <c r="AS53" s="6"/>
      <c r="AT53" s="6"/>
      <c r="AU53" s="50"/>
      <c r="AV53" s="613"/>
    </row>
    <row r="54" spans="1:48" ht="39.6" customHeight="1" x14ac:dyDescent="0.25">
      <c r="A54" s="2205"/>
      <c r="B54" s="1051">
        <v>2</v>
      </c>
      <c r="C54" s="596"/>
      <c r="D54" s="596"/>
      <c r="E54" s="596"/>
      <c r="F54" s="597"/>
      <c r="G54" s="619"/>
      <c r="H54" s="620"/>
      <c r="I54" s="692"/>
      <c r="J54" s="635"/>
      <c r="K54" s="622"/>
      <c r="L54" s="572"/>
      <c r="M54" s="6"/>
      <c r="N54" s="6"/>
      <c r="O54" s="597"/>
      <c r="P54" s="619"/>
      <c r="Q54" s="620"/>
      <c r="R54" s="619"/>
      <c r="S54" s="635"/>
      <c r="T54" s="622"/>
      <c r="U54" s="572"/>
      <c r="V54" s="6"/>
      <c r="W54" s="6"/>
      <c r="X54" s="597"/>
      <c r="Y54" s="620"/>
      <c r="Z54" s="620"/>
      <c r="AA54" s="620"/>
      <c r="AB54" s="635"/>
      <c r="AC54" s="622"/>
      <c r="AD54" s="572"/>
      <c r="AE54" s="6"/>
      <c r="AF54" s="6"/>
      <c r="AG54" s="613"/>
      <c r="AH54" s="614"/>
      <c r="AI54" s="620"/>
      <c r="AJ54" s="6"/>
      <c r="AK54" s="635"/>
      <c r="AM54" s="572"/>
      <c r="AN54" s="6"/>
      <c r="AO54" s="6"/>
      <c r="AP54" s="50"/>
      <c r="AQ54" s="597"/>
      <c r="AR54" s="619"/>
      <c r="AS54" s="620"/>
      <c r="AT54" s="619"/>
      <c r="AU54" s="830"/>
      <c r="AV54" s="635"/>
    </row>
    <row r="55" spans="1:48" ht="39.6" customHeight="1" x14ac:dyDescent="0.25">
      <c r="A55" s="2206">
        <v>45349</v>
      </c>
      <c r="B55" s="574">
        <v>1</v>
      </c>
      <c r="C55" s="595"/>
      <c r="D55" s="596"/>
      <c r="E55" s="596"/>
      <c r="F55" s="597"/>
      <c r="G55" s="619"/>
      <c r="H55" s="619"/>
      <c r="I55" s="848"/>
      <c r="J55" s="613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/>
      <c r="X55" s="613"/>
      <c r="Y55" s="614"/>
      <c r="Z55" s="620"/>
      <c r="AA55" s="698"/>
      <c r="AB55" s="613"/>
      <c r="AC55" s="622"/>
      <c r="AD55" s="572"/>
      <c r="AE55" s="6"/>
      <c r="AF55" s="6"/>
      <c r="AG55" s="613"/>
      <c r="AH55" s="614"/>
      <c r="AI55" s="620"/>
      <c r="AJ55" s="6"/>
      <c r="AK55" s="613"/>
      <c r="AM55" s="572"/>
      <c r="AN55" s="6"/>
      <c r="AO55" s="6"/>
      <c r="AP55" s="50"/>
      <c r="AQ55" s="613"/>
      <c r="AR55" s="614"/>
      <c r="AS55" s="620"/>
      <c r="AT55" s="6"/>
      <c r="AU55" s="50"/>
      <c r="AV55" s="613"/>
    </row>
    <row r="56" spans="1:48" ht="94.15" customHeight="1" x14ac:dyDescent="0.25">
      <c r="A56" s="2205"/>
      <c r="B56" s="1051">
        <v>2</v>
      </c>
      <c r="C56" s="595"/>
      <c r="D56" s="596"/>
      <c r="E56" s="596"/>
      <c r="F56" s="597"/>
      <c r="G56" s="620"/>
      <c r="H56" s="620"/>
      <c r="I56" s="848"/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/>
      <c r="V56" s="6"/>
      <c r="W56" s="6"/>
      <c r="X56" s="597"/>
      <c r="Y56" s="1056"/>
      <c r="Z56" s="619"/>
      <c r="AA56" s="605"/>
      <c r="AB56" s="635"/>
      <c r="AC56" s="622"/>
      <c r="AD56" s="572"/>
      <c r="AE56" s="6"/>
      <c r="AF56" s="6"/>
      <c r="AG56" s="597"/>
      <c r="AH56" s="620"/>
      <c r="AI56" s="619"/>
      <c r="AJ56" s="620"/>
      <c r="AK56" s="635"/>
      <c r="AM56" s="572"/>
      <c r="AN56" s="6"/>
      <c r="AO56" s="6"/>
      <c r="AP56" s="50"/>
      <c r="AQ56" s="597"/>
      <c r="AR56" s="620"/>
      <c r="AS56" s="619"/>
      <c r="AT56" s="620"/>
      <c r="AU56" s="692"/>
      <c r="AV56" s="635"/>
    </row>
    <row r="57" spans="1:48" ht="52.15" customHeight="1" x14ac:dyDescent="0.25">
      <c r="A57" s="2206">
        <v>45350</v>
      </c>
      <c r="B57" s="574">
        <v>1</v>
      </c>
      <c r="C57" s="595"/>
      <c r="D57" s="596"/>
      <c r="E57" s="596"/>
      <c r="F57" s="597"/>
      <c r="G57" s="620"/>
      <c r="H57" s="620"/>
      <c r="I57" s="692"/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/>
      <c r="X57" s="597"/>
      <c r="Y57" s="620"/>
      <c r="Z57" s="619"/>
      <c r="AA57" s="605"/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/>
      <c r="AP57" s="50"/>
      <c r="AQ57" s="597"/>
      <c r="AR57" s="620"/>
      <c r="AS57" s="619"/>
      <c r="AT57" s="620"/>
      <c r="AU57" s="692"/>
      <c r="AV57" s="635"/>
    </row>
    <row r="58" spans="1:48" ht="78" customHeight="1" x14ac:dyDescent="0.25">
      <c r="A58" s="2205"/>
      <c r="B58" s="1051">
        <v>2</v>
      </c>
      <c r="C58" s="595"/>
      <c r="D58" s="596"/>
      <c r="E58" s="596"/>
      <c r="F58" s="597"/>
      <c r="G58" s="620"/>
      <c r="H58" s="619"/>
      <c r="I58" s="848"/>
      <c r="J58" s="635"/>
      <c r="K58" s="622"/>
      <c r="L58" s="572"/>
      <c r="M58" s="6"/>
      <c r="N58" s="6"/>
      <c r="O58" s="597"/>
      <c r="P58" s="620"/>
      <c r="Q58" s="619"/>
      <c r="R58" s="620"/>
      <c r="S58" s="635"/>
      <c r="T58" s="622"/>
      <c r="U58" s="572"/>
      <c r="V58" s="6"/>
      <c r="W58" s="6"/>
      <c r="X58" s="597"/>
      <c r="Y58" s="620"/>
      <c r="Z58" s="619"/>
      <c r="AA58" s="698"/>
      <c r="AB58" s="635"/>
      <c r="AC58" s="622"/>
      <c r="AD58" s="572"/>
      <c r="AE58" s="6"/>
      <c r="AF58" s="6"/>
      <c r="AG58" s="597"/>
      <c r="AH58" s="620"/>
      <c r="AI58" s="619"/>
      <c r="AJ58" s="6"/>
      <c r="AK58" s="635"/>
      <c r="AM58" s="572"/>
      <c r="AN58" s="6"/>
      <c r="AO58" s="6"/>
      <c r="AP58" s="50"/>
      <c r="AQ58" s="597"/>
      <c r="AR58" s="620"/>
      <c r="AS58" s="619"/>
      <c r="AT58" s="620"/>
      <c r="AU58" s="692"/>
      <c r="AV58" s="635"/>
    </row>
    <row r="59" spans="1:48" ht="73.150000000000006" customHeight="1" x14ac:dyDescent="0.25">
      <c r="A59" s="2206">
        <v>45351</v>
      </c>
      <c r="B59" s="574">
        <v>1</v>
      </c>
      <c r="C59" s="595"/>
      <c r="D59" s="596"/>
      <c r="E59" s="596"/>
      <c r="F59" s="597"/>
      <c r="G59" s="619"/>
      <c r="H59" s="619"/>
      <c r="I59" s="848"/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/>
      <c r="X59" s="613"/>
      <c r="Y59" s="614"/>
      <c r="Z59" s="6"/>
      <c r="AA59" s="698"/>
      <c r="AB59" s="635"/>
      <c r="AC59" s="622"/>
      <c r="AD59" s="572"/>
      <c r="AE59" s="6"/>
      <c r="AF59" s="6"/>
      <c r="AG59" s="613"/>
      <c r="AH59" s="1056"/>
      <c r="AI59" s="6"/>
      <c r="AJ59" s="620"/>
      <c r="AK59" s="635"/>
      <c r="AM59" s="572"/>
      <c r="AN59" s="6"/>
      <c r="AO59" s="6"/>
      <c r="AP59" s="50"/>
      <c r="AQ59" s="613"/>
      <c r="AR59" s="1056"/>
      <c r="AS59" s="6"/>
      <c r="AT59" s="620"/>
      <c r="AU59" s="692"/>
      <c r="AV59" s="635"/>
    </row>
    <row r="60" spans="1:48" ht="36" customHeight="1" x14ac:dyDescent="0.25">
      <c r="A60" s="2205"/>
      <c r="B60" s="1051">
        <v>2</v>
      </c>
      <c r="C60" s="595"/>
      <c r="D60" s="596"/>
      <c r="E60" s="596"/>
      <c r="F60" s="597"/>
      <c r="G60" s="619"/>
      <c r="H60" s="620"/>
      <c r="I60" s="848"/>
      <c r="J60" s="635"/>
      <c r="K60" s="622"/>
      <c r="L60" s="572"/>
      <c r="M60" s="6"/>
      <c r="N60" s="6"/>
      <c r="O60" s="613"/>
      <c r="P60" s="614"/>
      <c r="Q60" s="620"/>
      <c r="R60" s="6"/>
      <c r="S60" s="635"/>
      <c r="T60" s="622"/>
      <c r="U60" s="572"/>
      <c r="V60" s="6"/>
      <c r="W60" s="6"/>
      <c r="X60" s="613"/>
      <c r="Y60" s="1056"/>
      <c r="Z60" s="620"/>
      <c r="AA60" s="605"/>
      <c r="AB60" s="635"/>
      <c r="AC60" s="622"/>
      <c r="AD60" s="572"/>
      <c r="AE60" s="6"/>
      <c r="AF60" s="6"/>
      <c r="AG60" s="613"/>
      <c r="AH60" s="614"/>
      <c r="AI60" s="620"/>
      <c r="AJ60" s="605"/>
      <c r="AK60" s="635"/>
      <c r="AM60" s="572"/>
      <c r="AN60" s="6"/>
      <c r="AO60" s="6"/>
      <c r="AP60" s="50"/>
      <c r="AQ60" s="613"/>
      <c r="AR60" s="614"/>
      <c r="AS60" s="620"/>
      <c r="AT60" s="605"/>
      <c r="AU60" s="828"/>
      <c r="AV60" s="635"/>
    </row>
    <row r="61" spans="1:48" ht="32.450000000000003" customHeight="1" x14ac:dyDescent="0.25">
      <c r="A61" s="2206">
        <v>45321</v>
      </c>
      <c r="B61" s="574">
        <v>1</v>
      </c>
      <c r="C61" s="1059"/>
      <c r="D61" s="1061"/>
      <c r="E61" s="596"/>
      <c r="F61" s="749"/>
      <c r="G61" s="619"/>
      <c r="H61" s="1060"/>
      <c r="I61" s="692"/>
      <c r="J61" s="687"/>
      <c r="K61" s="622"/>
      <c r="L61" s="572"/>
      <c r="M61" s="6"/>
      <c r="N61" s="6"/>
      <c r="O61" s="613"/>
      <c r="P61" s="752"/>
      <c r="Q61" s="1057"/>
      <c r="R61" s="1057"/>
      <c r="S61" s="753"/>
      <c r="T61" s="622"/>
      <c r="U61" s="572"/>
      <c r="V61" s="6"/>
      <c r="W61" s="6"/>
      <c r="X61" s="613"/>
      <c r="Y61" s="1056"/>
      <c r="Z61" s="605"/>
      <c r="AA61" s="605"/>
      <c r="AB61" s="753"/>
      <c r="AC61" s="622"/>
      <c r="AD61" s="572"/>
      <c r="AE61" s="6"/>
      <c r="AF61" s="6"/>
      <c r="AG61" s="613"/>
      <c r="AH61" s="614"/>
      <c r="AI61" s="6"/>
      <c r="AJ61" s="605"/>
      <c r="AK61" s="753"/>
      <c r="AM61" s="572"/>
      <c r="AN61" s="6"/>
      <c r="AO61" s="6"/>
      <c r="AP61" s="50"/>
      <c r="AQ61" s="613"/>
      <c r="AR61" s="1056"/>
      <c r="AS61" s="6"/>
      <c r="AT61" s="605"/>
      <c r="AU61" s="964"/>
      <c r="AV61" s="753"/>
    </row>
    <row r="62" spans="1:48" ht="62.45" customHeight="1" x14ac:dyDescent="0.25">
      <c r="A62" s="2205"/>
      <c r="B62" s="1051">
        <v>2</v>
      </c>
      <c r="C62" s="1059"/>
      <c r="D62" s="1061"/>
      <c r="E62" s="1061"/>
      <c r="F62" s="749"/>
      <c r="G62" s="1053"/>
      <c r="H62" s="1060"/>
      <c r="I62" s="692"/>
      <c r="J62" s="687"/>
      <c r="K62" s="622"/>
      <c r="L62" s="572"/>
      <c r="M62" s="6"/>
      <c r="N62" s="6"/>
      <c r="O62" s="613"/>
      <c r="P62" s="752"/>
      <c r="Q62" s="1057"/>
      <c r="R62" s="1057"/>
      <c r="S62" s="753"/>
      <c r="T62" s="622"/>
      <c r="U62" s="572"/>
      <c r="V62" s="6"/>
      <c r="W62" s="6"/>
      <c r="X62" s="613"/>
      <c r="Y62" s="1056"/>
      <c r="Z62" s="605"/>
      <c r="AA62" s="605"/>
      <c r="AB62" s="753"/>
      <c r="AC62" s="622"/>
      <c r="AD62" s="572"/>
      <c r="AE62" s="6"/>
      <c r="AF62" s="6"/>
      <c r="AG62" s="613"/>
      <c r="AH62" s="614"/>
      <c r="AI62" s="6"/>
      <c r="AJ62" s="605"/>
      <c r="AK62" s="753"/>
      <c r="AM62" s="572"/>
      <c r="AN62" s="6"/>
      <c r="AO62" s="6"/>
      <c r="AP62" s="50"/>
      <c r="AQ62" s="613"/>
      <c r="AR62" s="614"/>
      <c r="AS62" s="6"/>
      <c r="AT62" s="605"/>
      <c r="AU62" s="964"/>
      <c r="AV62" s="753"/>
    </row>
    <row r="63" spans="1:48" ht="64.150000000000006" customHeight="1" x14ac:dyDescent="0.25">
      <c r="A63" s="2206">
        <v>45322</v>
      </c>
      <c r="B63" s="574">
        <v>1</v>
      </c>
      <c r="C63" s="706"/>
      <c r="D63" s="707"/>
      <c r="E63" s="707"/>
      <c r="F63" s="708"/>
      <c r="G63" s="717"/>
      <c r="H63" s="709"/>
      <c r="I63" s="692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/>
      <c r="X63" s="597"/>
      <c r="Y63" s="685"/>
      <c r="Z63" s="619"/>
      <c r="AA63" s="605"/>
      <c r="AB63" s="1055"/>
      <c r="AC63" s="622"/>
      <c r="AD63" s="572"/>
      <c r="AE63" s="6"/>
      <c r="AF63" s="6"/>
      <c r="AG63" s="597"/>
      <c r="AH63" s="685"/>
      <c r="AI63" s="619"/>
      <c r="AJ63" s="6"/>
      <c r="AK63" s="705"/>
      <c r="AM63" s="572"/>
      <c r="AN63" s="6"/>
      <c r="AO63" s="6"/>
      <c r="AP63" s="50"/>
      <c r="AQ63" s="597"/>
      <c r="AR63" s="685"/>
      <c r="AS63" s="619"/>
      <c r="AT63" s="619"/>
      <c r="AU63" s="965"/>
      <c r="AV63" s="705"/>
    </row>
    <row r="64" spans="1:48" ht="62.45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963"/>
      <c r="AQ64" s="636"/>
      <c r="AR64" s="637"/>
      <c r="AS64" s="638"/>
      <c r="AT64" s="638"/>
      <c r="AU64" s="966"/>
      <c r="AV64" s="713"/>
    </row>
    <row r="65" spans="1:43" ht="23.45" customHeight="1" x14ac:dyDescent="0.25">
      <c r="A65" s="524" t="s">
        <v>225</v>
      </c>
      <c r="C65" s="768">
        <f>SUM(C3:C64)</f>
        <v>3174</v>
      </c>
      <c r="D65" s="525">
        <f>SUM(D3:D64)</f>
        <v>494</v>
      </c>
      <c r="E65" s="768">
        <f>SUM(E3:E64)</f>
        <v>269</v>
      </c>
      <c r="F65" s="525">
        <f>SUM(F3:F64)</f>
        <v>0</v>
      </c>
      <c r="L65" s="525">
        <f>SUM(L3:L64)</f>
        <v>0</v>
      </c>
      <c r="M65" s="525">
        <f>SUM(M3:M64)</f>
        <v>261</v>
      </c>
      <c r="N65" s="525">
        <f>SUM(N3:N64)</f>
        <v>0</v>
      </c>
      <c r="O65" s="525">
        <f>SUM(O3:O64)</f>
        <v>0</v>
      </c>
      <c r="U65" s="525">
        <f>SUM(U3:U64)</f>
        <v>2498</v>
      </c>
      <c r="V65" s="525">
        <f>SUM(V3:V64)</f>
        <v>347</v>
      </c>
      <c r="W65" s="525">
        <f>SUM(W3:W64)</f>
        <v>1714</v>
      </c>
      <c r="X65" s="525">
        <f>SUM(X3:X64)</f>
        <v>0</v>
      </c>
      <c r="AD65" s="525">
        <f>SUM(AD3:AD64)</f>
        <v>905</v>
      </c>
      <c r="AE65" s="525">
        <f>SUM(AE3:AE64)</f>
        <v>128</v>
      </c>
      <c r="AF65" s="525">
        <f>SUM(AF3:AF64)</f>
        <v>1316</v>
      </c>
      <c r="AG65" s="525">
        <f>SUM(AG3:AG64)</f>
        <v>0</v>
      </c>
      <c r="AM65" s="525">
        <f>SUM(AM3:AM64)</f>
        <v>2134</v>
      </c>
      <c r="AN65" s="525">
        <f>SUM(AN3:AN64)</f>
        <v>250</v>
      </c>
      <c r="AO65" s="525">
        <f>SUM(AO3:AO64)</f>
        <v>90</v>
      </c>
      <c r="AP65" s="525"/>
      <c r="AQ65" s="525">
        <f>SUM(AQ3:AQ64)</f>
        <v>0</v>
      </c>
    </row>
    <row r="73" spans="1:43" ht="15.75" thickBot="1" x14ac:dyDescent="0.3"/>
    <row r="74" spans="1:43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3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3" ht="21.75" customHeight="1" x14ac:dyDescent="0.3">
      <c r="B76" s="651" t="s">
        <v>218</v>
      </c>
      <c r="C76" s="652">
        <f>C65</f>
        <v>3174</v>
      </c>
      <c r="D76" s="653">
        <f>C76/60</f>
        <v>52.9</v>
      </c>
      <c r="E76" s="652">
        <f>D65</f>
        <v>494</v>
      </c>
      <c r="F76" s="654">
        <f>E76/60</f>
        <v>8.2333333333333325</v>
      </c>
      <c r="G76" s="652">
        <f>E65</f>
        <v>269</v>
      </c>
      <c r="H76" s="653">
        <f>G76/60</f>
        <v>4.4833333333333334</v>
      </c>
      <c r="I76" s="652">
        <f>F65</f>
        <v>0</v>
      </c>
      <c r="J76" s="653">
        <f>I76/60</f>
        <v>0</v>
      </c>
    </row>
    <row r="77" spans="1:43" ht="19.5" customHeight="1" x14ac:dyDescent="0.3">
      <c r="B77" s="651" t="s">
        <v>219</v>
      </c>
      <c r="C77" s="655">
        <f>L65</f>
        <v>0</v>
      </c>
      <c r="D77" s="656">
        <f>C77/60</f>
        <v>0</v>
      </c>
      <c r="E77" s="655">
        <f>M65</f>
        <v>261</v>
      </c>
      <c r="F77" s="657">
        <f>E77/60</f>
        <v>4.3499999999999996</v>
      </c>
      <c r="G77" s="655">
        <f>N65</f>
        <v>0</v>
      </c>
      <c r="H77" s="656">
        <f>G77/60</f>
        <v>0</v>
      </c>
      <c r="I77" s="655">
        <f>O65</f>
        <v>0</v>
      </c>
      <c r="J77" s="656">
        <f>I77/60</f>
        <v>0</v>
      </c>
    </row>
    <row r="78" spans="1:43" ht="20.25" customHeight="1" x14ac:dyDescent="0.3">
      <c r="B78" s="651" t="s">
        <v>220</v>
      </c>
      <c r="C78" s="655">
        <f>U65</f>
        <v>2498</v>
      </c>
      <c r="D78" s="656">
        <f>C78/60</f>
        <v>41.633333333333333</v>
      </c>
      <c r="E78" s="655">
        <f>V65</f>
        <v>347</v>
      </c>
      <c r="F78" s="657">
        <f>E78/60</f>
        <v>5.7833333333333332</v>
      </c>
      <c r="G78" s="655">
        <f>W65</f>
        <v>1714</v>
      </c>
      <c r="H78" s="656">
        <f>G78/60</f>
        <v>28.566666666666666</v>
      </c>
      <c r="I78" s="655">
        <f>X65</f>
        <v>0</v>
      </c>
      <c r="J78" s="656">
        <f>I78/60</f>
        <v>0</v>
      </c>
    </row>
    <row r="79" spans="1:43" ht="22.5" customHeight="1" thickBot="1" x14ac:dyDescent="0.35">
      <c r="B79" s="651" t="s">
        <v>221</v>
      </c>
      <c r="C79" s="658">
        <f>AD65</f>
        <v>905</v>
      </c>
      <c r="D79" s="659">
        <f>C79/60</f>
        <v>15.083333333333334</v>
      </c>
      <c r="E79" s="658">
        <f>AE65</f>
        <v>128</v>
      </c>
      <c r="F79" s="660">
        <f>E79/60</f>
        <v>2.1333333333333333</v>
      </c>
      <c r="G79" s="658">
        <f>AF65</f>
        <v>1316</v>
      </c>
      <c r="H79" s="659">
        <f>G79/60</f>
        <v>21.933333333333334</v>
      </c>
      <c r="I79" s="658">
        <f>AG65</f>
        <v>0</v>
      </c>
      <c r="J79" s="659">
        <f>I79/60</f>
        <v>0</v>
      </c>
    </row>
    <row r="80" spans="1:43" ht="22.5" customHeight="1" thickBot="1" x14ac:dyDescent="0.35">
      <c r="B80" s="651" t="s">
        <v>488</v>
      </c>
      <c r="C80" s="850">
        <f>AM65</f>
        <v>2134</v>
      </c>
      <c r="D80" s="849">
        <f>C80/60</f>
        <v>35.56666666666667</v>
      </c>
      <c r="E80" s="850">
        <f>AN65</f>
        <v>250</v>
      </c>
      <c r="F80" s="851">
        <f>E80/60</f>
        <v>4.166666666666667</v>
      </c>
      <c r="G80" s="850">
        <f>AO65</f>
        <v>90</v>
      </c>
      <c r="H80" s="849">
        <f>G80/60</f>
        <v>1.5</v>
      </c>
      <c r="I80" s="850">
        <f>AQ65</f>
        <v>0</v>
      </c>
      <c r="J80" s="849">
        <f>I80/60</f>
        <v>0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145.18333333333334</v>
      </c>
      <c r="E82" s="666"/>
      <c r="F82" s="667">
        <f>SUM(F76:F80)</f>
        <v>24.666666666666668</v>
      </c>
      <c r="G82" s="666"/>
      <c r="H82" s="667">
        <f>SUM(H76:H80)</f>
        <v>56.483333333333334</v>
      </c>
      <c r="I82" s="666"/>
      <c r="J82" s="668">
        <f>AVERAGE(J76:J80)</f>
        <v>0</v>
      </c>
    </row>
  </sheetData>
  <mergeCells count="45">
    <mergeCell ref="A5:A6"/>
    <mergeCell ref="C1:F1"/>
    <mergeCell ref="G1:J1"/>
    <mergeCell ref="L1:O1"/>
    <mergeCell ref="P1:S1"/>
    <mergeCell ref="AD1:AG1"/>
    <mergeCell ref="AH1:AK1"/>
    <mergeCell ref="AM1:AQ1"/>
    <mergeCell ref="AR1:AV1"/>
    <mergeCell ref="A3:A4"/>
    <mergeCell ref="U1:X1"/>
    <mergeCell ref="Y1:AB1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</mergeCells>
  <pageMargins left="0.7" right="0.7" top="0.75" bottom="0.75" header="0.3" footer="0.3"/>
  <pageSetup paperSize="9" orientation="portrait" horizontalDpi="180" verticalDpi="18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zoomScale="60" zoomScaleNormal="6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Y46" sqref="Y46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7.285156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3" style="524" customWidth="1"/>
    <col min="17" max="17" width="27.28515625" style="524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2.42578125" style="524" customWidth="1"/>
    <col min="28" max="28" width="27" style="524" customWidth="1"/>
    <col min="29" max="33" width="10.7109375" style="524" customWidth="1"/>
    <col min="34" max="34" width="31.28515625" style="524" customWidth="1"/>
    <col min="35" max="35" width="18.57031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3" width="10.7109375" style="524" customWidth="1"/>
    <col min="44" max="44" width="21.140625" style="524" customWidth="1"/>
    <col min="45" max="45" width="26.28515625" style="524" customWidth="1"/>
    <col min="46" max="46" width="27.140625" style="524" customWidth="1"/>
    <col min="47" max="47" width="24.42578125" style="524" customWidth="1"/>
    <col min="48" max="48" width="26.5703125" style="524" customWidth="1"/>
    <col min="49" max="16384" width="8.85546875" style="524"/>
  </cols>
  <sheetData>
    <row r="1" spans="1:48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0"/>
      <c r="AR1" s="2252" t="s">
        <v>206</v>
      </c>
      <c r="AS1" s="2252"/>
      <c r="AT1" s="2252"/>
      <c r="AU1" s="2252"/>
      <c r="AV1" s="2253"/>
    </row>
    <row r="2" spans="1:48" ht="42.6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6" t="s">
        <v>199</v>
      </c>
      <c r="AI2" s="984" t="s">
        <v>200</v>
      </c>
      <c r="AJ2" s="984" t="s">
        <v>201</v>
      </c>
      <c r="AK2" s="984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4" t="s">
        <v>204</v>
      </c>
      <c r="AR2" s="986" t="s">
        <v>199</v>
      </c>
      <c r="AS2" s="984" t="s">
        <v>200</v>
      </c>
      <c r="AT2" s="984" t="s">
        <v>201</v>
      </c>
      <c r="AU2" s="984" t="s">
        <v>204</v>
      </c>
      <c r="AV2" s="984" t="s">
        <v>204</v>
      </c>
    </row>
    <row r="3" spans="1:48" ht="78" customHeight="1" x14ac:dyDescent="0.25">
      <c r="A3" s="2206">
        <v>45352</v>
      </c>
      <c r="B3" s="1065">
        <v>1</v>
      </c>
      <c r="C3" s="592"/>
      <c r="D3" s="593">
        <v>8</v>
      </c>
      <c r="E3" s="6"/>
      <c r="F3" s="594"/>
      <c r="G3" s="685"/>
      <c r="H3" s="619" t="s">
        <v>276</v>
      </c>
      <c r="I3" s="620"/>
      <c r="J3" s="686"/>
      <c r="K3" s="622"/>
      <c r="L3" s="612"/>
      <c r="M3" s="630"/>
      <c r="N3" s="630"/>
      <c r="O3" s="628"/>
      <c r="P3" s="629"/>
      <c r="Q3" s="699"/>
      <c r="R3" s="699"/>
      <c r="S3" s="628"/>
      <c r="T3" s="622"/>
      <c r="U3" s="612">
        <v>736</v>
      </c>
      <c r="V3" s="630"/>
      <c r="W3" s="6"/>
      <c r="X3" s="613"/>
      <c r="Y3" s="1075" t="s">
        <v>865</v>
      </c>
      <c r="Z3" s="629"/>
      <c r="AA3" s="620"/>
      <c r="AB3" s="720"/>
      <c r="AC3" s="622"/>
      <c r="AD3" s="612"/>
      <c r="AE3" s="630"/>
      <c r="AF3" s="6"/>
      <c r="AG3" s="628"/>
      <c r="AH3" s="629"/>
      <c r="AI3" s="629"/>
      <c r="AJ3" s="605"/>
      <c r="AK3" s="628"/>
      <c r="AM3" s="612"/>
      <c r="AN3" s="630"/>
      <c r="AO3" s="6">
        <v>45</v>
      </c>
      <c r="AP3" s="962"/>
      <c r="AQ3" s="628"/>
      <c r="AR3" s="629"/>
      <c r="AS3" s="648"/>
      <c r="AT3" s="6" t="s">
        <v>97</v>
      </c>
      <c r="AU3" s="962"/>
      <c r="AV3" s="628"/>
    </row>
    <row r="4" spans="1:48" ht="70.150000000000006" customHeight="1" x14ac:dyDescent="0.25">
      <c r="A4" s="2205"/>
      <c r="B4" s="574">
        <v>2</v>
      </c>
      <c r="C4" s="595"/>
      <c r="D4" s="596"/>
      <c r="E4" s="596"/>
      <c r="F4" s="597"/>
      <c r="G4" s="685"/>
      <c r="H4" s="619"/>
      <c r="I4" s="848"/>
      <c r="J4" s="687"/>
      <c r="K4" s="622"/>
      <c r="L4" s="572"/>
      <c r="M4" s="6"/>
      <c r="N4" s="6"/>
      <c r="O4" s="613"/>
      <c r="P4" s="614"/>
      <c r="Q4" s="619"/>
      <c r="R4" s="1071"/>
      <c r="S4" s="613"/>
      <c r="T4" s="622"/>
      <c r="U4" s="572">
        <v>720</v>
      </c>
      <c r="V4" s="605"/>
      <c r="W4" s="6"/>
      <c r="X4" s="613"/>
      <c r="Y4" s="1075" t="s">
        <v>865</v>
      </c>
      <c r="Z4" s="619"/>
      <c r="AA4" s="698"/>
      <c r="AB4" s="722"/>
      <c r="AC4" s="622"/>
      <c r="AD4" s="572"/>
      <c r="AE4" s="6">
        <v>5</v>
      </c>
      <c r="AF4" s="6"/>
      <c r="AG4" s="613"/>
      <c r="AH4" s="614"/>
      <c r="AI4" s="620" t="s">
        <v>866</v>
      </c>
      <c r="AJ4" s="6"/>
      <c r="AK4" s="613"/>
      <c r="AM4" s="572"/>
      <c r="AN4" s="6"/>
      <c r="AO4" s="6"/>
      <c r="AP4" s="50"/>
      <c r="AQ4" s="613"/>
      <c r="AR4" s="614"/>
      <c r="AS4" s="620"/>
      <c r="AT4" s="6"/>
      <c r="AU4" s="50"/>
      <c r="AV4" s="613"/>
    </row>
    <row r="5" spans="1:48" ht="60" customHeight="1" x14ac:dyDescent="0.25">
      <c r="A5" s="2206">
        <v>45353</v>
      </c>
      <c r="B5" s="574">
        <v>1</v>
      </c>
      <c r="C5" s="595"/>
      <c r="D5" s="596"/>
      <c r="E5" s="596">
        <v>13</v>
      </c>
      <c r="F5" s="597"/>
      <c r="G5" s="684"/>
      <c r="H5" s="684"/>
      <c r="I5" s="848" t="s">
        <v>152</v>
      </c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>
        <v>720</v>
      </c>
      <c r="V5" s="6"/>
      <c r="W5" s="6"/>
      <c r="X5" s="613"/>
      <c r="Y5" s="1075" t="s">
        <v>865</v>
      </c>
      <c r="Z5" s="6"/>
      <c r="AA5" s="698"/>
      <c r="AB5" s="723"/>
      <c r="AC5" s="622"/>
      <c r="AD5" s="572"/>
      <c r="AE5" s="6"/>
      <c r="AF5" s="6"/>
      <c r="AG5" s="613"/>
      <c r="AH5" s="614"/>
      <c r="AI5" s="6"/>
      <c r="AJ5" s="1036"/>
      <c r="AK5" s="613"/>
      <c r="AM5" s="572"/>
      <c r="AN5" s="6"/>
      <c r="AO5" s="6"/>
      <c r="AP5" s="50"/>
      <c r="AQ5" s="613"/>
      <c r="AR5" s="614"/>
      <c r="AS5" s="6"/>
      <c r="AT5" s="605"/>
      <c r="AU5" s="828"/>
      <c r="AV5" s="634"/>
    </row>
    <row r="6" spans="1:48" ht="80.45" customHeight="1" x14ac:dyDescent="0.25">
      <c r="A6" s="2205"/>
      <c r="B6" s="574">
        <v>2</v>
      </c>
      <c r="C6" s="595"/>
      <c r="D6" s="596">
        <v>10</v>
      </c>
      <c r="E6" s="596">
        <v>10</v>
      </c>
      <c r="F6" s="597"/>
      <c r="G6" s="685"/>
      <c r="H6" s="620" t="s">
        <v>811</v>
      </c>
      <c r="I6" s="848" t="s">
        <v>152</v>
      </c>
      <c r="J6" s="687"/>
      <c r="K6" s="622"/>
      <c r="L6" s="572"/>
      <c r="M6" s="6"/>
      <c r="N6" s="6"/>
      <c r="O6" s="613"/>
      <c r="P6" s="614"/>
      <c r="Q6" s="619"/>
      <c r="R6" s="6"/>
      <c r="S6" s="613"/>
      <c r="T6" s="622"/>
      <c r="U6" s="572">
        <v>720</v>
      </c>
      <c r="V6" s="6"/>
      <c r="W6" s="6"/>
      <c r="X6" s="613"/>
      <c r="Y6" s="1075" t="s">
        <v>865</v>
      </c>
      <c r="Z6" s="620"/>
      <c r="AA6" s="698"/>
      <c r="AB6" s="613"/>
      <c r="AC6" s="622"/>
      <c r="AD6" s="572">
        <v>9</v>
      </c>
      <c r="AE6" s="6"/>
      <c r="AF6" s="6"/>
      <c r="AG6" s="613"/>
      <c r="AH6" s="614" t="s">
        <v>288</v>
      </c>
      <c r="AI6" s="6"/>
      <c r="AJ6" s="6"/>
      <c r="AK6" s="613"/>
      <c r="AM6" s="572"/>
      <c r="AN6" s="6"/>
      <c r="AO6" s="6"/>
      <c r="AP6" s="50"/>
      <c r="AQ6" s="613"/>
      <c r="AR6" s="614"/>
      <c r="AS6" s="6"/>
      <c r="AT6" s="605"/>
      <c r="AU6" s="828"/>
      <c r="AV6" s="634"/>
    </row>
    <row r="7" spans="1:48" ht="71.45" customHeight="1" x14ac:dyDescent="0.25">
      <c r="A7" s="2206">
        <v>45354</v>
      </c>
      <c r="B7" s="574">
        <v>1</v>
      </c>
      <c r="C7" s="595"/>
      <c r="D7" s="596"/>
      <c r="E7" s="596"/>
      <c r="F7" s="597"/>
      <c r="G7" s="685"/>
      <c r="H7" s="620"/>
      <c r="I7" s="848"/>
      <c r="J7" s="687"/>
      <c r="K7" s="622"/>
      <c r="L7" s="572"/>
      <c r="M7" s="614"/>
      <c r="N7" s="6"/>
      <c r="O7" s="613"/>
      <c r="P7" s="614"/>
      <c r="Q7" s="1010"/>
      <c r="R7" s="6"/>
      <c r="S7" s="613"/>
      <c r="T7" s="622"/>
      <c r="U7" s="572">
        <v>720</v>
      </c>
      <c r="V7" s="6"/>
      <c r="W7" s="6"/>
      <c r="X7" s="613"/>
      <c r="Y7" s="1075" t="s">
        <v>865</v>
      </c>
      <c r="Z7" s="620"/>
      <c r="AA7" s="698"/>
      <c r="AB7" s="613"/>
      <c r="AC7" s="622"/>
      <c r="AD7" s="572"/>
      <c r="AE7" s="6"/>
      <c r="AF7" s="6"/>
      <c r="AG7" s="613"/>
      <c r="AH7" s="614"/>
      <c r="AI7" s="1010"/>
      <c r="AJ7" s="6"/>
      <c r="AK7" s="613"/>
      <c r="AM7" s="572"/>
      <c r="AN7" s="6"/>
      <c r="AO7" s="6"/>
      <c r="AP7" s="50"/>
      <c r="AQ7" s="613"/>
      <c r="AR7" s="614"/>
      <c r="AS7" s="1010"/>
      <c r="AT7" s="620"/>
      <c r="AU7" s="692"/>
      <c r="AV7" s="634"/>
    </row>
    <row r="8" spans="1:48" ht="69.599999999999994" customHeight="1" x14ac:dyDescent="0.25">
      <c r="A8" s="2205"/>
      <c r="B8" s="574">
        <v>2</v>
      </c>
      <c r="C8" s="595"/>
      <c r="D8" s="596">
        <v>5</v>
      </c>
      <c r="E8" s="596">
        <v>7</v>
      </c>
      <c r="F8" s="597"/>
      <c r="G8" s="684"/>
      <c r="H8" s="620" t="s">
        <v>811</v>
      </c>
      <c r="I8" s="848" t="s">
        <v>152</v>
      </c>
      <c r="J8" s="635"/>
      <c r="K8" s="622"/>
      <c r="L8" s="572"/>
      <c r="M8" s="6"/>
      <c r="N8" s="6"/>
      <c r="O8" s="613"/>
      <c r="P8" s="1069"/>
      <c r="Q8" s="6"/>
      <c r="R8" s="605"/>
      <c r="S8" s="635"/>
      <c r="T8" s="622"/>
      <c r="U8" s="572">
        <v>676</v>
      </c>
      <c r="V8" s="831"/>
      <c r="W8" s="614"/>
      <c r="X8" s="613"/>
      <c r="Y8" s="1075" t="s">
        <v>867</v>
      </c>
      <c r="Z8" s="6"/>
      <c r="AA8" s="698"/>
      <c r="AB8" s="635"/>
      <c r="AC8" s="622"/>
      <c r="AD8" s="572"/>
      <c r="AE8" s="6"/>
      <c r="AF8" s="6"/>
      <c r="AG8" s="613"/>
      <c r="AH8" s="614"/>
      <c r="AI8" s="605"/>
      <c r="AJ8" s="620"/>
      <c r="AK8" s="635"/>
      <c r="AM8" s="572"/>
      <c r="AN8" s="6"/>
      <c r="AO8" s="6"/>
      <c r="AP8" s="50"/>
      <c r="AQ8" s="613"/>
      <c r="AR8" s="614"/>
      <c r="AS8" s="6"/>
      <c r="AT8" s="6"/>
      <c r="AU8" s="50"/>
      <c r="AV8" s="634"/>
    </row>
    <row r="9" spans="1:48" ht="76.900000000000006" customHeight="1" x14ac:dyDescent="0.25">
      <c r="A9" s="2206">
        <v>45355</v>
      </c>
      <c r="B9" s="574">
        <v>1</v>
      </c>
      <c r="C9" s="595"/>
      <c r="D9" s="596"/>
      <c r="E9" s="596">
        <v>12</v>
      </c>
      <c r="F9" s="597"/>
      <c r="G9" s="684"/>
      <c r="H9" s="619"/>
      <c r="I9" s="848" t="s">
        <v>152</v>
      </c>
      <c r="J9" s="635"/>
      <c r="K9" s="622"/>
      <c r="L9" s="572"/>
      <c r="M9" s="6"/>
      <c r="N9" s="6"/>
      <c r="O9" s="613"/>
      <c r="P9" s="1069"/>
      <c r="Q9" s="6"/>
      <c r="R9" s="605"/>
      <c r="S9" s="635"/>
      <c r="T9" s="622"/>
      <c r="U9" s="572">
        <v>720</v>
      </c>
      <c r="V9" s="6"/>
      <c r="W9" s="6"/>
      <c r="X9" s="613"/>
      <c r="Y9" s="1075" t="s">
        <v>868</v>
      </c>
      <c r="Z9" s="6"/>
      <c r="AA9" s="698"/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/>
      <c r="AN9" s="6"/>
      <c r="AO9" s="6"/>
      <c r="AP9" s="50"/>
      <c r="AQ9" s="613"/>
      <c r="AR9" s="614"/>
      <c r="AS9" s="6"/>
      <c r="AT9" s="6"/>
      <c r="AU9" s="828"/>
      <c r="AV9" s="634"/>
    </row>
    <row r="10" spans="1:48" ht="67.150000000000006" customHeight="1" x14ac:dyDescent="0.25">
      <c r="A10" s="2205"/>
      <c r="B10" s="574">
        <v>2</v>
      </c>
      <c r="C10" s="595"/>
      <c r="D10" s="596"/>
      <c r="E10" s="596">
        <v>12</v>
      </c>
      <c r="F10" s="597"/>
      <c r="G10" s="684"/>
      <c r="H10" s="619"/>
      <c r="I10" s="848" t="s">
        <v>869</v>
      </c>
      <c r="J10" s="635"/>
      <c r="K10" s="622"/>
      <c r="L10" s="572"/>
      <c r="M10" s="6"/>
      <c r="N10" s="6"/>
      <c r="O10" s="613"/>
      <c r="P10" s="1069"/>
      <c r="Q10" s="6"/>
      <c r="R10" s="605"/>
      <c r="S10" s="635"/>
      <c r="T10" s="622"/>
      <c r="U10" s="572">
        <v>540</v>
      </c>
      <c r="V10" s="6"/>
      <c r="W10" s="6">
        <v>180</v>
      </c>
      <c r="X10" s="613"/>
      <c r="Y10" s="1075" t="s">
        <v>872</v>
      </c>
      <c r="Z10" s="1069"/>
      <c r="AA10" s="698" t="s">
        <v>239</v>
      </c>
      <c r="AB10" s="635"/>
      <c r="AC10" s="622"/>
      <c r="AD10" s="572"/>
      <c r="AE10" s="6"/>
      <c r="AF10" s="6">
        <v>12</v>
      </c>
      <c r="AG10" s="613"/>
      <c r="AH10" s="1069"/>
      <c r="AI10" s="605"/>
      <c r="AJ10" s="620" t="s">
        <v>871</v>
      </c>
      <c r="AK10" s="635"/>
      <c r="AM10" s="572"/>
      <c r="AN10" s="6"/>
      <c r="AO10" s="6">
        <v>10</v>
      </c>
      <c r="AP10" s="50"/>
      <c r="AQ10" s="613"/>
      <c r="AR10" s="614"/>
      <c r="AS10" s="6"/>
      <c r="AT10" s="605" t="s">
        <v>870</v>
      </c>
      <c r="AU10" s="50"/>
      <c r="AV10" s="634"/>
    </row>
    <row r="11" spans="1:48" ht="60" customHeight="1" x14ac:dyDescent="0.25">
      <c r="A11" s="2206">
        <v>45356</v>
      </c>
      <c r="B11" s="574">
        <v>1</v>
      </c>
      <c r="C11" s="595"/>
      <c r="D11" s="596"/>
      <c r="E11" s="596">
        <v>5</v>
      </c>
      <c r="F11" s="597"/>
      <c r="G11" s="684"/>
      <c r="H11" s="619"/>
      <c r="I11" s="848" t="s">
        <v>152</v>
      </c>
      <c r="J11" s="687"/>
      <c r="K11" s="622"/>
      <c r="L11" s="572"/>
      <c r="M11" s="6"/>
      <c r="N11" s="6"/>
      <c r="O11" s="613"/>
      <c r="P11" s="1069"/>
      <c r="Q11" s="6"/>
      <c r="R11" s="605"/>
      <c r="S11" s="613"/>
      <c r="T11" s="622"/>
      <c r="U11" s="572">
        <v>667</v>
      </c>
      <c r="V11" s="6"/>
      <c r="W11" s="6"/>
      <c r="X11" s="613"/>
      <c r="Y11" s="1075" t="s">
        <v>872</v>
      </c>
      <c r="Z11" s="6"/>
      <c r="AA11" s="698"/>
      <c r="AB11" s="613"/>
      <c r="AC11" s="622"/>
      <c r="AD11" s="572"/>
      <c r="AE11" s="6"/>
      <c r="AF11" s="6">
        <v>36</v>
      </c>
      <c r="AG11" s="613"/>
      <c r="AH11" s="614"/>
      <c r="AI11" s="6"/>
      <c r="AJ11" s="620" t="s">
        <v>871</v>
      </c>
      <c r="AK11" s="613"/>
      <c r="AM11" s="572"/>
      <c r="AN11" s="6"/>
      <c r="AO11" s="6"/>
      <c r="AP11" s="50"/>
      <c r="AQ11" s="613"/>
      <c r="AR11" s="614"/>
      <c r="AS11" s="6"/>
      <c r="AT11" s="6"/>
      <c r="AU11" s="50"/>
      <c r="AV11" s="634"/>
    </row>
    <row r="12" spans="1:48" ht="55.15" customHeight="1" x14ac:dyDescent="0.25">
      <c r="A12" s="2205"/>
      <c r="B12" s="574">
        <v>2</v>
      </c>
      <c r="C12" s="595"/>
      <c r="D12" s="596"/>
      <c r="E12" s="596">
        <v>15</v>
      </c>
      <c r="F12" s="597"/>
      <c r="G12" s="684"/>
      <c r="H12" s="619"/>
      <c r="I12" s="848" t="s">
        <v>325</v>
      </c>
      <c r="J12" s="635"/>
      <c r="K12" s="622"/>
      <c r="L12" s="572"/>
      <c r="M12" s="6"/>
      <c r="N12" s="6"/>
      <c r="O12" s="613"/>
      <c r="P12" s="1069"/>
      <c r="Q12" s="6"/>
      <c r="R12" s="605"/>
      <c r="S12" s="635"/>
      <c r="T12" s="622"/>
      <c r="U12" s="572">
        <v>643</v>
      </c>
      <c r="V12" s="6"/>
      <c r="W12" s="6"/>
      <c r="X12" s="613"/>
      <c r="Y12" s="1075" t="s">
        <v>873</v>
      </c>
      <c r="Z12" s="6"/>
      <c r="AA12" s="698"/>
      <c r="AB12" s="635"/>
      <c r="AC12" s="622"/>
      <c r="AD12" s="572"/>
      <c r="AE12" s="6"/>
      <c r="AF12" s="6">
        <v>42</v>
      </c>
      <c r="AG12" s="613"/>
      <c r="AH12" s="614"/>
      <c r="AI12" s="605"/>
      <c r="AJ12" s="605" t="s">
        <v>401</v>
      </c>
      <c r="AK12" s="635"/>
      <c r="AM12" s="572"/>
      <c r="AN12" s="6"/>
      <c r="AO12" s="6"/>
      <c r="AP12" s="50"/>
      <c r="AQ12" s="613"/>
      <c r="AR12" s="614"/>
      <c r="AS12" s="6"/>
      <c r="AT12" s="6"/>
      <c r="AU12" s="50"/>
      <c r="AV12" s="635"/>
    </row>
    <row r="13" spans="1:48" ht="34.9" customHeight="1" x14ac:dyDescent="0.25">
      <c r="A13" s="2206">
        <v>45357</v>
      </c>
      <c r="B13" s="574">
        <v>1</v>
      </c>
      <c r="C13" s="595"/>
      <c r="D13" s="596"/>
      <c r="E13" s="596">
        <v>5</v>
      </c>
      <c r="F13" s="597"/>
      <c r="G13" s="684"/>
      <c r="H13" s="619"/>
      <c r="I13" s="848" t="s">
        <v>304</v>
      </c>
      <c r="J13" s="635"/>
      <c r="K13" s="622"/>
      <c r="L13" s="572"/>
      <c r="M13" s="6"/>
      <c r="N13" s="6"/>
      <c r="O13" s="597"/>
      <c r="P13" s="1069"/>
      <c r="Q13" s="6"/>
      <c r="R13" s="605"/>
      <c r="S13" s="635"/>
      <c r="T13" s="622"/>
      <c r="U13" s="572">
        <v>252</v>
      </c>
      <c r="V13" s="6"/>
      <c r="W13" s="6">
        <v>10</v>
      </c>
      <c r="X13" s="597"/>
      <c r="Y13" s="1075" t="s">
        <v>874</v>
      </c>
      <c r="Z13" s="605"/>
      <c r="AA13" s="698" t="s">
        <v>401</v>
      </c>
      <c r="AB13" s="635"/>
      <c r="AC13" s="622"/>
      <c r="AD13" s="572"/>
      <c r="AE13" s="6"/>
      <c r="AF13" s="6">
        <v>22</v>
      </c>
      <c r="AG13" s="597"/>
      <c r="AH13" s="614"/>
      <c r="AI13" s="6"/>
      <c r="AJ13" s="605" t="s">
        <v>401</v>
      </c>
      <c r="AK13" s="635"/>
      <c r="AM13" s="572"/>
      <c r="AN13" s="6"/>
      <c r="AO13" s="6">
        <v>5</v>
      </c>
      <c r="AP13" s="50"/>
      <c r="AQ13" s="597"/>
      <c r="AR13" s="614"/>
      <c r="AS13" s="6"/>
      <c r="AT13" s="6" t="s">
        <v>152</v>
      </c>
      <c r="AU13" s="50"/>
      <c r="AV13" s="635"/>
    </row>
    <row r="14" spans="1:48" ht="49.15" customHeight="1" x14ac:dyDescent="0.25">
      <c r="A14" s="2205"/>
      <c r="B14" s="574">
        <v>2</v>
      </c>
      <c r="C14" s="595"/>
      <c r="D14" s="596"/>
      <c r="E14" s="596">
        <v>39</v>
      </c>
      <c r="F14" s="597"/>
      <c r="G14" s="684"/>
      <c r="H14" s="620"/>
      <c r="I14" s="848" t="s">
        <v>401</v>
      </c>
      <c r="J14" s="635"/>
      <c r="K14" s="622"/>
      <c r="L14" s="572"/>
      <c r="M14" s="6"/>
      <c r="N14" s="6"/>
      <c r="O14" s="597"/>
      <c r="P14" s="614"/>
      <c r="Q14" s="6"/>
      <c r="R14" s="6"/>
      <c r="S14" s="635"/>
      <c r="T14" s="622"/>
      <c r="U14" s="572"/>
      <c r="V14" s="6"/>
      <c r="W14" s="6"/>
      <c r="X14" s="597"/>
      <c r="Y14" s="1069"/>
      <c r="Z14" s="605"/>
      <c r="AA14" s="698"/>
      <c r="AB14" s="635"/>
      <c r="AC14" s="622"/>
      <c r="AD14" s="572"/>
      <c r="AE14" s="6"/>
      <c r="AF14" s="6"/>
      <c r="AG14" s="597"/>
      <c r="AH14" s="1069"/>
      <c r="AI14" s="6"/>
      <c r="AJ14" s="6"/>
      <c r="AK14" s="635"/>
      <c r="AM14" s="572"/>
      <c r="AN14" s="6"/>
      <c r="AO14" s="6"/>
      <c r="AP14" s="50"/>
      <c r="AQ14" s="597"/>
      <c r="AR14" s="1069"/>
      <c r="AS14" s="6"/>
      <c r="AT14" s="6"/>
      <c r="AU14" s="50"/>
      <c r="AV14" s="635"/>
    </row>
    <row r="15" spans="1:48" ht="48" customHeight="1" x14ac:dyDescent="0.25">
      <c r="A15" s="2206">
        <v>45358</v>
      </c>
      <c r="B15" s="574">
        <v>1</v>
      </c>
      <c r="C15" s="595"/>
      <c r="D15" s="596"/>
      <c r="E15" s="6">
        <v>31</v>
      </c>
      <c r="F15" s="597"/>
      <c r="G15" s="684"/>
      <c r="H15" s="620"/>
      <c r="I15" s="848" t="s">
        <v>325</v>
      </c>
      <c r="J15" s="635"/>
      <c r="K15" s="622"/>
      <c r="L15" s="572"/>
      <c r="M15" s="6"/>
      <c r="N15" s="6"/>
      <c r="O15" s="597"/>
      <c r="P15" s="685"/>
      <c r="Q15" s="620"/>
      <c r="R15" s="620"/>
      <c r="S15" s="635"/>
      <c r="T15" s="622"/>
      <c r="U15" s="572"/>
      <c r="V15" s="6"/>
      <c r="W15" s="6">
        <v>10</v>
      </c>
      <c r="X15" s="597"/>
      <c r="Y15" s="685"/>
      <c r="Z15" s="620"/>
      <c r="AA15" s="698" t="s">
        <v>401</v>
      </c>
      <c r="AB15" s="635"/>
      <c r="AC15" s="622"/>
      <c r="AD15" s="572"/>
      <c r="AE15" s="6"/>
      <c r="AF15" s="622">
        <v>15</v>
      </c>
      <c r="AG15" s="597"/>
      <c r="AH15" s="685"/>
      <c r="AI15" s="620"/>
      <c r="AJ15" s="605" t="s">
        <v>401</v>
      </c>
      <c r="AK15" s="635"/>
      <c r="AM15" s="572"/>
      <c r="AN15" s="6"/>
      <c r="AO15" s="622"/>
      <c r="AP15" s="597"/>
      <c r="AQ15" s="685"/>
      <c r="AR15" s="620"/>
      <c r="AS15" s="620"/>
      <c r="AT15" s="620"/>
      <c r="AU15" s="635"/>
      <c r="AV15" s="635"/>
    </row>
    <row r="16" spans="1:48" ht="54.6" customHeight="1" x14ac:dyDescent="0.25">
      <c r="A16" s="2205"/>
      <c r="B16" s="574">
        <v>2</v>
      </c>
      <c r="C16" s="595"/>
      <c r="D16" s="596"/>
      <c r="E16" s="596">
        <v>10</v>
      </c>
      <c r="F16" s="597"/>
      <c r="G16" s="685"/>
      <c r="H16" s="830"/>
      <c r="I16" s="848" t="s">
        <v>401</v>
      </c>
      <c r="J16" s="635"/>
      <c r="K16" s="622"/>
      <c r="L16" s="572">
        <v>30</v>
      </c>
      <c r="M16" s="6">
        <v>169</v>
      </c>
      <c r="N16" s="6"/>
      <c r="O16" s="597"/>
      <c r="P16" s="684" t="s">
        <v>876</v>
      </c>
      <c r="Q16" s="830" t="s">
        <v>875</v>
      </c>
      <c r="R16" s="620"/>
      <c r="S16" s="635"/>
      <c r="T16" s="622"/>
      <c r="U16" s="572"/>
      <c r="V16" s="6"/>
      <c r="W16" s="6"/>
      <c r="X16" s="597"/>
      <c r="Y16" s="684"/>
      <c r="Z16" s="830"/>
      <c r="AA16" s="848"/>
      <c r="AB16" s="635"/>
      <c r="AC16" s="622"/>
      <c r="AD16" s="572"/>
      <c r="AE16" s="6"/>
      <c r="AF16" s="6">
        <v>10</v>
      </c>
      <c r="AG16" s="597"/>
      <c r="AH16" s="685"/>
      <c r="AI16" s="830"/>
      <c r="AJ16" s="605" t="s">
        <v>401</v>
      </c>
      <c r="AK16" s="635"/>
      <c r="AM16" s="572"/>
      <c r="AN16" s="6"/>
      <c r="AO16" s="6"/>
      <c r="AP16" s="597"/>
      <c r="AQ16" s="684"/>
      <c r="AR16" s="830"/>
      <c r="AS16" s="620"/>
      <c r="AT16" s="620"/>
      <c r="AU16" s="692"/>
      <c r="AV16" s="635"/>
    </row>
    <row r="17" spans="1:48" ht="66" customHeight="1" x14ac:dyDescent="0.25">
      <c r="A17" s="2206">
        <v>45359</v>
      </c>
      <c r="B17" s="644">
        <v>1</v>
      </c>
      <c r="C17" s="595"/>
      <c r="D17" s="596"/>
      <c r="E17" s="596">
        <v>10</v>
      </c>
      <c r="F17" s="597"/>
      <c r="G17" s="685"/>
      <c r="H17" s="619"/>
      <c r="I17" s="848" t="s">
        <v>401</v>
      </c>
      <c r="J17" s="635"/>
      <c r="K17" s="622"/>
      <c r="L17" s="572"/>
      <c r="M17" s="6"/>
      <c r="N17" s="6"/>
      <c r="O17" s="597"/>
      <c r="P17" s="685"/>
      <c r="Q17" s="619"/>
      <c r="R17" s="620"/>
      <c r="S17" s="635"/>
      <c r="T17" s="622"/>
      <c r="U17" s="572"/>
      <c r="V17" s="6"/>
      <c r="W17" s="6">
        <v>52</v>
      </c>
      <c r="X17" s="597"/>
      <c r="Y17" s="684"/>
      <c r="Z17" s="619"/>
      <c r="AA17" s="848" t="s">
        <v>831</v>
      </c>
      <c r="AB17" s="635"/>
      <c r="AC17" s="622"/>
      <c r="AD17" s="572"/>
      <c r="AE17" s="6"/>
      <c r="AF17" s="6"/>
      <c r="AG17" s="597"/>
      <c r="AH17" s="685"/>
      <c r="AI17" s="619"/>
      <c r="AJ17" s="620"/>
      <c r="AK17" s="635"/>
      <c r="AM17" s="572"/>
      <c r="AN17" s="6"/>
      <c r="AO17" s="6"/>
      <c r="AP17" s="597"/>
      <c r="AQ17" s="685"/>
      <c r="AR17" s="619"/>
      <c r="AS17" s="620"/>
      <c r="AT17" s="698"/>
      <c r="AU17" s="635"/>
      <c r="AV17" s="635"/>
    </row>
    <row r="18" spans="1:48" ht="49.9" customHeight="1" x14ac:dyDescent="0.25">
      <c r="A18" s="2205"/>
      <c r="B18" s="574">
        <v>2</v>
      </c>
      <c r="C18" s="595"/>
      <c r="D18" s="596"/>
      <c r="E18" s="596"/>
      <c r="F18" s="597"/>
      <c r="G18" s="684"/>
      <c r="H18" s="830"/>
      <c r="I18" s="848"/>
      <c r="J18" s="635"/>
      <c r="K18" s="622"/>
      <c r="L18" s="572"/>
      <c r="M18" s="6"/>
      <c r="N18" s="6"/>
      <c r="O18" s="597"/>
      <c r="P18" s="684"/>
      <c r="Q18" s="620"/>
      <c r="R18" s="619"/>
      <c r="S18" s="635"/>
      <c r="T18" s="622"/>
      <c r="U18" s="572"/>
      <c r="V18" s="6"/>
      <c r="W18" s="596">
        <v>45</v>
      </c>
      <c r="X18" s="597"/>
      <c r="Y18" s="684"/>
      <c r="Z18" s="620"/>
      <c r="AA18" s="848" t="s">
        <v>877</v>
      </c>
      <c r="AB18" s="635"/>
      <c r="AC18" s="622"/>
      <c r="AD18" s="572"/>
      <c r="AE18" s="6"/>
      <c r="AF18" s="6"/>
      <c r="AG18" s="597"/>
      <c r="AH18" s="684"/>
      <c r="AI18" s="620"/>
      <c r="AJ18" s="619"/>
      <c r="AK18" s="635"/>
      <c r="AM18" s="572"/>
      <c r="AN18" s="6"/>
      <c r="AO18" s="6"/>
      <c r="AP18" s="50"/>
      <c r="AQ18" s="597"/>
      <c r="AR18" s="684"/>
      <c r="AS18" s="620"/>
      <c r="AT18" s="698"/>
      <c r="AU18" s="830"/>
      <c r="AV18" s="635"/>
    </row>
    <row r="19" spans="1:48" ht="33.6" customHeight="1" x14ac:dyDescent="0.25">
      <c r="A19" s="2206">
        <v>45360</v>
      </c>
      <c r="B19" s="574">
        <v>1</v>
      </c>
      <c r="C19" s="622"/>
      <c r="D19" s="596"/>
      <c r="E19" s="596"/>
      <c r="F19" s="597"/>
      <c r="G19" s="567"/>
      <c r="H19" s="6"/>
      <c r="I19" s="848"/>
      <c r="J19" s="635"/>
      <c r="K19" s="622"/>
      <c r="L19" s="572"/>
      <c r="M19" s="6"/>
      <c r="N19" s="6"/>
      <c r="O19" s="597"/>
      <c r="P19" s="572"/>
      <c r="Q19" s="6"/>
      <c r="R19" s="6"/>
      <c r="S19" s="635"/>
      <c r="T19" s="622"/>
      <c r="U19" s="572"/>
      <c r="V19" s="6"/>
      <c r="W19" s="6">
        <v>44</v>
      </c>
      <c r="X19" s="597"/>
      <c r="Y19" s="572"/>
      <c r="Z19" s="605"/>
      <c r="AA19" s="848" t="s">
        <v>831</v>
      </c>
      <c r="AB19" s="635"/>
      <c r="AC19" s="622"/>
      <c r="AD19" s="572"/>
      <c r="AE19" s="6"/>
      <c r="AF19" s="6"/>
      <c r="AG19" s="597"/>
      <c r="AH19" s="572"/>
      <c r="AI19" s="6"/>
      <c r="AJ19" s="698"/>
      <c r="AK19" s="635"/>
      <c r="AM19" s="572"/>
      <c r="AN19" s="6"/>
      <c r="AO19" s="6"/>
      <c r="AP19" s="50"/>
      <c r="AQ19" s="597"/>
      <c r="AR19" s="572"/>
      <c r="AS19" s="6"/>
      <c r="AT19" s="620"/>
      <c r="AU19" s="828"/>
      <c r="AV19" s="635"/>
    </row>
    <row r="20" spans="1:48" ht="31.15" customHeight="1" x14ac:dyDescent="0.25">
      <c r="A20" s="2205"/>
      <c r="B20" s="574">
        <v>2</v>
      </c>
      <c r="C20" s="595"/>
      <c r="D20" s="596">
        <v>5</v>
      </c>
      <c r="E20" s="596">
        <v>15</v>
      </c>
      <c r="F20" s="597"/>
      <c r="G20" s="567"/>
      <c r="H20" s="1077" t="s">
        <v>520</v>
      </c>
      <c r="I20" s="848" t="s">
        <v>831</v>
      </c>
      <c r="J20" s="635"/>
      <c r="K20" s="622"/>
      <c r="L20" s="572"/>
      <c r="M20" s="6"/>
      <c r="N20" s="6"/>
      <c r="O20" s="597"/>
      <c r="P20" s="572"/>
      <c r="Q20" s="6"/>
      <c r="R20" s="724"/>
      <c r="S20" s="635"/>
      <c r="T20" s="622"/>
      <c r="U20" s="572"/>
      <c r="V20" s="6"/>
      <c r="W20" s="6">
        <v>17</v>
      </c>
      <c r="X20" s="597"/>
      <c r="Y20" s="572"/>
      <c r="Z20" s="605"/>
      <c r="AA20" s="698" t="s">
        <v>401</v>
      </c>
      <c r="AB20" s="635"/>
      <c r="AC20" s="622"/>
      <c r="AD20" s="572"/>
      <c r="AE20" s="6"/>
      <c r="AF20" s="6"/>
      <c r="AG20" s="597"/>
      <c r="AH20" s="572"/>
      <c r="AI20" s="605"/>
      <c r="AJ20" s="698"/>
      <c r="AK20" s="635"/>
      <c r="AM20" s="572"/>
      <c r="AN20" s="6"/>
      <c r="AO20" s="6"/>
      <c r="AP20" s="50"/>
      <c r="AQ20" s="597"/>
      <c r="AR20" s="572"/>
      <c r="AS20" s="605"/>
      <c r="AT20" s="605"/>
      <c r="AU20" s="1038"/>
      <c r="AV20" s="635"/>
    </row>
    <row r="21" spans="1:48" ht="39.6" customHeight="1" x14ac:dyDescent="0.25">
      <c r="A21" s="2206">
        <v>45361</v>
      </c>
      <c r="B21" s="574">
        <v>1</v>
      </c>
      <c r="C21" s="595"/>
      <c r="D21" s="596"/>
      <c r="E21" s="596">
        <v>25</v>
      </c>
      <c r="F21" s="597"/>
      <c r="G21" s="688"/>
      <c r="H21" s="619"/>
      <c r="I21" s="848" t="s">
        <v>879</v>
      </c>
      <c r="J21" s="635"/>
      <c r="K21" s="622"/>
      <c r="L21" s="572"/>
      <c r="M21" s="6"/>
      <c r="N21" s="6"/>
      <c r="O21" s="597"/>
      <c r="P21" s="572"/>
      <c r="Q21" s="6"/>
      <c r="R21" s="6"/>
      <c r="S21" s="635"/>
      <c r="T21" s="622"/>
      <c r="U21" s="572"/>
      <c r="V21" s="6"/>
      <c r="W21" s="6">
        <v>59</v>
      </c>
      <c r="X21" s="597"/>
      <c r="Y21" s="567"/>
      <c r="Z21" s="6"/>
      <c r="AA21" s="848" t="s">
        <v>878</v>
      </c>
      <c r="AB21" s="635"/>
      <c r="AC21" s="622"/>
      <c r="AD21" s="572"/>
      <c r="AE21" s="6"/>
      <c r="AF21" s="6"/>
      <c r="AG21" s="597"/>
      <c r="AH21" s="572"/>
      <c r="AI21" s="6"/>
      <c r="AJ21" s="848"/>
      <c r="AK21" s="726"/>
      <c r="AM21" s="572"/>
      <c r="AN21" s="6"/>
      <c r="AO21" s="6"/>
      <c r="AP21" s="50"/>
      <c r="AQ21" s="597"/>
      <c r="AR21" s="572"/>
      <c r="AS21" s="605"/>
      <c r="AT21" s="50"/>
      <c r="AU21" s="50"/>
      <c r="AV21" s="635"/>
    </row>
    <row r="22" spans="1:48" ht="49.9" customHeight="1" x14ac:dyDescent="0.25">
      <c r="A22" s="2205"/>
      <c r="B22" s="574">
        <v>2</v>
      </c>
      <c r="C22" s="595"/>
      <c r="D22" s="596"/>
      <c r="E22" s="596">
        <v>6</v>
      </c>
      <c r="F22" s="597"/>
      <c r="G22" s="1067"/>
      <c r="H22" s="620"/>
      <c r="I22" s="848" t="s">
        <v>325</v>
      </c>
      <c r="J22" s="635"/>
      <c r="K22" s="622"/>
      <c r="L22" s="572"/>
      <c r="M22" s="6"/>
      <c r="N22" s="6"/>
      <c r="O22" s="597"/>
      <c r="P22" s="1069"/>
      <c r="Q22" s="620"/>
      <c r="R22" s="6"/>
      <c r="S22" s="635"/>
      <c r="T22" s="622"/>
      <c r="U22" s="572"/>
      <c r="V22" s="6"/>
      <c r="W22" s="6">
        <v>5</v>
      </c>
      <c r="X22" s="597"/>
      <c r="Y22" s="567"/>
      <c r="Z22" s="620"/>
      <c r="AA22" s="698" t="s">
        <v>401</v>
      </c>
      <c r="AB22" s="635"/>
      <c r="AC22" s="622"/>
      <c r="AD22" s="572"/>
      <c r="AE22" s="6"/>
      <c r="AF22" s="6"/>
      <c r="AG22" s="597"/>
      <c r="AH22" s="572"/>
      <c r="AI22" s="6"/>
      <c r="AJ22" s="698"/>
      <c r="AK22" s="635"/>
      <c r="AM22" s="572"/>
      <c r="AN22" s="6"/>
      <c r="AO22" s="6"/>
      <c r="AP22" s="50"/>
      <c r="AQ22" s="597"/>
      <c r="AR22" s="572"/>
      <c r="AS22" s="620"/>
      <c r="AT22" s="50"/>
      <c r="AU22" s="635"/>
      <c r="AV22" s="635"/>
    </row>
    <row r="23" spans="1:48" ht="47.45" customHeight="1" x14ac:dyDescent="0.25">
      <c r="A23" s="2206">
        <v>45362</v>
      </c>
      <c r="B23" s="644">
        <v>1</v>
      </c>
      <c r="C23" s="595"/>
      <c r="D23" s="596"/>
      <c r="E23" s="596"/>
      <c r="F23" s="597"/>
      <c r="G23" s="685"/>
      <c r="H23" s="619"/>
      <c r="I23" s="848"/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/>
      <c r="V23" s="6"/>
      <c r="W23" s="6">
        <v>15</v>
      </c>
      <c r="X23" s="597"/>
      <c r="Y23" s="567"/>
      <c r="Z23" s="620"/>
      <c r="AA23" s="848" t="s">
        <v>831</v>
      </c>
      <c r="AB23" s="635"/>
      <c r="AC23" s="622"/>
      <c r="AD23" s="572"/>
      <c r="AE23" s="6"/>
      <c r="AF23" s="614">
        <v>31</v>
      </c>
      <c r="AG23" s="597"/>
      <c r="AH23" s="572"/>
      <c r="AI23" s="619"/>
      <c r="AJ23" s="620" t="s">
        <v>880</v>
      </c>
      <c r="AK23" s="635"/>
      <c r="AM23" s="572"/>
      <c r="AN23" s="6"/>
      <c r="AO23" s="6"/>
      <c r="AP23" s="50"/>
      <c r="AQ23" s="597"/>
      <c r="AR23" s="6"/>
      <c r="AS23" s="619"/>
      <c r="AT23" s="692"/>
      <c r="AU23" s="635"/>
      <c r="AV23" s="635"/>
    </row>
    <row r="24" spans="1:48" ht="49.9" customHeight="1" x14ac:dyDescent="0.25">
      <c r="A24" s="2205"/>
      <c r="B24" s="574">
        <v>2</v>
      </c>
      <c r="C24" s="595"/>
      <c r="D24" s="596">
        <v>27</v>
      </c>
      <c r="E24" s="596"/>
      <c r="F24" s="597"/>
      <c r="G24" s="685"/>
      <c r="H24" s="620" t="s">
        <v>881</v>
      </c>
      <c r="I24" s="848"/>
      <c r="J24" s="635"/>
      <c r="K24" s="622"/>
      <c r="L24" s="572"/>
      <c r="M24" s="6"/>
      <c r="N24" s="6"/>
      <c r="O24" s="597"/>
      <c r="P24" s="685"/>
      <c r="Q24" s="619"/>
      <c r="R24" s="620"/>
      <c r="S24" s="635"/>
      <c r="T24" s="622"/>
      <c r="U24" s="572"/>
      <c r="V24" s="6"/>
      <c r="W24" s="6"/>
      <c r="X24" s="597"/>
      <c r="Y24" s="685"/>
      <c r="Z24" s="619"/>
      <c r="AA24" s="848"/>
      <c r="AB24" s="635"/>
      <c r="AC24" s="622"/>
      <c r="AD24" s="572"/>
      <c r="AE24" s="6"/>
      <c r="AF24" s="614"/>
      <c r="AG24" s="597"/>
      <c r="AH24" s="572"/>
      <c r="AI24" s="619"/>
      <c r="AJ24" s="620"/>
      <c r="AK24" s="635"/>
      <c r="AM24" s="572"/>
      <c r="AN24" s="6"/>
      <c r="AO24" s="6"/>
      <c r="AP24" s="597"/>
      <c r="AQ24" s="685"/>
      <c r="AR24" s="619"/>
      <c r="AS24" s="619"/>
      <c r="AT24" s="635"/>
      <c r="AU24" s="635"/>
      <c r="AV24" s="635"/>
    </row>
    <row r="25" spans="1:48" ht="53.45" customHeight="1" x14ac:dyDescent="0.25">
      <c r="A25" s="2206">
        <v>45363</v>
      </c>
      <c r="B25" s="574">
        <v>1</v>
      </c>
      <c r="C25" s="595"/>
      <c r="D25" s="596"/>
      <c r="E25" s="596"/>
      <c r="F25" s="597"/>
      <c r="G25" s="685"/>
      <c r="H25" s="619"/>
      <c r="I25" s="848"/>
      <c r="J25" s="635"/>
      <c r="K25" s="622"/>
      <c r="L25" s="572"/>
      <c r="M25" s="6"/>
      <c r="N25" s="6"/>
      <c r="O25" s="597"/>
      <c r="P25" s="572"/>
      <c r="Q25" s="619"/>
      <c r="R25" s="6"/>
      <c r="S25" s="635"/>
      <c r="T25" s="622"/>
      <c r="U25" s="572"/>
      <c r="V25" s="6">
        <v>43</v>
      </c>
      <c r="W25" s="6"/>
      <c r="X25" s="597"/>
      <c r="Y25" s="567"/>
      <c r="Z25" s="605" t="s">
        <v>691</v>
      </c>
      <c r="AA25" s="698"/>
      <c r="AB25" s="635"/>
      <c r="AC25" s="622"/>
      <c r="AD25" s="572"/>
      <c r="AE25" s="6"/>
      <c r="AF25" s="6"/>
      <c r="AG25" s="597"/>
      <c r="AH25" s="6"/>
      <c r="AI25" s="605"/>
      <c r="AJ25" s="620"/>
      <c r="AK25" s="726"/>
      <c r="AM25" s="572"/>
      <c r="AN25" s="6"/>
      <c r="AO25" s="6"/>
      <c r="AP25" s="50"/>
      <c r="AQ25" s="597"/>
      <c r="AR25" s="6"/>
      <c r="AS25" s="6"/>
      <c r="AT25" s="50"/>
      <c r="AU25" s="50"/>
      <c r="AV25" s="635"/>
    </row>
    <row r="26" spans="1:48" ht="42" customHeight="1" x14ac:dyDescent="0.25">
      <c r="A26" s="2205"/>
      <c r="B26" s="574">
        <v>2</v>
      </c>
      <c r="C26" s="595"/>
      <c r="D26" s="596"/>
      <c r="E26" s="596"/>
      <c r="F26" s="597"/>
      <c r="G26" s="685"/>
      <c r="H26" s="620"/>
      <c r="I26" s="848"/>
      <c r="J26" s="635"/>
      <c r="K26" s="622"/>
      <c r="L26" s="572"/>
      <c r="M26" s="6"/>
      <c r="N26" s="6"/>
      <c r="O26" s="597"/>
      <c r="P26" s="685"/>
      <c r="Q26" s="620"/>
      <c r="R26" s="692"/>
      <c r="S26" s="635"/>
      <c r="T26" s="622"/>
      <c r="U26" s="572"/>
      <c r="V26" s="596"/>
      <c r="W26" s="6"/>
      <c r="X26" s="597"/>
      <c r="Y26" s="685"/>
      <c r="Z26" s="620"/>
      <c r="AA26" s="698"/>
      <c r="AB26" s="635"/>
      <c r="AC26" s="622"/>
      <c r="AD26" s="572"/>
      <c r="AE26" s="596"/>
      <c r="AF26" s="6"/>
      <c r="AG26" s="597"/>
      <c r="AH26" s="685"/>
      <c r="AI26" s="620"/>
      <c r="AJ26" s="692"/>
      <c r="AK26" s="635"/>
      <c r="AM26" s="572"/>
      <c r="AN26" s="596"/>
      <c r="AO26" s="6"/>
      <c r="AP26" s="967"/>
      <c r="AQ26" s="597"/>
      <c r="AR26" s="685"/>
      <c r="AS26" s="620"/>
      <c r="AT26" s="692"/>
      <c r="AU26" s="635"/>
      <c r="AV26" s="635"/>
    </row>
    <row r="27" spans="1:48" ht="49.9" customHeight="1" x14ac:dyDescent="0.25">
      <c r="A27" s="2206">
        <v>45364</v>
      </c>
      <c r="B27" s="644">
        <v>1</v>
      </c>
      <c r="C27" s="595"/>
      <c r="D27" s="596"/>
      <c r="E27" s="596">
        <v>13</v>
      </c>
      <c r="F27" s="597"/>
      <c r="G27" s="685"/>
      <c r="H27" s="619"/>
      <c r="I27" s="692" t="s">
        <v>152</v>
      </c>
      <c r="J27" s="635"/>
      <c r="K27" s="622"/>
      <c r="L27" s="572"/>
      <c r="M27" s="6"/>
      <c r="N27" s="6"/>
      <c r="O27" s="597"/>
      <c r="P27" s="685"/>
      <c r="Q27" s="619"/>
      <c r="R27" s="620"/>
      <c r="S27" s="635"/>
      <c r="T27" s="622"/>
      <c r="U27" s="572"/>
      <c r="V27" s="6"/>
      <c r="W27" s="6"/>
      <c r="X27" s="597"/>
      <c r="Y27" s="685"/>
      <c r="Z27" s="620"/>
      <c r="AA27" s="698"/>
      <c r="AB27" s="635"/>
      <c r="AC27" s="622"/>
      <c r="AD27" s="572"/>
      <c r="AE27" s="6"/>
      <c r="AF27" s="6"/>
      <c r="AG27" s="597"/>
      <c r="AH27" s="685"/>
      <c r="AI27" s="6"/>
      <c r="AJ27" s="620"/>
      <c r="AK27" s="635"/>
      <c r="AM27" s="572"/>
      <c r="AN27" s="6"/>
      <c r="AO27" s="6"/>
      <c r="AP27" s="50"/>
      <c r="AQ27" s="597"/>
      <c r="AR27" s="605"/>
      <c r="AS27" s="6"/>
      <c r="AT27" s="692"/>
      <c r="AU27" s="635"/>
      <c r="AV27" s="635"/>
    </row>
    <row r="28" spans="1:48" ht="72" customHeight="1" x14ac:dyDescent="0.25">
      <c r="A28" s="2205"/>
      <c r="B28" s="574">
        <v>2</v>
      </c>
      <c r="C28" s="595"/>
      <c r="D28" s="596"/>
      <c r="E28" s="596"/>
      <c r="F28" s="597"/>
      <c r="G28" s="620"/>
      <c r="H28" s="620"/>
      <c r="I28" s="698"/>
      <c r="J28" s="635"/>
      <c r="K28" s="622"/>
      <c r="L28" s="572"/>
      <c r="M28" s="6"/>
      <c r="N28" s="6"/>
      <c r="O28" s="597"/>
      <c r="P28" s="620"/>
      <c r="Q28" s="620"/>
      <c r="R28" s="620"/>
      <c r="S28" s="635"/>
      <c r="T28" s="622"/>
      <c r="U28" s="572"/>
      <c r="V28" s="6"/>
      <c r="W28" s="622"/>
      <c r="X28" s="597"/>
      <c r="Y28" s="620"/>
      <c r="Z28" s="6"/>
      <c r="AA28" s="698"/>
      <c r="AB28" s="635"/>
      <c r="AC28" s="622"/>
      <c r="AD28" s="572"/>
      <c r="AE28" s="6"/>
      <c r="AF28" s="6"/>
      <c r="AG28" s="597"/>
      <c r="AH28" s="685"/>
      <c r="AI28" s="6"/>
      <c r="AJ28" s="692"/>
      <c r="AK28" s="635"/>
      <c r="AM28" s="572"/>
      <c r="AN28" s="6"/>
      <c r="AO28" s="6"/>
      <c r="AP28" s="50"/>
      <c r="AQ28" s="597"/>
      <c r="AR28" s="605"/>
      <c r="AS28" s="6"/>
      <c r="AT28" s="692"/>
      <c r="AU28" s="635"/>
      <c r="AV28" s="634"/>
    </row>
    <row r="29" spans="1:48" ht="66" customHeight="1" x14ac:dyDescent="0.25">
      <c r="A29" s="2206">
        <v>45365</v>
      </c>
      <c r="B29" s="574">
        <v>1</v>
      </c>
      <c r="C29" s="595"/>
      <c r="D29" s="596"/>
      <c r="E29" s="596"/>
      <c r="F29" s="597"/>
      <c r="G29" s="620"/>
      <c r="H29" s="619"/>
      <c r="I29" s="1062"/>
      <c r="J29" s="635"/>
      <c r="K29" s="622"/>
      <c r="L29" s="572"/>
      <c r="M29" s="6">
        <v>13</v>
      </c>
      <c r="N29" s="6"/>
      <c r="O29" s="597"/>
      <c r="P29" s="685"/>
      <c r="Q29" s="620" t="s">
        <v>882</v>
      </c>
      <c r="R29" s="620"/>
      <c r="S29" s="635"/>
      <c r="T29" s="622"/>
      <c r="U29" s="572"/>
      <c r="V29" s="6"/>
      <c r="W29" s="6"/>
      <c r="X29" s="597"/>
      <c r="Y29" s="620"/>
      <c r="Z29" s="619"/>
      <c r="AA29" s="698"/>
      <c r="AB29" s="635"/>
      <c r="AC29" s="622"/>
      <c r="AD29" s="572"/>
      <c r="AE29" s="6"/>
      <c r="AF29" s="6"/>
      <c r="AG29" s="597"/>
      <c r="AH29" s="685"/>
      <c r="AI29" s="619"/>
      <c r="AJ29" s="620"/>
      <c r="AK29" s="635"/>
      <c r="AM29" s="572"/>
      <c r="AN29" s="6"/>
      <c r="AO29" s="6"/>
      <c r="AP29" s="50"/>
      <c r="AQ29" s="597"/>
      <c r="AR29" s="605"/>
      <c r="AS29" s="619"/>
      <c r="AT29" s="620"/>
      <c r="AU29" s="635"/>
      <c r="AV29" s="613"/>
    </row>
    <row r="30" spans="1:48" ht="39.6" customHeight="1" x14ac:dyDescent="0.25">
      <c r="A30" s="2205"/>
      <c r="B30" s="644">
        <v>2</v>
      </c>
      <c r="C30" s="595"/>
      <c r="D30" s="596"/>
      <c r="E30" s="596"/>
      <c r="F30" s="597"/>
      <c r="G30" s="685"/>
      <c r="H30" s="620"/>
      <c r="I30" s="698"/>
      <c r="J30" s="635"/>
      <c r="K30" s="622"/>
      <c r="L30" s="572"/>
      <c r="M30" s="6"/>
      <c r="N30" s="6"/>
      <c r="O30" s="597"/>
      <c r="P30" s="685"/>
      <c r="Q30" s="620"/>
      <c r="R30" s="620"/>
      <c r="S30" s="635"/>
      <c r="T30" s="622"/>
      <c r="U30" s="572"/>
      <c r="V30" s="6">
        <v>29</v>
      </c>
      <c r="W30" s="6"/>
      <c r="X30" s="597"/>
      <c r="Y30" s="685"/>
      <c r="Z30" s="620" t="s">
        <v>883</v>
      </c>
      <c r="AA30" s="698"/>
      <c r="AB30" s="635"/>
      <c r="AC30" s="622"/>
      <c r="AD30" s="572"/>
      <c r="AE30" s="6"/>
      <c r="AF30" s="6"/>
      <c r="AG30" s="597"/>
      <c r="AH30" s="685"/>
      <c r="AI30" s="620"/>
      <c r="AJ30" s="620"/>
      <c r="AK30" s="635"/>
      <c r="AM30" s="572"/>
      <c r="AN30" s="6"/>
      <c r="AO30" s="6"/>
      <c r="AP30" s="50"/>
      <c r="AQ30" s="597"/>
      <c r="AR30" s="1069"/>
      <c r="AS30" s="605"/>
      <c r="AT30" s="828"/>
      <c r="AU30" s="635"/>
      <c r="AV30" s="613"/>
    </row>
    <row r="31" spans="1:48" ht="39.6" customHeight="1" x14ac:dyDescent="0.25">
      <c r="A31" s="2206">
        <v>45366</v>
      </c>
      <c r="B31" s="574">
        <v>1</v>
      </c>
      <c r="C31" s="595"/>
      <c r="D31" s="596">
        <v>10</v>
      </c>
      <c r="E31" s="596">
        <v>15</v>
      </c>
      <c r="F31" s="597"/>
      <c r="G31" s="685"/>
      <c r="H31" s="620" t="s">
        <v>833</v>
      </c>
      <c r="I31" s="620" t="s">
        <v>885</v>
      </c>
      <c r="J31" s="635"/>
      <c r="K31" s="622"/>
      <c r="L31" s="572"/>
      <c r="M31" s="6"/>
      <c r="N31" s="6"/>
      <c r="O31" s="597"/>
      <c r="P31" s="614"/>
      <c r="Q31" s="6"/>
      <c r="R31" s="6"/>
      <c r="S31" s="635"/>
      <c r="T31" s="622"/>
      <c r="U31" s="572"/>
      <c r="V31" s="6"/>
      <c r="W31" s="6">
        <v>21</v>
      </c>
      <c r="X31" s="597"/>
      <c r="Y31" s="1069"/>
      <c r="Z31" s="6"/>
      <c r="AA31" s="698" t="s">
        <v>884</v>
      </c>
      <c r="AB31" s="635"/>
      <c r="AC31" s="622"/>
      <c r="AD31" s="572"/>
      <c r="AE31" s="6"/>
      <c r="AF31" s="6"/>
      <c r="AG31" s="597"/>
      <c r="AH31" s="685"/>
      <c r="AI31" s="6"/>
      <c r="AJ31" s="6"/>
      <c r="AK31" s="635"/>
      <c r="AM31" s="572"/>
      <c r="AN31" s="6"/>
      <c r="AO31" s="6"/>
      <c r="AP31" s="50"/>
      <c r="AQ31" s="597"/>
      <c r="AR31" s="614"/>
      <c r="AS31" s="6"/>
      <c r="AT31" s="6"/>
      <c r="AU31" s="635"/>
      <c r="AV31" s="635"/>
    </row>
    <row r="32" spans="1:48" ht="63" customHeight="1" x14ac:dyDescent="0.25">
      <c r="A32" s="2205"/>
      <c r="B32" s="574">
        <v>2</v>
      </c>
      <c r="C32" s="595"/>
      <c r="D32" s="596"/>
      <c r="E32" s="596"/>
      <c r="F32" s="597"/>
      <c r="G32" s="685"/>
      <c r="H32" s="684"/>
      <c r="I32" s="1062"/>
      <c r="J32" s="635"/>
      <c r="K32" s="622"/>
      <c r="L32" s="572"/>
      <c r="M32" s="6"/>
      <c r="N32" s="6"/>
      <c r="O32" s="597"/>
      <c r="P32" s="614"/>
      <c r="Q32" s="6"/>
      <c r="R32" s="6"/>
      <c r="S32" s="635"/>
      <c r="T32" s="622"/>
      <c r="U32" s="572"/>
      <c r="V32" s="6"/>
      <c r="W32" s="596">
        <v>10</v>
      </c>
      <c r="X32" s="597"/>
      <c r="Y32" s="685"/>
      <c r="Z32" s="685"/>
      <c r="AA32" s="698" t="s">
        <v>152</v>
      </c>
      <c r="AB32" s="635"/>
      <c r="AC32" s="622"/>
      <c r="AD32" s="572"/>
      <c r="AE32" s="6">
        <v>25</v>
      </c>
      <c r="AF32" s="596">
        <v>20</v>
      </c>
      <c r="AG32" s="597"/>
      <c r="AH32" s="685"/>
      <c r="AI32" s="685" t="s">
        <v>833</v>
      </c>
      <c r="AJ32" s="698" t="s">
        <v>842</v>
      </c>
      <c r="AK32" s="635"/>
      <c r="AM32" s="572"/>
      <c r="AN32" s="6"/>
      <c r="AO32" s="6">
        <v>15</v>
      </c>
      <c r="AP32" s="50"/>
      <c r="AQ32" s="597"/>
      <c r="AR32" s="614"/>
      <c r="AS32" s="605"/>
      <c r="AT32" s="684" t="s">
        <v>152</v>
      </c>
      <c r="AU32" s="635"/>
      <c r="AV32" s="613"/>
    </row>
    <row r="33" spans="1:48" ht="43.15" customHeight="1" x14ac:dyDescent="0.25">
      <c r="A33" s="2206">
        <v>45367</v>
      </c>
      <c r="B33" s="574">
        <v>1</v>
      </c>
      <c r="C33" s="595"/>
      <c r="D33" s="596"/>
      <c r="E33" s="596"/>
      <c r="F33" s="597"/>
      <c r="G33" s="685"/>
      <c r="H33" s="620"/>
      <c r="I33" s="698"/>
      <c r="J33" s="635"/>
      <c r="K33" s="622"/>
      <c r="L33" s="572"/>
      <c r="M33" s="6"/>
      <c r="N33" s="6"/>
      <c r="O33" s="597"/>
      <c r="P33" s="614"/>
      <c r="Q33" s="6"/>
      <c r="R33" s="6"/>
      <c r="S33" s="635"/>
      <c r="T33" s="622"/>
      <c r="U33" s="572"/>
      <c r="V33" s="6"/>
      <c r="W33" s="6"/>
      <c r="X33" s="597"/>
      <c r="Y33" s="614"/>
      <c r="Z33" s="6"/>
      <c r="AA33" s="698"/>
      <c r="AB33" s="635"/>
      <c r="AC33" s="622"/>
      <c r="AD33" s="572"/>
      <c r="AE33" s="6"/>
      <c r="AF33" s="6"/>
      <c r="AG33" s="597"/>
      <c r="AH33" s="614"/>
      <c r="AI33" s="605"/>
      <c r="AJ33" s="698"/>
      <c r="AK33" s="635"/>
      <c r="AM33" s="572"/>
      <c r="AN33" s="6"/>
      <c r="AO33" s="6"/>
      <c r="AP33" s="50"/>
      <c r="AQ33" s="597"/>
      <c r="AR33" s="614"/>
      <c r="AS33" s="605"/>
      <c r="AT33" s="6"/>
      <c r="AU33" s="635"/>
      <c r="AV33" s="613"/>
    </row>
    <row r="34" spans="1:48" ht="67.900000000000006" customHeight="1" x14ac:dyDescent="0.25">
      <c r="A34" s="2205"/>
      <c r="B34" s="644">
        <v>2</v>
      </c>
      <c r="C34" s="596"/>
      <c r="D34" s="596"/>
      <c r="E34" s="596"/>
      <c r="F34" s="829"/>
      <c r="G34" s="684"/>
      <c r="H34" s="620"/>
      <c r="I34" s="698"/>
      <c r="J34" s="635"/>
      <c r="K34" s="622"/>
      <c r="L34" s="572"/>
      <c r="M34" s="6"/>
      <c r="N34" s="6"/>
      <c r="O34" s="613"/>
      <c r="P34" s="614"/>
      <c r="Q34" s="620"/>
      <c r="R34" s="6"/>
      <c r="S34" s="635"/>
      <c r="T34" s="622"/>
      <c r="U34" s="572"/>
      <c r="V34" s="6"/>
      <c r="W34" s="6">
        <v>10</v>
      </c>
      <c r="X34" s="613"/>
      <c r="Y34" s="605"/>
      <c r="Z34" s="605"/>
      <c r="AA34" s="698" t="s">
        <v>152</v>
      </c>
      <c r="AB34" s="635"/>
      <c r="AC34" s="622"/>
      <c r="AD34" s="572"/>
      <c r="AE34" s="6"/>
      <c r="AF34" s="6"/>
      <c r="AG34" s="613"/>
      <c r="AH34" s="614"/>
      <c r="AI34" s="6"/>
      <c r="AJ34" s="605"/>
      <c r="AK34" s="635"/>
      <c r="AM34" s="572"/>
      <c r="AN34" s="6"/>
      <c r="AO34" s="6">
        <v>140</v>
      </c>
      <c r="AP34" s="50"/>
      <c r="AQ34" s="613"/>
      <c r="AR34" s="614"/>
      <c r="AS34" s="6"/>
      <c r="AT34" s="828" t="s">
        <v>152</v>
      </c>
      <c r="AU34" s="635"/>
      <c r="AV34" s="613"/>
    </row>
    <row r="35" spans="1:48" ht="51" customHeight="1" x14ac:dyDescent="0.25">
      <c r="A35" s="2206">
        <v>45368</v>
      </c>
      <c r="B35" s="574">
        <v>1</v>
      </c>
      <c r="C35" s="596"/>
      <c r="D35" s="596"/>
      <c r="E35" s="50"/>
      <c r="F35" s="828"/>
      <c r="G35" s="567"/>
      <c r="H35" s="614"/>
      <c r="I35" s="698"/>
      <c r="J35" s="687"/>
      <c r="K35" s="622"/>
      <c r="L35" s="572"/>
      <c r="M35" s="6"/>
      <c r="N35" s="6"/>
      <c r="O35" s="613"/>
      <c r="P35" s="567"/>
      <c r="Q35" s="1073"/>
      <c r="R35" s="620"/>
      <c r="S35" s="635"/>
      <c r="T35" s="622"/>
      <c r="U35" s="572"/>
      <c r="V35" s="6"/>
      <c r="W35" s="50"/>
      <c r="X35" s="634"/>
      <c r="Y35" s="567"/>
      <c r="Z35" s="6"/>
      <c r="AA35" s="698"/>
      <c r="AB35" s="613"/>
      <c r="AC35" s="622"/>
      <c r="AD35" s="572"/>
      <c r="AE35" s="6"/>
      <c r="AF35" s="6"/>
      <c r="AG35" s="1069"/>
      <c r="AH35" s="567"/>
      <c r="AI35" s="6"/>
      <c r="AJ35" s="684"/>
      <c r="AK35" s="613"/>
      <c r="AM35" s="572"/>
      <c r="AN35" s="6"/>
      <c r="AO35" s="50">
        <v>630</v>
      </c>
      <c r="AP35" s="50"/>
      <c r="AQ35" s="634"/>
      <c r="AR35" s="567"/>
      <c r="AS35" s="692"/>
      <c r="AT35" s="828" t="s">
        <v>152</v>
      </c>
      <c r="AU35" s="828"/>
      <c r="AV35" s="613"/>
    </row>
    <row r="36" spans="1:48" ht="46.9" customHeight="1" x14ac:dyDescent="0.25">
      <c r="A36" s="2205"/>
      <c r="B36" s="574">
        <v>2</v>
      </c>
      <c r="C36" s="50"/>
      <c r="D36" s="6"/>
      <c r="E36" s="50"/>
      <c r="F36" s="828"/>
      <c r="G36" s="692"/>
      <c r="H36" s="620"/>
      <c r="I36" s="848"/>
      <c r="J36" s="635"/>
      <c r="K36" s="622"/>
      <c r="L36" s="567"/>
      <c r="M36" s="6">
        <v>29</v>
      </c>
      <c r="N36" s="6"/>
      <c r="O36" s="1069"/>
      <c r="P36" s="567"/>
      <c r="Q36" s="620" t="s">
        <v>882</v>
      </c>
      <c r="R36" s="605"/>
      <c r="S36" s="635"/>
      <c r="T36" s="622"/>
      <c r="U36" s="572"/>
      <c r="V36" s="6">
        <v>35</v>
      </c>
      <c r="W36" s="6">
        <v>10</v>
      </c>
      <c r="X36" s="1069"/>
      <c r="Y36" s="567"/>
      <c r="Z36" s="620" t="s">
        <v>882</v>
      </c>
      <c r="AA36" s="698" t="s">
        <v>152</v>
      </c>
      <c r="AB36" s="613"/>
      <c r="AC36" s="622"/>
      <c r="AD36" s="572"/>
      <c r="AE36" s="6"/>
      <c r="AF36" s="50"/>
      <c r="AG36" s="634"/>
      <c r="AH36" s="567"/>
      <c r="AI36" s="605"/>
      <c r="AJ36" s="698"/>
      <c r="AK36" s="613"/>
      <c r="AM36" s="572"/>
      <c r="AN36" s="6"/>
      <c r="AO36" s="6"/>
      <c r="AP36" s="614"/>
      <c r="AQ36" s="1069"/>
      <c r="AR36" s="567"/>
      <c r="AS36" s="605"/>
      <c r="AT36" s="605"/>
      <c r="AU36" s="828"/>
      <c r="AV36" s="613"/>
    </row>
    <row r="37" spans="1:48" ht="59.45" customHeight="1" x14ac:dyDescent="0.25">
      <c r="A37" s="2206">
        <v>45369</v>
      </c>
      <c r="B37" s="644">
        <v>1</v>
      </c>
      <c r="C37" s="50"/>
      <c r="D37" s="596"/>
      <c r="E37" s="50"/>
      <c r="F37" s="50"/>
      <c r="G37" s="692"/>
      <c r="H37" s="1069"/>
      <c r="I37" s="848"/>
      <c r="J37" s="635"/>
      <c r="K37" s="622"/>
      <c r="L37" s="572"/>
      <c r="M37" s="6"/>
      <c r="N37" s="6"/>
      <c r="O37" s="727"/>
      <c r="P37" s="614"/>
      <c r="Q37" s="6"/>
      <c r="R37" s="6"/>
      <c r="S37" s="613"/>
      <c r="T37" s="622"/>
      <c r="U37" s="572"/>
      <c r="V37" s="6"/>
      <c r="W37" s="6"/>
      <c r="X37" s="613"/>
      <c r="Y37" s="614"/>
      <c r="Z37" s="605"/>
      <c r="AA37" s="698"/>
      <c r="AB37" s="635"/>
      <c r="AC37" s="622"/>
      <c r="AD37" s="572"/>
      <c r="AE37" s="6"/>
      <c r="AF37" s="6"/>
      <c r="AG37" s="613"/>
      <c r="AH37" s="1069"/>
      <c r="AI37" s="6"/>
      <c r="AJ37" s="698"/>
      <c r="AK37" s="613"/>
      <c r="AM37" s="572"/>
      <c r="AN37" s="6"/>
      <c r="AO37" s="6">
        <v>10</v>
      </c>
      <c r="AP37" s="50"/>
      <c r="AQ37" s="613"/>
      <c r="AR37" s="614"/>
      <c r="AS37" s="6"/>
      <c r="AT37" s="6" t="s">
        <v>97</v>
      </c>
      <c r="AU37" s="50"/>
      <c r="AV37" s="613"/>
    </row>
    <row r="38" spans="1:48" ht="55.9" customHeight="1" x14ac:dyDescent="0.25">
      <c r="A38" s="2205"/>
      <c r="B38" s="574">
        <v>2</v>
      </c>
      <c r="C38" s="50"/>
      <c r="D38" s="596">
        <v>15</v>
      </c>
      <c r="E38" s="50"/>
      <c r="F38" s="829"/>
      <c r="G38" s="692"/>
      <c r="H38" s="1076" t="s">
        <v>276</v>
      </c>
      <c r="I38" s="848"/>
      <c r="J38" s="635"/>
      <c r="K38" s="622"/>
      <c r="L38" s="572"/>
      <c r="M38" s="6"/>
      <c r="N38" s="6"/>
      <c r="O38" s="613"/>
      <c r="P38" s="1069"/>
      <c r="Q38" s="1069"/>
      <c r="R38" s="6"/>
      <c r="S38" s="635"/>
      <c r="T38" s="622"/>
      <c r="U38" s="572">
        <v>20</v>
      </c>
      <c r="V38" s="6"/>
      <c r="W38" s="6"/>
      <c r="X38" s="613"/>
      <c r="Y38" s="614" t="s">
        <v>315</v>
      </c>
      <c r="Z38" s="605"/>
      <c r="AA38" s="698"/>
      <c r="AB38" s="635"/>
      <c r="AC38" s="622"/>
      <c r="AD38" s="572"/>
      <c r="AE38" s="6"/>
      <c r="AF38" s="6"/>
      <c r="AG38" s="613"/>
      <c r="AH38" s="1069"/>
      <c r="AI38" s="6"/>
      <c r="AJ38" s="698"/>
      <c r="AK38" s="635"/>
      <c r="AM38" s="572">
        <v>26</v>
      </c>
      <c r="AN38" s="6"/>
      <c r="AO38" s="6"/>
      <c r="AP38" s="50"/>
      <c r="AQ38" s="613"/>
      <c r="AR38" s="1076" t="s">
        <v>886</v>
      </c>
      <c r="AS38" s="6"/>
      <c r="AT38" s="605"/>
      <c r="AU38" s="828"/>
      <c r="AV38" s="635"/>
    </row>
    <row r="39" spans="1:48" ht="70.900000000000006" customHeight="1" x14ac:dyDescent="0.25">
      <c r="A39" s="2206">
        <v>45370</v>
      </c>
      <c r="B39" s="574">
        <v>1</v>
      </c>
      <c r="C39" s="50"/>
      <c r="D39" s="596"/>
      <c r="E39" s="50"/>
      <c r="F39" s="829"/>
      <c r="G39" s="692"/>
      <c r="H39" s="1069"/>
      <c r="I39" s="848"/>
      <c r="J39" s="635"/>
      <c r="K39" s="622"/>
      <c r="L39" s="572"/>
      <c r="M39" s="6"/>
      <c r="N39" s="6"/>
      <c r="O39" s="597"/>
      <c r="P39" s="692"/>
      <c r="Q39" s="619"/>
      <c r="R39" s="692"/>
      <c r="S39" s="635"/>
      <c r="T39" s="622"/>
      <c r="U39" s="572"/>
      <c r="V39" s="6"/>
      <c r="W39" s="6"/>
      <c r="X39" s="597"/>
      <c r="Y39" s="614"/>
      <c r="Z39" s="619"/>
      <c r="AA39" s="698"/>
      <c r="AB39" s="635"/>
      <c r="AC39" s="622"/>
      <c r="AD39" s="572"/>
      <c r="AE39" s="6"/>
      <c r="AF39" s="6"/>
      <c r="AG39" s="597"/>
      <c r="AH39" s="692"/>
      <c r="AI39" s="619"/>
      <c r="AJ39" s="692"/>
      <c r="AK39" s="635"/>
      <c r="AM39" s="572"/>
      <c r="AN39" s="6"/>
      <c r="AO39" s="6"/>
      <c r="AP39" s="597"/>
      <c r="AQ39" s="692"/>
      <c r="AR39" s="619"/>
      <c r="AS39" s="692"/>
      <c r="AT39" s="635"/>
      <c r="AU39" s="635"/>
      <c r="AV39" s="687"/>
    </row>
    <row r="40" spans="1:48" ht="72.599999999999994" customHeight="1" x14ac:dyDescent="0.25">
      <c r="A40" s="2205"/>
      <c r="B40" s="574">
        <v>2</v>
      </c>
      <c r="C40" s="596"/>
      <c r="D40" s="596"/>
      <c r="E40" s="596"/>
      <c r="F40" s="613"/>
      <c r="G40" s="692"/>
      <c r="H40" s="620"/>
      <c r="I40" s="620"/>
      <c r="J40" s="635"/>
      <c r="K40" s="622"/>
      <c r="L40" s="572"/>
      <c r="M40" s="6"/>
      <c r="N40" s="6"/>
      <c r="O40" s="613"/>
      <c r="P40" s="685"/>
      <c r="Q40" s="619"/>
      <c r="R40" s="692"/>
      <c r="S40" s="635"/>
      <c r="T40" s="622"/>
      <c r="U40" s="572"/>
      <c r="V40" s="6"/>
      <c r="W40" s="6"/>
      <c r="X40" s="613"/>
      <c r="Y40" s="685"/>
      <c r="Z40" s="619"/>
      <c r="AA40" s="684"/>
      <c r="AB40" s="635"/>
      <c r="AC40" s="622"/>
      <c r="AD40" s="572">
        <v>11</v>
      </c>
      <c r="AE40" s="6"/>
      <c r="AF40" s="6"/>
      <c r="AG40" s="613"/>
      <c r="AH40" s="567" t="s">
        <v>400</v>
      </c>
      <c r="AI40" s="620"/>
      <c r="AJ40" s="692"/>
      <c r="AK40" s="635"/>
      <c r="AM40" s="567"/>
      <c r="AN40" s="6"/>
      <c r="AO40" s="6"/>
      <c r="AP40" s="50"/>
      <c r="AQ40" s="613"/>
      <c r="AR40" s="685"/>
      <c r="AS40" s="619"/>
      <c r="AT40" s="692"/>
      <c r="AU40" s="635"/>
      <c r="AV40" s="635"/>
    </row>
    <row r="41" spans="1:48" ht="39.6" customHeight="1" x14ac:dyDescent="0.25">
      <c r="A41" s="2206">
        <v>45371</v>
      </c>
      <c r="B41" s="574">
        <v>1</v>
      </c>
      <c r="C41" s="595"/>
      <c r="D41" s="596"/>
      <c r="E41" s="596"/>
      <c r="F41" s="613"/>
      <c r="G41" s="685"/>
      <c r="H41" s="620"/>
      <c r="I41" s="620"/>
      <c r="J41" s="635"/>
      <c r="K41" s="622"/>
      <c r="L41" s="572"/>
      <c r="M41" s="6"/>
      <c r="N41" s="6"/>
      <c r="O41" s="613"/>
      <c r="P41" s="614"/>
      <c r="Q41" s="6"/>
      <c r="R41" s="692"/>
      <c r="S41" s="635"/>
      <c r="T41" s="622"/>
      <c r="U41" s="572"/>
      <c r="V41" s="6"/>
      <c r="W41" s="6"/>
      <c r="X41" s="613"/>
      <c r="Y41" s="614"/>
      <c r="Z41" s="605"/>
      <c r="AA41" s="698"/>
      <c r="AB41" s="613"/>
      <c r="AC41" s="622"/>
      <c r="AD41" s="572"/>
      <c r="AE41" s="6"/>
      <c r="AF41" s="6"/>
      <c r="AG41" s="613"/>
      <c r="AH41" s="567"/>
      <c r="AI41" s="605"/>
      <c r="AJ41" s="6"/>
      <c r="AK41" s="613"/>
      <c r="AM41" s="572"/>
      <c r="AN41" s="6"/>
      <c r="AO41" s="6"/>
      <c r="AP41" s="50"/>
      <c r="AQ41" s="613"/>
      <c r="AR41" s="614"/>
      <c r="AS41" s="605"/>
      <c r="AT41" s="692"/>
      <c r="AU41" s="50"/>
      <c r="AV41" s="613"/>
    </row>
    <row r="42" spans="1:48" ht="52.9" customHeight="1" x14ac:dyDescent="0.25">
      <c r="A42" s="2205"/>
      <c r="B42" s="574">
        <v>2</v>
      </c>
      <c r="C42" s="596"/>
      <c r="D42" s="596"/>
      <c r="E42" s="596"/>
      <c r="F42" s="613"/>
      <c r="G42" s="685"/>
      <c r="H42" s="620"/>
      <c r="I42" s="692"/>
      <c r="J42" s="635"/>
      <c r="K42" s="622"/>
      <c r="L42" s="572"/>
      <c r="M42" s="6"/>
      <c r="N42" s="6"/>
      <c r="O42" s="613"/>
      <c r="P42" s="614"/>
      <c r="Q42" s="6"/>
      <c r="R42" s="6"/>
      <c r="S42" s="635"/>
      <c r="T42" s="622"/>
      <c r="U42" s="572"/>
      <c r="V42" s="6"/>
      <c r="W42" s="6"/>
      <c r="X42" s="613"/>
      <c r="Y42" s="1069"/>
      <c r="Z42" s="6"/>
      <c r="AA42" s="698"/>
      <c r="AB42" s="635"/>
      <c r="AC42" s="622"/>
      <c r="AD42" s="572"/>
      <c r="AE42" s="6"/>
      <c r="AF42" s="6"/>
      <c r="AG42" s="613"/>
      <c r="AH42" s="614"/>
      <c r="AI42" s="605"/>
      <c r="AJ42" s="6"/>
      <c r="AK42" s="635"/>
      <c r="AM42" s="572"/>
      <c r="AN42" s="6"/>
      <c r="AO42" s="6"/>
      <c r="AP42" s="50"/>
      <c r="AQ42" s="613"/>
      <c r="AR42" s="614"/>
      <c r="AS42" s="6"/>
      <c r="AT42" s="6"/>
      <c r="AU42" s="635"/>
      <c r="AV42" s="613"/>
    </row>
    <row r="43" spans="1:48" ht="65.45" customHeight="1" x14ac:dyDescent="0.25">
      <c r="A43" s="2206">
        <v>45372</v>
      </c>
      <c r="B43" s="574">
        <v>1</v>
      </c>
      <c r="C43" s="596"/>
      <c r="D43" s="596"/>
      <c r="E43" s="596"/>
      <c r="F43" s="597"/>
      <c r="G43" s="619"/>
      <c r="H43" s="619"/>
      <c r="I43" s="848"/>
      <c r="J43" s="635"/>
      <c r="K43" s="622"/>
      <c r="L43" s="572"/>
      <c r="M43" s="6"/>
      <c r="N43" s="6"/>
      <c r="O43" s="613"/>
      <c r="P43" s="614"/>
      <c r="Q43" s="6"/>
      <c r="R43" s="6"/>
      <c r="S43" s="635"/>
      <c r="T43" s="622"/>
      <c r="U43" s="572"/>
      <c r="V43" s="6"/>
      <c r="W43" s="6"/>
      <c r="X43" s="613"/>
      <c r="Y43" s="614"/>
      <c r="Z43" s="6"/>
      <c r="AA43" s="698"/>
      <c r="AB43" s="635"/>
      <c r="AC43" s="622"/>
      <c r="AD43" s="572"/>
      <c r="AE43" s="6"/>
      <c r="AF43" s="6"/>
      <c r="AG43" s="613"/>
      <c r="AH43" s="605"/>
      <c r="AI43" s="620"/>
      <c r="AJ43" s="6"/>
      <c r="AK43" s="635"/>
      <c r="AM43" s="572"/>
      <c r="AN43" s="6"/>
      <c r="AO43" s="6"/>
      <c r="AP43" s="50"/>
      <c r="AQ43" s="613"/>
      <c r="AR43" s="605"/>
      <c r="AS43" s="620"/>
      <c r="AT43" s="6"/>
      <c r="AU43" s="635"/>
      <c r="AV43" s="613"/>
    </row>
    <row r="44" spans="1:48" ht="69" customHeight="1" x14ac:dyDescent="0.25">
      <c r="A44" s="2205"/>
      <c r="B44" s="574">
        <v>2</v>
      </c>
      <c r="C44" s="596"/>
      <c r="D44" s="596"/>
      <c r="E44" s="596"/>
      <c r="F44" s="597"/>
      <c r="G44" s="619"/>
      <c r="H44" s="620"/>
      <c r="I44" s="848"/>
      <c r="J44" s="635"/>
      <c r="K44" s="622"/>
      <c r="L44" s="572"/>
      <c r="M44" s="6"/>
      <c r="N44" s="6"/>
      <c r="O44" s="613"/>
      <c r="P44" s="1069"/>
      <c r="Q44" s="6"/>
      <c r="R44" s="605"/>
      <c r="S44" s="635"/>
      <c r="T44" s="622"/>
      <c r="U44" s="572"/>
      <c r="V44" s="6"/>
      <c r="W44" s="596">
        <v>35</v>
      </c>
      <c r="X44" s="597"/>
      <c r="Y44" s="619"/>
      <c r="Z44" s="620"/>
      <c r="AA44" s="698" t="s">
        <v>693</v>
      </c>
      <c r="AB44" s="635"/>
      <c r="AC44" s="622"/>
      <c r="AD44" s="572"/>
      <c r="AE44" s="6"/>
      <c r="AF44" s="6"/>
      <c r="AG44" s="613"/>
      <c r="AH44" s="614"/>
      <c r="AI44" s="605"/>
      <c r="AJ44" s="698"/>
      <c r="AK44" s="635"/>
      <c r="AM44" s="572"/>
      <c r="AN44" s="6"/>
      <c r="AO44" s="6"/>
      <c r="AP44" s="50"/>
      <c r="AQ44" s="613"/>
      <c r="AR44" s="614"/>
      <c r="AS44" s="605"/>
      <c r="AT44" s="605"/>
      <c r="AU44" s="635"/>
      <c r="AV44" s="613"/>
    </row>
    <row r="45" spans="1:48" ht="69" customHeight="1" x14ac:dyDescent="0.25">
      <c r="A45" s="2206">
        <v>45373</v>
      </c>
      <c r="B45" s="574">
        <v>1</v>
      </c>
      <c r="C45" s="596"/>
      <c r="D45" s="596"/>
      <c r="E45" s="596"/>
      <c r="F45" s="597"/>
      <c r="G45" s="619"/>
      <c r="H45" s="619"/>
      <c r="I45" s="692"/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05"/>
      <c r="W45" s="6"/>
      <c r="X45" s="613"/>
      <c r="Y45" s="619"/>
      <c r="Z45" s="605"/>
      <c r="AA45" s="605"/>
      <c r="AB45" s="613"/>
      <c r="AC45" s="622"/>
      <c r="AD45" s="572"/>
      <c r="AE45" s="6"/>
      <c r="AF45" s="6"/>
      <c r="AG45" s="613"/>
      <c r="AH45" s="614"/>
      <c r="AI45" s="605"/>
      <c r="AJ45" s="605"/>
      <c r="AK45" s="613"/>
      <c r="AM45" s="572"/>
      <c r="AN45" s="6"/>
      <c r="AO45" s="6"/>
      <c r="AP45" s="50"/>
      <c r="AQ45" s="613"/>
      <c r="AR45" s="614"/>
      <c r="AS45" s="605"/>
      <c r="AT45" s="6"/>
      <c r="AU45" s="50"/>
      <c r="AV45" s="613"/>
    </row>
    <row r="46" spans="1:48" ht="48.6" customHeight="1" x14ac:dyDescent="0.25">
      <c r="A46" s="2205"/>
      <c r="B46" s="574">
        <v>2</v>
      </c>
      <c r="C46" s="596"/>
      <c r="D46" s="596"/>
      <c r="E46" s="596"/>
      <c r="F46" s="597"/>
      <c r="G46" s="619"/>
      <c r="H46" s="619"/>
      <c r="I46" s="848"/>
      <c r="J46" s="635"/>
      <c r="K46" s="622"/>
      <c r="L46" s="572"/>
      <c r="M46" s="6"/>
      <c r="N46" s="6"/>
      <c r="O46" s="785"/>
      <c r="P46" s="614"/>
      <c r="Q46" s="620"/>
      <c r="R46" s="605"/>
      <c r="S46" s="635"/>
      <c r="T46" s="622"/>
      <c r="U46" s="572"/>
      <c r="V46" s="6"/>
      <c r="W46" s="6"/>
      <c r="X46" s="613"/>
      <c r="Y46" s="1069"/>
      <c r="Z46" s="6"/>
      <c r="AA46" s="605"/>
      <c r="AB46" s="635"/>
      <c r="AC46" s="622"/>
      <c r="AD46" s="572"/>
      <c r="AE46" s="6"/>
      <c r="AF46" s="6"/>
      <c r="AG46" s="613"/>
      <c r="AH46" s="1069"/>
      <c r="AI46" s="605"/>
      <c r="AJ46" s="698"/>
      <c r="AK46" s="635"/>
      <c r="AM46" s="572"/>
      <c r="AN46" s="6"/>
      <c r="AO46" s="6"/>
      <c r="AP46" s="50"/>
      <c r="AQ46" s="613"/>
      <c r="AR46" s="614"/>
      <c r="AS46" s="620"/>
      <c r="AT46" s="6"/>
      <c r="AU46" s="50"/>
      <c r="AV46" s="635"/>
    </row>
    <row r="47" spans="1:48" ht="58.9" customHeight="1" x14ac:dyDescent="0.25">
      <c r="A47" s="2206">
        <v>45374</v>
      </c>
      <c r="B47" s="574">
        <v>1</v>
      </c>
      <c r="C47" s="596"/>
      <c r="D47" s="596"/>
      <c r="E47" s="596"/>
      <c r="F47" s="597"/>
      <c r="G47" s="619"/>
      <c r="H47" s="620"/>
      <c r="I47" s="848"/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/>
      <c r="X47" s="613"/>
      <c r="Y47" s="619"/>
      <c r="Z47" s="605"/>
      <c r="AA47" s="605"/>
      <c r="AB47" s="635"/>
      <c r="AC47" s="622"/>
      <c r="AD47" s="572"/>
      <c r="AE47" s="6"/>
      <c r="AF47" s="6"/>
      <c r="AG47" s="613"/>
      <c r="AH47" s="1069"/>
      <c r="AI47" s="620"/>
      <c r="AJ47" s="698"/>
      <c r="AK47" s="613"/>
      <c r="AM47" s="572"/>
      <c r="AN47" s="6"/>
      <c r="AO47" s="6"/>
      <c r="AP47" s="50"/>
      <c r="AQ47" s="613"/>
      <c r="AR47" s="614"/>
      <c r="AS47" s="620"/>
      <c r="AT47" s="6"/>
      <c r="AU47" s="50"/>
      <c r="AV47" s="613"/>
    </row>
    <row r="48" spans="1:48" ht="34.9" customHeight="1" x14ac:dyDescent="0.25">
      <c r="A48" s="2205"/>
      <c r="B48" s="574">
        <v>2</v>
      </c>
      <c r="C48" s="596"/>
      <c r="D48" s="596"/>
      <c r="E48" s="596"/>
      <c r="F48" s="597"/>
      <c r="G48" s="620"/>
      <c r="H48" s="620"/>
      <c r="I48" s="692"/>
      <c r="J48" s="635"/>
      <c r="K48" s="622"/>
      <c r="L48" s="572"/>
      <c r="M48" s="6"/>
      <c r="N48" s="6">
        <v>465</v>
      </c>
      <c r="O48" s="597"/>
      <c r="P48" s="620"/>
      <c r="Q48" s="620"/>
      <c r="R48" s="692" t="s">
        <v>887</v>
      </c>
      <c r="S48" s="635"/>
      <c r="T48" s="622"/>
      <c r="U48" s="572"/>
      <c r="V48" s="6"/>
      <c r="W48" s="6"/>
      <c r="X48" s="597"/>
      <c r="Y48" s="620"/>
      <c r="Z48" s="620"/>
      <c r="AA48" s="692"/>
      <c r="AB48" s="635"/>
      <c r="AC48" s="622"/>
      <c r="AD48" s="572"/>
      <c r="AE48" s="6"/>
      <c r="AF48" s="6"/>
      <c r="AG48" s="597"/>
      <c r="AH48" s="620"/>
      <c r="AI48" s="620"/>
      <c r="AJ48" s="692"/>
      <c r="AK48" s="635"/>
      <c r="AM48" s="572"/>
      <c r="AN48" s="6"/>
      <c r="AO48" s="572"/>
      <c r="AP48" s="6"/>
      <c r="AQ48" s="6"/>
      <c r="AR48" s="597"/>
      <c r="AS48" s="620"/>
      <c r="AT48" s="620"/>
      <c r="AU48" s="635"/>
      <c r="AV48" s="613"/>
    </row>
    <row r="49" spans="1:48" ht="36" customHeight="1" x14ac:dyDescent="0.25">
      <c r="A49" s="2206">
        <v>45375</v>
      </c>
      <c r="B49" s="574">
        <v>1</v>
      </c>
      <c r="C49" s="596"/>
      <c r="D49" s="596"/>
      <c r="E49" s="596"/>
      <c r="F49" s="597"/>
      <c r="G49" s="620"/>
      <c r="H49" s="619"/>
      <c r="I49" s="848"/>
      <c r="J49" s="635"/>
      <c r="K49" s="622"/>
      <c r="L49" s="572"/>
      <c r="M49" s="6"/>
      <c r="N49" s="6">
        <v>203</v>
      </c>
      <c r="O49" s="597"/>
      <c r="P49" s="620"/>
      <c r="Q49" s="619"/>
      <c r="R49" s="692" t="s">
        <v>887</v>
      </c>
      <c r="S49" s="635"/>
      <c r="T49" s="622"/>
      <c r="U49" s="572"/>
      <c r="V49" s="6"/>
      <c r="W49" s="6"/>
      <c r="X49" s="597"/>
      <c r="Y49" s="620"/>
      <c r="Z49" s="605"/>
      <c r="AA49" s="605"/>
      <c r="AB49" s="635"/>
      <c r="AC49" s="622"/>
      <c r="AD49" s="572"/>
      <c r="AE49" s="6"/>
      <c r="AF49" s="6"/>
      <c r="AG49" s="597"/>
      <c r="AH49" s="620"/>
      <c r="AI49" s="619"/>
      <c r="AJ49" s="692"/>
      <c r="AK49" s="635"/>
      <c r="AM49" s="572"/>
      <c r="AN49" s="6"/>
      <c r="AO49" s="6"/>
      <c r="AP49" s="597"/>
      <c r="AQ49" s="620"/>
      <c r="AR49" s="619"/>
      <c r="AS49" s="692"/>
      <c r="AT49" s="635"/>
      <c r="AU49" s="635"/>
      <c r="AV49" s="613"/>
    </row>
    <row r="50" spans="1:48" ht="51.6" customHeight="1" x14ac:dyDescent="0.25">
      <c r="A50" s="2205"/>
      <c r="B50" s="574">
        <v>2</v>
      </c>
      <c r="C50" s="596"/>
      <c r="D50" s="596"/>
      <c r="E50" s="596"/>
      <c r="F50" s="597"/>
      <c r="G50" s="619"/>
      <c r="H50" s="619"/>
      <c r="I50" s="692"/>
      <c r="J50" s="635"/>
      <c r="K50" s="622"/>
      <c r="L50" s="572"/>
      <c r="M50" s="6"/>
      <c r="N50" s="6"/>
      <c r="O50" s="597"/>
      <c r="P50" s="619"/>
      <c r="Q50" s="619"/>
      <c r="R50" s="692"/>
      <c r="S50" s="635"/>
      <c r="T50" s="622"/>
      <c r="U50" s="572"/>
      <c r="V50" s="6"/>
      <c r="W50" s="6"/>
      <c r="X50" s="597"/>
      <c r="Y50" s="619"/>
      <c r="Z50" s="619"/>
      <c r="AA50" s="698"/>
      <c r="AB50" s="635"/>
      <c r="AC50" s="622"/>
      <c r="AD50" s="572"/>
      <c r="AE50" s="6"/>
      <c r="AF50" s="6"/>
      <c r="AG50" s="597"/>
      <c r="AH50" s="619"/>
      <c r="AI50" s="619"/>
      <c r="AJ50" s="692"/>
      <c r="AK50" s="635"/>
      <c r="AM50" s="572"/>
      <c r="AN50" s="6"/>
      <c r="AO50" s="6"/>
      <c r="AP50" s="597"/>
      <c r="AQ50" s="619"/>
      <c r="AR50" s="619"/>
      <c r="AS50" s="692"/>
      <c r="AT50" s="635"/>
      <c r="AU50" s="635"/>
      <c r="AV50" s="635"/>
    </row>
    <row r="51" spans="1:48" ht="34.9" customHeight="1" x14ac:dyDescent="0.25">
      <c r="A51" s="2206">
        <v>45376</v>
      </c>
      <c r="B51" s="574">
        <v>1</v>
      </c>
      <c r="C51" s="596"/>
      <c r="D51" s="596"/>
      <c r="E51" s="596"/>
      <c r="F51" s="597"/>
      <c r="G51" s="619"/>
      <c r="H51" s="619"/>
      <c r="I51" s="848"/>
      <c r="J51" s="635"/>
      <c r="K51" s="622"/>
      <c r="L51" s="572"/>
      <c r="M51" s="6">
        <v>101</v>
      </c>
      <c r="N51" s="6"/>
      <c r="O51" s="597"/>
      <c r="P51" s="619"/>
      <c r="Q51" s="619" t="s">
        <v>888</v>
      </c>
      <c r="R51" s="692"/>
      <c r="S51" s="635"/>
      <c r="T51" s="622"/>
      <c r="U51" s="572"/>
      <c r="V51" s="6"/>
      <c r="W51" s="6"/>
      <c r="X51" s="597"/>
      <c r="Y51" s="619"/>
      <c r="Z51" s="619"/>
      <c r="AA51" s="698"/>
      <c r="AB51" s="635"/>
      <c r="AC51" s="622"/>
      <c r="AD51" s="572"/>
      <c r="AE51" s="6"/>
      <c r="AF51" s="6"/>
      <c r="AG51" s="597"/>
      <c r="AH51" s="619"/>
      <c r="AI51" s="619"/>
      <c r="AJ51" s="692"/>
      <c r="AK51" s="635"/>
      <c r="AM51" s="572"/>
      <c r="AN51" s="6"/>
      <c r="AO51" s="6"/>
      <c r="AP51" s="597"/>
      <c r="AQ51" s="619"/>
      <c r="AR51" s="619"/>
      <c r="AS51" s="692"/>
      <c r="AT51" s="635"/>
      <c r="AU51" s="635"/>
      <c r="AV51" s="613"/>
    </row>
    <row r="52" spans="1:48" ht="49.15" customHeight="1" x14ac:dyDescent="0.25">
      <c r="A52" s="2205"/>
      <c r="B52" s="574">
        <v>2</v>
      </c>
      <c r="C52" s="596"/>
      <c r="D52" s="596"/>
      <c r="E52" s="596"/>
      <c r="F52" s="597"/>
      <c r="G52" s="620"/>
      <c r="H52" s="620"/>
      <c r="I52" s="848"/>
      <c r="J52" s="635"/>
      <c r="K52" s="622"/>
      <c r="L52" s="572"/>
      <c r="M52" s="6">
        <v>56</v>
      </c>
      <c r="N52" s="6"/>
      <c r="O52" s="597"/>
      <c r="P52" s="620"/>
      <c r="Q52" s="619" t="s">
        <v>888</v>
      </c>
      <c r="R52" s="692"/>
      <c r="S52" s="635"/>
      <c r="T52" s="622"/>
      <c r="U52" s="572"/>
      <c r="V52" s="6"/>
      <c r="W52" s="6"/>
      <c r="X52" s="597"/>
      <c r="Y52" s="620"/>
      <c r="Z52" s="605"/>
      <c r="AA52" s="698"/>
      <c r="AB52" s="635"/>
      <c r="AC52" s="622"/>
      <c r="AD52" s="572"/>
      <c r="AE52" s="6"/>
      <c r="AF52" s="6"/>
      <c r="AG52" s="597"/>
      <c r="AH52" s="620"/>
      <c r="AI52" s="620"/>
      <c r="AJ52" s="692"/>
      <c r="AK52" s="635"/>
      <c r="AM52" s="572"/>
      <c r="AN52" s="613"/>
      <c r="AO52" s="613"/>
      <c r="AP52" s="613"/>
      <c r="AQ52" s="613"/>
      <c r="AR52" s="614"/>
      <c r="AS52" s="6"/>
      <c r="AT52" s="635"/>
      <c r="AU52" s="635"/>
      <c r="AV52" s="613"/>
    </row>
    <row r="53" spans="1:48" ht="40.15" customHeight="1" x14ac:dyDescent="0.25">
      <c r="A53" s="2206">
        <v>45377</v>
      </c>
      <c r="B53" s="574">
        <v>1</v>
      </c>
      <c r="C53" s="596"/>
      <c r="D53" s="596"/>
      <c r="E53" s="596"/>
      <c r="F53" s="597"/>
      <c r="G53" s="619"/>
      <c r="H53" s="619"/>
      <c r="I53" s="848"/>
      <c r="J53" s="635"/>
      <c r="K53" s="622"/>
      <c r="L53" s="572"/>
      <c r="M53" s="6"/>
      <c r="N53" s="6"/>
      <c r="O53" s="613"/>
      <c r="P53" s="1069"/>
      <c r="Q53" s="620"/>
      <c r="R53" s="6"/>
      <c r="S53" s="635"/>
      <c r="T53" s="622"/>
      <c r="U53" s="572"/>
      <c r="V53" s="6"/>
      <c r="W53" s="6"/>
      <c r="X53" s="613"/>
      <c r="Y53" s="1069"/>
      <c r="Z53" s="6"/>
      <c r="AA53" s="605"/>
      <c r="AB53" s="613"/>
      <c r="AC53" s="622"/>
      <c r="AD53" s="572"/>
      <c r="AE53" s="605"/>
      <c r="AF53" s="6"/>
      <c r="AG53" s="613"/>
      <c r="AH53" s="614"/>
      <c r="AI53" s="6"/>
      <c r="AJ53" s="605"/>
      <c r="AK53" s="613"/>
      <c r="AM53" s="572"/>
      <c r="AN53" s="605"/>
      <c r="AO53" s="6">
        <v>20</v>
      </c>
      <c r="AP53" s="50"/>
      <c r="AQ53" s="613"/>
      <c r="AR53" s="614"/>
      <c r="AS53" s="6"/>
      <c r="AT53" s="6" t="s">
        <v>152</v>
      </c>
      <c r="AU53" s="50"/>
      <c r="AV53" s="613"/>
    </row>
    <row r="54" spans="1:48" ht="39.6" customHeight="1" x14ac:dyDescent="0.25">
      <c r="A54" s="2205"/>
      <c r="B54" s="1064">
        <v>2</v>
      </c>
      <c r="C54" s="596"/>
      <c r="D54" s="596"/>
      <c r="E54" s="596"/>
      <c r="F54" s="597"/>
      <c r="G54" s="619"/>
      <c r="H54" s="620"/>
      <c r="I54" s="692"/>
      <c r="J54" s="635"/>
      <c r="K54" s="622"/>
      <c r="L54" s="572"/>
      <c r="M54" s="6"/>
      <c r="N54" s="6"/>
      <c r="O54" s="597"/>
      <c r="P54" s="619"/>
      <c r="Q54" s="620"/>
      <c r="R54" s="619"/>
      <c r="S54" s="635"/>
      <c r="T54" s="622"/>
      <c r="U54" s="572"/>
      <c r="V54" s="6"/>
      <c r="W54" s="6"/>
      <c r="X54" s="597"/>
      <c r="Y54" s="620"/>
      <c r="Z54" s="620"/>
      <c r="AA54" s="620"/>
      <c r="AB54" s="635"/>
      <c r="AC54" s="622"/>
      <c r="AD54" s="572"/>
      <c r="AE54" s="6"/>
      <c r="AF54" s="6"/>
      <c r="AG54" s="613"/>
      <c r="AH54" s="614"/>
      <c r="AI54" s="620"/>
      <c r="AJ54" s="6"/>
      <c r="AK54" s="635"/>
      <c r="AM54" s="572"/>
      <c r="AN54" s="6"/>
      <c r="AO54" s="6">
        <v>11</v>
      </c>
      <c r="AP54" s="50"/>
      <c r="AQ54" s="597"/>
      <c r="AR54" s="619"/>
      <c r="AS54" s="620"/>
      <c r="AT54" s="619" t="s">
        <v>97</v>
      </c>
      <c r="AU54" s="830"/>
      <c r="AV54" s="635"/>
    </row>
    <row r="55" spans="1:48" ht="39.6" customHeight="1" x14ac:dyDescent="0.25">
      <c r="A55" s="2206">
        <v>45378</v>
      </c>
      <c r="B55" s="574">
        <v>1</v>
      </c>
      <c r="C55" s="595"/>
      <c r="D55" s="596"/>
      <c r="E55" s="596"/>
      <c r="F55" s="597"/>
      <c r="G55" s="619"/>
      <c r="H55" s="619"/>
      <c r="I55" s="848"/>
      <c r="J55" s="613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/>
      <c r="X55" s="613"/>
      <c r="Y55" s="614"/>
      <c r="Z55" s="620"/>
      <c r="AA55" s="698"/>
      <c r="AB55" s="613"/>
      <c r="AC55" s="622"/>
      <c r="AD55" s="572"/>
      <c r="AE55" s="6"/>
      <c r="AF55" s="6"/>
      <c r="AG55" s="613"/>
      <c r="AH55" s="614"/>
      <c r="AI55" s="620"/>
      <c r="AJ55" s="6"/>
      <c r="AK55" s="613"/>
      <c r="AM55" s="572"/>
      <c r="AN55" s="6"/>
      <c r="AO55" s="6"/>
      <c r="AP55" s="50"/>
      <c r="AQ55" s="613"/>
      <c r="AR55" s="614"/>
      <c r="AS55" s="620"/>
      <c r="AT55" s="6"/>
      <c r="AU55" s="50"/>
      <c r="AV55" s="613"/>
    </row>
    <row r="56" spans="1:48" ht="94.15" customHeight="1" x14ac:dyDescent="0.25">
      <c r="A56" s="2205"/>
      <c r="B56" s="1064">
        <v>2</v>
      </c>
      <c r="C56" s="595"/>
      <c r="D56" s="596"/>
      <c r="E56" s="596"/>
      <c r="F56" s="597"/>
      <c r="G56" s="620"/>
      <c r="H56" s="620"/>
      <c r="I56" s="848"/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/>
      <c r="V56" s="6"/>
      <c r="W56" s="6"/>
      <c r="X56" s="597"/>
      <c r="Y56" s="1069"/>
      <c r="Z56" s="619"/>
      <c r="AA56" s="605"/>
      <c r="AB56" s="635"/>
      <c r="AC56" s="622"/>
      <c r="AD56" s="572"/>
      <c r="AE56" s="6"/>
      <c r="AF56" s="6"/>
      <c r="AG56" s="597"/>
      <c r="AH56" s="620"/>
      <c r="AI56" s="619"/>
      <c r="AJ56" s="620"/>
      <c r="AK56" s="635"/>
      <c r="AM56" s="572"/>
      <c r="AN56" s="6"/>
      <c r="AO56" s="6"/>
      <c r="AP56" s="50"/>
      <c r="AQ56" s="597"/>
      <c r="AR56" s="620"/>
      <c r="AS56" s="619"/>
      <c r="AT56" s="620"/>
      <c r="AU56" s="692"/>
      <c r="AV56" s="635"/>
    </row>
    <row r="57" spans="1:48" ht="52.15" customHeight="1" x14ac:dyDescent="0.25">
      <c r="A57" s="2206">
        <v>45379</v>
      </c>
      <c r="B57" s="574">
        <v>1</v>
      </c>
      <c r="C57" s="595"/>
      <c r="D57" s="596"/>
      <c r="E57" s="596"/>
      <c r="F57" s="597"/>
      <c r="G57" s="620"/>
      <c r="H57" s="620"/>
      <c r="I57" s="692"/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/>
      <c r="X57" s="597"/>
      <c r="Y57" s="620"/>
      <c r="Z57" s="619"/>
      <c r="AA57" s="605"/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/>
      <c r="AP57" s="50"/>
      <c r="AQ57" s="597"/>
      <c r="AR57" s="620"/>
      <c r="AS57" s="619"/>
      <c r="AT57" s="620"/>
      <c r="AU57" s="692"/>
      <c r="AV57" s="635"/>
    </row>
    <row r="58" spans="1:48" ht="78" customHeight="1" x14ac:dyDescent="0.25">
      <c r="A58" s="2205"/>
      <c r="B58" s="1064">
        <v>2</v>
      </c>
      <c r="C58" s="595"/>
      <c r="D58" s="596"/>
      <c r="E58" s="596"/>
      <c r="F58" s="597"/>
      <c r="G58" s="620"/>
      <c r="H58" s="619"/>
      <c r="I58" s="848"/>
      <c r="J58" s="635"/>
      <c r="K58" s="622"/>
      <c r="L58" s="572"/>
      <c r="M58" s="6"/>
      <c r="N58" s="6"/>
      <c r="O58" s="597"/>
      <c r="P58" s="620"/>
      <c r="Q58" s="619"/>
      <c r="R58" s="620"/>
      <c r="S58" s="635"/>
      <c r="T58" s="622"/>
      <c r="U58" s="572"/>
      <c r="V58" s="6"/>
      <c r="W58" s="6"/>
      <c r="X58" s="597"/>
      <c r="Y58" s="620"/>
      <c r="Z58" s="619"/>
      <c r="AA58" s="698"/>
      <c r="AB58" s="635"/>
      <c r="AC58" s="622"/>
      <c r="AD58" s="572"/>
      <c r="AE58" s="6"/>
      <c r="AF58" s="6"/>
      <c r="AG58" s="597"/>
      <c r="AH58" s="620"/>
      <c r="AI58" s="619"/>
      <c r="AJ58" s="6"/>
      <c r="AK58" s="635"/>
      <c r="AM58" s="572"/>
      <c r="AN58" s="6"/>
      <c r="AO58" s="6"/>
      <c r="AP58" s="50"/>
      <c r="AQ58" s="597"/>
      <c r="AR58" s="620"/>
      <c r="AS58" s="619"/>
      <c r="AT58" s="620"/>
      <c r="AU58" s="692"/>
      <c r="AV58" s="635"/>
    </row>
    <row r="59" spans="1:48" ht="73.150000000000006" customHeight="1" x14ac:dyDescent="0.25">
      <c r="A59" s="2206">
        <v>45380</v>
      </c>
      <c r="B59" s="574">
        <v>1</v>
      </c>
      <c r="C59" s="595"/>
      <c r="D59" s="596"/>
      <c r="E59" s="596"/>
      <c r="F59" s="597"/>
      <c r="G59" s="619"/>
      <c r="H59" s="619"/>
      <c r="I59" s="848"/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/>
      <c r="X59" s="613"/>
      <c r="Y59" s="614"/>
      <c r="Z59" s="6"/>
      <c r="AA59" s="698"/>
      <c r="AB59" s="635"/>
      <c r="AC59" s="622"/>
      <c r="AD59" s="572"/>
      <c r="AE59" s="6"/>
      <c r="AF59" s="6"/>
      <c r="AG59" s="613"/>
      <c r="AH59" s="1069"/>
      <c r="AI59" s="6"/>
      <c r="AJ59" s="620"/>
      <c r="AK59" s="635"/>
      <c r="AM59" s="572"/>
      <c r="AN59" s="6"/>
      <c r="AO59" s="6"/>
      <c r="AP59" s="50"/>
      <c r="AQ59" s="613"/>
      <c r="AR59" s="1069"/>
      <c r="AS59" s="6"/>
      <c r="AT59" s="620"/>
      <c r="AU59" s="692"/>
      <c r="AV59" s="635"/>
    </row>
    <row r="60" spans="1:48" ht="36" customHeight="1" x14ac:dyDescent="0.25">
      <c r="A60" s="2205"/>
      <c r="B60" s="1064">
        <v>2</v>
      </c>
      <c r="C60" s="595">
        <v>320</v>
      </c>
      <c r="D60" s="596">
        <v>10</v>
      </c>
      <c r="E60" s="596"/>
      <c r="F60" s="597"/>
      <c r="G60" s="620" t="s">
        <v>889</v>
      </c>
      <c r="H60" s="620" t="s">
        <v>96</v>
      </c>
      <c r="I60" s="848"/>
      <c r="J60" s="635"/>
      <c r="K60" s="622"/>
      <c r="L60" s="572"/>
      <c r="M60" s="6"/>
      <c r="N60" s="6"/>
      <c r="O60" s="613"/>
      <c r="P60" s="614"/>
      <c r="Q60" s="620"/>
      <c r="R60" s="6"/>
      <c r="S60" s="635"/>
      <c r="T60" s="622"/>
      <c r="U60" s="572">
        <v>46</v>
      </c>
      <c r="V60" s="6"/>
      <c r="W60" s="6"/>
      <c r="X60" s="613"/>
      <c r="Y60" s="1089" t="s">
        <v>890</v>
      </c>
      <c r="Z60" s="620"/>
      <c r="AA60" s="605"/>
      <c r="AB60" s="635"/>
      <c r="AC60" s="622"/>
      <c r="AD60" s="572"/>
      <c r="AE60" s="6"/>
      <c r="AF60" s="6"/>
      <c r="AG60" s="613"/>
      <c r="AH60" s="614"/>
      <c r="AI60" s="620"/>
      <c r="AJ60" s="605"/>
      <c r="AK60" s="635"/>
      <c r="AM60" s="572"/>
      <c r="AN60" s="6"/>
      <c r="AO60" s="6"/>
      <c r="AP60" s="50"/>
      <c r="AQ60" s="613"/>
      <c r="AR60" s="614"/>
      <c r="AS60" s="620"/>
      <c r="AT60" s="605"/>
      <c r="AU60" s="828"/>
      <c r="AV60" s="635"/>
    </row>
    <row r="61" spans="1:48" ht="32.450000000000003" customHeight="1" x14ac:dyDescent="0.25">
      <c r="A61" s="2206">
        <v>45381</v>
      </c>
      <c r="B61" s="574">
        <v>1</v>
      </c>
      <c r="C61" s="1072"/>
      <c r="D61" s="1074">
        <v>93</v>
      </c>
      <c r="E61" s="596"/>
      <c r="F61" s="749"/>
      <c r="G61" s="619"/>
      <c r="H61" s="620" t="s">
        <v>96</v>
      </c>
      <c r="I61" s="692"/>
      <c r="J61" s="687"/>
      <c r="K61" s="622"/>
      <c r="L61" s="572"/>
      <c r="M61" s="6"/>
      <c r="N61" s="6"/>
      <c r="O61" s="613"/>
      <c r="P61" s="752"/>
      <c r="Q61" s="1070"/>
      <c r="R61" s="1070"/>
      <c r="S61" s="753"/>
      <c r="T61" s="622"/>
      <c r="U61" s="572"/>
      <c r="V61" s="6"/>
      <c r="W61" s="6"/>
      <c r="X61" s="613"/>
      <c r="Y61" s="1069"/>
      <c r="Z61" s="605"/>
      <c r="AA61" s="605"/>
      <c r="AB61" s="753"/>
      <c r="AC61" s="622"/>
      <c r="AD61" s="572"/>
      <c r="AE61" s="6"/>
      <c r="AF61" s="6"/>
      <c r="AG61" s="613"/>
      <c r="AH61" s="614"/>
      <c r="AI61" s="6"/>
      <c r="AJ61" s="605"/>
      <c r="AK61" s="753"/>
      <c r="AM61" s="572"/>
      <c r="AN61" s="6"/>
      <c r="AO61" s="6"/>
      <c r="AP61" s="50"/>
      <c r="AQ61" s="613"/>
      <c r="AR61" s="1069"/>
      <c r="AS61" s="6"/>
      <c r="AT61" s="605"/>
      <c r="AU61" s="964"/>
      <c r="AV61" s="753"/>
    </row>
    <row r="62" spans="1:48" ht="62.45" customHeight="1" x14ac:dyDescent="0.25">
      <c r="A62" s="2205"/>
      <c r="B62" s="1064">
        <v>2</v>
      </c>
      <c r="C62" s="1072"/>
      <c r="D62" s="1074"/>
      <c r="E62" s="1074"/>
      <c r="F62" s="749"/>
      <c r="G62" s="1066"/>
      <c r="H62" s="1073"/>
      <c r="I62" s="692"/>
      <c r="J62" s="687"/>
      <c r="K62" s="622"/>
      <c r="L62" s="572"/>
      <c r="M62" s="6"/>
      <c r="N62" s="6"/>
      <c r="O62" s="613"/>
      <c r="P62" s="752"/>
      <c r="Q62" s="1070"/>
      <c r="R62" s="1070"/>
      <c r="S62" s="753"/>
      <c r="T62" s="622"/>
      <c r="U62" s="572"/>
      <c r="V62" s="6"/>
      <c r="W62" s="6"/>
      <c r="X62" s="613"/>
      <c r="Y62" s="1069"/>
      <c r="Z62" s="605"/>
      <c r="AA62" s="605"/>
      <c r="AB62" s="753"/>
      <c r="AC62" s="622"/>
      <c r="AD62" s="572">
        <v>4</v>
      </c>
      <c r="AE62" s="6"/>
      <c r="AF62" s="6"/>
      <c r="AG62" s="613"/>
      <c r="AH62" s="1089" t="s">
        <v>891</v>
      </c>
      <c r="AI62" s="6"/>
      <c r="AJ62" s="605"/>
      <c r="AK62" s="753"/>
      <c r="AM62" s="572"/>
      <c r="AN62" s="6"/>
      <c r="AO62" s="6"/>
      <c r="AP62" s="50"/>
      <c r="AQ62" s="613"/>
      <c r="AR62" s="614"/>
      <c r="AS62" s="6"/>
      <c r="AT62" s="605"/>
      <c r="AU62" s="964"/>
      <c r="AV62" s="753"/>
    </row>
    <row r="63" spans="1:48" ht="64.150000000000006" customHeight="1" x14ac:dyDescent="0.25">
      <c r="A63" s="2206">
        <v>45382</v>
      </c>
      <c r="B63" s="574">
        <v>1</v>
      </c>
      <c r="C63" s="706"/>
      <c r="D63" s="707"/>
      <c r="E63" s="707"/>
      <c r="F63" s="708"/>
      <c r="G63" s="717"/>
      <c r="H63" s="709"/>
      <c r="I63" s="692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>
        <v>5</v>
      </c>
      <c r="X63" s="597"/>
      <c r="Y63" s="685"/>
      <c r="Z63" s="619"/>
      <c r="AA63" s="671" t="s">
        <v>325</v>
      </c>
      <c r="AB63" s="1068"/>
      <c r="AC63" s="622"/>
      <c r="AD63" s="572"/>
      <c r="AE63" s="6"/>
      <c r="AF63" s="6"/>
      <c r="AG63" s="597"/>
      <c r="AH63" s="685"/>
      <c r="AI63" s="619"/>
      <c r="AJ63" s="6"/>
      <c r="AK63" s="705"/>
      <c r="AM63" s="572"/>
      <c r="AN63" s="6"/>
      <c r="AO63" s="6"/>
      <c r="AP63" s="50"/>
      <c r="AQ63" s="597"/>
      <c r="AR63" s="685"/>
      <c r="AS63" s="619"/>
      <c r="AT63" s="619"/>
      <c r="AU63" s="965"/>
      <c r="AV63" s="705"/>
    </row>
    <row r="64" spans="1:48" ht="62.45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>
        <v>5</v>
      </c>
      <c r="X64" s="636"/>
      <c r="Y64" s="637"/>
      <c r="Z64" s="638"/>
      <c r="AA64" s="671" t="s">
        <v>325</v>
      </c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>
        <v>123</v>
      </c>
      <c r="AN64" s="638"/>
      <c r="AO64" s="638"/>
      <c r="AP64" s="963"/>
      <c r="AQ64" s="636"/>
      <c r="AR64" s="640" t="s">
        <v>892</v>
      </c>
      <c r="AS64" s="638"/>
      <c r="AT64" s="638"/>
      <c r="AU64" s="966"/>
      <c r="AV64" s="713"/>
    </row>
    <row r="65" spans="1:43" ht="23.45" customHeight="1" x14ac:dyDescent="0.25">
      <c r="A65" s="524" t="s">
        <v>225</v>
      </c>
      <c r="C65" s="768">
        <f>SUM(C3:C64)</f>
        <v>320</v>
      </c>
      <c r="D65" s="525">
        <f>SUM(D3:D64)</f>
        <v>183</v>
      </c>
      <c r="E65" s="768">
        <f>SUM(E3:E64)</f>
        <v>243</v>
      </c>
      <c r="F65" s="525">
        <f>SUM(F3:F64)</f>
        <v>0</v>
      </c>
      <c r="L65" s="525">
        <f>SUM(L3:L64)</f>
        <v>30</v>
      </c>
      <c r="M65" s="525">
        <f>SUM(M3:M64)</f>
        <v>368</v>
      </c>
      <c r="N65" s="525">
        <f>SUM(N3:N64)</f>
        <v>668</v>
      </c>
      <c r="O65" s="525">
        <f>SUM(O3:O64)</f>
        <v>0</v>
      </c>
      <c r="U65" s="525">
        <f>SUM(U3:U64)</f>
        <v>7180</v>
      </c>
      <c r="V65" s="525">
        <f>SUM(V3:V64)</f>
        <v>107</v>
      </c>
      <c r="W65" s="525">
        <f>SUM(W3:W64)</f>
        <v>533</v>
      </c>
      <c r="X65" s="525">
        <f>SUM(X3:X64)</f>
        <v>0</v>
      </c>
      <c r="AD65" s="525">
        <f>SUM(AD3:AD64)</f>
        <v>24</v>
      </c>
      <c r="AE65" s="525">
        <f>SUM(AE3:AE64)</f>
        <v>30</v>
      </c>
      <c r="AF65" s="525">
        <f>SUM(AF3:AF64)</f>
        <v>188</v>
      </c>
      <c r="AG65" s="525">
        <f>SUM(AG3:AG64)</f>
        <v>0</v>
      </c>
      <c r="AM65" s="525">
        <f>SUM(AM3:AM64)</f>
        <v>149</v>
      </c>
      <c r="AN65" s="525">
        <f>SUM(AN3:AN64)</f>
        <v>0</v>
      </c>
      <c r="AO65" s="525">
        <f>SUM(AO3:AO64)</f>
        <v>886</v>
      </c>
      <c r="AP65" s="525"/>
      <c r="AQ65" s="525">
        <f>SUM(AQ3:AQ64)</f>
        <v>0</v>
      </c>
    </row>
    <row r="73" spans="1:43" ht="15.75" thickBot="1" x14ac:dyDescent="0.3"/>
    <row r="74" spans="1:43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3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3" ht="21.75" customHeight="1" x14ac:dyDescent="0.3">
      <c r="B76" s="651" t="s">
        <v>218</v>
      </c>
      <c r="C76" s="652">
        <f>C65</f>
        <v>320</v>
      </c>
      <c r="D76" s="653">
        <f>C76/60</f>
        <v>5.333333333333333</v>
      </c>
      <c r="E76" s="652">
        <f>D65</f>
        <v>183</v>
      </c>
      <c r="F76" s="654">
        <f>E76/60</f>
        <v>3.05</v>
      </c>
      <c r="G76" s="652">
        <f>E65</f>
        <v>243</v>
      </c>
      <c r="H76" s="653">
        <f>G76/60</f>
        <v>4.05</v>
      </c>
      <c r="I76" s="652">
        <f>F65</f>
        <v>0</v>
      </c>
      <c r="J76" s="653">
        <f>I76/60</f>
        <v>0</v>
      </c>
    </row>
    <row r="77" spans="1:43" ht="19.5" customHeight="1" x14ac:dyDescent="0.3">
      <c r="B77" s="651" t="s">
        <v>219</v>
      </c>
      <c r="C77" s="655">
        <f>L65</f>
        <v>30</v>
      </c>
      <c r="D77" s="656">
        <f>C77/60</f>
        <v>0.5</v>
      </c>
      <c r="E77" s="655">
        <f>M65</f>
        <v>368</v>
      </c>
      <c r="F77" s="657">
        <f>E77/60</f>
        <v>6.1333333333333337</v>
      </c>
      <c r="G77" s="655">
        <f>N65</f>
        <v>668</v>
      </c>
      <c r="H77" s="656">
        <f>G77/60</f>
        <v>11.133333333333333</v>
      </c>
      <c r="I77" s="655">
        <f>O65</f>
        <v>0</v>
      </c>
      <c r="J77" s="656">
        <f>I77/60</f>
        <v>0</v>
      </c>
    </row>
    <row r="78" spans="1:43" ht="20.25" customHeight="1" x14ac:dyDescent="0.3">
      <c r="B78" s="651" t="s">
        <v>220</v>
      </c>
      <c r="C78" s="655">
        <f>U65</f>
        <v>7180</v>
      </c>
      <c r="D78" s="656">
        <f>C78/60</f>
        <v>119.66666666666667</v>
      </c>
      <c r="E78" s="655">
        <f>V65</f>
        <v>107</v>
      </c>
      <c r="F78" s="657">
        <f>E78/60</f>
        <v>1.7833333333333334</v>
      </c>
      <c r="G78" s="655">
        <f>W65</f>
        <v>533</v>
      </c>
      <c r="H78" s="656">
        <f>G78/60</f>
        <v>8.8833333333333329</v>
      </c>
      <c r="I78" s="655">
        <f>X65</f>
        <v>0</v>
      </c>
      <c r="J78" s="656">
        <f>I78/60</f>
        <v>0</v>
      </c>
    </row>
    <row r="79" spans="1:43" ht="22.5" customHeight="1" thickBot="1" x14ac:dyDescent="0.35">
      <c r="B79" s="651" t="s">
        <v>221</v>
      </c>
      <c r="C79" s="658">
        <f>AD65</f>
        <v>24</v>
      </c>
      <c r="D79" s="659">
        <f>C79/60</f>
        <v>0.4</v>
      </c>
      <c r="E79" s="658">
        <f>AE65</f>
        <v>30</v>
      </c>
      <c r="F79" s="660">
        <f>E79/60</f>
        <v>0.5</v>
      </c>
      <c r="G79" s="658">
        <f>AF65</f>
        <v>188</v>
      </c>
      <c r="H79" s="659">
        <f>G79/60</f>
        <v>3.1333333333333333</v>
      </c>
      <c r="I79" s="658">
        <f>AG65</f>
        <v>0</v>
      </c>
      <c r="J79" s="659">
        <f>I79/60</f>
        <v>0</v>
      </c>
    </row>
    <row r="80" spans="1:43" ht="22.5" customHeight="1" thickBot="1" x14ac:dyDescent="0.35">
      <c r="B80" s="651" t="s">
        <v>488</v>
      </c>
      <c r="C80" s="850">
        <f>AM65</f>
        <v>149</v>
      </c>
      <c r="D80" s="849">
        <f>C80/60</f>
        <v>2.4833333333333334</v>
      </c>
      <c r="E80" s="850">
        <f>AN65</f>
        <v>0</v>
      </c>
      <c r="F80" s="851">
        <f>E80/60</f>
        <v>0</v>
      </c>
      <c r="G80" s="850">
        <f>AO65</f>
        <v>886</v>
      </c>
      <c r="H80" s="849">
        <f>G80/60</f>
        <v>14.766666666666667</v>
      </c>
      <c r="I80" s="850">
        <f>AQ65</f>
        <v>0</v>
      </c>
      <c r="J80" s="849">
        <f>I80/60</f>
        <v>0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128.38333333333333</v>
      </c>
      <c r="E82" s="666"/>
      <c r="F82" s="667">
        <f>SUM(F76:F80)</f>
        <v>11.466666666666667</v>
      </c>
      <c r="G82" s="666"/>
      <c r="H82" s="667">
        <f>SUM(H76:H80)</f>
        <v>41.966666666666669</v>
      </c>
      <c r="I82" s="666"/>
      <c r="J82" s="668">
        <f>AVERAGE(J76:J80)</f>
        <v>0</v>
      </c>
    </row>
    <row r="86" spans="2:10" x14ac:dyDescent="0.25">
      <c r="F86" s="1090"/>
    </row>
    <row r="87" spans="2:10" x14ac:dyDescent="0.25">
      <c r="F87" s="1090"/>
    </row>
  </sheetData>
  <mergeCells count="45"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D1:AG1"/>
    <mergeCell ref="AH1:AK1"/>
    <mergeCell ref="AM1:AQ1"/>
    <mergeCell ref="AR1:AV1"/>
    <mergeCell ref="A3:A4"/>
    <mergeCell ref="U1:X1"/>
    <mergeCell ref="Y1:AB1"/>
    <mergeCell ref="A5:A6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2"/>
  <sheetViews>
    <sheetView zoomScale="60" zoomScaleNormal="60" workbookViewId="0">
      <pane xSplit="2" ySplit="2" topLeftCell="C26" activePane="bottomRight" state="frozen"/>
      <selection pane="topRight" activeCell="C1" sqref="C1"/>
      <selection pane="bottomLeft" activeCell="A3" sqref="A3"/>
      <selection pane="bottomRight" activeCell="AP42" sqref="AP42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7.285156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3" style="524" customWidth="1"/>
    <col min="17" max="17" width="27.28515625" style="524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2.42578125" style="524" customWidth="1"/>
    <col min="28" max="28" width="27" style="524" customWidth="1"/>
    <col min="29" max="33" width="10.7109375" style="524" customWidth="1"/>
    <col min="34" max="34" width="31.28515625" style="524" customWidth="1"/>
    <col min="35" max="35" width="18.57031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3" width="10.7109375" style="524" customWidth="1"/>
    <col min="44" max="44" width="21.140625" style="524" customWidth="1"/>
    <col min="45" max="45" width="26.28515625" style="524" customWidth="1"/>
    <col min="46" max="46" width="27.140625" style="524" customWidth="1"/>
    <col min="47" max="47" width="24.42578125" style="524" customWidth="1"/>
    <col min="48" max="48" width="26.5703125" style="524" customWidth="1"/>
    <col min="49" max="16384" width="8.85546875" style="524"/>
  </cols>
  <sheetData>
    <row r="1" spans="1:48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0"/>
      <c r="AR1" s="2252" t="s">
        <v>206</v>
      </c>
      <c r="AS1" s="2252"/>
      <c r="AT1" s="2252"/>
      <c r="AU1" s="2252"/>
      <c r="AV1" s="2253"/>
    </row>
    <row r="2" spans="1:48" ht="42.6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6" t="s">
        <v>199</v>
      </c>
      <c r="AI2" s="984" t="s">
        <v>200</v>
      </c>
      <c r="AJ2" s="984" t="s">
        <v>201</v>
      </c>
      <c r="AK2" s="984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4" t="s">
        <v>204</v>
      </c>
      <c r="AR2" s="986" t="s">
        <v>199</v>
      </c>
      <c r="AS2" s="984" t="s">
        <v>200</v>
      </c>
      <c r="AT2" s="984" t="s">
        <v>201</v>
      </c>
      <c r="AU2" s="984" t="s">
        <v>204</v>
      </c>
      <c r="AV2" s="984" t="s">
        <v>204</v>
      </c>
    </row>
    <row r="3" spans="1:48" ht="78" customHeight="1" x14ac:dyDescent="0.25">
      <c r="A3" s="2206">
        <v>45383</v>
      </c>
      <c r="B3" s="1079">
        <v>1</v>
      </c>
      <c r="C3" s="592"/>
      <c r="D3" s="593"/>
      <c r="E3" s="6"/>
      <c r="F3" s="594"/>
      <c r="G3" s="685"/>
      <c r="H3" s="619"/>
      <c r="I3" s="620"/>
      <c r="J3" s="686"/>
      <c r="K3" s="622"/>
      <c r="L3" s="612"/>
      <c r="M3" s="630"/>
      <c r="N3" s="630"/>
      <c r="O3" s="628"/>
      <c r="P3" s="629"/>
      <c r="Q3" s="699"/>
      <c r="R3" s="699"/>
      <c r="S3" s="628"/>
      <c r="T3" s="622"/>
      <c r="U3" s="612"/>
      <c r="V3" s="630"/>
      <c r="W3" s="6"/>
      <c r="X3" s="613"/>
      <c r="Y3" s="1083"/>
      <c r="Z3" s="629"/>
      <c r="AA3" s="620"/>
      <c r="AB3" s="720"/>
      <c r="AC3" s="622"/>
      <c r="AD3" s="612"/>
      <c r="AE3" s="630"/>
      <c r="AF3" s="6"/>
      <c r="AG3" s="628"/>
      <c r="AH3" s="629"/>
      <c r="AI3" s="629"/>
      <c r="AJ3" s="605"/>
      <c r="AK3" s="628"/>
      <c r="AM3" s="612"/>
      <c r="AN3" s="630"/>
      <c r="AO3" s="6"/>
      <c r="AP3" s="962"/>
      <c r="AQ3" s="628"/>
      <c r="AR3" s="629"/>
      <c r="AS3" s="648"/>
      <c r="AT3" s="6"/>
      <c r="AU3" s="962"/>
      <c r="AV3" s="628"/>
    </row>
    <row r="4" spans="1:48" ht="70.150000000000006" customHeight="1" x14ac:dyDescent="0.25">
      <c r="A4" s="2205"/>
      <c r="B4" s="574">
        <v>2</v>
      </c>
      <c r="C4" s="595"/>
      <c r="D4" s="596"/>
      <c r="E4" s="596"/>
      <c r="F4" s="597"/>
      <c r="G4" s="685"/>
      <c r="H4" s="619"/>
      <c r="I4" s="848"/>
      <c r="J4" s="687"/>
      <c r="K4" s="622"/>
      <c r="L4" s="572"/>
      <c r="M4" s="6"/>
      <c r="N4" s="6"/>
      <c r="O4" s="613"/>
      <c r="P4" s="614"/>
      <c r="Q4" s="619"/>
      <c r="R4" s="1085"/>
      <c r="S4" s="613"/>
      <c r="T4" s="622"/>
      <c r="U4" s="572"/>
      <c r="V4" s="605">
        <v>226</v>
      </c>
      <c r="W4" s="6"/>
      <c r="X4" s="613"/>
      <c r="Y4" s="1083"/>
      <c r="Z4" s="619" t="s">
        <v>893</v>
      </c>
      <c r="AA4" s="698"/>
      <c r="AB4" s="722"/>
      <c r="AC4" s="622"/>
      <c r="AD4" s="572"/>
      <c r="AE4" s="6"/>
      <c r="AF4" s="6"/>
      <c r="AG4" s="613"/>
      <c r="AH4" s="614"/>
      <c r="AI4" s="620"/>
      <c r="AJ4" s="6"/>
      <c r="AK4" s="613"/>
      <c r="AM4" s="572"/>
      <c r="AN4" s="6"/>
      <c r="AO4" s="6"/>
      <c r="AP4" s="50"/>
      <c r="AQ4" s="613"/>
      <c r="AR4" s="614"/>
      <c r="AS4" s="620"/>
      <c r="AT4" s="6"/>
      <c r="AU4" s="50"/>
      <c r="AV4" s="613"/>
    </row>
    <row r="5" spans="1:48" ht="60" customHeight="1" x14ac:dyDescent="0.25">
      <c r="A5" s="2206">
        <v>45384</v>
      </c>
      <c r="B5" s="574">
        <v>1</v>
      </c>
      <c r="C5" s="595"/>
      <c r="D5" s="596"/>
      <c r="E5" s="596"/>
      <c r="F5" s="597"/>
      <c r="G5" s="684"/>
      <c r="H5" s="684"/>
      <c r="I5" s="848"/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>
        <v>720</v>
      </c>
      <c r="W5" s="6"/>
      <c r="X5" s="613"/>
      <c r="Y5" s="1083"/>
      <c r="Z5" s="619" t="s">
        <v>894</v>
      </c>
      <c r="AA5" s="698"/>
      <c r="AB5" s="723"/>
      <c r="AC5" s="622"/>
      <c r="AD5" s="572"/>
      <c r="AE5" s="6"/>
      <c r="AF5" s="6"/>
      <c r="AG5" s="613"/>
      <c r="AH5" s="614"/>
      <c r="AI5" s="6"/>
      <c r="AJ5" s="1036"/>
      <c r="AK5" s="613"/>
      <c r="AM5" s="572"/>
      <c r="AN5" s="6"/>
      <c r="AO5" s="6"/>
      <c r="AP5" s="50"/>
      <c r="AQ5" s="613"/>
      <c r="AR5" s="614"/>
      <c r="AS5" s="6"/>
      <c r="AT5" s="605"/>
      <c r="AU5" s="828"/>
      <c r="AV5" s="634"/>
    </row>
    <row r="6" spans="1:48" ht="80.45" customHeight="1" x14ac:dyDescent="0.25">
      <c r="A6" s="2205"/>
      <c r="B6" s="574">
        <v>2</v>
      </c>
      <c r="C6" s="595"/>
      <c r="D6" s="596"/>
      <c r="E6" s="596"/>
      <c r="F6" s="597">
        <v>508</v>
      </c>
      <c r="G6" s="685"/>
      <c r="H6" s="620"/>
      <c r="I6" s="848"/>
      <c r="J6" s="635" t="s">
        <v>895</v>
      </c>
      <c r="K6" s="622"/>
      <c r="L6" s="572"/>
      <c r="M6" s="6"/>
      <c r="N6" s="6"/>
      <c r="O6" s="613">
        <v>534</v>
      </c>
      <c r="P6" s="614"/>
      <c r="Q6" s="619"/>
      <c r="R6" s="6"/>
      <c r="S6" s="635" t="s">
        <v>895</v>
      </c>
      <c r="T6" s="622"/>
      <c r="U6" s="572"/>
      <c r="V6" s="6">
        <v>59</v>
      </c>
      <c r="W6" s="6"/>
      <c r="X6" s="613">
        <v>512</v>
      </c>
      <c r="Y6" s="1083"/>
      <c r="Z6" s="619" t="s">
        <v>894</v>
      </c>
      <c r="AA6" s="698"/>
      <c r="AB6" s="635" t="s">
        <v>895</v>
      </c>
      <c r="AC6" s="622"/>
      <c r="AD6" s="572"/>
      <c r="AE6" s="6"/>
      <c r="AF6" s="6"/>
      <c r="AG6" s="613">
        <v>528</v>
      </c>
      <c r="AH6" s="614"/>
      <c r="AI6" s="6"/>
      <c r="AJ6" s="6"/>
      <c r="AK6" s="635" t="s">
        <v>895</v>
      </c>
      <c r="AM6" s="572"/>
      <c r="AN6" s="6"/>
      <c r="AO6" s="6"/>
      <c r="AP6" s="50"/>
      <c r="AQ6" s="50">
        <v>486</v>
      </c>
      <c r="AR6" s="613"/>
      <c r="AS6" s="614"/>
      <c r="AT6" s="6"/>
      <c r="AU6" s="605"/>
      <c r="AV6" s="635" t="s">
        <v>895</v>
      </c>
    </row>
    <row r="7" spans="1:48" ht="71.45" customHeight="1" x14ac:dyDescent="0.25">
      <c r="A7" s="2206">
        <v>45385</v>
      </c>
      <c r="B7" s="574">
        <v>1</v>
      </c>
      <c r="C7" s="595"/>
      <c r="D7" s="596"/>
      <c r="E7" s="596">
        <v>43</v>
      </c>
      <c r="F7" s="597"/>
      <c r="G7" s="685"/>
      <c r="H7" s="620"/>
      <c r="I7" s="635" t="s">
        <v>896</v>
      </c>
      <c r="J7" s="635"/>
      <c r="K7" s="622"/>
      <c r="L7" s="572"/>
      <c r="M7" s="614"/>
      <c r="N7" s="6"/>
      <c r="O7" s="613"/>
      <c r="P7" s="614"/>
      <c r="Q7" s="1010"/>
      <c r="R7" s="6"/>
      <c r="S7" s="613"/>
      <c r="T7" s="622"/>
      <c r="U7" s="572"/>
      <c r="V7" s="6">
        <v>470</v>
      </c>
      <c r="W7" s="6"/>
      <c r="X7" s="613"/>
      <c r="Y7" s="1083"/>
      <c r="Z7" s="619" t="s">
        <v>894</v>
      </c>
      <c r="AA7" s="698"/>
      <c r="AB7" s="613"/>
      <c r="AC7" s="622"/>
      <c r="AD7" s="572"/>
      <c r="AE7" s="6"/>
      <c r="AF7" s="6">
        <v>42</v>
      </c>
      <c r="AG7" s="613"/>
      <c r="AH7" s="614"/>
      <c r="AI7" s="1010"/>
      <c r="AJ7" s="635" t="s">
        <v>896</v>
      </c>
      <c r="AK7" s="613"/>
      <c r="AM7" s="572"/>
      <c r="AN7" s="6"/>
      <c r="AO7" s="6"/>
      <c r="AP7" s="50"/>
      <c r="AQ7" s="50"/>
      <c r="AR7" s="613"/>
      <c r="AS7" s="614"/>
      <c r="AT7" s="1010"/>
      <c r="AU7" s="620"/>
      <c r="AV7" s="692"/>
    </row>
    <row r="8" spans="1:48" ht="69.599999999999994" customHeight="1" x14ac:dyDescent="0.25">
      <c r="A8" s="2205"/>
      <c r="B8" s="574">
        <v>2</v>
      </c>
      <c r="C8" s="595"/>
      <c r="D8" s="596"/>
      <c r="E8" s="596"/>
      <c r="F8" s="597">
        <v>581</v>
      </c>
      <c r="G8" s="684"/>
      <c r="H8" s="620"/>
      <c r="I8" s="848"/>
      <c r="J8" s="635" t="s">
        <v>895</v>
      </c>
      <c r="K8" s="622"/>
      <c r="L8" s="572"/>
      <c r="M8" s="6"/>
      <c r="N8" s="6"/>
      <c r="O8" s="613">
        <v>592</v>
      </c>
      <c r="P8" s="1083"/>
      <c r="Q8" s="6"/>
      <c r="R8" s="605"/>
      <c r="S8" s="635" t="s">
        <v>895</v>
      </c>
      <c r="T8" s="622"/>
      <c r="U8" s="572"/>
      <c r="V8" s="831">
        <v>683</v>
      </c>
      <c r="W8" s="614"/>
      <c r="X8" s="613">
        <v>683</v>
      </c>
      <c r="Y8" s="1083"/>
      <c r="Z8" s="619" t="s">
        <v>894</v>
      </c>
      <c r="AA8" s="698"/>
      <c r="AB8" s="635" t="s">
        <v>895</v>
      </c>
      <c r="AC8" s="622"/>
      <c r="AD8" s="572"/>
      <c r="AE8" s="6"/>
      <c r="AF8" s="6"/>
      <c r="AG8" s="613">
        <v>613</v>
      </c>
      <c r="AH8" s="614"/>
      <c r="AI8" s="605"/>
      <c r="AJ8" s="620"/>
      <c r="AK8" s="635" t="s">
        <v>895</v>
      </c>
      <c r="AM8" s="572"/>
      <c r="AN8" s="6"/>
      <c r="AO8" s="6"/>
      <c r="AP8" s="50"/>
      <c r="AQ8" s="50">
        <v>590</v>
      </c>
      <c r="AR8" s="613"/>
      <c r="AS8" s="614"/>
      <c r="AT8" s="6"/>
      <c r="AU8" s="6"/>
      <c r="AV8" s="635" t="s">
        <v>895</v>
      </c>
    </row>
    <row r="9" spans="1:48" ht="76.900000000000006" customHeight="1" x14ac:dyDescent="0.25">
      <c r="A9" s="2206">
        <v>45386</v>
      </c>
      <c r="B9" s="574">
        <v>1</v>
      </c>
      <c r="C9" s="595"/>
      <c r="D9" s="596"/>
      <c r="E9" s="596"/>
      <c r="F9" s="597"/>
      <c r="G9" s="684"/>
      <c r="H9" s="619"/>
      <c r="I9" s="848"/>
      <c r="J9" s="635"/>
      <c r="K9" s="622"/>
      <c r="L9" s="572"/>
      <c r="M9" s="6"/>
      <c r="N9" s="6"/>
      <c r="O9" s="613"/>
      <c r="P9" s="1083"/>
      <c r="Q9" s="6"/>
      <c r="R9" s="605"/>
      <c r="S9" s="635"/>
      <c r="T9" s="622"/>
      <c r="U9" s="572"/>
      <c r="V9" s="6"/>
      <c r="W9" s="6"/>
      <c r="X9" s="613"/>
      <c r="Y9" s="1083"/>
      <c r="Z9" s="6"/>
      <c r="AA9" s="698"/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/>
      <c r="AN9" s="6"/>
      <c r="AO9" s="6"/>
      <c r="AP9" s="50"/>
      <c r="AQ9" s="50"/>
      <c r="AR9" s="613"/>
      <c r="AS9" s="614"/>
      <c r="AT9" s="6"/>
      <c r="AU9" s="6"/>
      <c r="AV9" s="828"/>
    </row>
    <row r="10" spans="1:48" ht="67.150000000000006" customHeight="1" x14ac:dyDescent="0.25">
      <c r="A10" s="2205"/>
      <c r="B10" s="574">
        <v>2</v>
      </c>
      <c r="C10" s="595"/>
      <c r="D10" s="596"/>
      <c r="E10" s="596"/>
      <c r="F10" s="597">
        <v>486</v>
      </c>
      <c r="G10" s="684"/>
      <c r="H10" s="619"/>
      <c r="I10" s="848"/>
      <c r="J10" s="635" t="s">
        <v>895</v>
      </c>
      <c r="K10" s="622"/>
      <c r="L10" s="572"/>
      <c r="M10" s="6"/>
      <c r="N10" s="6"/>
      <c r="O10" s="613">
        <v>485</v>
      </c>
      <c r="P10" s="1083"/>
      <c r="Q10" s="6"/>
      <c r="R10" s="605"/>
      <c r="S10" s="635" t="s">
        <v>895</v>
      </c>
      <c r="T10" s="622"/>
      <c r="U10" s="572"/>
      <c r="V10" s="6"/>
      <c r="W10" s="6"/>
      <c r="X10" s="613">
        <v>487</v>
      </c>
      <c r="Y10" s="1083"/>
      <c r="Z10" s="1083"/>
      <c r="AA10" s="698"/>
      <c r="AB10" s="635" t="s">
        <v>895</v>
      </c>
      <c r="AC10" s="622"/>
      <c r="AD10" s="572"/>
      <c r="AE10" s="6"/>
      <c r="AF10" s="6"/>
      <c r="AG10" s="613">
        <v>490</v>
      </c>
      <c r="AH10" s="1083"/>
      <c r="AI10" s="605"/>
      <c r="AJ10" s="620"/>
      <c r="AK10" s="635" t="s">
        <v>895</v>
      </c>
      <c r="AM10" s="572"/>
      <c r="AN10" s="6"/>
      <c r="AO10" s="6"/>
      <c r="AP10" s="50"/>
      <c r="AQ10" s="50">
        <v>505</v>
      </c>
      <c r="AR10" s="613"/>
      <c r="AS10" s="614"/>
      <c r="AT10" s="6"/>
      <c r="AU10" s="605"/>
      <c r="AV10" s="635" t="s">
        <v>895</v>
      </c>
    </row>
    <row r="11" spans="1:48" ht="60" customHeight="1" x14ac:dyDescent="0.25">
      <c r="A11" s="2206">
        <v>45387</v>
      </c>
      <c r="B11" s="574">
        <v>1</v>
      </c>
      <c r="C11" s="595"/>
      <c r="D11" s="596"/>
      <c r="E11" s="596"/>
      <c r="F11" s="597"/>
      <c r="G11" s="684"/>
      <c r="H11" s="619"/>
      <c r="I11" s="848"/>
      <c r="J11" s="687"/>
      <c r="K11" s="622"/>
      <c r="L11" s="572"/>
      <c r="M11" s="6"/>
      <c r="N11" s="6"/>
      <c r="O11" s="613"/>
      <c r="P11" s="1083"/>
      <c r="Q11" s="6"/>
      <c r="R11" s="605"/>
      <c r="S11" s="613"/>
      <c r="T11" s="622"/>
      <c r="U11" s="572"/>
      <c r="V11" s="6"/>
      <c r="W11" s="6"/>
      <c r="X11" s="613"/>
      <c r="Y11" s="1083"/>
      <c r="Z11" s="6"/>
      <c r="AA11" s="698"/>
      <c r="AB11" s="613"/>
      <c r="AC11" s="622"/>
      <c r="AD11" s="572"/>
      <c r="AE11" s="6"/>
      <c r="AF11" s="6"/>
      <c r="AG11" s="613"/>
      <c r="AH11" s="614"/>
      <c r="AI11" s="6"/>
      <c r="AJ11" s="620"/>
      <c r="AK11" s="613"/>
      <c r="AM11" s="572"/>
      <c r="AN11" s="6"/>
      <c r="AO11" s="6"/>
      <c r="AP11" s="50"/>
      <c r="AQ11" s="613"/>
      <c r="AR11" s="614"/>
      <c r="AS11" s="6"/>
      <c r="AT11" s="6"/>
      <c r="AU11" s="50"/>
      <c r="AV11" s="634"/>
    </row>
    <row r="12" spans="1:48" ht="55.15" customHeight="1" x14ac:dyDescent="0.25">
      <c r="A12" s="2205"/>
      <c r="B12" s="574">
        <v>2</v>
      </c>
      <c r="C12" s="595"/>
      <c r="D12" s="596"/>
      <c r="E12" s="596"/>
      <c r="F12" s="597"/>
      <c r="G12" s="684"/>
      <c r="H12" s="619"/>
      <c r="I12" s="848"/>
      <c r="J12" s="635"/>
      <c r="K12" s="622"/>
      <c r="L12" s="572"/>
      <c r="M12" s="6"/>
      <c r="N12" s="6"/>
      <c r="O12" s="613"/>
      <c r="P12" s="1083"/>
      <c r="Q12" s="6"/>
      <c r="R12" s="605"/>
      <c r="S12" s="635"/>
      <c r="T12" s="622"/>
      <c r="U12" s="572"/>
      <c r="V12" s="6"/>
      <c r="W12" s="6"/>
      <c r="X12" s="613"/>
      <c r="Y12" s="1083"/>
      <c r="Z12" s="6"/>
      <c r="AA12" s="698"/>
      <c r="AB12" s="635"/>
      <c r="AC12" s="622"/>
      <c r="AD12" s="572"/>
      <c r="AE12" s="6"/>
      <c r="AF12" s="6"/>
      <c r="AG12" s="613"/>
      <c r="AH12" s="614"/>
      <c r="AI12" s="605"/>
      <c r="AJ12" s="605"/>
      <c r="AK12" s="635"/>
      <c r="AM12" s="572"/>
      <c r="AN12" s="6"/>
      <c r="AO12" s="6"/>
      <c r="AP12" s="50"/>
      <c r="AQ12" s="613"/>
      <c r="AR12" s="614"/>
      <c r="AS12" s="6"/>
      <c r="AT12" s="6"/>
      <c r="AU12" s="50"/>
      <c r="AV12" s="635"/>
    </row>
    <row r="13" spans="1:48" ht="34.9" customHeight="1" x14ac:dyDescent="0.25">
      <c r="A13" s="2206">
        <v>45388</v>
      </c>
      <c r="B13" s="574">
        <v>1</v>
      </c>
      <c r="C13" s="595"/>
      <c r="D13" s="596"/>
      <c r="E13" s="596"/>
      <c r="F13" s="597"/>
      <c r="G13" s="684"/>
      <c r="H13" s="619"/>
      <c r="I13" s="848"/>
      <c r="J13" s="635"/>
      <c r="K13" s="622"/>
      <c r="L13" s="572"/>
      <c r="M13" s="6"/>
      <c r="N13" s="6"/>
      <c r="O13" s="597"/>
      <c r="P13" s="1083"/>
      <c r="Q13" s="6"/>
      <c r="R13" s="605"/>
      <c r="S13" s="635"/>
      <c r="T13" s="622"/>
      <c r="U13" s="572"/>
      <c r="V13" s="6"/>
      <c r="W13" s="6"/>
      <c r="X13" s="597"/>
      <c r="Y13" s="1083"/>
      <c r="Z13" s="605"/>
      <c r="AA13" s="698"/>
      <c r="AB13" s="635"/>
      <c r="AC13" s="622"/>
      <c r="AD13" s="572"/>
      <c r="AE13" s="6"/>
      <c r="AF13" s="6"/>
      <c r="AG13" s="597"/>
      <c r="AH13" s="614"/>
      <c r="AI13" s="6"/>
      <c r="AJ13" s="605"/>
      <c r="AK13" s="635"/>
      <c r="AM13" s="572"/>
      <c r="AN13" s="6"/>
      <c r="AO13" s="6"/>
      <c r="AP13" s="50"/>
      <c r="AQ13" s="597"/>
      <c r="AR13" s="614"/>
      <c r="AS13" s="6"/>
      <c r="AT13" s="6"/>
      <c r="AU13" s="50"/>
      <c r="AV13" s="635"/>
    </row>
    <row r="14" spans="1:48" ht="49.15" customHeight="1" x14ac:dyDescent="0.25">
      <c r="A14" s="2205"/>
      <c r="B14" s="574">
        <v>2</v>
      </c>
      <c r="C14" s="595"/>
      <c r="D14" s="596"/>
      <c r="E14" s="596">
        <v>42</v>
      </c>
      <c r="F14" s="597"/>
      <c r="G14" s="684"/>
      <c r="H14" s="620"/>
      <c r="I14" s="848" t="s">
        <v>191</v>
      </c>
      <c r="J14" s="635"/>
      <c r="K14" s="622"/>
      <c r="L14" s="572"/>
      <c r="M14" s="6"/>
      <c r="N14" s="6"/>
      <c r="O14" s="597"/>
      <c r="P14" s="614"/>
      <c r="Q14" s="6"/>
      <c r="R14" s="6"/>
      <c r="S14" s="635"/>
      <c r="T14" s="622"/>
      <c r="U14" s="572"/>
      <c r="V14" s="6"/>
      <c r="W14" s="6">
        <v>12</v>
      </c>
      <c r="X14" s="597"/>
      <c r="Y14" s="1083"/>
      <c r="Z14" s="605"/>
      <c r="AA14" s="698" t="s">
        <v>191</v>
      </c>
      <c r="AB14" s="635"/>
      <c r="AC14" s="622"/>
      <c r="AD14" s="572"/>
      <c r="AE14" s="6"/>
      <c r="AF14" s="6">
        <v>19</v>
      </c>
      <c r="AG14" s="597"/>
      <c r="AH14" s="1083"/>
      <c r="AI14" s="6"/>
      <c r="AJ14" s="698" t="s">
        <v>191</v>
      </c>
      <c r="AK14" s="635"/>
      <c r="AM14" s="572"/>
      <c r="AN14" s="6"/>
      <c r="AO14" s="6">
        <v>12</v>
      </c>
      <c r="AP14" s="50"/>
      <c r="AQ14" s="597"/>
      <c r="AR14" s="1083"/>
      <c r="AS14" s="6"/>
      <c r="AT14" s="698" t="s">
        <v>191</v>
      </c>
      <c r="AU14" s="50"/>
      <c r="AV14" s="635"/>
    </row>
    <row r="15" spans="1:48" ht="48" customHeight="1" x14ac:dyDescent="0.25">
      <c r="A15" s="2206">
        <v>45389</v>
      </c>
      <c r="B15" s="574">
        <v>1</v>
      </c>
      <c r="C15" s="595"/>
      <c r="D15" s="596"/>
      <c r="E15" s="6"/>
      <c r="F15" s="597"/>
      <c r="G15" s="684"/>
      <c r="H15" s="620"/>
      <c r="I15" s="848"/>
      <c r="J15" s="635"/>
      <c r="K15" s="622"/>
      <c r="L15" s="572"/>
      <c r="M15" s="6"/>
      <c r="N15" s="6"/>
      <c r="O15" s="597"/>
      <c r="P15" s="685"/>
      <c r="Q15" s="620"/>
      <c r="R15" s="620"/>
      <c r="S15" s="635"/>
      <c r="T15" s="622"/>
      <c r="U15" s="572"/>
      <c r="V15" s="6"/>
      <c r="W15" s="6"/>
      <c r="X15" s="597"/>
      <c r="Y15" s="685"/>
      <c r="Z15" s="620"/>
      <c r="AA15" s="698"/>
      <c r="AB15" s="635"/>
      <c r="AC15" s="622"/>
      <c r="AD15" s="572"/>
      <c r="AE15" s="6"/>
      <c r="AF15" s="622"/>
      <c r="AG15" s="597"/>
      <c r="AH15" s="685"/>
      <c r="AI15" s="620"/>
      <c r="AJ15" s="605"/>
      <c r="AK15" s="635"/>
      <c r="AM15" s="572"/>
      <c r="AN15" s="6"/>
      <c r="AO15" s="622"/>
      <c r="AP15" s="597"/>
      <c r="AQ15" s="685"/>
      <c r="AR15" s="620"/>
      <c r="AS15" s="620"/>
      <c r="AT15" s="620"/>
      <c r="AU15" s="635"/>
      <c r="AV15" s="635"/>
    </row>
    <row r="16" spans="1:48" ht="54.6" customHeight="1" x14ac:dyDescent="0.25">
      <c r="A16" s="2205"/>
      <c r="B16" s="574">
        <v>2</v>
      </c>
      <c r="C16" s="595"/>
      <c r="D16" s="596"/>
      <c r="E16" s="596"/>
      <c r="F16" s="597"/>
      <c r="G16" s="685"/>
      <c r="H16" s="830"/>
      <c r="I16" s="848"/>
      <c r="J16" s="635"/>
      <c r="K16" s="622"/>
      <c r="L16" s="572"/>
      <c r="M16" s="6"/>
      <c r="N16" s="6"/>
      <c r="O16" s="597"/>
      <c r="P16" s="684"/>
      <c r="Q16" s="830"/>
      <c r="R16" s="620"/>
      <c r="S16" s="635"/>
      <c r="T16" s="622"/>
      <c r="U16" s="572"/>
      <c r="V16" s="6"/>
      <c r="W16" s="6"/>
      <c r="X16" s="597"/>
      <c r="Y16" s="684"/>
      <c r="Z16" s="830"/>
      <c r="AA16" s="848"/>
      <c r="AB16" s="635"/>
      <c r="AC16" s="622"/>
      <c r="AD16" s="572"/>
      <c r="AE16" s="6"/>
      <c r="AF16" s="6"/>
      <c r="AG16" s="597"/>
      <c r="AH16" s="685"/>
      <c r="AI16" s="830"/>
      <c r="AJ16" s="605"/>
      <c r="AK16" s="635"/>
      <c r="AM16" s="572"/>
      <c r="AN16" s="6"/>
      <c r="AO16" s="6"/>
      <c r="AP16" s="597"/>
      <c r="AQ16" s="684"/>
      <c r="AR16" s="830"/>
      <c r="AS16" s="620"/>
      <c r="AT16" s="620"/>
      <c r="AU16" s="692"/>
      <c r="AV16" s="635"/>
    </row>
    <row r="17" spans="1:48" ht="66" customHeight="1" x14ac:dyDescent="0.25">
      <c r="A17" s="2206">
        <v>45390</v>
      </c>
      <c r="B17" s="644">
        <v>1</v>
      </c>
      <c r="C17" s="595"/>
      <c r="D17" s="596"/>
      <c r="E17" s="596"/>
      <c r="F17" s="597"/>
      <c r="G17" s="685"/>
      <c r="H17" s="619"/>
      <c r="I17" s="848"/>
      <c r="J17" s="635"/>
      <c r="K17" s="622"/>
      <c r="L17" s="572"/>
      <c r="M17" s="6"/>
      <c r="N17" s="6"/>
      <c r="O17" s="597"/>
      <c r="P17" s="685"/>
      <c r="Q17" s="619"/>
      <c r="R17" s="620"/>
      <c r="S17" s="635"/>
      <c r="T17" s="622"/>
      <c r="U17" s="572"/>
      <c r="V17" s="6"/>
      <c r="W17" s="6"/>
      <c r="X17" s="597"/>
      <c r="Y17" s="684"/>
      <c r="Z17" s="619"/>
      <c r="AA17" s="848"/>
      <c r="AB17" s="635"/>
      <c r="AC17" s="622"/>
      <c r="AD17" s="572"/>
      <c r="AE17" s="6"/>
      <c r="AF17" s="6"/>
      <c r="AG17" s="597"/>
      <c r="AH17" s="685"/>
      <c r="AI17" s="619"/>
      <c r="AJ17" s="620"/>
      <c r="AK17" s="635"/>
      <c r="AM17" s="572"/>
      <c r="AN17" s="6"/>
      <c r="AO17" s="6"/>
      <c r="AP17" s="597"/>
      <c r="AQ17" s="685"/>
      <c r="AR17" s="619"/>
      <c r="AS17" s="620"/>
      <c r="AT17" s="698"/>
      <c r="AU17" s="635"/>
      <c r="AV17" s="635"/>
    </row>
    <row r="18" spans="1:48" ht="49.9" customHeight="1" x14ac:dyDescent="0.25">
      <c r="A18" s="2205"/>
      <c r="B18" s="574">
        <v>2</v>
      </c>
      <c r="C18" s="595"/>
      <c r="D18" s="596"/>
      <c r="E18" s="596"/>
      <c r="F18" s="597"/>
      <c r="G18" s="684"/>
      <c r="H18" s="830"/>
      <c r="I18" s="848"/>
      <c r="J18" s="635"/>
      <c r="K18" s="622"/>
      <c r="L18" s="572"/>
      <c r="M18" s="6"/>
      <c r="N18" s="6"/>
      <c r="O18" s="597"/>
      <c r="P18" s="684"/>
      <c r="Q18" s="620"/>
      <c r="R18" s="619"/>
      <c r="S18" s="635"/>
      <c r="T18" s="622"/>
      <c r="U18" s="572"/>
      <c r="V18" s="6"/>
      <c r="W18" s="596"/>
      <c r="X18" s="597"/>
      <c r="Y18" s="684"/>
      <c r="Z18" s="620"/>
      <c r="AA18" s="848"/>
      <c r="AB18" s="635"/>
      <c r="AC18" s="622"/>
      <c r="AD18" s="572"/>
      <c r="AE18" s="6"/>
      <c r="AF18" s="6"/>
      <c r="AG18" s="597"/>
      <c r="AH18" s="684"/>
      <c r="AI18" s="620"/>
      <c r="AJ18" s="619"/>
      <c r="AK18" s="635"/>
      <c r="AM18" s="572"/>
      <c r="AN18" s="6"/>
      <c r="AO18" s="6"/>
      <c r="AP18" s="50"/>
      <c r="AQ18" s="597"/>
      <c r="AR18" s="684"/>
      <c r="AS18" s="620"/>
      <c r="AT18" s="698"/>
      <c r="AU18" s="830"/>
      <c r="AV18" s="635"/>
    </row>
    <row r="19" spans="1:48" ht="33.6" customHeight="1" x14ac:dyDescent="0.25">
      <c r="A19" s="2206">
        <v>45391</v>
      </c>
      <c r="B19" s="574">
        <v>1</v>
      </c>
      <c r="C19" s="622"/>
      <c r="D19" s="596"/>
      <c r="E19" s="596"/>
      <c r="F19" s="597"/>
      <c r="G19" s="567"/>
      <c r="H19" s="6"/>
      <c r="I19" s="848"/>
      <c r="J19" s="635"/>
      <c r="K19" s="622"/>
      <c r="L19" s="572"/>
      <c r="M19" s="6"/>
      <c r="N19" s="6"/>
      <c r="O19" s="597"/>
      <c r="P19" s="572"/>
      <c r="Q19" s="6"/>
      <c r="R19" s="6"/>
      <c r="S19" s="635"/>
      <c r="T19" s="622"/>
      <c r="U19" s="572"/>
      <c r="V19" s="6"/>
      <c r="W19" s="6"/>
      <c r="X19" s="597"/>
      <c r="Y19" s="572"/>
      <c r="Z19" s="605"/>
      <c r="AA19" s="848"/>
      <c r="AB19" s="635"/>
      <c r="AC19" s="622"/>
      <c r="AD19" s="572"/>
      <c r="AE19" s="6"/>
      <c r="AF19" s="6"/>
      <c r="AG19" s="597"/>
      <c r="AH19" s="572"/>
      <c r="AI19" s="6"/>
      <c r="AJ19" s="698"/>
      <c r="AK19" s="635"/>
      <c r="AM19" s="572"/>
      <c r="AN19" s="6"/>
      <c r="AO19" s="6"/>
      <c r="AP19" s="50"/>
      <c r="AQ19" s="597"/>
      <c r="AR19" s="572"/>
      <c r="AS19" s="6"/>
      <c r="AT19" s="620"/>
      <c r="AU19" s="828"/>
      <c r="AV19" s="635"/>
    </row>
    <row r="20" spans="1:48" ht="31.15" customHeight="1" x14ac:dyDescent="0.25">
      <c r="A20" s="2205"/>
      <c r="B20" s="574">
        <v>2</v>
      </c>
      <c r="C20" s="595"/>
      <c r="D20" s="596"/>
      <c r="E20" s="596"/>
      <c r="F20" s="597"/>
      <c r="G20" s="567"/>
      <c r="H20" s="1077"/>
      <c r="I20" s="848"/>
      <c r="J20" s="635"/>
      <c r="K20" s="622"/>
      <c r="L20" s="572"/>
      <c r="M20" s="6"/>
      <c r="N20" s="6"/>
      <c r="O20" s="597"/>
      <c r="P20" s="572"/>
      <c r="Q20" s="6"/>
      <c r="R20" s="724"/>
      <c r="S20" s="635"/>
      <c r="T20" s="622"/>
      <c r="U20" s="572"/>
      <c r="V20" s="6"/>
      <c r="W20" s="6"/>
      <c r="X20" s="597"/>
      <c r="Y20" s="572"/>
      <c r="Z20" s="605"/>
      <c r="AA20" s="698"/>
      <c r="AB20" s="635"/>
      <c r="AC20" s="622"/>
      <c r="AD20" s="572">
        <v>17</v>
      </c>
      <c r="AE20" s="6"/>
      <c r="AF20" s="6"/>
      <c r="AG20" s="597"/>
      <c r="AH20" s="572" t="s">
        <v>897</v>
      </c>
      <c r="AI20" s="605"/>
      <c r="AJ20" s="698"/>
      <c r="AK20" s="635"/>
      <c r="AM20" s="572"/>
      <c r="AN20" s="6"/>
      <c r="AO20" s="6"/>
      <c r="AP20" s="50"/>
      <c r="AQ20" s="597"/>
      <c r="AR20" s="572"/>
      <c r="AS20" s="605"/>
      <c r="AT20" s="605"/>
      <c r="AU20" s="1038"/>
      <c r="AV20" s="635"/>
    </row>
    <row r="21" spans="1:48" ht="39.6" customHeight="1" x14ac:dyDescent="0.25">
      <c r="A21" s="2206">
        <v>45392</v>
      </c>
      <c r="B21" s="574">
        <v>1</v>
      </c>
      <c r="C21" s="595"/>
      <c r="D21" s="596"/>
      <c r="E21" s="596"/>
      <c r="F21" s="597"/>
      <c r="G21" s="688"/>
      <c r="H21" s="619"/>
      <c r="I21" s="848"/>
      <c r="J21" s="635"/>
      <c r="K21" s="622"/>
      <c r="L21" s="572"/>
      <c r="M21" s="6"/>
      <c r="N21" s="6"/>
      <c r="O21" s="597"/>
      <c r="P21" s="572"/>
      <c r="Q21" s="6"/>
      <c r="R21" s="6"/>
      <c r="S21" s="635"/>
      <c r="T21" s="622"/>
      <c r="U21" s="572"/>
      <c r="V21" s="6"/>
      <c r="W21" s="6"/>
      <c r="X21" s="597"/>
      <c r="Y21" s="567"/>
      <c r="Z21" s="6"/>
      <c r="AA21" s="848"/>
      <c r="AB21" s="635"/>
      <c r="AC21" s="622"/>
      <c r="AD21" s="572"/>
      <c r="AE21" s="6"/>
      <c r="AF21" s="6"/>
      <c r="AG21" s="597"/>
      <c r="AH21" s="572"/>
      <c r="AI21" s="6"/>
      <c r="AJ21" s="848"/>
      <c r="AK21" s="726"/>
      <c r="AM21" s="572"/>
      <c r="AN21" s="6"/>
      <c r="AO21" s="6"/>
      <c r="AP21" s="50"/>
      <c r="AQ21" s="597"/>
      <c r="AR21" s="572"/>
      <c r="AS21" s="605"/>
      <c r="AT21" s="50"/>
      <c r="AU21" s="50"/>
      <c r="AV21" s="635"/>
    </row>
    <row r="22" spans="1:48" ht="49.9" customHeight="1" x14ac:dyDescent="0.25">
      <c r="A22" s="2205"/>
      <c r="B22" s="574">
        <v>2</v>
      </c>
      <c r="C22" s="595"/>
      <c r="D22" s="596"/>
      <c r="E22" s="596"/>
      <c r="F22" s="597"/>
      <c r="G22" s="1081"/>
      <c r="H22" s="620"/>
      <c r="I22" s="848"/>
      <c r="J22" s="635"/>
      <c r="K22" s="622"/>
      <c r="L22" s="572"/>
      <c r="M22" s="6"/>
      <c r="N22" s="6"/>
      <c r="O22" s="597"/>
      <c r="P22" s="1083"/>
      <c r="Q22" s="620"/>
      <c r="R22" s="6"/>
      <c r="S22" s="635"/>
      <c r="T22" s="622"/>
      <c r="U22" s="572"/>
      <c r="V22" s="6"/>
      <c r="W22" s="6">
        <v>10</v>
      </c>
      <c r="X22" s="597"/>
      <c r="Y22" s="567"/>
      <c r="Z22" s="620"/>
      <c r="AA22" s="698" t="s">
        <v>152</v>
      </c>
      <c r="AB22" s="635"/>
      <c r="AC22" s="622"/>
      <c r="AD22" s="572"/>
      <c r="AE22" s="6"/>
      <c r="AF22" s="6"/>
      <c r="AG22" s="597"/>
      <c r="AH22" s="572"/>
      <c r="AI22" s="6"/>
      <c r="AJ22" s="698"/>
      <c r="AK22" s="635"/>
      <c r="AM22" s="572"/>
      <c r="AN22" s="6"/>
      <c r="AO22" s="6"/>
      <c r="AP22" s="50"/>
      <c r="AQ22" s="597"/>
      <c r="AR22" s="572"/>
      <c r="AS22" s="620"/>
      <c r="AT22" s="50"/>
      <c r="AU22" s="635"/>
      <c r="AV22" s="635"/>
    </row>
    <row r="23" spans="1:48" ht="47.45" customHeight="1" x14ac:dyDescent="0.25">
      <c r="A23" s="2206">
        <v>45393</v>
      </c>
      <c r="B23" s="644">
        <v>1</v>
      </c>
      <c r="C23" s="595"/>
      <c r="D23" s="596"/>
      <c r="E23" s="596"/>
      <c r="F23" s="597"/>
      <c r="G23" s="685"/>
      <c r="H23" s="619"/>
      <c r="I23" s="848"/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/>
      <c r="V23" s="6"/>
      <c r="W23" s="6"/>
      <c r="X23" s="597"/>
      <c r="Y23" s="567"/>
      <c r="Z23" s="620"/>
      <c r="AA23" s="848"/>
      <c r="AB23" s="635"/>
      <c r="AC23" s="622"/>
      <c r="AD23" s="572">
        <v>15</v>
      </c>
      <c r="AE23" s="6"/>
      <c r="AF23" s="614"/>
      <c r="AG23" s="597"/>
      <c r="AH23" s="572" t="s">
        <v>848</v>
      </c>
      <c r="AI23" s="619"/>
      <c r="AJ23" s="620"/>
      <c r="AK23" s="635"/>
      <c r="AM23" s="572"/>
      <c r="AN23" s="6"/>
      <c r="AO23" s="6"/>
      <c r="AP23" s="50"/>
      <c r="AQ23" s="597"/>
      <c r="AR23" s="6"/>
      <c r="AS23" s="619"/>
      <c r="AT23" s="692"/>
      <c r="AU23" s="635"/>
      <c r="AV23" s="635"/>
    </row>
    <row r="24" spans="1:48" ht="49.9" customHeight="1" x14ac:dyDescent="0.25">
      <c r="A24" s="2205"/>
      <c r="B24" s="574">
        <v>2</v>
      </c>
      <c r="C24" s="595"/>
      <c r="D24" s="596"/>
      <c r="E24" s="596"/>
      <c r="F24" s="597"/>
      <c r="G24" s="685"/>
      <c r="H24" s="620"/>
      <c r="I24" s="848"/>
      <c r="J24" s="635"/>
      <c r="K24" s="622"/>
      <c r="L24" s="572"/>
      <c r="M24" s="6"/>
      <c r="N24" s="6"/>
      <c r="O24" s="597"/>
      <c r="P24" s="685"/>
      <c r="Q24" s="619"/>
      <c r="R24" s="620"/>
      <c r="S24" s="635"/>
      <c r="T24" s="622"/>
      <c r="U24" s="572"/>
      <c r="V24" s="6"/>
      <c r="W24" s="6">
        <v>10</v>
      </c>
      <c r="X24" s="597"/>
      <c r="Y24" s="685"/>
      <c r="Z24" s="619"/>
      <c r="AA24" s="848" t="s">
        <v>842</v>
      </c>
      <c r="AB24" s="635"/>
      <c r="AC24" s="622"/>
      <c r="AD24" s="572"/>
      <c r="AE24" s="6"/>
      <c r="AF24" s="614"/>
      <c r="AG24" s="597"/>
      <c r="AH24" s="572"/>
      <c r="AI24" s="619"/>
      <c r="AJ24" s="620"/>
      <c r="AK24" s="635"/>
      <c r="AM24" s="572"/>
      <c r="AN24" s="6"/>
      <c r="AO24" s="6"/>
      <c r="AP24" s="597"/>
      <c r="AQ24" s="685"/>
      <c r="AR24" s="619"/>
      <c r="AS24" s="619"/>
      <c r="AT24" s="635"/>
      <c r="AU24" s="635"/>
      <c r="AV24" s="635"/>
    </row>
    <row r="25" spans="1:48" ht="53.45" customHeight="1" x14ac:dyDescent="0.25">
      <c r="A25" s="2206">
        <v>45394</v>
      </c>
      <c r="B25" s="574">
        <v>1</v>
      </c>
      <c r="C25" s="595"/>
      <c r="D25" s="596"/>
      <c r="E25" s="596"/>
      <c r="F25" s="597"/>
      <c r="G25" s="685"/>
      <c r="H25" s="619"/>
      <c r="I25" s="848"/>
      <c r="J25" s="635"/>
      <c r="K25" s="622"/>
      <c r="L25" s="572"/>
      <c r="M25" s="6"/>
      <c r="N25" s="6"/>
      <c r="O25" s="597"/>
      <c r="P25" s="572"/>
      <c r="Q25" s="619"/>
      <c r="R25" s="6"/>
      <c r="S25" s="635"/>
      <c r="T25" s="622"/>
      <c r="U25" s="572"/>
      <c r="V25" s="6"/>
      <c r="W25" s="6"/>
      <c r="X25" s="597"/>
      <c r="Y25" s="567"/>
      <c r="Z25" s="605"/>
      <c r="AA25" s="698"/>
      <c r="AB25" s="635"/>
      <c r="AC25" s="622"/>
      <c r="AD25" s="572"/>
      <c r="AE25" s="6"/>
      <c r="AF25" s="6"/>
      <c r="AG25" s="597"/>
      <c r="AH25" s="6"/>
      <c r="AI25" s="605"/>
      <c r="AJ25" s="620"/>
      <c r="AK25" s="726"/>
      <c r="AM25" s="572"/>
      <c r="AN25" s="6"/>
      <c r="AO25" s="6"/>
      <c r="AP25" s="50"/>
      <c r="AQ25" s="597"/>
      <c r="AR25" s="6"/>
      <c r="AS25" s="6"/>
      <c r="AT25" s="50"/>
      <c r="AU25" s="50"/>
      <c r="AV25" s="635"/>
    </row>
    <row r="26" spans="1:48" ht="42" customHeight="1" x14ac:dyDescent="0.25">
      <c r="A26" s="2205"/>
      <c r="B26" s="574">
        <v>2</v>
      </c>
      <c r="C26" s="595"/>
      <c r="D26" s="596"/>
      <c r="E26" s="596"/>
      <c r="F26" s="597"/>
      <c r="G26" s="685"/>
      <c r="H26" s="620"/>
      <c r="I26" s="848"/>
      <c r="J26" s="635"/>
      <c r="K26" s="622"/>
      <c r="L26" s="572"/>
      <c r="M26" s="6"/>
      <c r="N26" s="6"/>
      <c r="O26" s="597"/>
      <c r="P26" s="685"/>
      <c r="Q26" s="620"/>
      <c r="R26" s="692"/>
      <c r="S26" s="635"/>
      <c r="T26" s="622"/>
      <c r="U26" s="572"/>
      <c r="V26" s="596"/>
      <c r="W26" s="6"/>
      <c r="X26" s="597"/>
      <c r="Y26" s="685"/>
      <c r="Z26" s="620"/>
      <c r="AA26" s="698"/>
      <c r="AB26" s="635"/>
      <c r="AC26" s="622"/>
      <c r="AD26" s="572"/>
      <c r="AE26" s="596"/>
      <c r="AF26" s="6"/>
      <c r="AG26" s="597"/>
      <c r="AH26" s="685"/>
      <c r="AI26" s="620"/>
      <c r="AJ26" s="692"/>
      <c r="AK26" s="635"/>
      <c r="AM26" s="572"/>
      <c r="AN26" s="596"/>
      <c r="AO26" s="6"/>
      <c r="AP26" s="967"/>
      <c r="AQ26" s="597"/>
      <c r="AR26" s="685"/>
      <c r="AS26" s="620"/>
      <c r="AT26" s="692"/>
      <c r="AU26" s="635"/>
      <c r="AV26" s="635"/>
    </row>
    <row r="27" spans="1:48" ht="49.9" customHeight="1" x14ac:dyDescent="0.25">
      <c r="A27" s="2206">
        <v>45395</v>
      </c>
      <c r="B27" s="644">
        <v>1</v>
      </c>
      <c r="C27" s="595"/>
      <c r="D27" s="596"/>
      <c r="E27" s="596">
        <v>5</v>
      </c>
      <c r="F27" s="597"/>
      <c r="G27" s="685"/>
      <c r="H27" s="619"/>
      <c r="I27" s="692" t="s">
        <v>152</v>
      </c>
      <c r="J27" s="635"/>
      <c r="K27" s="622"/>
      <c r="L27" s="572"/>
      <c r="M27" s="6"/>
      <c r="N27" s="6"/>
      <c r="O27" s="597"/>
      <c r="P27" s="685"/>
      <c r="Q27" s="619"/>
      <c r="R27" s="620"/>
      <c r="S27" s="635"/>
      <c r="T27" s="622"/>
      <c r="U27" s="572"/>
      <c r="V27" s="6"/>
      <c r="W27" s="6">
        <v>18</v>
      </c>
      <c r="X27" s="597"/>
      <c r="Y27" s="685"/>
      <c r="Z27" s="620"/>
      <c r="AA27" s="698" t="s">
        <v>152</v>
      </c>
      <c r="AB27" s="635"/>
      <c r="AC27" s="622"/>
      <c r="AD27" s="572"/>
      <c r="AE27" s="6"/>
      <c r="AF27" s="6"/>
      <c r="AG27" s="597"/>
      <c r="AH27" s="685"/>
      <c r="AI27" s="6"/>
      <c r="AJ27" s="620"/>
      <c r="AK27" s="635"/>
      <c r="AM27" s="572"/>
      <c r="AN27" s="6"/>
      <c r="AO27" s="6"/>
      <c r="AP27" s="50"/>
      <c r="AQ27" s="597"/>
      <c r="AR27" s="605"/>
      <c r="AS27" s="6"/>
      <c r="AT27" s="692"/>
      <c r="AU27" s="635"/>
      <c r="AV27" s="635"/>
    </row>
    <row r="28" spans="1:48" ht="72" customHeight="1" x14ac:dyDescent="0.25">
      <c r="A28" s="2205"/>
      <c r="B28" s="574">
        <v>2</v>
      </c>
      <c r="C28" s="595"/>
      <c r="D28" s="596"/>
      <c r="E28" s="596">
        <v>17</v>
      </c>
      <c r="F28" s="597"/>
      <c r="G28" s="620"/>
      <c r="H28" s="620"/>
      <c r="I28" s="692" t="s">
        <v>152</v>
      </c>
      <c r="J28" s="635"/>
      <c r="K28" s="622"/>
      <c r="L28" s="572">
        <v>37</v>
      </c>
      <c r="M28" s="6"/>
      <c r="N28" s="6"/>
      <c r="O28" s="597"/>
      <c r="P28" s="620" t="s">
        <v>898</v>
      </c>
      <c r="Q28" s="620"/>
      <c r="R28" s="620"/>
      <c r="S28" s="635"/>
      <c r="T28" s="622"/>
      <c r="U28" s="572"/>
      <c r="V28" s="6"/>
      <c r="W28" s="622"/>
      <c r="X28" s="597"/>
      <c r="Y28" s="620"/>
      <c r="Z28" s="6"/>
      <c r="AA28" s="698"/>
      <c r="AB28" s="635"/>
      <c r="AC28" s="622"/>
      <c r="AD28" s="572"/>
      <c r="AE28" s="6">
        <v>60</v>
      </c>
      <c r="AF28" s="6"/>
      <c r="AG28" s="597"/>
      <c r="AH28" s="685"/>
      <c r="AI28" s="605" t="s">
        <v>899</v>
      </c>
      <c r="AJ28" s="692"/>
      <c r="AK28" s="635"/>
      <c r="AM28" s="572"/>
      <c r="AN28" s="6"/>
      <c r="AO28" s="6"/>
      <c r="AP28" s="50"/>
      <c r="AQ28" s="597"/>
      <c r="AR28" s="605"/>
      <c r="AS28" s="6"/>
      <c r="AT28" s="692"/>
      <c r="AU28" s="635"/>
      <c r="AV28" s="634"/>
    </row>
    <row r="29" spans="1:48" ht="66" customHeight="1" x14ac:dyDescent="0.25">
      <c r="A29" s="2206">
        <v>45396</v>
      </c>
      <c r="B29" s="574">
        <v>1</v>
      </c>
      <c r="C29" s="595"/>
      <c r="D29" s="596"/>
      <c r="E29" s="596"/>
      <c r="F29" s="597"/>
      <c r="G29" s="620"/>
      <c r="H29" s="619"/>
      <c r="I29" s="692"/>
      <c r="J29" s="635"/>
      <c r="K29" s="622"/>
      <c r="L29" s="572"/>
      <c r="M29" s="6"/>
      <c r="N29" s="6"/>
      <c r="O29" s="597"/>
      <c r="P29" s="685"/>
      <c r="Q29" s="620"/>
      <c r="R29" s="620"/>
      <c r="S29" s="635"/>
      <c r="T29" s="622"/>
      <c r="U29" s="572"/>
      <c r="V29" s="6"/>
      <c r="W29" s="6"/>
      <c r="X29" s="597"/>
      <c r="Y29" s="620"/>
      <c r="Z29" s="619"/>
      <c r="AA29" s="698"/>
      <c r="AB29" s="635"/>
      <c r="AC29" s="622"/>
      <c r="AD29" s="572"/>
      <c r="AE29" s="6"/>
      <c r="AF29" s="6"/>
      <c r="AG29" s="597"/>
      <c r="AH29" s="685"/>
      <c r="AI29" s="619"/>
      <c r="AJ29" s="620"/>
      <c r="AK29" s="635"/>
      <c r="AM29" s="572"/>
      <c r="AN29" s="6"/>
      <c r="AO29" s="6"/>
      <c r="AP29" s="50"/>
      <c r="AQ29" s="597"/>
      <c r="AR29" s="605"/>
      <c r="AS29" s="619"/>
      <c r="AT29" s="620"/>
      <c r="AU29" s="635"/>
      <c r="AV29" s="613"/>
    </row>
    <row r="30" spans="1:48" ht="39.6" customHeight="1" x14ac:dyDescent="0.25">
      <c r="A30" s="2205"/>
      <c r="B30" s="644">
        <v>2</v>
      </c>
      <c r="C30" s="595"/>
      <c r="D30" s="596"/>
      <c r="E30" s="596">
        <v>12</v>
      </c>
      <c r="F30" s="597"/>
      <c r="G30" s="620"/>
      <c r="H30" s="619"/>
      <c r="I30" s="692" t="s">
        <v>152</v>
      </c>
      <c r="J30" s="635"/>
      <c r="K30" s="622"/>
      <c r="L30" s="572"/>
      <c r="M30" s="6"/>
      <c r="N30" s="6"/>
      <c r="O30" s="597"/>
      <c r="P30" s="685"/>
      <c r="Q30" s="620"/>
      <c r="R30" s="620"/>
      <c r="S30" s="635"/>
      <c r="T30" s="622"/>
      <c r="U30" s="572"/>
      <c r="V30" s="6"/>
      <c r="W30" s="6">
        <v>54</v>
      </c>
      <c r="X30" s="597"/>
      <c r="Y30" s="620"/>
      <c r="Z30" s="619"/>
      <c r="AA30" s="698" t="s">
        <v>152</v>
      </c>
      <c r="AB30" s="635"/>
      <c r="AC30" s="622"/>
      <c r="AD30" s="572"/>
      <c r="AE30" s="6"/>
      <c r="AF30" s="6"/>
      <c r="AG30" s="597"/>
      <c r="AH30" s="685"/>
      <c r="AI30" s="620"/>
      <c r="AJ30" s="620"/>
      <c r="AK30" s="635"/>
      <c r="AM30" s="572"/>
      <c r="AN30" s="6"/>
      <c r="AO30" s="6"/>
      <c r="AP30" s="50"/>
      <c r="AQ30" s="597"/>
      <c r="AR30" s="1083"/>
      <c r="AS30" s="605"/>
      <c r="AT30" s="828"/>
      <c r="AU30" s="635"/>
      <c r="AV30" s="613"/>
    </row>
    <row r="31" spans="1:48" ht="39.6" customHeight="1" x14ac:dyDescent="0.25">
      <c r="A31" s="2206">
        <v>45397</v>
      </c>
      <c r="B31" s="574">
        <v>1</v>
      </c>
      <c r="C31" s="595"/>
      <c r="D31" s="596"/>
      <c r="E31" s="596"/>
      <c r="F31" s="597"/>
      <c r="G31" s="685"/>
      <c r="H31" s="620"/>
      <c r="I31" s="620"/>
      <c r="J31" s="635"/>
      <c r="K31" s="622"/>
      <c r="L31" s="572"/>
      <c r="M31" s="6"/>
      <c r="N31" s="6"/>
      <c r="O31" s="597"/>
      <c r="P31" s="614"/>
      <c r="Q31" s="6"/>
      <c r="R31" s="6"/>
      <c r="S31" s="635"/>
      <c r="T31" s="622"/>
      <c r="U31" s="572"/>
      <c r="V31" s="6">
        <v>68</v>
      </c>
      <c r="W31" s="6"/>
      <c r="X31" s="597"/>
      <c r="Y31" s="1083"/>
      <c r="Z31" s="6" t="s">
        <v>317</v>
      </c>
      <c r="AA31" s="698"/>
      <c r="AB31" s="635"/>
      <c r="AC31" s="622"/>
      <c r="AD31" s="572"/>
      <c r="AE31" s="6"/>
      <c r="AF31" s="6"/>
      <c r="AG31" s="597"/>
      <c r="AH31" s="685"/>
      <c r="AI31" s="6"/>
      <c r="AJ31" s="6"/>
      <c r="AK31" s="635"/>
      <c r="AM31" s="572"/>
      <c r="AN31" s="6"/>
      <c r="AO31" s="6"/>
      <c r="AP31" s="50"/>
      <c r="AQ31" s="597"/>
      <c r="AR31" s="614"/>
      <c r="AS31" s="6"/>
      <c r="AT31" s="6"/>
      <c r="AU31" s="635"/>
      <c r="AV31" s="635"/>
    </row>
    <row r="32" spans="1:48" ht="63" customHeight="1" x14ac:dyDescent="0.25">
      <c r="A32" s="2205"/>
      <c r="B32" s="574">
        <v>2</v>
      </c>
      <c r="C32" s="595"/>
      <c r="D32" s="596"/>
      <c r="E32" s="596">
        <v>10</v>
      </c>
      <c r="F32" s="597"/>
      <c r="G32" s="685"/>
      <c r="H32" s="684"/>
      <c r="I32" s="692" t="s">
        <v>152</v>
      </c>
      <c r="J32" s="635"/>
      <c r="K32" s="622"/>
      <c r="L32" s="572"/>
      <c r="M32" s="6"/>
      <c r="N32" s="6"/>
      <c r="O32" s="597"/>
      <c r="P32" s="614"/>
      <c r="Q32" s="6"/>
      <c r="R32" s="6"/>
      <c r="S32" s="635"/>
      <c r="T32" s="622"/>
      <c r="U32" s="572"/>
      <c r="V32" s="6"/>
      <c r="W32" s="596"/>
      <c r="X32" s="597"/>
      <c r="Y32" s="685"/>
      <c r="Z32" s="685"/>
      <c r="AA32" s="698"/>
      <c r="AB32" s="635"/>
      <c r="AC32" s="622"/>
      <c r="AD32" s="572"/>
      <c r="AE32" s="6"/>
      <c r="AF32" s="596"/>
      <c r="AG32" s="597"/>
      <c r="AH32" s="685"/>
      <c r="AI32" s="685"/>
      <c r="AJ32" s="698"/>
      <c r="AK32" s="635"/>
      <c r="AM32" s="572"/>
      <c r="AN32" s="6"/>
      <c r="AO32" s="6"/>
      <c r="AP32" s="50"/>
      <c r="AQ32" s="597"/>
      <c r="AR32" s="614"/>
      <c r="AS32" s="605"/>
      <c r="AT32" s="684"/>
      <c r="AU32" s="635"/>
      <c r="AV32" s="613"/>
    </row>
    <row r="33" spans="1:48" ht="43.15" customHeight="1" x14ac:dyDescent="0.25">
      <c r="A33" s="2206">
        <v>45398</v>
      </c>
      <c r="B33" s="574">
        <v>1</v>
      </c>
      <c r="C33" s="595"/>
      <c r="D33" s="596"/>
      <c r="E33" s="596"/>
      <c r="F33" s="597"/>
      <c r="G33" s="685"/>
      <c r="H33" s="620"/>
      <c r="I33" s="698"/>
      <c r="J33" s="635"/>
      <c r="K33" s="622"/>
      <c r="L33" s="572"/>
      <c r="M33" s="6"/>
      <c r="N33" s="6"/>
      <c r="O33" s="597"/>
      <c r="P33" s="614"/>
      <c r="Q33" s="6"/>
      <c r="R33" s="6"/>
      <c r="S33" s="635"/>
      <c r="T33" s="622"/>
      <c r="U33" s="572"/>
      <c r="V33" s="6"/>
      <c r="W33" s="6"/>
      <c r="X33" s="597"/>
      <c r="Y33" s="614"/>
      <c r="Z33" s="6"/>
      <c r="AA33" s="698"/>
      <c r="AB33" s="635"/>
      <c r="AC33" s="622"/>
      <c r="AD33" s="572"/>
      <c r="AE33" s="6"/>
      <c r="AF33" s="6"/>
      <c r="AG33" s="597"/>
      <c r="AH33" s="614"/>
      <c r="AI33" s="605"/>
      <c r="AJ33" s="698"/>
      <c r="AK33" s="635"/>
      <c r="AM33" s="572"/>
      <c r="AN33" s="6"/>
      <c r="AO33" s="6"/>
      <c r="AP33" s="50"/>
      <c r="AQ33" s="597"/>
      <c r="AR33" s="614"/>
      <c r="AS33" s="605"/>
      <c r="AT33" s="6"/>
      <c r="AU33" s="635"/>
      <c r="AV33" s="613"/>
    </row>
    <row r="34" spans="1:48" ht="67.900000000000006" customHeight="1" x14ac:dyDescent="0.25">
      <c r="A34" s="2205"/>
      <c r="B34" s="644">
        <v>2</v>
      </c>
      <c r="C34" s="596"/>
      <c r="D34" s="596"/>
      <c r="E34" s="596"/>
      <c r="F34" s="829"/>
      <c r="G34" s="684"/>
      <c r="H34" s="620"/>
      <c r="I34" s="698"/>
      <c r="J34" s="635"/>
      <c r="K34" s="622"/>
      <c r="L34" s="572"/>
      <c r="M34" s="6">
        <v>112</v>
      </c>
      <c r="N34" s="6"/>
      <c r="O34" s="613"/>
      <c r="P34" s="614"/>
      <c r="Q34" s="620" t="s">
        <v>900</v>
      </c>
      <c r="R34" s="6"/>
      <c r="S34" s="635"/>
      <c r="T34" s="622"/>
      <c r="U34" s="572"/>
      <c r="V34" s="6"/>
      <c r="W34" s="6"/>
      <c r="X34" s="613"/>
      <c r="Y34" s="605"/>
      <c r="Z34" s="605"/>
      <c r="AA34" s="698"/>
      <c r="AB34" s="635"/>
      <c r="AC34" s="622"/>
      <c r="AD34" s="572"/>
      <c r="AE34" s="6"/>
      <c r="AF34" s="6"/>
      <c r="AG34" s="613"/>
      <c r="AH34" s="614"/>
      <c r="AI34" s="6"/>
      <c r="AJ34" s="605"/>
      <c r="AK34" s="635"/>
      <c r="AM34" s="572"/>
      <c r="AN34" s="6"/>
      <c r="AO34" s="6"/>
      <c r="AP34" s="50"/>
      <c r="AQ34" s="613"/>
      <c r="AR34" s="614"/>
      <c r="AS34" s="6"/>
      <c r="AT34" s="828"/>
      <c r="AU34" s="635"/>
      <c r="AV34" s="613"/>
    </row>
    <row r="35" spans="1:48" ht="51" customHeight="1" x14ac:dyDescent="0.25">
      <c r="A35" s="2206">
        <v>45399</v>
      </c>
      <c r="B35" s="574">
        <v>1</v>
      </c>
      <c r="C35" s="596"/>
      <c r="D35" s="596"/>
      <c r="E35" s="50">
        <v>15</v>
      </c>
      <c r="F35" s="828"/>
      <c r="G35" s="567"/>
      <c r="H35" s="614"/>
      <c r="I35" s="692" t="s">
        <v>328</v>
      </c>
      <c r="J35" s="687"/>
      <c r="K35" s="622"/>
      <c r="L35" s="572"/>
      <c r="M35" s="6"/>
      <c r="N35" s="6"/>
      <c r="O35" s="613"/>
      <c r="P35" s="567"/>
      <c r="Q35" s="1087"/>
      <c r="R35" s="620"/>
      <c r="S35" s="635"/>
      <c r="T35" s="622"/>
      <c r="U35" s="572"/>
      <c r="V35" s="6"/>
      <c r="W35" s="50"/>
      <c r="X35" s="634"/>
      <c r="Y35" s="567"/>
      <c r="Z35" s="6"/>
      <c r="AA35" s="698"/>
      <c r="AB35" s="613"/>
      <c r="AC35" s="622"/>
      <c r="AD35" s="572"/>
      <c r="AE35" s="6"/>
      <c r="AF35" s="6"/>
      <c r="AG35" s="1083"/>
      <c r="AH35" s="567"/>
      <c r="AI35" s="6"/>
      <c r="AJ35" s="684"/>
      <c r="AK35" s="613"/>
      <c r="AM35" s="572"/>
      <c r="AN35" s="6"/>
      <c r="AO35" s="50"/>
      <c r="AP35" s="50"/>
      <c r="AQ35" s="634"/>
      <c r="AR35" s="567"/>
      <c r="AS35" s="692"/>
      <c r="AT35" s="828"/>
      <c r="AU35" s="828"/>
      <c r="AV35" s="613"/>
    </row>
    <row r="36" spans="1:48" ht="46.9" customHeight="1" x14ac:dyDescent="0.25">
      <c r="A36" s="2205"/>
      <c r="B36" s="574">
        <v>2</v>
      </c>
      <c r="C36" s="50"/>
      <c r="D36" s="6"/>
      <c r="E36" s="50"/>
      <c r="F36" s="828"/>
      <c r="G36" s="692"/>
      <c r="H36" s="620"/>
      <c r="I36" s="848"/>
      <c r="J36" s="635"/>
      <c r="K36" s="622"/>
      <c r="L36" s="567"/>
      <c r="M36" s="6"/>
      <c r="N36" s="6"/>
      <c r="O36" s="1083"/>
      <c r="P36" s="567"/>
      <c r="Q36" s="620"/>
      <c r="R36" s="605"/>
      <c r="S36" s="635"/>
      <c r="T36" s="622"/>
      <c r="U36" s="572"/>
      <c r="V36" s="6"/>
      <c r="W36" s="6"/>
      <c r="X36" s="1083"/>
      <c r="Y36" s="567"/>
      <c r="Z36" s="620"/>
      <c r="AA36" s="698"/>
      <c r="AB36" s="613"/>
      <c r="AC36" s="622"/>
      <c r="AD36" s="572"/>
      <c r="AE36" s="6">
        <f>178+24</f>
        <v>202</v>
      </c>
      <c r="AF36" s="50"/>
      <c r="AG36" s="634"/>
      <c r="AH36" s="567"/>
      <c r="AI36" s="605" t="s">
        <v>901</v>
      </c>
      <c r="AJ36" s="698"/>
      <c r="AK36" s="613"/>
      <c r="AM36" s="572"/>
      <c r="AN36" s="6"/>
      <c r="AO36" s="572">
        <v>145</v>
      </c>
      <c r="AP36" s="6"/>
      <c r="AQ36" s="6"/>
      <c r="AR36" s="614"/>
      <c r="AS36" s="1091"/>
      <c r="AT36" s="567" t="s">
        <v>521</v>
      </c>
      <c r="AU36" s="828"/>
      <c r="AV36" s="613"/>
    </row>
    <row r="37" spans="1:48" ht="59.45" customHeight="1" x14ac:dyDescent="0.25">
      <c r="A37" s="2206">
        <v>45400</v>
      </c>
      <c r="B37" s="644">
        <v>1</v>
      </c>
      <c r="C37" s="50"/>
      <c r="D37" s="596"/>
      <c r="E37" s="50"/>
      <c r="F37" s="50"/>
      <c r="G37" s="692"/>
      <c r="H37" s="1083"/>
      <c r="I37" s="848"/>
      <c r="J37" s="635"/>
      <c r="K37" s="622"/>
      <c r="L37" s="572"/>
      <c r="M37" s="6"/>
      <c r="N37" s="6"/>
      <c r="O37" s="727"/>
      <c r="P37" s="614"/>
      <c r="Q37" s="6"/>
      <c r="R37" s="6"/>
      <c r="S37" s="613"/>
      <c r="T37" s="622"/>
      <c r="U37" s="572"/>
      <c r="V37" s="6">
        <v>18</v>
      </c>
      <c r="W37" s="6"/>
      <c r="X37" s="613"/>
      <c r="Y37" s="614"/>
      <c r="Z37" s="605" t="s">
        <v>317</v>
      </c>
      <c r="AA37" s="698"/>
      <c r="AB37" s="635"/>
      <c r="AC37" s="622"/>
      <c r="AD37" s="572"/>
      <c r="AE37" s="6"/>
      <c r="AF37" s="6"/>
      <c r="AG37" s="613"/>
      <c r="AH37" s="1083"/>
      <c r="AI37" s="6"/>
      <c r="AJ37" s="698"/>
      <c r="AK37" s="613"/>
      <c r="AM37" s="572"/>
      <c r="AN37" s="6"/>
      <c r="AO37" s="6"/>
      <c r="AP37" s="50"/>
      <c r="AQ37" s="613"/>
      <c r="AR37" s="614"/>
      <c r="AS37" s="6"/>
      <c r="AT37" s="6"/>
      <c r="AU37" s="50"/>
      <c r="AV37" s="613"/>
    </row>
    <row r="38" spans="1:48" ht="55.9" customHeight="1" x14ac:dyDescent="0.25">
      <c r="A38" s="2205"/>
      <c r="B38" s="574">
        <v>2</v>
      </c>
      <c r="C38" s="50"/>
      <c r="D38" s="596"/>
      <c r="E38" s="50"/>
      <c r="F38" s="829"/>
      <c r="G38" s="692"/>
      <c r="H38" s="1083"/>
      <c r="I38" s="848"/>
      <c r="J38" s="635"/>
      <c r="K38" s="622"/>
      <c r="L38" s="572"/>
      <c r="M38" s="6"/>
      <c r="N38" s="6"/>
      <c r="O38" s="613"/>
      <c r="P38" s="1083"/>
      <c r="Q38" s="1083"/>
      <c r="R38" s="6"/>
      <c r="S38" s="635"/>
      <c r="T38" s="622"/>
      <c r="U38" s="572">
        <v>73</v>
      </c>
      <c r="V38" s="6"/>
      <c r="W38" s="6"/>
      <c r="X38" s="613"/>
      <c r="Y38" s="1091" t="s">
        <v>902</v>
      </c>
      <c r="Z38" s="605"/>
      <c r="AA38" s="698"/>
      <c r="AB38" s="635"/>
      <c r="AC38" s="622"/>
      <c r="AD38" s="572"/>
      <c r="AE38" s="6"/>
      <c r="AF38" s="6"/>
      <c r="AG38" s="613"/>
      <c r="AH38" s="1083"/>
      <c r="AI38" s="6"/>
      <c r="AJ38" s="698"/>
      <c r="AK38" s="635"/>
      <c r="AM38" s="572"/>
      <c r="AN38" s="6"/>
      <c r="AO38" s="6">
        <v>24</v>
      </c>
      <c r="AP38" s="50"/>
      <c r="AQ38" s="613"/>
      <c r="AR38" s="1083"/>
      <c r="AS38" s="6"/>
      <c r="AT38" s="567" t="s">
        <v>521</v>
      </c>
      <c r="AU38" s="828"/>
      <c r="AV38" s="635"/>
    </row>
    <row r="39" spans="1:48" ht="70.900000000000006" customHeight="1" x14ac:dyDescent="0.25">
      <c r="A39" s="2206">
        <v>45401</v>
      </c>
      <c r="B39" s="574">
        <v>1</v>
      </c>
      <c r="C39" s="50"/>
      <c r="D39" s="596"/>
      <c r="E39" s="50"/>
      <c r="F39" s="829"/>
      <c r="G39" s="692"/>
      <c r="H39" s="1083"/>
      <c r="I39" s="848"/>
      <c r="J39" s="635"/>
      <c r="K39" s="622"/>
      <c r="L39" s="572"/>
      <c r="M39" s="6"/>
      <c r="N39" s="6"/>
      <c r="O39" s="597"/>
      <c r="P39" s="692"/>
      <c r="Q39" s="619"/>
      <c r="R39" s="692"/>
      <c r="S39" s="635"/>
      <c r="T39" s="622"/>
      <c r="U39" s="572"/>
      <c r="V39" s="6"/>
      <c r="W39" s="6">
        <v>18</v>
      </c>
      <c r="X39" s="597"/>
      <c r="Y39" s="614"/>
      <c r="Z39" s="619"/>
      <c r="AA39" s="698" t="s">
        <v>152</v>
      </c>
      <c r="AB39" s="635"/>
      <c r="AC39" s="622"/>
      <c r="AD39" s="572"/>
      <c r="AE39" s="6"/>
      <c r="AF39" s="6"/>
      <c r="AG39" s="597"/>
      <c r="AH39" s="692"/>
      <c r="AI39" s="619"/>
      <c r="AJ39" s="692"/>
      <c r="AK39" s="635"/>
      <c r="AM39" s="572"/>
      <c r="AN39" s="6"/>
      <c r="AO39" s="6"/>
      <c r="AP39" s="597"/>
      <c r="AQ39" s="692"/>
      <c r="AR39" s="619"/>
      <c r="AS39" s="692"/>
      <c r="AT39" s="635"/>
      <c r="AU39" s="635"/>
      <c r="AV39" s="687"/>
    </row>
    <row r="40" spans="1:48" ht="72.599999999999994" customHeight="1" x14ac:dyDescent="0.25">
      <c r="A40" s="2205"/>
      <c r="B40" s="574">
        <v>2</v>
      </c>
      <c r="C40" s="596"/>
      <c r="D40" s="596"/>
      <c r="E40" s="596"/>
      <c r="F40" s="613"/>
      <c r="G40" s="692"/>
      <c r="H40" s="620"/>
      <c r="I40" s="620"/>
      <c r="J40" s="635"/>
      <c r="K40" s="622"/>
      <c r="L40" s="572"/>
      <c r="M40" s="6"/>
      <c r="N40" s="6"/>
      <c r="O40" s="613"/>
      <c r="P40" s="685"/>
      <c r="Q40" s="619"/>
      <c r="R40" s="692"/>
      <c r="S40" s="635"/>
      <c r="T40" s="622"/>
      <c r="U40" s="572"/>
      <c r="V40" s="6"/>
      <c r="W40" s="6"/>
      <c r="X40" s="613"/>
      <c r="Y40" s="685"/>
      <c r="Z40" s="619"/>
      <c r="AA40" s="684"/>
      <c r="AB40" s="635"/>
      <c r="AC40" s="622"/>
      <c r="AD40" s="572"/>
      <c r="AE40" s="6"/>
      <c r="AF40" s="6"/>
      <c r="AG40" s="613"/>
      <c r="AH40" s="567"/>
      <c r="AI40" s="620"/>
      <c r="AJ40" s="692"/>
      <c r="AK40" s="635"/>
      <c r="AM40" s="567"/>
      <c r="AN40" s="6"/>
      <c r="AO40" s="6"/>
      <c r="AP40" s="50"/>
      <c r="AQ40" s="613"/>
      <c r="AR40" s="685"/>
      <c r="AS40" s="619"/>
      <c r="AT40" s="692"/>
      <c r="AU40" s="635"/>
      <c r="AV40" s="635"/>
    </row>
    <row r="41" spans="1:48" ht="39.6" customHeight="1" x14ac:dyDescent="0.25">
      <c r="A41" s="2206">
        <v>45402</v>
      </c>
      <c r="B41" s="574">
        <v>1</v>
      </c>
      <c r="C41" s="595"/>
      <c r="D41" s="596"/>
      <c r="E41" s="596"/>
      <c r="F41" s="613"/>
      <c r="G41" s="685"/>
      <c r="H41" s="620"/>
      <c r="I41" s="620"/>
      <c r="J41" s="635"/>
      <c r="K41" s="622"/>
      <c r="L41" s="572"/>
      <c r="M41" s="6"/>
      <c r="N41" s="6"/>
      <c r="O41" s="613"/>
      <c r="P41" s="614"/>
      <c r="Q41" s="6"/>
      <c r="R41" s="692"/>
      <c r="S41" s="635"/>
      <c r="T41" s="622"/>
      <c r="U41" s="572"/>
      <c r="V41" s="6"/>
      <c r="W41" s="6"/>
      <c r="X41" s="613"/>
      <c r="Y41" s="614"/>
      <c r="Z41" s="605"/>
      <c r="AA41" s="698"/>
      <c r="AB41" s="613"/>
      <c r="AC41" s="622"/>
      <c r="AD41" s="572"/>
      <c r="AE41" s="6"/>
      <c r="AF41" s="6"/>
      <c r="AG41" s="613"/>
      <c r="AH41" s="567"/>
      <c r="AI41" s="605"/>
      <c r="AJ41" s="6"/>
      <c r="AK41" s="613"/>
      <c r="AM41" s="572"/>
      <c r="AN41" s="6"/>
      <c r="AO41" s="6">
        <v>27</v>
      </c>
      <c r="AP41" s="50"/>
      <c r="AQ41" s="613"/>
      <c r="AR41" s="614"/>
      <c r="AS41" s="605"/>
      <c r="AT41" s="692" t="s">
        <v>693</v>
      </c>
      <c r="AU41" s="50"/>
      <c r="AV41" s="613"/>
    </row>
    <row r="42" spans="1:48" ht="52.9" customHeight="1" x14ac:dyDescent="0.25">
      <c r="A42" s="2205"/>
      <c r="B42" s="574">
        <v>2</v>
      </c>
      <c r="C42" s="596"/>
      <c r="D42" s="596"/>
      <c r="E42" s="596"/>
      <c r="F42" s="613">
        <v>122</v>
      </c>
      <c r="G42" s="685"/>
      <c r="H42" s="620"/>
      <c r="I42" s="692"/>
      <c r="J42" s="635" t="s">
        <v>895</v>
      </c>
      <c r="K42" s="622"/>
      <c r="L42" s="572"/>
      <c r="M42" s="6"/>
      <c r="N42" s="6"/>
      <c r="O42" s="613">
        <v>89</v>
      </c>
      <c r="P42" s="614"/>
      <c r="Q42" s="6"/>
      <c r="R42" s="6"/>
      <c r="S42" s="635" t="s">
        <v>895</v>
      </c>
      <c r="T42" s="622"/>
      <c r="U42" s="572"/>
      <c r="V42" s="6"/>
      <c r="W42" s="6"/>
      <c r="X42" s="613">
        <v>92</v>
      </c>
      <c r="Y42" s="1083"/>
      <c r="Z42" s="6"/>
      <c r="AA42" s="698"/>
      <c r="AB42" s="635" t="s">
        <v>895</v>
      </c>
      <c r="AC42" s="622"/>
      <c r="AD42" s="572"/>
      <c r="AE42" s="6"/>
      <c r="AF42" s="6"/>
      <c r="AG42" s="613">
        <v>110</v>
      </c>
      <c r="AH42" s="614"/>
      <c r="AI42" s="605"/>
      <c r="AJ42" s="6"/>
      <c r="AK42" s="635" t="s">
        <v>895</v>
      </c>
      <c r="AM42" s="572"/>
      <c r="AN42" s="6"/>
      <c r="AO42" s="6"/>
      <c r="AP42" s="613"/>
      <c r="AQ42" s="613">
        <v>101</v>
      </c>
      <c r="AR42" s="614"/>
      <c r="AS42" s="6"/>
      <c r="AT42" s="6"/>
      <c r="AU42" s="635"/>
      <c r="AV42" s="635" t="s">
        <v>895</v>
      </c>
    </row>
    <row r="43" spans="1:48" ht="65.45" customHeight="1" x14ac:dyDescent="0.25">
      <c r="A43" s="2206">
        <v>45403</v>
      </c>
      <c r="B43" s="574">
        <v>1</v>
      </c>
      <c r="C43" s="596"/>
      <c r="D43" s="596"/>
      <c r="E43" s="596"/>
      <c r="F43" s="597"/>
      <c r="G43" s="619"/>
      <c r="H43" s="619"/>
      <c r="I43" s="848"/>
      <c r="J43" s="635"/>
      <c r="K43" s="622"/>
      <c r="L43" s="572"/>
      <c r="M43" s="6"/>
      <c r="N43" s="6"/>
      <c r="O43" s="613"/>
      <c r="P43" s="614"/>
      <c r="Q43" s="6"/>
      <c r="R43" s="6"/>
      <c r="S43" s="635"/>
      <c r="T43" s="622"/>
      <c r="U43" s="572"/>
      <c r="V43" s="6"/>
      <c r="W43" s="6"/>
      <c r="X43" s="613"/>
      <c r="Y43" s="614"/>
      <c r="Z43" s="6"/>
      <c r="AA43" s="698"/>
      <c r="AB43" s="635"/>
      <c r="AC43" s="622"/>
      <c r="AD43" s="572"/>
      <c r="AE43" s="6"/>
      <c r="AF43" s="6"/>
      <c r="AG43" s="613"/>
      <c r="AH43" s="605"/>
      <c r="AI43" s="620"/>
      <c r="AJ43" s="6"/>
      <c r="AK43" s="635"/>
      <c r="AM43" s="572"/>
      <c r="AN43" s="6"/>
      <c r="AO43" s="6"/>
      <c r="AP43" s="50"/>
      <c r="AQ43" s="613"/>
      <c r="AR43" s="605"/>
      <c r="AS43" s="620"/>
      <c r="AT43" s="6"/>
      <c r="AU43" s="635"/>
      <c r="AV43" s="613"/>
    </row>
    <row r="44" spans="1:48" ht="69" customHeight="1" x14ac:dyDescent="0.25">
      <c r="A44" s="2205"/>
      <c r="B44" s="574">
        <v>2</v>
      </c>
      <c r="C44" s="596"/>
      <c r="D44" s="596"/>
      <c r="E44" s="596"/>
      <c r="F44" s="597"/>
      <c r="G44" s="619"/>
      <c r="H44" s="620"/>
      <c r="I44" s="848"/>
      <c r="J44" s="635"/>
      <c r="K44" s="622"/>
      <c r="L44" s="572"/>
      <c r="M44" s="6"/>
      <c r="N44" s="6"/>
      <c r="O44" s="613"/>
      <c r="P44" s="1083"/>
      <c r="Q44" s="6"/>
      <c r="R44" s="605"/>
      <c r="S44" s="635"/>
      <c r="T44" s="622"/>
      <c r="U44" s="572"/>
      <c r="V44" s="6"/>
      <c r="W44" s="596"/>
      <c r="X44" s="597"/>
      <c r="Y44" s="619"/>
      <c r="Z44" s="620"/>
      <c r="AA44" s="698"/>
      <c r="AB44" s="635"/>
      <c r="AC44" s="622"/>
      <c r="AD44" s="572"/>
      <c r="AE44" s="6"/>
      <c r="AF44" s="6"/>
      <c r="AG44" s="613"/>
      <c r="AH44" s="614"/>
      <c r="AI44" s="605"/>
      <c r="AJ44" s="698"/>
      <c r="AK44" s="635"/>
      <c r="AM44" s="572"/>
      <c r="AN44" s="6"/>
      <c r="AO44" s="6"/>
      <c r="AP44" s="50"/>
      <c r="AQ44" s="613"/>
      <c r="AR44" s="614"/>
      <c r="AS44" s="605"/>
      <c r="AT44" s="605"/>
      <c r="AU44" s="635"/>
      <c r="AV44" s="613"/>
    </row>
    <row r="45" spans="1:48" ht="69" customHeight="1" x14ac:dyDescent="0.25">
      <c r="A45" s="2206">
        <v>45404</v>
      </c>
      <c r="B45" s="574">
        <v>1</v>
      </c>
      <c r="C45" s="596"/>
      <c r="D45" s="596"/>
      <c r="E45" s="596">
        <v>22</v>
      </c>
      <c r="F45" s="597"/>
      <c r="G45" s="619"/>
      <c r="H45" s="619"/>
      <c r="I45" s="692" t="s">
        <v>152</v>
      </c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05"/>
      <c r="W45" s="6"/>
      <c r="X45" s="613"/>
      <c r="Y45" s="619"/>
      <c r="Z45" s="605"/>
      <c r="AA45" s="605"/>
      <c r="AB45" s="613"/>
      <c r="AC45" s="622"/>
      <c r="AD45" s="572"/>
      <c r="AE45" s="6"/>
      <c r="AF45" s="6"/>
      <c r="AG45" s="613"/>
      <c r="AH45" s="614"/>
      <c r="AI45" s="605"/>
      <c r="AJ45" s="605"/>
      <c r="AK45" s="613"/>
      <c r="AM45" s="572"/>
      <c r="AN45" s="6"/>
      <c r="AO45" s="6"/>
      <c r="AP45" s="50"/>
      <c r="AQ45" s="613"/>
      <c r="AR45" s="614"/>
      <c r="AS45" s="605"/>
      <c r="AT45" s="6"/>
      <c r="AU45" s="50"/>
      <c r="AV45" s="613"/>
    </row>
    <row r="46" spans="1:48" ht="48.6" customHeight="1" x14ac:dyDescent="0.25">
      <c r="A46" s="2205"/>
      <c r="B46" s="574">
        <v>2</v>
      </c>
      <c r="C46" s="596"/>
      <c r="D46" s="596"/>
      <c r="E46" s="596"/>
      <c r="F46" s="597"/>
      <c r="G46" s="619"/>
      <c r="H46" s="619"/>
      <c r="I46" s="848"/>
      <c r="J46" s="635"/>
      <c r="K46" s="622"/>
      <c r="L46" s="572">
        <v>417</v>
      </c>
      <c r="M46" s="6"/>
      <c r="N46" s="6"/>
      <c r="O46" s="785"/>
      <c r="P46" s="614" t="s">
        <v>583</v>
      </c>
      <c r="Q46" s="620"/>
      <c r="R46" s="605"/>
      <c r="S46" s="635"/>
      <c r="T46" s="622"/>
      <c r="U46" s="572"/>
      <c r="V46" s="6"/>
      <c r="W46" s="6"/>
      <c r="X46" s="613"/>
      <c r="Y46" s="1083"/>
      <c r="Z46" s="6"/>
      <c r="AA46" s="605"/>
      <c r="AB46" s="635"/>
      <c r="AC46" s="622"/>
      <c r="AD46" s="572"/>
      <c r="AE46" s="6"/>
      <c r="AF46" s="6"/>
      <c r="AG46" s="613"/>
      <c r="AH46" s="1083"/>
      <c r="AI46" s="605"/>
      <c r="AJ46" s="698"/>
      <c r="AK46" s="635"/>
      <c r="AM46" s="572"/>
      <c r="AN46" s="6"/>
      <c r="AO46" s="6">
        <v>35</v>
      </c>
      <c r="AP46" s="50"/>
      <c r="AQ46" s="613"/>
      <c r="AR46" s="614"/>
      <c r="AS46" s="620"/>
      <c r="AT46" s="692" t="s">
        <v>693</v>
      </c>
      <c r="AU46" s="50"/>
      <c r="AV46" s="635"/>
    </row>
    <row r="47" spans="1:48" ht="58.9" customHeight="1" x14ac:dyDescent="0.25">
      <c r="A47" s="2206">
        <v>45405</v>
      </c>
      <c r="B47" s="574">
        <v>1</v>
      </c>
      <c r="C47" s="596"/>
      <c r="D47" s="596"/>
      <c r="E47" s="596"/>
      <c r="F47" s="597"/>
      <c r="G47" s="619"/>
      <c r="H47" s="620"/>
      <c r="I47" s="848"/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/>
      <c r="X47" s="613"/>
      <c r="Y47" s="619"/>
      <c r="Z47" s="605"/>
      <c r="AA47" s="605"/>
      <c r="AB47" s="635"/>
      <c r="AC47" s="622"/>
      <c r="AD47" s="572"/>
      <c r="AE47" s="6"/>
      <c r="AF47" s="6"/>
      <c r="AG47" s="613"/>
      <c r="AH47" s="1083"/>
      <c r="AI47" s="620"/>
      <c r="AJ47" s="698"/>
      <c r="AK47" s="613"/>
      <c r="AM47" s="572"/>
      <c r="AN47" s="6"/>
      <c r="AO47" s="6"/>
      <c r="AP47" s="50"/>
      <c r="AQ47" s="613"/>
      <c r="AR47" s="614"/>
      <c r="AS47" s="620"/>
      <c r="AT47" s="6"/>
      <c r="AU47" s="50"/>
      <c r="AV47" s="613"/>
    </row>
    <row r="48" spans="1:48" ht="34.9" customHeight="1" x14ac:dyDescent="0.25">
      <c r="A48" s="2205"/>
      <c r="B48" s="574">
        <v>2</v>
      </c>
      <c r="C48" s="596"/>
      <c r="D48" s="596"/>
      <c r="E48" s="596"/>
      <c r="F48" s="597"/>
      <c r="G48" s="620"/>
      <c r="H48" s="620"/>
      <c r="I48" s="692"/>
      <c r="J48" s="635"/>
      <c r="K48" s="622"/>
      <c r="L48" s="572"/>
      <c r="M48" s="6">
        <v>10</v>
      </c>
      <c r="N48" s="6"/>
      <c r="O48" s="597"/>
      <c r="P48" s="620"/>
      <c r="Q48" s="620" t="s">
        <v>317</v>
      </c>
      <c r="R48" s="692"/>
      <c r="S48" s="635"/>
      <c r="T48" s="622"/>
      <c r="U48" s="572"/>
      <c r="V48" s="6"/>
      <c r="W48" s="6"/>
      <c r="X48" s="597"/>
      <c r="Y48" s="620"/>
      <c r="Z48" s="620"/>
      <c r="AA48" s="692"/>
      <c r="AB48" s="635"/>
      <c r="AC48" s="622"/>
      <c r="AD48" s="572"/>
      <c r="AE48" s="6"/>
      <c r="AF48" s="6"/>
      <c r="AG48" s="597"/>
      <c r="AH48" s="620"/>
      <c r="AI48" s="620"/>
      <c r="AJ48" s="692"/>
      <c r="AK48" s="635"/>
      <c r="AM48" s="572"/>
      <c r="AN48" s="6"/>
      <c r="AO48" s="572"/>
      <c r="AP48" s="6"/>
      <c r="AQ48" s="6"/>
      <c r="AR48" s="597"/>
      <c r="AS48" s="620"/>
      <c r="AT48" s="620"/>
      <c r="AU48" s="635"/>
      <c r="AV48" s="613"/>
    </row>
    <row r="49" spans="1:48" ht="36" customHeight="1" x14ac:dyDescent="0.25">
      <c r="A49" s="2206">
        <v>45406</v>
      </c>
      <c r="B49" s="574">
        <v>1</v>
      </c>
      <c r="C49" s="596"/>
      <c r="D49" s="596"/>
      <c r="E49" s="596"/>
      <c r="F49" s="597"/>
      <c r="G49" s="620"/>
      <c r="H49" s="619"/>
      <c r="I49" s="848"/>
      <c r="J49" s="635"/>
      <c r="K49" s="622"/>
      <c r="L49" s="572"/>
      <c r="M49" s="6"/>
      <c r="N49" s="6"/>
      <c r="O49" s="597"/>
      <c r="P49" s="620"/>
      <c r="Q49" s="619"/>
      <c r="R49" s="692"/>
      <c r="S49" s="635"/>
      <c r="T49" s="622"/>
      <c r="U49" s="572"/>
      <c r="V49" s="6"/>
      <c r="W49" s="6"/>
      <c r="X49" s="597"/>
      <c r="Y49" s="620"/>
      <c r="Z49" s="605"/>
      <c r="AA49" s="605"/>
      <c r="AB49" s="635"/>
      <c r="AC49" s="622"/>
      <c r="AD49" s="572"/>
      <c r="AE49" s="6"/>
      <c r="AF49" s="6"/>
      <c r="AG49" s="597"/>
      <c r="AH49" s="620"/>
      <c r="AI49" s="619"/>
      <c r="AJ49" s="692"/>
      <c r="AK49" s="635"/>
      <c r="AM49" s="572"/>
      <c r="AN49" s="6"/>
      <c r="AO49" s="6"/>
      <c r="AP49" s="597"/>
      <c r="AQ49" s="620"/>
      <c r="AR49" s="619"/>
      <c r="AS49" s="692"/>
      <c r="AT49" s="635"/>
      <c r="AU49" s="635"/>
      <c r="AV49" s="613"/>
    </row>
    <row r="50" spans="1:48" ht="51.6" customHeight="1" x14ac:dyDescent="0.25">
      <c r="A50" s="2205"/>
      <c r="B50" s="574">
        <v>2</v>
      </c>
      <c r="C50" s="596"/>
      <c r="D50" s="596"/>
      <c r="E50" s="596"/>
      <c r="F50" s="597"/>
      <c r="G50" s="619"/>
      <c r="H50" s="619"/>
      <c r="I50" s="692"/>
      <c r="J50" s="635"/>
      <c r="K50" s="622"/>
      <c r="L50" s="572"/>
      <c r="M50" s="6"/>
      <c r="N50" s="6"/>
      <c r="O50" s="597"/>
      <c r="P50" s="619"/>
      <c r="Q50" s="619"/>
      <c r="R50" s="692"/>
      <c r="S50" s="635"/>
      <c r="T50" s="622"/>
      <c r="U50" s="572"/>
      <c r="V50" s="6"/>
      <c r="W50" s="6"/>
      <c r="X50" s="597"/>
      <c r="Y50" s="619"/>
      <c r="Z50" s="619"/>
      <c r="AA50" s="698"/>
      <c r="AB50" s="635"/>
      <c r="AC50" s="622"/>
      <c r="AD50" s="572"/>
      <c r="AE50" s="6"/>
      <c r="AF50" s="6"/>
      <c r="AG50" s="597"/>
      <c r="AH50" s="619"/>
      <c r="AI50" s="619"/>
      <c r="AJ50" s="692"/>
      <c r="AK50" s="635"/>
      <c r="AM50" s="572"/>
      <c r="AN50" s="6"/>
      <c r="AO50" s="6"/>
      <c r="AP50" s="597"/>
      <c r="AQ50" s="619"/>
      <c r="AR50" s="619"/>
      <c r="AS50" s="692"/>
      <c r="AT50" s="635"/>
      <c r="AU50" s="635"/>
      <c r="AV50" s="635"/>
    </row>
    <row r="51" spans="1:48" ht="34.9" customHeight="1" x14ac:dyDescent="0.25">
      <c r="A51" s="2206">
        <v>45407</v>
      </c>
      <c r="B51" s="574">
        <v>1</v>
      </c>
      <c r="C51" s="596"/>
      <c r="D51" s="596"/>
      <c r="E51" s="596"/>
      <c r="F51" s="597"/>
      <c r="G51" s="619"/>
      <c r="H51" s="619"/>
      <c r="I51" s="848"/>
      <c r="J51" s="635"/>
      <c r="K51" s="622"/>
      <c r="L51" s="572"/>
      <c r="M51" s="6"/>
      <c r="N51" s="6"/>
      <c r="O51" s="597"/>
      <c r="P51" s="619"/>
      <c r="Q51" s="619"/>
      <c r="R51" s="692"/>
      <c r="S51" s="635"/>
      <c r="T51" s="622"/>
      <c r="U51" s="572"/>
      <c r="V51" s="6"/>
      <c r="W51" s="6"/>
      <c r="X51" s="597"/>
      <c r="Y51" s="619"/>
      <c r="Z51" s="619"/>
      <c r="AA51" s="698"/>
      <c r="AB51" s="635"/>
      <c r="AC51" s="622"/>
      <c r="AD51" s="572"/>
      <c r="AE51" s="6"/>
      <c r="AF51" s="6"/>
      <c r="AG51" s="597"/>
      <c r="AH51" s="619"/>
      <c r="AI51" s="619"/>
      <c r="AJ51" s="692"/>
      <c r="AK51" s="635"/>
      <c r="AM51" s="572"/>
      <c r="AN51" s="6"/>
      <c r="AO51" s="6"/>
      <c r="AP51" s="597"/>
      <c r="AQ51" s="619"/>
      <c r="AR51" s="619"/>
      <c r="AS51" s="692"/>
      <c r="AT51" s="635"/>
      <c r="AU51" s="635"/>
      <c r="AV51" s="613"/>
    </row>
    <row r="52" spans="1:48" ht="49.15" customHeight="1" x14ac:dyDescent="0.25">
      <c r="A52" s="2205"/>
      <c r="B52" s="574">
        <v>2</v>
      </c>
      <c r="C52" s="596"/>
      <c r="D52" s="596"/>
      <c r="E52" s="596"/>
      <c r="F52" s="597"/>
      <c r="G52" s="620"/>
      <c r="H52" s="620"/>
      <c r="I52" s="848"/>
      <c r="J52" s="635"/>
      <c r="K52" s="622"/>
      <c r="L52" s="572"/>
      <c r="M52" s="6"/>
      <c r="N52" s="6"/>
      <c r="O52" s="597"/>
      <c r="P52" s="620"/>
      <c r="Q52" s="620"/>
      <c r="R52" s="692"/>
      <c r="S52" s="635"/>
      <c r="T52" s="622"/>
      <c r="U52" s="572"/>
      <c r="V52" s="6"/>
      <c r="W52" s="6"/>
      <c r="X52" s="597"/>
      <c r="Y52" s="620"/>
      <c r="Z52" s="605"/>
      <c r="AA52" s="698"/>
      <c r="AB52" s="635"/>
      <c r="AC52" s="622"/>
      <c r="AD52" s="572"/>
      <c r="AE52" s="6"/>
      <c r="AF52" s="6"/>
      <c r="AG52" s="597"/>
      <c r="AH52" s="620"/>
      <c r="AI52" s="620"/>
      <c r="AJ52" s="692"/>
      <c r="AK52" s="635"/>
      <c r="AM52" s="572"/>
      <c r="AN52" s="613"/>
      <c r="AO52" s="613"/>
      <c r="AP52" s="613"/>
      <c r="AQ52" s="613"/>
      <c r="AR52" s="614"/>
      <c r="AS52" s="6"/>
      <c r="AT52" s="635"/>
      <c r="AU52" s="635"/>
      <c r="AV52" s="613"/>
    </row>
    <row r="53" spans="1:48" ht="40.15" customHeight="1" x14ac:dyDescent="0.25">
      <c r="A53" s="2206">
        <v>45408</v>
      </c>
      <c r="B53" s="574">
        <v>1</v>
      </c>
      <c r="C53" s="596"/>
      <c r="D53" s="596"/>
      <c r="E53" s="596"/>
      <c r="F53" s="597"/>
      <c r="G53" s="619"/>
      <c r="H53" s="619"/>
      <c r="I53" s="848"/>
      <c r="J53" s="635"/>
      <c r="K53" s="622"/>
      <c r="L53" s="572"/>
      <c r="M53" s="6"/>
      <c r="N53" s="6"/>
      <c r="O53" s="613"/>
      <c r="P53" s="1083"/>
      <c r="Q53" s="620"/>
      <c r="R53" s="6"/>
      <c r="S53" s="635"/>
      <c r="T53" s="622"/>
      <c r="U53" s="572"/>
      <c r="V53" s="6"/>
      <c r="W53" s="6"/>
      <c r="X53" s="613"/>
      <c r="Y53" s="1083"/>
      <c r="Z53" s="6"/>
      <c r="AA53" s="605"/>
      <c r="AB53" s="613"/>
      <c r="AC53" s="622"/>
      <c r="AD53" s="572"/>
      <c r="AE53" s="605"/>
      <c r="AF53" s="6"/>
      <c r="AG53" s="613"/>
      <c r="AH53" s="614"/>
      <c r="AI53" s="6"/>
      <c r="AJ53" s="605"/>
      <c r="AK53" s="613"/>
      <c r="AM53" s="572"/>
      <c r="AN53" s="605"/>
      <c r="AO53" s="6"/>
      <c r="AP53" s="50"/>
      <c r="AQ53" s="613"/>
      <c r="AR53" s="614"/>
      <c r="AS53" s="6"/>
      <c r="AT53" s="6"/>
      <c r="AU53" s="50"/>
      <c r="AV53" s="613"/>
    </row>
    <row r="54" spans="1:48" ht="39.6" customHeight="1" x14ac:dyDescent="0.25">
      <c r="A54" s="2205"/>
      <c r="B54" s="1078">
        <v>2</v>
      </c>
      <c r="C54" s="596"/>
      <c r="D54" s="596"/>
      <c r="E54" s="596"/>
      <c r="F54" s="597"/>
      <c r="G54" s="619"/>
      <c r="H54" s="620"/>
      <c r="I54" s="692"/>
      <c r="J54" s="635"/>
      <c r="K54" s="622"/>
      <c r="L54" s="572"/>
      <c r="M54" s="6"/>
      <c r="N54" s="6"/>
      <c r="O54" s="597"/>
      <c r="P54" s="619"/>
      <c r="Q54" s="620"/>
      <c r="R54" s="619"/>
      <c r="S54" s="635"/>
      <c r="T54" s="622"/>
      <c r="U54" s="572"/>
      <c r="V54" s="6"/>
      <c r="W54" s="6"/>
      <c r="X54" s="597"/>
      <c r="Y54" s="620"/>
      <c r="Z54" s="620"/>
      <c r="AA54" s="620"/>
      <c r="AB54" s="635"/>
      <c r="AC54" s="622"/>
      <c r="AD54" s="572"/>
      <c r="AE54" s="6"/>
      <c r="AF54" s="6"/>
      <c r="AG54" s="613"/>
      <c r="AH54" s="614"/>
      <c r="AI54" s="620"/>
      <c r="AJ54" s="6"/>
      <c r="AK54" s="635"/>
      <c r="AM54" s="572"/>
      <c r="AN54" s="6"/>
      <c r="AO54" s="6"/>
      <c r="AP54" s="50"/>
      <c r="AQ54" s="597"/>
      <c r="AR54" s="619"/>
      <c r="AS54" s="620"/>
      <c r="AT54" s="619"/>
      <c r="AU54" s="830"/>
      <c r="AV54" s="635"/>
    </row>
    <row r="55" spans="1:48" ht="39.6" customHeight="1" x14ac:dyDescent="0.25">
      <c r="A55" s="2206">
        <v>45409</v>
      </c>
      <c r="B55" s="574">
        <v>1</v>
      </c>
      <c r="C55" s="595"/>
      <c r="D55" s="596"/>
      <c r="E55" s="596"/>
      <c r="F55" s="597"/>
      <c r="G55" s="619"/>
      <c r="H55" s="619"/>
      <c r="I55" s="848"/>
      <c r="J55" s="613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/>
      <c r="X55" s="613"/>
      <c r="Y55" s="614"/>
      <c r="Z55" s="620"/>
      <c r="AA55" s="698"/>
      <c r="AB55" s="613"/>
      <c r="AC55" s="622"/>
      <c r="AD55" s="572"/>
      <c r="AE55" s="6"/>
      <c r="AF55" s="6"/>
      <c r="AG55" s="613"/>
      <c r="AH55" s="614"/>
      <c r="AI55" s="620"/>
      <c r="AJ55" s="6"/>
      <c r="AK55" s="613"/>
      <c r="AM55" s="572"/>
      <c r="AN55" s="6"/>
      <c r="AO55" s="6"/>
      <c r="AP55" s="50"/>
      <c r="AQ55" s="613"/>
      <c r="AR55" s="614"/>
      <c r="AS55" s="620"/>
      <c r="AT55" s="6"/>
      <c r="AU55" s="50"/>
      <c r="AV55" s="613"/>
    </row>
    <row r="56" spans="1:48" ht="94.15" customHeight="1" x14ac:dyDescent="0.25">
      <c r="A56" s="2205"/>
      <c r="B56" s="1078">
        <v>2</v>
      </c>
      <c r="C56" s="595"/>
      <c r="D56" s="596"/>
      <c r="E56" s="596"/>
      <c r="F56" s="597"/>
      <c r="G56" s="620"/>
      <c r="H56" s="620"/>
      <c r="I56" s="848"/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/>
      <c r="V56" s="6"/>
      <c r="W56" s="6"/>
      <c r="X56" s="597"/>
      <c r="Y56" s="1083"/>
      <c r="Z56" s="619"/>
      <c r="AA56" s="605"/>
      <c r="AB56" s="635"/>
      <c r="AC56" s="622"/>
      <c r="AD56" s="572"/>
      <c r="AE56" s="6"/>
      <c r="AF56" s="6"/>
      <c r="AG56" s="597"/>
      <c r="AH56" s="620"/>
      <c r="AI56" s="619"/>
      <c r="AJ56" s="620"/>
      <c r="AK56" s="635"/>
      <c r="AM56" s="572"/>
      <c r="AN56" s="6"/>
      <c r="AO56" s="6"/>
      <c r="AP56" s="50"/>
      <c r="AQ56" s="597"/>
      <c r="AR56" s="620"/>
      <c r="AS56" s="619"/>
      <c r="AT56" s="620"/>
      <c r="AU56" s="692"/>
      <c r="AV56" s="635"/>
    </row>
    <row r="57" spans="1:48" ht="52.15" customHeight="1" x14ac:dyDescent="0.25">
      <c r="A57" s="2206">
        <v>45410</v>
      </c>
      <c r="B57" s="574">
        <v>1</v>
      </c>
      <c r="C57" s="595"/>
      <c r="D57" s="596"/>
      <c r="E57" s="596"/>
      <c r="F57" s="597"/>
      <c r="G57" s="620"/>
      <c r="H57" s="620"/>
      <c r="I57" s="692"/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/>
      <c r="X57" s="597"/>
      <c r="Y57" s="620"/>
      <c r="Z57" s="619"/>
      <c r="AA57" s="605"/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/>
      <c r="AP57" s="50"/>
      <c r="AQ57" s="597"/>
      <c r="AR57" s="620"/>
      <c r="AS57" s="619"/>
      <c r="AT57" s="620"/>
      <c r="AU57" s="692"/>
      <c r="AV57" s="635"/>
    </row>
    <row r="58" spans="1:48" ht="78" customHeight="1" x14ac:dyDescent="0.25">
      <c r="A58" s="2205"/>
      <c r="B58" s="1078">
        <v>2</v>
      </c>
      <c r="C58" s="595"/>
      <c r="D58" s="596"/>
      <c r="E58" s="596"/>
      <c r="F58" s="597"/>
      <c r="G58" s="620"/>
      <c r="H58" s="619"/>
      <c r="I58" s="848"/>
      <c r="J58" s="635"/>
      <c r="K58" s="622"/>
      <c r="L58" s="572"/>
      <c r="M58" s="6"/>
      <c r="N58" s="6"/>
      <c r="O58" s="597"/>
      <c r="P58" s="620"/>
      <c r="Q58" s="619"/>
      <c r="R58" s="620"/>
      <c r="S58" s="635"/>
      <c r="T58" s="622"/>
      <c r="U58" s="572"/>
      <c r="V58" s="6"/>
      <c r="W58" s="6"/>
      <c r="X58" s="597"/>
      <c r="Y58" s="620"/>
      <c r="Z58" s="619"/>
      <c r="AA58" s="698"/>
      <c r="AB58" s="635"/>
      <c r="AC58" s="622"/>
      <c r="AD58" s="572"/>
      <c r="AE58" s="6"/>
      <c r="AF58" s="6"/>
      <c r="AG58" s="597"/>
      <c r="AH58" s="620"/>
      <c r="AI58" s="619"/>
      <c r="AJ58" s="6"/>
      <c r="AK58" s="635"/>
      <c r="AM58" s="572"/>
      <c r="AN58" s="6"/>
      <c r="AO58" s="6"/>
      <c r="AP58" s="50"/>
      <c r="AQ58" s="597"/>
      <c r="AR58" s="620"/>
      <c r="AS58" s="619"/>
      <c r="AT58" s="620"/>
      <c r="AU58" s="692"/>
      <c r="AV58" s="635"/>
    </row>
    <row r="59" spans="1:48" ht="73.150000000000006" customHeight="1" x14ac:dyDescent="0.25">
      <c r="A59" s="2206">
        <v>45411</v>
      </c>
      <c r="B59" s="574">
        <v>1</v>
      </c>
      <c r="C59" s="595">
        <v>39</v>
      </c>
      <c r="D59" s="596"/>
      <c r="E59" s="596"/>
      <c r="F59" s="597"/>
      <c r="G59" s="620" t="s">
        <v>905</v>
      </c>
      <c r="H59" s="619"/>
      <c r="I59" s="848"/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/>
      <c r="X59" s="613"/>
      <c r="Y59" s="614"/>
      <c r="Z59" s="6"/>
      <c r="AA59" s="698"/>
      <c r="AB59" s="635"/>
      <c r="AC59" s="622"/>
      <c r="AD59" s="572"/>
      <c r="AE59" s="6"/>
      <c r="AF59" s="6"/>
      <c r="AG59" s="613"/>
      <c r="AH59" s="1083"/>
      <c r="AI59" s="6"/>
      <c r="AJ59" s="620"/>
      <c r="AK59" s="635"/>
      <c r="AM59" s="572"/>
      <c r="AN59" s="6"/>
      <c r="AO59" s="6"/>
      <c r="AP59" s="50"/>
      <c r="AQ59" s="613"/>
      <c r="AR59" s="1083"/>
      <c r="AS59" s="6"/>
      <c r="AT59" s="620"/>
      <c r="AU59" s="692"/>
      <c r="AV59" s="635"/>
    </row>
    <row r="60" spans="1:48" ht="36" customHeight="1" x14ac:dyDescent="0.25">
      <c r="A60" s="2205"/>
      <c r="B60" s="1078">
        <v>2</v>
      </c>
      <c r="C60" s="595"/>
      <c r="D60" s="596"/>
      <c r="E60" s="596"/>
      <c r="F60" s="597"/>
      <c r="G60" s="619"/>
      <c r="H60" s="620"/>
      <c r="I60" s="848"/>
      <c r="J60" s="635"/>
      <c r="K60" s="622"/>
      <c r="L60" s="572"/>
      <c r="M60" s="6"/>
      <c r="N60" s="6"/>
      <c r="O60" s="613"/>
      <c r="P60" s="614"/>
      <c r="Q60" s="620"/>
      <c r="R60" s="6"/>
      <c r="S60" s="635"/>
      <c r="T60" s="622"/>
      <c r="U60" s="572"/>
      <c r="V60" s="6"/>
      <c r="W60" s="6"/>
      <c r="X60" s="613"/>
      <c r="Y60" s="1083"/>
      <c r="Z60" s="620"/>
      <c r="AA60" s="605"/>
      <c r="AB60" s="635"/>
      <c r="AC60" s="622"/>
      <c r="AD60" s="572"/>
      <c r="AE60" s="6"/>
      <c r="AF60" s="6"/>
      <c r="AG60" s="613"/>
      <c r="AH60" s="614"/>
      <c r="AI60" s="620"/>
      <c r="AJ60" s="605"/>
      <c r="AK60" s="635"/>
      <c r="AM60" s="572"/>
      <c r="AN60" s="6"/>
      <c r="AO60" s="6"/>
      <c r="AP60" s="50"/>
      <c r="AQ60" s="613"/>
      <c r="AR60" s="614"/>
      <c r="AS60" s="620"/>
      <c r="AT60" s="605"/>
      <c r="AU60" s="828"/>
      <c r="AV60" s="635"/>
    </row>
    <row r="61" spans="1:48" ht="32.450000000000003" customHeight="1" x14ac:dyDescent="0.25">
      <c r="A61" s="2206">
        <v>45412</v>
      </c>
      <c r="B61" s="574">
        <v>1</v>
      </c>
      <c r="C61" s="1086"/>
      <c r="D61" s="1088"/>
      <c r="E61" s="596"/>
      <c r="F61" s="749"/>
      <c r="G61" s="619"/>
      <c r="H61" s="1087"/>
      <c r="I61" s="692"/>
      <c r="J61" s="687"/>
      <c r="K61" s="622"/>
      <c r="L61" s="572"/>
      <c r="M61" s="6"/>
      <c r="N61" s="6"/>
      <c r="O61" s="613"/>
      <c r="P61" s="752"/>
      <c r="Q61" s="1084"/>
      <c r="R61" s="1084"/>
      <c r="S61" s="753"/>
      <c r="T61" s="622"/>
      <c r="U61" s="572"/>
      <c r="V61" s="6"/>
      <c r="W61" s="6"/>
      <c r="X61" s="613"/>
      <c r="Y61" s="1083"/>
      <c r="Z61" s="605"/>
      <c r="AA61" s="605"/>
      <c r="AB61" s="753"/>
      <c r="AC61" s="622"/>
      <c r="AD61" s="572"/>
      <c r="AE61" s="6"/>
      <c r="AF61" s="6"/>
      <c r="AG61" s="613"/>
      <c r="AH61" s="614"/>
      <c r="AI61" s="6"/>
      <c r="AJ61" s="605"/>
      <c r="AK61" s="753"/>
      <c r="AM61" s="572"/>
      <c r="AN61" s="6"/>
      <c r="AO61" s="6"/>
      <c r="AP61" s="50"/>
      <c r="AQ61" s="613"/>
      <c r="AR61" s="1083"/>
      <c r="AS61" s="6"/>
      <c r="AT61" s="605"/>
      <c r="AU61" s="964"/>
      <c r="AV61" s="753"/>
    </row>
    <row r="62" spans="1:48" ht="62.45" customHeight="1" x14ac:dyDescent="0.25">
      <c r="A62" s="2205"/>
      <c r="B62" s="1078">
        <v>2</v>
      </c>
      <c r="C62" s="1086"/>
      <c r="D62" s="1088"/>
      <c r="E62" s="1088"/>
      <c r="F62" s="749"/>
      <c r="G62" s="1080"/>
      <c r="H62" s="1087"/>
      <c r="I62" s="692"/>
      <c r="J62" s="687"/>
      <c r="K62" s="622"/>
      <c r="L62" s="572"/>
      <c r="M62" s="6">
        <v>17</v>
      </c>
      <c r="N62" s="6"/>
      <c r="O62" s="613"/>
      <c r="P62" s="752"/>
      <c r="Q62" s="1103" t="s">
        <v>904</v>
      </c>
      <c r="R62" s="1084"/>
      <c r="S62" s="753"/>
      <c r="T62" s="622"/>
      <c r="U62" s="572"/>
      <c r="V62" s="6"/>
      <c r="W62" s="6"/>
      <c r="X62" s="613"/>
      <c r="Y62" s="1083"/>
      <c r="Z62" s="605"/>
      <c r="AA62" s="605"/>
      <c r="AB62" s="753"/>
      <c r="AC62" s="622"/>
      <c r="AD62" s="572">
        <v>184</v>
      </c>
      <c r="AE62" s="6">
        <v>184</v>
      </c>
      <c r="AF62" s="6">
        <v>184</v>
      </c>
      <c r="AG62" s="613"/>
      <c r="AH62" s="2232" t="s">
        <v>903</v>
      </c>
      <c r="AI62" s="2233"/>
      <c r="AJ62" s="2234"/>
      <c r="AK62" s="753"/>
      <c r="AM62" s="572"/>
      <c r="AN62" s="6"/>
      <c r="AO62" s="6"/>
      <c r="AP62" s="50"/>
      <c r="AQ62" s="613"/>
      <c r="AR62" s="614"/>
      <c r="AS62" s="6"/>
      <c r="AT62" s="605"/>
      <c r="AU62" s="964"/>
      <c r="AV62" s="753"/>
    </row>
    <row r="63" spans="1:48" ht="64.150000000000006" customHeight="1" x14ac:dyDescent="0.25">
      <c r="A63" s="2206"/>
      <c r="B63" s="574">
        <v>1</v>
      </c>
      <c r="C63" s="706"/>
      <c r="D63" s="707"/>
      <c r="E63" s="707"/>
      <c r="F63" s="708"/>
      <c r="G63" s="717"/>
      <c r="H63" s="709"/>
      <c r="I63" s="692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/>
      <c r="X63" s="597"/>
      <c r="Y63" s="685"/>
      <c r="Z63" s="619"/>
      <c r="AA63" s="605"/>
      <c r="AB63" s="1082"/>
      <c r="AC63" s="622"/>
      <c r="AD63" s="572"/>
      <c r="AE63" s="6"/>
      <c r="AF63" s="6"/>
      <c r="AG63" s="597"/>
      <c r="AH63" s="685"/>
      <c r="AI63" s="619"/>
      <c r="AJ63" s="6"/>
      <c r="AK63" s="705"/>
      <c r="AM63" s="572"/>
      <c r="AN63" s="6"/>
      <c r="AO63" s="6"/>
      <c r="AP63" s="50"/>
      <c r="AQ63" s="597"/>
      <c r="AR63" s="685"/>
      <c r="AS63" s="619"/>
      <c r="AT63" s="619"/>
      <c r="AU63" s="965"/>
      <c r="AV63" s="705"/>
    </row>
    <row r="64" spans="1:48" ht="62.45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963"/>
      <c r="AQ64" s="636"/>
      <c r="AR64" s="637"/>
      <c r="AS64" s="638"/>
      <c r="AT64" s="638"/>
      <c r="AU64" s="966"/>
      <c r="AV64" s="713"/>
    </row>
    <row r="65" spans="1:43" ht="23.45" customHeight="1" x14ac:dyDescent="0.25">
      <c r="A65" s="524" t="s">
        <v>225</v>
      </c>
      <c r="C65" s="768">
        <f>SUM(C3:C64)</f>
        <v>39</v>
      </c>
      <c r="D65" s="525">
        <f>SUM(D3:D64)</f>
        <v>0</v>
      </c>
      <c r="E65" s="768">
        <f>SUM(E3:E64)</f>
        <v>166</v>
      </c>
      <c r="F65" s="525">
        <f>SUM(F3:F64)</f>
        <v>1697</v>
      </c>
      <c r="L65" s="525">
        <f>SUM(L3:L64)</f>
        <v>454</v>
      </c>
      <c r="M65" s="525">
        <f>SUM(M3:M64)</f>
        <v>139</v>
      </c>
      <c r="N65" s="525">
        <f>SUM(N3:N64)</f>
        <v>0</v>
      </c>
      <c r="O65" s="525">
        <f>SUM(O3:O64)</f>
        <v>1700</v>
      </c>
      <c r="U65" s="525">
        <f>SUM(U3:U64)</f>
        <v>73</v>
      </c>
      <c r="V65" s="525">
        <f>SUM(V3:V64)</f>
        <v>2244</v>
      </c>
      <c r="W65" s="525">
        <f>SUM(W3:W64)</f>
        <v>122</v>
      </c>
      <c r="X65" s="525">
        <f>SUM(X3:X64)</f>
        <v>1774</v>
      </c>
      <c r="AD65" s="525">
        <f>SUM(AD3:AD64)</f>
        <v>216</v>
      </c>
      <c r="AE65" s="525">
        <f>SUM(AE3:AE64)</f>
        <v>446</v>
      </c>
      <c r="AF65" s="525">
        <f>SUM(AF3:AF64)</f>
        <v>245</v>
      </c>
      <c r="AG65" s="525">
        <f>SUM(AG3:AG64)</f>
        <v>1741</v>
      </c>
      <c r="AM65" s="525">
        <f>SUM(AM3:AM64)</f>
        <v>0</v>
      </c>
      <c r="AN65" s="525">
        <f>SUM(AN3:AN64)</f>
        <v>0</v>
      </c>
      <c r="AO65" s="525">
        <f>SUM(AO3:AO64)</f>
        <v>243</v>
      </c>
      <c r="AP65" s="525"/>
      <c r="AQ65" s="525">
        <f>SUM(AQ3:AQ64)</f>
        <v>1682</v>
      </c>
    </row>
    <row r="73" spans="1:43" ht="15.75" thickBot="1" x14ac:dyDescent="0.3"/>
    <row r="74" spans="1:43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3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3" ht="21.75" customHeight="1" x14ac:dyDescent="0.3">
      <c r="B76" s="651" t="s">
        <v>218</v>
      </c>
      <c r="C76" s="652">
        <f>C65</f>
        <v>39</v>
      </c>
      <c r="D76" s="653">
        <f>C76/60</f>
        <v>0.65</v>
      </c>
      <c r="E76" s="652">
        <f>D65</f>
        <v>0</v>
      </c>
      <c r="F76" s="654">
        <f>E76/60</f>
        <v>0</v>
      </c>
      <c r="G76" s="652">
        <f>E65</f>
        <v>166</v>
      </c>
      <c r="H76" s="653">
        <f>G76/60</f>
        <v>2.7666666666666666</v>
      </c>
      <c r="I76" s="652">
        <f>F65</f>
        <v>1697</v>
      </c>
      <c r="J76" s="653">
        <f>I76/60</f>
        <v>28.283333333333335</v>
      </c>
    </row>
    <row r="77" spans="1:43" ht="19.5" customHeight="1" x14ac:dyDescent="0.3">
      <c r="B77" s="651" t="s">
        <v>219</v>
      </c>
      <c r="C77" s="655">
        <f>L65</f>
        <v>454</v>
      </c>
      <c r="D77" s="656">
        <f>C77/60</f>
        <v>7.5666666666666664</v>
      </c>
      <c r="E77" s="655">
        <f>M65</f>
        <v>139</v>
      </c>
      <c r="F77" s="657">
        <f>E77/60</f>
        <v>2.3166666666666669</v>
      </c>
      <c r="G77" s="655">
        <f>N65</f>
        <v>0</v>
      </c>
      <c r="H77" s="656">
        <f>G77/60</f>
        <v>0</v>
      </c>
      <c r="I77" s="655">
        <f>O65</f>
        <v>1700</v>
      </c>
      <c r="J77" s="656">
        <f>I77/60</f>
        <v>28.333333333333332</v>
      </c>
    </row>
    <row r="78" spans="1:43" ht="20.25" customHeight="1" x14ac:dyDescent="0.3">
      <c r="B78" s="651" t="s">
        <v>220</v>
      </c>
      <c r="C78" s="655">
        <f>U65</f>
        <v>73</v>
      </c>
      <c r="D78" s="656">
        <f>C78/60</f>
        <v>1.2166666666666666</v>
      </c>
      <c r="E78" s="655">
        <f>V65</f>
        <v>2244</v>
      </c>
      <c r="F78" s="657">
        <f>E78/60</f>
        <v>37.4</v>
      </c>
      <c r="G78" s="655">
        <f>W65</f>
        <v>122</v>
      </c>
      <c r="H78" s="656">
        <f>G78/60</f>
        <v>2.0333333333333332</v>
      </c>
      <c r="I78" s="655">
        <f>X65</f>
        <v>1774</v>
      </c>
      <c r="J78" s="656">
        <f>I78/60</f>
        <v>29.566666666666666</v>
      </c>
    </row>
    <row r="79" spans="1:43" ht="22.5" customHeight="1" thickBot="1" x14ac:dyDescent="0.35">
      <c r="B79" s="651" t="s">
        <v>221</v>
      </c>
      <c r="C79" s="658">
        <f>AD65</f>
        <v>216</v>
      </c>
      <c r="D79" s="659">
        <f>C79/60</f>
        <v>3.6</v>
      </c>
      <c r="E79" s="658">
        <f>AE65</f>
        <v>446</v>
      </c>
      <c r="F79" s="660">
        <f>E79/60</f>
        <v>7.4333333333333336</v>
      </c>
      <c r="G79" s="658">
        <f>AF65</f>
        <v>245</v>
      </c>
      <c r="H79" s="659">
        <f>G79/60</f>
        <v>4.083333333333333</v>
      </c>
      <c r="I79" s="658">
        <f>AG65</f>
        <v>1741</v>
      </c>
      <c r="J79" s="659">
        <f>I79/60</f>
        <v>29.016666666666666</v>
      </c>
    </row>
    <row r="80" spans="1:43" ht="22.5" customHeight="1" thickBot="1" x14ac:dyDescent="0.35">
      <c r="B80" s="651" t="s">
        <v>488</v>
      </c>
      <c r="C80" s="850">
        <f>AM65</f>
        <v>0</v>
      </c>
      <c r="D80" s="849">
        <f>C80/60</f>
        <v>0</v>
      </c>
      <c r="E80" s="850">
        <f>AN65</f>
        <v>0</v>
      </c>
      <c r="F80" s="851">
        <f>E80/60</f>
        <v>0</v>
      </c>
      <c r="G80" s="850">
        <f>AO65</f>
        <v>243</v>
      </c>
      <c r="H80" s="849">
        <f>G80/60</f>
        <v>4.05</v>
      </c>
      <c r="I80" s="850">
        <f>AQ65</f>
        <v>1682</v>
      </c>
      <c r="J80" s="849">
        <f>I80/60</f>
        <v>28.033333333333335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13.033333333333333</v>
      </c>
      <c r="E82" s="666"/>
      <c r="F82" s="667">
        <f>SUM(F76:F80)</f>
        <v>47.150000000000006</v>
      </c>
      <c r="G82" s="666"/>
      <c r="H82" s="667">
        <f>SUM(H76:H80)</f>
        <v>12.933333333333334</v>
      </c>
      <c r="I82" s="666"/>
      <c r="J82" s="668">
        <f>AVERAGE(J76:J80)</f>
        <v>28.646666666666668</v>
      </c>
    </row>
  </sheetData>
  <mergeCells count="46">
    <mergeCell ref="AH62:AJ62"/>
    <mergeCell ref="A5:A6"/>
    <mergeCell ref="C1:F1"/>
    <mergeCell ref="G1:J1"/>
    <mergeCell ref="L1:O1"/>
    <mergeCell ref="P1:S1"/>
    <mergeCell ref="AD1:AG1"/>
    <mergeCell ref="AH1:AK1"/>
    <mergeCell ref="A29:A30"/>
    <mergeCell ref="A7:A8"/>
    <mergeCell ref="A9:A10"/>
    <mergeCell ref="A11:A12"/>
    <mergeCell ref="A13:A14"/>
    <mergeCell ref="A15:A16"/>
    <mergeCell ref="A17:A18"/>
    <mergeCell ref="A19:A20"/>
    <mergeCell ref="AM1:AQ1"/>
    <mergeCell ref="AR1:AV1"/>
    <mergeCell ref="A3:A4"/>
    <mergeCell ref="U1:X1"/>
    <mergeCell ref="Y1:AB1"/>
    <mergeCell ref="A21:A22"/>
    <mergeCell ref="A23:A24"/>
    <mergeCell ref="A25:A26"/>
    <mergeCell ref="A27:A2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</mergeCells>
  <pageMargins left="0.7" right="0.7" top="0.75" bottom="0.75" header="0.3" footer="0.3"/>
  <pageSetup paperSize="9" orientation="portrait" horizontalDpi="180" verticalDpi="18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2"/>
  <sheetViews>
    <sheetView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61" sqref="I61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7.285156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3" style="524" customWidth="1"/>
    <col min="17" max="17" width="27.28515625" style="524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2.42578125" style="524" customWidth="1"/>
    <col min="28" max="28" width="27" style="524" customWidth="1"/>
    <col min="29" max="33" width="10.7109375" style="524" customWidth="1"/>
    <col min="34" max="34" width="31.28515625" style="524" customWidth="1"/>
    <col min="35" max="35" width="18.57031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3" width="10.7109375" style="524" customWidth="1"/>
    <col min="44" max="44" width="21.140625" style="524" customWidth="1"/>
    <col min="45" max="45" width="26.28515625" style="524" customWidth="1"/>
    <col min="46" max="46" width="27.140625" style="524" customWidth="1"/>
    <col min="47" max="47" width="24.42578125" style="524" customWidth="1"/>
    <col min="48" max="48" width="26.5703125" style="524" customWidth="1"/>
    <col min="49" max="16384" width="8.85546875" style="524"/>
  </cols>
  <sheetData>
    <row r="1" spans="1:48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0"/>
      <c r="AR1" s="2252" t="s">
        <v>206</v>
      </c>
      <c r="AS1" s="2252"/>
      <c r="AT1" s="2252"/>
      <c r="AU1" s="2252"/>
      <c r="AV1" s="2253"/>
    </row>
    <row r="2" spans="1:48" ht="42.6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6" t="s">
        <v>199</v>
      </c>
      <c r="AI2" s="984" t="s">
        <v>200</v>
      </c>
      <c r="AJ2" s="984" t="s">
        <v>201</v>
      </c>
      <c r="AK2" s="984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4" t="s">
        <v>204</v>
      </c>
      <c r="AR2" s="986" t="s">
        <v>199</v>
      </c>
      <c r="AS2" s="984" t="s">
        <v>200</v>
      </c>
      <c r="AT2" s="984" t="s">
        <v>201</v>
      </c>
      <c r="AU2" s="984" t="s">
        <v>204</v>
      </c>
      <c r="AV2" s="984" t="s">
        <v>204</v>
      </c>
    </row>
    <row r="3" spans="1:48" ht="78" customHeight="1" x14ac:dyDescent="0.25">
      <c r="A3" s="2206">
        <v>45413</v>
      </c>
      <c r="B3" s="1093">
        <v>1</v>
      </c>
      <c r="C3" s="592">
        <v>163.5</v>
      </c>
      <c r="D3" s="593">
        <v>163.5</v>
      </c>
      <c r="E3" s="6"/>
      <c r="F3" s="594"/>
      <c r="G3" s="685" t="s">
        <v>906</v>
      </c>
      <c r="H3" s="619" t="s">
        <v>907</v>
      </c>
      <c r="I3" s="620"/>
      <c r="J3" s="686"/>
      <c r="K3" s="622"/>
      <c r="L3" s="612"/>
      <c r="M3" s="630"/>
      <c r="N3" s="630"/>
      <c r="O3" s="628"/>
      <c r="P3" s="629"/>
      <c r="Q3" s="699"/>
      <c r="R3" s="699"/>
      <c r="S3" s="628"/>
      <c r="T3" s="622"/>
      <c r="U3" s="612"/>
      <c r="V3" s="630"/>
      <c r="W3" s="6"/>
      <c r="X3" s="613"/>
      <c r="Y3" s="1097"/>
      <c r="Z3" s="629"/>
      <c r="AA3" s="620"/>
      <c r="AB3" s="720"/>
      <c r="AC3" s="622"/>
      <c r="AD3" s="612"/>
      <c r="AE3" s="630"/>
      <c r="AF3" s="6"/>
      <c r="AG3" s="628"/>
      <c r="AH3" s="629"/>
      <c r="AI3" s="629"/>
      <c r="AJ3" s="605"/>
      <c r="AK3" s="628"/>
      <c r="AM3" s="612"/>
      <c r="AN3" s="630"/>
      <c r="AO3" s="6">
        <v>150</v>
      </c>
      <c r="AP3" s="962"/>
      <c r="AQ3" s="628"/>
      <c r="AR3" s="629"/>
      <c r="AS3" s="648"/>
      <c r="AT3" s="605" t="s">
        <v>768</v>
      </c>
      <c r="AU3" s="962"/>
      <c r="AV3" s="628"/>
    </row>
    <row r="4" spans="1:48" ht="70.150000000000006" customHeight="1" x14ac:dyDescent="0.25">
      <c r="A4" s="2205"/>
      <c r="B4" s="574">
        <v>2</v>
      </c>
      <c r="C4" s="595"/>
      <c r="D4" s="596"/>
      <c r="E4" s="596"/>
      <c r="F4" s="597"/>
      <c r="G4" s="685"/>
      <c r="H4" s="619"/>
      <c r="I4" s="848"/>
      <c r="J4" s="687"/>
      <c r="K4" s="622"/>
      <c r="L4" s="572"/>
      <c r="M4" s="6"/>
      <c r="N4" s="6"/>
      <c r="O4" s="613"/>
      <c r="P4" s="614"/>
      <c r="Q4" s="619"/>
      <c r="R4" s="1099"/>
      <c r="S4" s="613"/>
      <c r="T4" s="622"/>
      <c r="U4" s="572"/>
      <c r="V4" s="605">
        <v>11</v>
      </c>
      <c r="W4" s="6">
        <v>38</v>
      </c>
      <c r="X4" s="613"/>
      <c r="Y4" s="1097"/>
      <c r="Z4" s="620" t="s">
        <v>909</v>
      </c>
      <c r="AA4" s="698" t="s">
        <v>908</v>
      </c>
      <c r="AB4" s="722"/>
      <c r="AC4" s="622"/>
      <c r="AD4" s="572"/>
      <c r="AE4" s="6"/>
      <c r="AF4" s="6"/>
      <c r="AG4" s="613"/>
      <c r="AH4" s="614"/>
      <c r="AI4" s="620"/>
      <c r="AJ4" s="6"/>
      <c r="AK4" s="613"/>
      <c r="AM4" s="572">
        <v>720</v>
      </c>
      <c r="AN4" s="6"/>
      <c r="AO4" s="6"/>
      <c r="AP4" s="50"/>
      <c r="AQ4" s="613"/>
      <c r="AR4" s="614" t="s">
        <v>45</v>
      </c>
      <c r="AS4" s="620"/>
      <c r="AT4" s="6"/>
      <c r="AU4" s="50"/>
      <c r="AV4" s="613"/>
    </row>
    <row r="5" spans="1:48" ht="60" customHeight="1" x14ac:dyDescent="0.25">
      <c r="A5" s="2206">
        <v>45414</v>
      </c>
      <c r="B5" s="574">
        <v>1</v>
      </c>
      <c r="C5" s="595"/>
      <c r="D5" s="596"/>
      <c r="E5" s="596"/>
      <c r="F5" s="597"/>
      <c r="G5" s="684"/>
      <c r="H5" s="684"/>
      <c r="I5" s="848"/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/>
      <c r="X5" s="613"/>
      <c r="Y5" s="1097"/>
      <c r="Z5" s="619"/>
      <c r="AA5" s="698"/>
      <c r="AB5" s="723"/>
      <c r="AC5" s="622"/>
      <c r="AD5" s="572"/>
      <c r="AE5" s="6"/>
      <c r="AF5" s="6"/>
      <c r="AG5" s="613"/>
      <c r="AH5" s="614"/>
      <c r="AI5" s="6"/>
      <c r="AJ5" s="1036"/>
      <c r="AK5" s="613"/>
      <c r="AM5" s="572">
        <v>390</v>
      </c>
      <c r="AN5" s="6"/>
      <c r="AO5" s="6">
        <v>330</v>
      </c>
      <c r="AP5" s="50"/>
      <c r="AQ5" s="613"/>
      <c r="AR5" s="614" t="s">
        <v>45</v>
      </c>
      <c r="AS5" s="6"/>
      <c r="AT5" s="605" t="s">
        <v>239</v>
      </c>
      <c r="AU5" s="828"/>
      <c r="AV5" s="634"/>
    </row>
    <row r="6" spans="1:48" ht="80.45" customHeight="1" x14ac:dyDescent="0.25">
      <c r="A6" s="2205"/>
      <c r="B6" s="574">
        <v>2</v>
      </c>
      <c r="C6" s="595"/>
      <c r="D6" s="596"/>
      <c r="E6" s="596"/>
      <c r="F6" s="597"/>
      <c r="G6" s="685"/>
      <c r="H6" s="620"/>
      <c r="I6" s="848"/>
      <c r="J6" s="635"/>
      <c r="K6" s="622"/>
      <c r="L6" s="572"/>
      <c r="M6" s="6"/>
      <c r="N6" s="6"/>
      <c r="O6" s="613"/>
      <c r="P6" s="614"/>
      <c r="Q6" s="619"/>
      <c r="R6" s="6"/>
      <c r="S6" s="635"/>
      <c r="T6" s="622"/>
      <c r="U6" s="572"/>
      <c r="V6" s="6"/>
      <c r="W6" s="6"/>
      <c r="X6" s="613"/>
      <c r="Y6" s="1097"/>
      <c r="Z6" s="619"/>
      <c r="AA6" s="698"/>
      <c r="AB6" s="635"/>
      <c r="AC6" s="622"/>
      <c r="AD6" s="572"/>
      <c r="AE6" s="6"/>
      <c r="AF6" s="6"/>
      <c r="AG6" s="613"/>
      <c r="AH6" s="614"/>
      <c r="AI6" s="6"/>
      <c r="AJ6" s="6"/>
      <c r="AK6" s="635"/>
      <c r="AM6" s="572"/>
      <c r="AN6" s="6">
        <v>33</v>
      </c>
      <c r="AO6" s="6">
        <v>524</v>
      </c>
      <c r="AP6" s="50"/>
      <c r="AQ6" s="50"/>
      <c r="AR6" s="613"/>
      <c r="AS6" s="614" t="s">
        <v>317</v>
      </c>
      <c r="AT6" s="605" t="s">
        <v>910</v>
      </c>
      <c r="AU6" s="605"/>
      <c r="AV6" s="635"/>
    </row>
    <row r="7" spans="1:48" ht="71.45" customHeight="1" x14ac:dyDescent="0.25">
      <c r="A7" s="2206">
        <v>45415</v>
      </c>
      <c r="B7" s="574">
        <v>1</v>
      </c>
      <c r="C7" s="595"/>
      <c r="D7" s="596"/>
      <c r="E7" s="596"/>
      <c r="F7" s="597"/>
      <c r="G7" s="685"/>
      <c r="H7" s="620"/>
      <c r="I7" s="635"/>
      <c r="J7" s="635"/>
      <c r="K7" s="622"/>
      <c r="L7" s="572"/>
      <c r="M7" s="614"/>
      <c r="N7" s="6"/>
      <c r="O7" s="613"/>
      <c r="P7" s="614"/>
      <c r="Q7" s="1010"/>
      <c r="R7" s="6"/>
      <c r="S7" s="613"/>
      <c r="T7" s="622"/>
      <c r="U7" s="572"/>
      <c r="V7" s="6"/>
      <c r="W7" s="6">
        <v>30</v>
      </c>
      <c r="X7" s="613"/>
      <c r="Y7" s="1097"/>
      <c r="Z7" s="619"/>
      <c r="AA7" s="698" t="s">
        <v>562</v>
      </c>
      <c r="AB7" s="613"/>
      <c r="AC7" s="622"/>
      <c r="AD7" s="572"/>
      <c r="AE7" s="6"/>
      <c r="AF7" s="6"/>
      <c r="AG7" s="613"/>
      <c r="AH7" s="614"/>
      <c r="AI7" s="1010"/>
      <c r="AJ7" s="635"/>
      <c r="AK7" s="613"/>
      <c r="AM7" s="572"/>
      <c r="AN7" s="6">
        <v>10</v>
      </c>
      <c r="AO7" s="6"/>
      <c r="AP7" s="50"/>
      <c r="AQ7" s="50"/>
      <c r="AR7" s="613"/>
      <c r="AS7" s="614" t="s">
        <v>317</v>
      </c>
      <c r="AT7" s="1010"/>
      <c r="AU7" s="620"/>
      <c r="AV7" s="692"/>
    </row>
    <row r="8" spans="1:48" ht="69.599999999999994" customHeight="1" x14ac:dyDescent="0.25">
      <c r="A8" s="2205"/>
      <c r="B8" s="574">
        <v>2</v>
      </c>
      <c r="C8" s="595"/>
      <c r="D8" s="596"/>
      <c r="E8" s="596"/>
      <c r="F8" s="597"/>
      <c r="G8" s="684"/>
      <c r="H8" s="620"/>
      <c r="I8" s="848"/>
      <c r="J8" s="635"/>
      <c r="K8" s="622"/>
      <c r="L8" s="572"/>
      <c r="M8" s="6"/>
      <c r="N8" s="6"/>
      <c r="O8" s="613"/>
      <c r="P8" s="1097"/>
      <c r="Q8" s="6"/>
      <c r="R8" s="605"/>
      <c r="S8" s="635"/>
      <c r="T8" s="622"/>
      <c r="U8" s="572">
        <v>296</v>
      </c>
      <c r="V8" s="572">
        <v>296</v>
      </c>
      <c r="W8" s="572">
        <v>296</v>
      </c>
      <c r="X8" s="613"/>
      <c r="Y8" s="2232" t="s">
        <v>583</v>
      </c>
      <c r="Z8" s="2233"/>
      <c r="AA8" s="2234"/>
      <c r="AB8" s="635"/>
      <c r="AC8" s="622"/>
      <c r="AD8" s="572"/>
      <c r="AE8" s="6"/>
      <c r="AF8" s="6"/>
      <c r="AG8" s="613"/>
      <c r="AH8" s="614"/>
      <c r="AI8" s="605"/>
      <c r="AJ8" s="620"/>
      <c r="AK8" s="635"/>
      <c r="AM8" s="572"/>
      <c r="AN8" s="6"/>
      <c r="AO8" s="6"/>
      <c r="AP8" s="50"/>
      <c r="AQ8" s="50"/>
      <c r="AR8" s="613"/>
      <c r="AS8" s="614"/>
      <c r="AT8" s="6"/>
      <c r="AU8" s="6"/>
      <c r="AV8" s="635"/>
    </row>
    <row r="9" spans="1:48" ht="76.900000000000006" customHeight="1" x14ac:dyDescent="0.25">
      <c r="A9" s="2206">
        <v>45416</v>
      </c>
      <c r="B9" s="574">
        <v>1</v>
      </c>
      <c r="C9" s="595"/>
      <c r="D9" s="596"/>
      <c r="E9" s="596">
        <v>10</v>
      </c>
      <c r="F9" s="597"/>
      <c r="G9" s="684"/>
      <c r="H9" s="619"/>
      <c r="I9" s="848" t="s">
        <v>562</v>
      </c>
      <c r="J9" s="635"/>
      <c r="K9" s="622"/>
      <c r="L9" s="572"/>
      <c r="M9" s="6"/>
      <c r="N9" s="6"/>
      <c r="O9" s="613"/>
      <c r="P9" s="1097"/>
      <c r="Q9" s="6"/>
      <c r="R9" s="605"/>
      <c r="S9" s="635"/>
      <c r="T9" s="622"/>
      <c r="U9" s="572"/>
      <c r="V9" s="6"/>
      <c r="W9" s="6"/>
      <c r="X9" s="613"/>
      <c r="Y9" s="1097"/>
      <c r="Z9" s="6"/>
      <c r="AA9" s="698"/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/>
      <c r="AN9" s="6"/>
      <c r="AO9" s="6"/>
      <c r="AP9" s="50"/>
      <c r="AQ9" s="50"/>
      <c r="AR9" s="613"/>
      <c r="AS9" s="614"/>
      <c r="AT9" s="6"/>
      <c r="AU9" s="6"/>
      <c r="AV9" s="828"/>
    </row>
    <row r="10" spans="1:48" ht="67.150000000000006" customHeight="1" x14ac:dyDescent="0.25">
      <c r="A10" s="2205"/>
      <c r="B10" s="574">
        <v>2</v>
      </c>
      <c r="C10" s="595">
        <v>233</v>
      </c>
      <c r="D10" s="595">
        <v>233</v>
      </c>
      <c r="E10" s="595">
        <v>233</v>
      </c>
      <c r="F10" s="597"/>
      <c r="G10" s="2254" t="s">
        <v>583</v>
      </c>
      <c r="H10" s="2255"/>
      <c r="I10" s="2256"/>
      <c r="J10" s="635"/>
      <c r="K10" s="622"/>
      <c r="L10" s="572"/>
      <c r="M10" s="6"/>
      <c r="N10" s="6"/>
      <c r="O10" s="613"/>
      <c r="P10" s="1097"/>
      <c r="Q10" s="6"/>
      <c r="R10" s="605"/>
      <c r="S10" s="635"/>
      <c r="T10" s="622"/>
      <c r="U10" s="572"/>
      <c r="V10" s="6"/>
      <c r="W10" s="6"/>
      <c r="X10" s="613"/>
      <c r="Y10" s="1097"/>
      <c r="Z10" s="1097"/>
      <c r="AA10" s="698"/>
      <c r="AB10" s="635"/>
      <c r="AC10" s="622"/>
      <c r="AD10" s="572"/>
      <c r="AE10" s="6"/>
      <c r="AF10" s="6"/>
      <c r="AG10" s="613"/>
      <c r="AH10" s="1097"/>
      <c r="AI10" s="605"/>
      <c r="AJ10" s="620"/>
      <c r="AK10" s="635"/>
      <c r="AM10" s="572"/>
      <c r="AN10" s="6"/>
      <c r="AO10" s="6"/>
      <c r="AP10" s="50"/>
      <c r="AQ10" s="50"/>
      <c r="AR10" s="613"/>
      <c r="AS10" s="614"/>
      <c r="AT10" s="6"/>
      <c r="AU10" s="605"/>
      <c r="AV10" s="635"/>
    </row>
    <row r="11" spans="1:48" ht="60" customHeight="1" x14ac:dyDescent="0.25">
      <c r="A11" s="2206">
        <v>45417</v>
      </c>
      <c r="B11" s="574">
        <v>1</v>
      </c>
      <c r="C11" s="595">
        <v>60</v>
      </c>
      <c r="D11" s="595">
        <v>60</v>
      </c>
      <c r="E11" s="595">
        <v>60</v>
      </c>
      <c r="F11" s="597"/>
      <c r="G11" s="2254" t="s">
        <v>583</v>
      </c>
      <c r="H11" s="2255"/>
      <c r="I11" s="2256"/>
      <c r="J11" s="687"/>
      <c r="K11" s="622"/>
      <c r="L11" s="572"/>
      <c r="M11" s="6"/>
      <c r="N11" s="6"/>
      <c r="O11" s="613"/>
      <c r="P11" s="1097"/>
      <c r="Q11" s="6"/>
      <c r="R11" s="605"/>
      <c r="S11" s="613"/>
      <c r="T11" s="622"/>
      <c r="U11" s="572"/>
      <c r="V11" s="6">
        <v>10</v>
      </c>
      <c r="W11" s="6"/>
      <c r="X11" s="613"/>
      <c r="Y11" s="1097"/>
      <c r="Z11" s="6" t="s">
        <v>317</v>
      </c>
      <c r="AA11" s="698"/>
      <c r="AB11" s="613"/>
      <c r="AC11" s="622"/>
      <c r="AD11" s="572"/>
      <c r="AE11" s="6"/>
      <c r="AF11" s="6"/>
      <c r="AG11" s="613"/>
      <c r="AH11" s="614"/>
      <c r="AI11" s="6"/>
      <c r="AJ11" s="620"/>
      <c r="AK11" s="613"/>
      <c r="AM11" s="572"/>
      <c r="AN11" s="6">
        <v>49</v>
      </c>
      <c r="AO11" s="6"/>
      <c r="AP11" s="50"/>
      <c r="AQ11" s="613"/>
      <c r="AR11" s="614"/>
      <c r="AS11" s="6" t="s">
        <v>317</v>
      </c>
      <c r="AT11" s="6"/>
      <c r="AU11" s="50"/>
      <c r="AV11" s="634"/>
    </row>
    <row r="12" spans="1:48" ht="55.15" customHeight="1" x14ac:dyDescent="0.25">
      <c r="A12" s="2205"/>
      <c r="B12" s="574">
        <v>2</v>
      </c>
      <c r="C12" s="595"/>
      <c r="D12" s="596"/>
      <c r="E12" s="596"/>
      <c r="F12" s="597"/>
      <c r="G12" s="684"/>
      <c r="H12" s="619"/>
      <c r="I12" s="848"/>
      <c r="J12" s="635"/>
      <c r="K12" s="622"/>
      <c r="L12" s="572">
        <v>100</v>
      </c>
      <c r="M12" s="6"/>
      <c r="N12" s="6"/>
      <c r="O12" s="613"/>
      <c r="P12" s="1104" t="s">
        <v>911</v>
      </c>
      <c r="Q12" s="6"/>
      <c r="R12" s="605"/>
      <c r="S12" s="635"/>
      <c r="T12" s="622"/>
      <c r="U12" s="572"/>
      <c r="V12" s="6"/>
      <c r="W12" s="6"/>
      <c r="X12" s="613"/>
      <c r="Y12" s="1097"/>
      <c r="Z12" s="6"/>
      <c r="AA12" s="698"/>
      <c r="AB12" s="635"/>
      <c r="AC12" s="622"/>
      <c r="AD12" s="572"/>
      <c r="AE12" s="6">
        <v>55</v>
      </c>
      <c r="AF12" s="6"/>
      <c r="AG12" s="613"/>
      <c r="AH12" s="614"/>
      <c r="AI12" s="605" t="s">
        <v>912</v>
      </c>
      <c r="AJ12" s="605"/>
      <c r="AK12" s="635"/>
      <c r="AM12" s="572"/>
      <c r="AN12" s="6"/>
      <c r="AO12" s="6">
        <v>97</v>
      </c>
      <c r="AP12" s="50"/>
      <c r="AQ12" s="613"/>
      <c r="AR12" s="614"/>
      <c r="AS12" s="6"/>
      <c r="AT12" s="605" t="s">
        <v>693</v>
      </c>
      <c r="AU12" s="50"/>
      <c r="AV12" s="635"/>
    </row>
    <row r="13" spans="1:48" ht="34.9" customHeight="1" x14ac:dyDescent="0.25">
      <c r="A13" s="2206">
        <v>45418</v>
      </c>
      <c r="B13" s="574">
        <v>1</v>
      </c>
      <c r="C13" s="595"/>
      <c r="D13" s="596"/>
      <c r="E13" s="596"/>
      <c r="F13" s="597"/>
      <c r="G13" s="684"/>
      <c r="H13" s="619"/>
      <c r="I13" s="848"/>
      <c r="J13" s="635"/>
      <c r="K13" s="622"/>
      <c r="L13" s="572"/>
      <c r="M13" s="6"/>
      <c r="N13" s="6"/>
      <c r="O13" s="597"/>
      <c r="P13" s="1097"/>
      <c r="Q13" s="6"/>
      <c r="R13" s="605"/>
      <c r="S13" s="635"/>
      <c r="T13" s="622"/>
      <c r="U13" s="572"/>
      <c r="V13" s="6"/>
      <c r="W13" s="6"/>
      <c r="X13" s="597"/>
      <c r="Y13" s="1097"/>
      <c r="Z13" s="605"/>
      <c r="AA13" s="698"/>
      <c r="AB13" s="635"/>
      <c r="AC13" s="622"/>
      <c r="AD13" s="572"/>
      <c r="AE13" s="6"/>
      <c r="AF13" s="6"/>
      <c r="AG13" s="597"/>
      <c r="AH13" s="614"/>
      <c r="AI13" s="6"/>
      <c r="AJ13" s="605"/>
      <c r="AK13" s="635"/>
      <c r="AM13" s="572"/>
      <c r="AN13" s="6"/>
      <c r="AO13" s="6"/>
      <c r="AP13" s="50"/>
      <c r="AQ13" s="597"/>
      <c r="AR13" s="614"/>
      <c r="AS13" s="6"/>
      <c r="AT13" s="6"/>
      <c r="AU13" s="50"/>
      <c r="AV13" s="635"/>
    </row>
    <row r="14" spans="1:48" ht="49.15" customHeight="1" x14ac:dyDescent="0.25">
      <c r="A14" s="2205"/>
      <c r="B14" s="574">
        <v>2</v>
      </c>
      <c r="C14" s="595"/>
      <c r="D14" s="596"/>
      <c r="E14" s="596"/>
      <c r="F14" s="597"/>
      <c r="G14" s="684"/>
      <c r="H14" s="620"/>
      <c r="I14" s="848"/>
      <c r="J14" s="635"/>
      <c r="K14" s="622"/>
      <c r="L14" s="572"/>
      <c r="M14" s="6"/>
      <c r="N14" s="6"/>
      <c r="O14" s="597"/>
      <c r="P14" s="614"/>
      <c r="Q14" s="6"/>
      <c r="R14" s="6"/>
      <c r="S14" s="635"/>
      <c r="T14" s="622"/>
      <c r="U14" s="572"/>
      <c r="V14" s="6"/>
      <c r="W14" s="6"/>
      <c r="X14" s="597"/>
      <c r="Y14" s="1097"/>
      <c r="Z14" s="605"/>
      <c r="AA14" s="698"/>
      <c r="AB14" s="635"/>
      <c r="AC14" s="622"/>
      <c r="AD14" s="572"/>
      <c r="AE14" s="6"/>
      <c r="AF14" s="6"/>
      <c r="AG14" s="597"/>
      <c r="AH14" s="1097"/>
      <c r="AI14" s="6"/>
      <c r="AJ14" s="698"/>
      <c r="AK14" s="635"/>
      <c r="AM14" s="572"/>
      <c r="AN14" s="6"/>
      <c r="AO14" s="6"/>
      <c r="AP14" s="50"/>
      <c r="AQ14" s="597"/>
      <c r="AR14" s="1097"/>
      <c r="AS14" s="6"/>
      <c r="AT14" s="698"/>
      <c r="AU14" s="50"/>
      <c r="AV14" s="635"/>
    </row>
    <row r="15" spans="1:48" ht="48" customHeight="1" x14ac:dyDescent="0.25">
      <c r="A15" s="2206">
        <v>45419</v>
      </c>
      <c r="B15" s="574">
        <v>1</v>
      </c>
      <c r="C15" s="595"/>
      <c r="D15" s="596"/>
      <c r="E15" s="6"/>
      <c r="F15" s="597"/>
      <c r="G15" s="684"/>
      <c r="H15" s="620"/>
      <c r="I15" s="848"/>
      <c r="J15" s="635"/>
      <c r="K15" s="622"/>
      <c r="L15" s="572"/>
      <c r="M15" s="6"/>
      <c r="N15" s="6"/>
      <c r="O15" s="597"/>
      <c r="P15" s="685"/>
      <c r="Q15" s="620"/>
      <c r="R15" s="620"/>
      <c r="S15" s="635"/>
      <c r="T15" s="622"/>
      <c r="U15" s="572"/>
      <c r="V15" s="6"/>
      <c r="W15" s="6"/>
      <c r="X15" s="597"/>
      <c r="Y15" s="685"/>
      <c r="Z15" s="620"/>
      <c r="AA15" s="698"/>
      <c r="AB15" s="635"/>
      <c r="AC15" s="622"/>
      <c r="AD15" s="572"/>
      <c r="AE15" s="6"/>
      <c r="AF15" s="622"/>
      <c r="AG15" s="597"/>
      <c r="AH15" s="685"/>
      <c r="AI15" s="620"/>
      <c r="AJ15" s="605"/>
      <c r="AK15" s="635"/>
      <c r="AM15" s="572"/>
      <c r="AN15" s="6"/>
      <c r="AO15" s="622"/>
      <c r="AP15" s="597"/>
      <c r="AQ15" s="685"/>
      <c r="AR15" s="620"/>
      <c r="AS15" s="620"/>
      <c r="AT15" s="620"/>
      <c r="AU15" s="635"/>
      <c r="AV15" s="635"/>
    </row>
    <row r="16" spans="1:48" ht="54.6" customHeight="1" x14ac:dyDescent="0.25">
      <c r="A16" s="2205"/>
      <c r="B16" s="574">
        <v>2</v>
      </c>
      <c r="C16" s="595"/>
      <c r="D16" s="596"/>
      <c r="E16" s="596"/>
      <c r="F16" s="597"/>
      <c r="G16" s="685"/>
      <c r="H16" s="830"/>
      <c r="I16" s="848"/>
      <c r="J16" s="635"/>
      <c r="K16" s="622"/>
      <c r="L16" s="572"/>
      <c r="M16" s="6"/>
      <c r="N16" s="6"/>
      <c r="O16" s="597"/>
      <c r="P16" s="684"/>
      <c r="Q16" s="830"/>
      <c r="R16" s="620"/>
      <c r="S16" s="635"/>
      <c r="T16" s="622"/>
      <c r="U16" s="572"/>
      <c r="V16" s="6">
        <v>15</v>
      </c>
      <c r="W16" s="6"/>
      <c r="X16" s="597"/>
      <c r="Y16" s="684"/>
      <c r="Z16" s="6" t="s">
        <v>317</v>
      </c>
      <c r="AA16" s="848"/>
      <c r="AB16" s="635"/>
      <c r="AC16" s="622"/>
      <c r="AD16" s="572"/>
      <c r="AE16" s="6"/>
      <c r="AF16" s="6"/>
      <c r="AG16" s="597"/>
      <c r="AH16" s="685"/>
      <c r="AI16" s="830"/>
      <c r="AJ16" s="605"/>
      <c r="AK16" s="635"/>
      <c r="AM16" s="572"/>
      <c r="AN16" s="6"/>
      <c r="AO16" s="6"/>
      <c r="AP16" s="597"/>
      <c r="AQ16" s="684"/>
      <c r="AR16" s="830"/>
      <c r="AS16" s="620"/>
      <c r="AT16" s="620"/>
      <c r="AU16" s="692"/>
      <c r="AV16" s="635"/>
    </row>
    <row r="17" spans="1:48" ht="66" customHeight="1" x14ac:dyDescent="0.25">
      <c r="A17" s="2206">
        <v>45420</v>
      </c>
      <c r="B17" s="644">
        <v>1</v>
      </c>
      <c r="C17" s="595"/>
      <c r="D17" s="596"/>
      <c r="E17" s="596"/>
      <c r="F17" s="597"/>
      <c r="G17" s="685"/>
      <c r="H17" s="619"/>
      <c r="I17" s="848"/>
      <c r="J17" s="635"/>
      <c r="K17" s="622"/>
      <c r="L17" s="572"/>
      <c r="M17" s="6"/>
      <c r="N17" s="6"/>
      <c r="O17" s="597"/>
      <c r="P17" s="685"/>
      <c r="Q17" s="619"/>
      <c r="R17" s="620"/>
      <c r="S17" s="635"/>
      <c r="T17" s="622"/>
      <c r="U17" s="572"/>
      <c r="V17" s="6"/>
      <c r="W17" s="6"/>
      <c r="X17" s="597"/>
      <c r="Y17" s="684"/>
      <c r="Z17" s="619"/>
      <c r="AA17" s="848"/>
      <c r="AB17" s="635"/>
      <c r="AC17" s="622"/>
      <c r="AD17" s="572"/>
      <c r="AE17" s="6"/>
      <c r="AF17" s="6"/>
      <c r="AG17" s="597"/>
      <c r="AH17" s="685"/>
      <c r="AI17" s="619"/>
      <c r="AJ17" s="620"/>
      <c r="AK17" s="635"/>
      <c r="AM17" s="572"/>
      <c r="AN17" s="6"/>
      <c r="AO17" s="6"/>
      <c r="AP17" s="597"/>
      <c r="AQ17" s="685"/>
      <c r="AR17" s="619"/>
      <c r="AS17" s="620"/>
      <c r="AT17" s="698"/>
      <c r="AU17" s="635"/>
      <c r="AV17" s="635"/>
    </row>
    <row r="18" spans="1:48" ht="49.9" customHeight="1" x14ac:dyDescent="0.25">
      <c r="A18" s="2205"/>
      <c r="B18" s="574">
        <v>2</v>
      </c>
      <c r="C18" s="595"/>
      <c r="D18" s="596"/>
      <c r="E18" s="596"/>
      <c r="F18" s="597"/>
      <c r="G18" s="684"/>
      <c r="H18" s="830"/>
      <c r="I18" s="848"/>
      <c r="J18" s="635"/>
      <c r="K18" s="622"/>
      <c r="L18" s="572"/>
      <c r="M18" s="6"/>
      <c r="N18" s="6"/>
      <c r="O18" s="597"/>
      <c r="P18" s="684"/>
      <c r="Q18" s="620"/>
      <c r="R18" s="619"/>
      <c r="S18" s="635"/>
      <c r="T18" s="622"/>
      <c r="U18" s="572"/>
      <c r="V18" s="6"/>
      <c r="W18" s="596"/>
      <c r="X18" s="597"/>
      <c r="Y18" s="684"/>
      <c r="Z18" s="620"/>
      <c r="AA18" s="848"/>
      <c r="AB18" s="635"/>
      <c r="AC18" s="622"/>
      <c r="AD18" s="572"/>
      <c r="AE18" s="6"/>
      <c r="AF18" s="6"/>
      <c r="AG18" s="597"/>
      <c r="AH18" s="684"/>
      <c r="AI18" s="620"/>
      <c r="AJ18" s="619"/>
      <c r="AK18" s="635"/>
      <c r="AM18" s="572"/>
      <c r="AN18" s="6"/>
      <c r="AO18" s="6"/>
      <c r="AP18" s="50"/>
      <c r="AQ18" s="597"/>
      <c r="AR18" s="684"/>
      <c r="AS18" s="620"/>
      <c r="AT18" s="698"/>
      <c r="AU18" s="830"/>
      <c r="AV18" s="635"/>
    </row>
    <row r="19" spans="1:48" ht="33.6" customHeight="1" x14ac:dyDescent="0.25">
      <c r="A19" s="2206">
        <v>45421</v>
      </c>
      <c r="B19" s="574">
        <v>1</v>
      </c>
      <c r="C19" s="622"/>
      <c r="D19" s="596"/>
      <c r="E19" s="596"/>
      <c r="F19" s="597"/>
      <c r="G19" s="567"/>
      <c r="H19" s="6"/>
      <c r="I19" s="848"/>
      <c r="J19" s="635"/>
      <c r="K19" s="622"/>
      <c r="L19" s="572"/>
      <c r="M19" s="6"/>
      <c r="N19" s="6"/>
      <c r="O19" s="597"/>
      <c r="P19" s="572"/>
      <c r="Q19" s="6"/>
      <c r="R19" s="6"/>
      <c r="S19" s="635"/>
      <c r="T19" s="622"/>
      <c r="U19" s="572"/>
      <c r="V19" s="6"/>
      <c r="W19" s="6"/>
      <c r="X19" s="597"/>
      <c r="Y19" s="572"/>
      <c r="Z19" s="605"/>
      <c r="AA19" s="848"/>
      <c r="AB19" s="635"/>
      <c r="AC19" s="622"/>
      <c r="AD19" s="572"/>
      <c r="AE19" s="6"/>
      <c r="AF19" s="6"/>
      <c r="AG19" s="597"/>
      <c r="AH19" s="572"/>
      <c r="AI19" s="6"/>
      <c r="AJ19" s="698"/>
      <c r="AK19" s="635"/>
      <c r="AM19" s="572"/>
      <c r="AN19" s="6"/>
      <c r="AO19" s="6"/>
      <c r="AP19" s="50"/>
      <c r="AQ19" s="597"/>
      <c r="AR19" s="572"/>
      <c r="AS19" s="6"/>
      <c r="AT19" s="620"/>
      <c r="AU19" s="828"/>
      <c r="AV19" s="635"/>
    </row>
    <row r="20" spans="1:48" ht="31.15" customHeight="1" x14ac:dyDescent="0.25">
      <c r="A20" s="2205"/>
      <c r="B20" s="574">
        <v>2</v>
      </c>
      <c r="C20" s="595"/>
      <c r="D20" s="596"/>
      <c r="E20" s="596"/>
      <c r="F20" s="597"/>
      <c r="G20" s="567"/>
      <c r="H20" s="1077"/>
      <c r="I20" s="848"/>
      <c r="J20" s="635"/>
      <c r="K20" s="622"/>
      <c r="L20" s="572"/>
      <c r="M20" s="6"/>
      <c r="N20" s="6"/>
      <c r="O20" s="597"/>
      <c r="P20" s="572"/>
      <c r="Q20" s="6"/>
      <c r="R20" s="724"/>
      <c r="S20" s="635"/>
      <c r="T20" s="622"/>
      <c r="U20" s="572">
        <v>15</v>
      </c>
      <c r="V20" s="6"/>
      <c r="W20" s="6"/>
      <c r="X20" s="597"/>
      <c r="Y20" s="572" t="s">
        <v>913</v>
      </c>
      <c r="Z20" s="605"/>
      <c r="AA20" s="698"/>
      <c r="AB20" s="635"/>
      <c r="AC20" s="622"/>
      <c r="AD20" s="572">
        <v>6</v>
      </c>
      <c r="AE20" s="6"/>
      <c r="AF20" s="6"/>
      <c r="AG20" s="597"/>
      <c r="AH20" s="572" t="s">
        <v>913</v>
      </c>
      <c r="AI20" s="605"/>
      <c r="AJ20" s="698"/>
      <c r="AK20" s="635"/>
      <c r="AM20" s="572"/>
      <c r="AN20" s="6"/>
      <c r="AO20" s="6"/>
      <c r="AP20" s="50"/>
      <c r="AQ20" s="597"/>
      <c r="AR20" s="572"/>
      <c r="AS20" s="605"/>
      <c r="AT20" s="605"/>
      <c r="AU20" s="1038"/>
      <c r="AV20" s="635"/>
    </row>
    <row r="21" spans="1:48" ht="39.6" customHeight="1" x14ac:dyDescent="0.25">
      <c r="A21" s="2206">
        <v>45422</v>
      </c>
      <c r="B21" s="574">
        <v>1</v>
      </c>
      <c r="C21" s="595"/>
      <c r="D21" s="596"/>
      <c r="E21" s="596"/>
      <c r="F21" s="597"/>
      <c r="G21" s="688"/>
      <c r="H21" s="619"/>
      <c r="I21" s="848"/>
      <c r="J21" s="635"/>
      <c r="K21" s="622"/>
      <c r="L21" s="572"/>
      <c r="M21" s="6"/>
      <c r="N21" s="6"/>
      <c r="O21" s="597"/>
      <c r="P21" s="572"/>
      <c r="Q21" s="6"/>
      <c r="R21" s="6"/>
      <c r="S21" s="635"/>
      <c r="T21" s="622"/>
      <c r="U21" s="572"/>
      <c r="V21" s="6"/>
      <c r="W21" s="6"/>
      <c r="X21" s="597"/>
      <c r="Y21" s="567"/>
      <c r="Z21" s="6"/>
      <c r="AA21" s="848"/>
      <c r="AB21" s="635"/>
      <c r="AC21" s="622"/>
      <c r="AD21" s="572"/>
      <c r="AE21" s="6"/>
      <c r="AF21" s="6"/>
      <c r="AG21" s="597"/>
      <c r="AH21" s="572"/>
      <c r="AI21" s="6"/>
      <c r="AJ21" s="848"/>
      <c r="AK21" s="726"/>
      <c r="AM21" s="572"/>
      <c r="AN21" s="6"/>
      <c r="AO21" s="6"/>
      <c r="AP21" s="50"/>
      <c r="AQ21" s="597"/>
      <c r="AR21" s="572"/>
      <c r="AS21" s="605"/>
      <c r="AT21" s="50"/>
      <c r="AU21" s="50"/>
      <c r="AV21" s="635"/>
    </row>
    <row r="22" spans="1:48" ht="49.9" customHeight="1" x14ac:dyDescent="0.25">
      <c r="A22" s="2205"/>
      <c r="B22" s="574">
        <v>2</v>
      </c>
      <c r="C22" s="595"/>
      <c r="D22" s="596"/>
      <c r="E22" s="596"/>
      <c r="F22" s="597"/>
      <c r="G22" s="1095"/>
      <c r="H22" s="620"/>
      <c r="I22" s="848"/>
      <c r="J22" s="635"/>
      <c r="K22" s="622"/>
      <c r="L22" s="572"/>
      <c r="M22" s="6"/>
      <c r="N22" s="6"/>
      <c r="O22" s="597"/>
      <c r="P22" s="1097"/>
      <c r="Q22" s="620"/>
      <c r="R22" s="6"/>
      <c r="S22" s="635"/>
      <c r="T22" s="622"/>
      <c r="U22" s="572"/>
      <c r="V22" s="6"/>
      <c r="W22" s="6"/>
      <c r="X22" s="597"/>
      <c r="Y22" s="567"/>
      <c r="Z22" s="620"/>
      <c r="AA22" s="698"/>
      <c r="AB22" s="635"/>
      <c r="AC22" s="622"/>
      <c r="AD22" s="572"/>
      <c r="AE22" s="6"/>
      <c r="AF22" s="6"/>
      <c r="AG22" s="597"/>
      <c r="AH22" s="572"/>
      <c r="AI22" s="6"/>
      <c r="AJ22" s="698"/>
      <c r="AK22" s="635"/>
      <c r="AM22" s="572"/>
      <c r="AN22" s="6"/>
      <c r="AO22" s="6"/>
      <c r="AP22" s="50"/>
      <c r="AQ22" s="597"/>
      <c r="AR22" s="572"/>
      <c r="AS22" s="620"/>
      <c r="AT22" s="50"/>
      <c r="AU22" s="635"/>
      <c r="AV22" s="635"/>
    </row>
    <row r="23" spans="1:48" ht="47.45" customHeight="1" x14ac:dyDescent="0.25">
      <c r="A23" s="2206">
        <v>45423</v>
      </c>
      <c r="B23" s="644">
        <v>1</v>
      </c>
      <c r="C23" s="595"/>
      <c r="D23" s="596"/>
      <c r="E23" s="596"/>
      <c r="F23" s="597"/>
      <c r="G23" s="685"/>
      <c r="H23" s="619"/>
      <c r="I23" s="848"/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/>
      <c r="V23" s="6"/>
      <c r="W23" s="6"/>
      <c r="X23" s="597"/>
      <c r="Y23" s="567"/>
      <c r="Z23" s="620"/>
      <c r="AA23" s="848"/>
      <c r="AB23" s="635"/>
      <c r="AC23" s="622"/>
      <c r="AD23" s="572"/>
      <c r="AE23" s="6"/>
      <c r="AF23" s="614"/>
      <c r="AG23" s="597"/>
      <c r="AH23" s="572"/>
      <c r="AI23" s="619"/>
      <c r="AJ23" s="620"/>
      <c r="AK23" s="635"/>
      <c r="AM23" s="572"/>
      <c r="AN23" s="6"/>
      <c r="AO23" s="6"/>
      <c r="AP23" s="50"/>
      <c r="AQ23" s="597"/>
      <c r="AR23" s="6"/>
      <c r="AS23" s="619"/>
      <c r="AT23" s="692"/>
      <c r="AU23" s="635"/>
      <c r="AV23" s="635"/>
    </row>
    <row r="24" spans="1:48" ht="49.9" customHeight="1" x14ac:dyDescent="0.25">
      <c r="A24" s="2205"/>
      <c r="B24" s="574">
        <v>2</v>
      </c>
      <c r="C24" s="595"/>
      <c r="D24" s="596"/>
      <c r="E24" s="596"/>
      <c r="F24" s="597"/>
      <c r="G24" s="685"/>
      <c r="H24" s="620"/>
      <c r="I24" s="848"/>
      <c r="J24" s="635"/>
      <c r="K24" s="622"/>
      <c r="L24" s="572"/>
      <c r="M24" s="6"/>
      <c r="N24" s="6"/>
      <c r="O24" s="597"/>
      <c r="P24" s="685"/>
      <c r="Q24" s="619"/>
      <c r="R24" s="620"/>
      <c r="S24" s="635"/>
      <c r="T24" s="622"/>
      <c r="U24" s="572"/>
      <c r="V24" s="6"/>
      <c r="W24" s="6"/>
      <c r="X24" s="597"/>
      <c r="Y24" s="685"/>
      <c r="Z24" s="619"/>
      <c r="AA24" s="848"/>
      <c r="AB24" s="635"/>
      <c r="AC24" s="622"/>
      <c r="AD24" s="572"/>
      <c r="AE24" s="6"/>
      <c r="AF24" s="614"/>
      <c r="AG24" s="597"/>
      <c r="AH24" s="572"/>
      <c r="AI24" s="619"/>
      <c r="AJ24" s="620"/>
      <c r="AK24" s="635"/>
      <c r="AM24" s="572"/>
      <c r="AN24" s="6"/>
      <c r="AO24" s="6">
        <v>23</v>
      </c>
      <c r="AP24" s="597"/>
      <c r="AQ24" s="685"/>
      <c r="AR24" s="619"/>
      <c r="AS24" s="619"/>
      <c r="AT24" s="635" t="s">
        <v>97</v>
      </c>
      <c r="AU24" s="635"/>
      <c r="AV24" s="635"/>
    </row>
    <row r="25" spans="1:48" ht="53.45" customHeight="1" x14ac:dyDescent="0.25">
      <c r="A25" s="2206">
        <v>45424</v>
      </c>
      <c r="B25" s="574">
        <v>1</v>
      </c>
      <c r="C25" s="595"/>
      <c r="D25" s="596"/>
      <c r="E25" s="596"/>
      <c r="F25" s="597"/>
      <c r="G25" s="685"/>
      <c r="H25" s="619"/>
      <c r="I25" s="848"/>
      <c r="J25" s="635"/>
      <c r="K25" s="622"/>
      <c r="L25" s="572"/>
      <c r="M25" s="6"/>
      <c r="N25" s="6"/>
      <c r="O25" s="597"/>
      <c r="P25" s="572"/>
      <c r="Q25" s="619"/>
      <c r="R25" s="6"/>
      <c r="S25" s="635"/>
      <c r="T25" s="622"/>
      <c r="U25" s="572"/>
      <c r="V25" s="6"/>
      <c r="W25" s="6"/>
      <c r="X25" s="597"/>
      <c r="Y25" s="567"/>
      <c r="Z25" s="605"/>
      <c r="AA25" s="698"/>
      <c r="AB25" s="635"/>
      <c r="AC25" s="622"/>
      <c r="AD25" s="572"/>
      <c r="AE25" s="6"/>
      <c r="AF25" s="6"/>
      <c r="AG25" s="597"/>
      <c r="AH25" s="6"/>
      <c r="AI25" s="605"/>
      <c r="AJ25" s="620"/>
      <c r="AK25" s="726"/>
      <c r="AM25" s="572"/>
      <c r="AN25" s="6"/>
      <c r="AO25" s="6"/>
      <c r="AP25" s="50"/>
      <c r="AQ25" s="597"/>
      <c r="AR25" s="6"/>
      <c r="AS25" s="6"/>
      <c r="AT25" s="50"/>
      <c r="AU25" s="50"/>
      <c r="AV25" s="635"/>
    </row>
    <row r="26" spans="1:48" ht="42" customHeight="1" x14ac:dyDescent="0.25">
      <c r="A26" s="2205"/>
      <c r="B26" s="574">
        <v>2</v>
      </c>
      <c r="C26" s="595"/>
      <c r="D26" s="596"/>
      <c r="E26" s="596"/>
      <c r="F26" s="597"/>
      <c r="G26" s="685"/>
      <c r="H26" s="620"/>
      <c r="I26" s="848"/>
      <c r="J26" s="635"/>
      <c r="K26" s="622"/>
      <c r="L26" s="572"/>
      <c r="M26" s="6"/>
      <c r="N26" s="6"/>
      <c r="O26" s="597"/>
      <c r="P26" s="685"/>
      <c r="Q26" s="620"/>
      <c r="R26" s="692"/>
      <c r="S26" s="635"/>
      <c r="T26" s="622"/>
      <c r="U26" s="572"/>
      <c r="V26" s="596"/>
      <c r="W26" s="6">
        <v>50</v>
      </c>
      <c r="X26" s="597"/>
      <c r="Y26" s="685"/>
      <c r="Z26" s="620"/>
      <c r="AA26" s="698" t="s">
        <v>693</v>
      </c>
      <c r="AB26" s="635"/>
      <c r="AC26" s="622"/>
      <c r="AD26" s="572"/>
      <c r="AE26" s="596"/>
      <c r="AF26" s="6"/>
      <c r="AG26" s="597"/>
      <c r="AH26" s="685"/>
      <c r="AI26" s="620"/>
      <c r="AJ26" s="692"/>
      <c r="AK26" s="635"/>
      <c r="AM26" s="572"/>
      <c r="AN26" s="596"/>
      <c r="AO26" s="6"/>
      <c r="AP26" s="967"/>
      <c r="AQ26" s="597"/>
      <c r="AR26" s="685"/>
      <c r="AS26" s="620"/>
      <c r="AT26" s="692"/>
      <c r="AU26" s="635"/>
      <c r="AV26" s="635"/>
    </row>
    <row r="27" spans="1:48" ht="49.9" customHeight="1" x14ac:dyDescent="0.25">
      <c r="A27" s="2206">
        <v>45425</v>
      </c>
      <c r="B27" s="644">
        <v>1</v>
      </c>
      <c r="C27" s="595"/>
      <c r="D27" s="596"/>
      <c r="E27" s="596"/>
      <c r="F27" s="597"/>
      <c r="G27" s="685"/>
      <c r="H27" s="619"/>
      <c r="I27" s="692"/>
      <c r="J27" s="635"/>
      <c r="K27" s="622"/>
      <c r="L27" s="572"/>
      <c r="M27" s="6"/>
      <c r="N27" s="6"/>
      <c r="O27" s="597"/>
      <c r="P27" s="685"/>
      <c r="Q27" s="619"/>
      <c r="R27" s="620"/>
      <c r="S27" s="635"/>
      <c r="T27" s="622"/>
      <c r="U27" s="572"/>
      <c r="V27" s="6"/>
      <c r="W27" s="6"/>
      <c r="X27" s="597"/>
      <c r="Y27" s="685"/>
      <c r="Z27" s="620"/>
      <c r="AA27" s="698"/>
      <c r="AB27" s="635"/>
      <c r="AC27" s="622"/>
      <c r="AD27" s="572"/>
      <c r="AE27" s="6"/>
      <c r="AF27" s="6"/>
      <c r="AG27" s="597"/>
      <c r="AH27" s="685"/>
      <c r="AI27" s="6"/>
      <c r="AJ27" s="620"/>
      <c r="AK27" s="635"/>
      <c r="AM27" s="572"/>
      <c r="AN27" s="6"/>
      <c r="AO27" s="6"/>
      <c r="AP27" s="50"/>
      <c r="AQ27" s="597"/>
      <c r="AR27" s="605"/>
      <c r="AS27" s="6"/>
      <c r="AT27" s="692"/>
      <c r="AU27" s="635"/>
      <c r="AV27" s="635"/>
    </row>
    <row r="28" spans="1:48" ht="72" customHeight="1" x14ac:dyDescent="0.25">
      <c r="A28" s="2205"/>
      <c r="B28" s="574">
        <v>2</v>
      </c>
      <c r="C28" s="595"/>
      <c r="D28" s="596"/>
      <c r="E28" s="596"/>
      <c r="F28" s="597"/>
      <c r="G28" s="620"/>
      <c r="H28" s="620"/>
      <c r="I28" s="692"/>
      <c r="J28" s="635"/>
      <c r="K28" s="622"/>
      <c r="L28" s="572"/>
      <c r="M28" s="6"/>
      <c r="N28" s="6"/>
      <c r="O28" s="597"/>
      <c r="P28" s="620"/>
      <c r="Q28" s="620"/>
      <c r="R28" s="620"/>
      <c r="S28" s="635"/>
      <c r="T28" s="622"/>
      <c r="U28" s="572"/>
      <c r="V28" s="6"/>
      <c r="W28" s="622"/>
      <c r="X28" s="597"/>
      <c r="Y28" s="620"/>
      <c r="Z28" s="6"/>
      <c r="AA28" s="698"/>
      <c r="AB28" s="635"/>
      <c r="AC28" s="622"/>
      <c r="AD28" s="572"/>
      <c r="AE28" s="6"/>
      <c r="AF28" s="6"/>
      <c r="AG28" s="597"/>
      <c r="AH28" s="685"/>
      <c r="AI28" s="605"/>
      <c r="AJ28" s="692"/>
      <c r="AK28" s="635"/>
      <c r="AM28" s="572"/>
      <c r="AN28" s="6"/>
      <c r="AO28" s="6"/>
      <c r="AP28" s="50"/>
      <c r="AQ28" s="597"/>
      <c r="AR28" s="605"/>
      <c r="AS28" s="6"/>
      <c r="AT28" s="692"/>
      <c r="AU28" s="635"/>
      <c r="AV28" s="634"/>
    </row>
    <row r="29" spans="1:48" ht="66" customHeight="1" x14ac:dyDescent="0.25">
      <c r="A29" s="2206">
        <v>45426</v>
      </c>
      <c r="B29" s="574">
        <v>1</v>
      </c>
      <c r="C29" s="595"/>
      <c r="D29" s="596"/>
      <c r="E29" s="596"/>
      <c r="F29" s="597"/>
      <c r="G29" s="620"/>
      <c r="H29" s="619"/>
      <c r="I29" s="692"/>
      <c r="J29" s="635"/>
      <c r="K29" s="622"/>
      <c r="L29" s="572"/>
      <c r="M29" s="6"/>
      <c r="N29" s="6"/>
      <c r="O29" s="597"/>
      <c r="P29" s="685"/>
      <c r="Q29" s="620"/>
      <c r="R29" s="620"/>
      <c r="S29" s="635"/>
      <c r="T29" s="622"/>
      <c r="U29" s="572"/>
      <c r="V29" s="6"/>
      <c r="W29" s="6"/>
      <c r="X29" s="597"/>
      <c r="Y29" s="620"/>
      <c r="Z29" s="619"/>
      <c r="AA29" s="698"/>
      <c r="AB29" s="635"/>
      <c r="AC29" s="622"/>
      <c r="AD29" s="572"/>
      <c r="AE29" s="6"/>
      <c r="AF29" s="6"/>
      <c r="AG29" s="597"/>
      <c r="AH29" s="685"/>
      <c r="AI29" s="619"/>
      <c r="AJ29" s="620"/>
      <c r="AK29" s="635"/>
      <c r="AM29" s="572"/>
      <c r="AN29" s="6"/>
      <c r="AO29" s="6"/>
      <c r="AP29" s="50"/>
      <c r="AQ29" s="597"/>
      <c r="AR29" s="605"/>
      <c r="AS29" s="619"/>
      <c r="AT29" s="620"/>
      <c r="AU29" s="635"/>
      <c r="AV29" s="613"/>
    </row>
    <row r="30" spans="1:48" ht="39.6" customHeight="1" x14ac:dyDescent="0.25">
      <c r="A30" s="2205"/>
      <c r="B30" s="644">
        <v>2</v>
      </c>
      <c r="C30" s="595"/>
      <c r="D30" s="596"/>
      <c r="E30" s="596"/>
      <c r="F30" s="597"/>
      <c r="G30" s="620"/>
      <c r="H30" s="619"/>
      <c r="I30" s="692"/>
      <c r="J30" s="635"/>
      <c r="K30" s="622"/>
      <c r="L30" s="572"/>
      <c r="M30" s="6"/>
      <c r="N30" s="6"/>
      <c r="O30" s="597"/>
      <c r="P30" s="685"/>
      <c r="Q30" s="620"/>
      <c r="R30" s="620"/>
      <c r="S30" s="635"/>
      <c r="T30" s="622"/>
      <c r="U30" s="572"/>
      <c r="V30" s="6"/>
      <c r="W30" s="6"/>
      <c r="X30" s="597"/>
      <c r="Y30" s="620"/>
      <c r="Z30" s="619"/>
      <c r="AA30" s="698"/>
      <c r="AB30" s="635"/>
      <c r="AC30" s="622"/>
      <c r="AD30" s="572"/>
      <c r="AE30" s="6"/>
      <c r="AF30" s="6"/>
      <c r="AG30" s="597"/>
      <c r="AH30" s="685"/>
      <c r="AI30" s="620"/>
      <c r="AJ30" s="620"/>
      <c r="AK30" s="635"/>
      <c r="AM30" s="572"/>
      <c r="AN30" s="6"/>
      <c r="AO30" s="6"/>
      <c r="AP30" s="50"/>
      <c r="AQ30" s="597"/>
      <c r="AR30" s="1097"/>
      <c r="AS30" s="605"/>
      <c r="AT30" s="828"/>
      <c r="AU30" s="635"/>
      <c r="AV30" s="613"/>
    </row>
    <row r="31" spans="1:48" ht="39.6" customHeight="1" x14ac:dyDescent="0.25">
      <c r="A31" s="2206">
        <v>45427</v>
      </c>
      <c r="B31" s="574">
        <v>1</v>
      </c>
      <c r="C31" s="595"/>
      <c r="D31" s="596"/>
      <c r="E31" s="596"/>
      <c r="F31" s="597"/>
      <c r="G31" s="685"/>
      <c r="H31" s="620"/>
      <c r="I31" s="620"/>
      <c r="J31" s="635"/>
      <c r="K31" s="622"/>
      <c r="L31" s="572"/>
      <c r="M31" s="6"/>
      <c r="N31" s="6"/>
      <c r="O31" s="597"/>
      <c r="P31" s="614"/>
      <c r="Q31" s="6"/>
      <c r="R31" s="6"/>
      <c r="S31" s="635"/>
      <c r="T31" s="622"/>
      <c r="U31" s="572"/>
      <c r="V31" s="6"/>
      <c r="W31" s="6"/>
      <c r="X31" s="597"/>
      <c r="Y31" s="1097"/>
      <c r="Z31" s="6"/>
      <c r="AA31" s="698"/>
      <c r="AB31" s="635"/>
      <c r="AC31" s="622"/>
      <c r="AD31" s="572"/>
      <c r="AE31" s="6"/>
      <c r="AF31" s="6"/>
      <c r="AG31" s="597"/>
      <c r="AH31" s="685"/>
      <c r="AI31" s="6"/>
      <c r="AJ31" s="6"/>
      <c r="AK31" s="635"/>
      <c r="AM31" s="572"/>
      <c r="AN31" s="6"/>
      <c r="AO31" s="6">
        <v>25</v>
      </c>
      <c r="AP31" s="50"/>
      <c r="AQ31" s="597"/>
      <c r="AR31" s="614"/>
      <c r="AS31" s="6"/>
      <c r="AT31" s="6" t="s">
        <v>336</v>
      </c>
      <c r="AU31" s="635"/>
      <c r="AV31" s="635"/>
    </row>
    <row r="32" spans="1:48" ht="63" customHeight="1" x14ac:dyDescent="0.25">
      <c r="A32" s="2205"/>
      <c r="B32" s="574">
        <v>2</v>
      </c>
      <c r="C32" s="595"/>
      <c r="D32" s="596"/>
      <c r="E32" s="596"/>
      <c r="F32" s="597"/>
      <c r="G32" s="685"/>
      <c r="H32" s="684"/>
      <c r="I32" s="692"/>
      <c r="J32" s="635"/>
      <c r="K32" s="622"/>
      <c r="L32" s="572"/>
      <c r="M32" s="6"/>
      <c r="N32" s="6"/>
      <c r="O32" s="597"/>
      <c r="P32" s="614"/>
      <c r="Q32" s="6"/>
      <c r="R32" s="6"/>
      <c r="S32" s="635"/>
      <c r="T32" s="622"/>
      <c r="U32" s="572"/>
      <c r="V32" s="6"/>
      <c r="W32" s="596"/>
      <c r="X32" s="597"/>
      <c r="Y32" s="685"/>
      <c r="Z32" s="685"/>
      <c r="AA32" s="698"/>
      <c r="AB32" s="635"/>
      <c r="AC32" s="622"/>
      <c r="AD32" s="572"/>
      <c r="AE32" s="6"/>
      <c r="AF32" s="596"/>
      <c r="AG32" s="597"/>
      <c r="AH32" s="685"/>
      <c r="AI32" s="685"/>
      <c r="AJ32" s="698"/>
      <c r="AK32" s="635"/>
      <c r="AM32" s="572"/>
      <c r="AN32" s="6"/>
      <c r="AO32" s="6"/>
      <c r="AP32" s="50"/>
      <c r="AQ32" s="597"/>
      <c r="AR32" s="614"/>
      <c r="AS32" s="605"/>
      <c r="AT32" s="684"/>
      <c r="AU32" s="635"/>
      <c r="AV32" s="613"/>
    </row>
    <row r="33" spans="1:48" ht="43.15" customHeight="1" x14ac:dyDescent="0.25">
      <c r="A33" s="2206">
        <v>45428</v>
      </c>
      <c r="B33" s="574">
        <v>1</v>
      </c>
      <c r="C33" s="595"/>
      <c r="D33" s="596"/>
      <c r="E33" s="596"/>
      <c r="F33" s="597"/>
      <c r="G33" s="685"/>
      <c r="H33" s="620"/>
      <c r="I33" s="698"/>
      <c r="J33" s="635"/>
      <c r="K33" s="622"/>
      <c r="L33" s="572"/>
      <c r="M33" s="6"/>
      <c r="N33" s="6"/>
      <c r="O33" s="597"/>
      <c r="P33" s="614"/>
      <c r="Q33" s="6"/>
      <c r="R33" s="6"/>
      <c r="S33" s="635"/>
      <c r="T33" s="622"/>
      <c r="U33" s="572"/>
      <c r="V33" s="6"/>
      <c r="W33" s="6"/>
      <c r="X33" s="597"/>
      <c r="Y33" s="614"/>
      <c r="Z33" s="6"/>
      <c r="AA33" s="698"/>
      <c r="AB33" s="635"/>
      <c r="AC33" s="622"/>
      <c r="AD33" s="572"/>
      <c r="AE33" s="6"/>
      <c r="AF33" s="6"/>
      <c r="AG33" s="597"/>
      <c r="AH33" s="614"/>
      <c r="AI33" s="605"/>
      <c r="AJ33" s="698"/>
      <c r="AK33" s="635"/>
      <c r="AM33" s="572"/>
      <c r="AN33" s="6"/>
      <c r="AO33" s="6">
        <v>25</v>
      </c>
      <c r="AP33" s="50"/>
      <c r="AQ33" s="597"/>
      <c r="AR33" s="614"/>
      <c r="AS33" s="605"/>
      <c r="AT33" s="6" t="s">
        <v>97</v>
      </c>
      <c r="AU33" s="635"/>
      <c r="AV33" s="613"/>
    </row>
    <row r="34" spans="1:48" ht="67.900000000000006" customHeight="1" x14ac:dyDescent="0.25">
      <c r="A34" s="2205"/>
      <c r="B34" s="644">
        <v>2</v>
      </c>
      <c r="C34" s="596"/>
      <c r="D34" s="596"/>
      <c r="E34" s="596"/>
      <c r="F34" s="829"/>
      <c r="G34" s="684"/>
      <c r="H34" s="620"/>
      <c r="I34" s="698"/>
      <c r="J34" s="635"/>
      <c r="K34" s="622"/>
      <c r="L34" s="572"/>
      <c r="M34" s="6"/>
      <c r="N34" s="6"/>
      <c r="O34" s="613"/>
      <c r="P34" s="614"/>
      <c r="Q34" s="620"/>
      <c r="R34" s="6"/>
      <c r="S34" s="635"/>
      <c r="T34" s="622"/>
      <c r="U34" s="572"/>
      <c r="V34" s="6"/>
      <c r="W34" s="6"/>
      <c r="X34" s="613"/>
      <c r="Y34" s="605"/>
      <c r="Z34" s="605"/>
      <c r="AA34" s="698"/>
      <c r="AB34" s="635"/>
      <c r="AC34" s="622"/>
      <c r="AD34" s="572"/>
      <c r="AE34" s="6"/>
      <c r="AF34" s="6"/>
      <c r="AG34" s="613"/>
      <c r="AH34" s="614"/>
      <c r="AI34" s="6"/>
      <c r="AJ34" s="605"/>
      <c r="AK34" s="635"/>
      <c r="AM34" s="572"/>
      <c r="AN34" s="6"/>
      <c r="AO34" s="6"/>
      <c r="AP34" s="50"/>
      <c r="AQ34" s="613"/>
      <c r="AR34" s="614"/>
      <c r="AS34" s="6"/>
      <c r="AT34" s="828"/>
      <c r="AU34" s="635"/>
      <c r="AV34" s="613"/>
    </row>
    <row r="35" spans="1:48" ht="51" customHeight="1" x14ac:dyDescent="0.25">
      <c r="A35" s="2206">
        <v>45429</v>
      </c>
      <c r="B35" s="574">
        <v>1</v>
      </c>
      <c r="C35" s="596"/>
      <c r="D35" s="596"/>
      <c r="E35" s="50"/>
      <c r="F35" s="828"/>
      <c r="G35" s="567"/>
      <c r="H35" s="614"/>
      <c r="I35" s="692"/>
      <c r="J35" s="687"/>
      <c r="K35" s="622"/>
      <c r="L35" s="572"/>
      <c r="M35" s="6"/>
      <c r="N35" s="6"/>
      <c r="O35" s="613"/>
      <c r="P35" s="567"/>
      <c r="Q35" s="1101"/>
      <c r="R35" s="620"/>
      <c r="S35" s="635"/>
      <c r="T35" s="622"/>
      <c r="U35" s="572"/>
      <c r="V35" s="6"/>
      <c r="W35" s="50"/>
      <c r="X35" s="634"/>
      <c r="Y35" s="567"/>
      <c r="Z35" s="6"/>
      <c r="AA35" s="698"/>
      <c r="AB35" s="613"/>
      <c r="AC35" s="622"/>
      <c r="AD35" s="572"/>
      <c r="AE35" s="6"/>
      <c r="AF35" s="6"/>
      <c r="AG35" s="1097"/>
      <c r="AH35" s="567"/>
      <c r="AI35" s="6"/>
      <c r="AJ35" s="684"/>
      <c r="AK35" s="613"/>
      <c r="AM35" s="572"/>
      <c r="AN35" s="6"/>
      <c r="AO35" s="50"/>
      <c r="AP35" s="50"/>
      <c r="AQ35" s="634"/>
      <c r="AR35" s="567"/>
      <c r="AS35" s="692"/>
      <c r="AT35" s="828"/>
      <c r="AU35" s="828"/>
      <c r="AV35" s="613"/>
    </row>
    <row r="36" spans="1:48" ht="46.9" customHeight="1" x14ac:dyDescent="0.25">
      <c r="A36" s="2205"/>
      <c r="B36" s="574">
        <v>2</v>
      </c>
      <c r="C36" s="50"/>
      <c r="D36" s="6"/>
      <c r="E36" s="50"/>
      <c r="F36" s="828"/>
      <c r="G36" s="692"/>
      <c r="H36" s="620"/>
      <c r="I36" s="848"/>
      <c r="J36" s="635"/>
      <c r="K36" s="622"/>
      <c r="L36" s="567"/>
      <c r="M36" s="6"/>
      <c r="N36" s="6"/>
      <c r="O36" s="1097"/>
      <c r="P36" s="567"/>
      <c r="Q36" s="620"/>
      <c r="R36" s="605"/>
      <c r="S36" s="635"/>
      <c r="T36" s="622"/>
      <c r="U36" s="572">
        <v>90</v>
      </c>
      <c r="V36" s="6"/>
      <c r="W36" s="6"/>
      <c r="X36" s="1097"/>
      <c r="Y36" s="567" t="s">
        <v>789</v>
      </c>
      <c r="Z36" s="620"/>
      <c r="AA36" s="698"/>
      <c r="AB36" s="613"/>
      <c r="AC36" s="622"/>
      <c r="AD36" s="572"/>
      <c r="AE36" s="6"/>
      <c r="AF36" s="50"/>
      <c r="AG36" s="634"/>
      <c r="AH36" s="567"/>
      <c r="AI36" s="605"/>
      <c r="AJ36" s="698"/>
      <c r="AK36" s="613"/>
      <c r="AM36" s="572"/>
      <c r="AN36" s="6"/>
      <c r="AO36" s="572"/>
      <c r="AP36" s="6"/>
      <c r="AQ36" s="6"/>
      <c r="AR36" s="614"/>
      <c r="AS36" s="1097"/>
      <c r="AT36" s="567"/>
      <c r="AU36" s="828"/>
      <c r="AV36" s="613"/>
    </row>
    <row r="37" spans="1:48" ht="59.45" customHeight="1" x14ac:dyDescent="0.25">
      <c r="A37" s="2206">
        <v>45430</v>
      </c>
      <c r="B37" s="644">
        <v>1</v>
      </c>
      <c r="C37" s="50"/>
      <c r="D37" s="596"/>
      <c r="E37" s="50">
        <v>6</v>
      </c>
      <c r="F37" s="50"/>
      <c r="G37" s="692"/>
      <c r="H37" s="1097"/>
      <c r="I37" s="848" t="s">
        <v>152</v>
      </c>
      <c r="J37" s="635"/>
      <c r="K37" s="622"/>
      <c r="L37" s="572"/>
      <c r="M37" s="6"/>
      <c r="N37" s="6"/>
      <c r="O37" s="727"/>
      <c r="P37" s="614"/>
      <c r="Q37" s="6"/>
      <c r="R37" s="6"/>
      <c r="S37" s="613"/>
      <c r="T37" s="622"/>
      <c r="U37" s="572"/>
      <c r="V37" s="6"/>
      <c r="W37" s="6"/>
      <c r="X37" s="613"/>
      <c r="Y37" s="614"/>
      <c r="Z37" s="605"/>
      <c r="AA37" s="698"/>
      <c r="AB37" s="635"/>
      <c r="AC37" s="622"/>
      <c r="AD37" s="572"/>
      <c r="AE37" s="6"/>
      <c r="AF37" s="6"/>
      <c r="AG37" s="613"/>
      <c r="AH37" s="1097"/>
      <c r="AI37" s="6"/>
      <c r="AJ37" s="698"/>
      <c r="AK37" s="613"/>
      <c r="AM37" s="572"/>
      <c r="AN37" s="6"/>
      <c r="AO37" s="6"/>
      <c r="AP37" s="50"/>
      <c r="AQ37" s="613"/>
      <c r="AR37" s="614"/>
      <c r="AS37" s="6"/>
      <c r="AT37" s="6"/>
      <c r="AU37" s="50"/>
      <c r="AV37" s="613"/>
    </row>
    <row r="38" spans="1:48" ht="55.9" customHeight="1" x14ac:dyDescent="0.25">
      <c r="A38" s="2205"/>
      <c r="B38" s="574">
        <v>2</v>
      </c>
      <c r="C38" s="50"/>
      <c r="D38" s="596"/>
      <c r="E38" s="50"/>
      <c r="F38" s="829"/>
      <c r="G38" s="692"/>
      <c r="H38" s="1097"/>
      <c r="I38" s="848"/>
      <c r="J38" s="635"/>
      <c r="K38" s="622"/>
      <c r="L38" s="572"/>
      <c r="M38" s="6"/>
      <c r="N38" s="6"/>
      <c r="O38" s="613"/>
      <c r="P38" s="1097"/>
      <c r="Q38" s="1097"/>
      <c r="R38" s="6"/>
      <c r="S38" s="635"/>
      <c r="T38" s="622"/>
      <c r="U38" s="572"/>
      <c r="V38" s="6"/>
      <c r="W38" s="6"/>
      <c r="X38" s="613"/>
      <c r="Y38" s="1097"/>
      <c r="Z38" s="605"/>
      <c r="AA38" s="698"/>
      <c r="AB38" s="635"/>
      <c r="AC38" s="622"/>
      <c r="AD38" s="572"/>
      <c r="AE38" s="6"/>
      <c r="AF38" s="6"/>
      <c r="AG38" s="613"/>
      <c r="AH38" s="1097"/>
      <c r="AI38" s="6"/>
      <c r="AJ38" s="698"/>
      <c r="AK38" s="635"/>
      <c r="AM38" s="572"/>
      <c r="AN38" s="6"/>
      <c r="AO38" s="6"/>
      <c r="AP38" s="50"/>
      <c r="AQ38" s="613"/>
      <c r="AR38" s="1097"/>
      <c r="AS38" s="6"/>
      <c r="AT38" s="567"/>
      <c r="AU38" s="828"/>
      <c r="AV38" s="635"/>
    </row>
    <row r="39" spans="1:48" ht="70.900000000000006" customHeight="1" x14ac:dyDescent="0.25">
      <c r="A39" s="2206">
        <v>45431</v>
      </c>
      <c r="B39" s="574">
        <v>1</v>
      </c>
      <c r="C39" s="50"/>
      <c r="D39" s="596"/>
      <c r="E39" s="50"/>
      <c r="F39" s="829"/>
      <c r="G39" s="692"/>
      <c r="H39" s="1097"/>
      <c r="I39" s="848"/>
      <c r="J39" s="635"/>
      <c r="K39" s="622"/>
      <c r="L39" s="572"/>
      <c r="M39" s="6"/>
      <c r="N39" s="6"/>
      <c r="O39" s="597"/>
      <c r="P39" s="692"/>
      <c r="Q39" s="619"/>
      <c r="R39" s="692"/>
      <c r="S39" s="635"/>
      <c r="T39" s="622"/>
      <c r="U39" s="572"/>
      <c r="V39" s="6"/>
      <c r="W39" s="6"/>
      <c r="X39" s="597"/>
      <c r="Y39" s="614"/>
      <c r="Z39" s="619"/>
      <c r="AA39" s="698"/>
      <c r="AB39" s="635"/>
      <c r="AC39" s="622"/>
      <c r="AD39" s="572"/>
      <c r="AE39" s="6"/>
      <c r="AF39" s="6"/>
      <c r="AG39" s="597"/>
      <c r="AH39" s="692"/>
      <c r="AI39" s="619"/>
      <c r="AJ39" s="692"/>
      <c r="AK39" s="635"/>
      <c r="AM39" s="572"/>
      <c r="AN39" s="6"/>
      <c r="AO39" s="6"/>
      <c r="AP39" s="597"/>
      <c r="AQ39" s="692"/>
      <c r="AR39" s="619"/>
      <c r="AS39" s="692"/>
      <c r="AT39" s="635"/>
      <c r="AU39" s="635"/>
      <c r="AV39" s="687"/>
    </row>
    <row r="40" spans="1:48" ht="72.599999999999994" customHeight="1" x14ac:dyDescent="0.25">
      <c r="A40" s="2205"/>
      <c r="B40" s="574">
        <v>2</v>
      </c>
      <c r="C40" s="596"/>
      <c r="D40" s="596"/>
      <c r="E40" s="596">
        <v>26</v>
      </c>
      <c r="F40" s="613"/>
      <c r="G40" s="692"/>
      <c r="H40" s="620"/>
      <c r="I40" s="848" t="s">
        <v>152</v>
      </c>
      <c r="J40" s="635"/>
      <c r="K40" s="622"/>
      <c r="L40" s="572"/>
      <c r="M40" s="6"/>
      <c r="N40" s="6"/>
      <c r="O40" s="613"/>
      <c r="P40" s="685"/>
      <c r="Q40" s="619"/>
      <c r="R40" s="692"/>
      <c r="S40" s="635"/>
      <c r="T40" s="622"/>
      <c r="U40" s="572"/>
      <c r="V40" s="6"/>
      <c r="W40" s="6"/>
      <c r="X40" s="613"/>
      <c r="Y40" s="685"/>
      <c r="Z40" s="619"/>
      <c r="AA40" s="684"/>
      <c r="AB40" s="635"/>
      <c r="AC40" s="622"/>
      <c r="AD40" s="572"/>
      <c r="AE40" s="6"/>
      <c r="AF40" s="6"/>
      <c r="AG40" s="613"/>
      <c r="AH40" s="567"/>
      <c r="AI40" s="620"/>
      <c r="AJ40" s="692"/>
      <c r="AK40" s="635"/>
      <c r="AM40" s="567"/>
      <c r="AN40" s="6"/>
      <c r="AO40" s="6"/>
      <c r="AP40" s="50"/>
      <c r="AQ40" s="613"/>
      <c r="AR40" s="685"/>
      <c r="AS40" s="619"/>
      <c r="AT40" s="692"/>
      <c r="AU40" s="635"/>
      <c r="AV40" s="635"/>
    </row>
    <row r="41" spans="1:48" ht="39.6" customHeight="1" x14ac:dyDescent="0.25">
      <c r="A41" s="2206">
        <v>45432</v>
      </c>
      <c r="B41" s="574">
        <v>1</v>
      </c>
      <c r="C41" s="595"/>
      <c r="D41" s="596"/>
      <c r="E41" s="596"/>
      <c r="F41" s="613"/>
      <c r="G41" s="685"/>
      <c r="H41" s="620"/>
      <c r="I41" s="620"/>
      <c r="J41" s="635"/>
      <c r="K41" s="622"/>
      <c r="L41" s="572"/>
      <c r="M41" s="6"/>
      <c r="N41" s="6"/>
      <c r="O41" s="613"/>
      <c r="P41" s="614"/>
      <c r="Q41" s="6"/>
      <c r="R41" s="692"/>
      <c r="S41" s="635"/>
      <c r="T41" s="622"/>
      <c r="U41" s="572"/>
      <c r="V41" s="6"/>
      <c r="W41" s="6"/>
      <c r="X41" s="613"/>
      <c r="Y41" s="614"/>
      <c r="Z41" s="605"/>
      <c r="AA41" s="698"/>
      <c r="AB41" s="613"/>
      <c r="AC41" s="622"/>
      <c r="AD41" s="572"/>
      <c r="AE41" s="6"/>
      <c r="AF41" s="6"/>
      <c r="AG41" s="613"/>
      <c r="AH41" s="567"/>
      <c r="AI41" s="605"/>
      <c r="AJ41" s="6"/>
      <c r="AK41" s="613"/>
      <c r="AM41" s="572"/>
      <c r="AN41" s="6"/>
      <c r="AO41" s="6"/>
      <c r="AP41" s="50"/>
      <c r="AQ41" s="613"/>
      <c r="AR41" s="614"/>
      <c r="AS41" s="605"/>
      <c r="AT41" s="692"/>
      <c r="AU41" s="50"/>
      <c r="AV41" s="613"/>
    </row>
    <row r="42" spans="1:48" ht="52.9" customHeight="1" x14ac:dyDescent="0.25">
      <c r="A42" s="2205"/>
      <c r="B42" s="574">
        <v>2</v>
      </c>
      <c r="C42" s="596"/>
      <c r="D42" s="596"/>
      <c r="E42" s="596"/>
      <c r="F42" s="613"/>
      <c r="G42" s="685"/>
      <c r="H42" s="620"/>
      <c r="I42" s="692"/>
      <c r="J42" s="635"/>
      <c r="K42" s="622"/>
      <c r="L42" s="572"/>
      <c r="M42" s="6"/>
      <c r="N42" s="6"/>
      <c r="O42" s="613"/>
      <c r="P42" s="614"/>
      <c r="Q42" s="6"/>
      <c r="R42" s="6"/>
      <c r="S42" s="635"/>
      <c r="T42" s="622"/>
      <c r="U42" s="572"/>
      <c r="V42" s="6"/>
      <c r="W42" s="6"/>
      <c r="X42" s="613"/>
      <c r="Y42" s="1097"/>
      <c r="Z42" s="6"/>
      <c r="AA42" s="698"/>
      <c r="AB42" s="635"/>
      <c r="AC42" s="622"/>
      <c r="AD42" s="572"/>
      <c r="AE42" s="6"/>
      <c r="AF42" s="6"/>
      <c r="AG42" s="613"/>
      <c r="AH42" s="614"/>
      <c r="AI42" s="605"/>
      <c r="AJ42" s="6"/>
      <c r="AK42" s="635"/>
      <c r="AM42" s="572"/>
      <c r="AN42" s="6"/>
      <c r="AO42" s="6"/>
      <c r="AP42" s="613"/>
      <c r="AQ42" s="613"/>
      <c r="AR42" s="614"/>
      <c r="AS42" s="6"/>
      <c r="AT42" s="6"/>
      <c r="AU42" s="635"/>
      <c r="AV42" s="635"/>
    </row>
    <row r="43" spans="1:48" ht="65.45" customHeight="1" x14ac:dyDescent="0.25">
      <c r="A43" s="2206">
        <v>45433</v>
      </c>
      <c r="B43" s="574">
        <v>1</v>
      </c>
      <c r="C43" s="596"/>
      <c r="D43" s="596"/>
      <c r="E43" s="596"/>
      <c r="F43" s="597"/>
      <c r="G43" s="619"/>
      <c r="H43" s="619"/>
      <c r="I43" s="848"/>
      <c r="J43" s="635"/>
      <c r="K43" s="622"/>
      <c r="L43" s="572"/>
      <c r="M43" s="6"/>
      <c r="N43" s="6"/>
      <c r="O43" s="613"/>
      <c r="P43" s="614"/>
      <c r="Q43" s="6"/>
      <c r="R43" s="6"/>
      <c r="S43" s="635"/>
      <c r="T43" s="622"/>
      <c r="U43" s="572"/>
      <c r="V43" s="6"/>
      <c r="W43" s="6"/>
      <c r="X43" s="613"/>
      <c r="Y43" s="614"/>
      <c r="Z43" s="6"/>
      <c r="AA43" s="698"/>
      <c r="AB43" s="635"/>
      <c r="AC43" s="622"/>
      <c r="AD43" s="572"/>
      <c r="AE43" s="6"/>
      <c r="AF43" s="6"/>
      <c r="AG43" s="613"/>
      <c r="AH43" s="605"/>
      <c r="AI43" s="620"/>
      <c r="AJ43" s="6"/>
      <c r="AK43" s="635"/>
      <c r="AM43" s="572"/>
      <c r="AN43" s="6"/>
      <c r="AO43" s="6"/>
      <c r="AP43" s="50"/>
      <c r="AQ43" s="613"/>
      <c r="AR43" s="605"/>
      <c r="AS43" s="620"/>
      <c r="AT43" s="6"/>
      <c r="AU43" s="635"/>
      <c r="AV43" s="613"/>
    </row>
    <row r="44" spans="1:48" ht="69" customHeight="1" x14ac:dyDescent="0.25">
      <c r="A44" s="2205"/>
      <c r="B44" s="574">
        <v>2</v>
      </c>
      <c r="C44" s="596"/>
      <c r="D44" s="596"/>
      <c r="E44" s="596">
        <v>10</v>
      </c>
      <c r="F44" s="597"/>
      <c r="G44" s="619"/>
      <c r="H44" s="620"/>
      <c r="I44" s="848" t="s">
        <v>152</v>
      </c>
      <c r="J44" s="635"/>
      <c r="K44" s="622"/>
      <c r="L44" s="572"/>
      <c r="M44" s="6">
        <v>120</v>
      </c>
      <c r="N44" s="6"/>
      <c r="O44" s="613"/>
      <c r="P44" s="1097"/>
      <c r="Q44" s="6" t="s">
        <v>96</v>
      </c>
      <c r="R44" s="605"/>
      <c r="S44" s="635"/>
      <c r="T44" s="622"/>
      <c r="U44" s="572"/>
      <c r="V44" s="6"/>
      <c r="W44" s="596"/>
      <c r="X44" s="597"/>
      <c r="Y44" s="619"/>
      <c r="Z44" s="620"/>
      <c r="AA44" s="698"/>
      <c r="AB44" s="635"/>
      <c r="AC44" s="622"/>
      <c r="AD44" s="572"/>
      <c r="AE44" s="6"/>
      <c r="AF44" s="6"/>
      <c r="AG44" s="613"/>
      <c r="AH44" s="614"/>
      <c r="AI44" s="605"/>
      <c r="AJ44" s="698"/>
      <c r="AK44" s="635"/>
      <c r="AM44" s="572"/>
      <c r="AN44" s="6">
        <v>91</v>
      </c>
      <c r="AO44" s="6"/>
      <c r="AP44" s="50"/>
      <c r="AQ44" s="613"/>
      <c r="AR44" s="614"/>
      <c r="AS44" s="605" t="s">
        <v>811</v>
      </c>
      <c r="AT44" s="605"/>
      <c r="AU44" s="635"/>
      <c r="AV44" s="613"/>
    </row>
    <row r="45" spans="1:48" ht="69" customHeight="1" x14ac:dyDescent="0.25">
      <c r="A45" s="2206">
        <v>45434</v>
      </c>
      <c r="B45" s="574">
        <v>1</v>
      </c>
      <c r="C45" s="596"/>
      <c r="D45" s="596"/>
      <c r="E45" s="596"/>
      <c r="F45" s="597"/>
      <c r="G45" s="619"/>
      <c r="H45" s="619"/>
      <c r="I45" s="692"/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05"/>
      <c r="W45" s="6"/>
      <c r="X45" s="613"/>
      <c r="Y45" s="619"/>
      <c r="Z45" s="605"/>
      <c r="AA45" s="605"/>
      <c r="AB45" s="613"/>
      <c r="AC45" s="622"/>
      <c r="AD45" s="572"/>
      <c r="AE45" s="6"/>
      <c r="AF45" s="6"/>
      <c r="AG45" s="613"/>
      <c r="AH45" s="614"/>
      <c r="AI45" s="605"/>
      <c r="AJ45" s="605"/>
      <c r="AK45" s="613"/>
      <c r="AM45" s="572"/>
      <c r="AN45" s="6"/>
      <c r="AO45" s="6"/>
      <c r="AP45" s="50"/>
      <c r="AQ45" s="613"/>
      <c r="AR45" s="614"/>
      <c r="AS45" s="605"/>
      <c r="AT45" s="6"/>
      <c r="AU45" s="50"/>
      <c r="AV45" s="613"/>
    </row>
    <row r="46" spans="1:48" ht="48.6" customHeight="1" x14ac:dyDescent="0.25">
      <c r="A46" s="2205"/>
      <c r="B46" s="574">
        <v>2</v>
      </c>
      <c r="C46" s="596"/>
      <c r="D46" s="596"/>
      <c r="E46" s="596"/>
      <c r="F46" s="597"/>
      <c r="G46" s="619"/>
      <c r="H46" s="619"/>
      <c r="I46" s="848"/>
      <c r="J46" s="635"/>
      <c r="K46" s="622"/>
      <c r="L46" s="572"/>
      <c r="M46" s="6"/>
      <c r="N46" s="6"/>
      <c r="O46" s="785"/>
      <c r="P46" s="614"/>
      <c r="Q46" s="620"/>
      <c r="R46" s="605"/>
      <c r="S46" s="635"/>
      <c r="T46" s="622"/>
      <c r="U46" s="572"/>
      <c r="V46" s="6"/>
      <c r="W46" s="6"/>
      <c r="X46" s="613"/>
      <c r="Y46" s="1097"/>
      <c r="Z46" s="6"/>
      <c r="AA46" s="605"/>
      <c r="AB46" s="635"/>
      <c r="AC46" s="622"/>
      <c r="AD46" s="572">
        <v>82</v>
      </c>
      <c r="AE46" s="6"/>
      <c r="AF46" s="6"/>
      <c r="AG46" s="613"/>
      <c r="AH46" s="1105" t="s">
        <v>914</v>
      </c>
      <c r="AI46" s="605"/>
      <c r="AJ46" s="698"/>
      <c r="AK46" s="635"/>
      <c r="AM46" s="572"/>
      <c r="AN46" s="6"/>
      <c r="AO46" s="6"/>
      <c r="AP46" s="50"/>
      <c r="AQ46" s="613"/>
      <c r="AR46" s="614"/>
      <c r="AS46" s="620"/>
      <c r="AT46" s="692"/>
      <c r="AU46" s="50"/>
      <c r="AV46" s="635"/>
    </row>
    <row r="47" spans="1:48" ht="58.9" customHeight="1" x14ac:dyDescent="0.25">
      <c r="A47" s="2206">
        <v>45435</v>
      </c>
      <c r="B47" s="574">
        <v>1</v>
      </c>
      <c r="C47" s="596"/>
      <c r="D47" s="596"/>
      <c r="E47" s="596"/>
      <c r="F47" s="597"/>
      <c r="G47" s="619"/>
      <c r="H47" s="620"/>
      <c r="I47" s="848"/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/>
      <c r="X47" s="613"/>
      <c r="Y47" s="619"/>
      <c r="Z47" s="605"/>
      <c r="AA47" s="605"/>
      <c r="AB47" s="635"/>
      <c r="AC47" s="622"/>
      <c r="AD47" s="572"/>
      <c r="AE47" s="6">
        <v>48</v>
      </c>
      <c r="AF47" s="6"/>
      <c r="AG47" s="613"/>
      <c r="AH47" s="1105" t="s">
        <v>915</v>
      </c>
      <c r="AI47" s="620"/>
      <c r="AJ47" s="698"/>
      <c r="AK47" s="613"/>
      <c r="AM47" s="572"/>
      <c r="AN47" s="6"/>
      <c r="AO47" s="6"/>
      <c r="AP47" s="50"/>
      <c r="AQ47" s="613"/>
      <c r="AR47" s="614"/>
      <c r="AS47" s="620"/>
      <c r="AT47" s="6"/>
      <c r="AU47" s="50"/>
      <c r="AV47" s="613"/>
    </row>
    <row r="48" spans="1:48" ht="34.9" customHeight="1" x14ac:dyDescent="0.25">
      <c r="A48" s="2205"/>
      <c r="B48" s="574">
        <v>2</v>
      </c>
      <c r="C48" s="596"/>
      <c r="D48" s="596"/>
      <c r="E48" s="596"/>
      <c r="F48" s="597"/>
      <c r="G48" s="620"/>
      <c r="H48" s="620"/>
      <c r="I48" s="692"/>
      <c r="J48" s="635"/>
      <c r="K48" s="622"/>
      <c r="L48" s="572"/>
      <c r="M48" s="6"/>
      <c r="N48" s="6"/>
      <c r="O48" s="597"/>
      <c r="P48" s="620"/>
      <c r="Q48" s="620"/>
      <c r="R48" s="692"/>
      <c r="S48" s="635"/>
      <c r="T48" s="622"/>
      <c r="U48" s="572"/>
      <c r="V48" s="6"/>
      <c r="W48" s="6"/>
      <c r="X48" s="597"/>
      <c r="Y48" s="620"/>
      <c r="Z48" s="620"/>
      <c r="AA48" s="692"/>
      <c r="AB48" s="635"/>
      <c r="AC48" s="622"/>
      <c r="AD48" s="572"/>
      <c r="AE48" s="6"/>
      <c r="AF48" s="6"/>
      <c r="AG48" s="597"/>
      <c r="AH48" s="620"/>
      <c r="AI48" s="620"/>
      <c r="AJ48" s="692"/>
      <c r="AK48" s="635"/>
      <c r="AM48" s="572"/>
      <c r="AN48" s="6"/>
      <c r="AO48" s="572"/>
      <c r="AP48" s="6"/>
      <c r="AQ48" s="6"/>
      <c r="AR48" s="597"/>
      <c r="AS48" s="620"/>
      <c r="AT48" s="620"/>
      <c r="AU48" s="635"/>
      <c r="AV48" s="613"/>
    </row>
    <row r="49" spans="1:48" ht="36" customHeight="1" x14ac:dyDescent="0.25">
      <c r="A49" s="2206">
        <v>45436</v>
      </c>
      <c r="B49" s="574">
        <v>1</v>
      </c>
      <c r="C49" s="596"/>
      <c r="D49" s="596"/>
      <c r="E49" s="596"/>
      <c r="F49" s="597"/>
      <c r="G49" s="620"/>
      <c r="H49" s="619"/>
      <c r="I49" s="848"/>
      <c r="J49" s="635"/>
      <c r="K49" s="622"/>
      <c r="L49" s="572"/>
      <c r="M49" s="6"/>
      <c r="N49" s="6"/>
      <c r="O49" s="597"/>
      <c r="P49" s="620"/>
      <c r="Q49" s="619"/>
      <c r="R49" s="692"/>
      <c r="S49" s="635"/>
      <c r="T49" s="622"/>
      <c r="U49" s="572"/>
      <c r="V49" s="6"/>
      <c r="W49" s="6"/>
      <c r="X49" s="597"/>
      <c r="Y49" s="620"/>
      <c r="Z49" s="605"/>
      <c r="AA49" s="605"/>
      <c r="AB49" s="635"/>
      <c r="AC49" s="622"/>
      <c r="AD49" s="572"/>
      <c r="AE49" s="6"/>
      <c r="AF49" s="6"/>
      <c r="AG49" s="597"/>
      <c r="AH49" s="620"/>
      <c r="AI49" s="619"/>
      <c r="AJ49" s="692"/>
      <c r="AK49" s="635"/>
      <c r="AM49" s="572"/>
      <c r="AN49" s="6"/>
      <c r="AO49" s="6"/>
      <c r="AP49" s="597"/>
      <c r="AQ49" s="620"/>
      <c r="AR49" s="619"/>
      <c r="AS49" s="692"/>
      <c r="AT49" s="635"/>
      <c r="AU49" s="635"/>
      <c r="AV49" s="613"/>
    </row>
    <row r="50" spans="1:48" ht="51.6" customHeight="1" x14ac:dyDescent="0.25">
      <c r="A50" s="2205"/>
      <c r="B50" s="574">
        <v>2</v>
      </c>
      <c r="C50" s="596"/>
      <c r="D50" s="596"/>
      <c r="E50" s="596"/>
      <c r="F50" s="597"/>
      <c r="G50" s="619"/>
      <c r="H50" s="619"/>
      <c r="I50" s="692"/>
      <c r="J50" s="635"/>
      <c r="K50" s="622"/>
      <c r="L50" s="572"/>
      <c r="M50" s="6"/>
      <c r="N50" s="6"/>
      <c r="O50" s="597"/>
      <c r="P50" s="619"/>
      <c r="Q50" s="619"/>
      <c r="R50" s="692"/>
      <c r="S50" s="635"/>
      <c r="T50" s="622"/>
      <c r="U50" s="572"/>
      <c r="V50" s="6"/>
      <c r="W50" s="6"/>
      <c r="X50" s="597"/>
      <c r="Y50" s="619"/>
      <c r="Z50" s="619"/>
      <c r="AA50" s="698"/>
      <c r="AB50" s="635"/>
      <c r="AC50" s="622"/>
      <c r="AD50" s="572"/>
      <c r="AE50" s="6"/>
      <c r="AF50" s="6"/>
      <c r="AG50" s="597"/>
      <c r="AH50" s="619"/>
      <c r="AI50" s="619"/>
      <c r="AJ50" s="692"/>
      <c r="AK50" s="635"/>
      <c r="AM50" s="572"/>
      <c r="AN50" s="6"/>
      <c r="AO50" s="6"/>
      <c r="AP50" s="597"/>
      <c r="AQ50" s="619"/>
      <c r="AR50" s="619"/>
      <c r="AS50" s="692"/>
      <c r="AT50" s="635"/>
      <c r="AU50" s="635"/>
      <c r="AV50" s="635"/>
    </row>
    <row r="51" spans="1:48" ht="34.9" customHeight="1" x14ac:dyDescent="0.25">
      <c r="A51" s="2206">
        <v>45437</v>
      </c>
      <c r="B51" s="574">
        <v>1</v>
      </c>
      <c r="C51" s="596"/>
      <c r="D51" s="596"/>
      <c r="E51" s="596"/>
      <c r="F51" s="597"/>
      <c r="G51" s="619"/>
      <c r="H51" s="619"/>
      <c r="I51" s="848"/>
      <c r="J51" s="635"/>
      <c r="K51" s="622"/>
      <c r="L51" s="572"/>
      <c r="M51" s="6"/>
      <c r="N51" s="6"/>
      <c r="O51" s="597"/>
      <c r="P51" s="619"/>
      <c r="Q51" s="619"/>
      <c r="R51" s="692"/>
      <c r="S51" s="635"/>
      <c r="T51" s="622"/>
      <c r="U51" s="572"/>
      <c r="V51" s="6"/>
      <c r="W51" s="6"/>
      <c r="X51" s="597"/>
      <c r="Y51" s="619"/>
      <c r="Z51" s="619"/>
      <c r="AA51" s="698"/>
      <c r="AB51" s="635"/>
      <c r="AC51" s="622"/>
      <c r="AD51" s="572"/>
      <c r="AE51" s="6"/>
      <c r="AF51" s="6"/>
      <c r="AG51" s="597"/>
      <c r="AH51" s="619"/>
      <c r="AI51" s="619"/>
      <c r="AJ51" s="692"/>
      <c r="AK51" s="635"/>
      <c r="AM51" s="572"/>
      <c r="AN51" s="6"/>
      <c r="AO51" s="6"/>
      <c r="AP51" s="597"/>
      <c r="AQ51" s="619"/>
      <c r="AR51" s="619"/>
      <c r="AS51" s="692"/>
      <c r="AT51" s="635"/>
      <c r="AU51" s="635"/>
      <c r="AV51" s="613"/>
    </row>
    <row r="52" spans="1:48" ht="49.15" customHeight="1" x14ac:dyDescent="0.25">
      <c r="A52" s="2205"/>
      <c r="B52" s="574">
        <v>2</v>
      </c>
      <c r="C52" s="596"/>
      <c r="D52" s="596"/>
      <c r="E52" s="596"/>
      <c r="F52" s="597"/>
      <c r="G52" s="620"/>
      <c r="H52" s="620"/>
      <c r="I52" s="848"/>
      <c r="J52" s="635"/>
      <c r="K52" s="622"/>
      <c r="L52" s="572"/>
      <c r="M52" s="6"/>
      <c r="N52" s="6"/>
      <c r="O52" s="597"/>
      <c r="P52" s="620"/>
      <c r="Q52" s="620"/>
      <c r="R52" s="692"/>
      <c r="S52" s="635"/>
      <c r="T52" s="622"/>
      <c r="U52" s="572">
        <v>66</v>
      </c>
      <c r="V52" s="6">
        <v>18</v>
      </c>
      <c r="W52" s="6"/>
      <c r="X52" s="597"/>
      <c r="Y52" s="620" t="s">
        <v>916</v>
      </c>
      <c r="Z52" s="619" t="s">
        <v>520</v>
      </c>
      <c r="AA52" s="698"/>
      <c r="AB52" s="635"/>
      <c r="AC52" s="622"/>
      <c r="AD52" s="572"/>
      <c r="AE52" s="6"/>
      <c r="AF52" s="6"/>
      <c r="AG52" s="597"/>
      <c r="AH52" s="620"/>
      <c r="AI52" s="620"/>
      <c r="AJ52" s="692"/>
      <c r="AK52" s="635"/>
      <c r="AM52" s="572"/>
      <c r="AN52" s="613"/>
      <c r="AO52" s="613"/>
      <c r="AP52" s="613"/>
      <c r="AQ52" s="613"/>
      <c r="AR52" s="614"/>
      <c r="AS52" s="6"/>
      <c r="AT52" s="635"/>
      <c r="AU52" s="635"/>
      <c r="AV52" s="613"/>
    </row>
    <row r="53" spans="1:48" ht="48" customHeight="1" x14ac:dyDescent="0.25">
      <c r="A53" s="2206">
        <v>45438</v>
      </c>
      <c r="B53" s="574">
        <v>1</v>
      </c>
      <c r="C53" s="596"/>
      <c r="D53" s="596"/>
      <c r="E53" s="596"/>
      <c r="F53" s="597"/>
      <c r="G53" s="619"/>
      <c r="H53" s="619"/>
      <c r="I53" s="848"/>
      <c r="J53" s="635"/>
      <c r="K53" s="622"/>
      <c r="L53" s="572"/>
      <c r="M53" s="6"/>
      <c r="N53" s="6"/>
      <c r="O53" s="613"/>
      <c r="P53" s="1097"/>
      <c r="Q53" s="620"/>
      <c r="R53" s="6"/>
      <c r="S53" s="635"/>
      <c r="T53" s="622"/>
      <c r="U53" s="572"/>
      <c r="V53" s="6"/>
      <c r="W53" s="6"/>
      <c r="X53" s="613"/>
      <c r="Y53" s="1097"/>
      <c r="Z53" s="6"/>
      <c r="AA53" s="605"/>
      <c r="AB53" s="613"/>
      <c r="AC53" s="622"/>
      <c r="AD53" s="572"/>
      <c r="AE53" s="605"/>
      <c r="AF53" s="6"/>
      <c r="AG53" s="613"/>
      <c r="AH53" s="614"/>
      <c r="AI53" s="6"/>
      <c r="AJ53" s="605"/>
      <c r="AK53" s="613"/>
      <c r="AM53" s="572">
        <v>80</v>
      </c>
      <c r="AN53" s="605"/>
      <c r="AO53" s="6"/>
      <c r="AP53" s="50"/>
      <c r="AQ53" s="613"/>
      <c r="AR53" s="1105" t="s">
        <v>917</v>
      </c>
      <c r="AS53" s="6"/>
      <c r="AT53" s="6"/>
      <c r="AU53" s="50"/>
      <c r="AV53" s="613"/>
    </row>
    <row r="54" spans="1:48" ht="45.6" customHeight="1" x14ac:dyDescent="0.25">
      <c r="A54" s="2205"/>
      <c r="B54" s="1092">
        <v>2</v>
      </c>
      <c r="C54" s="596"/>
      <c r="D54" s="596"/>
      <c r="E54" s="596"/>
      <c r="F54" s="597"/>
      <c r="G54" s="619"/>
      <c r="H54" s="620"/>
      <c r="I54" s="692"/>
      <c r="J54" s="635"/>
      <c r="K54" s="622"/>
      <c r="L54" s="572"/>
      <c r="M54" s="6"/>
      <c r="N54" s="6"/>
      <c r="O54" s="597"/>
      <c r="P54" s="619"/>
      <c r="Q54" s="620"/>
      <c r="R54" s="619"/>
      <c r="S54" s="635"/>
      <c r="T54" s="622"/>
      <c r="U54" s="572">
        <v>138</v>
      </c>
      <c r="V54" s="6"/>
      <c r="W54" s="6">
        <v>12</v>
      </c>
      <c r="X54" s="597"/>
      <c r="Y54" s="620" t="s">
        <v>919</v>
      </c>
      <c r="Z54" s="620"/>
      <c r="AA54" s="620" t="s">
        <v>152</v>
      </c>
      <c r="AB54" s="635"/>
      <c r="AC54" s="622"/>
      <c r="AD54" s="572"/>
      <c r="AE54" s="6"/>
      <c r="AF54" s="6"/>
      <c r="AG54" s="613"/>
      <c r="AH54" s="614"/>
      <c r="AI54" s="620"/>
      <c r="AJ54" s="6"/>
      <c r="AK54" s="635"/>
      <c r="AM54" s="572">
        <v>92</v>
      </c>
      <c r="AN54" s="6"/>
      <c r="AO54" s="6"/>
      <c r="AP54" s="50"/>
      <c r="AQ54" s="597"/>
      <c r="AR54" s="1105" t="s">
        <v>918</v>
      </c>
      <c r="AS54" s="620"/>
      <c r="AT54" s="619"/>
      <c r="AU54" s="830"/>
      <c r="AV54" s="635"/>
    </row>
    <row r="55" spans="1:48" ht="39.6" customHeight="1" x14ac:dyDescent="0.25">
      <c r="A55" s="2206">
        <v>45439</v>
      </c>
      <c r="B55" s="574">
        <v>1</v>
      </c>
      <c r="C55" s="595"/>
      <c r="D55" s="596"/>
      <c r="E55" s="596"/>
      <c r="F55" s="597"/>
      <c r="G55" s="619"/>
      <c r="H55" s="619"/>
      <c r="I55" s="848"/>
      <c r="J55" s="613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>
        <v>128</v>
      </c>
      <c r="W55" s="6"/>
      <c r="X55" s="613"/>
      <c r="Y55" s="614"/>
      <c r="Z55" s="619" t="s">
        <v>96</v>
      </c>
      <c r="AA55" s="698"/>
      <c r="AB55" s="613"/>
      <c r="AC55" s="622"/>
      <c r="AD55" s="572"/>
      <c r="AE55" s="6"/>
      <c r="AF55" s="6"/>
      <c r="AG55" s="613"/>
      <c r="AH55" s="614"/>
      <c r="AI55" s="620"/>
      <c r="AJ55" s="6"/>
      <c r="AK55" s="613"/>
      <c r="AM55" s="572"/>
      <c r="AN55" s="6"/>
      <c r="AO55" s="6"/>
      <c r="AP55" s="50"/>
      <c r="AQ55" s="613"/>
      <c r="AR55" s="614"/>
      <c r="AS55" s="620"/>
      <c r="AT55" s="6"/>
      <c r="AU55" s="50"/>
      <c r="AV55" s="613"/>
    </row>
    <row r="56" spans="1:48" ht="94.15" customHeight="1" x14ac:dyDescent="0.25">
      <c r="A56" s="2205"/>
      <c r="B56" s="1092">
        <v>2</v>
      </c>
      <c r="C56" s="595"/>
      <c r="D56" s="596"/>
      <c r="E56" s="596"/>
      <c r="F56" s="597"/>
      <c r="G56" s="620"/>
      <c r="H56" s="620"/>
      <c r="I56" s="848"/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/>
      <c r="V56" s="6">
        <v>44</v>
      </c>
      <c r="W56" s="6"/>
      <c r="X56" s="597"/>
      <c r="Y56" s="1097"/>
      <c r="Z56" s="619" t="s">
        <v>920</v>
      </c>
      <c r="AA56" s="605"/>
      <c r="AB56" s="635"/>
      <c r="AC56" s="622"/>
      <c r="AD56" s="572"/>
      <c r="AE56" s="6"/>
      <c r="AF56" s="6"/>
      <c r="AG56" s="597"/>
      <c r="AH56" s="620"/>
      <c r="AI56" s="619"/>
      <c r="AJ56" s="620"/>
      <c r="AK56" s="635"/>
      <c r="AM56" s="572"/>
      <c r="AN56" s="6"/>
      <c r="AO56" s="6"/>
      <c r="AP56" s="50"/>
      <c r="AQ56" s="597"/>
      <c r="AR56" s="620"/>
      <c r="AS56" s="619"/>
      <c r="AT56" s="620"/>
      <c r="AU56" s="692"/>
      <c r="AV56" s="635"/>
    </row>
    <row r="57" spans="1:48" ht="52.15" customHeight="1" x14ac:dyDescent="0.25">
      <c r="A57" s="2206">
        <v>45440</v>
      </c>
      <c r="B57" s="574">
        <v>1</v>
      </c>
      <c r="C57" s="595"/>
      <c r="D57" s="596"/>
      <c r="E57" s="596"/>
      <c r="F57" s="597"/>
      <c r="G57" s="620"/>
      <c r="H57" s="620"/>
      <c r="I57" s="692"/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/>
      <c r="X57" s="597"/>
      <c r="Y57" s="620"/>
      <c r="Z57" s="619"/>
      <c r="AA57" s="605"/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/>
      <c r="AP57" s="50"/>
      <c r="AQ57" s="597"/>
      <c r="AR57" s="620"/>
      <c r="AS57" s="619"/>
      <c r="AT57" s="620"/>
      <c r="AU57" s="692"/>
      <c r="AV57" s="635"/>
    </row>
    <row r="58" spans="1:48" ht="78" customHeight="1" x14ac:dyDescent="0.25">
      <c r="A58" s="2205"/>
      <c r="B58" s="1092">
        <v>2</v>
      </c>
      <c r="C58" s="595"/>
      <c r="D58" s="596"/>
      <c r="E58" s="596"/>
      <c r="F58" s="597"/>
      <c r="G58" s="620"/>
      <c r="H58" s="619"/>
      <c r="I58" s="848"/>
      <c r="J58" s="635"/>
      <c r="K58" s="622"/>
      <c r="L58" s="572"/>
      <c r="M58" s="6"/>
      <c r="N58" s="6"/>
      <c r="O58" s="597"/>
      <c r="P58" s="620"/>
      <c r="Q58" s="619"/>
      <c r="R58" s="620"/>
      <c r="S58" s="635"/>
      <c r="T58" s="622"/>
      <c r="U58" s="572">
        <v>197</v>
      </c>
      <c r="V58" s="6">
        <v>9</v>
      </c>
      <c r="W58" s="6"/>
      <c r="X58" s="597"/>
      <c r="Y58" s="620" t="s">
        <v>921</v>
      </c>
      <c r="Z58" s="619" t="s">
        <v>922</v>
      </c>
      <c r="AA58" s="698"/>
      <c r="AB58" s="635"/>
      <c r="AC58" s="622"/>
      <c r="AD58" s="572"/>
      <c r="AE58" s="6"/>
      <c r="AF58" s="6"/>
      <c r="AG58" s="597"/>
      <c r="AH58" s="620"/>
      <c r="AI58" s="619"/>
      <c r="AJ58" s="6"/>
      <c r="AK58" s="635"/>
      <c r="AM58" s="572"/>
      <c r="AN58" s="6"/>
      <c r="AO58" s="6"/>
      <c r="AP58" s="50"/>
      <c r="AQ58" s="597"/>
      <c r="AR58" s="620"/>
      <c r="AS58" s="619"/>
      <c r="AT58" s="620"/>
      <c r="AU58" s="692"/>
      <c r="AV58" s="635"/>
    </row>
    <row r="59" spans="1:48" ht="73.150000000000006" customHeight="1" x14ac:dyDescent="0.25">
      <c r="A59" s="2206">
        <v>45441</v>
      </c>
      <c r="B59" s="574">
        <v>1</v>
      </c>
      <c r="C59" s="595"/>
      <c r="D59" s="596"/>
      <c r="E59" s="596"/>
      <c r="F59" s="597"/>
      <c r="G59" s="620"/>
      <c r="H59" s="619"/>
      <c r="I59" s="848"/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>
        <v>10</v>
      </c>
      <c r="W59" s="6"/>
      <c r="X59" s="613"/>
      <c r="Y59" s="614"/>
      <c r="Z59" s="619" t="s">
        <v>922</v>
      </c>
      <c r="AA59" s="698"/>
      <c r="AB59" s="635"/>
      <c r="AC59" s="622"/>
      <c r="AD59" s="572"/>
      <c r="AE59" s="6"/>
      <c r="AF59" s="6"/>
      <c r="AG59" s="613"/>
      <c r="AH59" s="1097"/>
      <c r="AI59" s="6"/>
      <c r="AJ59" s="620"/>
      <c r="AK59" s="635"/>
      <c r="AM59" s="572"/>
      <c r="AN59" s="6"/>
      <c r="AO59" s="6"/>
      <c r="AP59" s="50"/>
      <c r="AQ59" s="613"/>
      <c r="AR59" s="1097"/>
      <c r="AS59" s="6"/>
      <c r="AT59" s="620"/>
      <c r="AU59" s="692"/>
      <c r="AV59" s="635"/>
    </row>
    <row r="60" spans="1:48" ht="36" customHeight="1" x14ac:dyDescent="0.25">
      <c r="A60" s="2205"/>
      <c r="B60" s="1092">
        <v>2</v>
      </c>
      <c r="C60" s="595"/>
      <c r="D60" s="596"/>
      <c r="E60" s="596"/>
      <c r="F60" s="597"/>
      <c r="G60" s="619"/>
      <c r="H60" s="620"/>
      <c r="I60" s="848"/>
      <c r="J60" s="635"/>
      <c r="K60" s="622"/>
      <c r="L60" s="572"/>
      <c r="M60" s="6"/>
      <c r="N60" s="6"/>
      <c r="O60" s="613"/>
      <c r="P60" s="614"/>
      <c r="Q60" s="620"/>
      <c r="R60" s="6"/>
      <c r="S60" s="635"/>
      <c r="T60" s="622"/>
      <c r="U60" s="572"/>
      <c r="V60" s="6"/>
      <c r="W60" s="6">
        <v>15</v>
      </c>
      <c r="X60" s="613"/>
      <c r="Y60" s="1097"/>
      <c r="Z60" s="620" t="s">
        <v>336</v>
      </c>
      <c r="AA60" s="605"/>
      <c r="AB60" s="635"/>
      <c r="AC60" s="622"/>
      <c r="AD60" s="572"/>
      <c r="AE60" s="6"/>
      <c r="AF60" s="6"/>
      <c r="AG60" s="613"/>
      <c r="AH60" s="614"/>
      <c r="AI60" s="620"/>
      <c r="AJ60" s="605"/>
      <c r="AK60" s="635"/>
      <c r="AM60" s="572"/>
      <c r="AN60" s="6"/>
      <c r="AO60" s="6"/>
      <c r="AP60" s="50"/>
      <c r="AQ60" s="613"/>
      <c r="AR60" s="614"/>
      <c r="AS60" s="620"/>
      <c r="AT60" s="605"/>
      <c r="AU60" s="828"/>
      <c r="AV60" s="635"/>
    </row>
    <row r="61" spans="1:48" ht="32.450000000000003" customHeight="1" x14ac:dyDescent="0.25">
      <c r="A61" s="2206">
        <v>45442</v>
      </c>
      <c r="B61" s="574">
        <v>1</v>
      </c>
      <c r="C61" s="1100"/>
      <c r="D61" s="1102"/>
      <c r="E61" s="596">
        <v>10</v>
      </c>
      <c r="F61" s="749"/>
      <c r="G61" s="619"/>
      <c r="H61" s="1101"/>
      <c r="I61" s="692" t="s">
        <v>152</v>
      </c>
      <c r="J61" s="687"/>
      <c r="K61" s="622"/>
      <c r="L61" s="572"/>
      <c r="M61" s="6"/>
      <c r="N61" s="6"/>
      <c r="O61" s="613"/>
      <c r="P61" s="752"/>
      <c r="Q61" s="1098"/>
      <c r="R61" s="1098"/>
      <c r="S61" s="753"/>
      <c r="T61" s="622"/>
      <c r="U61" s="572"/>
      <c r="V61" s="6"/>
      <c r="W61" s="6">
        <v>10</v>
      </c>
      <c r="X61" s="613"/>
      <c r="Y61" s="1097"/>
      <c r="Z61" s="605" t="s">
        <v>923</v>
      </c>
      <c r="AA61" s="605"/>
      <c r="AB61" s="753"/>
      <c r="AC61" s="622"/>
      <c r="AD61" s="572"/>
      <c r="AE61" s="6"/>
      <c r="AF61" s="6"/>
      <c r="AG61" s="613"/>
      <c r="AH61" s="614"/>
      <c r="AI61" s="6"/>
      <c r="AJ61" s="605"/>
      <c r="AK61" s="753"/>
      <c r="AM61" s="572"/>
      <c r="AN61" s="6"/>
      <c r="AO61" s="6"/>
      <c r="AP61" s="50"/>
      <c r="AQ61" s="613"/>
      <c r="AR61" s="1097"/>
      <c r="AS61" s="6"/>
      <c r="AT61" s="605"/>
      <c r="AU61" s="964"/>
      <c r="AV61" s="753"/>
    </row>
    <row r="62" spans="1:48" ht="62.45" customHeight="1" x14ac:dyDescent="0.25">
      <c r="A62" s="2205"/>
      <c r="B62" s="1092">
        <v>2</v>
      </c>
      <c r="C62" s="1100"/>
      <c r="D62" s="1102"/>
      <c r="E62" s="1102"/>
      <c r="F62" s="749"/>
      <c r="G62" s="1094"/>
      <c r="H62" s="1101"/>
      <c r="I62" s="692"/>
      <c r="J62" s="687"/>
      <c r="K62" s="622"/>
      <c r="L62" s="572"/>
      <c r="M62" s="6"/>
      <c r="N62" s="6"/>
      <c r="O62" s="613"/>
      <c r="P62" s="752"/>
      <c r="Q62" s="1103"/>
      <c r="R62" s="1098"/>
      <c r="S62" s="753"/>
      <c r="T62" s="622"/>
      <c r="U62" s="572"/>
      <c r="V62" s="6"/>
      <c r="W62" s="6"/>
      <c r="X62" s="613"/>
      <c r="Y62" s="1097"/>
      <c r="Z62" s="605"/>
      <c r="AA62" s="605"/>
      <c r="AB62" s="753"/>
      <c r="AC62" s="622"/>
      <c r="AD62" s="572"/>
      <c r="AE62" s="6"/>
      <c r="AF62" s="6"/>
      <c r="AG62" s="613"/>
      <c r="AH62" s="2232"/>
      <c r="AI62" s="2233"/>
      <c r="AJ62" s="2234"/>
      <c r="AK62" s="753"/>
      <c r="AM62" s="572"/>
      <c r="AN62" s="6"/>
      <c r="AO62" s="6"/>
      <c r="AP62" s="50"/>
      <c r="AQ62" s="613"/>
      <c r="AR62" s="614"/>
      <c r="AS62" s="6"/>
      <c r="AT62" s="605"/>
      <c r="AU62" s="964"/>
      <c r="AV62" s="753"/>
    </row>
    <row r="63" spans="1:48" ht="64.150000000000006" customHeight="1" x14ac:dyDescent="0.25">
      <c r="A63" s="2206">
        <v>45443</v>
      </c>
      <c r="B63" s="574">
        <v>1</v>
      </c>
      <c r="C63" s="706"/>
      <c r="D63" s="707"/>
      <c r="E63" s="707"/>
      <c r="F63" s="708"/>
      <c r="G63" s="717"/>
      <c r="H63" s="709"/>
      <c r="I63" s="692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/>
      <c r="X63" s="597"/>
      <c r="Y63" s="685"/>
      <c r="Z63" s="619"/>
      <c r="AA63" s="605"/>
      <c r="AB63" s="1096"/>
      <c r="AC63" s="622"/>
      <c r="AD63" s="572"/>
      <c r="AE63" s="6"/>
      <c r="AF63" s="6"/>
      <c r="AG63" s="597"/>
      <c r="AH63" s="685"/>
      <c r="AI63" s="619"/>
      <c r="AJ63" s="6"/>
      <c r="AK63" s="705"/>
      <c r="AM63" s="572"/>
      <c r="AN63" s="6"/>
      <c r="AO63" s="6"/>
      <c r="AP63" s="50"/>
      <c r="AQ63" s="597"/>
      <c r="AR63" s="685"/>
      <c r="AS63" s="619"/>
      <c r="AT63" s="619"/>
      <c r="AU63" s="965"/>
      <c r="AV63" s="705"/>
    </row>
    <row r="64" spans="1:48" ht="62.45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963"/>
      <c r="AQ64" s="636"/>
      <c r="AR64" s="637"/>
      <c r="AS64" s="638"/>
      <c r="AT64" s="638"/>
      <c r="AU64" s="966"/>
      <c r="AV64" s="713"/>
    </row>
    <row r="65" spans="1:43" ht="23.45" customHeight="1" x14ac:dyDescent="0.25">
      <c r="A65" s="524" t="s">
        <v>225</v>
      </c>
      <c r="C65" s="768">
        <f>SUM(C3:C64)</f>
        <v>456.5</v>
      </c>
      <c r="D65" s="525">
        <f>SUM(D3:D64)</f>
        <v>456.5</v>
      </c>
      <c r="E65" s="768">
        <f>SUM(E3:E64)</f>
        <v>355</v>
      </c>
      <c r="F65" s="525">
        <f>SUM(F3:F64)</f>
        <v>0</v>
      </c>
      <c r="L65" s="525">
        <f>SUM(L3:L64)</f>
        <v>100</v>
      </c>
      <c r="M65" s="525">
        <f>SUM(M3:M64)</f>
        <v>120</v>
      </c>
      <c r="N65" s="525">
        <f>SUM(N3:N64)</f>
        <v>0</v>
      </c>
      <c r="O65" s="525">
        <f>SUM(O3:O64)</f>
        <v>0</v>
      </c>
      <c r="U65" s="525">
        <f>SUM(U3:U64)</f>
        <v>802</v>
      </c>
      <c r="V65" s="525">
        <f>SUM(V3:V64)</f>
        <v>541</v>
      </c>
      <c r="W65" s="525">
        <f>SUM(W3:W64)</f>
        <v>451</v>
      </c>
      <c r="X65" s="525">
        <f>SUM(X3:X64)</f>
        <v>0</v>
      </c>
      <c r="AD65" s="525">
        <f>SUM(AD3:AD64)</f>
        <v>88</v>
      </c>
      <c r="AE65" s="525">
        <f>SUM(AE3:AE64)</f>
        <v>103</v>
      </c>
      <c r="AF65" s="525">
        <f>SUM(AF3:AF64)</f>
        <v>0</v>
      </c>
      <c r="AG65" s="525">
        <f>SUM(AG3:AG64)</f>
        <v>0</v>
      </c>
      <c r="AM65" s="525">
        <f>SUM(AM3:AM64)</f>
        <v>1282</v>
      </c>
      <c r="AN65" s="525">
        <f>SUM(AN3:AN64)</f>
        <v>183</v>
      </c>
      <c r="AO65" s="525">
        <f>SUM(AO3:AO64)</f>
        <v>1174</v>
      </c>
      <c r="AP65" s="525"/>
      <c r="AQ65" s="525">
        <f>SUM(AQ3:AQ64)</f>
        <v>0</v>
      </c>
    </row>
    <row r="73" spans="1:43" ht="15.75" thickBot="1" x14ac:dyDescent="0.3"/>
    <row r="74" spans="1:43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3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3" ht="21.75" customHeight="1" x14ac:dyDescent="0.3">
      <c r="B76" s="651" t="s">
        <v>218</v>
      </c>
      <c r="C76" s="652">
        <f>C65</f>
        <v>456.5</v>
      </c>
      <c r="D76" s="653">
        <f>C76/60</f>
        <v>7.6083333333333334</v>
      </c>
      <c r="E76" s="652">
        <f>D65</f>
        <v>456.5</v>
      </c>
      <c r="F76" s="654">
        <f>E76/60</f>
        <v>7.6083333333333334</v>
      </c>
      <c r="G76" s="652">
        <f>E65</f>
        <v>355</v>
      </c>
      <c r="H76" s="653">
        <f>G76/60</f>
        <v>5.916666666666667</v>
      </c>
      <c r="I76" s="652">
        <f>F65</f>
        <v>0</v>
      </c>
      <c r="J76" s="653">
        <f>I76/60</f>
        <v>0</v>
      </c>
    </row>
    <row r="77" spans="1:43" ht="19.5" customHeight="1" x14ac:dyDescent="0.3">
      <c r="B77" s="651" t="s">
        <v>219</v>
      </c>
      <c r="C77" s="655">
        <f>L65</f>
        <v>100</v>
      </c>
      <c r="D77" s="656">
        <f>C77/60</f>
        <v>1.6666666666666667</v>
      </c>
      <c r="E77" s="655">
        <f>M65</f>
        <v>120</v>
      </c>
      <c r="F77" s="657">
        <f>E77/60</f>
        <v>2</v>
      </c>
      <c r="G77" s="655">
        <f>N65</f>
        <v>0</v>
      </c>
      <c r="H77" s="656">
        <f>G77/60</f>
        <v>0</v>
      </c>
      <c r="I77" s="655">
        <f>O65</f>
        <v>0</v>
      </c>
      <c r="J77" s="656">
        <f>I77/60</f>
        <v>0</v>
      </c>
    </row>
    <row r="78" spans="1:43" ht="20.25" customHeight="1" x14ac:dyDescent="0.3">
      <c r="B78" s="651" t="s">
        <v>220</v>
      </c>
      <c r="C78" s="655">
        <f>U65</f>
        <v>802</v>
      </c>
      <c r="D78" s="656">
        <f>C78/60</f>
        <v>13.366666666666667</v>
      </c>
      <c r="E78" s="655">
        <f>V65</f>
        <v>541</v>
      </c>
      <c r="F78" s="657">
        <f>E78/60</f>
        <v>9.0166666666666675</v>
      </c>
      <c r="G78" s="655">
        <f>W65</f>
        <v>451</v>
      </c>
      <c r="H78" s="656">
        <f>G78/60</f>
        <v>7.5166666666666666</v>
      </c>
      <c r="I78" s="655">
        <f>X65</f>
        <v>0</v>
      </c>
      <c r="J78" s="656">
        <f>I78/60</f>
        <v>0</v>
      </c>
    </row>
    <row r="79" spans="1:43" ht="22.5" customHeight="1" thickBot="1" x14ac:dyDescent="0.35">
      <c r="B79" s="651" t="s">
        <v>221</v>
      </c>
      <c r="C79" s="658">
        <f>AD65</f>
        <v>88</v>
      </c>
      <c r="D79" s="659">
        <f>C79/60</f>
        <v>1.4666666666666666</v>
      </c>
      <c r="E79" s="658">
        <f>AE65</f>
        <v>103</v>
      </c>
      <c r="F79" s="660">
        <f>E79/60</f>
        <v>1.7166666666666666</v>
      </c>
      <c r="G79" s="658">
        <f>AF65</f>
        <v>0</v>
      </c>
      <c r="H79" s="659">
        <f>G79/60</f>
        <v>0</v>
      </c>
      <c r="I79" s="658">
        <f>AG65</f>
        <v>0</v>
      </c>
      <c r="J79" s="659">
        <f>I79/60</f>
        <v>0</v>
      </c>
    </row>
    <row r="80" spans="1:43" ht="22.5" customHeight="1" thickBot="1" x14ac:dyDescent="0.35">
      <c r="B80" s="651" t="s">
        <v>488</v>
      </c>
      <c r="C80" s="850">
        <f>AM65</f>
        <v>1282</v>
      </c>
      <c r="D80" s="849">
        <f>C80/60</f>
        <v>21.366666666666667</v>
      </c>
      <c r="E80" s="850">
        <f>AN65</f>
        <v>183</v>
      </c>
      <c r="F80" s="851">
        <f>E80/60</f>
        <v>3.05</v>
      </c>
      <c r="G80" s="850">
        <f>AO65</f>
        <v>1174</v>
      </c>
      <c r="H80" s="849">
        <f>G80/60</f>
        <v>19.566666666666666</v>
      </c>
      <c r="I80" s="850">
        <f>AQ65</f>
        <v>0</v>
      </c>
      <c r="J80" s="849">
        <f>I80/60</f>
        <v>0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45.474999999999994</v>
      </c>
      <c r="E82" s="666"/>
      <c r="F82" s="667">
        <f>SUM(F76:F80)</f>
        <v>23.391666666666666</v>
      </c>
      <c r="G82" s="666"/>
      <c r="H82" s="667">
        <f>SUM(H76:H80)</f>
        <v>33</v>
      </c>
      <c r="I82" s="666"/>
      <c r="J82" s="668">
        <f>AVERAGE(J76:J80)</f>
        <v>0</v>
      </c>
    </row>
  </sheetData>
  <mergeCells count="49">
    <mergeCell ref="A7:A8"/>
    <mergeCell ref="A9:A10"/>
    <mergeCell ref="A11:A12"/>
    <mergeCell ref="A5:A6"/>
    <mergeCell ref="C1:F1"/>
    <mergeCell ref="AM1:AQ1"/>
    <mergeCell ref="AR1:AV1"/>
    <mergeCell ref="A3:A4"/>
    <mergeCell ref="U1:X1"/>
    <mergeCell ref="Y1:AB1"/>
    <mergeCell ref="G1:J1"/>
    <mergeCell ref="L1:O1"/>
    <mergeCell ref="P1:S1"/>
    <mergeCell ref="AD1:AG1"/>
    <mergeCell ref="AH1:AK1"/>
    <mergeCell ref="A13:A14"/>
    <mergeCell ref="A15:A16"/>
    <mergeCell ref="A41:A42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17:A18"/>
    <mergeCell ref="A63:A64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H62:AJ62"/>
    <mergeCell ref="Y8:AA8"/>
    <mergeCell ref="G10:I10"/>
    <mergeCell ref="G11:I11"/>
    <mergeCell ref="C74:D74"/>
    <mergeCell ref="E74:F74"/>
    <mergeCell ref="G74:H74"/>
    <mergeCell ref="I74:J74"/>
  </mergeCells>
  <pageMargins left="0.7" right="0.7" top="0.75" bottom="0.75" header="0.3" footer="0.3"/>
  <pageSetup paperSize="9" orientation="portrait" horizontalDpi="180" verticalDpi="18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2"/>
  <sheetViews>
    <sheetView zoomScale="50" zoomScaleNormal="50" workbookViewId="0">
      <pane xSplit="2" ySplit="2" topLeftCell="C43" activePane="bottomRight" state="frozen"/>
      <selection pane="topRight" activeCell="C1" sqref="C1"/>
      <selection pane="bottomLeft" activeCell="A3" sqref="A3"/>
      <selection pane="bottomRight" activeCell="H79" activeCellId="2" sqref="H76 H78 H79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7.285156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3" style="524" customWidth="1"/>
    <col min="17" max="17" width="27.28515625" style="524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2.42578125" style="524" customWidth="1"/>
    <col min="28" max="28" width="27" style="524" customWidth="1"/>
    <col min="29" max="33" width="10.7109375" style="524" customWidth="1"/>
    <col min="34" max="34" width="31.28515625" style="524" customWidth="1"/>
    <col min="35" max="35" width="18.57031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3" width="10.7109375" style="524" customWidth="1"/>
    <col min="44" max="44" width="21.140625" style="524" customWidth="1"/>
    <col min="45" max="45" width="26.28515625" style="524" customWidth="1"/>
    <col min="46" max="46" width="27.140625" style="524" customWidth="1"/>
    <col min="47" max="47" width="24.42578125" style="524" customWidth="1"/>
    <col min="48" max="48" width="26.5703125" style="524" customWidth="1"/>
    <col min="49" max="16384" width="8.85546875" style="524"/>
  </cols>
  <sheetData>
    <row r="1" spans="1:48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0"/>
      <c r="AR1" s="2252" t="s">
        <v>206</v>
      </c>
      <c r="AS1" s="2252"/>
      <c r="AT1" s="2252"/>
      <c r="AU1" s="2252"/>
      <c r="AV1" s="2253"/>
    </row>
    <row r="2" spans="1:48" ht="42.6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6" t="s">
        <v>199</v>
      </c>
      <c r="AI2" s="984" t="s">
        <v>200</v>
      </c>
      <c r="AJ2" s="984" t="s">
        <v>201</v>
      </c>
      <c r="AK2" s="984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4" t="s">
        <v>204</v>
      </c>
      <c r="AR2" s="986" t="s">
        <v>199</v>
      </c>
      <c r="AS2" s="984" t="s">
        <v>200</v>
      </c>
      <c r="AT2" s="984" t="s">
        <v>201</v>
      </c>
      <c r="AU2" s="984" t="s">
        <v>204</v>
      </c>
      <c r="AV2" s="984" t="s">
        <v>204</v>
      </c>
    </row>
    <row r="3" spans="1:48" ht="78" customHeight="1" x14ac:dyDescent="0.25">
      <c r="A3" s="2206">
        <v>45444</v>
      </c>
      <c r="B3" s="1107">
        <v>1</v>
      </c>
      <c r="C3" s="592"/>
      <c r="D3" s="593"/>
      <c r="E3" s="6"/>
      <c r="F3" s="594"/>
      <c r="G3" s="685"/>
      <c r="H3" s="619"/>
      <c r="I3" s="620"/>
      <c r="J3" s="686"/>
      <c r="K3" s="622"/>
      <c r="L3" s="612"/>
      <c r="M3" s="630"/>
      <c r="N3" s="630"/>
      <c r="O3" s="628"/>
      <c r="P3" s="629"/>
      <c r="Q3" s="699"/>
      <c r="R3" s="699"/>
      <c r="S3" s="628"/>
      <c r="T3" s="622"/>
      <c r="U3" s="612"/>
      <c r="V3" s="630"/>
      <c r="W3" s="6"/>
      <c r="X3" s="613"/>
      <c r="Y3" s="1111"/>
      <c r="Z3" s="629"/>
      <c r="AA3" s="620"/>
      <c r="AB3" s="720"/>
      <c r="AC3" s="622"/>
      <c r="AD3" s="612"/>
      <c r="AE3" s="630"/>
      <c r="AF3" s="6"/>
      <c r="AG3" s="628"/>
      <c r="AH3" s="629"/>
      <c r="AI3" s="629"/>
      <c r="AJ3" s="605"/>
      <c r="AK3" s="628"/>
      <c r="AM3" s="612"/>
      <c r="AN3" s="630"/>
      <c r="AO3" s="6"/>
      <c r="AP3" s="962"/>
      <c r="AQ3" s="628"/>
      <c r="AR3" s="629"/>
      <c r="AS3" s="648"/>
      <c r="AT3" s="605"/>
      <c r="AU3" s="962"/>
      <c r="AV3" s="628"/>
    </row>
    <row r="4" spans="1:48" ht="70.150000000000006" customHeight="1" x14ac:dyDescent="0.25">
      <c r="A4" s="2205"/>
      <c r="B4" s="574">
        <v>2</v>
      </c>
      <c r="C4" s="595"/>
      <c r="D4" s="596"/>
      <c r="E4" s="596"/>
      <c r="F4" s="597"/>
      <c r="G4" s="685"/>
      <c r="H4" s="619"/>
      <c r="I4" s="848"/>
      <c r="J4" s="687"/>
      <c r="K4" s="622"/>
      <c r="L4" s="572"/>
      <c r="M4" s="6"/>
      <c r="N4" s="6"/>
      <c r="O4" s="613"/>
      <c r="P4" s="614"/>
      <c r="Q4" s="619"/>
      <c r="R4" s="1113"/>
      <c r="S4" s="613"/>
      <c r="T4" s="622"/>
      <c r="U4" s="572"/>
      <c r="V4" s="605"/>
      <c r="W4" s="6"/>
      <c r="X4" s="613"/>
      <c r="Y4" s="1111"/>
      <c r="Z4" s="620"/>
      <c r="AA4" s="698"/>
      <c r="AB4" s="722"/>
      <c r="AC4" s="622"/>
      <c r="AD4" s="572"/>
      <c r="AE4" s="6"/>
      <c r="AF4" s="6"/>
      <c r="AG4" s="613"/>
      <c r="AH4" s="614"/>
      <c r="AI4" s="620"/>
      <c r="AJ4" s="6"/>
      <c r="AK4" s="613"/>
      <c r="AM4" s="572"/>
      <c r="AN4" s="6"/>
      <c r="AO4" s="6"/>
      <c r="AP4" s="50"/>
      <c r="AQ4" s="613"/>
      <c r="AR4" s="614"/>
      <c r="AS4" s="620"/>
      <c r="AT4" s="6"/>
      <c r="AU4" s="50"/>
      <c r="AV4" s="613"/>
    </row>
    <row r="5" spans="1:48" ht="60" customHeight="1" x14ac:dyDescent="0.25">
      <c r="A5" s="2206">
        <v>45445</v>
      </c>
      <c r="B5" s="574">
        <v>1</v>
      </c>
      <c r="C5" s="595"/>
      <c r="D5" s="596"/>
      <c r="E5" s="596"/>
      <c r="F5" s="597"/>
      <c r="G5" s="684"/>
      <c r="H5" s="684"/>
      <c r="I5" s="848"/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>
        <v>120</v>
      </c>
      <c r="X5" s="613"/>
      <c r="Y5" s="1111"/>
      <c r="Z5" s="619"/>
      <c r="AA5" s="698" t="s">
        <v>924</v>
      </c>
      <c r="AB5" s="723"/>
      <c r="AC5" s="622"/>
      <c r="AD5" s="572"/>
      <c r="AE5" s="6"/>
      <c r="AF5" s="6"/>
      <c r="AG5" s="613"/>
      <c r="AH5" s="614"/>
      <c r="AI5" s="6"/>
      <c r="AJ5" s="1036"/>
      <c r="AK5" s="613"/>
      <c r="AM5" s="572"/>
      <c r="AN5" s="6"/>
      <c r="AO5" s="6"/>
      <c r="AP5" s="50"/>
      <c r="AQ5" s="613"/>
      <c r="AR5" s="614"/>
      <c r="AS5" s="6"/>
      <c r="AT5" s="605"/>
      <c r="AU5" s="828"/>
      <c r="AV5" s="634"/>
    </row>
    <row r="6" spans="1:48" ht="80.45" customHeight="1" x14ac:dyDescent="0.25">
      <c r="A6" s="2205"/>
      <c r="B6" s="574">
        <v>2</v>
      </c>
      <c r="C6" s="595"/>
      <c r="D6" s="596"/>
      <c r="E6" s="596"/>
      <c r="F6" s="597"/>
      <c r="G6" s="685"/>
      <c r="H6" s="620"/>
      <c r="I6" s="848"/>
      <c r="J6" s="635"/>
      <c r="K6" s="622"/>
      <c r="L6" s="572"/>
      <c r="M6" s="6"/>
      <c r="N6" s="6"/>
      <c r="O6" s="613"/>
      <c r="P6" s="614"/>
      <c r="Q6" s="619"/>
      <c r="R6" s="6"/>
      <c r="S6" s="635"/>
      <c r="T6" s="622"/>
      <c r="U6" s="572">
        <v>720</v>
      </c>
      <c r="V6" s="6"/>
      <c r="W6" s="6"/>
      <c r="X6" s="613"/>
      <c r="Y6" s="1117" t="s">
        <v>925</v>
      </c>
      <c r="Z6" s="619"/>
      <c r="AA6" s="698"/>
      <c r="AB6" s="635"/>
      <c r="AC6" s="622"/>
      <c r="AD6" s="572"/>
      <c r="AE6" s="6"/>
      <c r="AF6" s="6"/>
      <c r="AG6" s="613"/>
      <c r="AH6" s="614"/>
      <c r="AI6" s="6"/>
      <c r="AJ6" s="6"/>
      <c r="AK6" s="635"/>
      <c r="AM6" s="572"/>
      <c r="AN6" s="6"/>
      <c r="AO6" s="6"/>
      <c r="AP6" s="50"/>
      <c r="AQ6" s="50"/>
      <c r="AR6" s="613"/>
      <c r="AS6" s="614"/>
      <c r="AT6" s="605"/>
      <c r="AU6" s="605"/>
      <c r="AV6" s="635"/>
    </row>
    <row r="7" spans="1:48" ht="71.45" customHeight="1" x14ac:dyDescent="0.25">
      <c r="A7" s="2206">
        <v>45446</v>
      </c>
      <c r="B7" s="574">
        <v>1</v>
      </c>
      <c r="C7" s="595"/>
      <c r="D7" s="596"/>
      <c r="E7" s="596"/>
      <c r="F7" s="597"/>
      <c r="G7" s="685"/>
      <c r="H7" s="620"/>
      <c r="I7" s="635"/>
      <c r="J7" s="635"/>
      <c r="K7" s="622"/>
      <c r="L7" s="572"/>
      <c r="M7" s="614"/>
      <c r="N7" s="6"/>
      <c r="O7" s="613"/>
      <c r="P7" s="614"/>
      <c r="Q7" s="1010"/>
      <c r="R7" s="6"/>
      <c r="S7" s="613"/>
      <c r="T7" s="622"/>
      <c r="U7" s="572">
        <v>720</v>
      </c>
      <c r="V7" s="6"/>
      <c r="W7" s="6"/>
      <c r="X7" s="613"/>
      <c r="Y7" s="1117" t="s">
        <v>925</v>
      </c>
      <c r="Z7" s="619"/>
      <c r="AA7" s="698"/>
      <c r="AB7" s="613"/>
      <c r="AC7" s="622"/>
      <c r="AD7" s="572"/>
      <c r="AE7" s="6"/>
      <c r="AF7" s="6"/>
      <c r="AG7" s="613"/>
      <c r="AH7" s="614"/>
      <c r="AI7" s="1010"/>
      <c r="AJ7" s="635"/>
      <c r="AK7" s="613"/>
      <c r="AM7" s="572"/>
      <c r="AN7" s="6"/>
      <c r="AO7" s="6"/>
      <c r="AP7" s="50"/>
      <c r="AQ7" s="50"/>
      <c r="AR7" s="613"/>
      <c r="AS7" s="614"/>
      <c r="AT7" s="1010"/>
      <c r="AU7" s="620"/>
      <c r="AV7" s="692"/>
    </row>
    <row r="8" spans="1:48" ht="69.599999999999994" customHeight="1" x14ac:dyDescent="0.25">
      <c r="A8" s="2205"/>
      <c r="B8" s="574">
        <v>2</v>
      </c>
      <c r="C8" s="595"/>
      <c r="D8" s="596"/>
      <c r="E8" s="596"/>
      <c r="F8" s="597"/>
      <c r="G8" s="684"/>
      <c r="H8" s="620"/>
      <c r="I8" s="848"/>
      <c r="J8" s="635"/>
      <c r="K8" s="622"/>
      <c r="L8" s="572">
        <v>50</v>
      </c>
      <c r="M8" s="6"/>
      <c r="N8" s="6">
        <v>50</v>
      </c>
      <c r="O8" s="613"/>
      <c r="P8" s="1117" t="s">
        <v>400</v>
      </c>
      <c r="Q8" s="6"/>
      <c r="R8" s="605" t="s">
        <v>926</v>
      </c>
      <c r="S8" s="635"/>
      <c r="T8" s="622"/>
      <c r="U8" s="572">
        <v>720</v>
      </c>
      <c r="V8" s="572"/>
      <c r="W8" s="572"/>
      <c r="X8" s="613"/>
      <c r="Y8" s="1117" t="s">
        <v>925</v>
      </c>
      <c r="Z8" s="1119"/>
      <c r="AA8" s="609"/>
      <c r="AB8" s="635"/>
      <c r="AC8" s="622"/>
      <c r="AD8" s="572"/>
      <c r="AE8" s="6"/>
      <c r="AF8" s="6"/>
      <c r="AG8" s="613"/>
      <c r="AH8" s="614"/>
      <c r="AI8" s="605"/>
      <c r="AJ8" s="620"/>
      <c r="AK8" s="635"/>
      <c r="AM8" s="572"/>
      <c r="AN8" s="6"/>
      <c r="AO8" s="6"/>
      <c r="AP8" s="50"/>
      <c r="AQ8" s="50"/>
      <c r="AR8" s="613"/>
      <c r="AS8" s="614"/>
      <c r="AT8" s="6"/>
      <c r="AU8" s="6"/>
      <c r="AV8" s="635"/>
    </row>
    <row r="9" spans="1:48" ht="76.900000000000006" customHeight="1" x14ac:dyDescent="0.25">
      <c r="A9" s="2206">
        <v>45447</v>
      </c>
      <c r="B9" s="574">
        <v>1</v>
      </c>
      <c r="C9" s="595"/>
      <c r="D9" s="596"/>
      <c r="E9" s="596"/>
      <c r="F9" s="597"/>
      <c r="G9" s="684"/>
      <c r="H9" s="619"/>
      <c r="I9" s="848"/>
      <c r="J9" s="635"/>
      <c r="K9" s="622"/>
      <c r="L9" s="572"/>
      <c r="M9" s="6"/>
      <c r="N9" s="6"/>
      <c r="O9" s="613"/>
      <c r="P9" s="1111"/>
      <c r="Q9" s="6"/>
      <c r="R9" s="605"/>
      <c r="S9" s="635"/>
      <c r="T9" s="622"/>
      <c r="U9" s="572">
        <v>720</v>
      </c>
      <c r="V9" s="6"/>
      <c r="W9" s="6"/>
      <c r="X9" s="613"/>
      <c r="Y9" s="1117" t="s">
        <v>925</v>
      </c>
      <c r="Z9" s="6"/>
      <c r="AA9" s="698"/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/>
      <c r="AN9" s="6"/>
      <c r="AO9" s="6"/>
      <c r="AP9" s="50"/>
      <c r="AQ9" s="50"/>
      <c r="AR9" s="613"/>
      <c r="AS9" s="614"/>
      <c r="AT9" s="6"/>
      <c r="AU9" s="6"/>
      <c r="AV9" s="828"/>
    </row>
    <row r="10" spans="1:48" ht="67.150000000000006" customHeight="1" x14ac:dyDescent="0.25">
      <c r="A10" s="2205"/>
      <c r="B10" s="574">
        <v>2</v>
      </c>
      <c r="C10" s="595"/>
      <c r="D10" s="595"/>
      <c r="E10" s="595"/>
      <c r="F10" s="597"/>
      <c r="G10" s="2254"/>
      <c r="H10" s="2255"/>
      <c r="I10" s="2256"/>
      <c r="J10" s="635"/>
      <c r="K10" s="622"/>
      <c r="L10" s="572"/>
      <c r="M10" s="6"/>
      <c r="N10" s="6"/>
      <c r="O10" s="613"/>
      <c r="P10" s="1111"/>
      <c r="Q10" s="6"/>
      <c r="R10" s="605"/>
      <c r="S10" s="635"/>
      <c r="T10" s="622"/>
      <c r="U10" s="572">
        <v>343</v>
      </c>
      <c r="V10" s="6"/>
      <c r="W10" s="6">
        <v>377</v>
      </c>
      <c r="X10" s="613"/>
      <c r="Y10" s="1118" t="s">
        <v>925</v>
      </c>
      <c r="Z10" s="1111"/>
      <c r="AA10" s="698" t="s">
        <v>239</v>
      </c>
      <c r="AB10" s="635"/>
      <c r="AC10" s="622"/>
      <c r="AD10" s="572"/>
      <c r="AE10" s="6"/>
      <c r="AF10" s="6"/>
      <c r="AG10" s="613"/>
      <c r="AH10" s="1111"/>
      <c r="AI10" s="605"/>
      <c r="AJ10" s="620"/>
      <c r="AK10" s="635"/>
      <c r="AM10" s="572"/>
      <c r="AN10" s="6"/>
      <c r="AO10" s="6"/>
      <c r="AP10" s="50"/>
      <c r="AQ10" s="50"/>
      <c r="AR10" s="613"/>
      <c r="AS10" s="614"/>
      <c r="AT10" s="6"/>
      <c r="AU10" s="605"/>
      <c r="AV10" s="635"/>
    </row>
    <row r="11" spans="1:48" ht="60" customHeight="1" x14ac:dyDescent="0.25">
      <c r="A11" s="2206">
        <v>45448</v>
      </c>
      <c r="B11" s="574">
        <v>1</v>
      </c>
      <c r="C11" s="595"/>
      <c r="D11" s="595">
        <v>20</v>
      </c>
      <c r="E11" s="595"/>
      <c r="F11" s="597"/>
      <c r="G11" s="1120"/>
      <c r="H11" s="1121" t="s">
        <v>553</v>
      </c>
      <c r="I11" s="1122"/>
      <c r="J11" s="687"/>
      <c r="K11" s="622"/>
      <c r="L11" s="572"/>
      <c r="M11" s="6"/>
      <c r="N11" s="6"/>
      <c r="O11" s="613"/>
      <c r="P11" s="1111"/>
      <c r="Q11" s="6"/>
      <c r="R11" s="605"/>
      <c r="S11" s="613"/>
      <c r="T11" s="622"/>
      <c r="U11" s="572"/>
      <c r="V11" s="6"/>
      <c r="W11" s="6">
        <v>720</v>
      </c>
      <c r="X11" s="613"/>
      <c r="Y11" s="1117"/>
      <c r="Z11" s="6"/>
      <c r="AA11" s="698" t="s">
        <v>239</v>
      </c>
      <c r="AB11" s="613"/>
      <c r="AC11" s="622"/>
      <c r="AD11" s="572"/>
      <c r="AE11" s="6"/>
      <c r="AF11" s="6"/>
      <c r="AG11" s="613"/>
      <c r="AH11" s="614"/>
      <c r="AI11" s="6"/>
      <c r="AJ11" s="620"/>
      <c r="AK11" s="613"/>
      <c r="AM11" s="572"/>
      <c r="AN11" s="6"/>
      <c r="AO11" s="6"/>
      <c r="AP11" s="50"/>
      <c r="AQ11" s="613"/>
      <c r="AR11" s="614"/>
      <c r="AS11" s="6"/>
      <c r="AT11" s="6"/>
      <c r="AU11" s="50"/>
      <c r="AV11" s="634"/>
    </row>
    <row r="12" spans="1:48" ht="55.15" customHeight="1" x14ac:dyDescent="0.25">
      <c r="A12" s="2205"/>
      <c r="B12" s="574">
        <v>2</v>
      </c>
      <c r="C12" s="595"/>
      <c r="D12" s="596"/>
      <c r="E12" s="596"/>
      <c r="F12" s="597"/>
      <c r="G12" s="684"/>
      <c r="H12" s="619"/>
      <c r="I12" s="848"/>
      <c r="J12" s="635"/>
      <c r="K12" s="622"/>
      <c r="L12" s="572"/>
      <c r="M12" s="6"/>
      <c r="N12" s="6"/>
      <c r="O12" s="613"/>
      <c r="P12" s="1111"/>
      <c r="Q12" s="6"/>
      <c r="R12" s="605"/>
      <c r="S12" s="635"/>
      <c r="T12" s="622"/>
      <c r="U12" s="572"/>
      <c r="V12" s="6"/>
      <c r="W12" s="6">
        <v>70</v>
      </c>
      <c r="X12" s="613"/>
      <c r="Y12" s="1111"/>
      <c r="Z12" s="6"/>
      <c r="AA12" s="698" t="s">
        <v>927</v>
      </c>
      <c r="AB12" s="635"/>
      <c r="AC12" s="622"/>
      <c r="AD12" s="572"/>
      <c r="AE12" s="6"/>
      <c r="AF12" s="6"/>
      <c r="AG12" s="613"/>
      <c r="AH12" s="614"/>
      <c r="AI12" s="605"/>
      <c r="AJ12" s="605"/>
      <c r="AK12" s="635"/>
      <c r="AM12" s="572"/>
      <c r="AN12" s="6"/>
      <c r="AO12" s="6"/>
      <c r="AP12" s="50"/>
      <c r="AQ12" s="613"/>
      <c r="AR12" s="614"/>
      <c r="AS12" s="6"/>
      <c r="AT12" s="605"/>
      <c r="AU12" s="50"/>
      <c r="AV12" s="635"/>
    </row>
    <row r="13" spans="1:48" ht="34.9" customHeight="1" x14ac:dyDescent="0.25">
      <c r="A13" s="2206">
        <v>45449</v>
      </c>
      <c r="B13" s="574">
        <v>1</v>
      </c>
      <c r="C13" s="595"/>
      <c r="D13" s="596"/>
      <c r="E13" s="596"/>
      <c r="F13" s="597"/>
      <c r="G13" s="684"/>
      <c r="H13" s="619"/>
      <c r="I13" s="848"/>
      <c r="J13" s="635"/>
      <c r="K13" s="622"/>
      <c r="L13" s="572"/>
      <c r="M13" s="6"/>
      <c r="N13" s="6"/>
      <c r="O13" s="597"/>
      <c r="P13" s="1111"/>
      <c r="Q13" s="6"/>
      <c r="R13" s="605"/>
      <c r="S13" s="635"/>
      <c r="T13" s="622"/>
      <c r="U13" s="572"/>
      <c r="V13" s="6"/>
      <c r="W13" s="6"/>
      <c r="X13" s="597"/>
      <c r="Y13" s="1111"/>
      <c r="Z13" s="605"/>
      <c r="AA13" s="698"/>
      <c r="AB13" s="635"/>
      <c r="AC13" s="622"/>
      <c r="AD13" s="572"/>
      <c r="AE13" s="6"/>
      <c r="AF13" s="6"/>
      <c r="AG13" s="597"/>
      <c r="AH13" s="614"/>
      <c r="AI13" s="6"/>
      <c r="AJ13" s="605"/>
      <c r="AK13" s="635"/>
      <c r="AM13" s="572"/>
      <c r="AN13" s="6"/>
      <c r="AO13" s="6"/>
      <c r="AP13" s="50"/>
      <c r="AQ13" s="597"/>
      <c r="AR13" s="614"/>
      <c r="AS13" s="6"/>
      <c r="AT13" s="6"/>
      <c r="AU13" s="50"/>
      <c r="AV13" s="635"/>
    </row>
    <row r="14" spans="1:48" ht="49.15" customHeight="1" x14ac:dyDescent="0.25">
      <c r="A14" s="2205"/>
      <c r="B14" s="574">
        <v>2</v>
      </c>
      <c r="C14" s="595"/>
      <c r="D14" s="596"/>
      <c r="E14" s="596"/>
      <c r="F14" s="597"/>
      <c r="G14" s="684"/>
      <c r="H14" s="620"/>
      <c r="I14" s="848"/>
      <c r="J14" s="635"/>
      <c r="K14" s="622"/>
      <c r="L14" s="572"/>
      <c r="M14" s="6"/>
      <c r="N14" s="6"/>
      <c r="O14" s="597"/>
      <c r="P14" s="614"/>
      <c r="Q14" s="6"/>
      <c r="R14" s="6"/>
      <c r="S14" s="635"/>
      <c r="T14" s="622"/>
      <c r="U14" s="572"/>
      <c r="V14" s="6"/>
      <c r="W14" s="6">
        <v>41</v>
      </c>
      <c r="X14" s="597"/>
      <c r="Y14" s="1111"/>
      <c r="Z14" s="605"/>
      <c r="AA14" s="698" t="s">
        <v>97</v>
      </c>
      <c r="AB14" s="635"/>
      <c r="AC14" s="622"/>
      <c r="AD14" s="572">
        <v>129</v>
      </c>
      <c r="AE14" s="6">
        <v>129</v>
      </c>
      <c r="AF14" s="6">
        <v>129</v>
      </c>
      <c r="AG14" s="597"/>
      <c r="AH14" s="2232" t="s">
        <v>583</v>
      </c>
      <c r="AI14" s="2233"/>
      <c r="AJ14" s="2234"/>
      <c r="AK14" s="635"/>
      <c r="AM14" s="572"/>
      <c r="AN14" s="6"/>
      <c r="AO14" s="6"/>
      <c r="AP14" s="50"/>
      <c r="AQ14" s="597"/>
      <c r="AR14" s="1111"/>
      <c r="AS14" s="6"/>
      <c r="AT14" s="698"/>
      <c r="AU14" s="50"/>
      <c r="AV14" s="635"/>
    </row>
    <row r="15" spans="1:48" ht="48" customHeight="1" x14ac:dyDescent="0.25">
      <c r="A15" s="2206">
        <v>45450</v>
      </c>
      <c r="B15" s="574">
        <v>1</v>
      </c>
      <c r="C15" s="595"/>
      <c r="D15" s="596"/>
      <c r="E15" s="6"/>
      <c r="F15" s="597"/>
      <c r="G15" s="684"/>
      <c r="H15" s="620"/>
      <c r="I15" s="848"/>
      <c r="J15" s="635"/>
      <c r="K15" s="622"/>
      <c r="L15" s="572"/>
      <c r="M15" s="6"/>
      <c r="N15" s="6"/>
      <c r="O15" s="597"/>
      <c r="P15" s="685"/>
      <c r="Q15" s="620"/>
      <c r="R15" s="620"/>
      <c r="S15" s="635"/>
      <c r="T15" s="622"/>
      <c r="U15" s="572"/>
      <c r="V15" s="6"/>
      <c r="W15" s="6"/>
      <c r="X15" s="597"/>
      <c r="Y15" s="685"/>
      <c r="Z15" s="620"/>
      <c r="AA15" s="698"/>
      <c r="AB15" s="635"/>
      <c r="AC15" s="622"/>
      <c r="AD15" s="572"/>
      <c r="AE15" s="6"/>
      <c r="AF15" s="622"/>
      <c r="AG15" s="597"/>
      <c r="AH15" s="685"/>
      <c r="AI15" s="620"/>
      <c r="AJ15" s="605"/>
      <c r="AK15" s="635"/>
      <c r="AM15" s="572"/>
      <c r="AN15" s="6"/>
      <c r="AO15" s="622"/>
      <c r="AP15" s="597"/>
      <c r="AQ15" s="685"/>
      <c r="AR15" s="620"/>
      <c r="AS15" s="620"/>
      <c r="AT15" s="620"/>
      <c r="AU15" s="635"/>
      <c r="AV15" s="635"/>
    </row>
    <row r="16" spans="1:48" ht="54.6" customHeight="1" x14ac:dyDescent="0.25">
      <c r="A16" s="2205"/>
      <c r="B16" s="574">
        <v>2</v>
      </c>
      <c r="C16" s="595">
        <v>68</v>
      </c>
      <c r="D16" s="595">
        <v>68</v>
      </c>
      <c r="E16" s="595">
        <v>88</v>
      </c>
      <c r="F16" s="597"/>
      <c r="G16" s="2257" t="s">
        <v>583</v>
      </c>
      <c r="H16" s="2258"/>
      <c r="I16" s="2259"/>
      <c r="J16" s="635"/>
      <c r="K16" s="622"/>
      <c r="L16" s="572"/>
      <c r="M16" s="6"/>
      <c r="N16" s="6"/>
      <c r="O16" s="597"/>
      <c r="P16" s="684"/>
      <c r="Q16" s="830"/>
      <c r="R16" s="620"/>
      <c r="S16" s="635"/>
      <c r="T16" s="622"/>
      <c r="U16" s="572"/>
      <c r="V16" s="6"/>
      <c r="W16" s="6"/>
      <c r="X16" s="597"/>
      <c r="Y16" s="684"/>
      <c r="Z16" s="6"/>
      <c r="AA16" s="848"/>
      <c r="AB16" s="635"/>
      <c r="AC16" s="622"/>
      <c r="AD16" s="572"/>
      <c r="AE16" s="6"/>
      <c r="AF16" s="6"/>
      <c r="AG16" s="597"/>
      <c r="AH16" s="685"/>
      <c r="AI16" s="830"/>
      <c r="AJ16" s="605"/>
      <c r="AK16" s="635"/>
      <c r="AM16" s="572"/>
      <c r="AN16" s="6"/>
      <c r="AO16" s="6"/>
      <c r="AP16" s="597"/>
      <c r="AQ16" s="684"/>
      <c r="AR16" s="830"/>
      <c r="AS16" s="620"/>
      <c r="AT16" s="620"/>
      <c r="AU16" s="692"/>
      <c r="AV16" s="635"/>
    </row>
    <row r="17" spans="1:48" ht="66" customHeight="1" x14ac:dyDescent="0.25">
      <c r="A17" s="2206">
        <v>45451</v>
      </c>
      <c r="B17" s="644">
        <v>1</v>
      </c>
      <c r="C17" s="595"/>
      <c r="D17" s="596"/>
      <c r="E17" s="596"/>
      <c r="F17" s="597"/>
      <c r="G17" s="685"/>
      <c r="H17" s="619"/>
      <c r="I17" s="848"/>
      <c r="J17" s="635"/>
      <c r="K17" s="622"/>
      <c r="L17" s="572"/>
      <c r="M17" s="6"/>
      <c r="N17" s="6"/>
      <c r="O17" s="597"/>
      <c r="P17" s="685"/>
      <c r="Q17" s="619"/>
      <c r="R17" s="620"/>
      <c r="S17" s="635"/>
      <c r="T17" s="622"/>
      <c r="U17" s="572"/>
      <c r="V17" s="6"/>
      <c r="W17" s="6">
        <v>20</v>
      </c>
      <c r="X17" s="597"/>
      <c r="Y17" s="684"/>
      <c r="Z17" s="619"/>
      <c r="AA17" s="848" t="s">
        <v>152</v>
      </c>
      <c r="AB17" s="635"/>
      <c r="AC17" s="622"/>
      <c r="AD17" s="572"/>
      <c r="AE17" s="6"/>
      <c r="AF17" s="6"/>
      <c r="AG17" s="597"/>
      <c r="AH17" s="685"/>
      <c r="AI17" s="619"/>
      <c r="AJ17" s="620"/>
      <c r="AK17" s="635"/>
      <c r="AM17" s="572"/>
      <c r="AN17" s="6"/>
      <c r="AO17" s="6"/>
      <c r="AP17" s="597"/>
      <c r="AQ17" s="685"/>
      <c r="AR17" s="619"/>
      <c r="AS17" s="620"/>
      <c r="AT17" s="698"/>
      <c r="AU17" s="635"/>
      <c r="AV17" s="635"/>
    </row>
    <row r="18" spans="1:48" ht="49.9" customHeight="1" x14ac:dyDescent="0.25">
      <c r="A18" s="2205"/>
      <c r="B18" s="574">
        <v>2</v>
      </c>
      <c r="C18" s="595"/>
      <c r="D18" s="596"/>
      <c r="E18" s="596"/>
      <c r="F18" s="597"/>
      <c r="G18" s="684"/>
      <c r="H18" s="830"/>
      <c r="I18" s="848"/>
      <c r="J18" s="635"/>
      <c r="K18" s="622"/>
      <c r="L18" s="572"/>
      <c r="M18" s="6"/>
      <c r="N18" s="6"/>
      <c r="O18" s="597"/>
      <c r="P18" s="684"/>
      <c r="Q18" s="620"/>
      <c r="R18" s="619"/>
      <c r="S18" s="635"/>
      <c r="T18" s="622"/>
      <c r="U18" s="572"/>
      <c r="V18" s="6"/>
      <c r="W18" s="596"/>
      <c r="X18" s="597"/>
      <c r="Y18" s="684"/>
      <c r="Z18" s="620"/>
      <c r="AA18" s="848"/>
      <c r="AB18" s="635"/>
      <c r="AC18" s="622"/>
      <c r="AD18" s="572"/>
      <c r="AE18" s="6"/>
      <c r="AF18" s="6"/>
      <c r="AG18" s="597"/>
      <c r="AH18" s="684"/>
      <c r="AI18" s="620"/>
      <c r="AJ18" s="619"/>
      <c r="AK18" s="635"/>
      <c r="AM18" s="572">
        <v>115</v>
      </c>
      <c r="AN18" s="6">
        <v>115</v>
      </c>
      <c r="AO18" s="6">
        <v>115</v>
      </c>
      <c r="AP18" s="50"/>
      <c r="AQ18" s="597"/>
      <c r="AR18" s="2254" t="s">
        <v>583</v>
      </c>
      <c r="AS18" s="2255"/>
      <c r="AT18" s="2256"/>
      <c r="AU18" s="830"/>
      <c r="AV18" s="635"/>
    </row>
    <row r="19" spans="1:48" ht="33.6" customHeight="1" x14ac:dyDescent="0.25">
      <c r="A19" s="2206">
        <v>45452</v>
      </c>
      <c r="B19" s="574">
        <v>1</v>
      </c>
      <c r="C19" s="622"/>
      <c r="D19" s="596"/>
      <c r="E19" s="596"/>
      <c r="F19" s="597"/>
      <c r="G19" s="567"/>
      <c r="H19" s="6"/>
      <c r="I19" s="848"/>
      <c r="J19" s="635"/>
      <c r="K19" s="622"/>
      <c r="L19" s="572"/>
      <c r="M19" s="6"/>
      <c r="N19" s="6"/>
      <c r="O19" s="597"/>
      <c r="P19" s="572"/>
      <c r="Q19" s="6"/>
      <c r="R19" s="6"/>
      <c r="S19" s="635"/>
      <c r="T19" s="622"/>
      <c r="U19" s="572"/>
      <c r="V19" s="6"/>
      <c r="W19" s="6"/>
      <c r="X19" s="597"/>
      <c r="Y19" s="572"/>
      <c r="Z19" s="605"/>
      <c r="AA19" s="848"/>
      <c r="AB19" s="635"/>
      <c r="AC19" s="622"/>
      <c r="AD19" s="572"/>
      <c r="AE19" s="6"/>
      <c r="AF19" s="6"/>
      <c r="AG19" s="597"/>
      <c r="AH19" s="572"/>
      <c r="AI19" s="6"/>
      <c r="AJ19" s="698"/>
      <c r="AK19" s="635"/>
      <c r="AM19" s="572"/>
      <c r="AN19" s="6"/>
      <c r="AO19" s="6"/>
      <c r="AP19" s="50"/>
      <c r="AQ19" s="597"/>
      <c r="AR19" s="572"/>
      <c r="AS19" s="6"/>
      <c r="AT19" s="620"/>
      <c r="AU19" s="828"/>
      <c r="AV19" s="635"/>
    </row>
    <row r="20" spans="1:48" ht="44.45" customHeight="1" x14ac:dyDescent="0.25">
      <c r="A20" s="2205"/>
      <c r="B20" s="574">
        <v>2</v>
      </c>
      <c r="C20" s="595"/>
      <c r="D20" s="596"/>
      <c r="E20" s="596"/>
      <c r="F20" s="597"/>
      <c r="G20" s="567"/>
      <c r="H20" s="1077"/>
      <c r="I20" s="848"/>
      <c r="J20" s="635"/>
      <c r="K20" s="622"/>
      <c r="L20" s="572"/>
      <c r="M20" s="6"/>
      <c r="N20" s="6"/>
      <c r="O20" s="597"/>
      <c r="P20" s="572"/>
      <c r="Q20" s="6"/>
      <c r="R20" s="724"/>
      <c r="S20" s="635"/>
      <c r="T20" s="622"/>
      <c r="U20" s="572">
        <v>75</v>
      </c>
      <c r="V20" s="6"/>
      <c r="W20" s="6"/>
      <c r="X20" s="597"/>
      <c r="Y20" s="567" t="s">
        <v>928</v>
      </c>
      <c r="Z20" s="605"/>
      <c r="AA20" s="698"/>
      <c r="AB20" s="635"/>
      <c r="AC20" s="622"/>
      <c r="AD20" s="572"/>
      <c r="AE20" s="6"/>
      <c r="AF20" s="6"/>
      <c r="AG20" s="597"/>
      <c r="AH20" s="572"/>
      <c r="AI20" s="605"/>
      <c r="AJ20" s="698"/>
      <c r="AK20" s="635"/>
      <c r="AM20" s="572"/>
      <c r="AN20" s="6"/>
      <c r="AO20" s="6"/>
      <c r="AP20" s="50"/>
      <c r="AQ20" s="597"/>
      <c r="AR20" s="572"/>
      <c r="AS20" s="605"/>
      <c r="AT20" s="605"/>
      <c r="AU20" s="1038"/>
      <c r="AV20" s="635"/>
    </row>
    <row r="21" spans="1:48" ht="39.6" customHeight="1" x14ac:dyDescent="0.25">
      <c r="A21" s="2206">
        <v>45453</v>
      </c>
      <c r="B21" s="574">
        <v>1</v>
      </c>
      <c r="C21" s="595"/>
      <c r="D21" s="596"/>
      <c r="E21" s="596"/>
      <c r="F21" s="597"/>
      <c r="G21" s="688"/>
      <c r="H21" s="619"/>
      <c r="I21" s="848"/>
      <c r="J21" s="635"/>
      <c r="K21" s="622"/>
      <c r="L21" s="572"/>
      <c r="M21" s="6"/>
      <c r="N21" s="6"/>
      <c r="O21" s="597"/>
      <c r="P21" s="572"/>
      <c r="Q21" s="6"/>
      <c r="R21" s="6"/>
      <c r="S21" s="635"/>
      <c r="T21" s="622"/>
      <c r="U21" s="572"/>
      <c r="V21" s="6"/>
      <c r="W21" s="6"/>
      <c r="X21" s="597"/>
      <c r="Y21" s="567"/>
      <c r="Z21" s="6"/>
      <c r="AA21" s="848"/>
      <c r="AB21" s="635"/>
      <c r="AC21" s="622"/>
      <c r="AD21" s="572"/>
      <c r="AE21" s="6"/>
      <c r="AF21" s="6"/>
      <c r="AG21" s="597"/>
      <c r="AH21" s="572"/>
      <c r="AI21" s="6"/>
      <c r="AJ21" s="848"/>
      <c r="AK21" s="726"/>
      <c r="AM21" s="572"/>
      <c r="AN21" s="6"/>
      <c r="AO21" s="6"/>
      <c r="AP21" s="50"/>
      <c r="AQ21" s="597"/>
      <c r="AR21" s="572"/>
      <c r="AS21" s="605"/>
      <c r="AT21" s="50"/>
      <c r="AU21" s="50"/>
      <c r="AV21" s="635"/>
    </row>
    <row r="22" spans="1:48" ht="49.9" customHeight="1" x14ac:dyDescent="0.25">
      <c r="A22" s="2205"/>
      <c r="B22" s="574">
        <v>2</v>
      </c>
      <c r="C22" s="595"/>
      <c r="D22" s="596"/>
      <c r="E22" s="596"/>
      <c r="F22" s="597"/>
      <c r="G22" s="1109"/>
      <c r="H22" s="620"/>
      <c r="I22" s="848"/>
      <c r="J22" s="635"/>
      <c r="K22" s="622"/>
      <c r="L22" s="572"/>
      <c r="M22" s="6"/>
      <c r="N22" s="6"/>
      <c r="O22" s="597"/>
      <c r="P22" s="1111"/>
      <c r="Q22" s="620"/>
      <c r="R22" s="6"/>
      <c r="S22" s="635"/>
      <c r="T22" s="622"/>
      <c r="U22" s="572"/>
      <c r="V22" s="6"/>
      <c r="W22" s="6"/>
      <c r="X22" s="597"/>
      <c r="Y22" s="567"/>
      <c r="Z22" s="620"/>
      <c r="AA22" s="698"/>
      <c r="AB22" s="635"/>
      <c r="AC22" s="622"/>
      <c r="AD22" s="572"/>
      <c r="AE22" s="6"/>
      <c r="AF22" s="6"/>
      <c r="AG22" s="597"/>
      <c r="AH22" s="572"/>
      <c r="AI22" s="6"/>
      <c r="AJ22" s="698"/>
      <c r="AK22" s="635"/>
      <c r="AM22" s="572"/>
      <c r="AN22" s="6"/>
      <c r="AO22" s="6"/>
      <c r="AP22" s="50"/>
      <c r="AQ22" s="597"/>
      <c r="AR22" s="572"/>
      <c r="AS22" s="620"/>
      <c r="AT22" s="50"/>
      <c r="AU22" s="635"/>
      <c r="AV22" s="635"/>
    </row>
    <row r="23" spans="1:48" ht="47.45" customHeight="1" x14ac:dyDescent="0.25">
      <c r="A23" s="2206">
        <v>45454</v>
      </c>
      <c r="B23" s="644">
        <v>1</v>
      </c>
      <c r="C23" s="595"/>
      <c r="D23" s="596"/>
      <c r="E23" s="596"/>
      <c r="F23" s="597"/>
      <c r="G23" s="685"/>
      <c r="H23" s="619"/>
      <c r="I23" s="848"/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/>
      <c r="V23" s="6"/>
      <c r="W23" s="6"/>
      <c r="X23" s="597"/>
      <c r="Y23" s="567"/>
      <c r="Z23" s="620"/>
      <c r="AA23" s="848"/>
      <c r="AB23" s="635"/>
      <c r="AC23" s="622"/>
      <c r="AD23" s="572"/>
      <c r="AE23" s="6"/>
      <c r="AF23" s="614"/>
      <c r="AG23" s="597"/>
      <c r="AH23" s="572"/>
      <c r="AI23" s="619"/>
      <c r="AJ23" s="620"/>
      <c r="AK23" s="635"/>
      <c r="AM23" s="572"/>
      <c r="AN23" s="6"/>
      <c r="AO23" s="6"/>
      <c r="AP23" s="50"/>
      <c r="AQ23" s="597"/>
      <c r="AR23" s="6"/>
      <c r="AS23" s="619"/>
      <c r="AT23" s="692"/>
      <c r="AU23" s="635"/>
      <c r="AV23" s="635"/>
    </row>
    <row r="24" spans="1:48" ht="49.9" customHeight="1" x14ac:dyDescent="0.25">
      <c r="A24" s="2205"/>
      <c r="B24" s="574">
        <v>2</v>
      </c>
      <c r="C24" s="595"/>
      <c r="D24" s="596"/>
      <c r="E24" s="596"/>
      <c r="F24" s="597"/>
      <c r="G24" s="685"/>
      <c r="H24" s="620"/>
      <c r="I24" s="848"/>
      <c r="J24" s="635"/>
      <c r="K24" s="622"/>
      <c r="L24" s="572"/>
      <c r="M24" s="6"/>
      <c r="N24" s="6"/>
      <c r="O24" s="597"/>
      <c r="P24" s="685"/>
      <c r="Q24" s="619"/>
      <c r="R24" s="620"/>
      <c r="S24" s="635"/>
      <c r="T24" s="622"/>
      <c r="U24" s="6">
        <v>81</v>
      </c>
      <c r="V24" s="597"/>
      <c r="W24" s="685"/>
      <c r="X24" s="619"/>
      <c r="Y24" s="848" t="s">
        <v>933</v>
      </c>
      <c r="Z24" s="619"/>
      <c r="AA24" s="848"/>
      <c r="AB24" s="635"/>
      <c r="AC24" s="622"/>
      <c r="AD24" s="572">
        <v>80</v>
      </c>
      <c r="AE24" s="6"/>
      <c r="AF24" s="614"/>
      <c r="AG24" s="597"/>
      <c r="AH24" s="848" t="s">
        <v>929</v>
      </c>
      <c r="AI24" s="619"/>
      <c r="AJ24" s="620"/>
      <c r="AK24" s="635"/>
      <c r="AM24" s="572"/>
      <c r="AN24" s="6"/>
      <c r="AO24" s="6">
        <v>15</v>
      </c>
      <c r="AP24" s="597"/>
      <c r="AQ24" s="685"/>
      <c r="AR24" s="619"/>
      <c r="AS24" s="619"/>
      <c r="AT24" s="635" t="s">
        <v>97</v>
      </c>
      <c r="AU24" s="635"/>
      <c r="AV24" s="635"/>
    </row>
    <row r="25" spans="1:48" ht="53.45" customHeight="1" x14ac:dyDescent="0.25">
      <c r="A25" s="2206">
        <v>45455</v>
      </c>
      <c r="B25" s="574">
        <v>1</v>
      </c>
      <c r="C25" s="595"/>
      <c r="D25" s="596"/>
      <c r="E25" s="596"/>
      <c r="F25" s="597"/>
      <c r="G25" s="685"/>
      <c r="H25" s="619"/>
      <c r="I25" s="848"/>
      <c r="J25" s="635"/>
      <c r="K25" s="622"/>
      <c r="L25" s="572"/>
      <c r="M25" s="6"/>
      <c r="N25" s="6"/>
      <c r="O25" s="597"/>
      <c r="P25" s="572"/>
      <c r="Q25" s="619"/>
      <c r="R25" s="6"/>
      <c r="S25" s="635"/>
      <c r="T25" s="622"/>
      <c r="U25" s="572"/>
      <c r="V25" s="6"/>
      <c r="W25" s="6"/>
      <c r="X25" s="597"/>
      <c r="Y25" s="567"/>
      <c r="Z25" s="605"/>
      <c r="AA25" s="698"/>
      <c r="AB25" s="635"/>
      <c r="AC25" s="622"/>
      <c r="AD25" s="572"/>
      <c r="AE25" s="6"/>
      <c r="AF25" s="6"/>
      <c r="AG25" s="597"/>
      <c r="AH25" s="6"/>
      <c r="AI25" s="605"/>
      <c r="AJ25" s="620"/>
      <c r="AK25" s="726"/>
      <c r="AM25" s="572"/>
      <c r="AN25" s="6"/>
      <c r="AO25" s="6"/>
      <c r="AP25" s="50"/>
      <c r="AQ25" s="597"/>
      <c r="AR25" s="6"/>
      <c r="AS25" s="6"/>
      <c r="AT25" s="50"/>
      <c r="AU25" s="50"/>
      <c r="AV25" s="635"/>
    </row>
    <row r="26" spans="1:48" ht="42" customHeight="1" x14ac:dyDescent="0.25">
      <c r="A26" s="2205"/>
      <c r="B26" s="574">
        <v>2</v>
      </c>
      <c r="C26" s="595"/>
      <c r="D26" s="596"/>
      <c r="E26" s="596"/>
      <c r="F26" s="597"/>
      <c r="G26" s="685"/>
      <c r="H26" s="620"/>
      <c r="I26" s="848"/>
      <c r="J26" s="635"/>
      <c r="K26" s="622"/>
      <c r="L26" s="572"/>
      <c r="M26" s="6"/>
      <c r="N26" s="6"/>
      <c r="O26" s="597"/>
      <c r="P26" s="685"/>
      <c r="Q26" s="620"/>
      <c r="R26" s="692"/>
      <c r="S26" s="635"/>
      <c r="T26" s="622"/>
      <c r="U26" s="572">
        <v>78</v>
      </c>
      <c r="V26" s="596"/>
      <c r="W26" s="6"/>
      <c r="X26" s="597"/>
      <c r="Y26" s="848" t="s">
        <v>930</v>
      </c>
      <c r="Z26" s="620"/>
      <c r="AA26" s="698"/>
      <c r="AB26" s="635"/>
      <c r="AC26" s="622"/>
      <c r="AD26" s="572">
        <v>296</v>
      </c>
      <c r="AE26" s="596"/>
      <c r="AF26" s="6"/>
      <c r="AG26" s="597"/>
      <c r="AH26" s="848" t="s">
        <v>929</v>
      </c>
      <c r="AI26" s="620"/>
      <c r="AJ26" s="692"/>
      <c r="AK26" s="635"/>
      <c r="AM26" s="572"/>
      <c r="AN26" s="596"/>
      <c r="AO26" s="6"/>
      <c r="AP26" s="967"/>
      <c r="AQ26" s="597"/>
      <c r="AR26" s="685"/>
      <c r="AS26" s="620"/>
      <c r="AT26" s="692"/>
      <c r="AU26" s="635"/>
      <c r="AV26" s="635"/>
    </row>
    <row r="27" spans="1:48" ht="49.9" customHeight="1" x14ac:dyDescent="0.25">
      <c r="A27" s="2206">
        <v>45456</v>
      </c>
      <c r="B27" s="644">
        <v>1</v>
      </c>
      <c r="C27" s="595"/>
      <c r="D27" s="596"/>
      <c r="E27" s="596"/>
      <c r="F27" s="597"/>
      <c r="G27" s="685"/>
      <c r="H27" s="619"/>
      <c r="I27" s="692"/>
      <c r="J27" s="635"/>
      <c r="K27" s="622"/>
      <c r="L27" s="572"/>
      <c r="M27" s="6"/>
      <c r="N27" s="6"/>
      <c r="O27" s="597"/>
      <c r="P27" s="685"/>
      <c r="Q27" s="619"/>
      <c r="R27" s="620"/>
      <c r="S27" s="635"/>
      <c r="T27" s="622"/>
      <c r="U27" s="572"/>
      <c r="V27" s="6"/>
      <c r="W27" s="6"/>
      <c r="X27" s="597"/>
      <c r="Y27" s="685"/>
      <c r="Z27" s="620"/>
      <c r="AA27" s="698"/>
      <c r="AB27" s="635"/>
      <c r="AC27" s="622"/>
      <c r="AD27" s="572"/>
      <c r="AE27" s="6">
        <v>20</v>
      </c>
      <c r="AF27" s="6"/>
      <c r="AG27" s="597"/>
      <c r="AH27" s="685"/>
      <c r="AI27" s="605" t="s">
        <v>931</v>
      </c>
      <c r="AJ27" s="620"/>
      <c r="AK27" s="635"/>
      <c r="AM27" s="572"/>
      <c r="AN27" s="6"/>
      <c r="AO27" s="6"/>
      <c r="AP27" s="50"/>
      <c r="AQ27" s="597"/>
      <c r="AR27" s="605"/>
      <c r="AS27" s="6"/>
      <c r="AT27" s="692"/>
      <c r="AU27" s="635"/>
      <c r="AV27" s="635"/>
    </row>
    <row r="28" spans="1:48" ht="72" customHeight="1" x14ac:dyDescent="0.25">
      <c r="A28" s="2205"/>
      <c r="B28" s="574">
        <v>2</v>
      </c>
      <c r="C28" s="595">
        <v>115</v>
      </c>
      <c r="D28" s="596"/>
      <c r="E28" s="596"/>
      <c r="F28" s="597"/>
      <c r="G28" s="620" t="s">
        <v>932</v>
      </c>
      <c r="H28" s="620"/>
      <c r="I28" s="692"/>
      <c r="J28" s="635"/>
      <c r="K28" s="622"/>
      <c r="L28" s="572"/>
      <c r="M28" s="6"/>
      <c r="N28" s="6"/>
      <c r="O28" s="597"/>
      <c r="P28" s="620"/>
      <c r="Q28" s="620"/>
      <c r="R28" s="620"/>
      <c r="S28" s="635"/>
      <c r="T28" s="622"/>
      <c r="U28" s="572"/>
      <c r="V28" s="6"/>
      <c r="W28" s="622"/>
      <c r="X28" s="597"/>
      <c r="Y28" s="620"/>
      <c r="Z28" s="6"/>
      <c r="AA28" s="698"/>
      <c r="AB28" s="635"/>
      <c r="AC28" s="622"/>
      <c r="AD28" s="572"/>
      <c r="AE28" s="6"/>
      <c r="AF28" s="6"/>
      <c r="AG28" s="597"/>
      <c r="AH28" s="685"/>
      <c r="AI28" s="605"/>
      <c r="AJ28" s="692"/>
      <c r="AK28" s="635"/>
      <c r="AM28" s="572"/>
      <c r="AN28" s="6"/>
      <c r="AO28" s="6"/>
      <c r="AP28" s="50"/>
      <c r="AQ28" s="597"/>
      <c r="AR28" s="605"/>
      <c r="AS28" s="6"/>
      <c r="AT28" s="692"/>
      <c r="AU28" s="635"/>
      <c r="AV28" s="634"/>
    </row>
    <row r="29" spans="1:48" ht="66" customHeight="1" x14ac:dyDescent="0.25">
      <c r="A29" s="2206">
        <v>45457</v>
      </c>
      <c r="B29" s="574">
        <v>1</v>
      </c>
      <c r="C29" s="595"/>
      <c r="D29" s="596"/>
      <c r="E29" s="596"/>
      <c r="F29" s="597"/>
      <c r="G29" s="620"/>
      <c r="H29" s="619"/>
      <c r="I29" s="692"/>
      <c r="J29" s="635"/>
      <c r="K29" s="622"/>
      <c r="L29" s="572"/>
      <c r="M29" s="6"/>
      <c r="N29" s="6"/>
      <c r="O29" s="597"/>
      <c r="P29" s="685"/>
      <c r="Q29" s="620"/>
      <c r="R29" s="620"/>
      <c r="S29" s="635"/>
      <c r="T29" s="622"/>
      <c r="U29" s="572"/>
      <c r="V29" s="6"/>
      <c r="W29" s="6"/>
      <c r="X29" s="597"/>
      <c r="Y29" s="620"/>
      <c r="Z29" s="619"/>
      <c r="AA29" s="698"/>
      <c r="AB29" s="635"/>
      <c r="AC29" s="622"/>
      <c r="AD29" s="572"/>
      <c r="AE29" s="6"/>
      <c r="AF29" s="6"/>
      <c r="AG29" s="597"/>
      <c r="AH29" s="685"/>
      <c r="AI29" s="619"/>
      <c r="AJ29" s="620"/>
      <c r="AK29" s="635"/>
      <c r="AM29" s="572"/>
      <c r="AN29" s="6"/>
      <c r="AO29" s="6"/>
      <c r="AP29" s="50"/>
      <c r="AQ29" s="597"/>
      <c r="AR29" s="605"/>
      <c r="AS29" s="619"/>
      <c r="AT29" s="620"/>
      <c r="AU29" s="635"/>
      <c r="AV29" s="613"/>
    </row>
    <row r="30" spans="1:48" ht="39.6" customHeight="1" x14ac:dyDescent="0.25">
      <c r="A30" s="2205"/>
      <c r="B30" s="644">
        <v>2</v>
      </c>
      <c r="C30" s="595"/>
      <c r="D30" s="596"/>
      <c r="E30" s="596"/>
      <c r="F30" s="597"/>
      <c r="G30" s="620"/>
      <c r="H30" s="619"/>
      <c r="I30" s="692"/>
      <c r="J30" s="635"/>
      <c r="K30" s="622"/>
      <c r="L30" s="572"/>
      <c r="M30" s="6"/>
      <c r="N30" s="6"/>
      <c r="O30" s="597"/>
      <c r="P30" s="685"/>
      <c r="Q30" s="620"/>
      <c r="R30" s="620"/>
      <c r="S30" s="635"/>
      <c r="T30" s="622"/>
      <c r="U30" s="572"/>
      <c r="V30" s="6">
        <v>21</v>
      </c>
      <c r="W30" s="6"/>
      <c r="X30" s="597"/>
      <c r="Y30" s="620"/>
      <c r="Z30" s="619" t="s">
        <v>601</v>
      </c>
      <c r="AA30" s="698"/>
      <c r="AB30" s="635"/>
      <c r="AC30" s="622"/>
      <c r="AD30" s="572"/>
      <c r="AE30" s="6"/>
      <c r="AF30" s="6"/>
      <c r="AG30" s="597"/>
      <c r="AH30" s="685"/>
      <c r="AI30" s="620"/>
      <c r="AJ30" s="620"/>
      <c r="AK30" s="635"/>
      <c r="AM30" s="572"/>
      <c r="AN30" s="6"/>
      <c r="AO30" s="6"/>
      <c r="AP30" s="50"/>
      <c r="AQ30" s="597"/>
      <c r="AR30" s="1111"/>
      <c r="AS30" s="605"/>
      <c r="AT30" s="828"/>
      <c r="AU30" s="635"/>
      <c r="AV30" s="613"/>
    </row>
    <row r="31" spans="1:48" ht="39.6" customHeight="1" x14ac:dyDescent="0.25">
      <c r="A31" s="2206">
        <v>45458</v>
      </c>
      <c r="B31" s="574">
        <v>1</v>
      </c>
      <c r="C31" s="595"/>
      <c r="D31" s="596"/>
      <c r="E31" s="596"/>
      <c r="F31" s="597"/>
      <c r="G31" s="685"/>
      <c r="H31" s="620"/>
      <c r="I31" s="620"/>
      <c r="J31" s="635"/>
      <c r="K31" s="622"/>
      <c r="L31" s="572"/>
      <c r="M31" s="6"/>
      <c r="N31" s="6"/>
      <c r="O31" s="597"/>
      <c r="P31" s="614"/>
      <c r="Q31" s="6"/>
      <c r="R31" s="6"/>
      <c r="S31" s="635"/>
      <c r="T31" s="622"/>
      <c r="U31" s="572"/>
      <c r="V31" s="6"/>
      <c r="W31" s="6">
        <v>15</v>
      </c>
      <c r="X31" s="597"/>
      <c r="Y31" s="1111"/>
      <c r="Z31" s="6"/>
      <c r="AA31" s="698" t="s">
        <v>325</v>
      </c>
      <c r="AB31" s="635"/>
      <c r="AC31" s="622"/>
      <c r="AD31" s="572"/>
      <c r="AE31" s="6"/>
      <c r="AF31" s="6"/>
      <c r="AG31" s="597"/>
      <c r="AH31" s="685"/>
      <c r="AI31" s="6"/>
      <c r="AJ31" s="6"/>
      <c r="AK31" s="635"/>
      <c r="AM31" s="572"/>
      <c r="AN31" s="6"/>
      <c r="AO31" s="6"/>
      <c r="AP31" s="50"/>
      <c r="AQ31" s="597"/>
      <c r="AR31" s="614"/>
      <c r="AS31" s="6"/>
      <c r="AT31" s="6"/>
      <c r="AU31" s="635"/>
      <c r="AV31" s="635"/>
    </row>
    <row r="32" spans="1:48" ht="63" customHeight="1" x14ac:dyDescent="0.25">
      <c r="A32" s="2205"/>
      <c r="B32" s="574">
        <v>2</v>
      </c>
      <c r="C32" s="595"/>
      <c r="D32" s="596"/>
      <c r="E32" s="596"/>
      <c r="F32" s="597"/>
      <c r="G32" s="685"/>
      <c r="H32" s="684"/>
      <c r="I32" s="692"/>
      <c r="J32" s="635"/>
      <c r="K32" s="622"/>
      <c r="L32" s="572"/>
      <c r="M32" s="6"/>
      <c r="N32" s="6"/>
      <c r="O32" s="597"/>
      <c r="P32" s="614"/>
      <c r="Q32" s="6"/>
      <c r="R32" s="6"/>
      <c r="S32" s="635"/>
      <c r="T32" s="622"/>
      <c r="U32" s="572"/>
      <c r="V32" s="6"/>
      <c r="W32" s="596"/>
      <c r="X32" s="597"/>
      <c r="Y32" s="685"/>
      <c r="Z32" s="685"/>
      <c r="AA32" s="698"/>
      <c r="AB32" s="635"/>
      <c r="AC32" s="622"/>
      <c r="AD32" s="572"/>
      <c r="AE32" s="6"/>
      <c r="AF32" s="596"/>
      <c r="AG32" s="597"/>
      <c r="AH32" s="685"/>
      <c r="AI32" s="685"/>
      <c r="AJ32" s="698"/>
      <c r="AK32" s="635"/>
      <c r="AM32" s="572"/>
      <c r="AN32" s="6"/>
      <c r="AO32" s="6"/>
      <c r="AP32" s="50"/>
      <c r="AQ32" s="597"/>
      <c r="AR32" s="614"/>
      <c r="AS32" s="605"/>
      <c r="AT32" s="684"/>
      <c r="AU32" s="635"/>
      <c r="AV32" s="613"/>
    </row>
    <row r="33" spans="1:48" ht="43.15" customHeight="1" x14ac:dyDescent="0.25">
      <c r="A33" s="2206">
        <v>45459</v>
      </c>
      <c r="B33" s="574">
        <v>1</v>
      </c>
      <c r="C33" s="595"/>
      <c r="D33" s="596"/>
      <c r="E33" s="596"/>
      <c r="F33" s="597"/>
      <c r="G33" s="685"/>
      <c r="H33" s="620"/>
      <c r="I33" s="698"/>
      <c r="J33" s="635"/>
      <c r="K33" s="622"/>
      <c r="L33" s="572"/>
      <c r="M33" s="6"/>
      <c r="N33" s="6"/>
      <c r="O33" s="597"/>
      <c r="P33" s="614"/>
      <c r="Q33" s="6"/>
      <c r="R33" s="6"/>
      <c r="S33" s="635"/>
      <c r="T33" s="622"/>
      <c r="U33" s="572"/>
      <c r="V33" s="6"/>
      <c r="W33" s="6"/>
      <c r="X33" s="597"/>
      <c r="Y33" s="614"/>
      <c r="Z33" s="6"/>
      <c r="AA33" s="698"/>
      <c r="AB33" s="635"/>
      <c r="AC33" s="622"/>
      <c r="AD33" s="572"/>
      <c r="AE33" s="6"/>
      <c r="AF33" s="6"/>
      <c r="AG33" s="597"/>
      <c r="AH33" s="614"/>
      <c r="AI33" s="605"/>
      <c r="AJ33" s="698"/>
      <c r="AK33" s="635"/>
      <c r="AM33" s="572"/>
      <c r="AN33" s="6"/>
      <c r="AO33" s="6"/>
      <c r="AP33" s="50"/>
      <c r="AQ33" s="597"/>
      <c r="AR33" s="614"/>
      <c r="AS33" s="605"/>
      <c r="AT33" s="6"/>
      <c r="AU33" s="635"/>
      <c r="AV33" s="613"/>
    </row>
    <row r="34" spans="1:48" ht="67.900000000000006" customHeight="1" x14ac:dyDescent="0.25">
      <c r="A34" s="2205"/>
      <c r="B34" s="644">
        <v>2</v>
      </c>
      <c r="C34" s="596"/>
      <c r="D34" s="596"/>
      <c r="E34" s="596">
        <v>18</v>
      </c>
      <c r="F34" s="829"/>
      <c r="G34" s="684"/>
      <c r="H34" s="620"/>
      <c r="I34" s="698" t="s">
        <v>97</v>
      </c>
      <c r="J34" s="635"/>
      <c r="K34" s="622"/>
      <c r="L34" s="572"/>
      <c r="M34" s="6"/>
      <c r="N34" s="6"/>
      <c r="O34" s="613"/>
      <c r="P34" s="614"/>
      <c r="Q34" s="620"/>
      <c r="R34" s="6"/>
      <c r="S34" s="635"/>
      <c r="T34" s="622"/>
      <c r="U34" s="572"/>
      <c r="V34" s="6"/>
      <c r="W34" s="6"/>
      <c r="X34" s="613"/>
      <c r="Y34" s="605"/>
      <c r="Z34" s="605"/>
      <c r="AA34" s="698"/>
      <c r="AB34" s="635"/>
      <c r="AC34" s="622"/>
      <c r="AD34" s="572"/>
      <c r="AE34" s="6"/>
      <c r="AF34" s="6"/>
      <c r="AG34" s="613"/>
      <c r="AH34" s="614"/>
      <c r="AI34" s="6"/>
      <c r="AJ34" s="605"/>
      <c r="AK34" s="635"/>
      <c r="AM34" s="572"/>
      <c r="AN34" s="6"/>
      <c r="AO34" s="6"/>
      <c r="AP34" s="50"/>
      <c r="AQ34" s="613"/>
      <c r="AR34" s="614"/>
      <c r="AS34" s="6"/>
      <c r="AT34" s="828"/>
      <c r="AU34" s="635"/>
      <c r="AV34" s="613"/>
    </row>
    <row r="35" spans="1:48" ht="51" customHeight="1" x14ac:dyDescent="0.25">
      <c r="A35" s="2206">
        <v>45460</v>
      </c>
      <c r="B35" s="574">
        <v>1</v>
      </c>
      <c r="C35" s="596"/>
      <c r="D35" s="596"/>
      <c r="E35" s="50"/>
      <c r="F35" s="828"/>
      <c r="G35" s="567"/>
      <c r="H35" s="614"/>
      <c r="I35" s="692"/>
      <c r="J35" s="687"/>
      <c r="K35" s="622"/>
      <c r="L35" s="572"/>
      <c r="M35" s="6"/>
      <c r="N35" s="6"/>
      <c r="O35" s="613"/>
      <c r="P35" s="567"/>
      <c r="Q35" s="1115"/>
      <c r="R35" s="620"/>
      <c r="S35" s="635"/>
      <c r="T35" s="622"/>
      <c r="U35" s="572"/>
      <c r="V35" s="6">
        <v>13</v>
      </c>
      <c r="W35" s="50"/>
      <c r="X35" s="634"/>
      <c r="Y35" s="567"/>
      <c r="Z35" s="605" t="s">
        <v>935</v>
      </c>
      <c r="AA35" s="698"/>
      <c r="AB35" s="613"/>
      <c r="AC35" s="622"/>
      <c r="AD35" s="572"/>
      <c r="AE35" s="6"/>
      <c r="AF35" s="6"/>
      <c r="AG35" s="1111"/>
      <c r="AH35" s="567"/>
      <c r="AI35" s="6"/>
      <c r="AJ35" s="684"/>
      <c r="AK35" s="613"/>
      <c r="AM35" s="572"/>
      <c r="AN35" s="6"/>
      <c r="AO35" s="50"/>
      <c r="AP35" s="50"/>
      <c r="AQ35" s="634"/>
      <c r="AR35" s="567"/>
      <c r="AS35" s="692"/>
      <c r="AT35" s="828"/>
      <c r="AU35" s="828"/>
      <c r="AV35" s="613"/>
    </row>
    <row r="36" spans="1:48" ht="46.9" customHeight="1" x14ac:dyDescent="0.25">
      <c r="A36" s="2205"/>
      <c r="B36" s="574">
        <v>2</v>
      </c>
      <c r="C36" s="50"/>
      <c r="D36" s="6"/>
      <c r="E36" s="50"/>
      <c r="F36" s="828"/>
      <c r="G36" s="692"/>
      <c r="H36" s="620"/>
      <c r="I36" s="848"/>
      <c r="J36" s="635"/>
      <c r="K36" s="622"/>
      <c r="L36" s="567"/>
      <c r="M36" s="6"/>
      <c r="N36" s="6"/>
      <c r="O36" s="1111"/>
      <c r="P36" s="567"/>
      <c r="Q36" s="620"/>
      <c r="R36" s="605"/>
      <c r="S36" s="635"/>
      <c r="T36" s="622"/>
      <c r="U36" s="572"/>
      <c r="V36" s="6"/>
      <c r="W36" s="6"/>
      <c r="X36" s="1111"/>
      <c r="Y36" s="567"/>
      <c r="Z36" s="620"/>
      <c r="AA36" s="698"/>
      <c r="AB36" s="613"/>
      <c r="AC36" s="622"/>
      <c r="AD36" s="572"/>
      <c r="AE36" s="6"/>
      <c r="AF36" s="50"/>
      <c r="AG36" s="634"/>
      <c r="AH36" s="567"/>
      <c r="AI36" s="605"/>
      <c r="AJ36" s="698"/>
      <c r="AK36" s="613"/>
      <c r="AM36" s="572"/>
      <c r="AN36" s="6"/>
      <c r="AO36" s="572"/>
      <c r="AP36" s="6"/>
      <c r="AQ36" s="6"/>
      <c r="AR36" s="614"/>
      <c r="AS36" s="1111"/>
      <c r="AT36" s="567"/>
      <c r="AU36" s="828"/>
      <c r="AV36" s="613"/>
    </row>
    <row r="37" spans="1:48" ht="59.45" customHeight="1" x14ac:dyDescent="0.25">
      <c r="A37" s="2206">
        <v>45461</v>
      </c>
      <c r="B37" s="644">
        <v>1</v>
      </c>
      <c r="C37" s="50"/>
      <c r="D37" s="596"/>
      <c r="E37" s="50"/>
      <c r="F37" s="50"/>
      <c r="G37" s="692"/>
      <c r="H37" s="1111"/>
      <c r="I37" s="848"/>
      <c r="J37" s="635"/>
      <c r="K37" s="622"/>
      <c r="L37" s="572"/>
      <c r="M37" s="6"/>
      <c r="N37" s="6"/>
      <c r="O37" s="727"/>
      <c r="P37" s="614"/>
      <c r="Q37" s="6"/>
      <c r="R37" s="6"/>
      <c r="S37" s="613"/>
      <c r="T37" s="622"/>
      <c r="U37" s="572"/>
      <c r="V37" s="6"/>
      <c r="W37" s="6">
        <v>9</v>
      </c>
      <c r="X37" s="613"/>
      <c r="Y37" s="614"/>
      <c r="Z37" s="605"/>
      <c r="AA37" s="698" t="s">
        <v>152</v>
      </c>
      <c r="AB37" s="635"/>
      <c r="AC37" s="622"/>
      <c r="AD37" s="572"/>
      <c r="AE37" s="6"/>
      <c r="AF37" s="6"/>
      <c r="AG37" s="613"/>
      <c r="AH37" s="1111"/>
      <c r="AI37" s="6"/>
      <c r="AJ37" s="698"/>
      <c r="AK37" s="613"/>
      <c r="AM37" s="572"/>
      <c r="AN37" s="6"/>
      <c r="AO37" s="6"/>
      <c r="AP37" s="50"/>
      <c r="AQ37" s="613"/>
      <c r="AR37" s="614"/>
      <c r="AS37" s="6"/>
      <c r="AT37" s="6"/>
      <c r="AU37" s="50"/>
      <c r="AV37" s="613"/>
    </row>
    <row r="38" spans="1:48" ht="55.9" customHeight="1" x14ac:dyDescent="0.25">
      <c r="A38" s="2205"/>
      <c r="B38" s="574">
        <v>2</v>
      </c>
      <c r="C38" s="50"/>
      <c r="D38" s="596"/>
      <c r="E38" s="50"/>
      <c r="F38" s="829"/>
      <c r="G38" s="692"/>
      <c r="H38" s="1111"/>
      <c r="I38" s="848"/>
      <c r="J38" s="635"/>
      <c r="K38" s="622"/>
      <c r="L38" s="572"/>
      <c r="M38" s="6"/>
      <c r="N38" s="6"/>
      <c r="O38" s="613"/>
      <c r="P38" s="1111"/>
      <c r="Q38" s="1111"/>
      <c r="R38" s="6"/>
      <c r="S38" s="635"/>
      <c r="T38" s="622"/>
      <c r="U38" s="572"/>
      <c r="V38" s="6"/>
      <c r="W38" s="6"/>
      <c r="X38" s="613"/>
      <c r="Y38" s="1111"/>
      <c r="Z38" s="605"/>
      <c r="AA38" s="698"/>
      <c r="AB38" s="635"/>
      <c r="AC38" s="622"/>
      <c r="AD38" s="572"/>
      <c r="AE38" s="6"/>
      <c r="AF38" s="6"/>
      <c r="AG38" s="613"/>
      <c r="AH38" s="1111"/>
      <c r="AI38" s="6"/>
      <c r="AJ38" s="698"/>
      <c r="AK38" s="635"/>
      <c r="AM38" s="572"/>
      <c r="AN38" s="6"/>
      <c r="AO38" s="6"/>
      <c r="AP38" s="50"/>
      <c r="AQ38" s="613"/>
      <c r="AR38" s="1111"/>
      <c r="AS38" s="6"/>
      <c r="AT38" s="567"/>
      <c r="AU38" s="828"/>
      <c r="AV38" s="635"/>
    </row>
    <row r="39" spans="1:48" ht="70.900000000000006" customHeight="1" x14ac:dyDescent="0.25">
      <c r="A39" s="2206">
        <v>45462</v>
      </c>
      <c r="B39" s="574">
        <v>1</v>
      </c>
      <c r="C39" s="50"/>
      <c r="D39" s="596"/>
      <c r="E39" s="50"/>
      <c r="F39" s="829"/>
      <c r="G39" s="692"/>
      <c r="H39" s="1111"/>
      <c r="I39" s="848"/>
      <c r="J39" s="635"/>
      <c r="K39" s="622"/>
      <c r="L39" s="572"/>
      <c r="M39" s="6"/>
      <c r="N39" s="6"/>
      <c r="O39" s="597"/>
      <c r="P39" s="692"/>
      <c r="Q39" s="619"/>
      <c r="R39" s="692"/>
      <c r="S39" s="635"/>
      <c r="T39" s="622"/>
      <c r="U39" s="572"/>
      <c r="V39" s="6"/>
      <c r="W39" s="6"/>
      <c r="X39" s="597"/>
      <c r="Y39" s="614"/>
      <c r="Z39" s="619"/>
      <c r="AA39" s="698"/>
      <c r="AB39" s="635"/>
      <c r="AC39" s="622"/>
      <c r="AD39" s="572"/>
      <c r="AE39" s="6"/>
      <c r="AF39" s="6"/>
      <c r="AG39" s="597"/>
      <c r="AH39" s="692"/>
      <c r="AI39" s="619"/>
      <c r="AJ39" s="692"/>
      <c r="AK39" s="635"/>
      <c r="AM39" s="572"/>
      <c r="AN39" s="6"/>
      <c r="AO39" s="6"/>
      <c r="AP39" s="597"/>
      <c r="AQ39" s="692"/>
      <c r="AR39" s="619"/>
      <c r="AS39" s="692"/>
      <c r="AT39" s="635"/>
      <c r="AU39" s="635"/>
      <c r="AV39" s="687"/>
    </row>
    <row r="40" spans="1:48" ht="72.599999999999994" customHeight="1" x14ac:dyDescent="0.25">
      <c r="A40" s="2205"/>
      <c r="B40" s="574">
        <v>2</v>
      </c>
      <c r="C40" s="596"/>
      <c r="D40" s="596"/>
      <c r="E40" s="596"/>
      <c r="F40" s="613"/>
      <c r="G40" s="692"/>
      <c r="H40" s="620"/>
      <c r="I40" s="848"/>
      <c r="J40" s="635"/>
      <c r="K40" s="622"/>
      <c r="L40" s="572"/>
      <c r="M40" s="6"/>
      <c r="N40" s="6"/>
      <c r="O40" s="613"/>
      <c r="P40" s="685"/>
      <c r="Q40" s="619"/>
      <c r="R40" s="692"/>
      <c r="S40" s="635"/>
      <c r="T40" s="622"/>
      <c r="U40" s="572"/>
      <c r="V40" s="6"/>
      <c r="W40" s="6"/>
      <c r="X40" s="613"/>
      <c r="Y40" s="685"/>
      <c r="Z40" s="619"/>
      <c r="AA40" s="684"/>
      <c r="AB40" s="635"/>
      <c r="AC40" s="622"/>
      <c r="AD40" s="572"/>
      <c r="AE40" s="6"/>
      <c r="AF40" s="6"/>
      <c r="AG40" s="613"/>
      <c r="AH40" s="567"/>
      <c r="AI40" s="620"/>
      <c r="AJ40" s="692"/>
      <c r="AK40" s="635"/>
      <c r="AM40" s="567"/>
      <c r="AN40" s="6"/>
      <c r="AO40" s="6"/>
      <c r="AP40" s="50"/>
      <c r="AQ40" s="613"/>
      <c r="AR40" s="685"/>
      <c r="AS40" s="619"/>
      <c r="AT40" s="692"/>
      <c r="AU40" s="635"/>
      <c r="AV40" s="635"/>
    </row>
    <row r="41" spans="1:48" ht="39.6" customHeight="1" x14ac:dyDescent="0.25">
      <c r="A41" s="2206">
        <v>45463</v>
      </c>
      <c r="B41" s="574">
        <v>1</v>
      </c>
      <c r="C41" s="595"/>
      <c r="D41" s="596"/>
      <c r="E41" s="596"/>
      <c r="F41" s="613"/>
      <c r="G41" s="685"/>
      <c r="H41" s="620"/>
      <c r="I41" s="620"/>
      <c r="J41" s="635"/>
      <c r="K41" s="622"/>
      <c r="L41" s="572"/>
      <c r="M41" s="6"/>
      <c r="N41" s="6"/>
      <c r="O41" s="613"/>
      <c r="P41" s="614"/>
      <c r="Q41" s="6"/>
      <c r="R41" s="692"/>
      <c r="S41" s="635"/>
      <c r="T41" s="622"/>
      <c r="U41" s="572"/>
      <c r="V41" s="6"/>
      <c r="W41" s="6"/>
      <c r="X41" s="613"/>
      <c r="Y41" s="614"/>
      <c r="Z41" s="605"/>
      <c r="AA41" s="698"/>
      <c r="AB41" s="613"/>
      <c r="AC41" s="622"/>
      <c r="AD41" s="572"/>
      <c r="AE41" s="6"/>
      <c r="AF41" s="6"/>
      <c r="AG41" s="613"/>
      <c r="AH41" s="567"/>
      <c r="AI41" s="605"/>
      <c r="AJ41" s="6"/>
      <c r="AK41" s="613"/>
      <c r="AM41" s="572"/>
      <c r="AN41" s="6"/>
      <c r="AO41" s="6"/>
      <c r="AP41" s="50"/>
      <c r="AQ41" s="613"/>
      <c r="AR41" s="614"/>
      <c r="AS41" s="605"/>
      <c r="AT41" s="692"/>
      <c r="AU41" s="50"/>
      <c r="AV41" s="613"/>
    </row>
    <row r="42" spans="1:48" ht="52.9" customHeight="1" x14ac:dyDescent="0.25">
      <c r="A42" s="2205"/>
      <c r="B42" s="574">
        <v>2</v>
      </c>
      <c r="C42" s="596"/>
      <c r="D42" s="596"/>
      <c r="E42" s="596"/>
      <c r="F42" s="613"/>
      <c r="G42" s="685"/>
      <c r="H42" s="620"/>
      <c r="I42" s="692"/>
      <c r="J42" s="635"/>
      <c r="K42" s="622"/>
      <c r="L42" s="572"/>
      <c r="M42" s="6">
        <v>182</v>
      </c>
      <c r="N42" s="6"/>
      <c r="O42" s="613"/>
      <c r="P42" s="614"/>
      <c r="Q42" s="605" t="s">
        <v>934</v>
      </c>
      <c r="R42" s="6"/>
      <c r="S42" s="635"/>
      <c r="T42" s="622"/>
      <c r="U42" s="572"/>
      <c r="V42" s="6"/>
      <c r="W42" s="6"/>
      <c r="X42" s="613"/>
      <c r="Y42" s="1111"/>
      <c r="Z42" s="6"/>
      <c r="AA42" s="698"/>
      <c r="AB42" s="635"/>
      <c r="AC42" s="622"/>
      <c r="AD42" s="572"/>
      <c r="AE42" s="6"/>
      <c r="AF42" s="6"/>
      <c r="AG42" s="613"/>
      <c r="AH42" s="614"/>
      <c r="AI42" s="605"/>
      <c r="AJ42" s="6"/>
      <c r="AK42" s="635"/>
      <c r="AM42" s="572"/>
      <c r="AN42" s="6"/>
      <c r="AO42" s="6"/>
      <c r="AP42" s="613"/>
      <c r="AQ42" s="613"/>
      <c r="AR42" s="614"/>
      <c r="AS42" s="6"/>
      <c r="AT42" s="6"/>
      <c r="AU42" s="635"/>
      <c r="AV42" s="635"/>
    </row>
    <row r="43" spans="1:48" ht="65.45" customHeight="1" x14ac:dyDescent="0.25">
      <c r="A43" s="2206">
        <v>45464</v>
      </c>
      <c r="B43" s="574">
        <v>1</v>
      </c>
      <c r="C43" s="596"/>
      <c r="D43" s="596"/>
      <c r="E43" s="596"/>
      <c r="F43" s="597"/>
      <c r="G43" s="619"/>
      <c r="H43" s="619"/>
      <c r="I43" s="848"/>
      <c r="J43" s="635"/>
      <c r="K43" s="622"/>
      <c r="L43" s="572"/>
      <c r="M43" s="6"/>
      <c r="N43" s="6"/>
      <c r="O43" s="613"/>
      <c r="P43" s="614"/>
      <c r="Q43" s="6"/>
      <c r="R43" s="6"/>
      <c r="S43" s="635"/>
      <c r="T43" s="622"/>
      <c r="U43" s="572"/>
      <c r="V43" s="6"/>
      <c r="W43" s="6"/>
      <c r="X43" s="613"/>
      <c r="Y43" s="614"/>
      <c r="Z43" s="6"/>
      <c r="AA43" s="698"/>
      <c r="AB43" s="635"/>
      <c r="AC43" s="622"/>
      <c r="AD43" s="572"/>
      <c r="AE43" s="6"/>
      <c r="AF43" s="6"/>
      <c r="AG43" s="613"/>
      <c r="AH43" s="605"/>
      <c r="AI43" s="620"/>
      <c r="AJ43" s="6"/>
      <c r="AK43" s="635"/>
      <c r="AM43" s="572"/>
      <c r="AN43" s="6"/>
      <c r="AO43" s="6"/>
      <c r="AP43" s="50"/>
      <c r="AQ43" s="613"/>
      <c r="AR43" s="605"/>
      <c r="AS43" s="620"/>
      <c r="AT43" s="6"/>
      <c r="AU43" s="635"/>
      <c r="AV43" s="613"/>
    </row>
    <row r="44" spans="1:48" ht="69" customHeight="1" x14ac:dyDescent="0.25">
      <c r="A44" s="2205"/>
      <c r="B44" s="574">
        <v>2</v>
      </c>
      <c r="C44" s="596"/>
      <c r="D44" s="596"/>
      <c r="E44" s="596"/>
      <c r="F44" s="597"/>
      <c r="G44" s="619"/>
      <c r="H44" s="620"/>
      <c r="I44" s="848"/>
      <c r="J44" s="635"/>
      <c r="K44" s="622"/>
      <c r="L44" s="572"/>
      <c r="M44" s="6"/>
      <c r="N44" s="6"/>
      <c r="O44" s="613"/>
      <c r="P44" s="1111"/>
      <c r="Q44" s="6"/>
      <c r="R44" s="605"/>
      <c r="S44" s="635"/>
      <c r="T44" s="622"/>
      <c r="U44" s="572"/>
      <c r="V44" s="6"/>
      <c r="W44" s="596"/>
      <c r="X44" s="597"/>
      <c r="Y44" s="619"/>
      <c r="Z44" s="620"/>
      <c r="AA44" s="698"/>
      <c r="AB44" s="635"/>
      <c r="AC44" s="622"/>
      <c r="AD44" s="572"/>
      <c r="AE44" s="6"/>
      <c r="AF44" s="6"/>
      <c r="AG44" s="613"/>
      <c r="AH44" s="614"/>
      <c r="AI44" s="605"/>
      <c r="AJ44" s="698"/>
      <c r="AK44" s="635"/>
      <c r="AM44" s="572"/>
      <c r="AN44" s="6"/>
      <c r="AO44" s="6"/>
      <c r="AP44" s="50"/>
      <c r="AQ44" s="613"/>
      <c r="AR44" s="614"/>
      <c r="AS44" s="605"/>
      <c r="AT44" s="605"/>
      <c r="AU44" s="635"/>
      <c r="AV44" s="613"/>
    </row>
    <row r="45" spans="1:48" ht="69" customHeight="1" x14ac:dyDescent="0.25">
      <c r="A45" s="2206">
        <v>45465</v>
      </c>
      <c r="B45" s="574">
        <v>1</v>
      </c>
      <c r="C45" s="596"/>
      <c r="D45" s="596"/>
      <c r="E45" s="596"/>
      <c r="F45" s="597"/>
      <c r="G45" s="619"/>
      <c r="H45" s="619"/>
      <c r="I45" s="692"/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05"/>
      <c r="W45" s="6"/>
      <c r="X45" s="613"/>
      <c r="Y45" s="619"/>
      <c r="Z45" s="605"/>
      <c r="AA45" s="605"/>
      <c r="AB45" s="613"/>
      <c r="AC45" s="622"/>
      <c r="AD45" s="572"/>
      <c r="AE45" s="6"/>
      <c r="AF45" s="6"/>
      <c r="AG45" s="613"/>
      <c r="AH45" s="614"/>
      <c r="AI45" s="605"/>
      <c r="AJ45" s="605"/>
      <c r="AK45" s="613"/>
      <c r="AM45" s="572"/>
      <c r="AN45" s="6"/>
      <c r="AO45" s="6"/>
      <c r="AP45" s="50"/>
      <c r="AQ45" s="613"/>
      <c r="AR45" s="614"/>
      <c r="AS45" s="605"/>
      <c r="AT45" s="6"/>
      <c r="AU45" s="50"/>
      <c r="AV45" s="613"/>
    </row>
    <row r="46" spans="1:48" ht="48.6" customHeight="1" x14ac:dyDescent="0.25">
      <c r="A46" s="2205"/>
      <c r="B46" s="574">
        <v>2</v>
      </c>
      <c r="C46" s="596"/>
      <c r="D46" s="596"/>
      <c r="E46" s="596"/>
      <c r="F46" s="597"/>
      <c r="G46" s="619"/>
      <c r="H46" s="619"/>
      <c r="I46" s="848"/>
      <c r="J46" s="635"/>
      <c r="K46" s="622"/>
      <c r="L46" s="572"/>
      <c r="M46" s="6"/>
      <c r="N46" s="6"/>
      <c r="O46" s="785"/>
      <c r="P46" s="614"/>
      <c r="Q46" s="620"/>
      <c r="R46" s="605"/>
      <c r="S46" s="635"/>
      <c r="T46" s="622"/>
      <c r="U46" s="572"/>
      <c r="V46" s="6"/>
      <c r="W46" s="6"/>
      <c r="X46" s="613"/>
      <c r="Y46" s="1111"/>
      <c r="Z46" s="6"/>
      <c r="AA46" s="605"/>
      <c r="AB46" s="635"/>
      <c r="AC46" s="622"/>
      <c r="AD46" s="572"/>
      <c r="AE46" s="6"/>
      <c r="AF46" s="6"/>
      <c r="AG46" s="613"/>
      <c r="AH46" s="1111"/>
      <c r="AI46" s="605"/>
      <c r="AJ46" s="698"/>
      <c r="AK46" s="635"/>
      <c r="AM46" s="572"/>
      <c r="AN46" s="6"/>
      <c r="AO46" s="6"/>
      <c r="AP46" s="50"/>
      <c r="AQ46" s="613"/>
      <c r="AR46" s="614"/>
      <c r="AS46" s="620"/>
      <c r="AT46" s="692"/>
      <c r="AU46" s="50"/>
      <c r="AV46" s="635"/>
    </row>
    <row r="47" spans="1:48" ht="58.9" customHeight="1" x14ac:dyDescent="0.25">
      <c r="A47" s="2206">
        <v>45466</v>
      </c>
      <c r="B47" s="574">
        <v>1</v>
      </c>
      <c r="C47" s="596"/>
      <c r="D47" s="596"/>
      <c r="E47" s="596"/>
      <c r="F47" s="597"/>
      <c r="G47" s="619"/>
      <c r="H47" s="620"/>
      <c r="I47" s="848"/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/>
      <c r="X47" s="613"/>
      <c r="Y47" s="619"/>
      <c r="Z47" s="605"/>
      <c r="AA47" s="605"/>
      <c r="AB47" s="635"/>
      <c r="AC47" s="622"/>
      <c r="AD47" s="572"/>
      <c r="AE47" s="6"/>
      <c r="AF47" s="6"/>
      <c r="AG47" s="613"/>
      <c r="AH47" s="1111"/>
      <c r="AI47" s="620"/>
      <c r="AJ47" s="698"/>
      <c r="AK47" s="613"/>
      <c r="AM47" s="572"/>
      <c r="AN47" s="6"/>
      <c r="AO47" s="6"/>
      <c r="AP47" s="50"/>
      <c r="AQ47" s="613"/>
      <c r="AR47" s="614"/>
      <c r="AS47" s="620"/>
      <c r="AT47" s="6"/>
      <c r="AU47" s="50"/>
      <c r="AV47" s="613"/>
    </row>
    <row r="48" spans="1:48" ht="34.9" customHeight="1" x14ac:dyDescent="0.25">
      <c r="A48" s="2205"/>
      <c r="B48" s="574">
        <v>2</v>
      </c>
      <c r="C48" s="596"/>
      <c r="D48" s="596"/>
      <c r="E48" s="596"/>
      <c r="F48" s="597"/>
      <c r="G48" s="620"/>
      <c r="H48" s="620"/>
      <c r="I48" s="692"/>
      <c r="J48" s="635"/>
      <c r="K48" s="622"/>
      <c r="L48" s="572"/>
      <c r="M48" s="6"/>
      <c r="N48" s="6"/>
      <c r="O48" s="597"/>
      <c r="P48" s="620"/>
      <c r="Q48" s="620"/>
      <c r="R48" s="692"/>
      <c r="S48" s="635"/>
      <c r="T48" s="622"/>
      <c r="U48" s="572"/>
      <c r="V48" s="6"/>
      <c r="W48" s="6"/>
      <c r="X48" s="597"/>
      <c r="Y48" s="620"/>
      <c r="Z48" s="620"/>
      <c r="AA48" s="692"/>
      <c r="AB48" s="635"/>
      <c r="AC48" s="622"/>
      <c r="AD48" s="572"/>
      <c r="AE48" s="6"/>
      <c r="AF48" s="6"/>
      <c r="AG48" s="597"/>
      <c r="AH48" s="620"/>
      <c r="AI48" s="620"/>
      <c r="AJ48" s="692"/>
      <c r="AK48" s="635"/>
      <c r="AM48" s="572"/>
      <c r="AN48" s="6"/>
      <c r="AO48" s="572"/>
      <c r="AP48" s="6"/>
      <c r="AQ48" s="6"/>
      <c r="AR48" s="597"/>
      <c r="AS48" s="620"/>
      <c r="AT48" s="620"/>
      <c r="AU48" s="635"/>
      <c r="AV48" s="613"/>
    </row>
    <row r="49" spans="1:48" ht="36" customHeight="1" x14ac:dyDescent="0.25">
      <c r="A49" s="2206">
        <v>45467</v>
      </c>
      <c r="B49" s="574">
        <v>1</v>
      </c>
      <c r="C49" s="596"/>
      <c r="D49" s="596"/>
      <c r="E49" s="596"/>
      <c r="F49" s="597"/>
      <c r="G49" s="620"/>
      <c r="H49" s="619"/>
      <c r="I49" s="848"/>
      <c r="J49" s="635"/>
      <c r="K49" s="622"/>
      <c r="L49" s="572"/>
      <c r="M49" s="6"/>
      <c r="N49" s="6"/>
      <c r="O49" s="597"/>
      <c r="P49" s="620"/>
      <c r="Q49" s="619"/>
      <c r="R49" s="692"/>
      <c r="S49" s="635"/>
      <c r="T49" s="622"/>
      <c r="U49" s="572"/>
      <c r="V49" s="6"/>
      <c r="W49" s="6"/>
      <c r="X49" s="597"/>
      <c r="Y49" s="620"/>
      <c r="Z49" s="605"/>
      <c r="AA49" s="605"/>
      <c r="AB49" s="635"/>
      <c r="AC49" s="622"/>
      <c r="AD49" s="572"/>
      <c r="AE49" s="6"/>
      <c r="AF49" s="6"/>
      <c r="AG49" s="597"/>
      <c r="AH49" s="620"/>
      <c r="AI49" s="619"/>
      <c r="AJ49" s="692"/>
      <c r="AK49" s="635"/>
      <c r="AM49" s="572"/>
      <c r="AN49" s="6"/>
      <c r="AO49" s="6"/>
      <c r="AP49" s="597"/>
      <c r="AQ49" s="620"/>
      <c r="AR49" s="619"/>
      <c r="AS49" s="692"/>
      <c r="AT49" s="635"/>
      <c r="AU49" s="635"/>
      <c r="AV49" s="613"/>
    </row>
    <row r="50" spans="1:48" ht="51.6" customHeight="1" x14ac:dyDescent="0.25">
      <c r="A50" s="2205"/>
      <c r="B50" s="574">
        <v>2</v>
      </c>
      <c r="C50" s="596"/>
      <c r="D50" s="596"/>
      <c r="E50" s="596"/>
      <c r="F50" s="597"/>
      <c r="G50" s="619"/>
      <c r="H50" s="619"/>
      <c r="I50" s="692"/>
      <c r="J50" s="635"/>
      <c r="K50" s="622"/>
      <c r="L50" s="572"/>
      <c r="M50" s="6"/>
      <c r="N50" s="6"/>
      <c r="O50" s="597"/>
      <c r="P50" s="619"/>
      <c r="Q50" s="619"/>
      <c r="R50" s="692"/>
      <c r="S50" s="635"/>
      <c r="T50" s="622"/>
      <c r="U50" s="572"/>
      <c r="V50" s="6">
        <v>10</v>
      </c>
      <c r="W50" s="6">
        <v>22</v>
      </c>
      <c r="X50" s="597"/>
      <c r="Y50" s="619"/>
      <c r="Z50" s="619" t="s">
        <v>936</v>
      </c>
      <c r="AA50" s="698" t="s">
        <v>578</v>
      </c>
      <c r="AB50" s="635"/>
      <c r="AC50" s="622"/>
      <c r="AD50" s="572">
        <v>24</v>
      </c>
      <c r="AE50" s="6"/>
      <c r="AF50" s="6"/>
      <c r="AG50" s="597"/>
      <c r="AH50" s="619" t="s">
        <v>288</v>
      </c>
      <c r="AI50" s="619"/>
      <c r="AJ50" s="692"/>
      <c r="AK50" s="635"/>
      <c r="AM50" s="572"/>
      <c r="AN50" s="6"/>
      <c r="AO50" s="6"/>
      <c r="AP50" s="597"/>
      <c r="AQ50" s="619"/>
      <c r="AR50" s="619"/>
      <c r="AS50" s="692"/>
      <c r="AT50" s="635"/>
      <c r="AU50" s="635"/>
      <c r="AV50" s="635"/>
    </row>
    <row r="51" spans="1:48" ht="34.9" customHeight="1" x14ac:dyDescent="0.25">
      <c r="A51" s="2206">
        <v>45468</v>
      </c>
      <c r="B51" s="574">
        <v>1</v>
      </c>
      <c r="C51" s="596"/>
      <c r="D51" s="596"/>
      <c r="E51" s="596"/>
      <c r="F51" s="597"/>
      <c r="G51" s="619"/>
      <c r="H51" s="619"/>
      <c r="I51" s="848"/>
      <c r="J51" s="635"/>
      <c r="K51" s="622"/>
      <c r="L51" s="572"/>
      <c r="M51" s="6"/>
      <c r="N51" s="6"/>
      <c r="O51" s="597"/>
      <c r="P51" s="619"/>
      <c r="Q51" s="619"/>
      <c r="R51" s="692"/>
      <c r="S51" s="635"/>
      <c r="T51" s="622"/>
      <c r="U51" s="572"/>
      <c r="V51" s="6"/>
      <c r="W51" s="6"/>
      <c r="X51" s="597"/>
      <c r="Y51" s="619"/>
      <c r="Z51" s="619"/>
      <c r="AA51" s="698"/>
      <c r="AB51" s="635"/>
      <c r="AC51" s="622"/>
      <c r="AD51" s="572"/>
      <c r="AE51" s="6"/>
      <c r="AF51" s="6"/>
      <c r="AG51" s="597"/>
      <c r="AH51" s="619"/>
      <c r="AI51" s="619"/>
      <c r="AJ51" s="692"/>
      <c r="AK51" s="635"/>
      <c r="AM51" s="572"/>
      <c r="AN51" s="6"/>
      <c r="AO51" s="6"/>
      <c r="AP51" s="597"/>
      <c r="AQ51" s="619"/>
      <c r="AR51" s="619"/>
      <c r="AS51" s="692"/>
      <c r="AT51" s="635"/>
      <c r="AU51" s="635"/>
      <c r="AV51" s="613"/>
    </row>
    <row r="52" spans="1:48" ht="49.15" customHeight="1" x14ac:dyDescent="0.25">
      <c r="A52" s="2205"/>
      <c r="B52" s="574">
        <v>2</v>
      </c>
      <c r="C52" s="596"/>
      <c r="D52" s="596"/>
      <c r="E52" s="596">
        <v>14</v>
      </c>
      <c r="F52" s="597"/>
      <c r="G52" s="620"/>
      <c r="H52" s="620"/>
      <c r="I52" s="848" t="s">
        <v>152</v>
      </c>
      <c r="J52" s="635"/>
      <c r="K52" s="622"/>
      <c r="L52" s="572"/>
      <c r="M52" s="6">
        <v>140</v>
      </c>
      <c r="N52" s="6"/>
      <c r="O52" s="597"/>
      <c r="P52" s="620"/>
      <c r="Q52" s="620" t="s">
        <v>96</v>
      </c>
      <c r="R52" s="692"/>
      <c r="S52" s="635"/>
      <c r="T52" s="622"/>
      <c r="U52" s="572"/>
      <c r="V52" s="6"/>
      <c r="W52" s="6"/>
      <c r="X52" s="597"/>
      <c r="Y52" s="620"/>
      <c r="Z52" s="619"/>
      <c r="AA52" s="698"/>
      <c r="AB52" s="635"/>
      <c r="AC52" s="622"/>
      <c r="AD52" s="572"/>
      <c r="AE52" s="6"/>
      <c r="AF52" s="6"/>
      <c r="AG52" s="597"/>
      <c r="AH52" s="620"/>
      <c r="AI52" s="620"/>
      <c r="AJ52" s="692"/>
      <c r="AK52" s="635"/>
      <c r="AM52" s="572"/>
      <c r="AN52" s="613">
        <v>20</v>
      </c>
      <c r="AO52" s="613"/>
      <c r="AP52" s="613"/>
      <c r="AQ52" s="613"/>
      <c r="AR52" s="614"/>
      <c r="AS52" s="6" t="s">
        <v>937</v>
      </c>
      <c r="AT52" s="635"/>
      <c r="AU52" s="635"/>
      <c r="AV52" s="613"/>
    </row>
    <row r="53" spans="1:48" ht="48" customHeight="1" x14ac:dyDescent="0.25">
      <c r="A53" s="2206">
        <v>45469</v>
      </c>
      <c r="B53" s="574">
        <v>1</v>
      </c>
      <c r="C53" s="596"/>
      <c r="D53" s="596"/>
      <c r="E53" s="596"/>
      <c r="F53" s="597"/>
      <c r="G53" s="619"/>
      <c r="H53" s="619"/>
      <c r="I53" s="848"/>
      <c r="J53" s="635"/>
      <c r="K53" s="622"/>
      <c r="L53" s="572"/>
      <c r="M53" s="6"/>
      <c r="N53" s="6"/>
      <c r="O53" s="613"/>
      <c r="P53" s="1111"/>
      <c r="Q53" s="620"/>
      <c r="R53" s="6"/>
      <c r="S53" s="635"/>
      <c r="T53" s="622"/>
      <c r="U53" s="572"/>
      <c r="V53" s="6"/>
      <c r="W53" s="6"/>
      <c r="X53" s="613"/>
      <c r="Y53" s="1111"/>
      <c r="Z53" s="6"/>
      <c r="AA53" s="605"/>
      <c r="AB53" s="613"/>
      <c r="AC53" s="622"/>
      <c r="AD53" s="572"/>
      <c r="AE53" s="605"/>
      <c r="AF53" s="6"/>
      <c r="AG53" s="613"/>
      <c r="AH53" s="614"/>
      <c r="AI53" s="6"/>
      <c r="AJ53" s="605"/>
      <c r="AK53" s="613"/>
      <c r="AM53" s="572"/>
      <c r="AN53" s="605"/>
      <c r="AO53" s="6"/>
      <c r="AP53" s="50"/>
      <c r="AQ53" s="613"/>
      <c r="AR53" s="1111"/>
      <c r="AS53" s="6"/>
      <c r="AT53" s="6"/>
      <c r="AU53" s="50"/>
      <c r="AV53" s="613"/>
    </row>
    <row r="54" spans="1:48" ht="45.6" customHeight="1" x14ac:dyDescent="0.25">
      <c r="A54" s="2205"/>
      <c r="B54" s="1106">
        <v>2</v>
      </c>
      <c r="C54" s="596">
        <v>177</v>
      </c>
      <c r="D54" s="596"/>
      <c r="E54" s="596">
        <v>22</v>
      </c>
      <c r="F54" s="597"/>
      <c r="G54" s="619" t="s">
        <v>766</v>
      </c>
      <c r="H54" s="620"/>
      <c r="I54" s="692" t="s">
        <v>938</v>
      </c>
      <c r="J54" s="635"/>
      <c r="K54" s="622"/>
      <c r="L54" s="572"/>
      <c r="M54" s="6"/>
      <c r="N54" s="6"/>
      <c r="O54" s="597"/>
      <c r="P54" s="619"/>
      <c r="Q54" s="620"/>
      <c r="R54" s="619"/>
      <c r="S54" s="635"/>
      <c r="T54" s="622"/>
      <c r="U54" s="572"/>
      <c r="V54" s="6"/>
      <c r="W54" s="6"/>
      <c r="X54" s="597"/>
      <c r="Y54" s="620"/>
      <c r="Z54" s="620"/>
      <c r="AA54" s="620"/>
      <c r="AB54" s="635"/>
      <c r="AC54" s="622"/>
      <c r="AD54" s="572"/>
      <c r="AE54" s="6"/>
      <c r="AF54" s="6"/>
      <c r="AG54" s="613"/>
      <c r="AH54" s="614"/>
      <c r="AI54" s="620"/>
      <c r="AJ54" s="6"/>
      <c r="AK54" s="635"/>
      <c r="AM54" s="572"/>
      <c r="AN54" s="6"/>
      <c r="AO54" s="6"/>
      <c r="AP54" s="50"/>
      <c r="AQ54" s="597"/>
      <c r="AR54" s="1111"/>
      <c r="AS54" s="620"/>
      <c r="AT54" s="619"/>
      <c r="AU54" s="830"/>
      <c r="AV54" s="635"/>
    </row>
    <row r="55" spans="1:48" ht="39.6" customHeight="1" x14ac:dyDescent="0.25">
      <c r="A55" s="2206">
        <v>45470</v>
      </c>
      <c r="B55" s="574">
        <v>1</v>
      </c>
      <c r="C55" s="595"/>
      <c r="D55" s="596"/>
      <c r="E55" s="596"/>
      <c r="F55" s="597"/>
      <c r="G55" s="619"/>
      <c r="H55" s="619"/>
      <c r="I55" s="848"/>
      <c r="J55" s="613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/>
      <c r="X55" s="613"/>
      <c r="Y55" s="614"/>
      <c r="Z55" s="619"/>
      <c r="AA55" s="698"/>
      <c r="AB55" s="613"/>
      <c r="AC55" s="622"/>
      <c r="AD55" s="572"/>
      <c r="AE55" s="6"/>
      <c r="AF55" s="6">
        <v>22</v>
      </c>
      <c r="AG55" s="613"/>
      <c r="AH55" s="614"/>
      <c r="AI55" s="620"/>
      <c r="AJ55" s="605" t="s">
        <v>940</v>
      </c>
      <c r="AK55" s="613"/>
      <c r="AM55" s="572"/>
      <c r="AN55" s="6">
        <v>67</v>
      </c>
      <c r="AO55" s="6"/>
      <c r="AP55" s="50"/>
      <c r="AQ55" s="613"/>
      <c r="AR55" s="614"/>
      <c r="AS55" s="605" t="s">
        <v>939</v>
      </c>
      <c r="AT55" s="6"/>
      <c r="AU55" s="50"/>
      <c r="AV55" s="613"/>
    </row>
    <row r="56" spans="1:48" ht="94.15" customHeight="1" x14ac:dyDescent="0.25">
      <c r="A56" s="2205"/>
      <c r="B56" s="1106">
        <v>2</v>
      </c>
      <c r="C56" s="595"/>
      <c r="D56" s="596"/>
      <c r="E56" s="596"/>
      <c r="F56" s="597"/>
      <c r="G56" s="620"/>
      <c r="H56" s="620"/>
      <c r="I56" s="848"/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/>
      <c r="V56" s="6"/>
      <c r="W56" s="6"/>
      <c r="X56" s="597"/>
      <c r="Y56" s="1111"/>
      <c r="Z56" s="619"/>
      <c r="AA56" s="605"/>
      <c r="AB56" s="635"/>
      <c r="AC56" s="622"/>
      <c r="AD56" s="572"/>
      <c r="AE56" s="6"/>
      <c r="AF56" s="6"/>
      <c r="AG56" s="597"/>
      <c r="AH56" s="620"/>
      <c r="AI56" s="619"/>
      <c r="AJ56" s="620"/>
      <c r="AK56" s="635"/>
      <c r="AM56" s="572"/>
      <c r="AN56" s="6"/>
      <c r="AO56" s="6"/>
      <c r="AP56" s="50"/>
      <c r="AQ56" s="597"/>
      <c r="AR56" s="620"/>
      <c r="AS56" s="605"/>
      <c r="AT56" s="620"/>
      <c r="AU56" s="692"/>
      <c r="AV56" s="635"/>
    </row>
    <row r="57" spans="1:48" ht="52.15" customHeight="1" x14ac:dyDescent="0.25">
      <c r="A57" s="2206">
        <v>45471</v>
      </c>
      <c r="B57" s="574">
        <v>1</v>
      </c>
      <c r="C57" s="595"/>
      <c r="D57" s="596"/>
      <c r="E57" s="596"/>
      <c r="F57" s="597"/>
      <c r="G57" s="620"/>
      <c r="H57" s="620"/>
      <c r="I57" s="692"/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/>
      <c r="X57" s="597"/>
      <c r="Y57" s="620"/>
      <c r="Z57" s="619"/>
      <c r="AA57" s="605"/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/>
      <c r="AP57" s="50"/>
      <c r="AQ57" s="597"/>
      <c r="AR57" s="620"/>
      <c r="AS57" s="619"/>
      <c r="AT57" s="620"/>
      <c r="AU57" s="692"/>
      <c r="AV57" s="635"/>
    </row>
    <row r="58" spans="1:48" ht="78" customHeight="1" x14ac:dyDescent="0.25">
      <c r="A58" s="2205"/>
      <c r="B58" s="1106">
        <v>2</v>
      </c>
      <c r="C58" s="595"/>
      <c r="D58" s="596">
        <v>116</v>
      </c>
      <c r="E58" s="596"/>
      <c r="F58" s="597"/>
      <c r="G58" s="620"/>
      <c r="H58" s="620" t="s">
        <v>941</v>
      </c>
      <c r="I58" s="848"/>
      <c r="J58" s="635"/>
      <c r="K58" s="622"/>
      <c r="L58" s="572"/>
      <c r="M58" s="6"/>
      <c r="N58" s="6"/>
      <c r="O58" s="597"/>
      <c r="P58" s="620"/>
      <c r="Q58" s="619"/>
      <c r="R58" s="620"/>
      <c r="S58" s="635"/>
      <c r="T58" s="622"/>
      <c r="U58" s="572"/>
      <c r="V58" s="6"/>
      <c r="W58" s="6"/>
      <c r="X58" s="597"/>
      <c r="Y58" s="620"/>
      <c r="Z58" s="619"/>
      <c r="AA58" s="698"/>
      <c r="AB58" s="635"/>
      <c r="AC58" s="622"/>
      <c r="AD58" s="572"/>
      <c r="AE58" s="6"/>
      <c r="AF58" s="6"/>
      <c r="AG58" s="597"/>
      <c r="AH58" s="620"/>
      <c r="AI58" s="619"/>
      <c r="AJ58" s="6"/>
      <c r="AK58" s="635"/>
      <c r="AM58" s="572"/>
      <c r="AN58" s="6"/>
      <c r="AO58" s="6"/>
      <c r="AP58" s="50"/>
      <c r="AQ58" s="597"/>
      <c r="AR58" s="620"/>
      <c r="AS58" s="619"/>
      <c r="AT58" s="620"/>
      <c r="AU58" s="692"/>
      <c r="AV58" s="635"/>
    </row>
    <row r="59" spans="1:48" ht="73.150000000000006" customHeight="1" x14ac:dyDescent="0.25">
      <c r="A59" s="2206">
        <v>45472</v>
      </c>
      <c r="B59" s="574">
        <v>1</v>
      </c>
      <c r="C59" s="595"/>
      <c r="D59" s="596"/>
      <c r="E59" s="596"/>
      <c r="F59" s="597"/>
      <c r="G59" s="620"/>
      <c r="H59" s="619"/>
      <c r="I59" s="848"/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/>
      <c r="X59" s="613"/>
      <c r="Y59" s="614"/>
      <c r="Z59" s="619"/>
      <c r="AA59" s="698"/>
      <c r="AB59" s="635"/>
      <c r="AC59" s="622"/>
      <c r="AD59" s="572"/>
      <c r="AE59" s="6"/>
      <c r="AF59" s="6"/>
      <c r="AG59" s="613"/>
      <c r="AH59" s="1111"/>
      <c r="AI59" s="6"/>
      <c r="AJ59" s="620"/>
      <c r="AK59" s="635"/>
      <c r="AM59" s="572"/>
      <c r="AN59" s="6"/>
      <c r="AO59" s="6"/>
      <c r="AP59" s="50"/>
      <c r="AQ59" s="613"/>
      <c r="AR59" s="1111"/>
      <c r="AS59" s="6"/>
      <c r="AT59" s="620"/>
      <c r="AU59" s="692"/>
      <c r="AV59" s="635"/>
    </row>
    <row r="60" spans="1:48" ht="36" customHeight="1" x14ac:dyDescent="0.25">
      <c r="A60" s="2205"/>
      <c r="B60" s="1106">
        <v>2</v>
      </c>
      <c r="C60" s="595"/>
      <c r="D60" s="596"/>
      <c r="E60" s="596"/>
      <c r="F60" s="597"/>
      <c r="G60" s="619"/>
      <c r="H60" s="620"/>
      <c r="I60" s="848"/>
      <c r="J60" s="635"/>
      <c r="K60" s="622"/>
      <c r="L60" s="572"/>
      <c r="M60" s="6"/>
      <c r="N60" s="6"/>
      <c r="O60" s="613"/>
      <c r="P60" s="614"/>
      <c r="Q60" s="620"/>
      <c r="R60" s="6"/>
      <c r="S60" s="635"/>
      <c r="T60" s="622"/>
      <c r="U60" s="572"/>
      <c r="V60" s="6"/>
      <c r="W60" s="6"/>
      <c r="X60" s="613"/>
      <c r="Y60" s="1111"/>
      <c r="Z60" s="620"/>
      <c r="AA60" s="605"/>
      <c r="AB60" s="635"/>
      <c r="AC60" s="622"/>
      <c r="AD60" s="572"/>
      <c r="AE60" s="6"/>
      <c r="AF60" s="6"/>
      <c r="AG60" s="613"/>
      <c r="AH60" s="614"/>
      <c r="AI60" s="620"/>
      <c r="AJ60" s="605"/>
      <c r="AK60" s="635"/>
      <c r="AM60" s="572"/>
      <c r="AN60" s="6"/>
      <c r="AO60" s="6"/>
      <c r="AP60" s="50"/>
      <c r="AQ60" s="613"/>
      <c r="AR60" s="614"/>
      <c r="AS60" s="620"/>
      <c r="AT60" s="605"/>
      <c r="AU60" s="828"/>
      <c r="AV60" s="635"/>
    </row>
    <row r="61" spans="1:48" ht="32.450000000000003" customHeight="1" x14ac:dyDescent="0.25">
      <c r="A61" s="2206">
        <v>45473</v>
      </c>
      <c r="B61" s="574">
        <v>1</v>
      </c>
      <c r="C61" s="1114">
        <v>17</v>
      </c>
      <c r="D61" s="1116"/>
      <c r="E61" s="596"/>
      <c r="F61" s="749"/>
      <c r="G61" s="619" t="s">
        <v>848</v>
      </c>
      <c r="H61" s="1115"/>
      <c r="I61" s="692"/>
      <c r="J61" s="687"/>
      <c r="K61" s="622"/>
      <c r="L61" s="572"/>
      <c r="M61" s="6"/>
      <c r="N61" s="6"/>
      <c r="O61" s="613"/>
      <c r="P61" s="752"/>
      <c r="Q61" s="1112"/>
      <c r="R61" s="1112"/>
      <c r="S61" s="753"/>
      <c r="T61" s="622"/>
      <c r="U61" s="572"/>
      <c r="V61" s="6"/>
      <c r="W61" s="6"/>
      <c r="X61" s="613"/>
      <c r="Y61" s="1111"/>
      <c r="Z61" s="605"/>
      <c r="AA61" s="605"/>
      <c r="AB61" s="753"/>
      <c r="AC61" s="622"/>
      <c r="AD61" s="572"/>
      <c r="AE61" s="6">
        <v>39</v>
      </c>
      <c r="AF61" s="6"/>
      <c r="AG61" s="613"/>
      <c r="AH61" s="614"/>
      <c r="AI61" s="605" t="s">
        <v>942</v>
      </c>
      <c r="AJ61" s="605"/>
      <c r="AK61" s="753"/>
      <c r="AM61" s="572"/>
      <c r="AN61" s="6"/>
      <c r="AO61" s="6"/>
      <c r="AP61" s="50"/>
      <c r="AQ61" s="613"/>
      <c r="AR61" s="1111"/>
      <c r="AS61" s="6"/>
      <c r="AT61" s="605"/>
      <c r="AU61" s="964"/>
      <c r="AV61" s="753"/>
    </row>
    <row r="62" spans="1:48" ht="62.45" customHeight="1" x14ac:dyDescent="0.25">
      <c r="A62" s="2205"/>
      <c r="B62" s="1106">
        <v>2</v>
      </c>
      <c r="C62" s="1114"/>
      <c r="D62" s="1116"/>
      <c r="E62" s="1116"/>
      <c r="F62" s="749"/>
      <c r="G62" s="1108"/>
      <c r="H62" s="1115"/>
      <c r="I62" s="692"/>
      <c r="J62" s="687"/>
      <c r="K62" s="622"/>
      <c r="L62" s="572"/>
      <c r="M62" s="6"/>
      <c r="N62" s="6"/>
      <c r="O62" s="613"/>
      <c r="P62" s="752"/>
      <c r="Q62" s="1103"/>
      <c r="R62" s="1112"/>
      <c r="S62" s="753"/>
      <c r="T62" s="622"/>
      <c r="U62" s="572"/>
      <c r="V62" s="6"/>
      <c r="W62" s="6"/>
      <c r="X62" s="613"/>
      <c r="Y62" s="1111"/>
      <c r="Z62" s="605"/>
      <c r="AA62" s="605"/>
      <c r="AB62" s="753"/>
      <c r="AC62" s="622"/>
      <c r="AD62" s="572"/>
      <c r="AE62" s="6"/>
      <c r="AF62" s="6"/>
      <c r="AG62" s="613"/>
      <c r="AH62" s="2232"/>
      <c r="AI62" s="2233"/>
      <c r="AJ62" s="2234"/>
      <c r="AK62" s="753"/>
      <c r="AM62" s="572"/>
      <c r="AN62" s="6"/>
      <c r="AO62" s="6"/>
      <c r="AP62" s="50"/>
      <c r="AQ62" s="613"/>
      <c r="AR62" s="614"/>
      <c r="AS62" s="6"/>
      <c r="AT62" s="605"/>
      <c r="AU62" s="964"/>
      <c r="AV62" s="753"/>
    </row>
    <row r="63" spans="1:48" ht="64.150000000000006" customHeight="1" x14ac:dyDescent="0.25">
      <c r="A63" s="2206"/>
      <c r="B63" s="574">
        <v>1</v>
      </c>
      <c r="C63" s="706"/>
      <c r="D63" s="707"/>
      <c r="E63" s="707"/>
      <c r="F63" s="708"/>
      <c r="G63" s="717"/>
      <c r="H63" s="709"/>
      <c r="I63" s="692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/>
      <c r="X63" s="597"/>
      <c r="Y63" s="685"/>
      <c r="Z63" s="619"/>
      <c r="AA63" s="605"/>
      <c r="AB63" s="1110"/>
      <c r="AC63" s="622"/>
      <c r="AD63" s="572"/>
      <c r="AE63" s="6"/>
      <c r="AF63" s="6"/>
      <c r="AG63" s="597"/>
      <c r="AH63" s="685"/>
      <c r="AI63" s="619"/>
      <c r="AJ63" s="6"/>
      <c r="AK63" s="705"/>
      <c r="AM63" s="572"/>
      <c r="AN63" s="6"/>
      <c r="AO63" s="6"/>
      <c r="AP63" s="50"/>
      <c r="AQ63" s="597"/>
      <c r="AR63" s="685"/>
      <c r="AS63" s="619"/>
      <c r="AT63" s="619"/>
      <c r="AU63" s="965"/>
      <c r="AV63" s="705"/>
    </row>
    <row r="64" spans="1:48" ht="62.45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963"/>
      <c r="AQ64" s="636"/>
      <c r="AR64" s="637"/>
      <c r="AS64" s="638"/>
      <c r="AT64" s="638"/>
      <c r="AU64" s="966"/>
      <c r="AV64" s="713"/>
    </row>
    <row r="65" spans="1:43" ht="23.45" customHeight="1" x14ac:dyDescent="0.25">
      <c r="A65" s="524" t="s">
        <v>225</v>
      </c>
      <c r="C65" s="768">
        <f>SUM(C3:C64)</f>
        <v>377</v>
      </c>
      <c r="D65" s="525">
        <f>SUM(D3:D64)</f>
        <v>204</v>
      </c>
      <c r="E65" s="768">
        <f>SUM(E3:E64)</f>
        <v>142</v>
      </c>
      <c r="F65" s="525">
        <f>SUM(F3:F64)</f>
        <v>0</v>
      </c>
      <c r="L65" s="525">
        <f>SUM(L3:L64)</f>
        <v>50</v>
      </c>
      <c r="M65" s="525">
        <f>SUM(M3:M64)</f>
        <v>322</v>
      </c>
      <c r="N65" s="525">
        <f>SUM(N3:N64)</f>
        <v>50</v>
      </c>
      <c r="O65" s="525">
        <f>SUM(O3:O64)</f>
        <v>0</v>
      </c>
      <c r="U65" s="525">
        <f>SUM(U3:U64)</f>
        <v>3457</v>
      </c>
      <c r="V65" s="525">
        <f>SUM(V3:V64)</f>
        <v>44</v>
      </c>
      <c r="W65" s="525">
        <f>SUM(W3:W64)</f>
        <v>1394</v>
      </c>
      <c r="X65" s="525">
        <f>SUM(X3:X64)</f>
        <v>0</v>
      </c>
      <c r="AD65" s="525">
        <f>SUM(AD3:AD64)</f>
        <v>529</v>
      </c>
      <c r="AE65" s="525">
        <f>SUM(AE3:AE64)</f>
        <v>188</v>
      </c>
      <c r="AF65" s="525">
        <f>SUM(AF3:AF64)</f>
        <v>151</v>
      </c>
      <c r="AG65" s="525">
        <f>SUM(AG3:AG64)</f>
        <v>0</v>
      </c>
      <c r="AM65" s="525">
        <f>SUM(AM3:AM64)</f>
        <v>115</v>
      </c>
      <c r="AN65" s="525">
        <f>SUM(AN3:AN64)</f>
        <v>202</v>
      </c>
      <c r="AO65" s="525">
        <f>SUM(AO3:AO64)</f>
        <v>130</v>
      </c>
      <c r="AP65" s="525"/>
      <c r="AQ65" s="525">
        <f>SUM(AQ3:AQ64)</f>
        <v>0</v>
      </c>
    </row>
    <row r="73" spans="1:43" ht="15.75" thickBot="1" x14ac:dyDescent="0.3"/>
    <row r="74" spans="1:43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3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3" ht="21.75" customHeight="1" x14ac:dyDescent="0.3">
      <c r="B76" s="651" t="s">
        <v>218</v>
      </c>
      <c r="C76" s="652">
        <f>C65</f>
        <v>377</v>
      </c>
      <c r="D76" s="653">
        <f>C76/60</f>
        <v>6.2833333333333332</v>
      </c>
      <c r="E76" s="652">
        <f>D65</f>
        <v>204</v>
      </c>
      <c r="F76" s="654">
        <f>E76/60</f>
        <v>3.4</v>
      </c>
      <c r="G76" s="652">
        <f>E65</f>
        <v>142</v>
      </c>
      <c r="H76" s="653">
        <f>G76/60</f>
        <v>2.3666666666666667</v>
      </c>
      <c r="I76" s="652">
        <f>F65</f>
        <v>0</v>
      </c>
      <c r="J76" s="653">
        <f>I76/60</f>
        <v>0</v>
      </c>
    </row>
    <row r="77" spans="1:43" ht="19.5" customHeight="1" x14ac:dyDescent="0.3">
      <c r="B77" s="651" t="s">
        <v>219</v>
      </c>
      <c r="C77" s="655">
        <f>L65</f>
        <v>50</v>
      </c>
      <c r="D77" s="656">
        <f>C77/60</f>
        <v>0.83333333333333337</v>
      </c>
      <c r="E77" s="655">
        <f>M65</f>
        <v>322</v>
      </c>
      <c r="F77" s="657">
        <f>E77/60</f>
        <v>5.3666666666666663</v>
      </c>
      <c r="G77" s="655">
        <f>N65</f>
        <v>50</v>
      </c>
      <c r="H77" s="656">
        <f>G77/60</f>
        <v>0.83333333333333337</v>
      </c>
      <c r="I77" s="655">
        <f>O65</f>
        <v>0</v>
      </c>
      <c r="J77" s="656">
        <f>I77/60</f>
        <v>0</v>
      </c>
    </row>
    <row r="78" spans="1:43" ht="20.25" customHeight="1" x14ac:dyDescent="0.3">
      <c r="B78" s="651" t="s">
        <v>220</v>
      </c>
      <c r="C78" s="655">
        <f>U65</f>
        <v>3457</v>
      </c>
      <c r="D78" s="656">
        <f>C78/60</f>
        <v>57.616666666666667</v>
      </c>
      <c r="E78" s="655">
        <f>V65</f>
        <v>44</v>
      </c>
      <c r="F78" s="657">
        <f>E78/60</f>
        <v>0.73333333333333328</v>
      </c>
      <c r="G78" s="655">
        <f>W65</f>
        <v>1394</v>
      </c>
      <c r="H78" s="656">
        <f>G78/60</f>
        <v>23.233333333333334</v>
      </c>
      <c r="I78" s="655">
        <f>X65</f>
        <v>0</v>
      </c>
      <c r="J78" s="656">
        <f>I78/60</f>
        <v>0</v>
      </c>
    </row>
    <row r="79" spans="1:43" ht="22.5" customHeight="1" thickBot="1" x14ac:dyDescent="0.35">
      <c r="B79" s="651" t="s">
        <v>221</v>
      </c>
      <c r="C79" s="658">
        <f>AD65</f>
        <v>529</v>
      </c>
      <c r="D79" s="659">
        <f>C79/60</f>
        <v>8.8166666666666664</v>
      </c>
      <c r="E79" s="658">
        <f>AE65</f>
        <v>188</v>
      </c>
      <c r="F79" s="660">
        <f>E79/60</f>
        <v>3.1333333333333333</v>
      </c>
      <c r="G79" s="658">
        <f>AF65</f>
        <v>151</v>
      </c>
      <c r="H79" s="659">
        <f>G79/60</f>
        <v>2.5166666666666666</v>
      </c>
      <c r="I79" s="658">
        <f>AG65</f>
        <v>0</v>
      </c>
      <c r="J79" s="659">
        <f>I79/60</f>
        <v>0</v>
      </c>
    </row>
    <row r="80" spans="1:43" ht="22.5" customHeight="1" thickBot="1" x14ac:dyDescent="0.35">
      <c r="B80" s="651" t="s">
        <v>488</v>
      </c>
      <c r="C80" s="850">
        <f>AM65</f>
        <v>115</v>
      </c>
      <c r="D80" s="849">
        <f>C80/60</f>
        <v>1.9166666666666667</v>
      </c>
      <c r="E80" s="850">
        <f>AN65</f>
        <v>202</v>
      </c>
      <c r="F80" s="851">
        <f>E80/60</f>
        <v>3.3666666666666667</v>
      </c>
      <c r="G80" s="850">
        <f>AO65</f>
        <v>130</v>
      </c>
      <c r="H80" s="849">
        <f>G80/60</f>
        <v>2.1666666666666665</v>
      </c>
      <c r="I80" s="850">
        <f>AQ65</f>
        <v>0</v>
      </c>
      <c r="J80" s="849">
        <f>I80/60</f>
        <v>0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75.466666666666669</v>
      </c>
      <c r="E82" s="666"/>
      <c r="F82" s="667">
        <f>SUM(F76:F80)</f>
        <v>15.999999999999998</v>
      </c>
      <c r="G82" s="666"/>
      <c r="H82" s="667">
        <f>SUM(H76:H80)</f>
        <v>31.116666666666667</v>
      </c>
      <c r="I82" s="666"/>
      <c r="J82" s="668">
        <f>AVERAGE(J76:J80)</f>
        <v>0</v>
      </c>
    </row>
  </sheetData>
  <mergeCells count="50">
    <mergeCell ref="AH14:AJ14"/>
    <mergeCell ref="G16:I16"/>
    <mergeCell ref="AR18:AT18"/>
    <mergeCell ref="A5:A6"/>
    <mergeCell ref="C1:F1"/>
    <mergeCell ref="G1:J1"/>
    <mergeCell ref="L1:O1"/>
    <mergeCell ref="P1:S1"/>
    <mergeCell ref="AD1:AG1"/>
    <mergeCell ref="AH1:AK1"/>
    <mergeCell ref="AM1:AQ1"/>
    <mergeCell ref="AR1:AV1"/>
    <mergeCell ref="A3:A4"/>
    <mergeCell ref="U1:X1"/>
    <mergeCell ref="Y1:AB1"/>
    <mergeCell ref="A7:A8"/>
    <mergeCell ref="A9:A10"/>
    <mergeCell ref="G10:I10"/>
    <mergeCell ref="A11:A12"/>
    <mergeCell ref="A35:A36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59:A60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61:A62"/>
    <mergeCell ref="AH62:AJ62"/>
    <mergeCell ref="A63:A64"/>
    <mergeCell ref="C74:D74"/>
    <mergeCell ref="E74:F74"/>
    <mergeCell ref="G74:H74"/>
    <mergeCell ref="I74:J74"/>
  </mergeCells>
  <pageMargins left="0.7" right="0.7" top="0.75" bottom="0.75" header="0.3" footer="0.3"/>
  <pageSetup paperSize="9" orientation="portrait" horizontalDpi="180" verticalDpi="18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2"/>
  <sheetViews>
    <sheetView zoomScale="50" zoomScaleNormal="5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H79" sqref="H79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7.285156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3" style="524" customWidth="1"/>
    <col min="17" max="17" width="27.28515625" style="524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2.42578125" style="524" customWidth="1"/>
    <col min="28" max="28" width="27" style="524" customWidth="1"/>
    <col min="29" max="33" width="10.7109375" style="524" customWidth="1"/>
    <col min="34" max="34" width="31.28515625" style="524" customWidth="1"/>
    <col min="35" max="35" width="18.57031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2" width="10.7109375" style="524" customWidth="1"/>
    <col min="43" max="43" width="21.140625" style="524" customWidth="1"/>
    <col min="44" max="44" width="26.28515625" style="524" customWidth="1"/>
    <col min="45" max="45" width="27.140625" style="524" customWidth="1"/>
    <col min="46" max="46" width="26.5703125" style="524" customWidth="1"/>
    <col min="47" max="16384" width="8.85546875" style="524"/>
  </cols>
  <sheetData>
    <row r="1" spans="1:46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2" t="s">
        <v>206</v>
      </c>
      <c r="AR1" s="2252"/>
      <c r="AS1" s="2252"/>
      <c r="AT1" s="2253"/>
    </row>
    <row r="2" spans="1:46" ht="42.6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6" t="s">
        <v>199</v>
      </c>
      <c r="AI2" s="984" t="s">
        <v>200</v>
      </c>
      <c r="AJ2" s="984" t="s">
        <v>201</v>
      </c>
      <c r="AK2" s="984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6" t="s">
        <v>199</v>
      </c>
      <c r="AR2" s="984" t="s">
        <v>200</v>
      </c>
      <c r="AS2" s="984" t="s">
        <v>201</v>
      </c>
      <c r="AT2" s="984" t="s">
        <v>204</v>
      </c>
    </row>
    <row r="3" spans="1:46" ht="78" customHeight="1" x14ac:dyDescent="0.25">
      <c r="A3" s="2206">
        <v>45474</v>
      </c>
      <c r="B3" s="1124">
        <v>1</v>
      </c>
      <c r="C3" s="592"/>
      <c r="D3" s="593"/>
      <c r="E3" s="6"/>
      <c r="F3" s="594"/>
      <c r="G3" s="685"/>
      <c r="H3" s="619"/>
      <c r="I3" s="620"/>
      <c r="J3" s="686"/>
      <c r="K3" s="622"/>
      <c r="L3" s="612"/>
      <c r="M3" s="630"/>
      <c r="N3" s="630"/>
      <c r="O3" s="628"/>
      <c r="P3" s="629"/>
      <c r="Q3" s="699"/>
      <c r="R3" s="699"/>
      <c r="S3" s="628"/>
      <c r="T3" s="622"/>
      <c r="U3" s="612"/>
      <c r="V3" s="630"/>
      <c r="W3" s="6"/>
      <c r="X3" s="613"/>
      <c r="Y3" s="1128"/>
      <c r="Z3" s="629"/>
      <c r="AA3" s="620"/>
      <c r="AB3" s="720"/>
      <c r="AC3" s="622"/>
      <c r="AD3" s="612"/>
      <c r="AE3" s="630"/>
      <c r="AF3" s="6"/>
      <c r="AG3" s="628"/>
      <c r="AH3" s="629"/>
      <c r="AI3" s="629"/>
      <c r="AJ3" s="605"/>
      <c r="AK3" s="628"/>
      <c r="AM3" s="612"/>
      <c r="AN3" s="630"/>
      <c r="AO3" s="6"/>
      <c r="AP3" s="628"/>
      <c r="AQ3" s="629"/>
      <c r="AR3" s="648"/>
      <c r="AS3" s="605"/>
      <c r="AT3" s="628"/>
    </row>
    <row r="4" spans="1:46" ht="70.150000000000006" customHeight="1" x14ac:dyDescent="0.25">
      <c r="A4" s="2205"/>
      <c r="B4" s="574">
        <v>2</v>
      </c>
      <c r="C4" s="595">
        <v>76</v>
      </c>
      <c r="D4" s="596"/>
      <c r="E4" s="596"/>
      <c r="F4" s="597"/>
      <c r="G4" s="684" t="s">
        <v>930</v>
      </c>
      <c r="H4" s="619"/>
      <c r="I4" s="848"/>
      <c r="J4" s="687"/>
      <c r="K4" s="622"/>
      <c r="L4" s="572"/>
      <c r="M4" s="6"/>
      <c r="N4" s="6"/>
      <c r="O4" s="613"/>
      <c r="P4" s="614"/>
      <c r="Q4" s="619"/>
      <c r="R4" s="1130"/>
      <c r="S4" s="613"/>
      <c r="T4" s="622"/>
      <c r="U4" s="572"/>
      <c r="V4" s="605"/>
      <c r="W4" s="6">
        <v>39</v>
      </c>
      <c r="X4" s="613"/>
      <c r="Y4" s="1128"/>
      <c r="Z4" s="620"/>
      <c r="AA4" s="698" t="s">
        <v>152</v>
      </c>
      <c r="AB4" s="722"/>
      <c r="AC4" s="622"/>
      <c r="AD4" s="572"/>
      <c r="AE4" s="6"/>
      <c r="AF4" s="6"/>
      <c r="AG4" s="613"/>
      <c r="AH4" s="614"/>
      <c r="AI4" s="620"/>
      <c r="AJ4" s="6"/>
      <c r="AK4" s="613"/>
      <c r="AM4" s="572"/>
      <c r="AN4" s="6"/>
      <c r="AO4" s="6"/>
      <c r="AP4" s="613"/>
      <c r="AQ4" s="614"/>
      <c r="AR4" s="620"/>
      <c r="AS4" s="6"/>
      <c r="AT4" s="613"/>
    </row>
    <row r="5" spans="1:46" ht="60" customHeight="1" x14ac:dyDescent="0.25">
      <c r="A5" s="2206">
        <v>45475</v>
      </c>
      <c r="B5" s="574">
        <v>1</v>
      </c>
      <c r="C5" s="595"/>
      <c r="D5" s="596"/>
      <c r="E5" s="596"/>
      <c r="F5" s="597"/>
      <c r="G5" s="684"/>
      <c r="H5" s="684"/>
      <c r="I5" s="848"/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/>
      <c r="X5" s="613"/>
      <c r="Y5" s="1128"/>
      <c r="Z5" s="619"/>
      <c r="AA5" s="698"/>
      <c r="AB5" s="723"/>
      <c r="AC5" s="622"/>
      <c r="AD5" s="572"/>
      <c r="AE5" s="6"/>
      <c r="AF5" s="6"/>
      <c r="AG5" s="613"/>
      <c r="AH5" s="614"/>
      <c r="AI5" s="6"/>
      <c r="AJ5" s="1036"/>
      <c r="AK5" s="613"/>
      <c r="AM5" s="572"/>
      <c r="AN5" s="6"/>
      <c r="AO5" s="6"/>
      <c r="AP5" s="613"/>
      <c r="AQ5" s="614"/>
      <c r="AR5" s="6"/>
      <c r="AS5" s="605"/>
      <c r="AT5" s="634"/>
    </row>
    <row r="6" spans="1:46" ht="80.45" customHeight="1" x14ac:dyDescent="0.25">
      <c r="A6" s="2205"/>
      <c r="B6" s="574">
        <v>2</v>
      </c>
      <c r="C6" s="595"/>
      <c r="D6" s="596"/>
      <c r="E6" s="596"/>
      <c r="F6" s="597"/>
      <c r="G6" s="685"/>
      <c r="H6" s="620"/>
      <c r="I6" s="848"/>
      <c r="J6" s="635"/>
      <c r="K6" s="622"/>
      <c r="L6" s="572"/>
      <c r="M6" s="6"/>
      <c r="N6" s="6"/>
      <c r="O6" s="613"/>
      <c r="P6" s="614"/>
      <c r="Q6" s="619"/>
      <c r="R6" s="6"/>
      <c r="S6" s="635"/>
      <c r="T6" s="622"/>
      <c r="U6" s="572"/>
      <c r="V6" s="6"/>
      <c r="W6" s="6"/>
      <c r="X6" s="613"/>
      <c r="Y6" s="1128"/>
      <c r="Z6" s="619"/>
      <c r="AA6" s="698"/>
      <c r="AB6" s="635"/>
      <c r="AC6" s="622"/>
      <c r="AD6" s="572"/>
      <c r="AE6" s="6"/>
      <c r="AF6" s="6"/>
      <c r="AG6" s="613"/>
      <c r="AH6" s="614"/>
      <c r="AI6" s="6"/>
      <c r="AJ6" s="6"/>
      <c r="AK6" s="635"/>
      <c r="AM6" s="572"/>
      <c r="AN6" s="6"/>
      <c r="AO6" s="6"/>
      <c r="AP6" s="50"/>
      <c r="AQ6" s="613"/>
      <c r="AR6" s="614"/>
      <c r="AS6" s="605"/>
      <c r="AT6" s="635"/>
    </row>
    <row r="7" spans="1:46" ht="71.45" customHeight="1" x14ac:dyDescent="0.25">
      <c r="A7" s="2206">
        <v>45476</v>
      </c>
      <c r="B7" s="574">
        <v>1</v>
      </c>
      <c r="C7" s="595"/>
      <c r="D7" s="596">
        <v>9</v>
      </c>
      <c r="E7" s="596"/>
      <c r="F7" s="597"/>
      <c r="G7" s="685"/>
      <c r="H7" s="620" t="s">
        <v>547</v>
      </c>
      <c r="I7" s="635"/>
      <c r="J7" s="635"/>
      <c r="K7" s="622"/>
      <c r="L7" s="572"/>
      <c r="M7" s="614"/>
      <c r="N7" s="6"/>
      <c r="O7" s="613"/>
      <c r="P7" s="614"/>
      <c r="Q7" s="1010"/>
      <c r="R7" s="6"/>
      <c r="S7" s="613"/>
      <c r="T7" s="622"/>
      <c r="U7" s="572"/>
      <c r="V7" s="6"/>
      <c r="W7" s="6"/>
      <c r="X7" s="613"/>
      <c r="Y7" s="1128"/>
      <c r="Z7" s="619"/>
      <c r="AA7" s="698"/>
      <c r="AB7" s="613"/>
      <c r="AC7" s="622"/>
      <c r="AD7" s="572"/>
      <c r="AE7" s="6"/>
      <c r="AF7" s="6"/>
      <c r="AG7" s="613"/>
      <c r="AH7" s="614"/>
      <c r="AI7" s="1010"/>
      <c r="AJ7" s="635"/>
      <c r="AK7" s="613"/>
      <c r="AM7" s="572"/>
      <c r="AN7" s="6"/>
      <c r="AO7" s="6"/>
      <c r="AP7" s="50"/>
      <c r="AQ7" s="613"/>
      <c r="AR7" s="614"/>
      <c r="AS7" s="1010"/>
      <c r="AT7" s="692"/>
    </row>
    <row r="8" spans="1:46" ht="69.599999999999994" customHeight="1" x14ac:dyDescent="0.25">
      <c r="A8" s="2205"/>
      <c r="B8" s="574">
        <v>2</v>
      </c>
      <c r="C8" s="595"/>
      <c r="D8" s="596"/>
      <c r="E8" s="596"/>
      <c r="F8" s="597"/>
      <c r="G8" s="684"/>
      <c r="H8" s="620"/>
      <c r="I8" s="848"/>
      <c r="J8" s="635"/>
      <c r="K8" s="622"/>
      <c r="L8" s="572"/>
      <c r="M8" s="6"/>
      <c r="N8" s="6"/>
      <c r="O8" s="613"/>
      <c r="P8" s="1128"/>
      <c r="Q8" s="6"/>
      <c r="R8" s="605"/>
      <c r="S8" s="635"/>
      <c r="T8" s="622"/>
      <c r="U8" s="572"/>
      <c r="V8" s="572"/>
      <c r="W8" s="572"/>
      <c r="X8" s="613"/>
      <c r="Y8" s="1128"/>
      <c r="Z8" s="1119"/>
      <c r="AA8" s="609"/>
      <c r="AB8" s="635"/>
      <c r="AC8" s="622"/>
      <c r="AD8" s="572"/>
      <c r="AE8" s="6"/>
      <c r="AF8" s="6"/>
      <c r="AG8" s="613"/>
      <c r="AH8" s="614"/>
      <c r="AI8" s="605"/>
      <c r="AJ8" s="620"/>
      <c r="AK8" s="635"/>
      <c r="AM8" s="572"/>
      <c r="AN8" s="6"/>
      <c r="AO8" s="6"/>
      <c r="AP8" s="50"/>
      <c r="AQ8" s="613"/>
      <c r="AR8" s="614"/>
      <c r="AS8" s="6"/>
      <c r="AT8" s="635"/>
    </row>
    <row r="9" spans="1:46" ht="76.900000000000006" customHeight="1" x14ac:dyDescent="0.25">
      <c r="A9" s="2206">
        <v>45477</v>
      </c>
      <c r="B9" s="574">
        <v>1</v>
      </c>
      <c r="C9" s="595"/>
      <c r="D9" s="596"/>
      <c r="E9" s="596"/>
      <c r="F9" s="597"/>
      <c r="G9" s="684"/>
      <c r="H9" s="619"/>
      <c r="I9" s="848"/>
      <c r="J9" s="635"/>
      <c r="K9" s="622"/>
      <c r="L9" s="572"/>
      <c r="M9" s="6"/>
      <c r="N9" s="6"/>
      <c r="O9" s="613"/>
      <c r="P9" s="1128"/>
      <c r="Q9" s="6"/>
      <c r="R9" s="605"/>
      <c r="S9" s="635"/>
      <c r="T9" s="622"/>
      <c r="U9" s="572"/>
      <c r="V9" s="6"/>
      <c r="W9" s="6"/>
      <c r="X9" s="613"/>
      <c r="Y9" s="1128"/>
      <c r="Z9" s="6"/>
      <c r="AA9" s="698"/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/>
      <c r="AN9" s="6"/>
      <c r="AO9" s="6"/>
      <c r="AP9" s="50"/>
      <c r="AQ9" s="613"/>
      <c r="AR9" s="614"/>
      <c r="AS9" s="6"/>
      <c r="AT9" s="828"/>
    </row>
    <row r="10" spans="1:46" ht="67.150000000000006" customHeight="1" x14ac:dyDescent="0.25">
      <c r="A10" s="2205"/>
      <c r="B10" s="574">
        <v>2</v>
      </c>
      <c r="C10" s="595"/>
      <c r="D10" s="595"/>
      <c r="E10" s="595"/>
      <c r="F10" s="597"/>
      <c r="G10" s="1120"/>
      <c r="H10" s="1121"/>
      <c r="I10" s="1122"/>
      <c r="J10" s="635"/>
      <c r="K10" s="622"/>
      <c r="L10" s="572"/>
      <c r="M10" s="6"/>
      <c r="N10" s="6"/>
      <c r="O10" s="613"/>
      <c r="P10" s="1128"/>
      <c r="Q10" s="6"/>
      <c r="R10" s="605"/>
      <c r="S10" s="635"/>
      <c r="T10" s="622"/>
      <c r="U10" s="572"/>
      <c r="V10" s="6"/>
      <c r="W10" s="6"/>
      <c r="X10" s="613"/>
      <c r="Y10" s="1128"/>
      <c r="Z10" s="1128"/>
      <c r="AA10" s="698"/>
      <c r="AB10" s="635"/>
      <c r="AC10" s="622"/>
      <c r="AD10" s="572"/>
      <c r="AE10" s="6"/>
      <c r="AF10" s="6"/>
      <c r="AG10" s="613"/>
      <c r="AH10" s="1128"/>
      <c r="AI10" s="605"/>
      <c r="AJ10" s="620"/>
      <c r="AK10" s="635"/>
      <c r="AM10" s="572"/>
      <c r="AN10" s="6"/>
      <c r="AO10" s="6"/>
      <c r="AP10" s="50"/>
      <c r="AQ10" s="613"/>
      <c r="AR10" s="614"/>
      <c r="AS10" s="6"/>
      <c r="AT10" s="635"/>
    </row>
    <row r="11" spans="1:46" ht="60" customHeight="1" x14ac:dyDescent="0.25">
      <c r="A11" s="2206">
        <v>45478</v>
      </c>
      <c r="B11" s="574">
        <v>1</v>
      </c>
      <c r="C11" s="595"/>
      <c r="D11" s="595"/>
      <c r="E11" s="595"/>
      <c r="F11" s="597"/>
      <c r="G11" s="1120"/>
      <c r="H11" s="1121"/>
      <c r="I11" s="1122"/>
      <c r="J11" s="687"/>
      <c r="K11" s="622"/>
      <c r="L11" s="572"/>
      <c r="M11" s="6"/>
      <c r="N11" s="6"/>
      <c r="O11" s="613"/>
      <c r="P11" s="1128"/>
      <c r="Q11" s="6"/>
      <c r="R11" s="605"/>
      <c r="S11" s="613"/>
      <c r="T11" s="622"/>
      <c r="U11" s="572"/>
      <c r="V11" s="6"/>
      <c r="W11" s="6"/>
      <c r="X11" s="613"/>
      <c r="Y11" s="1128"/>
      <c r="Z11" s="6"/>
      <c r="AA11" s="698"/>
      <c r="AB11" s="613"/>
      <c r="AC11" s="622"/>
      <c r="AD11" s="572"/>
      <c r="AE11" s="6"/>
      <c r="AF11" s="6"/>
      <c r="AG11" s="613"/>
      <c r="AH11" s="614"/>
      <c r="AI11" s="6"/>
      <c r="AJ11" s="620"/>
      <c r="AK11" s="613"/>
      <c r="AM11" s="572"/>
      <c r="AN11" s="6"/>
      <c r="AO11" s="6"/>
      <c r="AP11" s="613"/>
      <c r="AQ11" s="614"/>
      <c r="AR11" s="6"/>
      <c r="AS11" s="6"/>
      <c r="AT11" s="634"/>
    </row>
    <row r="12" spans="1:46" ht="55.15" customHeight="1" x14ac:dyDescent="0.25">
      <c r="A12" s="2205"/>
      <c r="B12" s="574">
        <v>2</v>
      </c>
      <c r="C12" s="595"/>
      <c r="D12" s="596"/>
      <c r="E12" s="596"/>
      <c r="F12" s="597"/>
      <c r="G12" s="684"/>
      <c r="H12" s="619"/>
      <c r="I12" s="848"/>
      <c r="J12" s="635"/>
      <c r="K12" s="622"/>
      <c r="L12" s="572"/>
      <c r="M12" s="6"/>
      <c r="N12" s="6"/>
      <c r="O12" s="613"/>
      <c r="P12" s="1128"/>
      <c r="Q12" s="6"/>
      <c r="R12" s="605"/>
      <c r="S12" s="635"/>
      <c r="T12" s="622"/>
      <c r="U12" s="572"/>
      <c r="V12" s="6"/>
      <c r="W12" s="6"/>
      <c r="X12" s="613"/>
      <c r="Y12" s="1128"/>
      <c r="Z12" s="6"/>
      <c r="AA12" s="698"/>
      <c r="AB12" s="635"/>
      <c r="AC12" s="622"/>
      <c r="AD12" s="572"/>
      <c r="AE12" s="6"/>
      <c r="AF12" s="6"/>
      <c r="AG12" s="613"/>
      <c r="AH12" s="614"/>
      <c r="AI12" s="605"/>
      <c r="AJ12" s="605"/>
      <c r="AK12" s="635"/>
      <c r="AM12" s="572"/>
      <c r="AN12" s="6"/>
      <c r="AO12" s="6"/>
      <c r="AP12" s="613"/>
      <c r="AQ12" s="614"/>
      <c r="AR12" s="6"/>
      <c r="AS12" s="605"/>
      <c r="AT12" s="635"/>
    </row>
    <row r="13" spans="1:46" ht="34.9" customHeight="1" x14ac:dyDescent="0.25">
      <c r="A13" s="2206">
        <v>45479</v>
      </c>
      <c r="B13" s="574">
        <v>1</v>
      </c>
      <c r="C13" s="595"/>
      <c r="D13" s="596"/>
      <c r="E13" s="596"/>
      <c r="F13" s="597"/>
      <c r="G13" s="684"/>
      <c r="H13" s="619"/>
      <c r="I13" s="848"/>
      <c r="J13" s="635"/>
      <c r="K13" s="622"/>
      <c r="L13" s="572"/>
      <c r="M13" s="6"/>
      <c r="N13" s="6">
        <v>30</v>
      </c>
      <c r="O13" s="597"/>
      <c r="P13" s="614"/>
      <c r="Q13" s="6"/>
      <c r="R13" s="6" t="s">
        <v>562</v>
      </c>
      <c r="S13" s="635"/>
      <c r="T13" s="622"/>
      <c r="U13" s="572"/>
      <c r="V13" s="6"/>
      <c r="W13" s="6"/>
      <c r="X13" s="597"/>
      <c r="Y13" s="1128"/>
      <c r="Z13" s="605"/>
      <c r="AA13" s="698"/>
      <c r="AB13" s="635"/>
      <c r="AC13" s="622"/>
      <c r="AD13" s="572"/>
      <c r="AE13" s="6"/>
      <c r="AF13" s="6"/>
      <c r="AG13" s="597"/>
      <c r="AH13" s="614"/>
      <c r="AI13" s="6"/>
      <c r="AJ13" s="605"/>
      <c r="AK13" s="635"/>
      <c r="AM13" s="572"/>
      <c r="AN13" s="6"/>
      <c r="AO13" s="6"/>
      <c r="AP13" s="597"/>
      <c r="AQ13" s="614"/>
      <c r="AR13" s="6"/>
      <c r="AS13" s="6"/>
      <c r="AT13" s="635"/>
    </row>
    <row r="14" spans="1:46" ht="49.15" customHeight="1" x14ac:dyDescent="0.25">
      <c r="A14" s="2205"/>
      <c r="B14" s="574">
        <v>2</v>
      </c>
      <c r="C14" s="595"/>
      <c r="D14" s="596"/>
      <c r="E14" s="596"/>
      <c r="F14" s="597"/>
      <c r="G14" s="684"/>
      <c r="H14" s="620"/>
      <c r="I14" s="848"/>
      <c r="J14" s="635"/>
      <c r="K14" s="622"/>
      <c r="L14" s="572">
        <v>210</v>
      </c>
      <c r="M14" s="6"/>
      <c r="N14" s="6"/>
      <c r="O14" s="597"/>
      <c r="P14" s="1137" t="s">
        <v>943</v>
      </c>
      <c r="Q14" s="6"/>
      <c r="R14" s="6"/>
      <c r="S14" s="635"/>
      <c r="T14" s="622"/>
      <c r="U14" s="572"/>
      <c r="V14" s="6"/>
      <c r="W14" s="6"/>
      <c r="X14" s="597"/>
      <c r="Y14" s="1128"/>
      <c r="Z14" s="605"/>
      <c r="AA14" s="698"/>
      <c r="AB14" s="635"/>
      <c r="AC14" s="622"/>
      <c r="AD14" s="572"/>
      <c r="AE14" s="6"/>
      <c r="AF14" s="6"/>
      <c r="AG14" s="597"/>
      <c r="AH14" s="2232"/>
      <c r="AI14" s="2233"/>
      <c r="AJ14" s="2234"/>
      <c r="AK14" s="635"/>
      <c r="AM14" s="572"/>
      <c r="AN14" s="6"/>
      <c r="AO14" s="6"/>
      <c r="AP14" s="597"/>
      <c r="AQ14" s="1128"/>
      <c r="AR14" s="6"/>
      <c r="AS14" s="698"/>
      <c r="AT14" s="635"/>
    </row>
    <row r="15" spans="1:46" ht="48" customHeight="1" x14ac:dyDescent="0.25">
      <c r="A15" s="2206">
        <v>45480</v>
      </c>
      <c r="B15" s="574">
        <v>1</v>
      </c>
      <c r="C15" s="595"/>
      <c r="D15" s="596"/>
      <c r="E15" s="6"/>
      <c r="F15" s="597"/>
      <c r="G15" s="684"/>
      <c r="H15" s="620"/>
      <c r="I15" s="848"/>
      <c r="J15" s="635"/>
      <c r="K15" s="622"/>
      <c r="L15" s="572"/>
      <c r="M15" s="6"/>
      <c r="N15" s="6"/>
      <c r="O15" s="597"/>
      <c r="P15" s="685"/>
      <c r="Q15" s="620"/>
      <c r="R15" s="620"/>
      <c r="S15" s="635"/>
      <c r="T15" s="622"/>
      <c r="U15" s="572">
        <v>55</v>
      </c>
      <c r="V15" s="6"/>
      <c r="W15" s="6">
        <v>12</v>
      </c>
      <c r="X15" s="597"/>
      <c r="Y15" s="684" t="s">
        <v>944</v>
      </c>
      <c r="Z15" s="620"/>
      <c r="AA15" s="698" t="s">
        <v>562</v>
      </c>
      <c r="AB15" s="635"/>
      <c r="AC15" s="622"/>
      <c r="AD15" s="572"/>
      <c r="AE15" s="6"/>
      <c r="AF15" s="622"/>
      <c r="AG15" s="597"/>
      <c r="AH15" s="685"/>
      <c r="AI15" s="620"/>
      <c r="AJ15" s="605"/>
      <c r="AK15" s="635"/>
      <c r="AM15" s="572"/>
      <c r="AN15" s="6"/>
      <c r="AO15" s="622"/>
      <c r="AP15" s="685"/>
      <c r="AQ15" s="620"/>
      <c r="AR15" s="620"/>
      <c r="AS15" s="620"/>
      <c r="AT15" s="635"/>
    </row>
    <row r="16" spans="1:46" ht="54.6" customHeight="1" x14ac:dyDescent="0.25">
      <c r="A16" s="2205"/>
      <c r="B16" s="574">
        <v>2</v>
      </c>
      <c r="C16" s="595"/>
      <c r="D16" s="595"/>
      <c r="E16" s="595"/>
      <c r="F16" s="597">
        <v>138</v>
      </c>
      <c r="G16" s="1134"/>
      <c r="H16" s="1135"/>
      <c r="I16" s="1136"/>
      <c r="J16" s="635" t="s">
        <v>945</v>
      </c>
      <c r="K16" s="622"/>
      <c r="L16" s="572"/>
      <c r="M16" s="6"/>
      <c r="N16" s="6"/>
      <c r="O16" s="597">
        <v>138</v>
      </c>
      <c r="P16" s="1134"/>
      <c r="Q16" s="1135"/>
      <c r="R16" s="1136"/>
      <c r="S16" s="635" t="s">
        <v>945</v>
      </c>
      <c r="T16" s="622"/>
      <c r="U16" s="572"/>
      <c r="V16" s="6"/>
      <c r="W16" s="6"/>
      <c r="X16" s="597">
        <v>138</v>
      </c>
      <c r="Y16" s="1134"/>
      <c r="Z16" s="1135"/>
      <c r="AA16" s="1136"/>
      <c r="AB16" s="635" t="s">
        <v>945</v>
      </c>
      <c r="AC16" s="622"/>
      <c r="AD16" s="572"/>
      <c r="AE16" s="6"/>
      <c r="AF16" s="6"/>
      <c r="AG16" s="597">
        <v>138</v>
      </c>
      <c r="AH16" s="1134"/>
      <c r="AI16" s="1135"/>
      <c r="AJ16" s="1136"/>
      <c r="AK16" s="635" t="s">
        <v>945</v>
      </c>
      <c r="AM16" s="572"/>
      <c r="AN16" s="6"/>
      <c r="AO16" s="6"/>
      <c r="AP16" s="597">
        <v>138</v>
      </c>
      <c r="AQ16" s="1134"/>
      <c r="AR16" s="1135"/>
      <c r="AS16" s="1136"/>
      <c r="AT16" s="635" t="s">
        <v>945</v>
      </c>
    </row>
    <row r="17" spans="1:46" ht="66" customHeight="1" x14ac:dyDescent="0.25">
      <c r="A17" s="2206">
        <v>45481</v>
      </c>
      <c r="B17" s="644">
        <v>1</v>
      </c>
      <c r="C17" s="595"/>
      <c r="D17" s="596"/>
      <c r="E17" s="596"/>
      <c r="F17" s="597"/>
      <c r="G17" s="685"/>
      <c r="H17" s="619"/>
      <c r="I17" s="848"/>
      <c r="J17" s="635"/>
      <c r="K17" s="622"/>
      <c r="L17" s="572"/>
      <c r="M17" s="6"/>
      <c r="N17" s="6"/>
      <c r="O17" s="597"/>
      <c r="P17" s="685"/>
      <c r="Q17" s="619"/>
      <c r="R17" s="620"/>
      <c r="S17" s="635"/>
      <c r="T17" s="622"/>
      <c r="U17" s="572"/>
      <c r="V17" s="6"/>
      <c r="W17" s="6"/>
      <c r="X17" s="597"/>
      <c r="Y17" s="684"/>
      <c r="Z17" s="619"/>
      <c r="AA17" s="848"/>
      <c r="AB17" s="635"/>
      <c r="AC17" s="622"/>
      <c r="AD17" s="572"/>
      <c r="AE17" s="6"/>
      <c r="AF17" s="6"/>
      <c r="AG17" s="597"/>
      <c r="AH17" s="685"/>
      <c r="AI17" s="619"/>
      <c r="AJ17" s="620"/>
      <c r="AK17" s="635"/>
      <c r="AM17" s="572"/>
      <c r="AN17" s="6"/>
      <c r="AO17" s="6"/>
      <c r="AP17" s="685"/>
      <c r="AQ17" s="619"/>
      <c r="AR17" s="620"/>
      <c r="AS17" s="698"/>
      <c r="AT17" s="635"/>
    </row>
    <row r="18" spans="1:46" ht="49.9" customHeight="1" x14ac:dyDescent="0.25">
      <c r="A18" s="2205"/>
      <c r="B18" s="574">
        <v>2</v>
      </c>
      <c r="C18" s="595"/>
      <c r="D18" s="596"/>
      <c r="E18" s="596"/>
      <c r="F18" s="597"/>
      <c r="G18" s="684"/>
      <c r="H18" s="830"/>
      <c r="I18" s="848"/>
      <c r="J18" s="635"/>
      <c r="K18" s="622"/>
      <c r="L18" s="572"/>
      <c r="M18" s="6"/>
      <c r="N18" s="6"/>
      <c r="O18" s="597"/>
      <c r="P18" s="684"/>
      <c r="Q18" s="620"/>
      <c r="R18" s="619"/>
      <c r="S18" s="635"/>
      <c r="T18" s="622"/>
      <c r="U18" s="572"/>
      <c r="V18" s="6"/>
      <c r="W18" s="596"/>
      <c r="X18" s="597"/>
      <c r="Y18" s="684"/>
      <c r="Z18" s="620"/>
      <c r="AA18" s="848"/>
      <c r="AB18" s="635"/>
      <c r="AC18" s="622"/>
      <c r="AD18" s="572"/>
      <c r="AE18" s="6"/>
      <c r="AF18" s="6"/>
      <c r="AG18" s="597"/>
      <c r="AH18" s="684"/>
      <c r="AI18" s="620"/>
      <c r="AJ18" s="619"/>
      <c r="AK18" s="635"/>
      <c r="AM18" s="572"/>
      <c r="AN18" s="6"/>
      <c r="AO18" s="6"/>
      <c r="AP18" s="597"/>
      <c r="AQ18" s="2254"/>
      <c r="AR18" s="2255"/>
      <c r="AS18" s="2256"/>
      <c r="AT18" s="635"/>
    </row>
    <row r="19" spans="1:46" ht="33.6" customHeight="1" x14ac:dyDescent="0.25">
      <c r="A19" s="2206">
        <v>45482</v>
      </c>
      <c r="B19" s="574">
        <v>1</v>
      </c>
      <c r="C19" s="622"/>
      <c r="D19" s="596"/>
      <c r="E19" s="596"/>
      <c r="F19" s="597"/>
      <c r="G19" s="567"/>
      <c r="H19" s="6"/>
      <c r="I19" s="848"/>
      <c r="J19" s="635"/>
      <c r="K19" s="622"/>
      <c r="L19" s="572"/>
      <c r="M19" s="6"/>
      <c r="N19" s="6"/>
      <c r="O19" s="597"/>
      <c r="P19" s="572"/>
      <c r="Q19" s="6"/>
      <c r="R19" s="6"/>
      <c r="S19" s="635"/>
      <c r="T19" s="622"/>
      <c r="U19" s="572"/>
      <c r="V19" s="6"/>
      <c r="W19" s="6"/>
      <c r="X19" s="597"/>
      <c r="Y19" s="572"/>
      <c r="Z19" s="605"/>
      <c r="AA19" s="848"/>
      <c r="AB19" s="635"/>
      <c r="AC19" s="622"/>
      <c r="AD19" s="572"/>
      <c r="AE19" s="6"/>
      <c r="AF19" s="6"/>
      <c r="AG19" s="597"/>
      <c r="AH19" s="572"/>
      <c r="AI19" s="6"/>
      <c r="AJ19" s="698"/>
      <c r="AK19" s="635"/>
      <c r="AM19" s="572"/>
      <c r="AN19" s="6"/>
      <c r="AO19" s="6"/>
      <c r="AP19" s="597"/>
      <c r="AQ19" s="572"/>
      <c r="AR19" s="6"/>
      <c r="AS19" s="620"/>
      <c r="AT19" s="635"/>
    </row>
    <row r="20" spans="1:46" ht="44.45" customHeight="1" x14ac:dyDescent="0.25">
      <c r="A20" s="2205"/>
      <c r="B20" s="574">
        <v>2</v>
      </c>
      <c r="C20" s="595"/>
      <c r="D20" s="596"/>
      <c r="E20" s="596"/>
      <c r="F20" s="597">
        <v>720</v>
      </c>
      <c r="G20" s="567"/>
      <c r="H20" s="1077"/>
      <c r="I20" s="848"/>
      <c r="J20" s="635" t="s">
        <v>946</v>
      </c>
      <c r="K20" s="622"/>
      <c r="L20" s="572"/>
      <c r="M20" s="6"/>
      <c r="N20" s="6"/>
      <c r="O20" s="597">
        <v>720</v>
      </c>
      <c r="P20" s="567"/>
      <c r="Q20" s="1077"/>
      <c r="R20" s="848"/>
      <c r="S20" s="635" t="s">
        <v>946</v>
      </c>
      <c r="T20" s="622"/>
      <c r="U20" s="572"/>
      <c r="V20" s="6"/>
      <c r="W20" s="6"/>
      <c r="X20" s="597">
        <v>720</v>
      </c>
      <c r="Y20" s="567"/>
      <c r="Z20" s="1077"/>
      <c r="AA20" s="848"/>
      <c r="AB20" s="635" t="s">
        <v>946</v>
      </c>
      <c r="AC20" s="622"/>
      <c r="AD20" s="572"/>
      <c r="AE20" s="6"/>
      <c r="AF20" s="6"/>
      <c r="AG20" s="597">
        <v>720</v>
      </c>
      <c r="AH20" s="567"/>
      <c r="AI20" s="1077"/>
      <c r="AJ20" s="848"/>
      <c r="AK20" s="635" t="s">
        <v>946</v>
      </c>
      <c r="AM20" s="572"/>
      <c r="AN20" s="6"/>
      <c r="AO20" s="6"/>
      <c r="AP20" s="597">
        <v>720</v>
      </c>
      <c r="AQ20" s="567"/>
      <c r="AR20" s="1077"/>
      <c r="AS20" s="848"/>
      <c r="AT20" s="635" t="s">
        <v>946</v>
      </c>
    </row>
    <row r="21" spans="1:46" ht="39.6" customHeight="1" x14ac:dyDescent="0.25">
      <c r="A21" s="2206">
        <v>45483</v>
      </c>
      <c r="B21" s="574">
        <v>1</v>
      </c>
      <c r="C21" s="595"/>
      <c r="D21" s="596"/>
      <c r="E21" s="596"/>
      <c r="F21" s="597">
        <v>720</v>
      </c>
      <c r="G21" s="688"/>
      <c r="H21" s="619"/>
      <c r="I21" s="848"/>
      <c r="J21" s="635" t="s">
        <v>946</v>
      </c>
      <c r="K21" s="622"/>
      <c r="L21" s="572"/>
      <c r="M21" s="6"/>
      <c r="N21" s="6"/>
      <c r="O21" s="597">
        <v>720</v>
      </c>
      <c r="P21" s="572"/>
      <c r="Q21" s="6"/>
      <c r="R21" s="6"/>
      <c r="S21" s="635" t="s">
        <v>946</v>
      </c>
      <c r="T21" s="622"/>
      <c r="U21" s="572"/>
      <c r="V21" s="6"/>
      <c r="W21" s="6"/>
      <c r="X21" s="597">
        <v>720</v>
      </c>
      <c r="Y21" s="567"/>
      <c r="Z21" s="6"/>
      <c r="AA21" s="848"/>
      <c r="AB21" s="635" t="s">
        <v>946</v>
      </c>
      <c r="AC21" s="622"/>
      <c r="AD21" s="572"/>
      <c r="AE21" s="6"/>
      <c r="AF21" s="6"/>
      <c r="AG21" s="597">
        <v>720</v>
      </c>
      <c r="AH21" s="572"/>
      <c r="AI21" s="6"/>
      <c r="AJ21" s="848"/>
      <c r="AK21" s="635" t="s">
        <v>946</v>
      </c>
      <c r="AM21" s="572"/>
      <c r="AN21" s="6"/>
      <c r="AO21" s="6"/>
      <c r="AP21" s="597">
        <v>720</v>
      </c>
      <c r="AQ21" s="572"/>
      <c r="AR21" s="605"/>
      <c r="AS21" s="50"/>
      <c r="AT21" s="635" t="s">
        <v>946</v>
      </c>
    </row>
    <row r="22" spans="1:46" ht="49.9" customHeight="1" x14ac:dyDescent="0.25">
      <c r="A22" s="2205"/>
      <c r="B22" s="574">
        <v>2</v>
      </c>
      <c r="C22" s="595"/>
      <c r="D22" s="596"/>
      <c r="E22" s="596"/>
      <c r="F22" s="597">
        <v>720</v>
      </c>
      <c r="G22" s="1126"/>
      <c r="H22" s="620"/>
      <c r="I22" s="848"/>
      <c r="J22" s="635" t="s">
        <v>946</v>
      </c>
      <c r="K22" s="622"/>
      <c r="L22" s="572"/>
      <c r="M22" s="6"/>
      <c r="N22" s="6"/>
      <c r="O22" s="597">
        <v>720</v>
      </c>
      <c r="P22" s="1128"/>
      <c r="Q22" s="620"/>
      <c r="R22" s="6"/>
      <c r="S22" s="635" t="s">
        <v>946</v>
      </c>
      <c r="T22" s="622"/>
      <c r="U22" s="572"/>
      <c r="V22" s="6"/>
      <c r="W22" s="6"/>
      <c r="X22" s="597">
        <v>720</v>
      </c>
      <c r="Y22" s="567"/>
      <c r="Z22" s="620"/>
      <c r="AA22" s="698"/>
      <c r="AB22" s="635" t="s">
        <v>946</v>
      </c>
      <c r="AC22" s="622"/>
      <c r="AD22" s="572"/>
      <c r="AE22" s="6"/>
      <c r="AF22" s="6"/>
      <c r="AG22" s="597">
        <v>720</v>
      </c>
      <c r="AH22" s="572"/>
      <c r="AI22" s="6"/>
      <c r="AJ22" s="698"/>
      <c r="AK22" s="635" t="s">
        <v>946</v>
      </c>
      <c r="AM22" s="572"/>
      <c r="AN22" s="6"/>
      <c r="AO22" s="6"/>
      <c r="AP22" s="597">
        <v>720</v>
      </c>
      <c r="AQ22" s="572"/>
      <c r="AR22" s="620"/>
      <c r="AS22" s="50"/>
      <c r="AT22" s="635" t="s">
        <v>946</v>
      </c>
    </row>
    <row r="23" spans="1:46" ht="47.45" customHeight="1" x14ac:dyDescent="0.25">
      <c r="A23" s="2206">
        <v>45484</v>
      </c>
      <c r="B23" s="644">
        <v>1</v>
      </c>
      <c r="C23" s="595"/>
      <c r="D23" s="596"/>
      <c r="E23" s="596"/>
      <c r="F23" s="597">
        <v>720</v>
      </c>
      <c r="G23" s="685"/>
      <c r="H23" s="619"/>
      <c r="I23" s="848"/>
      <c r="J23" s="635" t="s">
        <v>946</v>
      </c>
      <c r="K23" s="622"/>
      <c r="L23" s="572"/>
      <c r="M23" s="6"/>
      <c r="N23" s="6"/>
      <c r="O23" s="597">
        <v>720</v>
      </c>
      <c r="P23" s="685"/>
      <c r="Q23" s="619"/>
      <c r="R23" s="620"/>
      <c r="S23" s="635" t="s">
        <v>946</v>
      </c>
      <c r="T23" s="622"/>
      <c r="U23" s="572"/>
      <c r="V23" s="6"/>
      <c r="W23" s="6"/>
      <c r="X23" s="597">
        <v>720</v>
      </c>
      <c r="Y23" s="567"/>
      <c r="Z23" s="620"/>
      <c r="AA23" s="848"/>
      <c r="AB23" s="635" t="s">
        <v>946</v>
      </c>
      <c r="AC23" s="622"/>
      <c r="AD23" s="572"/>
      <c r="AE23" s="6"/>
      <c r="AF23" s="614"/>
      <c r="AG23" s="597">
        <v>720</v>
      </c>
      <c r="AH23" s="572"/>
      <c r="AI23" s="619"/>
      <c r="AJ23" s="620"/>
      <c r="AK23" s="635" t="s">
        <v>946</v>
      </c>
      <c r="AM23" s="572"/>
      <c r="AN23" s="6"/>
      <c r="AO23" s="6"/>
      <c r="AP23" s="597">
        <v>720</v>
      </c>
      <c r="AQ23" s="6"/>
      <c r="AR23" s="619"/>
      <c r="AS23" s="692"/>
      <c r="AT23" s="635" t="s">
        <v>946</v>
      </c>
    </row>
    <row r="24" spans="1:46" ht="49.9" customHeight="1" x14ac:dyDescent="0.25">
      <c r="A24" s="2205"/>
      <c r="B24" s="574">
        <v>2</v>
      </c>
      <c r="C24" s="595"/>
      <c r="D24" s="596"/>
      <c r="E24" s="596"/>
      <c r="F24" s="597">
        <v>720</v>
      </c>
      <c r="G24" s="685"/>
      <c r="H24" s="620"/>
      <c r="I24" s="848"/>
      <c r="J24" s="635" t="s">
        <v>946</v>
      </c>
      <c r="K24" s="622"/>
      <c r="L24" s="572"/>
      <c r="M24" s="6"/>
      <c r="N24" s="6"/>
      <c r="O24" s="597">
        <v>720</v>
      </c>
      <c r="P24" s="685"/>
      <c r="Q24" s="619"/>
      <c r="R24" s="620"/>
      <c r="S24" s="635" t="s">
        <v>946</v>
      </c>
      <c r="T24" s="622"/>
      <c r="U24" s="6"/>
      <c r="V24" s="597"/>
      <c r="W24" s="685"/>
      <c r="X24" s="597">
        <v>720</v>
      </c>
      <c r="Y24" s="848"/>
      <c r="Z24" s="619"/>
      <c r="AA24" s="848"/>
      <c r="AB24" s="635" t="s">
        <v>946</v>
      </c>
      <c r="AC24" s="622"/>
      <c r="AD24" s="572"/>
      <c r="AE24" s="6"/>
      <c r="AF24" s="614"/>
      <c r="AG24" s="597">
        <v>720</v>
      </c>
      <c r="AH24" s="848"/>
      <c r="AI24" s="619"/>
      <c r="AJ24" s="620"/>
      <c r="AK24" s="635" t="s">
        <v>946</v>
      </c>
      <c r="AM24" s="572"/>
      <c r="AN24" s="6"/>
      <c r="AO24" s="6"/>
      <c r="AP24" s="597">
        <v>720</v>
      </c>
      <c r="AQ24" s="619"/>
      <c r="AR24" s="619"/>
      <c r="AS24" s="635"/>
      <c r="AT24" s="635" t="s">
        <v>946</v>
      </c>
    </row>
    <row r="25" spans="1:46" ht="53.45" customHeight="1" x14ac:dyDescent="0.25">
      <c r="A25" s="2206">
        <v>45485</v>
      </c>
      <c r="B25" s="574">
        <v>1</v>
      </c>
      <c r="C25" s="595"/>
      <c r="D25" s="596"/>
      <c r="E25" s="596"/>
      <c r="F25" s="597">
        <v>720</v>
      </c>
      <c r="G25" s="685"/>
      <c r="H25" s="619"/>
      <c r="I25" s="848"/>
      <c r="J25" s="635" t="s">
        <v>946</v>
      </c>
      <c r="K25" s="622"/>
      <c r="L25" s="572"/>
      <c r="M25" s="6"/>
      <c r="N25" s="6"/>
      <c r="O25" s="597">
        <v>720</v>
      </c>
      <c r="P25" s="572"/>
      <c r="Q25" s="619"/>
      <c r="R25" s="6"/>
      <c r="S25" s="635" t="s">
        <v>946</v>
      </c>
      <c r="T25" s="622"/>
      <c r="U25" s="572"/>
      <c r="V25" s="6"/>
      <c r="W25" s="6"/>
      <c r="X25" s="597">
        <v>720</v>
      </c>
      <c r="Y25" s="567"/>
      <c r="Z25" s="605"/>
      <c r="AA25" s="698"/>
      <c r="AB25" s="635" t="s">
        <v>946</v>
      </c>
      <c r="AC25" s="622"/>
      <c r="AD25" s="572"/>
      <c r="AE25" s="6"/>
      <c r="AF25" s="6"/>
      <c r="AG25" s="597">
        <v>720</v>
      </c>
      <c r="AH25" s="6"/>
      <c r="AI25" s="605"/>
      <c r="AJ25" s="620"/>
      <c r="AK25" s="635" t="s">
        <v>946</v>
      </c>
      <c r="AM25" s="572"/>
      <c r="AN25" s="6"/>
      <c r="AO25" s="6"/>
      <c r="AP25" s="597">
        <v>720</v>
      </c>
      <c r="AQ25" s="6"/>
      <c r="AR25" s="6"/>
      <c r="AS25" s="50"/>
      <c r="AT25" s="635" t="s">
        <v>946</v>
      </c>
    </row>
    <row r="26" spans="1:46" ht="42" customHeight="1" x14ac:dyDescent="0.25">
      <c r="A26" s="2205"/>
      <c r="B26" s="574">
        <v>2</v>
      </c>
      <c r="C26" s="595"/>
      <c r="D26" s="596"/>
      <c r="E26" s="596"/>
      <c r="F26" s="597">
        <v>720</v>
      </c>
      <c r="G26" s="685"/>
      <c r="H26" s="620"/>
      <c r="I26" s="848"/>
      <c r="J26" s="635" t="s">
        <v>946</v>
      </c>
      <c r="K26" s="622"/>
      <c r="L26" s="572"/>
      <c r="M26" s="6"/>
      <c r="N26" s="6"/>
      <c r="O26" s="597">
        <v>720</v>
      </c>
      <c r="P26" s="685"/>
      <c r="Q26" s="620"/>
      <c r="R26" s="692"/>
      <c r="S26" s="635" t="s">
        <v>946</v>
      </c>
      <c r="T26" s="622"/>
      <c r="U26" s="572"/>
      <c r="V26" s="596"/>
      <c r="W26" s="6"/>
      <c r="X26" s="597">
        <v>720</v>
      </c>
      <c r="Y26" s="848"/>
      <c r="Z26" s="620"/>
      <c r="AA26" s="698"/>
      <c r="AB26" s="635" t="s">
        <v>946</v>
      </c>
      <c r="AC26" s="622"/>
      <c r="AD26" s="572"/>
      <c r="AE26" s="596"/>
      <c r="AF26" s="6"/>
      <c r="AG26" s="597">
        <v>720</v>
      </c>
      <c r="AH26" s="848"/>
      <c r="AI26" s="620"/>
      <c r="AJ26" s="692"/>
      <c r="AK26" s="635" t="s">
        <v>946</v>
      </c>
      <c r="AM26" s="572"/>
      <c r="AN26" s="596"/>
      <c r="AO26" s="6"/>
      <c r="AP26" s="597">
        <v>720</v>
      </c>
      <c r="AQ26" s="685"/>
      <c r="AR26" s="620"/>
      <c r="AS26" s="692"/>
      <c r="AT26" s="635" t="s">
        <v>946</v>
      </c>
    </row>
    <row r="27" spans="1:46" ht="49.9" customHeight="1" x14ac:dyDescent="0.25">
      <c r="A27" s="2206">
        <v>45486</v>
      </c>
      <c r="B27" s="644">
        <v>1</v>
      </c>
      <c r="C27" s="595"/>
      <c r="D27" s="596"/>
      <c r="E27" s="596"/>
      <c r="F27" s="597">
        <v>720</v>
      </c>
      <c r="G27" s="685"/>
      <c r="H27" s="619"/>
      <c r="I27" s="692"/>
      <c r="J27" s="635" t="s">
        <v>946</v>
      </c>
      <c r="K27" s="622"/>
      <c r="L27" s="572"/>
      <c r="M27" s="6"/>
      <c r="N27" s="6"/>
      <c r="O27" s="597">
        <v>720</v>
      </c>
      <c r="P27" s="685"/>
      <c r="Q27" s="619"/>
      <c r="R27" s="620"/>
      <c r="S27" s="635" t="s">
        <v>946</v>
      </c>
      <c r="T27" s="622"/>
      <c r="U27" s="572"/>
      <c r="V27" s="6"/>
      <c r="W27" s="6"/>
      <c r="X27" s="597">
        <v>720</v>
      </c>
      <c r="Y27" s="685"/>
      <c r="Z27" s="620"/>
      <c r="AA27" s="698"/>
      <c r="AB27" s="635" t="s">
        <v>946</v>
      </c>
      <c r="AC27" s="622"/>
      <c r="AD27" s="572"/>
      <c r="AE27" s="6"/>
      <c r="AF27" s="6"/>
      <c r="AG27" s="597">
        <v>720</v>
      </c>
      <c r="AH27" s="685"/>
      <c r="AI27" s="605"/>
      <c r="AJ27" s="620"/>
      <c r="AK27" s="635" t="s">
        <v>946</v>
      </c>
      <c r="AM27" s="572"/>
      <c r="AN27" s="6"/>
      <c r="AO27" s="6"/>
      <c r="AP27" s="597">
        <v>720</v>
      </c>
      <c r="AQ27" s="605"/>
      <c r="AR27" s="6"/>
      <c r="AS27" s="692"/>
      <c r="AT27" s="635" t="s">
        <v>946</v>
      </c>
    </row>
    <row r="28" spans="1:46" ht="72" customHeight="1" x14ac:dyDescent="0.25">
      <c r="A28" s="2205"/>
      <c r="B28" s="574">
        <v>2</v>
      </c>
      <c r="C28" s="595"/>
      <c r="D28" s="596"/>
      <c r="E28" s="596"/>
      <c r="F28" s="597">
        <v>720</v>
      </c>
      <c r="G28" s="620"/>
      <c r="H28" s="620"/>
      <c r="I28" s="692"/>
      <c r="J28" s="635" t="s">
        <v>946</v>
      </c>
      <c r="K28" s="622"/>
      <c r="L28" s="572"/>
      <c r="M28" s="6"/>
      <c r="N28" s="6"/>
      <c r="O28" s="597">
        <v>720</v>
      </c>
      <c r="P28" s="620"/>
      <c r="Q28" s="620"/>
      <c r="R28" s="620"/>
      <c r="S28" s="635" t="s">
        <v>946</v>
      </c>
      <c r="T28" s="622"/>
      <c r="U28" s="572"/>
      <c r="V28" s="6"/>
      <c r="W28" s="622"/>
      <c r="X28" s="597">
        <v>720</v>
      </c>
      <c r="Y28" s="620"/>
      <c r="Z28" s="6"/>
      <c r="AA28" s="698"/>
      <c r="AB28" s="635" t="s">
        <v>946</v>
      </c>
      <c r="AC28" s="622"/>
      <c r="AD28" s="572"/>
      <c r="AE28" s="6"/>
      <c r="AF28" s="6"/>
      <c r="AG28" s="597">
        <v>720</v>
      </c>
      <c r="AH28" s="685"/>
      <c r="AI28" s="605"/>
      <c r="AJ28" s="692"/>
      <c r="AK28" s="635" t="s">
        <v>946</v>
      </c>
      <c r="AM28" s="572"/>
      <c r="AN28" s="6"/>
      <c r="AO28" s="6"/>
      <c r="AP28" s="597">
        <v>720</v>
      </c>
      <c r="AQ28" s="605"/>
      <c r="AR28" s="6"/>
      <c r="AS28" s="692"/>
      <c r="AT28" s="635" t="s">
        <v>946</v>
      </c>
    </row>
    <row r="29" spans="1:46" ht="66" customHeight="1" x14ac:dyDescent="0.25">
      <c r="A29" s="2206">
        <v>45487</v>
      </c>
      <c r="B29" s="574">
        <v>1</v>
      </c>
      <c r="C29" s="595"/>
      <c r="D29" s="596"/>
      <c r="E29" s="596"/>
      <c r="F29" s="597">
        <v>720</v>
      </c>
      <c r="G29" s="620"/>
      <c r="H29" s="619"/>
      <c r="I29" s="692"/>
      <c r="J29" s="635" t="s">
        <v>946</v>
      </c>
      <c r="K29" s="622"/>
      <c r="L29" s="572"/>
      <c r="M29" s="6"/>
      <c r="N29" s="6"/>
      <c r="O29" s="597">
        <v>720</v>
      </c>
      <c r="P29" s="685"/>
      <c r="Q29" s="620"/>
      <c r="R29" s="620"/>
      <c r="S29" s="635" t="s">
        <v>946</v>
      </c>
      <c r="T29" s="622"/>
      <c r="U29" s="572"/>
      <c r="V29" s="6"/>
      <c r="W29" s="6"/>
      <c r="X29" s="597">
        <v>720</v>
      </c>
      <c r="Y29" s="620"/>
      <c r="Z29" s="619"/>
      <c r="AA29" s="698"/>
      <c r="AB29" s="635" t="s">
        <v>946</v>
      </c>
      <c r="AC29" s="622"/>
      <c r="AD29" s="572"/>
      <c r="AE29" s="6"/>
      <c r="AF29" s="6"/>
      <c r="AG29" s="597">
        <v>720</v>
      </c>
      <c r="AH29" s="685"/>
      <c r="AI29" s="619"/>
      <c r="AJ29" s="620"/>
      <c r="AK29" s="635" t="s">
        <v>946</v>
      </c>
      <c r="AM29" s="572"/>
      <c r="AN29" s="6"/>
      <c r="AO29" s="6"/>
      <c r="AP29" s="597">
        <v>720</v>
      </c>
      <c r="AQ29" s="605"/>
      <c r="AR29" s="619"/>
      <c r="AS29" s="620"/>
      <c r="AT29" s="635" t="s">
        <v>946</v>
      </c>
    </row>
    <row r="30" spans="1:46" ht="39.6" customHeight="1" x14ac:dyDescent="0.25">
      <c r="A30" s="2205"/>
      <c r="B30" s="644">
        <v>2</v>
      </c>
      <c r="C30" s="595"/>
      <c r="D30" s="596"/>
      <c r="E30" s="596"/>
      <c r="F30" s="597">
        <v>720</v>
      </c>
      <c r="G30" s="620"/>
      <c r="H30" s="619"/>
      <c r="I30" s="692"/>
      <c r="J30" s="635" t="s">
        <v>946</v>
      </c>
      <c r="K30" s="622"/>
      <c r="L30" s="572"/>
      <c r="M30" s="6"/>
      <c r="N30" s="6"/>
      <c r="O30" s="597">
        <v>720</v>
      </c>
      <c r="P30" s="685"/>
      <c r="Q30" s="620"/>
      <c r="R30" s="620"/>
      <c r="S30" s="635" t="s">
        <v>946</v>
      </c>
      <c r="T30" s="622"/>
      <c r="U30" s="572"/>
      <c r="V30" s="6"/>
      <c r="W30" s="6"/>
      <c r="X30" s="597">
        <v>720</v>
      </c>
      <c r="Y30" s="620"/>
      <c r="Z30" s="619"/>
      <c r="AA30" s="698"/>
      <c r="AB30" s="635" t="s">
        <v>946</v>
      </c>
      <c r="AC30" s="622"/>
      <c r="AD30" s="572"/>
      <c r="AE30" s="6"/>
      <c r="AF30" s="6"/>
      <c r="AG30" s="597">
        <v>720</v>
      </c>
      <c r="AH30" s="685"/>
      <c r="AI30" s="620"/>
      <c r="AJ30" s="620"/>
      <c r="AK30" s="635" t="s">
        <v>946</v>
      </c>
      <c r="AM30" s="572"/>
      <c r="AN30" s="6"/>
      <c r="AO30" s="6"/>
      <c r="AP30" s="597">
        <v>720</v>
      </c>
      <c r="AQ30" s="1128"/>
      <c r="AR30" s="605"/>
      <c r="AS30" s="828"/>
      <c r="AT30" s="635" t="s">
        <v>946</v>
      </c>
    </row>
    <row r="31" spans="1:46" ht="39.6" customHeight="1" x14ac:dyDescent="0.25">
      <c r="A31" s="2206">
        <v>45488</v>
      </c>
      <c r="B31" s="574">
        <v>1</v>
      </c>
      <c r="C31" s="595"/>
      <c r="D31" s="596"/>
      <c r="E31" s="596"/>
      <c r="F31" s="597">
        <v>720</v>
      </c>
      <c r="G31" s="685"/>
      <c r="H31" s="620"/>
      <c r="I31" s="620"/>
      <c r="J31" s="635" t="s">
        <v>946</v>
      </c>
      <c r="K31" s="622"/>
      <c r="L31" s="572"/>
      <c r="M31" s="6"/>
      <c r="N31" s="6"/>
      <c r="O31" s="597">
        <v>720</v>
      </c>
      <c r="P31" s="614"/>
      <c r="Q31" s="6"/>
      <c r="R31" s="6"/>
      <c r="S31" s="635" t="s">
        <v>946</v>
      </c>
      <c r="T31" s="622"/>
      <c r="U31" s="572"/>
      <c r="V31" s="6"/>
      <c r="W31" s="6"/>
      <c r="X31" s="597">
        <v>720</v>
      </c>
      <c r="Y31" s="1128"/>
      <c r="Z31" s="6"/>
      <c r="AA31" s="698"/>
      <c r="AB31" s="635" t="s">
        <v>946</v>
      </c>
      <c r="AC31" s="622"/>
      <c r="AD31" s="572"/>
      <c r="AE31" s="6"/>
      <c r="AF31" s="6"/>
      <c r="AG31" s="597">
        <v>720</v>
      </c>
      <c r="AH31" s="685"/>
      <c r="AI31" s="6"/>
      <c r="AJ31" s="6"/>
      <c r="AK31" s="635" t="s">
        <v>946</v>
      </c>
      <c r="AM31" s="572"/>
      <c r="AN31" s="6"/>
      <c r="AO31" s="6"/>
      <c r="AP31" s="597">
        <v>720</v>
      </c>
      <c r="AQ31" s="614"/>
      <c r="AR31" s="6"/>
      <c r="AS31" s="6"/>
      <c r="AT31" s="635" t="s">
        <v>946</v>
      </c>
    </row>
    <row r="32" spans="1:46" ht="63" customHeight="1" x14ac:dyDescent="0.25">
      <c r="A32" s="2205"/>
      <c r="B32" s="574">
        <v>2</v>
      </c>
      <c r="C32" s="595"/>
      <c r="D32" s="596"/>
      <c r="E32" s="596"/>
      <c r="F32" s="597">
        <v>720</v>
      </c>
      <c r="G32" s="685"/>
      <c r="H32" s="684"/>
      <c r="I32" s="692"/>
      <c r="J32" s="635" t="s">
        <v>946</v>
      </c>
      <c r="K32" s="622"/>
      <c r="L32" s="572"/>
      <c r="M32" s="6"/>
      <c r="N32" s="6"/>
      <c r="O32" s="597">
        <v>720</v>
      </c>
      <c r="P32" s="614"/>
      <c r="Q32" s="6"/>
      <c r="R32" s="6"/>
      <c r="S32" s="635" t="s">
        <v>946</v>
      </c>
      <c r="T32" s="622"/>
      <c r="U32" s="572"/>
      <c r="V32" s="6"/>
      <c r="W32" s="596"/>
      <c r="X32" s="597">
        <v>720</v>
      </c>
      <c r="Y32" s="685"/>
      <c r="Z32" s="685"/>
      <c r="AA32" s="698"/>
      <c r="AB32" s="635" t="s">
        <v>946</v>
      </c>
      <c r="AC32" s="622"/>
      <c r="AD32" s="572"/>
      <c r="AE32" s="6"/>
      <c r="AF32" s="596"/>
      <c r="AG32" s="597">
        <v>720</v>
      </c>
      <c r="AH32" s="685"/>
      <c r="AI32" s="685"/>
      <c r="AJ32" s="698"/>
      <c r="AK32" s="635" t="s">
        <v>946</v>
      </c>
      <c r="AM32" s="572"/>
      <c r="AN32" s="6"/>
      <c r="AO32" s="6"/>
      <c r="AP32" s="597">
        <v>720</v>
      </c>
      <c r="AQ32" s="614"/>
      <c r="AR32" s="605"/>
      <c r="AS32" s="684"/>
      <c r="AT32" s="635" t="s">
        <v>946</v>
      </c>
    </row>
    <row r="33" spans="1:46" ht="43.15" customHeight="1" x14ac:dyDescent="0.25">
      <c r="A33" s="2206">
        <v>45489</v>
      </c>
      <c r="B33" s="574">
        <v>1</v>
      </c>
      <c r="C33" s="595"/>
      <c r="D33" s="596"/>
      <c r="E33" s="596"/>
      <c r="F33" s="597">
        <v>720</v>
      </c>
      <c r="G33" s="685"/>
      <c r="H33" s="620"/>
      <c r="I33" s="698"/>
      <c r="J33" s="635" t="s">
        <v>946</v>
      </c>
      <c r="K33" s="622"/>
      <c r="L33" s="572"/>
      <c r="M33" s="6"/>
      <c r="N33" s="6"/>
      <c r="O33" s="597">
        <v>720</v>
      </c>
      <c r="P33" s="614"/>
      <c r="Q33" s="6"/>
      <c r="R33" s="6"/>
      <c r="S33" s="635" t="s">
        <v>946</v>
      </c>
      <c r="T33" s="622"/>
      <c r="U33" s="572"/>
      <c r="V33" s="6"/>
      <c r="W33" s="6"/>
      <c r="X33" s="597">
        <v>720</v>
      </c>
      <c r="Y33" s="614"/>
      <c r="Z33" s="6"/>
      <c r="AA33" s="698"/>
      <c r="AB33" s="635" t="s">
        <v>946</v>
      </c>
      <c r="AC33" s="622"/>
      <c r="AD33" s="572"/>
      <c r="AE33" s="6"/>
      <c r="AF33" s="6"/>
      <c r="AG33" s="597">
        <v>720</v>
      </c>
      <c r="AH33" s="614"/>
      <c r="AI33" s="605"/>
      <c r="AJ33" s="698"/>
      <c r="AK33" s="635" t="s">
        <v>946</v>
      </c>
      <c r="AM33" s="572"/>
      <c r="AN33" s="6"/>
      <c r="AO33" s="6"/>
      <c r="AP33" s="597">
        <v>720</v>
      </c>
      <c r="AQ33" s="614"/>
      <c r="AR33" s="605"/>
      <c r="AS33" s="6"/>
      <c r="AT33" s="635" t="s">
        <v>946</v>
      </c>
    </row>
    <row r="34" spans="1:46" ht="67.900000000000006" customHeight="1" x14ac:dyDescent="0.25">
      <c r="A34" s="2205"/>
      <c r="B34" s="644">
        <v>2</v>
      </c>
      <c r="C34" s="596"/>
      <c r="D34" s="596"/>
      <c r="E34" s="596"/>
      <c r="F34" s="597">
        <v>720</v>
      </c>
      <c r="G34" s="684"/>
      <c r="H34" s="620"/>
      <c r="I34" s="698"/>
      <c r="J34" s="635" t="s">
        <v>946</v>
      </c>
      <c r="K34" s="622"/>
      <c r="L34" s="572"/>
      <c r="M34" s="6"/>
      <c r="N34" s="6"/>
      <c r="O34" s="597">
        <v>720</v>
      </c>
      <c r="P34" s="614"/>
      <c r="Q34" s="620"/>
      <c r="R34" s="6"/>
      <c r="S34" s="635" t="s">
        <v>946</v>
      </c>
      <c r="T34" s="622"/>
      <c r="U34" s="572"/>
      <c r="V34" s="6"/>
      <c r="W34" s="6"/>
      <c r="X34" s="597">
        <v>720</v>
      </c>
      <c r="Y34" s="605"/>
      <c r="Z34" s="605"/>
      <c r="AA34" s="698"/>
      <c r="AB34" s="635" t="s">
        <v>946</v>
      </c>
      <c r="AC34" s="622"/>
      <c r="AD34" s="572"/>
      <c r="AE34" s="6"/>
      <c r="AF34" s="6"/>
      <c r="AG34" s="597">
        <v>720</v>
      </c>
      <c r="AH34" s="614"/>
      <c r="AI34" s="6"/>
      <c r="AJ34" s="605"/>
      <c r="AK34" s="635" t="s">
        <v>946</v>
      </c>
      <c r="AM34" s="572"/>
      <c r="AN34" s="6"/>
      <c r="AO34" s="6"/>
      <c r="AP34" s="597">
        <v>720</v>
      </c>
      <c r="AQ34" s="614"/>
      <c r="AR34" s="6"/>
      <c r="AS34" s="828"/>
      <c r="AT34" s="635" t="s">
        <v>946</v>
      </c>
    </row>
    <row r="35" spans="1:46" ht="51" customHeight="1" x14ac:dyDescent="0.25">
      <c r="A35" s="2206">
        <v>45490</v>
      </c>
      <c r="B35" s="574">
        <v>1</v>
      </c>
      <c r="C35" s="596"/>
      <c r="D35" s="596"/>
      <c r="E35" s="50"/>
      <c r="F35" s="597">
        <v>720</v>
      </c>
      <c r="G35" s="567"/>
      <c r="H35" s="614"/>
      <c r="I35" s="692"/>
      <c r="J35" s="635" t="s">
        <v>946</v>
      </c>
      <c r="K35" s="622"/>
      <c r="L35" s="572"/>
      <c r="M35" s="6"/>
      <c r="N35" s="6"/>
      <c r="O35" s="597">
        <v>720</v>
      </c>
      <c r="P35" s="567"/>
      <c r="Q35" s="1132"/>
      <c r="R35" s="620"/>
      <c r="S35" s="635" t="s">
        <v>946</v>
      </c>
      <c r="T35" s="622"/>
      <c r="U35" s="572"/>
      <c r="V35" s="6"/>
      <c r="W35" s="50"/>
      <c r="X35" s="597">
        <v>720</v>
      </c>
      <c r="Y35" s="567"/>
      <c r="Z35" s="605"/>
      <c r="AA35" s="698"/>
      <c r="AB35" s="635" t="s">
        <v>946</v>
      </c>
      <c r="AC35" s="622"/>
      <c r="AD35" s="572"/>
      <c r="AE35" s="6"/>
      <c r="AF35" s="6"/>
      <c r="AG35" s="597">
        <v>720</v>
      </c>
      <c r="AH35" s="567"/>
      <c r="AI35" s="6"/>
      <c r="AJ35" s="684"/>
      <c r="AK35" s="635" t="s">
        <v>946</v>
      </c>
      <c r="AM35" s="572"/>
      <c r="AN35" s="6"/>
      <c r="AO35" s="50"/>
      <c r="AP35" s="597">
        <v>720</v>
      </c>
      <c r="AQ35" s="567"/>
      <c r="AR35" s="692"/>
      <c r="AS35" s="828"/>
      <c r="AT35" s="635" t="s">
        <v>946</v>
      </c>
    </row>
    <row r="36" spans="1:46" ht="46.9" customHeight="1" x14ac:dyDescent="0.25">
      <c r="A36" s="2205"/>
      <c r="B36" s="574">
        <v>2</v>
      </c>
      <c r="C36" s="50"/>
      <c r="D36" s="6"/>
      <c r="E36" s="50"/>
      <c r="F36" s="597">
        <v>720</v>
      </c>
      <c r="G36" s="692"/>
      <c r="H36" s="620"/>
      <c r="I36" s="848"/>
      <c r="J36" s="635" t="s">
        <v>946</v>
      </c>
      <c r="K36" s="622"/>
      <c r="L36" s="567"/>
      <c r="M36" s="6"/>
      <c r="N36" s="6"/>
      <c r="O36" s="597">
        <v>720</v>
      </c>
      <c r="P36" s="567"/>
      <c r="Q36" s="620"/>
      <c r="R36" s="605"/>
      <c r="S36" s="635" t="s">
        <v>946</v>
      </c>
      <c r="T36" s="622"/>
      <c r="U36" s="572"/>
      <c r="V36" s="6"/>
      <c r="W36" s="6"/>
      <c r="X36" s="597">
        <v>720</v>
      </c>
      <c r="Y36" s="567"/>
      <c r="Z36" s="620"/>
      <c r="AA36" s="698"/>
      <c r="AB36" s="635" t="s">
        <v>946</v>
      </c>
      <c r="AC36" s="622"/>
      <c r="AD36" s="572"/>
      <c r="AE36" s="6"/>
      <c r="AF36" s="50"/>
      <c r="AG36" s="597">
        <v>720</v>
      </c>
      <c r="AH36" s="567"/>
      <c r="AI36" s="605"/>
      <c r="AJ36" s="698"/>
      <c r="AK36" s="635" t="s">
        <v>946</v>
      </c>
      <c r="AM36" s="572"/>
      <c r="AN36" s="6"/>
      <c r="AO36" s="572"/>
      <c r="AP36" s="597">
        <v>720</v>
      </c>
      <c r="AQ36" s="614"/>
      <c r="AR36" s="1128"/>
      <c r="AS36" s="567"/>
      <c r="AT36" s="635" t="s">
        <v>946</v>
      </c>
    </row>
    <row r="37" spans="1:46" ht="59.45" customHeight="1" x14ac:dyDescent="0.25">
      <c r="A37" s="2206">
        <v>45491</v>
      </c>
      <c r="B37" s="644">
        <v>1</v>
      </c>
      <c r="C37" s="50"/>
      <c r="D37" s="596"/>
      <c r="E37" s="50"/>
      <c r="F37" s="597">
        <v>720</v>
      </c>
      <c r="G37" s="692"/>
      <c r="H37" s="1128"/>
      <c r="I37" s="848"/>
      <c r="J37" s="635" t="s">
        <v>946</v>
      </c>
      <c r="K37" s="622"/>
      <c r="L37" s="572"/>
      <c r="M37" s="6"/>
      <c r="N37" s="6"/>
      <c r="O37" s="597">
        <v>720</v>
      </c>
      <c r="P37" s="614"/>
      <c r="Q37" s="6"/>
      <c r="R37" s="6"/>
      <c r="S37" s="635" t="s">
        <v>946</v>
      </c>
      <c r="T37" s="622"/>
      <c r="U37" s="572"/>
      <c r="V37" s="6"/>
      <c r="W37" s="6"/>
      <c r="X37" s="597">
        <v>720</v>
      </c>
      <c r="Y37" s="614"/>
      <c r="Z37" s="605"/>
      <c r="AA37" s="698"/>
      <c r="AB37" s="635" t="s">
        <v>946</v>
      </c>
      <c r="AC37" s="622"/>
      <c r="AD37" s="572"/>
      <c r="AE37" s="6"/>
      <c r="AF37" s="6"/>
      <c r="AG37" s="597">
        <v>720</v>
      </c>
      <c r="AH37" s="1128"/>
      <c r="AI37" s="6"/>
      <c r="AJ37" s="698"/>
      <c r="AK37" s="635" t="s">
        <v>946</v>
      </c>
      <c r="AM37" s="572"/>
      <c r="AN37" s="6"/>
      <c r="AO37" s="6"/>
      <c r="AP37" s="597">
        <v>720</v>
      </c>
      <c r="AQ37" s="614"/>
      <c r="AR37" s="6"/>
      <c r="AS37" s="6"/>
      <c r="AT37" s="635" t="s">
        <v>946</v>
      </c>
    </row>
    <row r="38" spans="1:46" ht="55.9" customHeight="1" x14ac:dyDescent="0.25">
      <c r="A38" s="2205"/>
      <c r="B38" s="574">
        <v>2</v>
      </c>
      <c r="C38" s="50"/>
      <c r="D38" s="596">
        <v>42</v>
      </c>
      <c r="E38" s="50"/>
      <c r="F38" s="829"/>
      <c r="G38" s="692"/>
      <c r="H38" s="1138" t="s">
        <v>947</v>
      </c>
      <c r="I38" s="848"/>
      <c r="J38" s="635"/>
      <c r="K38" s="622"/>
      <c r="L38" s="572"/>
      <c r="M38" s="6"/>
      <c r="N38" s="6">
        <v>5</v>
      </c>
      <c r="O38" s="613"/>
      <c r="P38" s="1128"/>
      <c r="Q38" s="1128"/>
      <c r="R38" s="6" t="s">
        <v>948</v>
      </c>
      <c r="S38" s="635"/>
      <c r="T38" s="622"/>
      <c r="U38" s="572"/>
      <c r="V38" s="6"/>
      <c r="W38" s="6"/>
      <c r="X38" s="613"/>
      <c r="Y38" s="1128"/>
      <c r="Z38" s="605"/>
      <c r="AA38" s="698"/>
      <c r="AB38" s="635"/>
      <c r="AC38" s="622"/>
      <c r="AD38" s="572"/>
      <c r="AE38" s="6"/>
      <c r="AF38" s="6"/>
      <c r="AG38" s="613"/>
      <c r="AH38" s="1128"/>
      <c r="AI38" s="6"/>
      <c r="AJ38" s="698"/>
      <c r="AK38" s="635"/>
      <c r="AM38" s="572"/>
      <c r="AN38" s="6"/>
      <c r="AO38" s="6"/>
      <c r="AP38" s="613"/>
      <c r="AQ38" s="1128"/>
      <c r="AR38" s="6"/>
      <c r="AS38" s="567"/>
      <c r="AT38" s="635"/>
    </row>
    <row r="39" spans="1:46" ht="70.900000000000006" customHeight="1" x14ac:dyDescent="0.25">
      <c r="A39" s="2206">
        <v>45492</v>
      </c>
      <c r="B39" s="574">
        <v>1</v>
      </c>
      <c r="C39" s="50"/>
      <c r="D39" s="596"/>
      <c r="E39" s="50">
        <v>38</v>
      </c>
      <c r="F39" s="829"/>
      <c r="G39" s="692"/>
      <c r="H39" s="1138" t="s">
        <v>401</v>
      </c>
      <c r="I39" s="848"/>
      <c r="J39" s="635"/>
      <c r="K39" s="622"/>
      <c r="L39" s="572"/>
      <c r="M39" s="6"/>
      <c r="N39" s="6">
        <v>56</v>
      </c>
      <c r="O39" s="597"/>
      <c r="P39" s="692"/>
      <c r="Q39" s="619"/>
      <c r="R39" s="6" t="s">
        <v>948</v>
      </c>
      <c r="S39" s="635"/>
      <c r="T39" s="622"/>
      <c r="U39" s="572"/>
      <c r="V39" s="6"/>
      <c r="W39" s="6">
        <v>56</v>
      </c>
      <c r="X39" s="597"/>
      <c r="Y39" s="614"/>
      <c r="Z39" s="619"/>
      <c r="AA39" s="698" t="s">
        <v>401</v>
      </c>
      <c r="AB39" s="635"/>
      <c r="AC39" s="622"/>
      <c r="AD39" s="572"/>
      <c r="AE39" s="6"/>
      <c r="AF39" s="6">
        <v>56</v>
      </c>
      <c r="AG39" s="597"/>
      <c r="AH39" s="692"/>
      <c r="AI39" s="619"/>
      <c r="AJ39" s="698" t="s">
        <v>401</v>
      </c>
      <c r="AK39" s="635"/>
      <c r="AM39" s="572"/>
      <c r="AN39" s="6">
        <v>9</v>
      </c>
      <c r="AO39" s="6">
        <v>13</v>
      </c>
      <c r="AP39" s="692"/>
      <c r="AQ39" s="619"/>
      <c r="AR39" s="692" t="s">
        <v>949</v>
      </c>
      <c r="AS39" s="698" t="s">
        <v>401</v>
      </c>
      <c r="AT39" s="687"/>
    </row>
    <row r="40" spans="1:46" ht="72.599999999999994" customHeight="1" x14ac:dyDescent="0.25">
      <c r="A40" s="2205"/>
      <c r="B40" s="574">
        <v>2</v>
      </c>
      <c r="C40" s="596"/>
      <c r="D40" s="596"/>
      <c r="E40" s="596">
        <v>54</v>
      </c>
      <c r="F40" s="613"/>
      <c r="G40" s="692"/>
      <c r="H40" s="1138"/>
      <c r="I40" s="1138" t="s">
        <v>401</v>
      </c>
      <c r="J40" s="635"/>
      <c r="K40" s="622"/>
      <c r="L40" s="572"/>
      <c r="M40" s="6"/>
      <c r="N40" s="6"/>
      <c r="O40" s="613"/>
      <c r="P40" s="685"/>
      <c r="Q40" s="619"/>
      <c r="R40" s="692"/>
      <c r="S40" s="635"/>
      <c r="T40" s="622"/>
      <c r="U40" s="572"/>
      <c r="V40" s="6"/>
      <c r="W40" s="6">
        <v>49</v>
      </c>
      <c r="X40" s="613"/>
      <c r="Y40" s="685"/>
      <c r="Z40" s="619"/>
      <c r="AA40" s="698" t="s">
        <v>401</v>
      </c>
      <c r="AB40" s="635"/>
      <c r="AC40" s="622"/>
      <c r="AD40" s="572"/>
      <c r="AE40" s="6"/>
      <c r="AF40" s="6">
        <v>7</v>
      </c>
      <c r="AG40" s="613"/>
      <c r="AH40" s="567"/>
      <c r="AI40" s="620"/>
      <c r="AJ40" s="698" t="s">
        <v>401</v>
      </c>
      <c r="AK40" s="635"/>
      <c r="AM40" s="567"/>
      <c r="AN40" s="6"/>
      <c r="AO40" s="6"/>
      <c r="AP40" s="613"/>
      <c r="AQ40" s="685"/>
      <c r="AR40" s="619"/>
      <c r="AS40" s="692"/>
      <c r="AT40" s="635"/>
    </row>
    <row r="41" spans="1:46" ht="39.6" customHeight="1" x14ac:dyDescent="0.25">
      <c r="A41" s="2206">
        <v>45493</v>
      </c>
      <c r="B41" s="574">
        <v>1</v>
      </c>
      <c r="C41" s="595"/>
      <c r="D41" s="596"/>
      <c r="E41" s="596"/>
      <c r="F41" s="613"/>
      <c r="G41" s="685"/>
      <c r="H41" s="620"/>
      <c r="I41" s="620"/>
      <c r="J41" s="635"/>
      <c r="K41" s="622"/>
      <c r="L41" s="572"/>
      <c r="M41" s="6"/>
      <c r="N41" s="6"/>
      <c r="O41" s="613"/>
      <c r="P41" s="614"/>
      <c r="Q41" s="6"/>
      <c r="R41" s="692"/>
      <c r="S41" s="635"/>
      <c r="T41" s="622"/>
      <c r="U41" s="572"/>
      <c r="V41" s="6"/>
      <c r="W41" s="6"/>
      <c r="X41" s="613"/>
      <c r="Y41" s="614"/>
      <c r="Z41" s="605"/>
      <c r="AA41" s="698"/>
      <c r="AB41" s="613"/>
      <c r="AC41" s="622"/>
      <c r="AD41" s="572"/>
      <c r="AE41" s="6"/>
      <c r="AF41" s="6"/>
      <c r="AG41" s="613"/>
      <c r="AH41" s="567"/>
      <c r="AI41" s="605"/>
      <c r="AJ41" s="6"/>
      <c r="AK41" s="613"/>
      <c r="AM41" s="572"/>
      <c r="AN41" s="6"/>
      <c r="AO41" s="6"/>
      <c r="AP41" s="613"/>
      <c r="AQ41" s="614"/>
      <c r="AR41" s="605"/>
      <c r="AS41" s="692"/>
      <c r="AT41" s="613"/>
    </row>
    <row r="42" spans="1:46" ht="52.9" customHeight="1" x14ac:dyDescent="0.25">
      <c r="A42" s="2205"/>
      <c r="B42" s="574">
        <v>2</v>
      </c>
      <c r="C42" s="596"/>
      <c r="D42" s="596"/>
      <c r="E42" s="596"/>
      <c r="F42" s="613"/>
      <c r="G42" s="685"/>
      <c r="H42" s="620"/>
      <c r="I42" s="692"/>
      <c r="J42" s="635"/>
      <c r="K42" s="622"/>
      <c r="L42" s="572"/>
      <c r="M42" s="6"/>
      <c r="N42" s="6"/>
      <c r="O42" s="613"/>
      <c r="P42" s="614"/>
      <c r="Q42" s="605"/>
      <c r="R42" s="6"/>
      <c r="S42" s="635"/>
      <c r="T42" s="622"/>
      <c r="U42" s="572"/>
      <c r="V42" s="6">
        <v>28</v>
      </c>
      <c r="W42" s="6"/>
      <c r="X42" s="613"/>
      <c r="Y42" s="1128"/>
      <c r="Z42" s="6" t="s">
        <v>317</v>
      </c>
      <c r="AA42" s="698"/>
      <c r="AB42" s="635"/>
      <c r="AC42" s="622"/>
      <c r="AD42" s="572"/>
      <c r="AE42" s="6"/>
      <c r="AF42" s="6"/>
      <c r="AG42" s="613"/>
      <c r="AH42" s="614"/>
      <c r="AI42" s="605"/>
      <c r="AJ42" s="6"/>
      <c r="AK42" s="635"/>
      <c r="AM42" s="572"/>
      <c r="AN42" s="6"/>
      <c r="AO42" s="6">
        <v>10</v>
      </c>
      <c r="AP42" s="613"/>
      <c r="AQ42" s="614"/>
      <c r="AR42" s="6"/>
      <c r="AS42" s="6" t="s">
        <v>152</v>
      </c>
      <c r="AT42" s="635"/>
    </row>
    <row r="43" spans="1:46" ht="65.45" customHeight="1" x14ac:dyDescent="0.25">
      <c r="A43" s="2206">
        <v>45494</v>
      </c>
      <c r="B43" s="574">
        <v>1</v>
      </c>
      <c r="C43" s="596"/>
      <c r="D43" s="596"/>
      <c r="E43" s="596"/>
      <c r="F43" s="597"/>
      <c r="G43" s="619"/>
      <c r="H43" s="619"/>
      <c r="I43" s="848"/>
      <c r="J43" s="635"/>
      <c r="K43" s="622"/>
      <c r="L43" s="572"/>
      <c r="M43" s="6"/>
      <c r="N43" s="6"/>
      <c r="O43" s="613"/>
      <c r="P43" s="614"/>
      <c r="Q43" s="6"/>
      <c r="R43" s="6"/>
      <c r="S43" s="635"/>
      <c r="T43" s="622"/>
      <c r="U43" s="572"/>
      <c r="V43" s="6"/>
      <c r="W43" s="6"/>
      <c r="X43" s="613"/>
      <c r="Y43" s="614"/>
      <c r="Z43" s="6"/>
      <c r="AA43" s="698"/>
      <c r="AB43" s="635"/>
      <c r="AC43" s="622"/>
      <c r="AD43" s="572"/>
      <c r="AE43" s="6"/>
      <c r="AF43" s="6"/>
      <c r="AG43" s="613"/>
      <c r="AH43" s="605"/>
      <c r="AI43" s="620"/>
      <c r="AJ43" s="6"/>
      <c r="AK43" s="635"/>
      <c r="AM43" s="572"/>
      <c r="AN43" s="6"/>
      <c r="AO43" s="6"/>
      <c r="AP43" s="613"/>
      <c r="AQ43" s="605"/>
      <c r="AR43" s="620"/>
      <c r="AS43" s="6"/>
      <c r="AT43" s="613"/>
    </row>
    <row r="44" spans="1:46" ht="69" customHeight="1" x14ac:dyDescent="0.25">
      <c r="A44" s="2205"/>
      <c r="B44" s="574">
        <v>2</v>
      </c>
      <c r="C44" s="596"/>
      <c r="D44" s="596"/>
      <c r="E44" s="596">
        <v>25</v>
      </c>
      <c r="F44" s="597"/>
      <c r="G44" s="619"/>
      <c r="H44" s="1138"/>
      <c r="I44" s="1138" t="s">
        <v>401</v>
      </c>
      <c r="J44" s="635"/>
      <c r="K44" s="622"/>
      <c r="L44" s="572"/>
      <c r="M44" s="6"/>
      <c r="N44" s="6"/>
      <c r="O44" s="613"/>
      <c r="P44" s="1128"/>
      <c r="Q44" s="6"/>
      <c r="R44" s="605"/>
      <c r="S44" s="635"/>
      <c r="T44" s="622"/>
      <c r="U44" s="572"/>
      <c r="V44" s="6"/>
      <c r="W44" s="596">
        <v>25</v>
      </c>
      <c r="X44" s="597"/>
      <c r="Y44" s="619"/>
      <c r="Z44" s="620"/>
      <c r="AA44" s="698" t="s">
        <v>401</v>
      </c>
      <c r="AB44" s="635"/>
      <c r="AC44" s="622"/>
      <c r="AD44" s="572"/>
      <c r="AE44" s="6"/>
      <c r="AF44" s="6"/>
      <c r="AG44" s="613"/>
      <c r="AH44" s="614"/>
      <c r="AI44" s="605"/>
      <c r="AJ44" s="698"/>
      <c r="AK44" s="635"/>
      <c r="AM44" s="572"/>
      <c r="AN44" s="6"/>
      <c r="AO44" s="6"/>
      <c r="AP44" s="613"/>
      <c r="AQ44" s="614"/>
      <c r="AR44" s="605"/>
      <c r="AS44" s="605"/>
      <c r="AT44" s="613"/>
    </row>
    <row r="45" spans="1:46" ht="69" customHeight="1" x14ac:dyDescent="0.25">
      <c r="A45" s="2206">
        <v>45495</v>
      </c>
      <c r="B45" s="574">
        <v>1</v>
      </c>
      <c r="C45" s="596"/>
      <c r="D45" s="596"/>
      <c r="E45" s="596"/>
      <c r="F45" s="597"/>
      <c r="G45" s="619"/>
      <c r="H45" s="619"/>
      <c r="I45" s="692"/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05"/>
      <c r="W45" s="6"/>
      <c r="X45" s="613"/>
      <c r="Y45" s="619"/>
      <c r="Z45" s="605"/>
      <c r="AA45" s="605"/>
      <c r="AB45" s="613"/>
      <c r="AC45" s="622"/>
      <c r="AD45" s="572"/>
      <c r="AE45" s="6"/>
      <c r="AF45" s="6"/>
      <c r="AG45" s="613"/>
      <c r="AH45" s="614"/>
      <c r="AI45" s="605"/>
      <c r="AJ45" s="605"/>
      <c r="AK45" s="613"/>
      <c r="AM45" s="572"/>
      <c r="AN45" s="6"/>
      <c r="AO45" s="6">
        <v>20</v>
      </c>
      <c r="AP45" s="613"/>
      <c r="AQ45" s="614"/>
      <c r="AR45" s="605"/>
      <c r="AS45" s="6" t="s">
        <v>152</v>
      </c>
      <c r="AT45" s="613"/>
    </row>
    <row r="46" spans="1:46" ht="48.6" customHeight="1" x14ac:dyDescent="0.25">
      <c r="A46" s="2205"/>
      <c r="B46" s="574">
        <v>2</v>
      </c>
      <c r="C46" s="596"/>
      <c r="D46" s="596"/>
      <c r="E46" s="596"/>
      <c r="F46" s="597"/>
      <c r="G46" s="619"/>
      <c r="H46" s="619"/>
      <c r="I46" s="848"/>
      <c r="J46" s="635"/>
      <c r="K46" s="622"/>
      <c r="L46" s="572"/>
      <c r="M46" s="6"/>
      <c r="N46" s="6"/>
      <c r="O46" s="785"/>
      <c r="P46" s="614"/>
      <c r="Q46" s="620"/>
      <c r="R46" s="605"/>
      <c r="S46" s="635"/>
      <c r="T46" s="622"/>
      <c r="U46" s="572"/>
      <c r="V46" s="6"/>
      <c r="W46" s="6"/>
      <c r="X46" s="613"/>
      <c r="Y46" s="1128"/>
      <c r="Z46" s="6"/>
      <c r="AA46" s="605"/>
      <c r="AB46" s="635"/>
      <c r="AC46" s="622"/>
      <c r="AD46" s="572"/>
      <c r="AE46" s="6"/>
      <c r="AF46" s="6"/>
      <c r="AG46" s="613"/>
      <c r="AH46" s="1128"/>
      <c r="AI46" s="605"/>
      <c r="AJ46" s="698"/>
      <c r="AK46" s="635"/>
      <c r="AM46" s="572"/>
      <c r="AN46" s="6"/>
      <c r="AO46" s="6">
        <v>77</v>
      </c>
      <c r="AP46" s="613"/>
      <c r="AQ46" s="614"/>
      <c r="AR46" s="620"/>
      <c r="AS46" s="6" t="s">
        <v>152</v>
      </c>
      <c r="AT46" s="635"/>
    </row>
    <row r="47" spans="1:46" ht="58.9" customHeight="1" x14ac:dyDescent="0.25">
      <c r="A47" s="2206">
        <v>45496</v>
      </c>
      <c r="B47" s="574">
        <v>1</v>
      </c>
      <c r="C47" s="596"/>
      <c r="D47" s="596"/>
      <c r="E47" s="596"/>
      <c r="F47" s="597"/>
      <c r="G47" s="619"/>
      <c r="H47" s="620"/>
      <c r="I47" s="848"/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/>
      <c r="X47" s="613"/>
      <c r="Y47" s="619"/>
      <c r="Z47" s="605"/>
      <c r="AA47" s="605"/>
      <c r="AB47" s="635"/>
      <c r="AC47" s="622"/>
      <c r="AD47" s="572"/>
      <c r="AE47" s="6">
        <v>158</v>
      </c>
      <c r="AF47" s="6"/>
      <c r="AG47" s="613"/>
      <c r="AH47" s="1128"/>
      <c r="AI47" s="620" t="s">
        <v>950</v>
      </c>
      <c r="AJ47" s="698"/>
      <c r="AK47" s="613"/>
      <c r="AM47" s="572"/>
      <c r="AN47" s="6"/>
      <c r="AO47" s="6"/>
      <c r="AP47" s="613"/>
      <c r="AQ47" s="614"/>
      <c r="AR47" s="620"/>
      <c r="AS47" s="6"/>
      <c r="AT47" s="613"/>
    </row>
    <row r="48" spans="1:46" ht="34.9" customHeight="1" x14ac:dyDescent="0.25">
      <c r="A48" s="2205"/>
      <c r="B48" s="574">
        <v>2</v>
      </c>
      <c r="C48" s="596"/>
      <c r="D48" s="596"/>
      <c r="E48" s="596"/>
      <c r="F48" s="597"/>
      <c r="G48" s="620"/>
      <c r="H48" s="620"/>
      <c r="I48" s="692"/>
      <c r="J48" s="635"/>
      <c r="K48" s="622"/>
      <c r="L48" s="572"/>
      <c r="M48" s="6"/>
      <c r="N48" s="6"/>
      <c r="O48" s="597"/>
      <c r="P48" s="620"/>
      <c r="Q48" s="620"/>
      <c r="R48" s="692"/>
      <c r="S48" s="635"/>
      <c r="T48" s="622"/>
      <c r="U48" s="572"/>
      <c r="V48" s="6"/>
      <c r="W48" s="6"/>
      <c r="X48" s="597"/>
      <c r="Y48" s="620"/>
      <c r="Z48" s="620"/>
      <c r="AA48" s="692"/>
      <c r="AB48" s="635"/>
      <c r="AC48" s="622"/>
      <c r="AD48" s="572"/>
      <c r="AE48" s="6"/>
      <c r="AF48" s="6"/>
      <c r="AG48" s="597"/>
      <c r="AH48" s="620"/>
      <c r="AI48" s="620"/>
      <c r="AJ48" s="692"/>
      <c r="AK48" s="635"/>
      <c r="AM48" s="572"/>
      <c r="AN48" s="6"/>
      <c r="AO48" s="572"/>
      <c r="AP48" s="6"/>
      <c r="AQ48" s="597"/>
      <c r="AR48" s="620"/>
      <c r="AS48" s="620"/>
      <c r="AT48" s="613"/>
    </row>
    <row r="49" spans="1:46" ht="43.15" customHeight="1" x14ac:dyDescent="0.25">
      <c r="A49" s="2206">
        <v>45497</v>
      </c>
      <c r="B49" s="574">
        <v>1</v>
      </c>
      <c r="C49" s="596"/>
      <c r="D49" s="596"/>
      <c r="E49" s="596"/>
      <c r="F49" s="597"/>
      <c r="G49" s="620"/>
      <c r="H49" s="619"/>
      <c r="I49" s="848"/>
      <c r="J49" s="635"/>
      <c r="K49" s="622"/>
      <c r="L49" s="572"/>
      <c r="M49" s="6"/>
      <c r="N49" s="6"/>
      <c r="O49" s="597"/>
      <c r="P49" s="620"/>
      <c r="Q49" s="619"/>
      <c r="R49" s="692"/>
      <c r="S49" s="635"/>
      <c r="T49" s="622"/>
      <c r="U49" s="572"/>
      <c r="V49" s="6"/>
      <c r="W49" s="6"/>
      <c r="X49" s="597">
        <v>462</v>
      </c>
      <c r="Y49" s="620"/>
      <c r="Z49" s="605"/>
      <c r="AA49" s="605"/>
      <c r="AB49" s="635" t="s">
        <v>951</v>
      </c>
      <c r="AC49" s="622"/>
      <c r="AD49" s="572"/>
      <c r="AE49" s="6"/>
      <c r="AF49" s="6"/>
      <c r="AG49" s="597"/>
      <c r="AH49" s="620"/>
      <c r="AI49" s="619"/>
      <c r="AJ49" s="692"/>
      <c r="AK49" s="635"/>
      <c r="AM49" s="572"/>
      <c r="AN49" s="6"/>
      <c r="AO49" s="6"/>
      <c r="AP49" s="620" t="s">
        <v>952</v>
      </c>
      <c r="AQ49" s="619"/>
      <c r="AR49" s="692"/>
      <c r="AS49" s="635"/>
      <c r="AT49" s="635" t="s">
        <v>951</v>
      </c>
    </row>
    <row r="50" spans="1:46" ht="51.6" customHeight="1" x14ac:dyDescent="0.25">
      <c r="A50" s="2205"/>
      <c r="B50" s="574">
        <v>2</v>
      </c>
      <c r="C50" s="596"/>
      <c r="D50" s="596"/>
      <c r="E50" s="596"/>
      <c r="F50" s="597"/>
      <c r="G50" s="619"/>
      <c r="H50" s="619"/>
      <c r="I50" s="692"/>
      <c r="J50" s="635"/>
      <c r="K50" s="622"/>
      <c r="L50" s="572"/>
      <c r="M50" s="6"/>
      <c r="N50" s="6"/>
      <c r="O50" s="597"/>
      <c r="P50" s="619"/>
      <c r="Q50" s="619"/>
      <c r="R50" s="692"/>
      <c r="S50" s="635"/>
      <c r="T50" s="622"/>
      <c r="U50" s="572"/>
      <c r="V50" s="6"/>
      <c r="W50" s="6"/>
      <c r="X50" s="597">
        <v>720</v>
      </c>
      <c r="Y50" s="619"/>
      <c r="Z50" s="619"/>
      <c r="AA50" s="698"/>
      <c r="AB50" s="635" t="s">
        <v>951</v>
      </c>
      <c r="AC50" s="622"/>
      <c r="AD50" s="572"/>
      <c r="AE50" s="6"/>
      <c r="AF50" s="6"/>
      <c r="AG50" s="597"/>
      <c r="AH50" s="619"/>
      <c r="AI50" s="619"/>
      <c r="AJ50" s="692"/>
      <c r="AK50" s="635"/>
      <c r="AM50" s="572"/>
      <c r="AN50" s="6"/>
      <c r="AO50" s="6"/>
      <c r="AP50" s="619" t="s">
        <v>953</v>
      </c>
      <c r="AQ50" s="619"/>
      <c r="AR50" s="692"/>
      <c r="AS50" s="635"/>
      <c r="AT50" s="635" t="s">
        <v>951</v>
      </c>
    </row>
    <row r="51" spans="1:46" ht="34.9" customHeight="1" x14ac:dyDescent="0.25">
      <c r="A51" s="2206">
        <v>45498</v>
      </c>
      <c r="B51" s="574">
        <v>1</v>
      </c>
      <c r="C51" s="596"/>
      <c r="D51" s="596"/>
      <c r="E51" s="596"/>
      <c r="F51" s="597"/>
      <c r="G51" s="619"/>
      <c r="H51" s="619"/>
      <c r="I51" s="848"/>
      <c r="J51" s="635"/>
      <c r="K51" s="622"/>
      <c r="L51" s="572"/>
      <c r="M51" s="6"/>
      <c r="N51" s="6"/>
      <c r="O51" s="597"/>
      <c r="P51" s="619"/>
      <c r="Q51" s="619"/>
      <c r="R51" s="692"/>
      <c r="S51" s="635"/>
      <c r="T51" s="622"/>
      <c r="U51" s="572"/>
      <c r="V51" s="6"/>
      <c r="W51" s="6"/>
      <c r="X51" s="597">
        <v>720</v>
      </c>
      <c r="Y51" s="619"/>
      <c r="Z51" s="619"/>
      <c r="AA51" s="698"/>
      <c r="AB51" s="635" t="s">
        <v>951</v>
      </c>
      <c r="AC51" s="622"/>
      <c r="AD51" s="572"/>
      <c r="AE51" s="6"/>
      <c r="AF51" s="6"/>
      <c r="AG51" s="597"/>
      <c r="AH51" s="619"/>
      <c r="AI51" s="619"/>
      <c r="AJ51" s="692"/>
      <c r="AK51" s="635"/>
      <c r="AM51" s="572"/>
      <c r="AN51" s="6"/>
      <c r="AO51" s="6"/>
      <c r="AP51" s="619" t="s">
        <v>953</v>
      </c>
      <c r="AQ51" s="619"/>
      <c r="AR51" s="692"/>
      <c r="AS51" s="635"/>
      <c r="AT51" s="635" t="s">
        <v>951</v>
      </c>
    </row>
    <row r="52" spans="1:46" ht="49.15" customHeight="1" x14ac:dyDescent="0.25">
      <c r="A52" s="2205"/>
      <c r="B52" s="574">
        <v>2</v>
      </c>
      <c r="C52" s="596"/>
      <c r="D52" s="596"/>
      <c r="E52" s="596"/>
      <c r="F52" s="597"/>
      <c r="G52" s="620"/>
      <c r="H52" s="620"/>
      <c r="I52" s="848"/>
      <c r="J52" s="635"/>
      <c r="K52" s="622"/>
      <c r="L52" s="572"/>
      <c r="M52" s="6"/>
      <c r="N52" s="6"/>
      <c r="O52" s="597"/>
      <c r="P52" s="620"/>
      <c r="Q52" s="620"/>
      <c r="R52" s="692"/>
      <c r="S52" s="635"/>
      <c r="T52" s="622"/>
      <c r="U52" s="572"/>
      <c r="V52" s="6"/>
      <c r="W52" s="6"/>
      <c r="X52" s="597">
        <v>381</v>
      </c>
      <c r="Y52" s="620"/>
      <c r="Z52" s="619"/>
      <c r="AA52" s="698"/>
      <c r="AB52" s="635" t="s">
        <v>951</v>
      </c>
      <c r="AC52" s="622"/>
      <c r="AD52" s="572"/>
      <c r="AE52" s="6"/>
      <c r="AF52" s="6"/>
      <c r="AG52" s="597"/>
      <c r="AH52" s="620"/>
      <c r="AI52" s="620"/>
      <c r="AJ52" s="692"/>
      <c r="AK52" s="635"/>
      <c r="AM52" s="572"/>
      <c r="AN52" s="613"/>
      <c r="AO52" s="613"/>
      <c r="AP52" s="613">
        <v>420</v>
      </c>
      <c r="AQ52" s="614"/>
      <c r="AR52" s="6"/>
      <c r="AS52" s="635"/>
      <c r="AT52" s="635" t="s">
        <v>951</v>
      </c>
    </row>
    <row r="53" spans="1:46" ht="48" customHeight="1" x14ac:dyDescent="0.25">
      <c r="A53" s="2206">
        <v>45499</v>
      </c>
      <c r="B53" s="574">
        <v>1</v>
      </c>
      <c r="C53" s="596"/>
      <c r="D53" s="596"/>
      <c r="E53" s="596"/>
      <c r="F53" s="597"/>
      <c r="G53" s="619"/>
      <c r="H53" s="619"/>
      <c r="I53" s="848"/>
      <c r="J53" s="635"/>
      <c r="K53" s="622"/>
      <c r="L53" s="572"/>
      <c r="M53" s="6"/>
      <c r="N53" s="6"/>
      <c r="O53" s="613"/>
      <c r="P53" s="1128"/>
      <c r="Q53" s="620"/>
      <c r="R53" s="6"/>
      <c r="S53" s="635"/>
      <c r="T53" s="622"/>
      <c r="U53" s="572"/>
      <c r="V53" s="6"/>
      <c r="W53" s="6"/>
      <c r="X53" s="613"/>
      <c r="Y53" s="1128"/>
      <c r="Z53" s="6"/>
      <c r="AA53" s="605"/>
      <c r="AB53" s="613"/>
      <c r="AC53" s="622"/>
      <c r="AD53" s="572"/>
      <c r="AE53" s="605"/>
      <c r="AF53" s="6"/>
      <c r="AG53" s="613"/>
      <c r="AH53" s="614"/>
      <c r="AI53" s="6"/>
      <c r="AJ53" s="605"/>
      <c r="AK53" s="613"/>
      <c r="AM53" s="572"/>
      <c r="AN53" s="605"/>
      <c r="AO53" s="6"/>
      <c r="AP53" s="613"/>
      <c r="AQ53" s="1128"/>
      <c r="AR53" s="6"/>
      <c r="AS53" s="6"/>
      <c r="AT53" s="613"/>
    </row>
    <row r="54" spans="1:46" ht="45.6" customHeight="1" x14ac:dyDescent="0.25">
      <c r="A54" s="2205"/>
      <c r="B54" s="1123">
        <v>2</v>
      </c>
      <c r="C54" s="596"/>
      <c r="D54" s="596"/>
      <c r="E54" s="596"/>
      <c r="F54" s="597"/>
      <c r="G54" s="619"/>
      <c r="H54" s="620"/>
      <c r="I54" s="692"/>
      <c r="J54" s="635"/>
      <c r="K54" s="622"/>
      <c r="L54" s="572"/>
      <c r="M54" s="6"/>
      <c r="N54" s="6"/>
      <c r="O54" s="597"/>
      <c r="P54" s="619"/>
      <c r="Q54" s="620"/>
      <c r="R54" s="619"/>
      <c r="S54" s="635"/>
      <c r="T54" s="622"/>
      <c r="U54" s="572"/>
      <c r="V54" s="6"/>
      <c r="W54" s="6"/>
      <c r="X54" s="597"/>
      <c r="Y54" s="620"/>
      <c r="Z54" s="620"/>
      <c r="AA54" s="620"/>
      <c r="AB54" s="635"/>
      <c r="AC54" s="622"/>
      <c r="AD54" s="572"/>
      <c r="AE54" s="6"/>
      <c r="AF54" s="6"/>
      <c r="AG54" s="613"/>
      <c r="AH54" s="614"/>
      <c r="AI54" s="620"/>
      <c r="AJ54" s="6"/>
      <c r="AK54" s="635"/>
      <c r="AM54" s="572"/>
      <c r="AN54" s="6"/>
      <c r="AO54" s="6"/>
      <c r="AP54" s="597"/>
      <c r="AQ54" s="1128"/>
      <c r="AR54" s="620"/>
      <c r="AS54" s="619"/>
      <c r="AT54" s="635"/>
    </row>
    <row r="55" spans="1:46" ht="39.6" customHeight="1" x14ac:dyDescent="0.25">
      <c r="A55" s="2206">
        <v>45500</v>
      </c>
      <c r="B55" s="574">
        <v>1</v>
      </c>
      <c r="C55" s="595"/>
      <c r="D55" s="596"/>
      <c r="E55" s="596"/>
      <c r="F55" s="597"/>
      <c r="G55" s="619"/>
      <c r="H55" s="619"/>
      <c r="I55" s="848"/>
      <c r="J55" s="613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/>
      <c r="X55" s="613"/>
      <c r="Y55" s="614"/>
      <c r="Z55" s="619"/>
      <c r="AA55" s="698"/>
      <c r="AB55" s="613"/>
      <c r="AC55" s="622"/>
      <c r="AD55" s="572"/>
      <c r="AE55" s="6"/>
      <c r="AF55" s="6"/>
      <c r="AG55" s="613"/>
      <c r="AH55" s="614"/>
      <c r="AI55" s="620"/>
      <c r="AJ55" s="605"/>
      <c r="AK55" s="613"/>
      <c r="AM55" s="572"/>
      <c r="AN55" s="6"/>
      <c r="AO55" s="6"/>
      <c r="AP55" s="613"/>
      <c r="AQ55" s="614"/>
      <c r="AR55" s="605"/>
      <c r="AS55" s="6"/>
      <c r="AT55" s="613"/>
    </row>
    <row r="56" spans="1:46" ht="94.15" customHeight="1" x14ac:dyDescent="0.25">
      <c r="A56" s="2205"/>
      <c r="B56" s="1123">
        <v>2</v>
      </c>
      <c r="C56" s="595"/>
      <c r="D56" s="596"/>
      <c r="E56" s="596"/>
      <c r="F56" s="597"/>
      <c r="G56" s="620"/>
      <c r="H56" s="620"/>
      <c r="I56" s="848"/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/>
      <c r="V56" s="6"/>
      <c r="W56" s="6"/>
      <c r="X56" s="597"/>
      <c r="Y56" s="1128"/>
      <c r="Z56" s="619"/>
      <c r="AA56" s="605"/>
      <c r="AB56" s="635"/>
      <c r="AC56" s="622"/>
      <c r="AD56" s="572"/>
      <c r="AE56" s="6"/>
      <c r="AF56" s="6"/>
      <c r="AG56" s="597"/>
      <c r="AH56" s="620"/>
      <c r="AI56" s="619"/>
      <c r="AJ56" s="620"/>
      <c r="AK56" s="635"/>
      <c r="AM56" s="572"/>
      <c r="AN56" s="6"/>
      <c r="AO56" s="6">
        <v>64</v>
      </c>
      <c r="AP56" s="597"/>
      <c r="AQ56" s="620"/>
      <c r="AR56" s="605"/>
      <c r="AS56" s="6" t="s">
        <v>152</v>
      </c>
      <c r="AT56" s="635"/>
    </row>
    <row r="57" spans="1:46" ht="52.15" customHeight="1" x14ac:dyDescent="0.25">
      <c r="A57" s="2206">
        <v>45501</v>
      </c>
      <c r="B57" s="574">
        <v>1</v>
      </c>
      <c r="C57" s="595"/>
      <c r="D57" s="596"/>
      <c r="E57" s="596"/>
      <c r="F57" s="597"/>
      <c r="G57" s="620"/>
      <c r="H57" s="620"/>
      <c r="I57" s="692"/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/>
      <c r="X57" s="597"/>
      <c r="Y57" s="620"/>
      <c r="Z57" s="619"/>
      <c r="AA57" s="605"/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>
        <v>20</v>
      </c>
      <c r="AP57" s="597"/>
      <c r="AQ57" s="620"/>
      <c r="AR57" s="619"/>
      <c r="AS57" s="6" t="s">
        <v>152</v>
      </c>
      <c r="AT57" s="635"/>
    </row>
    <row r="58" spans="1:46" ht="78" customHeight="1" x14ac:dyDescent="0.25">
      <c r="A58" s="2205"/>
      <c r="B58" s="1123">
        <v>2</v>
      </c>
      <c r="C58" s="595"/>
      <c r="D58" s="596"/>
      <c r="E58" s="596"/>
      <c r="F58" s="597"/>
      <c r="G58" s="620"/>
      <c r="H58" s="620"/>
      <c r="I58" s="848"/>
      <c r="J58" s="635"/>
      <c r="K58" s="622"/>
      <c r="L58" s="572"/>
      <c r="M58" s="6"/>
      <c r="N58" s="6"/>
      <c r="O58" s="597"/>
      <c r="P58" s="620"/>
      <c r="Q58" s="619"/>
      <c r="R58" s="620"/>
      <c r="S58" s="635"/>
      <c r="T58" s="622"/>
      <c r="U58" s="572"/>
      <c r="V58" s="6"/>
      <c r="W58" s="6"/>
      <c r="X58" s="597"/>
      <c r="Y58" s="620"/>
      <c r="Z58" s="619"/>
      <c r="AA58" s="698"/>
      <c r="AB58" s="635"/>
      <c r="AC58" s="622"/>
      <c r="AD58" s="572"/>
      <c r="AE58" s="6"/>
      <c r="AF58" s="6"/>
      <c r="AG58" s="597"/>
      <c r="AH58" s="620"/>
      <c r="AI58" s="619"/>
      <c r="AJ58" s="6"/>
      <c r="AK58" s="635"/>
      <c r="AM58" s="572"/>
      <c r="AN58" s="6"/>
      <c r="AO58" s="6">
        <v>171</v>
      </c>
      <c r="AP58" s="597"/>
      <c r="AQ58" s="620"/>
      <c r="AR58" s="619"/>
      <c r="AS58" s="6" t="s">
        <v>152</v>
      </c>
      <c r="AT58" s="635"/>
    </row>
    <row r="59" spans="1:46" ht="73.150000000000006" customHeight="1" x14ac:dyDescent="0.25">
      <c r="A59" s="2206">
        <v>45502</v>
      </c>
      <c r="B59" s="574">
        <v>1</v>
      </c>
      <c r="C59" s="595"/>
      <c r="D59" s="596"/>
      <c r="E59" s="596">
        <v>20</v>
      </c>
      <c r="F59" s="597"/>
      <c r="G59" s="620"/>
      <c r="H59" s="619"/>
      <c r="I59" s="848" t="s">
        <v>152</v>
      </c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>
        <v>34</v>
      </c>
      <c r="X59" s="613"/>
      <c r="Y59" s="614"/>
      <c r="Z59" s="619"/>
      <c r="AA59" s="698" t="s">
        <v>152</v>
      </c>
      <c r="AB59" s="635"/>
      <c r="AC59" s="622"/>
      <c r="AD59" s="572"/>
      <c r="AE59" s="6"/>
      <c r="AF59" s="6"/>
      <c r="AG59" s="613"/>
      <c r="AH59" s="1128"/>
      <c r="AI59" s="6"/>
      <c r="AJ59" s="620"/>
      <c r="AK59" s="635"/>
      <c r="AM59" s="572"/>
      <c r="AN59" s="6"/>
      <c r="AO59" s="6"/>
      <c r="AP59" s="613"/>
      <c r="AQ59" s="1128"/>
      <c r="AR59" s="6"/>
      <c r="AS59" s="620"/>
      <c r="AT59" s="635"/>
    </row>
    <row r="60" spans="1:46" ht="36" customHeight="1" x14ac:dyDescent="0.25">
      <c r="A60" s="2205"/>
      <c r="B60" s="1123">
        <v>2</v>
      </c>
      <c r="C60" s="595"/>
      <c r="D60" s="596"/>
      <c r="E60" s="596">
        <v>58</v>
      </c>
      <c r="F60" s="597"/>
      <c r="G60" s="619"/>
      <c r="H60" s="620"/>
      <c r="I60" s="848" t="s">
        <v>152</v>
      </c>
      <c r="J60" s="635"/>
      <c r="K60" s="622"/>
      <c r="L60" s="572"/>
      <c r="M60" s="6"/>
      <c r="N60" s="6"/>
      <c r="O60" s="613"/>
      <c r="P60" s="614"/>
      <c r="Q60" s="620"/>
      <c r="R60" s="6"/>
      <c r="S60" s="635"/>
      <c r="T60" s="622"/>
      <c r="U60" s="572"/>
      <c r="V60" s="6"/>
      <c r="W60" s="6"/>
      <c r="X60" s="613"/>
      <c r="Y60" s="1128"/>
      <c r="Z60" s="620"/>
      <c r="AA60" s="605"/>
      <c r="AB60" s="635"/>
      <c r="AC60" s="622"/>
      <c r="AD60" s="572"/>
      <c r="AE60" s="6"/>
      <c r="AF60" s="6"/>
      <c r="AG60" s="613"/>
      <c r="AH60" s="614"/>
      <c r="AI60" s="620"/>
      <c r="AJ60" s="605"/>
      <c r="AK60" s="635"/>
      <c r="AM60" s="572"/>
      <c r="AN60" s="6"/>
      <c r="AO60" s="6"/>
      <c r="AP60" s="613"/>
      <c r="AQ60" s="614"/>
      <c r="AR60" s="620"/>
      <c r="AS60" s="6"/>
      <c r="AT60" s="635"/>
    </row>
    <row r="61" spans="1:46" ht="32.450000000000003" customHeight="1" x14ac:dyDescent="0.25">
      <c r="A61" s="2206">
        <v>45503</v>
      </c>
      <c r="B61" s="574">
        <v>1</v>
      </c>
      <c r="C61" s="1131"/>
      <c r="D61" s="1133"/>
      <c r="E61" s="596"/>
      <c r="F61" s="749"/>
      <c r="G61" s="619"/>
      <c r="H61" s="1132"/>
      <c r="I61" s="692"/>
      <c r="J61" s="687"/>
      <c r="K61" s="622"/>
      <c r="L61" s="572"/>
      <c r="M61" s="6"/>
      <c r="N61" s="6"/>
      <c r="O61" s="613"/>
      <c r="P61" s="752"/>
      <c r="Q61" s="1129"/>
      <c r="R61" s="1129"/>
      <c r="S61" s="753"/>
      <c r="T61" s="622"/>
      <c r="U61" s="572"/>
      <c r="V61" s="6"/>
      <c r="W61" s="6"/>
      <c r="X61" s="613"/>
      <c r="Y61" s="1128"/>
      <c r="Z61" s="605"/>
      <c r="AA61" s="605"/>
      <c r="AB61" s="753"/>
      <c r="AC61" s="622"/>
      <c r="AD61" s="572"/>
      <c r="AE61" s="6"/>
      <c r="AF61" s="6"/>
      <c r="AG61" s="613"/>
      <c r="AH61" s="614"/>
      <c r="AI61" s="605"/>
      <c r="AJ61" s="605"/>
      <c r="AK61" s="753"/>
      <c r="AM61" s="572"/>
      <c r="AN61" s="6"/>
      <c r="AO61" s="6">
        <v>25</v>
      </c>
      <c r="AP61" s="613"/>
      <c r="AQ61" s="1128"/>
      <c r="AR61" s="6"/>
      <c r="AS61" s="6" t="s">
        <v>152</v>
      </c>
      <c r="AT61" s="753"/>
    </row>
    <row r="62" spans="1:46" ht="62.45" customHeight="1" x14ac:dyDescent="0.25">
      <c r="A62" s="2205"/>
      <c r="B62" s="1123">
        <v>2</v>
      </c>
      <c r="C62" s="1131"/>
      <c r="D62" s="1133"/>
      <c r="E62" s="1133">
        <v>32</v>
      </c>
      <c r="F62" s="749"/>
      <c r="G62" s="1125"/>
      <c r="H62" s="1132"/>
      <c r="I62" s="848" t="s">
        <v>152</v>
      </c>
      <c r="J62" s="687"/>
      <c r="K62" s="622"/>
      <c r="L62" s="572"/>
      <c r="M62" s="6"/>
      <c r="N62" s="6"/>
      <c r="O62" s="613"/>
      <c r="P62" s="752"/>
      <c r="Q62" s="1103"/>
      <c r="R62" s="1129"/>
      <c r="S62" s="753"/>
      <c r="T62" s="622"/>
      <c r="U62" s="572"/>
      <c r="V62" s="6"/>
      <c r="W62" s="6">
        <v>34</v>
      </c>
      <c r="X62" s="613"/>
      <c r="Y62" s="1128"/>
      <c r="Z62" s="605"/>
      <c r="AA62" s="698" t="s">
        <v>152</v>
      </c>
      <c r="AB62" s="753"/>
      <c r="AC62" s="622"/>
      <c r="AD62" s="572"/>
      <c r="AE62" s="6"/>
      <c r="AF62" s="6"/>
      <c r="AG62" s="613"/>
      <c r="AH62" s="2232"/>
      <c r="AI62" s="2233"/>
      <c r="AJ62" s="2234"/>
      <c r="AK62" s="753"/>
      <c r="AM62" s="572"/>
      <c r="AN62" s="6"/>
      <c r="AO62" s="6"/>
      <c r="AP62" s="613"/>
      <c r="AQ62" s="614"/>
      <c r="AR62" s="6"/>
      <c r="AS62" s="605"/>
      <c r="AT62" s="753"/>
    </row>
    <row r="63" spans="1:46" ht="64.150000000000006" customHeight="1" x14ac:dyDescent="0.25">
      <c r="A63" s="2206">
        <v>45504</v>
      </c>
      <c r="B63" s="574">
        <v>1</v>
      </c>
      <c r="C63" s="706"/>
      <c r="D63" s="707"/>
      <c r="E63" s="707">
        <v>58</v>
      </c>
      <c r="F63" s="708"/>
      <c r="G63" s="717"/>
      <c r="H63" s="709"/>
      <c r="I63" s="848" t="s">
        <v>152</v>
      </c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>
        <v>50</v>
      </c>
      <c r="X63" s="597"/>
      <c r="Y63" s="685"/>
      <c r="Z63" s="619"/>
      <c r="AA63" s="698" t="s">
        <v>152</v>
      </c>
      <c r="AB63" s="1127"/>
      <c r="AC63" s="622"/>
      <c r="AD63" s="572"/>
      <c r="AE63" s="6"/>
      <c r="AF63" s="6"/>
      <c r="AG63" s="597"/>
      <c r="AH63" s="685"/>
      <c r="AI63" s="619"/>
      <c r="AJ63" s="6"/>
      <c r="AK63" s="705"/>
      <c r="AM63" s="572"/>
      <c r="AN63" s="6"/>
      <c r="AO63" s="6"/>
      <c r="AP63" s="597"/>
      <c r="AQ63" s="685"/>
      <c r="AR63" s="619"/>
      <c r="AS63" s="619"/>
      <c r="AT63" s="705"/>
    </row>
    <row r="64" spans="1:46" ht="62.45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636"/>
      <c r="AQ64" s="637"/>
      <c r="AR64" s="638"/>
      <c r="AS64" s="638"/>
      <c r="AT64" s="713"/>
    </row>
    <row r="65" spans="1:42" ht="23.45" customHeight="1" x14ac:dyDescent="0.25">
      <c r="A65" s="524" t="s">
        <v>225</v>
      </c>
      <c r="C65" s="768">
        <f>SUM(C3:C64)</f>
        <v>76</v>
      </c>
      <c r="D65" s="525">
        <f>SUM(D3:D64)</f>
        <v>51</v>
      </c>
      <c r="E65" s="768">
        <f>SUM(E3:E64)</f>
        <v>285</v>
      </c>
      <c r="F65" s="525">
        <f>SUM(F3:F64)</f>
        <v>13098</v>
      </c>
      <c r="L65" s="525">
        <f>SUM(L3:L64)</f>
        <v>210</v>
      </c>
      <c r="M65" s="525">
        <f>SUM(M3:M64)</f>
        <v>0</v>
      </c>
      <c r="N65" s="525">
        <f>SUM(N3:N64)</f>
        <v>91</v>
      </c>
      <c r="O65" s="525">
        <f>SUM(O3:O64)</f>
        <v>13098</v>
      </c>
      <c r="U65" s="525">
        <f>SUM(U3:U64)</f>
        <v>55</v>
      </c>
      <c r="V65" s="525">
        <f>SUM(V3:V64)</f>
        <v>28</v>
      </c>
      <c r="W65" s="525">
        <f>SUM(W3:W64)</f>
        <v>299</v>
      </c>
      <c r="X65" s="525">
        <f>SUM(X3:X64)</f>
        <v>15381</v>
      </c>
      <c r="AD65" s="525">
        <f>SUM(AD3:AD64)</f>
        <v>0</v>
      </c>
      <c r="AE65" s="525">
        <f>SUM(AE3:AE64)</f>
        <v>158</v>
      </c>
      <c r="AF65" s="525">
        <f>SUM(AF3:AF64)</f>
        <v>63</v>
      </c>
      <c r="AG65" s="525">
        <f>SUM(AG3:AG64)</f>
        <v>13098</v>
      </c>
      <c r="AM65" s="525">
        <f>SUM(AM3:AM64)</f>
        <v>0</v>
      </c>
      <c r="AN65" s="525">
        <f>SUM(AN3:AN64)</f>
        <v>9</v>
      </c>
      <c r="AO65" s="525">
        <f>SUM(AO3:AO64)</f>
        <v>400</v>
      </c>
      <c r="AP65" s="525">
        <f>SUM(AP3:AP64)</f>
        <v>13518</v>
      </c>
    </row>
    <row r="73" spans="1:42" ht="15.75" thickBot="1" x14ac:dyDescent="0.3"/>
    <row r="74" spans="1:42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2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2" ht="21.75" customHeight="1" x14ac:dyDescent="0.3">
      <c r="B76" s="651" t="s">
        <v>218</v>
      </c>
      <c r="C76" s="652">
        <f>C65</f>
        <v>76</v>
      </c>
      <c r="D76" s="653">
        <f>C76/60</f>
        <v>1.2666666666666666</v>
      </c>
      <c r="E76" s="652">
        <f>D65</f>
        <v>51</v>
      </c>
      <c r="F76" s="654">
        <f>E76/60</f>
        <v>0.85</v>
      </c>
      <c r="G76" s="652">
        <f>E65</f>
        <v>285</v>
      </c>
      <c r="H76" s="653">
        <f>G76/60</f>
        <v>4.75</v>
      </c>
      <c r="I76" s="652">
        <f>F65</f>
        <v>13098</v>
      </c>
      <c r="J76" s="653">
        <f>I76/60</f>
        <v>218.3</v>
      </c>
    </row>
    <row r="77" spans="1:42" ht="19.5" customHeight="1" x14ac:dyDescent="0.3">
      <c r="B77" s="651" t="s">
        <v>219</v>
      </c>
      <c r="C77" s="655">
        <f>L65</f>
        <v>210</v>
      </c>
      <c r="D77" s="656">
        <f>C77/60</f>
        <v>3.5</v>
      </c>
      <c r="E77" s="655">
        <f>M65</f>
        <v>0</v>
      </c>
      <c r="F77" s="657">
        <f>E77/60</f>
        <v>0</v>
      </c>
      <c r="G77" s="655">
        <f>N65</f>
        <v>91</v>
      </c>
      <c r="H77" s="656">
        <f>G77/60</f>
        <v>1.5166666666666666</v>
      </c>
      <c r="I77" s="655">
        <f>O65</f>
        <v>13098</v>
      </c>
      <c r="J77" s="656">
        <f>I77/60</f>
        <v>218.3</v>
      </c>
    </row>
    <row r="78" spans="1:42" ht="20.25" customHeight="1" x14ac:dyDescent="0.3">
      <c r="B78" s="651" t="s">
        <v>220</v>
      </c>
      <c r="C78" s="655">
        <f>U65</f>
        <v>55</v>
      </c>
      <c r="D78" s="656">
        <f>C78/60</f>
        <v>0.91666666666666663</v>
      </c>
      <c r="E78" s="655">
        <f>V65</f>
        <v>28</v>
      </c>
      <c r="F78" s="657">
        <f>E78/60</f>
        <v>0.46666666666666667</v>
      </c>
      <c r="G78" s="655">
        <f>W65</f>
        <v>299</v>
      </c>
      <c r="H78" s="656">
        <f>G78/60</f>
        <v>4.9833333333333334</v>
      </c>
      <c r="I78" s="655">
        <f>X65</f>
        <v>15381</v>
      </c>
      <c r="J78" s="656">
        <f>I78/60</f>
        <v>256.35000000000002</v>
      </c>
    </row>
    <row r="79" spans="1:42" ht="22.5" customHeight="1" thickBot="1" x14ac:dyDescent="0.35">
      <c r="B79" s="651" t="s">
        <v>221</v>
      </c>
      <c r="C79" s="658">
        <f>AD65</f>
        <v>0</v>
      </c>
      <c r="D79" s="659">
        <f>C79/60</f>
        <v>0</v>
      </c>
      <c r="E79" s="658">
        <f>AE65</f>
        <v>158</v>
      </c>
      <c r="F79" s="660">
        <f>E79/60</f>
        <v>2.6333333333333333</v>
      </c>
      <c r="G79" s="658">
        <f>AF65</f>
        <v>63</v>
      </c>
      <c r="H79" s="659">
        <f>G79/60</f>
        <v>1.05</v>
      </c>
      <c r="I79" s="658">
        <f>AG65</f>
        <v>13098</v>
      </c>
      <c r="J79" s="659">
        <f>I79/60</f>
        <v>218.3</v>
      </c>
    </row>
    <row r="80" spans="1:42" ht="22.5" customHeight="1" thickBot="1" x14ac:dyDescent="0.35">
      <c r="B80" s="651" t="s">
        <v>488</v>
      </c>
      <c r="C80" s="850">
        <f>AM65</f>
        <v>0</v>
      </c>
      <c r="D80" s="849">
        <f>C80/60</f>
        <v>0</v>
      </c>
      <c r="E80" s="850">
        <f>AN65</f>
        <v>9</v>
      </c>
      <c r="F80" s="851">
        <f>E80/60</f>
        <v>0.15</v>
      </c>
      <c r="G80" s="850">
        <f>AO65</f>
        <v>400</v>
      </c>
      <c r="H80" s="849">
        <f>G80/60</f>
        <v>6.666666666666667</v>
      </c>
      <c r="I80" s="850">
        <f>AP65</f>
        <v>13518</v>
      </c>
      <c r="J80" s="849">
        <f>I80/60</f>
        <v>225.3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5.6833333333333336</v>
      </c>
      <c r="E82" s="666"/>
      <c r="F82" s="667">
        <f>SUM(F76:F80)</f>
        <v>4.1000000000000005</v>
      </c>
      <c r="G82" s="666"/>
      <c r="H82" s="667">
        <f>SUM(H76:H80)</f>
        <v>18.966666666666669</v>
      </c>
      <c r="I82" s="666"/>
      <c r="J82" s="668">
        <f>AVERAGE(J76:J80)</f>
        <v>227.31</v>
      </c>
    </row>
  </sheetData>
  <mergeCells count="48">
    <mergeCell ref="A59:A60"/>
    <mergeCell ref="A61:A62"/>
    <mergeCell ref="AH62:AJ62"/>
    <mergeCell ref="A63:A64"/>
    <mergeCell ref="C74:D74"/>
    <mergeCell ref="E74:F74"/>
    <mergeCell ref="G74:H74"/>
    <mergeCell ref="I74:J74"/>
    <mergeCell ref="A57:A58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33:A34"/>
    <mergeCell ref="A15:A16"/>
    <mergeCell ref="A17:A18"/>
    <mergeCell ref="AQ18:AS18"/>
    <mergeCell ref="A19:A20"/>
    <mergeCell ref="A21:A22"/>
    <mergeCell ref="A23:A24"/>
    <mergeCell ref="A25:A26"/>
    <mergeCell ref="A27:A28"/>
    <mergeCell ref="A29:A30"/>
    <mergeCell ref="A31:A32"/>
    <mergeCell ref="A7:A8"/>
    <mergeCell ref="A9:A10"/>
    <mergeCell ref="A11:A12"/>
    <mergeCell ref="A13:A14"/>
    <mergeCell ref="AH14:AJ14"/>
    <mergeCell ref="AD1:AG1"/>
    <mergeCell ref="AH1:AK1"/>
    <mergeCell ref="AM1:AP1"/>
    <mergeCell ref="AQ1:AT1"/>
    <mergeCell ref="A3:A4"/>
    <mergeCell ref="U1:X1"/>
    <mergeCell ref="Y1:AB1"/>
    <mergeCell ref="A5:A6"/>
    <mergeCell ref="C1:F1"/>
    <mergeCell ref="G1:J1"/>
    <mergeCell ref="L1:O1"/>
    <mergeCell ref="P1:S1"/>
  </mergeCells>
  <pageMargins left="0.7" right="0.7" top="0.75" bottom="0.75" header="0.3" footer="0.3"/>
  <pageSetup paperSize="9" orientation="portrait" horizontalDpi="180" verticalDpi="18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2"/>
  <sheetViews>
    <sheetView zoomScale="60" zoomScaleNormal="60" workbookViewId="0">
      <pane xSplit="2" ySplit="2" topLeftCell="C59" activePane="bottomRight" state="frozen"/>
      <selection pane="topRight" activeCell="C1" sqref="C1"/>
      <selection pane="bottomLeft" activeCell="A3" sqref="A3"/>
      <selection pane="bottomRight" sqref="A1:AT90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7.285156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3" style="524" customWidth="1"/>
    <col min="17" max="17" width="27.28515625" style="524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2.42578125" style="524" customWidth="1"/>
    <col min="28" max="28" width="27" style="524" customWidth="1"/>
    <col min="29" max="33" width="10.7109375" style="524" customWidth="1"/>
    <col min="34" max="34" width="31.28515625" style="524" customWidth="1"/>
    <col min="35" max="35" width="18.57031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2" width="10.7109375" style="524" customWidth="1"/>
    <col min="43" max="43" width="21.140625" style="524" customWidth="1"/>
    <col min="44" max="44" width="26.28515625" style="524" customWidth="1"/>
    <col min="45" max="45" width="27.140625" style="524" customWidth="1"/>
    <col min="46" max="46" width="26.5703125" style="524" customWidth="1"/>
    <col min="47" max="16384" width="8.85546875" style="524"/>
  </cols>
  <sheetData>
    <row r="1" spans="1:46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2" t="s">
        <v>206</v>
      </c>
      <c r="AR1" s="2252"/>
      <c r="AS1" s="2252"/>
      <c r="AT1" s="2253"/>
    </row>
    <row r="2" spans="1:46" ht="42.6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6" t="s">
        <v>199</v>
      </c>
      <c r="AI2" s="984" t="s">
        <v>200</v>
      </c>
      <c r="AJ2" s="984" t="s">
        <v>201</v>
      </c>
      <c r="AK2" s="984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6" t="s">
        <v>199</v>
      </c>
      <c r="AR2" s="984" t="s">
        <v>200</v>
      </c>
      <c r="AS2" s="984" t="s">
        <v>201</v>
      </c>
      <c r="AT2" s="984" t="s">
        <v>204</v>
      </c>
    </row>
    <row r="3" spans="1:46" ht="78" customHeight="1" x14ac:dyDescent="0.25">
      <c r="A3" s="2206">
        <v>45505</v>
      </c>
      <c r="B3" s="1140">
        <v>1</v>
      </c>
      <c r="C3" s="592"/>
      <c r="D3" s="593"/>
      <c r="E3" s="6"/>
      <c r="F3" s="594"/>
      <c r="G3" s="685"/>
      <c r="H3" s="619"/>
      <c r="I3" s="620"/>
      <c r="J3" s="686"/>
      <c r="K3" s="622"/>
      <c r="L3" s="612"/>
      <c r="M3" s="630"/>
      <c r="N3" s="630"/>
      <c r="O3" s="628"/>
      <c r="P3" s="629"/>
      <c r="Q3" s="699"/>
      <c r="R3" s="699"/>
      <c r="S3" s="628"/>
      <c r="T3" s="622"/>
      <c r="U3" s="612"/>
      <c r="V3" s="630"/>
      <c r="W3" s="6"/>
      <c r="X3" s="613"/>
      <c r="Y3" s="1144"/>
      <c r="Z3" s="629"/>
      <c r="AA3" s="620"/>
      <c r="AB3" s="720"/>
      <c r="AC3" s="622"/>
      <c r="AD3" s="612"/>
      <c r="AE3" s="630"/>
      <c r="AF3" s="6"/>
      <c r="AG3" s="628"/>
      <c r="AH3" s="629"/>
      <c r="AI3" s="629"/>
      <c r="AJ3" s="605"/>
      <c r="AK3" s="628"/>
      <c r="AM3" s="612"/>
      <c r="AN3" s="630"/>
      <c r="AO3" s="6"/>
      <c r="AP3" s="628"/>
      <c r="AQ3" s="629"/>
      <c r="AR3" s="648"/>
      <c r="AS3" s="605"/>
      <c r="AT3" s="628"/>
    </row>
    <row r="4" spans="1:46" ht="70.150000000000006" customHeight="1" x14ac:dyDescent="0.25">
      <c r="A4" s="2205"/>
      <c r="B4" s="574">
        <v>2</v>
      </c>
      <c r="C4" s="595"/>
      <c r="D4" s="596"/>
      <c r="E4" s="596"/>
      <c r="F4" s="597"/>
      <c r="G4" s="684"/>
      <c r="H4" s="619"/>
      <c r="I4" s="848"/>
      <c r="J4" s="687"/>
      <c r="K4" s="622"/>
      <c r="L4" s="572"/>
      <c r="M4" s="6"/>
      <c r="N4" s="6"/>
      <c r="O4" s="613"/>
      <c r="P4" s="614"/>
      <c r="Q4" s="619"/>
      <c r="R4" s="1146"/>
      <c r="S4" s="613"/>
      <c r="T4" s="622"/>
      <c r="U4" s="572"/>
      <c r="V4" s="605"/>
      <c r="W4" s="6"/>
      <c r="X4" s="613"/>
      <c r="Y4" s="1144"/>
      <c r="Z4" s="620"/>
      <c r="AA4" s="698"/>
      <c r="AB4" s="722"/>
      <c r="AC4" s="622"/>
      <c r="AD4" s="572"/>
      <c r="AE4" s="6"/>
      <c r="AF4" s="6"/>
      <c r="AG4" s="613"/>
      <c r="AH4" s="614"/>
      <c r="AI4" s="620"/>
      <c r="AJ4" s="6"/>
      <c r="AK4" s="613"/>
      <c r="AM4" s="572"/>
      <c r="AN4" s="6"/>
      <c r="AO4" s="6"/>
      <c r="AP4" s="613"/>
      <c r="AQ4" s="614"/>
      <c r="AR4" s="620"/>
      <c r="AS4" s="6"/>
      <c r="AT4" s="613"/>
    </row>
    <row r="5" spans="1:46" ht="60" customHeight="1" x14ac:dyDescent="0.25">
      <c r="A5" s="2206">
        <v>45506</v>
      </c>
      <c r="B5" s="574">
        <v>1</v>
      </c>
      <c r="C5" s="595"/>
      <c r="D5" s="596"/>
      <c r="E5" s="596"/>
      <c r="F5" s="597"/>
      <c r="G5" s="684"/>
      <c r="H5" s="684"/>
      <c r="I5" s="848"/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/>
      <c r="X5" s="613"/>
      <c r="Y5" s="1144"/>
      <c r="Z5" s="619"/>
      <c r="AA5" s="698"/>
      <c r="AB5" s="723"/>
      <c r="AC5" s="622"/>
      <c r="AD5" s="572"/>
      <c r="AE5" s="6"/>
      <c r="AF5" s="6"/>
      <c r="AG5" s="613"/>
      <c r="AH5" s="614"/>
      <c r="AI5" s="6"/>
      <c r="AJ5" s="1036"/>
      <c r="AK5" s="613"/>
      <c r="AM5" s="572"/>
      <c r="AN5" s="6"/>
      <c r="AO5" s="6"/>
      <c r="AP5" s="613"/>
      <c r="AQ5" s="614"/>
      <c r="AR5" s="6"/>
      <c r="AS5" s="605"/>
      <c r="AT5" s="634"/>
    </row>
    <row r="6" spans="1:46" ht="80.45" customHeight="1" x14ac:dyDescent="0.25">
      <c r="A6" s="2205"/>
      <c r="B6" s="574">
        <v>2</v>
      </c>
      <c r="C6" s="595"/>
      <c r="D6" s="596"/>
      <c r="E6" s="596"/>
      <c r="F6" s="597"/>
      <c r="G6" s="685"/>
      <c r="H6" s="620"/>
      <c r="I6" s="848"/>
      <c r="J6" s="635"/>
      <c r="K6" s="622"/>
      <c r="L6" s="572"/>
      <c r="M6" s="6"/>
      <c r="N6" s="6"/>
      <c r="O6" s="613"/>
      <c r="P6" s="614"/>
      <c r="Q6" s="619"/>
      <c r="R6" s="6"/>
      <c r="S6" s="635"/>
      <c r="T6" s="622"/>
      <c r="U6" s="572"/>
      <c r="V6" s="6"/>
      <c r="W6" s="6"/>
      <c r="X6" s="613"/>
      <c r="Y6" s="1144"/>
      <c r="Z6" s="619"/>
      <c r="AA6" s="698"/>
      <c r="AB6" s="635"/>
      <c r="AC6" s="622"/>
      <c r="AD6" s="572"/>
      <c r="AE6" s="6"/>
      <c r="AF6" s="6"/>
      <c r="AG6" s="613"/>
      <c r="AH6" s="614"/>
      <c r="AI6" s="6"/>
      <c r="AJ6" s="6"/>
      <c r="AK6" s="635"/>
      <c r="AM6" s="572"/>
      <c r="AN6" s="6"/>
      <c r="AO6" s="6"/>
      <c r="AP6" s="50"/>
      <c r="AQ6" s="613"/>
      <c r="AR6" s="614"/>
      <c r="AS6" s="605"/>
      <c r="AT6" s="635"/>
    </row>
    <row r="7" spans="1:46" ht="71.45" customHeight="1" x14ac:dyDescent="0.25">
      <c r="A7" s="2206">
        <v>45507</v>
      </c>
      <c r="B7" s="574">
        <v>1</v>
      </c>
      <c r="C7" s="595"/>
      <c r="D7" s="596"/>
      <c r="E7" s="596"/>
      <c r="F7" s="597"/>
      <c r="G7" s="685"/>
      <c r="H7" s="620"/>
      <c r="I7" s="635"/>
      <c r="J7" s="635"/>
      <c r="K7" s="622"/>
      <c r="L7" s="572"/>
      <c r="M7" s="614"/>
      <c r="N7" s="6"/>
      <c r="O7" s="613"/>
      <c r="P7" s="614"/>
      <c r="Q7" s="1010"/>
      <c r="R7" s="6"/>
      <c r="S7" s="613"/>
      <c r="T7" s="622"/>
      <c r="U7" s="572"/>
      <c r="V7" s="6"/>
      <c r="W7" s="6"/>
      <c r="X7" s="613"/>
      <c r="Y7" s="1144"/>
      <c r="Z7" s="619"/>
      <c r="AA7" s="698"/>
      <c r="AB7" s="613"/>
      <c r="AC7" s="622"/>
      <c r="AD7" s="572"/>
      <c r="AE7" s="6"/>
      <c r="AF7" s="6"/>
      <c r="AG7" s="613"/>
      <c r="AH7" s="614"/>
      <c r="AI7" s="1010"/>
      <c r="AJ7" s="635"/>
      <c r="AK7" s="613"/>
      <c r="AM7" s="572"/>
      <c r="AN7" s="6"/>
      <c r="AO7" s="6"/>
      <c r="AP7" s="50"/>
      <c r="AQ7" s="613"/>
      <c r="AR7" s="614"/>
      <c r="AS7" s="1010"/>
      <c r="AT7" s="692"/>
    </row>
    <row r="8" spans="1:46" ht="69.599999999999994" customHeight="1" x14ac:dyDescent="0.25">
      <c r="A8" s="2205"/>
      <c r="B8" s="574">
        <v>2</v>
      </c>
      <c r="C8" s="595"/>
      <c r="D8" s="596"/>
      <c r="E8" s="596"/>
      <c r="F8" s="597"/>
      <c r="G8" s="684"/>
      <c r="H8" s="620"/>
      <c r="I8" s="848"/>
      <c r="J8" s="635"/>
      <c r="K8" s="622"/>
      <c r="L8" s="572">
        <v>458</v>
      </c>
      <c r="M8" s="6"/>
      <c r="N8" s="6"/>
      <c r="O8" s="613"/>
      <c r="P8" s="1150" t="s">
        <v>583</v>
      </c>
      <c r="Q8" s="6"/>
      <c r="R8" s="605"/>
      <c r="S8" s="635"/>
      <c r="T8" s="622"/>
      <c r="U8" s="572"/>
      <c r="V8" s="572"/>
      <c r="W8" s="572"/>
      <c r="X8" s="613"/>
      <c r="Y8" s="1144"/>
      <c r="Z8" s="1119"/>
      <c r="AA8" s="609"/>
      <c r="AB8" s="635"/>
      <c r="AC8" s="622"/>
      <c r="AD8" s="572"/>
      <c r="AE8" s="6"/>
      <c r="AF8" s="6"/>
      <c r="AG8" s="613"/>
      <c r="AH8" s="614"/>
      <c r="AI8" s="605"/>
      <c r="AJ8" s="620"/>
      <c r="AK8" s="635"/>
      <c r="AM8" s="572"/>
      <c r="AN8" s="6"/>
      <c r="AO8" s="6"/>
      <c r="AP8" s="50"/>
      <c r="AQ8" s="613"/>
      <c r="AR8" s="614"/>
      <c r="AS8" s="6"/>
      <c r="AT8" s="635"/>
    </row>
    <row r="9" spans="1:46" ht="76.900000000000006" customHeight="1" x14ac:dyDescent="0.25">
      <c r="A9" s="2206">
        <v>45508</v>
      </c>
      <c r="B9" s="574">
        <v>1</v>
      </c>
      <c r="C9" s="595"/>
      <c r="D9" s="596"/>
      <c r="E9" s="596"/>
      <c r="F9" s="597"/>
      <c r="G9" s="684"/>
      <c r="H9" s="619"/>
      <c r="I9" s="848"/>
      <c r="J9" s="635"/>
      <c r="K9" s="622"/>
      <c r="L9" s="572"/>
      <c r="M9" s="6"/>
      <c r="N9" s="6"/>
      <c r="O9" s="613"/>
      <c r="P9" s="1144"/>
      <c r="Q9" s="6"/>
      <c r="R9" s="605"/>
      <c r="S9" s="635"/>
      <c r="T9" s="622"/>
      <c r="U9" s="572"/>
      <c r="V9" s="6"/>
      <c r="W9" s="6"/>
      <c r="X9" s="613"/>
      <c r="Y9" s="1144"/>
      <c r="Z9" s="6"/>
      <c r="AA9" s="698"/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/>
      <c r="AN9" s="6"/>
      <c r="AO9" s="6"/>
      <c r="AP9" s="50"/>
      <c r="AQ9" s="613"/>
      <c r="AR9" s="614"/>
      <c r="AS9" s="6"/>
      <c r="AT9" s="828"/>
    </row>
    <row r="10" spans="1:46" ht="67.150000000000006" customHeight="1" x14ac:dyDescent="0.25">
      <c r="A10" s="2205"/>
      <c r="B10" s="574">
        <v>2</v>
      </c>
      <c r="C10" s="595"/>
      <c r="D10" s="595"/>
      <c r="E10" s="595"/>
      <c r="F10" s="597"/>
      <c r="G10" s="1120"/>
      <c r="H10" s="1121"/>
      <c r="I10" s="1122"/>
      <c r="J10" s="635"/>
      <c r="K10" s="622"/>
      <c r="L10" s="572"/>
      <c r="M10" s="6"/>
      <c r="N10" s="6"/>
      <c r="O10" s="613"/>
      <c r="P10" s="1144"/>
      <c r="Q10" s="6"/>
      <c r="R10" s="605"/>
      <c r="S10" s="635"/>
      <c r="T10" s="622"/>
      <c r="U10" s="572"/>
      <c r="V10" s="6"/>
      <c r="W10" s="6"/>
      <c r="X10" s="613"/>
      <c r="Y10" s="1144"/>
      <c r="Z10" s="1144"/>
      <c r="AA10" s="698"/>
      <c r="AB10" s="635"/>
      <c r="AC10" s="622"/>
      <c r="AD10" s="572"/>
      <c r="AE10" s="6"/>
      <c r="AF10" s="6"/>
      <c r="AG10" s="613"/>
      <c r="AH10" s="1144"/>
      <c r="AI10" s="605"/>
      <c r="AJ10" s="620"/>
      <c r="AK10" s="635"/>
      <c r="AM10" s="572">
        <v>460</v>
      </c>
      <c r="AN10" s="6"/>
      <c r="AO10" s="6"/>
      <c r="AP10" s="50"/>
      <c r="AQ10" s="613" t="s">
        <v>583</v>
      </c>
      <c r="AR10" s="614"/>
      <c r="AS10" s="6"/>
      <c r="AT10" s="635"/>
    </row>
    <row r="11" spans="1:46" ht="60" customHeight="1" x14ac:dyDescent="0.25">
      <c r="A11" s="2206">
        <v>45509</v>
      </c>
      <c r="B11" s="574">
        <v>1</v>
      </c>
      <c r="C11" s="595"/>
      <c r="D11" s="595"/>
      <c r="E11" s="595"/>
      <c r="F11" s="597"/>
      <c r="G11" s="1120"/>
      <c r="H11" s="1121"/>
      <c r="I11" s="1122"/>
      <c r="J11" s="687"/>
      <c r="K11" s="622"/>
      <c r="L11" s="572"/>
      <c r="M11" s="6"/>
      <c r="N11" s="6"/>
      <c r="O11" s="613"/>
      <c r="P11" s="1144"/>
      <c r="Q11" s="6"/>
      <c r="R11" s="605"/>
      <c r="S11" s="613"/>
      <c r="T11" s="622"/>
      <c r="U11" s="572"/>
      <c r="V11" s="6"/>
      <c r="W11" s="6"/>
      <c r="X11" s="613"/>
      <c r="Y11" s="1144"/>
      <c r="Z11" s="6"/>
      <c r="AA11" s="698"/>
      <c r="AB11" s="613"/>
      <c r="AC11" s="622"/>
      <c r="AD11" s="572"/>
      <c r="AE11" s="6"/>
      <c r="AF11" s="6"/>
      <c r="AG11" s="613"/>
      <c r="AH11" s="614"/>
      <c r="AI11" s="6"/>
      <c r="AJ11" s="620"/>
      <c r="AK11" s="613"/>
      <c r="AM11" s="572"/>
      <c r="AN11" s="6"/>
      <c r="AO11" s="6"/>
      <c r="AP11" s="613"/>
      <c r="AQ11" s="614"/>
      <c r="AR11" s="6"/>
      <c r="AS11" s="6"/>
      <c r="AT11" s="634"/>
    </row>
    <row r="12" spans="1:46" ht="55.15" customHeight="1" x14ac:dyDescent="0.25">
      <c r="A12" s="2205"/>
      <c r="B12" s="574">
        <v>2</v>
      </c>
      <c r="C12" s="595">
        <v>392</v>
      </c>
      <c r="D12" s="596"/>
      <c r="E12" s="596"/>
      <c r="F12" s="597"/>
      <c r="G12" s="684" t="s">
        <v>583</v>
      </c>
      <c r="H12" s="619"/>
      <c r="I12" s="848"/>
      <c r="J12" s="635"/>
      <c r="K12" s="622"/>
      <c r="L12" s="572"/>
      <c r="M12" s="6"/>
      <c r="N12" s="6"/>
      <c r="O12" s="613"/>
      <c r="P12" s="1144"/>
      <c r="Q12" s="6"/>
      <c r="R12" s="605"/>
      <c r="S12" s="635"/>
      <c r="T12" s="622"/>
      <c r="U12" s="572"/>
      <c r="V12" s="6"/>
      <c r="W12" s="6"/>
      <c r="X12" s="613"/>
      <c r="Y12" s="1144"/>
      <c r="Z12" s="6"/>
      <c r="AA12" s="698"/>
      <c r="AB12" s="635"/>
      <c r="AC12" s="622"/>
      <c r="AD12" s="572"/>
      <c r="AE12" s="6"/>
      <c r="AF12" s="6"/>
      <c r="AG12" s="613"/>
      <c r="AH12" s="614"/>
      <c r="AI12" s="605"/>
      <c r="AJ12" s="605"/>
      <c r="AK12" s="635"/>
      <c r="AM12" s="572"/>
      <c r="AN12" s="6"/>
      <c r="AO12" s="6">
        <v>112</v>
      </c>
      <c r="AP12" s="613"/>
      <c r="AQ12" s="614"/>
      <c r="AR12" s="6"/>
      <c r="AS12" s="605" t="s">
        <v>152</v>
      </c>
      <c r="AT12" s="635"/>
    </row>
    <row r="13" spans="1:46" ht="34.9" customHeight="1" x14ac:dyDescent="0.25">
      <c r="A13" s="2206">
        <v>45510</v>
      </c>
      <c r="B13" s="574">
        <v>1</v>
      </c>
      <c r="C13" s="595"/>
      <c r="D13" s="596"/>
      <c r="E13" s="596"/>
      <c r="F13" s="597"/>
      <c r="G13" s="684"/>
      <c r="H13" s="619"/>
      <c r="I13" s="848"/>
      <c r="J13" s="635"/>
      <c r="K13" s="622"/>
      <c r="L13" s="572"/>
      <c r="M13" s="6"/>
      <c r="N13" s="6"/>
      <c r="O13" s="597"/>
      <c r="P13" s="614"/>
      <c r="Q13" s="6"/>
      <c r="R13" s="6"/>
      <c r="S13" s="635"/>
      <c r="T13" s="622"/>
      <c r="U13" s="572"/>
      <c r="V13" s="6"/>
      <c r="W13" s="6"/>
      <c r="X13" s="597"/>
      <c r="Y13" s="1144"/>
      <c r="Z13" s="605"/>
      <c r="AA13" s="698"/>
      <c r="AB13" s="635"/>
      <c r="AC13" s="622"/>
      <c r="AD13" s="572"/>
      <c r="AE13" s="6"/>
      <c r="AF13" s="6"/>
      <c r="AG13" s="597"/>
      <c r="AH13" s="614"/>
      <c r="AI13" s="6"/>
      <c r="AJ13" s="605"/>
      <c r="AK13" s="635"/>
      <c r="AM13" s="572"/>
      <c r="AN13" s="6"/>
      <c r="AO13" s="6"/>
      <c r="AP13" s="597"/>
      <c r="AQ13" s="614"/>
      <c r="AR13" s="6"/>
      <c r="AS13" s="6"/>
      <c r="AT13" s="635"/>
    </row>
    <row r="14" spans="1:46" ht="49.15" customHeight="1" x14ac:dyDescent="0.25">
      <c r="A14" s="2205"/>
      <c r="B14" s="574">
        <v>2</v>
      </c>
      <c r="C14" s="595"/>
      <c r="D14" s="596"/>
      <c r="E14" s="596"/>
      <c r="F14" s="597"/>
      <c r="G14" s="684"/>
      <c r="H14" s="620"/>
      <c r="I14" s="848"/>
      <c r="J14" s="635"/>
      <c r="K14" s="622"/>
      <c r="L14" s="572"/>
      <c r="M14" s="6"/>
      <c r="N14" s="6"/>
      <c r="O14" s="597"/>
      <c r="P14" s="1144"/>
      <c r="Q14" s="6"/>
      <c r="R14" s="6"/>
      <c r="S14" s="635"/>
      <c r="T14" s="622"/>
      <c r="U14" s="572">
        <v>388</v>
      </c>
      <c r="V14" s="6"/>
      <c r="W14" s="6"/>
      <c r="X14" s="597"/>
      <c r="Y14" s="1150" t="s">
        <v>583</v>
      </c>
      <c r="Z14" s="605"/>
      <c r="AA14" s="698"/>
      <c r="AB14" s="635"/>
      <c r="AC14" s="622"/>
      <c r="AD14" s="572"/>
      <c r="AE14" s="6"/>
      <c r="AF14" s="6"/>
      <c r="AG14" s="597"/>
      <c r="AH14" s="2232"/>
      <c r="AI14" s="2233"/>
      <c r="AJ14" s="2234"/>
      <c r="AK14" s="635"/>
      <c r="AM14" s="572"/>
      <c r="AN14" s="6"/>
      <c r="AO14" s="6"/>
      <c r="AP14" s="597"/>
      <c r="AQ14" s="1144"/>
      <c r="AR14" s="6"/>
      <c r="AS14" s="698"/>
      <c r="AT14" s="635"/>
    </row>
    <row r="15" spans="1:46" ht="48" customHeight="1" x14ac:dyDescent="0.25">
      <c r="A15" s="2206">
        <v>45511</v>
      </c>
      <c r="B15" s="574">
        <v>1</v>
      </c>
      <c r="C15" s="595"/>
      <c r="D15" s="596"/>
      <c r="E15" s="6"/>
      <c r="F15" s="597">
        <v>121</v>
      </c>
      <c r="G15" s="684"/>
      <c r="H15" s="620"/>
      <c r="I15" s="848"/>
      <c r="J15" s="635" t="s">
        <v>954</v>
      </c>
      <c r="K15" s="622"/>
      <c r="L15" s="572"/>
      <c r="M15" s="6"/>
      <c r="N15" s="6"/>
      <c r="O15" s="597">
        <v>98</v>
      </c>
      <c r="P15" s="685"/>
      <c r="Q15" s="620"/>
      <c r="R15" s="620"/>
      <c r="S15" s="635" t="s">
        <v>954</v>
      </c>
      <c r="T15" s="622"/>
      <c r="U15" s="572"/>
      <c r="V15" s="6"/>
      <c r="W15" s="6"/>
      <c r="X15" s="597">
        <v>110</v>
      </c>
      <c r="Y15" s="684"/>
      <c r="Z15" s="620"/>
      <c r="AA15" s="698"/>
      <c r="AB15" s="635" t="s">
        <v>954</v>
      </c>
      <c r="AC15" s="622"/>
      <c r="AD15" s="572"/>
      <c r="AE15" s="6"/>
      <c r="AF15" s="622"/>
      <c r="AG15" s="597">
        <v>127</v>
      </c>
      <c r="AH15" s="685"/>
      <c r="AI15" s="620"/>
      <c r="AJ15" s="605"/>
      <c r="AK15" s="635" t="s">
        <v>954</v>
      </c>
      <c r="AM15" s="572"/>
      <c r="AN15" s="6"/>
      <c r="AO15" s="622"/>
      <c r="AP15" s="685" t="s">
        <v>955</v>
      </c>
      <c r="AQ15" s="620"/>
      <c r="AR15" s="620"/>
      <c r="AS15" s="620"/>
      <c r="AT15" s="635" t="s">
        <v>954</v>
      </c>
    </row>
    <row r="16" spans="1:46" ht="54.6" customHeight="1" x14ac:dyDescent="0.25">
      <c r="A16" s="2205"/>
      <c r="B16" s="574">
        <v>2</v>
      </c>
      <c r="C16" s="595"/>
      <c r="D16" s="595"/>
      <c r="E16" s="595"/>
      <c r="F16" s="597"/>
      <c r="G16" s="1134"/>
      <c r="H16" s="1135"/>
      <c r="I16" s="1136"/>
      <c r="J16" s="635"/>
      <c r="K16" s="622"/>
      <c r="L16" s="572"/>
      <c r="M16" s="6"/>
      <c r="N16" s="6"/>
      <c r="O16" s="597"/>
      <c r="P16" s="1134"/>
      <c r="Q16" s="1135"/>
      <c r="R16" s="1136"/>
      <c r="S16" s="635"/>
      <c r="T16" s="622"/>
      <c r="U16" s="572"/>
      <c r="V16" s="6"/>
      <c r="W16" s="6"/>
      <c r="X16" s="597"/>
      <c r="Y16" s="1134"/>
      <c r="Z16" s="1135"/>
      <c r="AA16" s="1136"/>
      <c r="AB16" s="635"/>
      <c r="AC16" s="622"/>
      <c r="AD16" s="572">
        <v>129</v>
      </c>
      <c r="AE16" s="6"/>
      <c r="AF16" s="6"/>
      <c r="AG16" s="597"/>
      <c r="AH16" s="1151" t="s">
        <v>583</v>
      </c>
      <c r="AI16" s="1135"/>
      <c r="AJ16" s="1136"/>
      <c r="AK16" s="635"/>
      <c r="AM16" s="572"/>
      <c r="AN16" s="6"/>
      <c r="AO16" s="6"/>
      <c r="AP16" s="597"/>
      <c r="AQ16" s="1134"/>
      <c r="AR16" s="1135"/>
      <c r="AS16" s="1136"/>
      <c r="AT16" s="635"/>
    </row>
    <row r="17" spans="1:46" ht="66" customHeight="1" x14ac:dyDescent="0.25">
      <c r="A17" s="2206">
        <v>45512</v>
      </c>
      <c r="B17" s="644">
        <v>1</v>
      </c>
      <c r="C17" s="595"/>
      <c r="D17" s="596"/>
      <c r="E17" s="596"/>
      <c r="F17" s="597"/>
      <c r="G17" s="685"/>
      <c r="H17" s="619"/>
      <c r="I17" s="848"/>
      <c r="J17" s="635"/>
      <c r="K17" s="622"/>
      <c r="L17" s="572"/>
      <c r="M17" s="6"/>
      <c r="N17" s="6"/>
      <c r="O17" s="597"/>
      <c r="P17" s="685"/>
      <c r="Q17" s="619"/>
      <c r="R17" s="620"/>
      <c r="S17" s="635"/>
      <c r="T17" s="622"/>
      <c r="U17" s="572"/>
      <c r="V17" s="6"/>
      <c r="W17" s="6"/>
      <c r="X17" s="597"/>
      <c r="Y17" s="684"/>
      <c r="Z17" s="619"/>
      <c r="AA17" s="848"/>
      <c r="AB17" s="635"/>
      <c r="AC17" s="622"/>
      <c r="AD17" s="572"/>
      <c r="AE17" s="6"/>
      <c r="AF17" s="6"/>
      <c r="AG17" s="597"/>
      <c r="AH17" s="685"/>
      <c r="AI17" s="619"/>
      <c r="AJ17" s="620"/>
      <c r="AK17" s="635"/>
      <c r="AM17" s="572"/>
      <c r="AN17" s="6"/>
      <c r="AO17" s="6"/>
      <c r="AP17" s="685"/>
      <c r="AQ17" s="619"/>
      <c r="AR17" s="620"/>
      <c r="AS17" s="698"/>
      <c r="AT17" s="635"/>
    </row>
    <row r="18" spans="1:46" ht="49.9" customHeight="1" x14ac:dyDescent="0.25">
      <c r="A18" s="2205"/>
      <c r="B18" s="574">
        <v>2</v>
      </c>
      <c r="C18" s="595"/>
      <c r="D18" s="596"/>
      <c r="E18" s="596"/>
      <c r="F18" s="597"/>
      <c r="G18" s="684"/>
      <c r="H18" s="830"/>
      <c r="I18" s="848"/>
      <c r="J18" s="635"/>
      <c r="K18" s="622"/>
      <c r="L18" s="572"/>
      <c r="M18" s="6"/>
      <c r="N18" s="6"/>
      <c r="O18" s="597"/>
      <c r="P18" s="684"/>
      <c r="Q18" s="620"/>
      <c r="R18" s="619"/>
      <c r="S18" s="635"/>
      <c r="T18" s="622"/>
      <c r="U18" s="572"/>
      <c r="V18" s="6"/>
      <c r="W18" s="596"/>
      <c r="X18" s="597"/>
      <c r="Y18" s="684"/>
      <c r="Z18" s="620"/>
      <c r="AA18" s="848"/>
      <c r="AB18" s="635"/>
      <c r="AC18" s="622"/>
      <c r="AD18" s="572"/>
      <c r="AE18" s="6"/>
      <c r="AF18" s="6"/>
      <c r="AG18" s="597"/>
      <c r="AH18" s="684"/>
      <c r="AI18" s="620"/>
      <c r="AJ18" s="619"/>
      <c r="AK18" s="635"/>
      <c r="AM18" s="572"/>
      <c r="AN18" s="6"/>
      <c r="AO18" s="6"/>
      <c r="AP18" s="597"/>
      <c r="AQ18" s="2254"/>
      <c r="AR18" s="2255"/>
      <c r="AS18" s="2256"/>
      <c r="AT18" s="635"/>
    </row>
    <row r="19" spans="1:46" ht="33.6" customHeight="1" x14ac:dyDescent="0.25">
      <c r="A19" s="2206">
        <v>45513</v>
      </c>
      <c r="B19" s="574">
        <v>1</v>
      </c>
      <c r="C19" s="622"/>
      <c r="D19" s="596"/>
      <c r="E19" s="596"/>
      <c r="F19" s="597"/>
      <c r="G19" s="567"/>
      <c r="H19" s="6"/>
      <c r="I19" s="848"/>
      <c r="J19" s="635"/>
      <c r="K19" s="622"/>
      <c r="L19" s="572"/>
      <c r="M19" s="6"/>
      <c r="N19" s="6"/>
      <c r="O19" s="597"/>
      <c r="P19" s="572"/>
      <c r="Q19" s="6"/>
      <c r="R19" s="6"/>
      <c r="S19" s="635"/>
      <c r="T19" s="622"/>
      <c r="U19" s="572"/>
      <c r="V19" s="6"/>
      <c r="W19" s="6"/>
      <c r="X19" s="597"/>
      <c r="Y19" s="572"/>
      <c r="Z19" s="605"/>
      <c r="AA19" s="848"/>
      <c r="AB19" s="635"/>
      <c r="AC19" s="622"/>
      <c r="AD19" s="572"/>
      <c r="AE19" s="6"/>
      <c r="AF19" s="6"/>
      <c r="AG19" s="597"/>
      <c r="AH19" s="572"/>
      <c r="AI19" s="6"/>
      <c r="AJ19" s="698"/>
      <c r="AK19" s="635"/>
      <c r="AM19" s="572"/>
      <c r="AN19" s="6"/>
      <c r="AO19" s="6"/>
      <c r="AP19" s="597"/>
      <c r="AQ19" s="572"/>
      <c r="AR19" s="6"/>
      <c r="AS19" s="620"/>
      <c r="AT19" s="635"/>
    </row>
    <row r="20" spans="1:46" ht="44.45" customHeight="1" x14ac:dyDescent="0.25">
      <c r="A20" s="2205"/>
      <c r="B20" s="574">
        <v>2</v>
      </c>
      <c r="C20" s="595"/>
      <c r="D20" s="596"/>
      <c r="E20" s="596"/>
      <c r="F20" s="597"/>
      <c r="G20" s="567"/>
      <c r="H20" s="1077"/>
      <c r="I20" s="848"/>
      <c r="J20" s="635"/>
      <c r="K20" s="622"/>
      <c r="L20" s="572"/>
      <c r="M20" s="6"/>
      <c r="N20" s="6"/>
      <c r="O20" s="597"/>
      <c r="P20" s="567"/>
      <c r="Q20" s="1077"/>
      <c r="R20" s="848"/>
      <c r="S20" s="635"/>
      <c r="T20" s="622"/>
      <c r="U20" s="572"/>
      <c r="V20" s="6"/>
      <c r="W20" s="6"/>
      <c r="X20" s="597"/>
      <c r="Y20" s="567"/>
      <c r="Z20" s="1077"/>
      <c r="AA20" s="848"/>
      <c r="AB20" s="635"/>
      <c r="AC20" s="622"/>
      <c r="AD20" s="572"/>
      <c r="AE20" s="6"/>
      <c r="AF20" s="6"/>
      <c r="AG20" s="597"/>
      <c r="AH20" s="567"/>
      <c r="AI20" s="1077"/>
      <c r="AJ20" s="848"/>
      <c r="AK20" s="635"/>
      <c r="AM20" s="572"/>
      <c r="AN20" s="6"/>
      <c r="AO20" s="6"/>
      <c r="AP20" s="597"/>
      <c r="AQ20" s="567"/>
      <c r="AR20" s="1077"/>
      <c r="AS20" s="848"/>
      <c r="AT20" s="635"/>
    </row>
    <row r="21" spans="1:46" ht="39.6" customHeight="1" x14ac:dyDescent="0.25">
      <c r="A21" s="2206">
        <v>45514</v>
      </c>
      <c r="B21" s="574">
        <v>1</v>
      </c>
      <c r="C21" s="595"/>
      <c r="D21" s="596"/>
      <c r="E21" s="596"/>
      <c r="F21" s="597">
        <v>565</v>
      </c>
      <c r="G21" s="688"/>
      <c r="H21" s="619"/>
      <c r="I21" s="848"/>
      <c r="J21" s="1164" t="s">
        <v>797</v>
      </c>
      <c r="K21" s="622"/>
      <c r="L21" s="572"/>
      <c r="M21" s="6"/>
      <c r="N21" s="6"/>
      <c r="O21" s="597"/>
      <c r="P21" s="572">
        <v>565</v>
      </c>
      <c r="Q21" s="6"/>
      <c r="R21" s="6"/>
      <c r="S21" s="1164" t="s">
        <v>797</v>
      </c>
      <c r="T21" s="622"/>
      <c r="U21" s="572"/>
      <c r="V21" s="6"/>
      <c r="W21" s="6"/>
      <c r="X21" s="597">
        <v>565</v>
      </c>
      <c r="Y21" s="567"/>
      <c r="Z21" s="6"/>
      <c r="AA21" s="848"/>
      <c r="AB21" s="1164" t="s">
        <v>797</v>
      </c>
      <c r="AC21" s="622"/>
      <c r="AD21" s="572"/>
      <c r="AE21" s="6"/>
      <c r="AF21" s="6"/>
      <c r="AG21" s="597">
        <v>565</v>
      </c>
      <c r="AH21" s="572"/>
      <c r="AI21" s="6"/>
      <c r="AJ21" s="848"/>
      <c r="AK21" s="1164" t="s">
        <v>797</v>
      </c>
      <c r="AM21" s="572"/>
      <c r="AN21" s="6"/>
      <c r="AO21" s="6"/>
      <c r="AP21" s="597">
        <v>565</v>
      </c>
      <c r="AQ21" s="572"/>
      <c r="AR21" s="605"/>
      <c r="AS21" s="50"/>
      <c r="AT21" s="1164" t="s">
        <v>797</v>
      </c>
    </row>
    <row r="22" spans="1:46" ht="49.9" customHeight="1" x14ac:dyDescent="0.25">
      <c r="A22" s="2205"/>
      <c r="B22" s="574">
        <v>2</v>
      </c>
      <c r="C22" s="595"/>
      <c r="D22" s="596"/>
      <c r="E22" s="596"/>
      <c r="F22" s="597">
        <v>212</v>
      </c>
      <c r="G22" s="1142"/>
      <c r="H22" s="620"/>
      <c r="I22" s="848"/>
      <c r="J22" s="1164" t="s">
        <v>797</v>
      </c>
      <c r="K22" s="622"/>
      <c r="L22" s="572"/>
      <c r="M22" s="6"/>
      <c r="N22" s="6"/>
      <c r="O22" s="597">
        <v>207</v>
      </c>
      <c r="P22" s="1144"/>
      <c r="Q22" s="620"/>
      <c r="R22" s="6"/>
      <c r="S22" s="1164" t="s">
        <v>797</v>
      </c>
      <c r="T22" s="622"/>
      <c r="U22" s="572"/>
      <c r="V22" s="6"/>
      <c r="W22" s="6"/>
      <c r="X22" s="597">
        <v>204</v>
      </c>
      <c r="Y22" s="567"/>
      <c r="Z22" s="620"/>
      <c r="AA22" s="698"/>
      <c r="AB22" s="1164" t="s">
        <v>797</v>
      </c>
      <c r="AC22" s="622"/>
      <c r="AD22" s="572"/>
      <c r="AE22" s="6"/>
      <c r="AF22" s="6"/>
      <c r="AG22" s="597">
        <v>218</v>
      </c>
      <c r="AH22" s="572"/>
      <c r="AI22" s="6"/>
      <c r="AJ22" s="698"/>
      <c r="AK22" s="1164" t="s">
        <v>797</v>
      </c>
      <c r="AM22" s="572"/>
      <c r="AN22" s="6"/>
      <c r="AO22" s="6"/>
      <c r="AP22" s="597">
        <v>225</v>
      </c>
      <c r="AQ22" s="572"/>
      <c r="AR22" s="620"/>
      <c r="AS22" s="50"/>
      <c r="AT22" s="1164" t="s">
        <v>797</v>
      </c>
    </row>
    <row r="23" spans="1:46" ht="47.45" customHeight="1" x14ac:dyDescent="0.25">
      <c r="A23" s="2206">
        <v>45515</v>
      </c>
      <c r="B23" s="644">
        <v>1</v>
      </c>
      <c r="C23" s="595"/>
      <c r="D23" s="596"/>
      <c r="E23" s="596"/>
      <c r="F23" s="597"/>
      <c r="G23" s="685"/>
      <c r="H23" s="619"/>
      <c r="I23" s="848"/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/>
      <c r="V23" s="6"/>
      <c r="W23" s="6"/>
      <c r="X23" s="597"/>
      <c r="Y23" s="567"/>
      <c r="Z23" s="620"/>
      <c r="AA23" s="848"/>
      <c r="AB23" s="635"/>
      <c r="AC23" s="622"/>
      <c r="AD23" s="572"/>
      <c r="AE23" s="6"/>
      <c r="AF23" s="614"/>
      <c r="AG23" s="597"/>
      <c r="AH23" s="572"/>
      <c r="AI23" s="619"/>
      <c r="AJ23" s="620"/>
      <c r="AK23" s="635"/>
      <c r="AM23" s="572"/>
      <c r="AN23" s="6"/>
      <c r="AO23" s="6"/>
      <c r="AP23" s="597"/>
      <c r="AQ23" s="6"/>
      <c r="AR23" s="619"/>
      <c r="AS23" s="692"/>
      <c r="AT23" s="635"/>
    </row>
    <row r="24" spans="1:46" ht="49.9" customHeight="1" x14ac:dyDescent="0.25">
      <c r="A24" s="2205"/>
      <c r="B24" s="574">
        <v>2</v>
      </c>
      <c r="C24" s="595"/>
      <c r="D24" s="596"/>
      <c r="E24" s="596"/>
      <c r="F24" s="597"/>
      <c r="G24" s="685"/>
      <c r="H24" s="620"/>
      <c r="I24" s="848"/>
      <c r="J24" s="635"/>
      <c r="K24" s="622"/>
      <c r="L24" s="572"/>
      <c r="M24" s="6"/>
      <c r="N24" s="6"/>
      <c r="O24" s="597"/>
      <c r="P24" s="685"/>
      <c r="Q24" s="619"/>
      <c r="R24" s="620"/>
      <c r="S24" s="635"/>
      <c r="T24" s="622"/>
      <c r="U24" s="6"/>
      <c r="V24" s="597"/>
      <c r="W24" s="685"/>
      <c r="X24" s="597"/>
      <c r="Y24" s="848"/>
      <c r="Z24" s="619"/>
      <c r="AA24" s="848"/>
      <c r="AB24" s="635"/>
      <c r="AC24" s="622"/>
      <c r="AD24" s="572"/>
      <c r="AE24" s="6"/>
      <c r="AF24" s="614"/>
      <c r="AG24" s="597"/>
      <c r="AH24" s="848"/>
      <c r="AI24" s="619"/>
      <c r="AJ24" s="620"/>
      <c r="AK24" s="635"/>
      <c r="AM24" s="572"/>
      <c r="AN24" s="6"/>
      <c r="AO24" s="6"/>
      <c r="AP24" s="597"/>
      <c r="AQ24" s="619"/>
      <c r="AR24" s="619"/>
      <c r="AS24" s="635"/>
      <c r="AT24" s="635"/>
    </row>
    <row r="25" spans="1:46" ht="53.45" customHeight="1" x14ac:dyDescent="0.25">
      <c r="A25" s="2206">
        <v>45516</v>
      </c>
      <c r="B25" s="574">
        <v>1</v>
      </c>
      <c r="C25" s="595"/>
      <c r="D25" s="596"/>
      <c r="E25" s="596"/>
      <c r="F25" s="597"/>
      <c r="G25" s="685"/>
      <c r="H25" s="619"/>
      <c r="I25" s="848"/>
      <c r="J25" s="635"/>
      <c r="K25" s="622"/>
      <c r="L25" s="572"/>
      <c r="M25" s="6"/>
      <c r="N25" s="6"/>
      <c r="O25" s="597"/>
      <c r="P25" s="572"/>
      <c r="Q25" s="619"/>
      <c r="R25" s="6"/>
      <c r="S25" s="635"/>
      <c r="T25" s="622"/>
      <c r="U25" s="572"/>
      <c r="V25" s="6"/>
      <c r="W25" s="6"/>
      <c r="X25" s="597"/>
      <c r="Y25" s="567"/>
      <c r="Z25" s="605"/>
      <c r="AA25" s="698"/>
      <c r="AB25" s="635"/>
      <c r="AC25" s="622"/>
      <c r="AD25" s="572"/>
      <c r="AE25" s="6"/>
      <c r="AF25" s="6"/>
      <c r="AG25" s="597"/>
      <c r="AH25" s="6"/>
      <c r="AI25" s="605"/>
      <c r="AJ25" s="620"/>
      <c r="AK25" s="635"/>
      <c r="AM25" s="572"/>
      <c r="AN25" s="6"/>
      <c r="AO25" s="6">
        <v>42</v>
      </c>
      <c r="AP25" s="597"/>
      <c r="AQ25" s="6"/>
      <c r="AR25" s="6"/>
      <c r="AS25" s="50" t="s">
        <v>152</v>
      </c>
      <c r="AT25" s="635"/>
    </row>
    <row r="26" spans="1:46" ht="42" customHeight="1" x14ac:dyDescent="0.25">
      <c r="A26" s="2205"/>
      <c r="B26" s="574">
        <v>2</v>
      </c>
      <c r="C26" s="595"/>
      <c r="D26" s="596"/>
      <c r="E26" s="596">
        <v>72</v>
      </c>
      <c r="F26" s="597"/>
      <c r="G26" s="685"/>
      <c r="H26" s="620"/>
      <c r="I26" s="848" t="s">
        <v>82</v>
      </c>
      <c r="J26" s="635"/>
      <c r="K26" s="622"/>
      <c r="L26" s="572"/>
      <c r="M26" s="6"/>
      <c r="N26" s="6"/>
      <c r="O26" s="597"/>
      <c r="P26" s="685"/>
      <c r="Q26" s="620"/>
      <c r="R26" s="692"/>
      <c r="S26" s="635"/>
      <c r="T26" s="622"/>
      <c r="U26" s="572"/>
      <c r="V26" s="596"/>
      <c r="W26" s="6"/>
      <c r="X26" s="597"/>
      <c r="Y26" s="848"/>
      <c r="Z26" s="620"/>
      <c r="AA26" s="698"/>
      <c r="AB26" s="635"/>
      <c r="AC26" s="622"/>
      <c r="AD26" s="572"/>
      <c r="AE26" s="596"/>
      <c r="AF26" s="6"/>
      <c r="AG26" s="597"/>
      <c r="AH26" s="848"/>
      <c r="AI26" s="620"/>
      <c r="AJ26" s="692"/>
      <c r="AK26" s="635"/>
      <c r="AM26" s="572"/>
      <c r="AN26" s="596"/>
      <c r="AO26" s="6">
        <v>35</v>
      </c>
      <c r="AP26" s="597"/>
      <c r="AQ26" s="685"/>
      <c r="AR26" s="620"/>
      <c r="AS26" s="50" t="s">
        <v>152</v>
      </c>
      <c r="AT26" s="635"/>
    </row>
    <row r="27" spans="1:46" ht="49.9" customHeight="1" x14ac:dyDescent="0.25">
      <c r="A27" s="2206">
        <v>45517</v>
      </c>
      <c r="B27" s="644">
        <v>1</v>
      </c>
      <c r="C27" s="595"/>
      <c r="D27" s="596"/>
      <c r="E27" s="596">
        <v>29</v>
      </c>
      <c r="F27" s="597"/>
      <c r="G27" s="685"/>
      <c r="H27" s="619"/>
      <c r="I27" s="692" t="s">
        <v>152</v>
      </c>
      <c r="J27" s="635"/>
      <c r="K27" s="622"/>
      <c r="L27" s="572"/>
      <c r="M27" s="6"/>
      <c r="N27" s="6"/>
      <c r="O27" s="597"/>
      <c r="P27" s="685"/>
      <c r="Q27" s="619"/>
      <c r="R27" s="620"/>
      <c r="S27" s="635"/>
      <c r="T27" s="622"/>
      <c r="U27" s="572"/>
      <c r="V27" s="6"/>
      <c r="W27" s="6">
        <v>32</v>
      </c>
      <c r="X27" s="597"/>
      <c r="Y27" s="685"/>
      <c r="Z27" s="620"/>
      <c r="AA27" s="698" t="s">
        <v>152</v>
      </c>
      <c r="AB27" s="635"/>
      <c r="AC27" s="622"/>
      <c r="AD27" s="572"/>
      <c r="AE27" s="6"/>
      <c r="AF27" s="6">
        <v>16</v>
      </c>
      <c r="AG27" s="597"/>
      <c r="AH27" s="685"/>
      <c r="AI27" s="605"/>
      <c r="AJ27" s="620" t="s">
        <v>152</v>
      </c>
      <c r="AK27" s="635"/>
      <c r="AM27" s="572"/>
      <c r="AN27" s="6"/>
      <c r="AO27" s="6"/>
      <c r="AP27" s="597"/>
      <c r="AQ27" s="605"/>
      <c r="AR27" s="6"/>
      <c r="AS27" s="692"/>
      <c r="AT27" s="635"/>
    </row>
    <row r="28" spans="1:46" ht="72" customHeight="1" x14ac:dyDescent="0.25">
      <c r="A28" s="2205"/>
      <c r="B28" s="574">
        <v>2</v>
      </c>
      <c r="C28" s="595"/>
      <c r="D28" s="596"/>
      <c r="E28" s="596"/>
      <c r="F28" s="597"/>
      <c r="G28" s="620"/>
      <c r="H28" s="620"/>
      <c r="I28" s="692"/>
      <c r="J28" s="635"/>
      <c r="K28" s="622"/>
      <c r="L28" s="572"/>
      <c r="M28" s="6"/>
      <c r="N28" s="6"/>
      <c r="O28" s="597"/>
      <c r="P28" s="620"/>
      <c r="Q28" s="620"/>
      <c r="R28" s="620"/>
      <c r="S28" s="635"/>
      <c r="T28" s="622"/>
      <c r="U28" s="572"/>
      <c r="V28" s="6"/>
      <c r="W28" s="622"/>
      <c r="X28" s="597"/>
      <c r="Y28" s="620"/>
      <c r="Z28" s="6"/>
      <c r="AA28" s="698"/>
      <c r="AB28" s="635"/>
      <c r="AC28" s="622"/>
      <c r="AD28" s="572"/>
      <c r="AE28" s="6"/>
      <c r="AF28" s="6"/>
      <c r="AG28" s="597"/>
      <c r="AH28" s="685"/>
      <c r="AI28" s="605"/>
      <c r="AJ28" s="692"/>
      <c r="AK28" s="635"/>
      <c r="AM28" s="572"/>
      <c r="AN28" s="6"/>
      <c r="AO28" s="6">
        <v>18</v>
      </c>
      <c r="AP28" s="597"/>
      <c r="AQ28" s="605"/>
      <c r="AR28" s="6"/>
      <c r="AS28" s="50" t="s">
        <v>152</v>
      </c>
      <c r="AT28" s="635"/>
    </row>
    <row r="29" spans="1:46" ht="66" customHeight="1" x14ac:dyDescent="0.25">
      <c r="A29" s="2206">
        <v>45518</v>
      </c>
      <c r="B29" s="574">
        <v>1</v>
      </c>
      <c r="C29" s="595"/>
      <c r="D29" s="596"/>
      <c r="E29" s="596"/>
      <c r="F29" s="597"/>
      <c r="G29" s="620"/>
      <c r="H29" s="619"/>
      <c r="I29" s="692"/>
      <c r="J29" s="635"/>
      <c r="K29" s="622"/>
      <c r="L29" s="572"/>
      <c r="M29" s="6"/>
      <c r="N29" s="6"/>
      <c r="O29" s="597"/>
      <c r="P29" s="685"/>
      <c r="Q29" s="620"/>
      <c r="R29" s="620"/>
      <c r="S29" s="635"/>
      <c r="T29" s="622"/>
      <c r="U29" s="572"/>
      <c r="V29" s="6"/>
      <c r="W29" s="6"/>
      <c r="X29" s="597"/>
      <c r="Y29" s="620"/>
      <c r="Z29" s="619"/>
      <c r="AA29" s="698"/>
      <c r="AB29" s="635"/>
      <c r="AC29" s="622"/>
      <c r="AD29" s="572"/>
      <c r="AE29" s="6">
        <v>54</v>
      </c>
      <c r="AF29" s="6"/>
      <c r="AG29" s="597"/>
      <c r="AH29" s="685"/>
      <c r="AI29" s="619"/>
      <c r="AJ29" s="620" t="s">
        <v>956</v>
      </c>
      <c r="AK29" s="635"/>
      <c r="AM29" s="572"/>
      <c r="AN29" s="6"/>
      <c r="AO29" s="6">
        <v>28</v>
      </c>
      <c r="AP29" s="597"/>
      <c r="AQ29" s="605"/>
      <c r="AR29" s="619"/>
      <c r="AS29" s="50" t="s">
        <v>152</v>
      </c>
      <c r="AT29" s="635"/>
    </row>
    <row r="30" spans="1:46" ht="39.6" customHeight="1" x14ac:dyDescent="0.25">
      <c r="A30" s="2205"/>
      <c r="B30" s="644">
        <v>2</v>
      </c>
      <c r="C30" s="595"/>
      <c r="D30" s="596"/>
      <c r="E30" s="596"/>
      <c r="F30" s="597"/>
      <c r="G30" s="620"/>
      <c r="H30" s="619"/>
      <c r="I30" s="692"/>
      <c r="J30" s="635"/>
      <c r="K30" s="622"/>
      <c r="L30" s="572"/>
      <c r="M30" s="6"/>
      <c r="N30" s="6"/>
      <c r="O30" s="597"/>
      <c r="P30" s="685"/>
      <c r="Q30" s="620"/>
      <c r="R30" s="620"/>
      <c r="S30" s="635"/>
      <c r="T30" s="622"/>
      <c r="U30" s="572"/>
      <c r="V30" s="6"/>
      <c r="W30" s="6"/>
      <c r="X30" s="597"/>
      <c r="Y30" s="620"/>
      <c r="Z30" s="619"/>
      <c r="AA30" s="698"/>
      <c r="AB30" s="635"/>
      <c r="AC30" s="622"/>
      <c r="AD30" s="572"/>
      <c r="AE30" s="6"/>
      <c r="AF30" s="6"/>
      <c r="AG30" s="597"/>
      <c r="AH30" s="685"/>
      <c r="AI30" s="620"/>
      <c r="AJ30" s="620"/>
      <c r="AK30" s="635"/>
      <c r="AM30" s="572"/>
      <c r="AN30" s="6"/>
      <c r="AO30" s="6"/>
      <c r="AP30" s="597"/>
      <c r="AQ30" s="1144"/>
      <c r="AR30" s="605"/>
      <c r="AS30" s="828"/>
      <c r="AT30" s="635"/>
    </row>
    <row r="31" spans="1:46" ht="39.6" customHeight="1" x14ac:dyDescent="0.25">
      <c r="A31" s="2206">
        <v>45519</v>
      </c>
      <c r="B31" s="574">
        <v>1</v>
      </c>
      <c r="C31" s="595"/>
      <c r="D31" s="596"/>
      <c r="E31" s="596"/>
      <c r="F31" s="597"/>
      <c r="G31" s="685"/>
      <c r="H31" s="620"/>
      <c r="I31" s="620"/>
      <c r="J31" s="635"/>
      <c r="K31" s="622"/>
      <c r="L31" s="572"/>
      <c r="M31" s="6"/>
      <c r="N31" s="6"/>
      <c r="O31" s="597"/>
      <c r="P31" s="614"/>
      <c r="Q31" s="6"/>
      <c r="R31" s="6"/>
      <c r="S31" s="635"/>
      <c r="T31" s="622"/>
      <c r="U31" s="572"/>
      <c r="V31" s="6"/>
      <c r="W31" s="6"/>
      <c r="X31" s="597"/>
      <c r="Y31" s="1144"/>
      <c r="Z31" s="6"/>
      <c r="AA31" s="698"/>
      <c r="AB31" s="635"/>
      <c r="AC31" s="622"/>
      <c r="AD31" s="572"/>
      <c r="AE31" s="6"/>
      <c r="AF31" s="6"/>
      <c r="AG31" s="597"/>
      <c r="AH31" s="685"/>
      <c r="AI31" s="6"/>
      <c r="AJ31" s="6"/>
      <c r="AK31" s="635"/>
      <c r="AM31" s="572"/>
      <c r="AN31" s="6"/>
      <c r="AO31" s="6"/>
      <c r="AP31" s="597"/>
      <c r="AQ31" s="614"/>
      <c r="AR31" s="6"/>
      <c r="AS31" s="6"/>
      <c r="AT31" s="635"/>
    </row>
    <row r="32" spans="1:46" ht="63" customHeight="1" x14ac:dyDescent="0.25">
      <c r="A32" s="2205"/>
      <c r="B32" s="574">
        <v>2</v>
      </c>
      <c r="C32" s="595"/>
      <c r="D32" s="596"/>
      <c r="E32" s="596"/>
      <c r="F32" s="597"/>
      <c r="G32" s="685"/>
      <c r="H32" s="684"/>
      <c r="I32" s="692"/>
      <c r="J32" s="635"/>
      <c r="K32" s="622"/>
      <c r="L32" s="572"/>
      <c r="M32" s="6"/>
      <c r="N32" s="6"/>
      <c r="O32" s="597"/>
      <c r="P32" s="614"/>
      <c r="Q32" s="6"/>
      <c r="R32" s="6"/>
      <c r="S32" s="635"/>
      <c r="T32" s="622"/>
      <c r="U32" s="572"/>
      <c r="V32" s="6"/>
      <c r="W32" s="596"/>
      <c r="X32" s="597"/>
      <c r="Y32" s="685"/>
      <c r="Z32" s="685"/>
      <c r="AA32" s="698"/>
      <c r="AB32" s="635"/>
      <c r="AC32" s="622"/>
      <c r="AD32" s="572"/>
      <c r="AE32" s="6"/>
      <c r="AF32" s="596"/>
      <c r="AG32" s="597"/>
      <c r="AH32" s="685"/>
      <c r="AI32" s="685"/>
      <c r="AJ32" s="698"/>
      <c r="AK32" s="635"/>
      <c r="AM32" s="572"/>
      <c r="AN32" s="6"/>
      <c r="AO32" s="6"/>
      <c r="AP32" s="597"/>
      <c r="AQ32" s="614"/>
      <c r="AR32" s="605"/>
      <c r="AS32" s="684"/>
      <c r="AT32" s="635"/>
    </row>
    <row r="33" spans="1:46" ht="43.15" customHeight="1" x14ac:dyDescent="0.25">
      <c r="A33" s="2206">
        <v>45520</v>
      </c>
      <c r="B33" s="574">
        <v>1</v>
      </c>
      <c r="C33" s="595"/>
      <c r="D33" s="596"/>
      <c r="E33" s="596"/>
      <c r="F33" s="597"/>
      <c r="G33" s="685"/>
      <c r="H33" s="620"/>
      <c r="I33" s="698"/>
      <c r="J33" s="635"/>
      <c r="K33" s="622"/>
      <c r="L33" s="572"/>
      <c r="M33" s="6"/>
      <c r="N33" s="6"/>
      <c r="O33" s="597"/>
      <c r="P33" s="614"/>
      <c r="Q33" s="6"/>
      <c r="R33" s="6"/>
      <c r="S33" s="635"/>
      <c r="T33" s="622"/>
      <c r="U33" s="572"/>
      <c r="V33" s="6"/>
      <c r="W33" s="6"/>
      <c r="X33" s="597"/>
      <c r="Y33" s="614"/>
      <c r="Z33" s="6"/>
      <c r="AA33" s="698"/>
      <c r="AB33" s="635"/>
      <c r="AC33" s="622"/>
      <c r="AD33" s="572"/>
      <c r="AE33" s="6"/>
      <c r="AF33" s="6"/>
      <c r="AG33" s="597"/>
      <c r="AH33" s="614"/>
      <c r="AI33" s="605"/>
      <c r="AJ33" s="698"/>
      <c r="AK33" s="635"/>
      <c r="AM33" s="572"/>
      <c r="AN33" s="6"/>
      <c r="AO33" s="6"/>
      <c r="AP33" s="597"/>
      <c r="AQ33" s="614"/>
      <c r="AR33" s="605"/>
      <c r="AS33" s="6"/>
      <c r="AT33" s="635"/>
    </row>
    <row r="34" spans="1:46" ht="67.900000000000006" customHeight="1" x14ac:dyDescent="0.25">
      <c r="A34" s="2205"/>
      <c r="B34" s="644">
        <v>2</v>
      </c>
      <c r="C34" s="596"/>
      <c r="D34" s="596"/>
      <c r="E34" s="596"/>
      <c r="F34" s="597"/>
      <c r="G34" s="684"/>
      <c r="H34" s="620"/>
      <c r="I34" s="698"/>
      <c r="J34" s="635"/>
      <c r="K34" s="622"/>
      <c r="L34" s="572"/>
      <c r="M34" s="6"/>
      <c r="N34" s="6"/>
      <c r="O34" s="597"/>
      <c r="P34" s="614"/>
      <c r="Q34" s="620"/>
      <c r="R34" s="6"/>
      <c r="S34" s="635"/>
      <c r="T34" s="622"/>
      <c r="U34" s="572"/>
      <c r="V34" s="6"/>
      <c r="W34" s="6"/>
      <c r="X34" s="597"/>
      <c r="Y34" s="605"/>
      <c r="Z34" s="605"/>
      <c r="AA34" s="698"/>
      <c r="AB34" s="635"/>
      <c r="AC34" s="622"/>
      <c r="AD34" s="572"/>
      <c r="AE34" s="6"/>
      <c r="AF34" s="6"/>
      <c r="AG34" s="597"/>
      <c r="AH34" s="614"/>
      <c r="AI34" s="6"/>
      <c r="AJ34" s="605"/>
      <c r="AK34" s="635"/>
      <c r="AM34" s="572"/>
      <c r="AN34" s="6"/>
      <c r="AO34" s="6"/>
      <c r="AP34" s="597"/>
      <c r="AQ34" s="614"/>
      <c r="AR34" s="6"/>
      <c r="AS34" s="828"/>
      <c r="AT34" s="635"/>
    </row>
    <row r="35" spans="1:46" ht="51" customHeight="1" x14ac:dyDescent="0.25">
      <c r="A35" s="2206">
        <v>45521</v>
      </c>
      <c r="B35" s="574">
        <v>1</v>
      </c>
      <c r="C35" s="596"/>
      <c r="D35" s="596"/>
      <c r="E35" s="50"/>
      <c r="F35" s="597"/>
      <c r="G35" s="567"/>
      <c r="H35" s="614"/>
      <c r="I35" s="692"/>
      <c r="J35" s="635"/>
      <c r="K35" s="622"/>
      <c r="L35" s="572"/>
      <c r="M35" s="6"/>
      <c r="N35" s="6"/>
      <c r="O35" s="597"/>
      <c r="P35" s="567"/>
      <c r="Q35" s="1148"/>
      <c r="R35" s="620"/>
      <c r="S35" s="635"/>
      <c r="T35" s="622"/>
      <c r="U35" s="572"/>
      <c r="V35" s="6"/>
      <c r="W35" s="50"/>
      <c r="X35" s="597"/>
      <c r="Y35" s="567"/>
      <c r="Z35" s="605"/>
      <c r="AA35" s="698"/>
      <c r="AB35" s="635"/>
      <c r="AC35" s="622"/>
      <c r="AD35" s="572"/>
      <c r="AE35" s="6"/>
      <c r="AF35" s="6"/>
      <c r="AG35" s="597"/>
      <c r="AH35" s="567"/>
      <c r="AI35" s="6"/>
      <c r="AJ35" s="684"/>
      <c r="AK35" s="635"/>
      <c r="AM35" s="572"/>
      <c r="AN35" s="6"/>
      <c r="AO35" s="50"/>
      <c r="AP35" s="597"/>
      <c r="AQ35" s="567"/>
      <c r="AR35" s="692"/>
      <c r="AS35" s="828"/>
      <c r="AT35" s="635"/>
    </row>
    <row r="36" spans="1:46" ht="46.9" customHeight="1" x14ac:dyDescent="0.25">
      <c r="A36" s="2205"/>
      <c r="B36" s="574">
        <v>2</v>
      </c>
      <c r="C36" s="50"/>
      <c r="D36" s="6"/>
      <c r="E36" s="50"/>
      <c r="F36" s="597"/>
      <c r="G36" s="692"/>
      <c r="H36" s="620"/>
      <c r="I36" s="848"/>
      <c r="J36" s="635"/>
      <c r="K36" s="622"/>
      <c r="L36" s="567"/>
      <c r="M36" s="6"/>
      <c r="N36" s="6"/>
      <c r="O36" s="597"/>
      <c r="P36" s="567"/>
      <c r="Q36" s="620"/>
      <c r="R36" s="605"/>
      <c r="S36" s="635"/>
      <c r="T36" s="622"/>
      <c r="U36" s="572"/>
      <c r="V36" s="6"/>
      <c r="W36" s="6"/>
      <c r="X36" s="597"/>
      <c r="Y36" s="567"/>
      <c r="Z36" s="620"/>
      <c r="AA36" s="698"/>
      <c r="AB36" s="635"/>
      <c r="AC36" s="622"/>
      <c r="AD36" s="572"/>
      <c r="AE36" s="6"/>
      <c r="AF36" s="50"/>
      <c r="AG36" s="597"/>
      <c r="AH36" s="567"/>
      <c r="AI36" s="605"/>
      <c r="AJ36" s="698"/>
      <c r="AK36" s="635"/>
      <c r="AM36" s="572"/>
      <c r="AN36" s="6"/>
      <c r="AO36" s="572"/>
      <c r="AP36" s="597"/>
      <c r="AQ36" s="614"/>
      <c r="AR36" s="1144"/>
      <c r="AS36" s="567"/>
      <c r="AT36" s="635"/>
    </row>
    <row r="37" spans="1:46" ht="59.45" customHeight="1" x14ac:dyDescent="0.25">
      <c r="A37" s="2206">
        <v>45522</v>
      </c>
      <c r="B37" s="644">
        <v>1</v>
      </c>
      <c r="C37" s="50"/>
      <c r="D37" s="596"/>
      <c r="E37" s="50">
        <v>28</v>
      </c>
      <c r="F37" s="597"/>
      <c r="G37" s="692"/>
      <c r="H37" s="1144"/>
      <c r="I37" s="848" t="s">
        <v>152</v>
      </c>
      <c r="J37" s="635"/>
      <c r="K37" s="622"/>
      <c r="L37" s="572"/>
      <c r="M37" s="6"/>
      <c r="N37" s="6"/>
      <c r="O37" s="597"/>
      <c r="P37" s="614"/>
      <c r="Q37" s="6"/>
      <c r="R37" s="6"/>
      <c r="S37" s="635"/>
      <c r="T37" s="622"/>
      <c r="U37" s="572"/>
      <c r="V37" s="6"/>
      <c r="W37" s="6">
        <v>91</v>
      </c>
      <c r="X37" s="597"/>
      <c r="Y37" s="614"/>
      <c r="Z37" s="605"/>
      <c r="AA37" s="698" t="s">
        <v>152</v>
      </c>
      <c r="AB37" s="635"/>
      <c r="AC37" s="622"/>
      <c r="AD37" s="572"/>
      <c r="AE37" s="6"/>
      <c r="AF37" s="6"/>
      <c r="AG37" s="597"/>
      <c r="AH37" s="1144"/>
      <c r="AI37" s="6"/>
      <c r="AJ37" s="698"/>
      <c r="AK37" s="635"/>
      <c r="AM37" s="572"/>
      <c r="AN37" s="6"/>
      <c r="AO37" s="6"/>
      <c r="AP37" s="597"/>
      <c r="AQ37" s="614"/>
      <c r="AR37" s="6"/>
      <c r="AS37" s="6"/>
      <c r="AT37" s="635"/>
    </row>
    <row r="38" spans="1:46" ht="55.9" customHeight="1" x14ac:dyDescent="0.25">
      <c r="A38" s="2205"/>
      <c r="B38" s="574">
        <v>2</v>
      </c>
      <c r="C38" s="50"/>
      <c r="D38" s="596"/>
      <c r="E38" s="50"/>
      <c r="F38" s="829"/>
      <c r="G38" s="692"/>
      <c r="H38" s="1144"/>
      <c r="I38" s="848"/>
      <c r="J38" s="635"/>
      <c r="K38" s="622"/>
      <c r="L38" s="572"/>
      <c r="M38" s="6"/>
      <c r="N38" s="6"/>
      <c r="O38" s="613"/>
      <c r="P38" s="1144"/>
      <c r="Q38" s="1144"/>
      <c r="R38" s="6"/>
      <c r="S38" s="635"/>
      <c r="T38" s="622"/>
      <c r="U38" s="572">
        <v>360</v>
      </c>
      <c r="V38" s="6"/>
      <c r="W38" s="6"/>
      <c r="X38" s="613"/>
      <c r="Y38" s="1150" t="s">
        <v>957</v>
      </c>
      <c r="Z38" s="605"/>
      <c r="AA38" s="698"/>
      <c r="AB38" s="635"/>
      <c r="AC38" s="622"/>
      <c r="AD38" s="572">
        <v>48</v>
      </c>
      <c r="AE38" s="6"/>
      <c r="AF38" s="6"/>
      <c r="AG38" s="613"/>
      <c r="AH38" s="1150" t="s">
        <v>958</v>
      </c>
      <c r="AI38" s="6"/>
      <c r="AJ38" s="698"/>
      <c r="AK38" s="635"/>
      <c r="AM38" s="572"/>
      <c r="AN38" s="6"/>
      <c r="AO38" s="6"/>
      <c r="AP38" s="613"/>
      <c r="AQ38" s="1144"/>
      <c r="AR38" s="6"/>
      <c r="AS38" s="567"/>
      <c r="AT38" s="635"/>
    </row>
    <row r="39" spans="1:46" ht="70.900000000000006" customHeight="1" x14ac:dyDescent="0.25">
      <c r="A39" s="2206">
        <v>45523</v>
      </c>
      <c r="B39" s="574">
        <v>1</v>
      </c>
      <c r="C39" s="50"/>
      <c r="D39" s="596"/>
      <c r="E39" s="50"/>
      <c r="F39" s="829"/>
      <c r="G39" s="692"/>
      <c r="H39" s="1144"/>
      <c r="I39" s="848"/>
      <c r="J39" s="635"/>
      <c r="K39" s="622"/>
      <c r="L39" s="572"/>
      <c r="M39" s="6"/>
      <c r="N39" s="6"/>
      <c r="O39" s="597"/>
      <c r="P39" s="692"/>
      <c r="Q39" s="619"/>
      <c r="R39" s="6"/>
      <c r="S39" s="635"/>
      <c r="T39" s="622"/>
      <c r="U39" s="572"/>
      <c r="V39" s="6"/>
      <c r="W39" s="6"/>
      <c r="X39" s="597"/>
      <c r="Y39" s="614"/>
      <c r="Z39" s="619"/>
      <c r="AA39" s="698"/>
      <c r="AB39" s="635"/>
      <c r="AC39" s="622"/>
      <c r="AD39" s="572"/>
      <c r="AE39" s="6"/>
      <c r="AF39" s="6"/>
      <c r="AG39" s="597"/>
      <c r="AH39" s="692"/>
      <c r="AI39" s="619"/>
      <c r="AJ39" s="698"/>
      <c r="AK39" s="635"/>
      <c r="AM39" s="572">
        <v>25</v>
      </c>
      <c r="AN39" s="6"/>
      <c r="AO39" s="6"/>
      <c r="AP39" s="692"/>
      <c r="AQ39" s="620" t="s">
        <v>959</v>
      </c>
      <c r="AR39" s="692"/>
      <c r="AS39" s="698"/>
      <c r="AT39" s="687"/>
    </row>
    <row r="40" spans="1:46" ht="72.599999999999994" customHeight="1" x14ac:dyDescent="0.25">
      <c r="A40" s="2205"/>
      <c r="B40" s="574">
        <v>2</v>
      </c>
      <c r="C40" s="596"/>
      <c r="D40" s="596"/>
      <c r="E40" s="596"/>
      <c r="F40" s="613"/>
      <c r="G40" s="692"/>
      <c r="H40" s="1144"/>
      <c r="I40" s="1144"/>
      <c r="J40" s="635"/>
      <c r="K40" s="622"/>
      <c r="L40" s="572"/>
      <c r="M40" s="6"/>
      <c r="N40" s="6"/>
      <c r="O40" s="613"/>
      <c r="P40" s="685"/>
      <c r="Q40" s="619"/>
      <c r="R40" s="692"/>
      <c r="S40" s="635"/>
      <c r="T40" s="622"/>
      <c r="U40" s="572"/>
      <c r="V40" s="6"/>
      <c r="W40" s="6"/>
      <c r="X40" s="613"/>
      <c r="Y40" s="685"/>
      <c r="Z40" s="619"/>
      <c r="AA40" s="698"/>
      <c r="AB40" s="635"/>
      <c r="AC40" s="622"/>
      <c r="AD40" s="572"/>
      <c r="AE40" s="6"/>
      <c r="AF40" s="6"/>
      <c r="AG40" s="613"/>
      <c r="AH40" s="567"/>
      <c r="AI40" s="620"/>
      <c r="AJ40" s="698"/>
      <c r="AK40" s="635"/>
      <c r="AM40" s="567"/>
      <c r="AN40" s="6"/>
      <c r="AO40" s="6"/>
      <c r="AP40" s="613"/>
      <c r="AQ40" s="685"/>
      <c r="AR40" s="619"/>
      <c r="AS40" s="692"/>
      <c r="AT40" s="635"/>
    </row>
    <row r="41" spans="1:46" ht="39.6" customHeight="1" x14ac:dyDescent="0.25">
      <c r="A41" s="2206">
        <v>45524</v>
      </c>
      <c r="B41" s="574">
        <v>1</v>
      </c>
      <c r="C41" s="595"/>
      <c r="D41" s="596"/>
      <c r="E41" s="596"/>
      <c r="F41" s="613"/>
      <c r="G41" s="685"/>
      <c r="H41" s="620"/>
      <c r="I41" s="620"/>
      <c r="J41" s="635"/>
      <c r="K41" s="622"/>
      <c r="L41" s="572"/>
      <c r="M41" s="6"/>
      <c r="N41" s="6"/>
      <c r="O41" s="613"/>
      <c r="P41" s="614"/>
      <c r="Q41" s="6"/>
      <c r="R41" s="692"/>
      <c r="S41" s="635"/>
      <c r="T41" s="622"/>
      <c r="U41" s="572"/>
      <c r="V41" s="6"/>
      <c r="W41" s="6"/>
      <c r="X41" s="613"/>
      <c r="Y41" s="614"/>
      <c r="Z41" s="605"/>
      <c r="AA41" s="698"/>
      <c r="AB41" s="613"/>
      <c r="AC41" s="622"/>
      <c r="AD41" s="572"/>
      <c r="AE41" s="6"/>
      <c r="AF41" s="6"/>
      <c r="AG41" s="613"/>
      <c r="AH41" s="567"/>
      <c r="AI41" s="605"/>
      <c r="AJ41" s="6"/>
      <c r="AK41" s="613"/>
      <c r="AM41" s="572"/>
      <c r="AN41" s="6"/>
      <c r="AO41" s="6"/>
      <c r="AP41" s="613"/>
      <c r="AQ41" s="614"/>
      <c r="AR41" s="605"/>
      <c r="AS41" s="692"/>
      <c r="AT41" s="613"/>
    </row>
    <row r="42" spans="1:46" ht="52.9" customHeight="1" x14ac:dyDescent="0.25">
      <c r="A42" s="2205"/>
      <c r="B42" s="574">
        <v>2</v>
      </c>
      <c r="C42" s="596"/>
      <c r="D42" s="596"/>
      <c r="E42" s="596"/>
      <c r="F42" s="613"/>
      <c r="G42" s="685"/>
      <c r="H42" s="620"/>
      <c r="I42" s="692"/>
      <c r="J42" s="635"/>
      <c r="K42" s="622"/>
      <c r="L42" s="572"/>
      <c r="M42" s="6"/>
      <c r="N42" s="6"/>
      <c r="O42" s="613"/>
      <c r="P42" s="614"/>
      <c r="Q42" s="605"/>
      <c r="R42" s="6"/>
      <c r="S42" s="635"/>
      <c r="T42" s="622"/>
      <c r="U42" s="572"/>
      <c r="V42" s="6"/>
      <c r="W42" s="6"/>
      <c r="X42" s="613"/>
      <c r="Y42" s="1144"/>
      <c r="Z42" s="6"/>
      <c r="AA42" s="698"/>
      <c r="AB42" s="635"/>
      <c r="AC42" s="622"/>
      <c r="AD42" s="572"/>
      <c r="AE42" s="6"/>
      <c r="AF42" s="6"/>
      <c r="AG42" s="613"/>
      <c r="AH42" s="614"/>
      <c r="AI42" s="605"/>
      <c r="AJ42" s="6"/>
      <c r="AK42" s="635"/>
      <c r="AM42" s="572"/>
      <c r="AN42" s="6"/>
      <c r="AO42" s="6"/>
      <c r="AP42" s="613"/>
      <c r="AQ42" s="614"/>
      <c r="AR42" s="6"/>
      <c r="AS42" s="6"/>
      <c r="AT42" s="635"/>
    </row>
    <row r="43" spans="1:46" ht="65.45" customHeight="1" x14ac:dyDescent="0.25">
      <c r="A43" s="2206">
        <v>45525</v>
      </c>
      <c r="B43" s="574">
        <v>1</v>
      </c>
      <c r="C43" s="596"/>
      <c r="D43" s="596"/>
      <c r="E43" s="596">
        <v>34</v>
      </c>
      <c r="F43" s="597"/>
      <c r="G43" s="619"/>
      <c r="H43" s="619"/>
      <c r="I43" s="848" t="s">
        <v>152</v>
      </c>
      <c r="J43" s="635"/>
      <c r="K43" s="622"/>
      <c r="L43" s="572"/>
      <c r="M43" s="6"/>
      <c r="N43" s="6"/>
      <c r="O43" s="613"/>
      <c r="P43" s="614"/>
      <c r="Q43" s="6"/>
      <c r="R43" s="6"/>
      <c r="S43" s="635"/>
      <c r="T43" s="622"/>
      <c r="U43" s="572"/>
      <c r="V43" s="6"/>
      <c r="W43" s="6"/>
      <c r="X43" s="613"/>
      <c r="Y43" s="614"/>
      <c r="Z43" s="6"/>
      <c r="AA43" s="698"/>
      <c r="AB43" s="635"/>
      <c r="AC43" s="622"/>
      <c r="AD43" s="572"/>
      <c r="AE43" s="6"/>
      <c r="AF43" s="6"/>
      <c r="AG43" s="613"/>
      <c r="AH43" s="605"/>
      <c r="AI43" s="620"/>
      <c r="AJ43" s="6"/>
      <c r="AK43" s="635"/>
      <c r="AM43" s="572"/>
      <c r="AN43" s="6"/>
      <c r="AO43" s="6"/>
      <c r="AP43" s="613"/>
      <c r="AQ43" s="605"/>
      <c r="AR43" s="620"/>
      <c r="AS43" s="6"/>
      <c r="AT43" s="613"/>
    </row>
    <row r="44" spans="1:46" ht="69" customHeight="1" x14ac:dyDescent="0.25">
      <c r="A44" s="2205"/>
      <c r="B44" s="574">
        <v>2</v>
      </c>
      <c r="C44" s="596"/>
      <c r="D44" s="596"/>
      <c r="E44" s="596"/>
      <c r="F44" s="597"/>
      <c r="G44" s="619"/>
      <c r="H44" s="1144"/>
      <c r="I44" s="1144"/>
      <c r="J44" s="635"/>
      <c r="K44" s="622"/>
      <c r="L44" s="572"/>
      <c r="M44" s="6"/>
      <c r="N44" s="6"/>
      <c r="O44" s="613"/>
      <c r="P44" s="1144"/>
      <c r="Q44" s="6"/>
      <c r="R44" s="605"/>
      <c r="S44" s="635"/>
      <c r="T44" s="622"/>
      <c r="U44" s="572"/>
      <c r="V44" s="6"/>
      <c r="W44" s="596"/>
      <c r="X44" s="597"/>
      <c r="Y44" s="619"/>
      <c r="Z44" s="620"/>
      <c r="AA44" s="698"/>
      <c r="AB44" s="635"/>
      <c r="AC44" s="622"/>
      <c r="AD44" s="572"/>
      <c r="AE44" s="6"/>
      <c r="AF44" s="6"/>
      <c r="AG44" s="613"/>
      <c r="AH44" s="614"/>
      <c r="AI44" s="605"/>
      <c r="AJ44" s="698"/>
      <c r="AK44" s="635"/>
      <c r="AM44" s="572"/>
      <c r="AN44" s="6"/>
      <c r="AO44" s="6"/>
      <c r="AP44" s="613"/>
      <c r="AQ44" s="614"/>
      <c r="AR44" s="605"/>
      <c r="AS44" s="605"/>
      <c r="AT44" s="613"/>
    </row>
    <row r="45" spans="1:46" ht="69" customHeight="1" x14ac:dyDescent="0.25">
      <c r="A45" s="2206">
        <v>45526</v>
      </c>
      <c r="B45" s="574">
        <v>1</v>
      </c>
      <c r="C45" s="596"/>
      <c r="D45" s="596"/>
      <c r="E45" s="596"/>
      <c r="F45" s="597"/>
      <c r="G45" s="619"/>
      <c r="H45" s="619"/>
      <c r="I45" s="692"/>
      <c r="J45" s="635"/>
      <c r="K45" s="622"/>
      <c r="L45" s="572"/>
      <c r="M45" s="6"/>
      <c r="N45" s="6"/>
      <c r="O45" s="613"/>
      <c r="P45" s="614"/>
      <c r="Q45" s="605"/>
      <c r="R45" s="6"/>
      <c r="S45" s="613"/>
      <c r="T45" s="622"/>
      <c r="U45" s="572"/>
      <c r="V45" s="605">
        <v>102</v>
      </c>
      <c r="W45" s="6"/>
      <c r="X45" s="613"/>
      <c r="Y45" s="619"/>
      <c r="Z45" s="605" t="s">
        <v>96</v>
      </c>
      <c r="AA45" s="605"/>
      <c r="AB45" s="613"/>
      <c r="AC45" s="622"/>
      <c r="AD45" s="572"/>
      <c r="AE45" s="6"/>
      <c r="AF45" s="6"/>
      <c r="AG45" s="613"/>
      <c r="AH45" s="614"/>
      <c r="AI45" s="605"/>
      <c r="AJ45" s="605"/>
      <c r="AK45" s="613"/>
      <c r="AM45" s="572"/>
      <c r="AN45" s="6"/>
      <c r="AO45" s="6"/>
      <c r="AP45" s="613"/>
      <c r="AQ45" s="614"/>
      <c r="AR45" s="605"/>
      <c r="AS45" s="6"/>
      <c r="AT45" s="613"/>
    </row>
    <row r="46" spans="1:46" ht="48.6" customHeight="1" x14ac:dyDescent="0.25">
      <c r="A46" s="2205"/>
      <c r="B46" s="574">
        <v>2</v>
      </c>
      <c r="C46" s="596"/>
      <c r="D46" s="596"/>
      <c r="E46" s="596"/>
      <c r="F46" s="597"/>
      <c r="G46" s="619"/>
      <c r="H46" s="619"/>
      <c r="I46" s="848"/>
      <c r="J46" s="635"/>
      <c r="K46" s="622"/>
      <c r="L46" s="572"/>
      <c r="M46" s="6"/>
      <c r="N46" s="6"/>
      <c r="O46" s="785"/>
      <c r="P46" s="614"/>
      <c r="Q46" s="620"/>
      <c r="R46" s="605"/>
      <c r="S46" s="635"/>
      <c r="T46" s="622"/>
      <c r="U46" s="572">
        <v>15</v>
      </c>
      <c r="V46" s="6"/>
      <c r="W46" s="6"/>
      <c r="X46" s="613"/>
      <c r="Y46" s="6" t="s">
        <v>113</v>
      </c>
      <c r="Z46" s="6"/>
      <c r="AA46" s="605"/>
      <c r="AB46" s="635"/>
      <c r="AC46" s="622"/>
      <c r="AD46" s="572"/>
      <c r="AE46" s="6"/>
      <c r="AF46" s="6"/>
      <c r="AG46" s="613"/>
      <c r="AH46" s="1144"/>
      <c r="AI46" s="605"/>
      <c r="AJ46" s="698"/>
      <c r="AK46" s="635"/>
      <c r="AM46" s="572"/>
      <c r="AN46" s="6"/>
      <c r="AO46" s="6"/>
      <c r="AP46" s="613"/>
      <c r="AQ46" s="614"/>
      <c r="AR46" s="620"/>
      <c r="AS46" s="6"/>
      <c r="AT46" s="635"/>
    </row>
    <row r="47" spans="1:46" ht="58.9" customHeight="1" x14ac:dyDescent="0.25">
      <c r="A47" s="2206">
        <v>45527</v>
      </c>
      <c r="B47" s="574">
        <v>1</v>
      </c>
      <c r="C47" s="596"/>
      <c r="D47" s="596"/>
      <c r="E47" s="596"/>
      <c r="F47" s="597"/>
      <c r="G47" s="619"/>
      <c r="H47" s="620"/>
      <c r="I47" s="848"/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/>
      <c r="X47" s="613"/>
      <c r="Y47" s="619"/>
      <c r="Z47" s="605"/>
      <c r="AA47" s="605"/>
      <c r="AB47" s="635"/>
      <c r="AC47" s="622"/>
      <c r="AD47" s="572"/>
      <c r="AE47" s="6"/>
      <c r="AF47" s="6"/>
      <c r="AG47" s="613"/>
      <c r="AH47" s="1144"/>
      <c r="AI47" s="620"/>
      <c r="AJ47" s="698"/>
      <c r="AK47" s="613"/>
      <c r="AM47" s="572"/>
      <c r="AN47" s="6"/>
      <c r="AO47" s="6"/>
      <c r="AP47" s="613"/>
      <c r="AQ47" s="614"/>
      <c r="AR47" s="620"/>
      <c r="AS47" s="6"/>
      <c r="AT47" s="613"/>
    </row>
    <row r="48" spans="1:46" ht="34.9" customHeight="1" x14ac:dyDescent="0.25">
      <c r="A48" s="2205"/>
      <c r="B48" s="574">
        <v>2</v>
      </c>
      <c r="C48" s="596"/>
      <c r="D48" s="596"/>
      <c r="E48" s="596"/>
      <c r="F48" s="597"/>
      <c r="G48" s="620"/>
      <c r="H48" s="620"/>
      <c r="I48" s="692"/>
      <c r="J48" s="635"/>
      <c r="K48" s="622"/>
      <c r="L48" s="572"/>
      <c r="M48" s="6"/>
      <c r="N48" s="6"/>
      <c r="O48" s="597"/>
      <c r="P48" s="620"/>
      <c r="Q48" s="620"/>
      <c r="R48" s="692"/>
      <c r="S48" s="635"/>
      <c r="T48" s="622"/>
      <c r="U48" s="572"/>
      <c r="V48" s="6"/>
      <c r="W48" s="6"/>
      <c r="X48" s="597"/>
      <c r="Y48" s="620"/>
      <c r="Z48" s="620"/>
      <c r="AA48" s="692"/>
      <c r="AB48" s="635"/>
      <c r="AC48" s="622"/>
      <c r="AD48" s="572"/>
      <c r="AE48" s="6"/>
      <c r="AF48" s="6"/>
      <c r="AG48" s="597"/>
      <c r="AH48" s="620"/>
      <c r="AI48" s="620"/>
      <c r="AJ48" s="692"/>
      <c r="AK48" s="635"/>
      <c r="AM48" s="572"/>
      <c r="AN48" s="6"/>
      <c r="AO48" s="572"/>
      <c r="AP48" s="6"/>
      <c r="AQ48" s="597"/>
      <c r="AR48" s="620"/>
      <c r="AS48" s="620"/>
      <c r="AT48" s="613"/>
    </row>
    <row r="49" spans="1:46" ht="43.15" customHeight="1" x14ac:dyDescent="0.25">
      <c r="A49" s="2206">
        <v>45528</v>
      </c>
      <c r="B49" s="574">
        <v>1</v>
      </c>
      <c r="C49" s="596"/>
      <c r="D49" s="596"/>
      <c r="E49" s="596"/>
      <c r="F49" s="597"/>
      <c r="G49" s="620"/>
      <c r="H49" s="619"/>
      <c r="I49" s="848"/>
      <c r="J49" s="635"/>
      <c r="K49" s="622"/>
      <c r="L49" s="572"/>
      <c r="M49" s="6"/>
      <c r="N49" s="6"/>
      <c r="O49" s="597"/>
      <c r="P49" s="620"/>
      <c r="Q49" s="619"/>
      <c r="R49" s="692"/>
      <c r="S49" s="635"/>
      <c r="T49" s="622"/>
      <c r="U49" s="572"/>
      <c r="V49" s="6"/>
      <c r="W49" s="6"/>
      <c r="X49" s="597"/>
      <c r="Y49" s="620"/>
      <c r="Z49" s="605"/>
      <c r="AA49" s="605"/>
      <c r="AB49" s="635"/>
      <c r="AC49" s="622"/>
      <c r="AD49" s="572"/>
      <c r="AE49" s="6"/>
      <c r="AF49" s="6"/>
      <c r="AG49" s="597"/>
      <c r="AH49" s="620"/>
      <c r="AI49" s="619"/>
      <c r="AJ49" s="692"/>
      <c r="AK49" s="635"/>
      <c r="AM49" s="572"/>
      <c r="AN49" s="6"/>
      <c r="AO49" s="6"/>
      <c r="AP49" s="620"/>
      <c r="AQ49" s="619"/>
      <c r="AR49" s="692"/>
      <c r="AS49" s="635"/>
      <c r="AT49" s="635"/>
    </row>
    <row r="50" spans="1:46" ht="51.6" customHeight="1" x14ac:dyDescent="0.25">
      <c r="A50" s="2205"/>
      <c r="B50" s="574">
        <v>2</v>
      </c>
      <c r="C50" s="596"/>
      <c r="D50" s="596"/>
      <c r="E50" s="596"/>
      <c r="F50" s="597"/>
      <c r="G50" s="619"/>
      <c r="H50" s="619"/>
      <c r="I50" s="692"/>
      <c r="J50" s="635"/>
      <c r="K50" s="622"/>
      <c r="L50" s="572"/>
      <c r="M50" s="6"/>
      <c r="N50" s="6"/>
      <c r="O50" s="597"/>
      <c r="P50" s="619"/>
      <c r="Q50" s="619"/>
      <c r="R50" s="692"/>
      <c r="S50" s="635"/>
      <c r="T50" s="622"/>
      <c r="U50" s="572">
        <v>101</v>
      </c>
      <c r="V50" s="6"/>
      <c r="W50" s="6"/>
      <c r="X50" s="597"/>
      <c r="Y50" s="619" t="s">
        <v>315</v>
      </c>
      <c r="Z50" s="619"/>
      <c r="AA50" s="698"/>
      <c r="AB50" s="635"/>
      <c r="AC50" s="622"/>
      <c r="AD50" s="572"/>
      <c r="AE50" s="6"/>
      <c r="AF50" s="6"/>
      <c r="AG50" s="597"/>
      <c r="AH50" s="619"/>
      <c r="AI50" s="619"/>
      <c r="AJ50" s="692"/>
      <c r="AK50" s="635"/>
      <c r="AM50" s="572"/>
      <c r="AN50" s="6"/>
      <c r="AO50" s="6"/>
      <c r="AP50" s="619"/>
      <c r="AQ50" s="619"/>
      <c r="AR50" s="692"/>
      <c r="AS50" s="635"/>
      <c r="AT50" s="635"/>
    </row>
    <row r="51" spans="1:46" ht="34.9" customHeight="1" x14ac:dyDescent="0.25">
      <c r="A51" s="2206">
        <v>45529</v>
      </c>
      <c r="B51" s="574">
        <v>1</v>
      </c>
      <c r="C51" s="596"/>
      <c r="D51" s="596"/>
      <c r="E51" s="596"/>
      <c r="F51" s="597"/>
      <c r="G51" s="619"/>
      <c r="H51" s="619"/>
      <c r="I51" s="848"/>
      <c r="J51" s="635"/>
      <c r="K51" s="622"/>
      <c r="L51" s="572"/>
      <c r="M51" s="6"/>
      <c r="N51" s="6"/>
      <c r="O51" s="597"/>
      <c r="P51" s="619"/>
      <c r="Q51" s="619"/>
      <c r="R51" s="692"/>
      <c r="S51" s="635"/>
      <c r="T51" s="622"/>
      <c r="U51" s="572"/>
      <c r="V51" s="6"/>
      <c r="W51" s="6"/>
      <c r="X51" s="597"/>
      <c r="Y51" s="619"/>
      <c r="Z51" s="619"/>
      <c r="AA51" s="698"/>
      <c r="AB51" s="635"/>
      <c r="AC51" s="622"/>
      <c r="AD51" s="572"/>
      <c r="AE51" s="6"/>
      <c r="AF51" s="6"/>
      <c r="AG51" s="597"/>
      <c r="AH51" s="619"/>
      <c r="AI51" s="619"/>
      <c r="AJ51" s="692"/>
      <c r="AK51" s="635"/>
      <c r="AM51" s="572"/>
      <c r="AN51" s="6"/>
      <c r="AO51" s="6"/>
      <c r="AP51" s="619"/>
      <c r="AQ51" s="619"/>
      <c r="AR51" s="692"/>
      <c r="AS51" s="635"/>
      <c r="AT51" s="635"/>
    </row>
    <row r="52" spans="1:46" ht="49.15" customHeight="1" x14ac:dyDescent="0.25">
      <c r="A52" s="2205"/>
      <c r="B52" s="574">
        <v>2</v>
      </c>
      <c r="C52" s="596"/>
      <c r="D52" s="596"/>
      <c r="E52" s="596"/>
      <c r="F52" s="597"/>
      <c r="G52" s="620"/>
      <c r="H52" s="620"/>
      <c r="I52" s="848"/>
      <c r="J52" s="635"/>
      <c r="K52" s="622"/>
      <c r="L52" s="572"/>
      <c r="M52" s="6"/>
      <c r="N52" s="6"/>
      <c r="O52" s="597"/>
      <c r="P52" s="620"/>
      <c r="Q52" s="620"/>
      <c r="R52" s="692"/>
      <c r="S52" s="635"/>
      <c r="T52" s="622"/>
      <c r="U52" s="572"/>
      <c r="V52" s="6"/>
      <c r="W52" s="6"/>
      <c r="X52" s="597"/>
      <c r="Y52" s="620"/>
      <c r="Z52" s="619"/>
      <c r="AA52" s="698"/>
      <c r="AB52" s="635"/>
      <c r="AC52" s="622"/>
      <c r="AD52" s="572"/>
      <c r="AE52" s="6"/>
      <c r="AF52" s="6"/>
      <c r="AG52" s="597"/>
      <c r="AH52" s="620"/>
      <c r="AI52" s="620"/>
      <c r="AJ52" s="692"/>
      <c r="AK52" s="635"/>
      <c r="AM52" s="572"/>
      <c r="AN52" s="613"/>
      <c r="AO52" s="613"/>
      <c r="AP52" s="613"/>
      <c r="AQ52" s="614"/>
      <c r="AR52" s="6"/>
      <c r="AS52" s="635"/>
      <c r="AT52" s="635"/>
    </row>
    <row r="53" spans="1:46" ht="48" customHeight="1" x14ac:dyDescent="0.25">
      <c r="A53" s="2206">
        <v>45530</v>
      </c>
      <c r="B53" s="574">
        <v>1</v>
      </c>
      <c r="C53" s="596"/>
      <c r="D53" s="596"/>
      <c r="E53" s="596"/>
      <c r="F53" s="597"/>
      <c r="G53" s="619"/>
      <c r="H53" s="619"/>
      <c r="I53" s="848"/>
      <c r="J53" s="635"/>
      <c r="K53" s="622"/>
      <c r="L53" s="572"/>
      <c r="M53" s="6"/>
      <c r="N53" s="6"/>
      <c r="O53" s="613"/>
      <c r="P53" s="1144"/>
      <c r="Q53" s="620"/>
      <c r="R53" s="6"/>
      <c r="S53" s="635"/>
      <c r="T53" s="622"/>
      <c r="U53" s="572"/>
      <c r="V53" s="6"/>
      <c r="W53" s="6"/>
      <c r="X53" s="613"/>
      <c r="Y53" s="1144"/>
      <c r="Z53" s="6"/>
      <c r="AA53" s="605"/>
      <c r="AB53" s="613"/>
      <c r="AC53" s="622"/>
      <c r="AD53" s="572"/>
      <c r="AE53" s="605"/>
      <c r="AF53" s="6"/>
      <c r="AG53" s="613"/>
      <c r="AH53" s="614"/>
      <c r="AI53" s="6"/>
      <c r="AJ53" s="605"/>
      <c r="AK53" s="613"/>
      <c r="AM53" s="572"/>
      <c r="AN53" s="605"/>
      <c r="AO53" s="6"/>
      <c r="AP53" s="613"/>
      <c r="AQ53" s="1144"/>
      <c r="AR53" s="6"/>
      <c r="AS53" s="6"/>
      <c r="AT53" s="613"/>
    </row>
    <row r="54" spans="1:46" ht="45.6" customHeight="1" x14ac:dyDescent="0.25">
      <c r="A54" s="2205"/>
      <c r="B54" s="1139">
        <v>2</v>
      </c>
      <c r="C54" s="596"/>
      <c r="D54" s="596"/>
      <c r="E54" s="596"/>
      <c r="F54" s="597"/>
      <c r="G54" s="619"/>
      <c r="H54" s="620"/>
      <c r="I54" s="692"/>
      <c r="J54" s="635"/>
      <c r="K54" s="622"/>
      <c r="L54" s="572"/>
      <c r="M54" s="6"/>
      <c r="N54" s="6"/>
      <c r="O54" s="597"/>
      <c r="P54" s="619"/>
      <c r="Q54" s="620"/>
      <c r="R54" s="619"/>
      <c r="S54" s="635"/>
      <c r="T54" s="622"/>
      <c r="U54" s="572"/>
      <c r="V54" s="6"/>
      <c r="W54" s="6"/>
      <c r="X54" s="597"/>
      <c r="Y54" s="620"/>
      <c r="Z54" s="620"/>
      <c r="AA54" s="620"/>
      <c r="AB54" s="635"/>
      <c r="AC54" s="622"/>
      <c r="AD54" s="572"/>
      <c r="AE54" s="6"/>
      <c r="AF54" s="6"/>
      <c r="AG54" s="613"/>
      <c r="AH54" s="614"/>
      <c r="AI54" s="620"/>
      <c r="AJ54" s="6"/>
      <c r="AK54" s="635"/>
      <c r="AM54" s="572"/>
      <c r="AN54" s="6"/>
      <c r="AO54" s="6"/>
      <c r="AP54" s="597"/>
      <c r="AQ54" s="1144"/>
      <c r="AR54" s="620"/>
      <c r="AS54" s="619"/>
      <c r="AT54" s="635"/>
    </row>
    <row r="55" spans="1:46" ht="39.6" customHeight="1" x14ac:dyDescent="0.25">
      <c r="A55" s="2206">
        <v>45531</v>
      </c>
      <c r="B55" s="574">
        <v>1</v>
      </c>
      <c r="C55" s="595"/>
      <c r="D55" s="596"/>
      <c r="E55" s="596"/>
      <c r="F55" s="597"/>
      <c r="G55" s="619"/>
      <c r="H55" s="619"/>
      <c r="I55" s="848"/>
      <c r="J55" s="613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/>
      <c r="X55" s="613"/>
      <c r="Y55" s="614"/>
      <c r="Z55" s="619"/>
      <c r="AA55" s="698"/>
      <c r="AB55" s="613"/>
      <c r="AC55" s="622"/>
      <c r="AD55" s="572"/>
      <c r="AE55" s="6"/>
      <c r="AF55" s="6"/>
      <c r="AG55" s="613"/>
      <c r="AH55" s="614"/>
      <c r="AI55" s="620"/>
      <c r="AJ55" s="605"/>
      <c r="AK55" s="613"/>
      <c r="AM55" s="572"/>
      <c r="AN55" s="6"/>
      <c r="AO55" s="6"/>
      <c r="AP55" s="613"/>
      <c r="AQ55" s="614"/>
      <c r="AR55" s="605"/>
      <c r="AS55" s="6"/>
      <c r="AT55" s="613"/>
    </row>
    <row r="56" spans="1:46" ht="94.15" customHeight="1" x14ac:dyDescent="0.25">
      <c r="A56" s="2205"/>
      <c r="B56" s="1139">
        <v>2</v>
      </c>
      <c r="C56" s="595"/>
      <c r="D56" s="596"/>
      <c r="E56" s="596"/>
      <c r="F56" s="597"/>
      <c r="G56" s="620"/>
      <c r="H56" s="620"/>
      <c r="I56" s="848"/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/>
      <c r="V56" s="6"/>
      <c r="W56" s="6"/>
      <c r="X56" s="597"/>
      <c r="Y56" s="1144"/>
      <c r="Z56" s="619"/>
      <c r="AA56" s="605"/>
      <c r="AB56" s="635"/>
      <c r="AC56" s="622"/>
      <c r="AD56" s="572"/>
      <c r="AE56" s="6"/>
      <c r="AF56" s="6"/>
      <c r="AG56" s="597"/>
      <c r="AH56" s="620"/>
      <c r="AI56" s="619"/>
      <c r="AJ56" s="620"/>
      <c r="AK56" s="635"/>
      <c r="AM56" s="572"/>
      <c r="AN56" s="6"/>
      <c r="AO56" s="6"/>
      <c r="AP56" s="597"/>
      <c r="AQ56" s="620"/>
      <c r="AR56" s="605"/>
      <c r="AS56" s="6"/>
      <c r="AT56" s="635"/>
    </row>
    <row r="57" spans="1:46" ht="52.15" customHeight="1" x14ac:dyDescent="0.25">
      <c r="A57" s="2206">
        <v>45532</v>
      </c>
      <c r="B57" s="574">
        <v>1</v>
      </c>
      <c r="C57" s="595"/>
      <c r="D57" s="596"/>
      <c r="E57" s="596"/>
      <c r="F57" s="597"/>
      <c r="G57" s="620"/>
      <c r="H57" s="620"/>
      <c r="I57" s="692"/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>
        <v>30</v>
      </c>
      <c r="X57" s="597"/>
      <c r="Y57" s="620"/>
      <c r="Z57" s="619"/>
      <c r="AA57" s="605" t="s">
        <v>152</v>
      </c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/>
      <c r="AP57" s="597"/>
      <c r="AQ57" s="620"/>
      <c r="AR57" s="619"/>
      <c r="AS57" s="6"/>
      <c r="AT57" s="635"/>
    </row>
    <row r="58" spans="1:46" ht="78" customHeight="1" x14ac:dyDescent="0.25">
      <c r="A58" s="2205"/>
      <c r="B58" s="1139">
        <v>2</v>
      </c>
      <c r="C58" s="595"/>
      <c r="D58" s="596"/>
      <c r="E58" s="596"/>
      <c r="F58" s="597"/>
      <c r="G58" s="620"/>
      <c r="H58" s="620"/>
      <c r="I58" s="848"/>
      <c r="J58" s="635"/>
      <c r="K58" s="622"/>
      <c r="L58" s="572"/>
      <c r="M58" s="6"/>
      <c r="N58" s="6"/>
      <c r="O58" s="597"/>
      <c r="P58" s="620"/>
      <c r="Q58" s="619"/>
      <c r="R58" s="620"/>
      <c r="S58" s="635"/>
      <c r="T58" s="622"/>
      <c r="U58" s="572"/>
      <c r="V58" s="6"/>
      <c r="W58" s="6">
        <v>22</v>
      </c>
      <c r="X58" s="597"/>
      <c r="Y58" s="620"/>
      <c r="Z58" s="619"/>
      <c r="AA58" s="605" t="s">
        <v>152</v>
      </c>
      <c r="AB58" s="635"/>
      <c r="AC58" s="622"/>
      <c r="AD58" s="572"/>
      <c r="AE58" s="6"/>
      <c r="AF58" s="6"/>
      <c r="AG58" s="597"/>
      <c r="AH58" s="620"/>
      <c r="AI58" s="619"/>
      <c r="AJ58" s="6"/>
      <c r="AK58" s="635"/>
      <c r="AM58" s="572"/>
      <c r="AN58" s="6"/>
      <c r="AO58" s="6"/>
      <c r="AP58" s="597"/>
      <c r="AQ58" s="620"/>
      <c r="AR58" s="619"/>
      <c r="AS58" s="6"/>
      <c r="AT58" s="635"/>
    </row>
    <row r="59" spans="1:46" ht="73.150000000000006" customHeight="1" x14ac:dyDescent="0.25">
      <c r="A59" s="2206">
        <v>45533</v>
      </c>
      <c r="B59" s="574">
        <v>1</v>
      </c>
      <c r="C59" s="595"/>
      <c r="D59" s="596"/>
      <c r="E59" s="596"/>
      <c r="F59" s="597"/>
      <c r="G59" s="620"/>
      <c r="H59" s="619"/>
      <c r="I59" s="848"/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/>
      <c r="X59" s="613"/>
      <c r="Y59" s="614"/>
      <c r="Z59" s="619"/>
      <c r="AA59" s="698"/>
      <c r="AB59" s="635"/>
      <c r="AC59" s="622"/>
      <c r="AD59" s="572"/>
      <c r="AE59" s="6"/>
      <c r="AF59" s="6"/>
      <c r="AG59" s="613"/>
      <c r="AH59" s="1144"/>
      <c r="AI59" s="6"/>
      <c r="AJ59" s="620"/>
      <c r="AK59" s="635"/>
      <c r="AM59" s="572"/>
      <c r="AN59" s="6"/>
      <c r="AO59" s="6"/>
      <c r="AP59" s="613"/>
      <c r="AQ59" s="1144"/>
      <c r="AR59" s="6"/>
      <c r="AS59" s="620"/>
      <c r="AT59" s="635"/>
    </row>
    <row r="60" spans="1:46" ht="36" customHeight="1" x14ac:dyDescent="0.25">
      <c r="A60" s="2205"/>
      <c r="B60" s="1139">
        <v>2</v>
      </c>
      <c r="C60" s="595"/>
      <c r="D60" s="596"/>
      <c r="E60" s="596"/>
      <c r="F60" s="597"/>
      <c r="G60" s="619"/>
      <c r="H60" s="620"/>
      <c r="I60" s="848"/>
      <c r="J60" s="635"/>
      <c r="K60" s="622"/>
      <c r="L60" s="572"/>
      <c r="M60" s="6"/>
      <c r="N60" s="6"/>
      <c r="O60" s="613"/>
      <c r="P60" s="614"/>
      <c r="Q60" s="620"/>
      <c r="R60" s="6"/>
      <c r="S60" s="635"/>
      <c r="T60" s="622"/>
      <c r="U60" s="572"/>
      <c r="V60" s="6"/>
      <c r="W60" s="6"/>
      <c r="X60" s="613"/>
      <c r="Y60" s="1144"/>
      <c r="Z60" s="620"/>
      <c r="AA60" s="605"/>
      <c r="AB60" s="635"/>
      <c r="AC60" s="622"/>
      <c r="AD60" s="572"/>
      <c r="AE60" s="6"/>
      <c r="AF60" s="6"/>
      <c r="AG60" s="613"/>
      <c r="AH60" s="614"/>
      <c r="AI60" s="620"/>
      <c r="AJ60" s="605"/>
      <c r="AK60" s="635"/>
      <c r="AM60" s="572"/>
      <c r="AN60" s="6"/>
      <c r="AO60" s="6"/>
      <c r="AP60" s="613"/>
      <c r="AQ60" s="614"/>
      <c r="AR60" s="620"/>
      <c r="AS60" s="6"/>
      <c r="AT60" s="635"/>
    </row>
    <row r="61" spans="1:46" ht="32.450000000000003" customHeight="1" x14ac:dyDescent="0.25">
      <c r="A61" s="2206">
        <v>45534</v>
      </c>
      <c r="B61" s="574">
        <v>1</v>
      </c>
      <c r="C61" s="1147"/>
      <c r="D61" s="1149"/>
      <c r="E61" s="596"/>
      <c r="F61" s="749"/>
      <c r="G61" s="619"/>
      <c r="H61" s="1148"/>
      <c r="I61" s="692"/>
      <c r="J61" s="687"/>
      <c r="K61" s="622"/>
      <c r="L61" s="572"/>
      <c r="M61" s="6"/>
      <c r="N61" s="6"/>
      <c r="O61" s="613"/>
      <c r="P61" s="752"/>
      <c r="Q61" s="1145"/>
      <c r="R61" s="1145"/>
      <c r="S61" s="753"/>
      <c r="T61" s="622"/>
      <c r="U61" s="572"/>
      <c r="V61" s="6"/>
      <c r="W61" s="6"/>
      <c r="X61" s="613"/>
      <c r="Y61" s="1144"/>
      <c r="Z61" s="605"/>
      <c r="AA61" s="605"/>
      <c r="AB61" s="753"/>
      <c r="AC61" s="622"/>
      <c r="AD61" s="572"/>
      <c r="AE61" s="6"/>
      <c r="AF61" s="6"/>
      <c r="AG61" s="613"/>
      <c r="AH61" s="614"/>
      <c r="AI61" s="605"/>
      <c r="AJ61" s="605"/>
      <c r="AK61" s="753"/>
      <c r="AM61" s="572"/>
      <c r="AN61" s="6"/>
      <c r="AO61" s="6"/>
      <c r="AP61" s="613"/>
      <c r="AQ61" s="1144"/>
      <c r="AR61" s="6"/>
      <c r="AS61" s="6"/>
      <c r="AT61" s="753"/>
    </row>
    <row r="62" spans="1:46" ht="62.45" customHeight="1" x14ac:dyDescent="0.25">
      <c r="A62" s="2205"/>
      <c r="B62" s="1139">
        <v>2</v>
      </c>
      <c r="C62" s="1147"/>
      <c r="D62" s="1149"/>
      <c r="E62" s="1149"/>
      <c r="F62" s="749"/>
      <c r="G62" s="1141"/>
      <c r="H62" s="1148"/>
      <c r="I62" s="848"/>
      <c r="J62" s="687"/>
      <c r="K62" s="622"/>
      <c r="L62" s="572"/>
      <c r="M62" s="6"/>
      <c r="N62" s="6"/>
      <c r="O62" s="613"/>
      <c r="P62" s="752"/>
      <c r="Q62" s="1103"/>
      <c r="R62" s="1145"/>
      <c r="S62" s="753"/>
      <c r="T62" s="622"/>
      <c r="U62" s="572"/>
      <c r="V62" s="6"/>
      <c r="W62" s="6"/>
      <c r="X62" s="613"/>
      <c r="Y62" s="1144"/>
      <c r="Z62" s="605"/>
      <c r="AA62" s="698"/>
      <c r="AB62" s="753"/>
      <c r="AC62" s="622"/>
      <c r="AD62" s="572"/>
      <c r="AE62" s="6"/>
      <c r="AF62" s="6"/>
      <c r="AG62" s="613"/>
      <c r="AH62" s="2232"/>
      <c r="AI62" s="2233"/>
      <c r="AJ62" s="2234"/>
      <c r="AK62" s="753"/>
      <c r="AM62" s="572"/>
      <c r="AN62" s="6"/>
      <c r="AO62" s="6"/>
      <c r="AP62" s="613"/>
      <c r="AQ62" s="614"/>
      <c r="AR62" s="6"/>
      <c r="AS62" s="605"/>
      <c r="AT62" s="753"/>
    </row>
    <row r="63" spans="1:46" ht="64.150000000000006" customHeight="1" x14ac:dyDescent="0.25">
      <c r="A63" s="2206">
        <v>45535</v>
      </c>
      <c r="B63" s="574">
        <v>1</v>
      </c>
      <c r="C63" s="706"/>
      <c r="D63" s="707"/>
      <c r="E63" s="707"/>
      <c r="F63" s="708"/>
      <c r="G63" s="717"/>
      <c r="H63" s="709"/>
      <c r="I63" s="848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/>
      <c r="X63" s="597"/>
      <c r="Y63" s="685"/>
      <c r="Z63" s="619"/>
      <c r="AA63" s="698"/>
      <c r="AB63" s="1143"/>
      <c r="AC63" s="622"/>
      <c r="AD63" s="572"/>
      <c r="AE63" s="6"/>
      <c r="AF63" s="6"/>
      <c r="AG63" s="597"/>
      <c r="AH63" s="685"/>
      <c r="AI63" s="619"/>
      <c r="AJ63" s="6"/>
      <c r="AK63" s="705"/>
      <c r="AM63" s="572"/>
      <c r="AN63" s="6"/>
      <c r="AO63" s="6"/>
      <c r="AP63" s="597"/>
      <c r="AQ63" s="685"/>
      <c r="AR63" s="619"/>
      <c r="AS63" s="619"/>
      <c r="AT63" s="705"/>
    </row>
    <row r="64" spans="1:46" ht="62.45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636"/>
      <c r="AQ64" s="637"/>
      <c r="AR64" s="638"/>
      <c r="AS64" s="638"/>
      <c r="AT64" s="713"/>
    </row>
    <row r="65" spans="1:42" ht="23.45" customHeight="1" x14ac:dyDescent="0.25">
      <c r="A65" s="524" t="s">
        <v>225</v>
      </c>
      <c r="C65" s="768">
        <f>SUM(C3:C64)</f>
        <v>392</v>
      </c>
      <c r="D65" s="525">
        <f>SUM(D3:D64)</f>
        <v>0</v>
      </c>
      <c r="E65" s="768">
        <f>SUM(E3:E64)</f>
        <v>163</v>
      </c>
      <c r="F65" s="525">
        <f>SUM(F3:F64)</f>
        <v>898</v>
      </c>
      <c r="L65" s="525">
        <f>SUM(L3:L64)</f>
        <v>458</v>
      </c>
      <c r="M65" s="525">
        <f>SUM(M3:M64)</f>
        <v>0</v>
      </c>
      <c r="N65" s="525">
        <f>SUM(N3:N64)</f>
        <v>0</v>
      </c>
      <c r="O65" s="525">
        <f>SUM(O3:O64)</f>
        <v>305</v>
      </c>
      <c r="U65" s="525">
        <f>SUM(U3:U64)</f>
        <v>864</v>
      </c>
      <c r="V65" s="525">
        <f>SUM(V3:V64)</f>
        <v>102</v>
      </c>
      <c r="W65" s="525">
        <f>SUM(W3:W64)</f>
        <v>175</v>
      </c>
      <c r="X65" s="525">
        <f>SUM(X3:X64)</f>
        <v>879</v>
      </c>
      <c r="AD65" s="525">
        <f>SUM(AD3:AD64)</f>
        <v>177</v>
      </c>
      <c r="AE65" s="525">
        <f>SUM(AE3:AE64)</f>
        <v>54</v>
      </c>
      <c r="AF65" s="525">
        <f>SUM(AF3:AF64)</f>
        <v>16</v>
      </c>
      <c r="AG65" s="525">
        <f>SUM(AG3:AG64)</f>
        <v>910</v>
      </c>
      <c r="AM65" s="525">
        <f>SUM(AM3:AM64)</f>
        <v>485</v>
      </c>
      <c r="AN65" s="525">
        <f>SUM(AN3:AN64)</f>
        <v>0</v>
      </c>
      <c r="AO65" s="525">
        <f>SUM(AO3:AO64)</f>
        <v>235</v>
      </c>
      <c r="AP65" s="525">
        <f>SUM(AP3:AP64)</f>
        <v>790</v>
      </c>
    </row>
    <row r="73" spans="1:42" ht="15.75" thickBot="1" x14ac:dyDescent="0.3"/>
    <row r="74" spans="1:42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2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2" ht="21.75" customHeight="1" x14ac:dyDescent="0.3">
      <c r="B76" s="651" t="s">
        <v>218</v>
      </c>
      <c r="C76" s="652">
        <f>C65</f>
        <v>392</v>
      </c>
      <c r="D76" s="653">
        <f>C76/60</f>
        <v>6.5333333333333332</v>
      </c>
      <c r="E76" s="652">
        <f>D65</f>
        <v>0</v>
      </c>
      <c r="F76" s="654">
        <f>E76/60</f>
        <v>0</v>
      </c>
      <c r="G76" s="652">
        <f>E65</f>
        <v>163</v>
      </c>
      <c r="H76" s="653">
        <f>G76/60</f>
        <v>2.7166666666666668</v>
      </c>
      <c r="I76" s="652">
        <f>F65</f>
        <v>898</v>
      </c>
      <c r="J76" s="653">
        <f>I76/60</f>
        <v>14.966666666666667</v>
      </c>
    </row>
    <row r="77" spans="1:42" ht="19.5" customHeight="1" x14ac:dyDescent="0.3">
      <c r="B77" s="651" t="s">
        <v>219</v>
      </c>
      <c r="C77" s="655">
        <f>L65</f>
        <v>458</v>
      </c>
      <c r="D77" s="656">
        <f>C77/60</f>
        <v>7.6333333333333337</v>
      </c>
      <c r="E77" s="655">
        <f>M65</f>
        <v>0</v>
      </c>
      <c r="F77" s="657">
        <f>E77/60</f>
        <v>0</v>
      </c>
      <c r="G77" s="655">
        <f>N65</f>
        <v>0</v>
      </c>
      <c r="H77" s="656">
        <f>G77/60</f>
        <v>0</v>
      </c>
      <c r="I77" s="655">
        <f>O65</f>
        <v>305</v>
      </c>
      <c r="J77" s="656">
        <f>I77/60</f>
        <v>5.083333333333333</v>
      </c>
    </row>
    <row r="78" spans="1:42" ht="20.25" customHeight="1" x14ac:dyDescent="0.3">
      <c r="B78" s="651" t="s">
        <v>220</v>
      </c>
      <c r="C78" s="655">
        <f>U65</f>
        <v>864</v>
      </c>
      <c r="D78" s="656">
        <f>C78/60</f>
        <v>14.4</v>
      </c>
      <c r="E78" s="655">
        <f>V65</f>
        <v>102</v>
      </c>
      <c r="F78" s="657">
        <f>E78/60</f>
        <v>1.7</v>
      </c>
      <c r="G78" s="655">
        <f>W65</f>
        <v>175</v>
      </c>
      <c r="H78" s="656">
        <f>G78/60</f>
        <v>2.9166666666666665</v>
      </c>
      <c r="I78" s="655">
        <f>X65</f>
        <v>879</v>
      </c>
      <c r="J78" s="656">
        <f>I78/60</f>
        <v>14.65</v>
      </c>
    </row>
    <row r="79" spans="1:42" ht="22.5" customHeight="1" thickBot="1" x14ac:dyDescent="0.35">
      <c r="B79" s="651" t="s">
        <v>221</v>
      </c>
      <c r="C79" s="658">
        <f>AD65</f>
        <v>177</v>
      </c>
      <c r="D79" s="659">
        <f>C79/60</f>
        <v>2.95</v>
      </c>
      <c r="E79" s="658">
        <f>AE65</f>
        <v>54</v>
      </c>
      <c r="F79" s="660">
        <f>E79/60</f>
        <v>0.9</v>
      </c>
      <c r="G79" s="658">
        <f>AF65</f>
        <v>16</v>
      </c>
      <c r="H79" s="659">
        <f>G79/60</f>
        <v>0.26666666666666666</v>
      </c>
      <c r="I79" s="658">
        <f>AG65</f>
        <v>910</v>
      </c>
      <c r="J79" s="659">
        <f>I79/60</f>
        <v>15.166666666666666</v>
      </c>
    </row>
    <row r="80" spans="1:42" ht="22.5" customHeight="1" thickBot="1" x14ac:dyDescent="0.35">
      <c r="B80" s="651" t="s">
        <v>488</v>
      </c>
      <c r="C80" s="850">
        <f>AM65</f>
        <v>485</v>
      </c>
      <c r="D80" s="849">
        <f>C80/60</f>
        <v>8.0833333333333339</v>
      </c>
      <c r="E80" s="850">
        <f>AN65</f>
        <v>0</v>
      </c>
      <c r="F80" s="851">
        <f>E80/60</f>
        <v>0</v>
      </c>
      <c r="G80" s="850">
        <f>AO65</f>
        <v>235</v>
      </c>
      <c r="H80" s="849">
        <f>G80/60</f>
        <v>3.9166666666666665</v>
      </c>
      <c r="I80" s="850">
        <f>AP65</f>
        <v>790</v>
      </c>
      <c r="J80" s="849">
        <f>I80/60</f>
        <v>13.166666666666666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39.6</v>
      </c>
      <c r="E82" s="666"/>
      <c r="F82" s="667">
        <f>SUM(F76:F80)</f>
        <v>2.6</v>
      </c>
      <c r="G82" s="666"/>
      <c r="H82" s="667">
        <f>SUM(H76:H80)</f>
        <v>9.8166666666666664</v>
      </c>
      <c r="I82" s="666"/>
      <c r="J82" s="668">
        <f>AVERAGE(J76:J80)</f>
        <v>12.606666666666666</v>
      </c>
    </row>
  </sheetData>
  <mergeCells count="48">
    <mergeCell ref="AQ1:AT1"/>
    <mergeCell ref="A3:A4"/>
    <mergeCell ref="A5:A6"/>
    <mergeCell ref="C1:F1"/>
    <mergeCell ref="G1:J1"/>
    <mergeCell ref="L1:O1"/>
    <mergeCell ref="P1:S1"/>
    <mergeCell ref="U1:X1"/>
    <mergeCell ref="Y1:AB1"/>
    <mergeCell ref="AH14:AJ14"/>
    <mergeCell ref="A15:A16"/>
    <mergeCell ref="AD1:AG1"/>
    <mergeCell ref="AH1:AK1"/>
    <mergeCell ref="AM1:AP1"/>
    <mergeCell ref="A25:A26"/>
    <mergeCell ref="A7:A8"/>
    <mergeCell ref="A9:A10"/>
    <mergeCell ref="A11:A12"/>
    <mergeCell ref="A13:A14"/>
    <mergeCell ref="A17:A18"/>
    <mergeCell ref="AQ18:AS18"/>
    <mergeCell ref="A19:A20"/>
    <mergeCell ref="A21:A22"/>
    <mergeCell ref="A23:A24"/>
    <mergeCell ref="A49:A50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51:A52"/>
    <mergeCell ref="A53:A54"/>
    <mergeCell ref="A55:A56"/>
    <mergeCell ref="A57:A58"/>
    <mergeCell ref="A59:A60"/>
    <mergeCell ref="AH62:AJ62"/>
    <mergeCell ref="A63:A64"/>
    <mergeCell ref="C74:D74"/>
    <mergeCell ref="E74:F74"/>
    <mergeCell ref="G74:H74"/>
    <mergeCell ref="I74:J74"/>
    <mergeCell ref="A61:A62"/>
  </mergeCells>
  <pageMargins left="0.7" right="0.7" top="0.75" bottom="0.75" header="0.3" footer="0.3"/>
  <pageSetup paperSize="9" orientation="portrait" horizontalDpi="180" verticalDpi="18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2"/>
  <sheetViews>
    <sheetView zoomScale="60" zoomScaleNormal="60" workbookViewId="0">
      <pane xSplit="2" ySplit="2" topLeftCell="Z32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7.285156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3" style="524" customWidth="1"/>
    <col min="17" max="17" width="27.28515625" style="524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2.42578125" style="524" customWidth="1"/>
    <col min="28" max="28" width="27" style="524" customWidth="1"/>
    <col min="29" max="33" width="10.7109375" style="524" customWidth="1"/>
    <col min="34" max="34" width="31.28515625" style="524" customWidth="1"/>
    <col min="35" max="35" width="18.57031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2" width="10.7109375" style="524" customWidth="1"/>
    <col min="43" max="43" width="21.140625" style="524" customWidth="1"/>
    <col min="44" max="44" width="26.5703125" style="524" customWidth="1"/>
    <col min="45" max="45" width="28.28515625" style="524" customWidth="1"/>
    <col min="46" max="46" width="26.5703125" style="524" customWidth="1"/>
    <col min="47" max="16384" width="8.85546875" style="524"/>
  </cols>
  <sheetData>
    <row r="1" spans="1:46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2" t="s">
        <v>206</v>
      </c>
      <c r="AR1" s="2252"/>
      <c r="AS1" s="2252"/>
      <c r="AT1" s="2253"/>
    </row>
    <row r="2" spans="1:46" ht="42.6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6" t="s">
        <v>199</v>
      </c>
      <c r="AI2" s="984" t="s">
        <v>200</v>
      </c>
      <c r="AJ2" s="984" t="s">
        <v>201</v>
      </c>
      <c r="AK2" s="984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6" t="s">
        <v>199</v>
      </c>
      <c r="AR2" s="984" t="s">
        <v>200</v>
      </c>
      <c r="AS2" s="984" t="s">
        <v>201</v>
      </c>
      <c r="AT2" s="984" t="s">
        <v>204</v>
      </c>
    </row>
    <row r="3" spans="1:46" ht="78" customHeight="1" x14ac:dyDescent="0.25">
      <c r="A3" s="2206">
        <v>45536</v>
      </c>
      <c r="B3" s="1153">
        <v>1</v>
      </c>
      <c r="C3" s="592"/>
      <c r="D3" s="593"/>
      <c r="E3" s="6"/>
      <c r="F3" s="594"/>
      <c r="G3" s="685"/>
      <c r="H3" s="619"/>
      <c r="I3" s="620"/>
      <c r="J3" s="686"/>
      <c r="K3" s="622"/>
      <c r="L3" s="612"/>
      <c r="M3" s="630"/>
      <c r="N3" s="630"/>
      <c r="O3" s="628"/>
      <c r="P3" s="629"/>
      <c r="Q3" s="699"/>
      <c r="R3" s="699"/>
      <c r="S3" s="628"/>
      <c r="T3" s="622"/>
      <c r="U3" s="612"/>
      <c r="V3" s="630"/>
      <c r="W3" s="6"/>
      <c r="X3" s="613"/>
      <c r="Y3" s="1157"/>
      <c r="Z3" s="629"/>
      <c r="AA3" s="620"/>
      <c r="AB3" s="720"/>
      <c r="AC3" s="622"/>
      <c r="AD3" s="612"/>
      <c r="AE3" s="630"/>
      <c r="AF3" s="6"/>
      <c r="AG3" s="628"/>
      <c r="AH3" s="629"/>
      <c r="AI3" s="629"/>
      <c r="AJ3" s="605"/>
      <c r="AK3" s="628"/>
      <c r="AM3" s="612"/>
      <c r="AN3" s="630"/>
      <c r="AO3" s="6"/>
      <c r="AP3" s="628"/>
      <c r="AQ3" s="629"/>
      <c r="AR3" s="648"/>
      <c r="AS3" s="605"/>
      <c r="AT3" s="628"/>
    </row>
    <row r="4" spans="1:46" ht="70.150000000000006" customHeight="1" x14ac:dyDescent="0.25">
      <c r="A4" s="2205"/>
      <c r="B4" s="574">
        <v>2</v>
      </c>
      <c r="C4" s="595"/>
      <c r="D4" s="596"/>
      <c r="E4" s="596"/>
      <c r="F4" s="597"/>
      <c r="G4" s="684"/>
      <c r="H4" s="619"/>
      <c r="I4" s="848"/>
      <c r="J4" s="687"/>
      <c r="K4" s="622"/>
      <c r="L4" s="572"/>
      <c r="M4" s="6"/>
      <c r="N4" s="6"/>
      <c r="O4" s="613"/>
      <c r="P4" s="614"/>
      <c r="Q4" s="619"/>
      <c r="R4" s="1159"/>
      <c r="S4" s="613"/>
      <c r="T4" s="622"/>
      <c r="U4" s="572"/>
      <c r="V4" s="605"/>
      <c r="W4" s="6"/>
      <c r="X4" s="613"/>
      <c r="Y4" s="1157"/>
      <c r="Z4" s="620"/>
      <c r="AA4" s="698"/>
      <c r="AB4" s="722"/>
      <c r="AC4" s="622"/>
      <c r="AD4" s="572"/>
      <c r="AE4" s="6"/>
      <c r="AF4" s="6"/>
      <c r="AG4" s="613"/>
      <c r="AH4" s="614"/>
      <c r="AI4" s="620"/>
      <c r="AJ4" s="6"/>
      <c r="AK4" s="613"/>
      <c r="AM4" s="572"/>
      <c r="AN4" s="6"/>
      <c r="AO4" s="6"/>
      <c r="AP4" s="613"/>
      <c r="AQ4" s="614"/>
      <c r="AR4" s="620"/>
      <c r="AS4" s="6"/>
      <c r="AT4" s="613"/>
    </row>
    <row r="5" spans="1:46" ht="60" customHeight="1" x14ac:dyDescent="0.25">
      <c r="A5" s="2206">
        <v>45537</v>
      </c>
      <c r="B5" s="574">
        <v>1</v>
      </c>
      <c r="C5" s="595"/>
      <c r="D5" s="596"/>
      <c r="E5" s="596"/>
      <c r="F5" s="597"/>
      <c r="G5" s="684"/>
      <c r="H5" s="684"/>
      <c r="I5" s="848"/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/>
      <c r="X5" s="613"/>
      <c r="Y5" s="1157"/>
      <c r="Z5" s="619"/>
      <c r="AA5" s="698"/>
      <c r="AB5" s="723"/>
      <c r="AC5" s="622"/>
      <c r="AD5" s="572"/>
      <c r="AE5" s="6"/>
      <c r="AF5" s="6"/>
      <c r="AG5" s="613"/>
      <c r="AH5" s="614"/>
      <c r="AI5" s="6"/>
      <c r="AJ5" s="1036"/>
      <c r="AK5" s="613"/>
      <c r="AM5" s="572"/>
      <c r="AN5" s="6"/>
      <c r="AO5" s="6"/>
      <c r="AP5" s="613"/>
      <c r="AQ5" s="614"/>
      <c r="AR5" s="6"/>
      <c r="AS5" s="605"/>
      <c r="AT5" s="634"/>
    </row>
    <row r="6" spans="1:46" ht="80.45" customHeight="1" x14ac:dyDescent="0.25">
      <c r="A6" s="2205"/>
      <c r="B6" s="574">
        <v>2</v>
      </c>
      <c r="C6" s="595"/>
      <c r="D6" s="596"/>
      <c r="E6" s="596"/>
      <c r="F6" s="597"/>
      <c r="G6" s="685"/>
      <c r="H6" s="620"/>
      <c r="I6" s="848"/>
      <c r="J6" s="635"/>
      <c r="K6" s="622"/>
      <c r="L6" s="572"/>
      <c r="M6" s="6"/>
      <c r="N6" s="6"/>
      <c r="O6" s="613"/>
      <c r="P6" s="614"/>
      <c r="Q6" s="619"/>
      <c r="R6" s="6"/>
      <c r="S6" s="635"/>
      <c r="T6" s="622"/>
      <c r="U6" s="572"/>
      <c r="V6" s="6"/>
      <c r="W6" s="6"/>
      <c r="X6" s="613"/>
      <c r="Y6" s="1157"/>
      <c r="Z6" s="619"/>
      <c r="AA6" s="698"/>
      <c r="AB6" s="635"/>
      <c r="AC6" s="622"/>
      <c r="AD6" s="572">
        <v>37</v>
      </c>
      <c r="AE6" s="6"/>
      <c r="AF6" s="6"/>
      <c r="AG6" s="613"/>
      <c r="AH6" s="614" t="s">
        <v>288</v>
      </c>
      <c r="AI6" s="6"/>
      <c r="AJ6" s="6"/>
      <c r="AK6" s="635"/>
      <c r="AM6" s="572"/>
      <c r="AN6" s="6"/>
      <c r="AO6" s="6"/>
      <c r="AP6" s="50"/>
      <c r="AQ6" s="613"/>
      <c r="AR6" s="614"/>
      <c r="AS6" s="605"/>
      <c r="AT6" s="635"/>
    </row>
    <row r="7" spans="1:46" ht="71.45" customHeight="1" x14ac:dyDescent="0.25">
      <c r="A7" s="2206">
        <v>45538</v>
      </c>
      <c r="B7" s="574">
        <v>1</v>
      </c>
      <c r="C7" s="595"/>
      <c r="D7" s="596"/>
      <c r="E7" s="596"/>
      <c r="F7" s="597"/>
      <c r="G7" s="685"/>
      <c r="H7" s="620"/>
      <c r="I7" s="635"/>
      <c r="J7" s="635"/>
      <c r="K7" s="622"/>
      <c r="L7" s="572">
        <v>127</v>
      </c>
      <c r="M7" s="614"/>
      <c r="N7" s="6"/>
      <c r="O7" s="613"/>
      <c r="P7" s="614" t="s">
        <v>45</v>
      </c>
      <c r="Q7" s="1010"/>
      <c r="R7" s="6"/>
      <c r="S7" s="613"/>
      <c r="T7" s="622"/>
      <c r="U7" s="572"/>
      <c r="V7" s="6"/>
      <c r="W7" s="6"/>
      <c r="X7" s="613"/>
      <c r="Y7" s="1157"/>
      <c r="Z7" s="619"/>
      <c r="AA7" s="698"/>
      <c r="AB7" s="613"/>
      <c r="AC7" s="622"/>
      <c r="AD7" s="572"/>
      <c r="AE7" s="6"/>
      <c r="AF7" s="6"/>
      <c r="AG7" s="613"/>
      <c r="AH7" s="614"/>
      <c r="AI7" s="1010"/>
      <c r="AJ7" s="635"/>
      <c r="AK7" s="613"/>
      <c r="AM7" s="572"/>
      <c r="AN7" s="6"/>
      <c r="AO7" s="6"/>
      <c r="AP7" s="50"/>
      <c r="AQ7" s="613"/>
      <c r="AR7" s="614"/>
      <c r="AS7" s="1010"/>
      <c r="AT7" s="692"/>
    </row>
    <row r="8" spans="1:46" ht="69.599999999999994" customHeight="1" x14ac:dyDescent="0.25">
      <c r="A8" s="2205"/>
      <c r="B8" s="574">
        <v>2</v>
      </c>
      <c r="C8" s="595"/>
      <c r="D8" s="596"/>
      <c r="E8" s="596"/>
      <c r="F8" s="597"/>
      <c r="G8" s="684"/>
      <c r="H8" s="620"/>
      <c r="I8" s="848"/>
      <c r="J8" s="635"/>
      <c r="K8" s="622"/>
      <c r="L8" s="572">
        <v>720</v>
      </c>
      <c r="M8" s="6"/>
      <c r="N8" s="6"/>
      <c r="O8" s="613"/>
      <c r="P8" s="614" t="s">
        <v>45</v>
      </c>
      <c r="Q8" s="6"/>
      <c r="R8" s="605"/>
      <c r="S8" s="635"/>
      <c r="T8" s="622"/>
      <c r="U8" s="572"/>
      <c r="V8" s="572"/>
      <c r="W8" s="572"/>
      <c r="X8" s="613"/>
      <c r="Y8" s="1157"/>
      <c r="Z8" s="1119"/>
      <c r="AA8" s="609"/>
      <c r="AB8" s="635"/>
      <c r="AC8" s="622"/>
      <c r="AD8" s="572"/>
      <c r="AE8" s="6"/>
      <c r="AF8" s="6"/>
      <c r="AG8" s="613"/>
      <c r="AH8" s="614"/>
      <c r="AI8" s="605"/>
      <c r="AJ8" s="620"/>
      <c r="AK8" s="635"/>
      <c r="AM8" s="572"/>
      <c r="AN8" s="6"/>
      <c r="AO8" s="6">
        <v>34</v>
      </c>
      <c r="AP8" s="50"/>
      <c r="AQ8" s="613"/>
      <c r="AR8" s="614"/>
      <c r="AS8" s="6" t="s">
        <v>97</v>
      </c>
      <c r="AT8" s="635"/>
    </row>
    <row r="9" spans="1:46" ht="76.900000000000006" customHeight="1" x14ac:dyDescent="0.25">
      <c r="A9" s="2206">
        <v>45539</v>
      </c>
      <c r="B9" s="574">
        <v>1</v>
      </c>
      <c r="C9" s="595"/>
      <c r="D9" s="596"/>
      <c r="E9" s="596"/>
      <c r="F9" s="597"/>
      <c r="G9" s="684"/>
      <c r="H9" s="619"/>
      <c r="I9" s="848"/>
      <c r="J9" s="635"/>
      <c r="K9" s="622"/>
      <c r="L9" s="572">
        <v>720</v>
      </c>
      <c r="M9" s="6"/>
      <c r="N9" s="6"/>
      <c r="O9" s="613"/>
      <c r="P9" s="614" t="s">
        <v>45</v>
      </c>
      <c r="Q9" s="6"/>
      <c r="R9" s="605"/>
      <c r="S9" s="635"/>
      <c r="T9" s="622"/>
      <c r="U9" s="572"/>
      <c r="V9" s="6"/>
      <c r="W9" s="6"/>
      <c r="X9" s="613"/>
      <c r="Y9" s="1157"/>
      <c r="Z9" s="6"/>
      <c r="AA9" s="698"/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/>
      <c r="AN9" s="6"/>
      <c r="AO9" s="6"/>
      <c r="AP9" s="50"/>
      <c r="AQ9" s="613"/>
      <c r="AR9" s="614"/>
      <c r="AS9" s="6"/>
      <c r="AT9" s="828"/>
    </row>
    <row r="10" spans="1:46" ht="67.150000000000006" customHeight="1" x14ac:dyDescent="0.25">
      <c r="A10" s="2205"/>
      <c r="B10" s="574">
        <v>2</v>
      </c>
      <c r="C10" s="595"/>
      <c r="D10" s="595"/>
      <c r="E10" s="595"/>
      <c r="F10" s="597"/>
      <c r="G10" s="1120"/>
      <c r="H10" s="1121"/>
      <c r="I10" s="1122"/>
      <c r="J10" s="635"/>
      <c r="K10" s="622"/>
      <c r="L10" s="572">
        <v>720</v>
      </c>
      <c r="M10" s="6"/>
      <c r="N10" s="6"/>
      <c r="O10" s="613"/>
      <c r="P10" s="614" t="s">
        <v>45</v>
      </c>
      <c r="Q10" s="6"/>
      <c r="R10" s="605"/>
      <c r="S10" s="635"/>
      <c r="T10" s="622"/>
      <c r="U10" s="572"/>
      <c r="V10" s="6"/>
      <c r="W10" s="6"/>
      <c r="X10" s="613"/>
      <c r="Y10" s="1157"/>
      <c r="Z10" s="1157"/>
      <c r="AA10" s="698"/>
      <c r="AB10" s="635"/>
      <c r="AC10" s="622"/>
      <c r="AD10" s="572"/>
      <c r="AE10" s="6"/>
      <c r="AF10" s="6"/>
      <c r="AG10" s="613"/>
      <c r="AH10" s="1157"/>
      <c r="AI10" s="605"/>
      <c r="AJ10" s="620"/>
      <c r="AK10" s="635"/>
      <c r="AM10" s="572"/>
      <c r="AN10" s="6"/>
      <c r="AO10" s="6">
        <v>11</v>
      </c>
      <c r="AP10" s="50"/>
      <c r="AQ10" s="613"/>
      <c r="AR10" s="614"/>
      <c r="AS10" s="6" t="s">
        <v>97</v>
      </c>
      <c r="AT10" s="635"/>
    </row>
    <row r="11" spans="1:46" ht="60" customHeight="1" x14ac:dyDescent="0.25">
      <c r="A11" s="2206">
        <v>45540</v>
      </c>
      <c r="B11" s="574">
        <v>1</v>
      </c>
      <c r="C11" s="595"/>
      <c r="D11" s="595"/>
      <c r="E11" s="595"/>
      <c r="F11" s="597"/>
      <c r="G11" s="1120"/>
      <c r="H11" s="1121"/>
      <c r="I11" s="1122"/>
      <c r="J11" s="687"/>
      <c r="K11" s="622"/>
      <c r="L11" s="572">
        <v>720</v>
      </c>
      <c r="M11" s="6"/>
      <c r="N11" s="6"/>
      <c r="O11" s="613"/>
      <c r="P11" s="614" t="s">
        <v>45</v>
      </c>
      <c r="Q11" s="6"/>
      <c r="R11" s="605"/>
      <c r="S11" s="613"/>
      <c r="T11" s="622"/>
      <c r="U11" s="572"/>
      <c r="V11" s="6"/>
      <c r="W11" s="6"/>
      <c r="X11" s="613"/>
      <c r="Y11" s="1157"/>
      <c r="Z11" s="6"/>
      <c r="AA11" s="698"/>
      <c r="AB11" s="613"/>
      <c r="AC11" s="622"/>
      <c r="AD11" s="572"/>
      <c r="AE11" s="6"/>
      <c r="AF11" s="6"/>
      <c r="AG11" s="613"/>
      <c r="AH11" s="614"/>
      <c r="AI11" s="6"/>
      <c r="AJ11" s="620"/>
      <c r="AK11" s="613"/>
      <c r="AM11" s="572"/>
      <c r="AN11" s="6"/>
      <c r="AO11" s="6"/>
      <c r="AP11" s="613"/>
      <c r="AQ11" s="614"/>
      <c r="AR11" s="6"/>
      <c r="AS11" s="6"/>
      <c r="AT11" s="634"/>
    </row>
    <row r="12" spans="1:46" ht="55.15" customHeight="1" x14ac:dyDescent="0.25">
      <c r="A12" s="2205"/>
      <c r="B12" s="574">
        <v>2</v>
      </c>
      <c r="C12" s="595"/>
      <c r="D12" s="596"/>
      <c r="E12" s="596"/>
      <c r="F12" s="597">
        <v>95</v>
      </c>
      <c r="G12" s="684"/>
      <c r="H12" s="619"/>
      <c r="I12" s="848"/>
      <c r="J12" s="635" t="s">
        <v>960</v>
      </c>
      <c r="K12" s="622"/>
      <c r="L12" s="572">
        <v>720</v>
      </c>
      <c r="M12" s="6"/>
      <c r="N12" s="6"/>
      <c r="O12" s="613"/>
      <c r="P12" s="614" t="s">
        <v>45</v>
      </c>
      <c r="Q12" s="6"/>
      <c r="R12" s="605"/>
      <c r="S12" s="635"/>
      <c r="T12" s="622"/>
      <c r="U12" s="572"/>
      <c r="V12" s="6"/>
      <c r="W12" s="6"/>
      <c r="X12" s="613">
        <v>108</v>
      </c>
      <c r="Y12" s="1157"/>
      <c r="Z12" s="6"/>
      <c r="AA12" s="698"/>
      <c r="AB12" s="635" t="s">
        <v>960</v>
      </c>
      <c r="AC12" s="622"/>
      <c r="AD12" s="572"/>
      <c r="AE12" s="6"/>
      <c r="AF12" s="6">
        <v>13</v>
      </c>
      <c r="AG12" s="613">
        <v>104</v>
      </c>
      <c r="AH12" s="614"/>
      <c r="AI12" s="605"/>
      <c r="AJ12" s="605" t="s">
        <v>325</v>
      </c>
      <c r="AK12" s="635" t="s">
        <v>960</v>
      </c>
      <c r="AM12" s="572"/>
      <c r="AN12" s="6"/>
      <c r="AO12" s="6"/>
      <c r="AP12" s="613">
        <v>98</v>
      </c>
      <c r="AQ12" s="614"/>
      <c r="AR12" s="6"/>
      <c r="AS12" s="605"/>
      <c r="AT12" s="635" t="s">
        <v>960</v>
      </c>
    </row>
    <row r="13" spans="1:46" ht="34.9" customHeight="1" x14ac:dyDescent="0.25">
      <c r="A13" s="2206">
        <v>45541</v>
      </c>
      <c r="B13" s="574">
        <v>1</v>
      </c>
      <c r="C13" s="595"/>
      <c r="D13" s="596"/>
      <c r="E13" s="596"/>
      <c r="F13" s="597"/>
      <c r="G13" s="684"/>
      <c r="H13" s="619"/>
      <c r="I13" s="848"/>
      <c r="J13" s="635"/>
      <c r="K13" s="622"/>
      <c r="L13" s="572">
        <v>473</v>
      </c>
      <c r="M13" s="6"/>
      <c r="N13" s="6">
        <v>28</v>
      </c>
      <c r="O13" s="597"/>
      <c r="P13" s="614" t="s">
        <v>45</v>
      </c>
      <c r="Q13" s="6"/>
      <c r="R13" s="6" t="s">
        <v>97</v>
      </c>
      <c r="S13" s="635"/>
      <c r="T13" s="622"/>
      <c r="U13" s="572"/>
      <c r="V13" s="6"/>
      <c r="W13" s="6"/>
      <c r="X13" s="597"/>
      <c r="Y13" s="1157"/>
      <c r="Z13" s="605"/>
      <c r="AA13" s="698"/>
      <c r="AB13" s="635"/>
      <c r="AC13" s="622"/>
      <c r="AD13" s="572"/>
      <c r="AE13" s="6"/>
      <c r="AF13" s="6"/>
      <c r="AG13" s="597"/>
      <c r="AH13" s="614"/>
      <c r="AI13" s="6"/>
      <c r="AJ13" s="605"/>
      <c r="AK13" s="635"/>
      <c r="AM13" s="572"/>
      <c r="AN13" s="6"/>
      <c r="AO13" s="6"/>
      <c r="AP13" s="597"/>
      <c r="AQ13" s="614"/>
      <c r="AR13" s="6"/>
      <c r="AS13" s="6"/>
      <c r="AT13" s="635"/>
    </row>
    <row r="14" spans="1:46" ht="49.15" customHeight="1" x14ac:dyDescent="0.25">
      <c r="A14" s="2205"/>
      <c r="B14" s="574">
        <v>2</v>
      </c>
      <c r="C14" s="595"/>
      <c r="D14" s="596"/>
      <c r="E14" s="596"/>
      <c r="F14" s="597"/>
      <c r="G14" s="684"/>
      <c r="H14" s="620"/>
      <c r="I14" s="848"/>
      <c r="J14" s="635"/>
      <c r="K14" s="622"/>
      <c r="L14" s="572">
        <v>110</v>
      </c>
      <c r="M14" s="6"/>
      <c r="N14" s="6"/>
      <c r="O14" s="597"/>
      <c r="P14" s="1165" t="s">
        <v>961</v>
      </c>
      <c r="Q14" s="6"/>
      <c r="R14" s="6"/>
      <c r="S14" s="635"/>
      <c r="T14" s="622"/>
      <c r="U14" s="572"/>
      <c r="V14" s="6"/>
      <c r="W14" s="6"/>
      <c r="X14" s="597"/>
      <c r="Y14" s="1157"/>
      <c r="Z14" s="605"/>
      <c r="AA14" s="698"/>
      <c r="AB14" s="635"/>
      <c r="AC14" s="622"/>
      <c r="AD14" s="572"/>
      <c r="AE14" s="6"/>
      <c r="AF14" s="6"/>
      <c r="AG14" s="597"/>
      <c r="AH14" s="2232"/>
      <c r="AI14" s="2233"/>
      <c r="AJ14" s="2234"/>
      <c r="AK14" s="635"/>
      <c r="AM14" s="572"/>
      <c r="AN14" s="6"/>
      <c r="AO14" s="6"/>
      <c r="AP14" s="597"/>
      <c r="AQ14" s="1157"/>
      <c r="AR14" s="6"/>
      <c r="AS14" s="698"/>
      <c r="AT14" s="635"/>
    </row>
    <row r="15" spans="1:46" ht="48" customHeight="1" x14ac:dyDescent="0.25">
      <c r="A15" s="2206">
        <v>45542</v>
      </c>
      <c r="B15" s="574">
        <v>1</v>
      </c>
      <c r="C15" s="595"/>
      <c r="D15" s="596"/>
      <c r="E15" s="6"/>
      <c r="F15" s="597"/>
      <c r="G15" s="684"/>
      <c r="H15" s="620"/>
      <c r="I15" s="848"/>
      <c r="J15" s="635"/>
      <c r="K15" s="622"/>
      <c r="L15" s="572"/>
      <c r="M15" s="6"/>
      <c r="N15" s="6"/>
      <c r="O15" s="597"/>
      <c r="P15" s="685"/>
      <c r="Q15" s="620"/>
      <c r="R15" s="620"/>
      <c r="S15" s="635"/>
      <c r="T15" s="622"/>
      <c r="U15" s="572"/>
      <c r="V15" s="6"/>
      <c r="W15" s="6"/>
      <c r="X15" s="597"/>
      <c r="Y15" s="684"/>
      <c r="Z15" s="620"/>
      <c r="AA15" s="698"/>
      <c r="AB15" s="635"/>
      <c r="AC15" s="622"/>
      <c r="AD15" s="572"/>
      <c r="AE15" s="6"/>
      <c r="AF15" s="622"/>
      <c r="AG15" s="597"/>
      <c r="AH15" s="685"/>
      <c r="AI15" s="620"/>
      <c r="AJ15" s="605"/>
      <c r="AK15" s="635"/>
      <c r="AM15" s="572"/>
      <c r="AN15" s="6"/>
      <c r="AO15" s="622"/>
      <c r="AP15" s="685"/>
      <c r="AQ15" s="620"/>
      <c r="AR15" s="620"/>
      <c r="AS15" s="620"/>
      <c r="AT15" s="635"/>
    </row>
    <row r="16" spans="1:46" ht="54.6" customHeight="1" x14ac:dyDescent="0.25">
      <c r="A16" s="2205"/>
      <c r="B16" s="574">
        <v>2</v>
      </c>
      <c r="C16" s="595"/>
      <c r="D16" s="595"/>
      <c r="E16" s="595"/>
      <c r="F16" s="597"/>
      <c r="G16" s="1134"/>
      <c r="H16" s="1135"/>
      <c r="I16" s="1136"/>
      <c r="J16" s="635"/>
      <c r="K16" s="622"/>
      <c r="L16" s="572"/>
      <c r="M16" s="6"/>
      <c r="N16" s="6"/>
      <c r="O16" s="597"/>
      <c r="P16" s="1134"/>
      <c r="Q16" s="1135"/>
      <c r="R16" s="1136"/>
      <c r="S16" s="635"/>
      <c r="T16" s="622"/>
      <c r="U16" s="572"/>
      <c r="V16" s="6"/>
      <c r="W16" s="6"/>
      <c r="X16" s="597"/>
      <c r="Y16" s="1134"/>
      <c r="Z16" s="1135"/>
      <c r="AA16" s="1136"/>
      <c r="AB16" s="635"/>
      <c r="AC16" s="622"/>
      <c r="AD16" s="572"/>
      <c r="AE16" s="6"/>
      <c r="AF16" s="6"/>
      <c r="AG16" s="597"/>
      <c r="AH16" s="1163"/>
      <c r="AI16" s="1135"/>
      <c r="AJ16" s="1136"/>
      <c r="AK16" s="635"/>
      <c r="AM16" s="572">
        <v>137</v>
      </c>
      <c r="AN16" s="6"/>
      <c r="AO16" s="6"/>
      <c r="AP16" s="597"/>
      <c r="AQ16" s="1134" t="s">
        <v>45</v>
      </c>
      <c r="AR16" s="1135"/>
      <c r="AS16" s="1136"/>
      <c r="AT16" s="635"/>
    </row>
    <row r="17" spans="1:46" ht="66" customHeight="1" x14ac:dyDescent="0.25">
      <c r="A17" s="2206">
        <v>45543</v>
      </c>
      <c r="B17" s="644">
        <v>1</v>
      </c>
      <c r="C17" s="595"/>
      <c r="D17" s="596"/>
      <c r="E17" s="596"/>
      <c r="F17" s="597"/>
      <c r="G17" s="685"/>
      <c r="H17" s="619"/>
      <c r="I17" s="848"/>
      <c r="J17" s="635"/>
      <c r="K17" s="622"/>
      <c r="L17" s="572"/>
      <c r="M17" s="6"/>
      <c r="N17" s="6"/>
      <c r="O17" s="597"/>
      <c r="P17" s="685"/>
      <c r="Q17" s="619"/>
      <c r="R17" s="620"/>
      <c r="S17" s="635"/>
      <c r="T17" s="622"/>
      <c r="U17" s="572"/>
      <c r="V17" s="6"/>
      <c r="W17" s="6">
        <v>12</v>
      </c>
      <c r="X17" s="597"/>
      <c r="Y17" s="684"/>
      <c r="Z17" s="619"/>
      <c r="AA17" s="848" t="s">
        <v>808</v>
      </c>
      <c r="AB17" s="635"/>
      <c r="AC17" s="622"/>
      <c r="AD17" s="572"/>
      <c r="AE17" s="6"/>
      <c r="AF17" s="6"/>
      <c r="AG17" s="597"/>
      <c r="AH17" s="685"/>
      <c r="AI17" s="619"/>
      <c r="AJ17" s="620"/>
      <c r="AK17" s="635"/>
      <c r="AM17" s="572"/>
      <c r="AN17" s="6"/>
      <c r="AO17" s="6">
        <v>19</v>
      </c>
      <c r="AP17" s="685"/>
      <c r="AQ17" s="619"/>
      <c r="AR17" s="620"/>
      <c r="AS17" s="698" t="s">
        <v>27</v>
      </c>
      <c r="AT17" s="635"/>
    </row>
    <row r="18" spans="1:46" ht="49.9" customHeight="1" x14ac:dyDescent="0.25">
      <c r="A18" s="2205"/>
      <c r="B18" s="574">
        <v>2</v>
      </c>
      <c r="C18" s="595"/>
      <c r="D18" s="596"/>
      <c r="E18" s="596"/>
      <c r="F18" s="597"/>
      <c r="G18" s="684"/>
      <c r="H18" s="830"/>
      <c r="I18" s="848"/>
      <c r="J18" s="635"/>
      <c r="K18" s="622"/>
      <c r="L18" s="572"/>
      <c r="M18" s="6"/>
      <c r="N18" s="6"/>
      <c r="O18" s="597"/>
      <c r="P18" s="684"/>
      <c r="Q18" s="620"/>
      <c r="R18" s="619"/>
      <c r="S18" s="635"/>
      <c r="T18" s="622"/>
      <c r="U18" s="572"/>
      <c r="V18" s="6"/>
      <c r="W18" s="596"/>
      <c r="X18" s="597"/>
      <c r="Y18" s="684"/>
      <c r="Z18" s="620"/>
      <c r="AA18" s="848"/>
      <c r="AB18" s="635"/>
      <c r="AC18" s="622"/>
      <c r="AD18" s="572"/>
      <c r="AE18" s="6"/>
      <c r="AF18" s="6">
        <v>10</v>
      </c>
      <c r="AG18" s="597"/>
      <c r="AH18" s="684"/>
      <c r="AI18" s="620"/>
      <c r="AJ18" s="619" t="s">
        <v>152</v>
      </c>
      <c r="AK18" s="635"/>
      <c r="AM18" s="572"/>
      <c r="AN18" s="6"/>
      <c r="AO18" s="6"/>
      <c r="AP18" s="597"/>
      <c r="AQ18" s="2254"/>
      <c r="AR18" s="2255"/>
      <c r="AS18" s="2256"/>
      <c r="AT18" s="635"/>
    </row>
    <row r="19" spans="1:46" ht="33.6" customHeight="1" x14ac:dyDescent="0.25">
      <c r="A19" s="2206">
        <v>45544</v>
      </c>
      <c r="B19" s="574">
        <v>1</v>
      </c>
      <c r="C19" s="622"/>
      <c r="D19" s="596"/>
      <c r="E19" s="596"/>
      <c r="F19" s="597"/>
      <c r="G19" s="567"/>
      <c r="H19" s="6"/>
      <c r="I19" s="848"/>
      <c r="J19" s="635"/>
      <c r="K19" s="622"/>
      <c r="L19" s="572"/>
      <c r="M19" s="6"/>
      <c r="N19" s="6"/>
      <c r="O19" s="597"/>
      <c r="P19" s="572"/>
      <c r="Q19" s="6"/>
      <c r="R19" s="6"/>
      <c r="S19" s="635"/>
      <c r="T19" s="622"/>
      <c r="U19" s="572"/>
      <c r="V19" s="6"/>
      <c r="W19" s="6"/>
      <c r="X19" s="597"/>
      <c r="Y19" s="572"/>
      <c r="Z19" s="605"/>
      <c r="AA19" s="848"/>
      <c r="AB19" s="635"/>
      <c r="AC19" s="622"/>
      <c r="AD19" s="572"/>
      <c r="AE19" s="6"/>
      <c r="AF19" s="6">
        <v>10</v>
      </c>
      <c r="AG19" s="597"/>
      <c r="AH19" s="572"/>
      <c r="AI19" s="6"/>
      <c r="AJ19" s="698" t="s">
        <v>336</v>
      </c>
      <c r="AK19" s="635"/>
      <c r="AM19" s="572"/>
      <c r="AN19" s="6"/>
      <c r="AO19" s="6"/>
      <c r="AP19" s="597"/>
      <c r="AQ19" s="572"/>
      <c r="AR19" s="6"/>
      <c r="AS19" s="620"/>
      <c r="AT19" s="635"/>
    </row>
    <row r="20" spans="1:46" ht="44.45" customHeight="1" x14ac:dyDescent="0.25">
      <c r="A20" s="2205"/>
      <c r="B20" s="574">
        <v>2</v>
      </c>
      <c r="C20" s="595"/>
      <c r="D20" s="596"/>
      <c r="E20" s="596"/>
      <c r="F20" s="597"/>
      <c r="G20" s="567"/>
      <c r="H20" s="1077"/>
      <c r="I20" s="848"/>
      <c r="J20" s="635"/>
      <c r="K20" s="622"/>
      <c r="L20" s="572"/>
      <c r="M20" s="6"/>
      <c r="N20" s="6"/>
      <c r="O20" s="597"/>
      <c r="P20" s="567"/>
      <c r="Q20" s="1077"/>
      <c r="R20" s="848"/>
      <c r="S20" s="635"/>
      <c r="T20" s="622"/>
      <c r="U20" s="572"/>
      <c r="V20" s="6"/>
      <c r="W20" s="6"/>
      <c r="X20" s="597"/>
      <c r="Y20" s="567"/>
      <c r="Z20" s="1077"/>
      <c r="AA20" s="848"/>
      <c r="AB20" s="635"/>
      <c r="AC20" s="622"/>
      <c r="AD20" s="572"/>
      <c r="AE20" s="6"/>
      <c r="AF20" s="6"/>
      <c r="AG20" s="597"/>
      <c r="AH20" s="567"/>
      <c r="AI20" s="1077"/>
      <c r="AJ20" s="848"/>
      <c r="AK20" s="635"/>
      <c r="AM20" s="572"/>
      <c r="AN20" s="6"/>
      <c r="AO20" s="6"/>
      <c r="AP20" s="597"/>
      <c r="AQ20" s="567"/>
      <c r="AR20" s="1077"/>
      <c r="AS20" s="848"/>
      <c r="AT20" s="635"/>
    </row>
    <row r="21" spans="1:46" ht="39.6" customHeight="1" x14ac:dyDescent="0.25">
      <c r="A21" s="2206">
        <v>45545</v>
      </c>
      <c r="B21" s="574">
        <v>1</v>
      </c>
      <c r="C21" s="595"/>
      <c r="D21" s="596"/>
      <c r="E21" s="596"/>
      <c r="F21" s="597"/>
      <c r="G21" s="688"/>
      <c r="H21" s="619"/>
      <c r="I21" s="848"/>
      <c r="J21" s="1164"/>
      <c r="K21" s="622"/>
      <c r="L21" s="572"/>
      <c r="M21" s="6"/>
      <c r="N21" s="6"/>
      <c r="O21" s="597"/>
      <c r="P21" s="572"/>
      <c r="Q21" s="6"/>
      <c r="R21" s="6"/>
      <c r="S21" s="1164"/>
      <c r="T21" s="622"/>
      <c r="U21" s="572"/>
      <c r="V21" s="6"/>
      <c r="W21" s="6"/>
      <c r="X21" s="597"/>
      <c r="Y21" s="567"/>
      <c r="Z21" s="6"/>
      <c r="AA21" s="848"/>
      <c r="AB21" s="1164"/>
      <c r="AC21" s="622"/>
      <c r="AD21" s="572"/>
      <c r="AE21" s="6"/>
      <c r="AF21" s="6"/>
      <c r="AG21" s="597"/>
      <c r="AH21" s="572"/>
      <c r="AI21" s="6"/>
      <c r="AJ21" s="848"/>
      <c r="AK21" s="1164"/>
      <c r="AM21" s="572"/>
      <c r="AN21" s="6"/>
      <c r="AO21" s="6"/>
      <c r="AP21" s="597"/>
      <c r="AQ21" s="572"/>
      <c r="AR21" s="605"/>
      <c r="AS21" s="50"/>
      <c r="AT21" s="1164"/>
    </row>
    <row r="22" spans="1:46" ht="49.9" customHeight="1" x14ac:dyDescent="0.25">
      <c r="A22" s="2205"/>
      <c r="B22" s="574">
        <v>2</v>
      </c>
      <c r="C22" s="595"/>
      <c r="D22" s="596"/>
      <c r="E22" s="596"/>
      <c r="F22" s="597">
        <v>179</v>
      </c>
      <c r="G22" s="1155"/>
      <c r="H22" s="620"/>
      <c r="I22" s="848"/>
      <c r="J22" s="635" t="s">
        <v>960</v>
      </c>
      <c r="K22" s="622"/>
      <c r="L22" s="572"/>
      <c r="M22" s="6"/>
      <c r="N22" s="6"/>
      <c r="O22" s="597">
        <v>182</v>
      </c>
      <c r="P22" s="1157"/>
      <c r="Q22" s="620"/>
      <c r="R22" s="6"/>
      <c r="S22" s="635" t="s">
        <v>960</v>
      </c>
      <c r="T22" s="622"/>
      <c r="U22" s="572"/>
      <c r="V22" s="6"/>
      <c r="W22" s="6"/>
      <c r="X22" s="597">
        <v>178</v>
      </c>
      <c r="Y22" s="567"/>
      <c r="Z22" s="620"/>
      <c r="AA22" s="698"/>
      <c r="AB22" s="635" t="s">
        <v>960</v>
      </c>
      <c r="AC22" s="622"/>
      <c r="AD22" s="572"/>
      <c r="AE22" s="6"/>
      <c r="AF22" s="6"/>
      <c r="AG22" s="597">
        <v>181</v>
      </c>
      <c r="AH22" s="572"/>
      <c r="AI22" s="6"/>
      <c r="AJ22" s="698"/>
      <c r="AK22" s="635" t="s">
        <v>960</v>
      </c>
      <c r="AM22" s="572"/>
      <c r="AN22" s="6"/>
      <c r="AO22" s="6"/>
      <c r="AP22" s="597">
        <v>191</v>
      </c>
      <c r="AQ22" s="572"/>
      <c r="AR22" s="620"/>
      <c r="AS22" s="50"/>
      <c r="AT22" s="635" t="s">
        <v>960</v>
      </c>
    </row>
    <row r="23" spans="1:46" ht="47.45" customHeight="1" x14ac:dyDescent="0.25">
      <c r="A23" s="2206">
        <v>45546</v>
      </c>
      <c r="B23" s="644">
        <v>1</v>
      </c>
      <c r="C23" s="595"/>
      <c r="D23" s="596"/>
      <c r="E23" s="596"/>
      <c r="F23" s="597"/>
      <c r="G23" s="685"/>
      <c r="H23" s="619"/>
      <c r="I23" s="848"/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/>
      <c r="V23" s="6"/>
      <c r="W23" s="6"/>
      <c r="X23" s="597"/>
      <c r="Y23" s="567"/>
      <c r="Z23" s="620"/>
      <c r="AA23" s="848"/>
      <c r="AB23" s="635"/>
      <c r="AC23" s="622"/>
      <c r="AD23" s="572"/>
      <c r="AE23" s="6"/>
      <c r="AF23" s="614"/>
      <c r="AG23" s="597"/>
      <c r="AH23" s="572"/>
      <c r="AI23" s="619"/>
      <c r="AJ23" s="620"/>
      <c r="AK23" s="635"/>
      <c r="AM23" s="572"/>
      <c r="AN23" s="6"/>
      <c r="AO23" s="6"/>
      <c r="AP23" s="597"/>
      <c r="AQ23" s="6"/>
      <c r="AR23" s="619"/>
      <c r="AS23" s="692"/>
      <c r="AT23" s="635"/>
    </row>
    <row r="24" spans="1:46" ht="49.9" customHeight="1" x14ac:dyDescent="0.25">
      <c r="A24" s="2205"/>
      <c r="B24" s="574">
        <v>2</v>
      </c>
      <c r="C24" s="595"/>
      <c r="D24" s="596"/>
      <c r="E24" s="596"/>
      <c r="F24" s="597"/>
      <c r="G24" s="685"/>
      <c r="H24" s="620"/>
      <c r="I24" s="848"/>
      <c r="J24" s="635"/>
      <c r="K24" s="622"/>
      <c r="L24" s="572"/>
      <c r="M24" s="6"/>
      <c r="N24" s="6"/>
      <c r="O24" s="597"/>
      <c r="P24" s="685"/>
      <c r="Q24" s="619"/>
      <c r="R24" s="620"/>
      <c r="S24" s="635"/>
      <c r="T24" s="622"/>
      <c r="U24" s="6"/>
      <c r="V24" s="597"/>
      <c r="W24" s="685"/>
      <c r="X24" s="597"/>
      <c r="Y24" s="848"/>
      <c r="Z24" s="619"/>
      <c r="AA24" s="848"/>
      <c r="AB24" s="635"/>
      <c r="AC24" s="622"/>
      <c r="AD24" s="572"/>
      <c r="AE24" s="6"/>
      <c r="AF24" s="614"/>
      <c r="AG24" s="597"/>
      <c r="AH24" s="848"/>
      <c r="AI24" s="619"/>
      <c r="AJ24" s="620"/>
      <c r="AK24" s="635"/>
      <c r="AM24" s="572"/>
      <c r="AN24" s="6"/>
      <c r="AO24" s="6"/>
      <c r="AP24" s="597"/>
      <c r="AQ24" s="619"/>
      <c r="AR24" s="619"/>
      <c r="AS24" s="635"/>
      <c r="AT24" s="635"/>
    </row>
    <row r="25" spans="1:46" ht="53.45" customHeight="1" x14ac:dyDescent="0.25">
      <c r="A25" s="2206">
        <v>45547</v>
      </c>
      <c r="B25" s="574">
        <v>1</v>
      </c>
      <c r="C25" s="595"/>
      <c r="D25" s="596"/>
      <c r="E25" s="596"/>
      <c r="F25" s="597">
        <v>37</v>
      </c>
      <c r="G25" s="685"/>
      <c r="H25" s="619"/>
      <c r="I25" s="848"/>
      <c r="J25" s="635" t="s">
        <v>960</v>
      </c>
      <c r="K25" s="622"/>
      <c r="L25" s="572"/>
      <c r="M25" s="6"/>
      <c r="N25" s="6"/>
      <c r="O25" s="597">
        <v>14</v>
      </c>
      <c r="P25" s="572"/>
      <c r="Q25" s="619"/>
      <c r="R25" s="6"/>
      <c r="S25" s="635" t="s">
        <v>960</v>
      </c>
      <c r="T25" s="622"/>
      <c r="U25" s="572"/>
      <c r="V25" s="6"/>
      <c r="W25" s="6">
        <v>60</v>
      </c>
      <c r="X25" s="597">
        <v>12</v>
      </c>
      <c r="Y25" s="567"/>
      <c r="Z25" s="605"/>
      <c r="AA25" s="698" t="s">
        <v>962</v>
      </c>
      <c r="AB25" s="635" t="s">
        <v>960</v>
      </c>
      <c r="AC25" s="622"/>
      <c r="AD25" s="572"/>
      <c r="AE25" s="6"/>
      <c r="AF25" s="6"/>
      <c r="AG25" s="597">
        <v>40</v>
      </c>
      <c r="AH25" s="6"/>
      <c r="AI25" s="605"/>
      <c r="AJ25" s="620"/>
      <c r="AK25" s="635" t="s">
        <v>960</v>
      </c>
      <c r="AM25" s="572"/>
      <c r="AN25" s="6"/>
      <c r="AO25" s="6"/>
      <c r="AP25" s="597">
        <v>20</v>
      </c>
      <c r="AQ25" s="6"/>
      <c r="AR25" s="6"/>
      <c r="AS25" s="50"/>
      <c r="AT25" s="635" t="s">
        <v>960</v>
      </c>
    </row>
    <row r="26" spans="1:46" ht="42" customHeight="1" x14ac:dyDescent="0.25">
      <c r="A26" s="2205"/>
      <c r="B26" s="574">
        <v>2</v>
      </c>
      <c r="C26" s="595"/>
      <c r="D26" s="596"/>
      <c r="E26" s="596"/>
      <c r="F26" s="597">
        <v>720</v>
      </c>
      <c r="G26" s="685"/>
      <c r="H26" s="620"/>
      <c r="I26" s="848"/>
      <c r="J26" s="635" t="s">
        <v>960</v>
      </c>
      <c r="K26" s="622"/>
      <c r="L26" s="572"/>
      <c r="M26" s="6"/>
      <c r="N26" s="6"/>
      <c r="O26" s="597">
        <v>720</v>
      </c>
      <c r="P26" s="685"/>
      <c r="Q26" s="620"/>
      <c r="R26" s="692"/>
      <c r="S26" s="635" t="s">
        <v>960</v>
      </c>
      <c r="T26" s="622"/>
      <c r="U26" s="572"/>
      <c r="V26" s="596"/>
      <c r="W26" s="6"/>
      <c r="X26" s="597">
        <v>720</v>
      </c>
      <c r="Y26" s="848"/>
      <c r="Z26" s="620"/>
      <c r="AA26" s="698"/>
      <c r="AB26" s="635" t="s">
        <v>960</v>
      </c>
      <c r="AC26" s="622"/>
      <c r="AD26" s="572"/>
      <c r="AE26" s="596"/>
      <c r="AF26" s="6"/>
      <c r="AG26" s="597">
        <v>720</v>
      </c>
      <c r="AH26" s="848"/>
      <c r="AI26" s="620"/>
      <c r="AJ26" s="692"/>
      <c r="AK26" s="635" t="s">
        <v>960</v>
      </c>
      <c r="AM26" s="572"/>
      <c r="AN26" s="596"/>
      <c r="AO26" s="6"/>
      <c r="AP26" s="597">
        <v>720</v>
      </c>
      <c r="AQ26" s="685"/>
      <c r="AR26" s="620"/>
      <c r="AS26" s="50"/>
      <c r="AT26" s="635" t="s">
        <v>960</v>
      </c>
    </row>
    <row r="27" spans="1:46" ht="49.9" customHeight="1" x14ac:dyDescent="0.25">
      <c r="A27" s="2206">
        <v>45548</v>
      </c>
      <c r="B27" s="644">
        <v>1</v>
      </c>
      <c r="C27" s="595"/>
      <c r="D27" s="596"/>
      <c r="E27" s="596"/>
      <c r="F27" s="597">
        <v>720</v>
      </c>
      <c r="G27" s="685"/>
      <c r="H27" s="619"/>
      <c r="I27" s="692"/>
      <c r="J27" s="635" t="s">
        <v>960</v>
      </c>
      <c r="K27" s="622"/>
      <c r="L27" s="572"/>
      <c r="M27" s="6"/>
      <c r="N27" s="6"/>
      <c r="O27" s="597">
        <v>720</v>
      </c>
      <c r="P27" s="685"/>
      <c r="Q27" s="619"/>
      <c r="R27" s="620"/>
      <c r="S27" s="635" t="s">
        <v>960</v>
      </c>
      <c r="T27" s="622"/>
      <c r="U27" s="572"/>
      <c r="V27" s="6"/>
      <c r="W27" s="6"/>
      <c r="X27" s="597">
        <v>720</v>
      </c>
      <c r="Y27" s="685"/>
      <c r="Z27" s="620"/>
      <c r="AA27" s="698"/>
      <c r="AB27" s="635" t="s">
        <v>960</v>
      </c>
      <c r="AC27" s="622"/>
      <c r="AD27" s="572"/>
      <c r="AE27" s="6"/>
      <c r="AF27" s="6"/>
      <c r="AG27" s="597">
        <v>720</v>
      </c>
      <c r="AH27" s="685"/>
      <c r="AI27" s="605"/>
      <c r="AJ27" s="620"/>
      <c r="AK27" s="635" t="s">
        <v>960</v>
      </c>
      <c r="AM27" s="572"/>
      <c r="AN27" s="6"/>
      <c r="AO27" s="6"/>
      <c r="AP27" s="597">
        <v>720</v>
      </c>
      <c r="AQ27" s="605"/>
      <c r="AR27" s="6"/>
      <c r="AS27" s="692"/>
      <c r="AT27" s="635" t="s">
        <v>960</v>
      </c>
    </row>
    <row r="28" spans="1:46" ht="72" customHeight="1" x14ac:dyDescent="0.25">
      <c r="A28" s="2205"/>
      <c r="B28" s="574">
        <v>2</v>
      </c>
      <c r="C28" s="595"/>
      <c r="D28" s="596"/>
      <c r="E28" s="596"/>
      <c r="F28" s="597">
        <v>720</v>
      </c>
      <c r="G28" s="620"/>
      <c r="H28" s="620"/>
      <c r="I28" s="692"/>
      <c r="J28" s="635" t="s">
        <v>960</v>
      </c>
      <c r="K28" s="622"/>
      <c r="L28" s="572"/>
      <c r="M28" s="6"/>
      <c r="N28" s="6"/>
      <c r="O28" s="597">
        <v>720</v>
      </c>
      <c r="P28" s="620"/>
      <c r="Q28" s="620"/>
      <c r="R28" s="620"/>
      <c r="S28" s="635" t="s">
        <v>960</v>
      </c>
      <c r="T28" s="622"/>
      <c r="U28" s="572"/>
      <c r="V28" s="6"/>
      <c r="W28" s="622"/>
      <c r="X28" s="597">
        <v>720</v>
      </c>
      <c r="Y28" s="620"/>
      <c r="Z28" s="6"/>
      <c r="AA28" s="698"/>
      <c r="AB28" s="635" t="s">
        <v>960</v>
      </c>
      <c r="AC28" s="622"/>
      <c r="AD28" s="572"/>
      <c r="AE28" s="6"/>
      <c r="AF28" s="6"/>
      <c r="AG28" s="597">
        <v>720</v>
      </c>
      <c r="AH28" s="685"/>
      <c r="AI28" s="605"/>
      <c r="AJ28" s="692"/>
      <c r="AK28" s="635" t="s">
        <v>960</v>
      </c>
      <c r="AM28" s="572"/>
      <c r="AN28" s="6"/>
      <c r="AO28" s="6"/>
      <c r="AP28" s="597">
        <v>720</v>
      </c>
      <c r="AQ28" s="605"/>
      <c r="AR28" s="6"/>
      <c r="AS28" s="50"/>
      <c r="AT28" s="635" t="s">
        <v>960</v>
      </c>
    </row>
    <row r="29" spans="1:46" ht="66" customHeight="1" x14ac:dyDescent="0.25">
      <c r="A29" s="2206">
        <v>45549</v>
      </c>
      <c r="B29" s="574">
        <v>1</v>
      </c>
      <c r="C29" s="595"/>
      <c r="D29" s="596"/>
      <c r="E29" s="596"/>
      <c r="F29" s="597">
        <v>720</v>
      </c>
      <c r="G29" s="620"/>
      <c r="H29" s="619"/>
      <c r="I29" s="692"/>
      <c r="J29" s="635" t="s">
        <v>960</v>
      </c>
      <c r="K29" s="622"/>
      <c r="L29" s="572"/>
      <c r="M29" s="6"/>
      <c r="N29" s="6"/>
      <c r="O29" s="597">
        <v>720</v>
      </c>
      <c r="P29" s="685"/>
      <c r="Q29" s="620"/>
      <c r="R29" s="620"/>
      <c r="S29" s="635" t="s">
        <v>960</v>
      </c>
      <c r="T29" s="622"/>
      <c r="U29" s="572"/>
      <c r="V29" s="6"/>
      <c r="W29" s="6"/>
      <c r="X29" s="597">
        <v>720</v>
      </c>
      <c r="Y29" s="620"/>
      <c r="Z29" s="619"/>
      <c r="AA29" s="698"/>
      <c r="AB29" s="635" t="s">
        <v>960</v>
      </c>
      <c r="AC29" s="622"/>
      <c r="AD29" s="572"/>
      <c r="AE29" s="6"/>
      <c r="AF29" s="6"/>
      <c r="AG29" s="597">
        <v>720</v>
      </c>
      <c r="AH29" s="685"/>
      <c r="AI29" s="619"/>
      <c r="AJ29" s="620"/>
      <c r="AK29" s="635" t="s">
        <v>960</v>
      </c>
      <c r="AM29" s="572"/>
      <c r="AN29" s="6"/>
      <c r="AO29" s="6"/>
      <c r="AP29" s="597">
        <v>720</v>
      </c>
      <c r="AQ29" s="605"/>
      <c r="AR29" s="619"/>
      <c r="AS29" s="50"/>
      <c r="AT29" s="635" t="s">
        <v>960</v>
      </c>
    </row>
    <row r="30" spans="1:46" ht="39.6" customHeight="1" x14ac:dyDescent="0.25">
      <c r="A30" s="2205"/>
      <c r="B30" s="644">
        <v>2</v>
      </c>
      <c r="C30" s="595"/>
      <c r="D30" s="596"/>
      <c r="E30" s="596"/>
      <c r="F30" s="597">
        <v>720</v>
      </c>
      <c r="G30" s="620"/>
      <c r="H30" s="619"/>
      <c r="I30" s="692"/>
      <c r="J30" s="635" t="s">
        <v>960</v>
      </c>
      <c r="K30" s="622"/>
      <c r="L30" s="572"/>
      <c r="M30" s="6"/>
      <c r="N30" s="6"/>
      <c r="O30" s="597">
        <v>720</v>
      </c>
      <c r="P30" s="685"/>
      <c r="Q30" s="620"/>
      <c r="R30" s="620"/>
      <c r="S30" s="635" t="s">
        <v>960</v>
      </c>
      <c r="T30" s="622"/>
      <c r="U30" s="572"/>
      <c r="V30" s="6"/>
      <c r="W30" s="6"/>
      <c r="X30" s="597">
        <v>720</v>
      </c>
      <c r="Y30" s="620"/>
      <c r="Z30" s="619"/>
      <c r="AA30" s="698"/>
      <c r="AB30" s="635" t="s">
        <v>960</v>
      </c>
      <c r="AC30" s="622"/>
      <c r="AD30" s="572"/>
      <c r="AE30" s="6"/>
      <c r="AF30" s="6"/>
      <c r="AG30" s="597">
        <v>720</v>
      </c>
      <c r="AH30" s="685"/>
      <c r="AI30" s="620"/>
      <c r="AJ30" s="620"/>
      <c r="AK30" s="635" t="s">
        <v>960</v>
      </c>
      <c r="AM30" s="572"/>
      <c r="AN30" s="6"/>
      <c r="AO30" s="6"/>
      <c r="AP30" s="597">
        <v>720</v>
      </c>
      <c r="AQ30" s="1157"/>
      <c r="AR30" s="605"/>
      <c r="AS30" s="828"/>
      <c r="AT30" s="635" t="s">
        <v>960</v>
      </c>
    </row>
    <row r="31" spans="1:46" ht="39.6" customHeight="1" x14ac:dyDescent="0.25">
      <c r="A31" s="2206">
        <v>45550</v>
      </c>
      <c r="B31" s="574">
        <v>1</v>
      </c>
      <c r="C31" s="595"/>
      <c r="D31" s="596"/>
      <c r="E31" s="596"/>
      <c r="F31" s="597">
        <v>720</v>
      </c>
      <c r="G31" s="685"/>
      <c r="H31" s="620"/>
      <c r="I31" s="620"/>
      <c r="J31" s="635" t="s">
        <v>960</v>
      </c>
      <c r="K31" s="622"/>
      <c r="L31" s="572"/>
      <c r="M31" s="6"/>
      <c r="N31" s="6"/>
      <c r="O31" s="597">
        <v>720</v>
      </c>
      <c r="P31" s="614"/>
      <c r="Q31" s="6"/>
      <c r="R31" s="6"/>
      <c r="S31" s="635" t="s">
        <v>960</v>
      </c>
      <c r="T31" s="622"/>
      <c r="U31" s="572"/>
      <c r="V31" s="6"/>
      <c r="W31" s="6"/>
      <c r="X31" s="597">
        <v>720</v>
      </c>
      <c r="Y31" s="1157"/>
      <c r="Z31" s="6"/>
      <c r="AA31" s="698"/>
      <c r="AB31" s="635" t="s">
        <v>960</v>
      </c>
      <c r="AC31" s="622"/>
      <c r="AD31" s="572"/>
      <c r="AE31" s="6"/>
      <c r="AF31" s="6"/>
      <c r="AG31" s="597">
        <v>720</v>
      </c>
      <c r="AH31" s="685"/>
      <c r="AI31" s="6"/>
      <c r="AJ31" s="6"/>
      <c r="AK31" s="635" t="s">
        <v>960</v>
      </c>
      <c r="AM31" s="572"/>
      <c r="AN31" s="6"/>
      <c r="AO31" s="6"/>
      <c r="AP31" s="597">
        <v>720</v>
      </c>
      <c r="AQ31" s="614"/>
      <c r="AR31" s="6"/>
      <c r="AS31" s="6"/>
      <c r="AT31" s="635" t="s">
        <v>960</v>
      </c>
    </row>
    <row r="32" spans="1:46" ht="63" customHeight="1" x14ac:dyDescent="0.25">
      <c r="A32" s="2205"/>
      <c r="B32" s="574">
        <v>2</v>
      </c>
      <c r="C32" s="595"/>
      <c r="D32" s="596"/>
      <c r="E32" s="596"/>
      <c r="F32" s="597">
        <v>720</v>
      </c>
      <c r="G32" s="685"/>
      <c r="H32" s="684"/>
      <c r="I32" s="692"/>
      <c r="J32" s="635" t="s">
        <v>960</v>
      </c>
      <c r="K32" s="622"/>
      <c r="L32" s="572"/>
      <c r="M32" s="6"/>
      <c r="N32" s="6"/>
      <c r="O32" s="597">
        <v>720</v>
      </c>
      <c r="P32" s="614"/>
      <c r="Q32" s="6"/>
      <c r="R32" s="6"/>
      <c r="S32" s="635" t="s">
        <v>960</v>
      </c>
      <c r="T32" s="622"/>
      <c r="U32" s="572"/>
      <c r="V32" s="6"/>
      <c r="W32" s="596"/>
      <c r="X32" s="597">
        <v>720</v>
      </c>
      <c r="Y32" s="685"/>
      <c r="Z32" s="685"/>
      <c r="AA32" s="698"/>
      <c r="AB32" s="635" t="s">
        <v>960</v>
      </c>
      <c r="AC32" s="622"/>
      <c r="AD32" s="572"/>
      <c r="AE32" s="6"/>
      <c r="AF32" s="596"/>
      <c r="AG32" s="597">
        <v>720</v>
      </c>
      <c r="AH32" s="685"/>
      <c r="AI32" s="685"/>
      <c r="AJ32" s="698"/>
      <c r="AK32" s="635" t="s">
        <v>960</v>
      </c>
      <c r="AM32" s="572"/>
      <c r="AN32" s="6"/>
      <c r="AO32" s="6"/>
      <c r="AP32" s="597">
        <v>720</v>
      </c>
      <c r="AQ32" s="614"/>
      <c r="AR32" s="605"/>
      <c r="AS32" s="684"/>
      <c r="AT32" s="635" t="s">
        <v>960</v>
      </c>
    </row>
    <row r="33" spans="1:46" ht="43.15" customHeight="1" x14ac:dyDescent="0.25">
      <c r="A33" s="2206">
        <v>45551</v>
      </c>
      <c r="B33" s="574">
        <v>1</v>
      </c>
      <c r="C33" s="595"/>
      <c r="D33" s="596"/>
      <c r="E33" s="596"/>
      <c r="F33" s="597">
        <v>720</v>
      </c>
      <c r="G33" s="685"/>
      <c r="H33" s="620"/>
      <c r="I33" s="698"/>
      <c r="J33" s="635" t="s">
        <v>960</v>
      </c>
      <c r="K33" s="622"/>
      <c r="L33" s="572"/>
      <c r="M33" s="6"/>
      <c r="N33" s="6"/>
      <c r="O33" s="597">
        <v>720</v>
      </c>
      <c r="P33" s="614"/>
      <c r="Q33" s="6"/>
      <c r="R33" s="6"/>
      <c r="S33" s="635" t="s">
        <v>960</v>
      </c>
      <c r="T33" s="622"/>
      <c r="U33" s="572"/>
      <c r="V33" s="6"/>
      <c r="W33" s="6"/>
      <c r="X33" s="597">
        <v>720</v>
      </c>
      <c r="Y33" s="614"/>
      <c r="Z33" s="6"/>
      <c r="AA33" s="698"/>
      <c r="AB33" s="635" t="s">
        <v>960</v>
      </c>
      <c r="AC33" s="622"/>
      <c r="AD33" s="572"/>
      <c r="AE33" s="6"/>
      <c r="AF33" s="6"/>
      <c r="AG33" s="597">
        <v>720</v>
      </c>
      <c r="AH33" s="614"/>
      <c r="AI33" s="605"/>
      <c r="AJ33" s="698"/>
      <c r="AK33" s="635" t="s">
        <v>960</v>
      </c>
      <c r="AM33" s="572"/>
      <c r="AN33" s="6"/>
      <c r="AO33" s="6"/>
      <c r="AP33" s="597">
        <v>720</v>
      </c>
      <c r="AQ33" s="614"/>
      <c r="AR33" s="605"/>
      <c r="AS33" s="6"/>
      <c r="AT33" s="635" t="s">
        <v>960</v>
      </c>
    </row>
    <row r="34" spans="1:46" ht="67.900000000000006" customHeight="1" x14ac:dyDescent="0.25">
      <c r="A34" s="2205"/>
      <c r="B34" s="644">
        <v>2</v>
      </c>
      <c r="C34" s="596"/>
      <c r="D34" s="596"/>
      <c r="E34" s="596"/>
      <c r="F34" s="597">
        <v>720</v>
      </c>
      <c r="G34" s="684"/>
      <c r="H34" s="620"/>
      <c r="I34" s="698"/>
      <c r="J34" s="635" t="s">
        <v>960</v>
      </c>
      <c r="K34" s="622"/>
      <c r="L34" s="572"/>
      <c r="M34" s="6"/>
      <c r="N34" s="6"/>
      <c r="O34" s="597">
        <v>720</v>
      </c>
      <c r="P34" s="614"/>
      <c r="Q34" s="620"/>
      <c r="R34" s="6"/>
      <c r="S34" s="635" t="s">
        <v>960</v>
      </c>
      <c r="T34" s="622"/>
      <c r="U34" s="572"/>
      <c r="V34" s="6"/>
      <c r="W34" s="6"/>
      <c r="X34" s="597">
        <v>720</v>
      </c>
      <c r="Y34" s="605"/>
      <c r="Z34" s="605"/>
      <c r="AA34" s="698"/>
      <c r="AB34" s="635" t="s">
        <v>960</v>
      </c>
      <c r="AC34" s="622"/>
      <c r="AD34" s="572"/>
      <c r="AE34" s="6"/>
      <c r="AF34" s="6"/>
      <c r="AG34" s="597">
        <v>720</v>
      </c>
      <c r="AH34" s="614"/>
      <c r="AI34" s="6"/>
      <c r="AJ34" s="605"/>
      <c r="AK34" s="635" t="s">
        <v>960</v>
      </c>
      <c r="AM34" s="572"/>
      <c r="AN34" s="6"/>
      <c r="AO34" s="6"/>
      <c r="AP34" s="597">
        <v>720</v>
      </c>
      <c r="AQ34" s="614"/>
      <c r="AR34" s="6"/>
      <c r="AS34" s="828"/>
      <c r="AT34" s="635" t="s">
        <v>960</v>
      </c>
    </row>
    <row r="35" spans="1:46" ht="51" customHeight="1" x14ac:dyDescent="0.25">
      <c r="A35" s="2206">
        <v>45552</v>
      </c>
      <c r="B35" s="574">
        <v>1</v>
      </c>
      <c r="C35" s="596"/>
      <c r="D35" s="596"/>
      <c r="E35" s="50"/>
      <c r="F35" s="597">
        <v>720</v>
      </c>
      <c r="G35" s="567"/>
      <c r="H35" s="614"/>
      <c r="I35" s="692"/>
      <c r="J35" s="635" t="s">
        <v>960</v>
      </c>
      <c r="K35" s="622"/>
      <c r="L35" s="572"/>
      <c r="M35" s="6"/>
      <c r="N35" s="6"/>
      <c r="O35" s="597">
        <v>720</v>
      </c>
      <c r="P35" s="567"/>
      <c r="Q35" s="1161"/>
      <c r="R35" s="620"/>
      <c r="S35" s="635" t="s">
        <v>960</v>
      </c>
      <c r="T35" s="622"/>
      <c r="U35" s="572"/>
      <c r="V35" s="6"/>
      <c r="W35" s="50"/>
      <c r="X35" s="597">
        <v>720</v>
      </c>
      <c r="Y35" s="567"/>
      <c r="Z35" s="605"/>
      <c r="AA35" s="698"/>
      <c r="AB35" s="635" t="s">
        <v>960</v>
      </c>
      <c r="AC35" s="622"/>
      <c r="AD35" s="572"/>
      <c r="AE35" s="6"/>
      <c r="AF35" s="6"/>
      <c r="AG35" s="597">
        <v>720</v>
      </c>
      <c r="AH35" s="567"/>
      <c r="AI35" s="6"/>
      <c r="AJ35" s="684"/>
      <c r="AK35" s="635" t="s">
        <v>960</v>
      </c>
      <c r="AM35" s="572"/>
      <c r="AN35" s="6"/>
      <c r="AO35" s="50"/>
      <c r="AP35" s="597">
        <v>720</v>
      </c>
      <c r="AQ35" s="567"/>
      <c r="AR35" s="692"/>
      <c r="AS35" s="828"/>
      <c r="AT35" s="635" t="s">
        <v>960</v>
      </c>
    </row>
    <row r="36" spans="1:46" ht="46.9" customHeight="1" x14ac:dyDescent="0.25">
      <c r="A36" s="2205"/>
      <c r="B36" s="574">
        <v>2</v>
      </c>
      <c r="C36" s="50"/>
      <c r="D36" s="6"/>
      <c r="E36" s="50"/>
      <c r="F36" s="597">
        <v>720</v>
      </c>
      <c r="G36" s="692"/>
      <c r="H36" s="620"/>
      <c r="I36" s="848"/>
      <c r="J36" s="635" t="s">
        <v>960</v>
      </c>
      <c r="K36" s="622"/>
      <c r="L36" s="567"/>
      <c r="M36" s="6"/>
      <c r="N36" s="6"/>
      <c r="O36" s="597">
        <v>720</v>
      </c>
      <c r="P36" s="567"/>
      <c r="Q36" s="620"/>
      <c r="R36" s="605"/>
      <c r="S36" s="635" t="s">
        <v>960</v>
      </c>
      <c r="T36" s="622"/>
      <c r="U36" s="572"/>
      <c r="V36" s="6"/>
      <c r="W36" s="6"/>
      <c r="X36" s="597">
        <v>720</v>
      </c>
      <c r="Y36" s="567"/>
      <c r="Z36" s="620"/>
      <c r="AA36" s="698"/>
      <c r="AB36" s="635" t="s">
        <v>960</v>
      </c>
      <c r="AC36" s="622"/>
      <c r="AD36" s="572"/>
      <c r="AE36" s="6"/>
      <c r="AF36" s="50"/>
      <c r="AG36" s="597">
        <v>720</v>
      </c>
      <c r="AH36" s="567"/>
      <c r="AI36" s="605"/>
      <c r="AJ36" s="698"/>
      <c r="AK36" s="635" t="s">
        <v>960</v>
      </c>
      <c r="AM36" s="572"/>
      <c r="AN36" s="6"/>
      <c r="AO36" s="572"/>
      <c r="AP36" s="597">
        <v>720</v>
      </c>
      <c r="AQ36" s="614"/>
      <c r="AR36" s="1157"/>
      <c r="AS36" s="567"/>
      <c r="AT36" s="635" t="s">
        <v>960</v>
      </c>
    </row>
    <row r="37" spans="1:46" ht="59.45" customHeight="1" x14ac:dyDescent="0.25">
      <c r="A37" s="2206">
        <v>45553</v>
      </c>
      <c r="B37" s="644">
        <v>1</v>
      </c>
      <c r="C37" s="50"/>
      <c r="D37" s="596"/>
      <c r="E37" s="50"/>
      <c r="F37" s="597">
        <v>720</v>
      </c>
      <c r="G37" s="692"/>
      <c r="H37" s="1157"/>
      <c r="I37" s="848"/>
      <c r="J37" s="635" t="s">
        <v>960</v>
      </c>
      <c r="K37" s="622"/>
      <c r="L37" s="572"/>
      <c r="M37" s="6"/>
      <c r="N37" s="6"/>
      <c r="O37" s="597">
        <v>720</v>
      </c>
      <c r="P37" s="614"/>
      <c r="Q37" s="6"/>
      <c r="R37" s="6"/>
      <c r="S37" s="635" t="s">
        <v>960</v>
      </c>
      <c r="T37" s="622"/>
      <c r="U37" s="572"/>
      <c r="V37" s="6"/>
      <c r="W37" s="6"/>
      <c r="X37" s="597">
        <v>720</v>
      </c>
      <c r="Y37" s="614"/>
      <c r="Z37" s="605"/>
      <c r="AA37" s="698"/>
      <c r="AB37" s="635" t="s">
        <v>960</v>
      </c>
      <c r="AC37" s="622"/>
      <c r="AD37" s="572"/>
      <c r="AE37" s="6"/>
      <c r="AF37" s="6"/>
      <c r="AG37" s="597">
        <v>720</v>
      </c>
      <c r="AH37" s="1157"/>
      <c r="AI37" s="6"/>
      <c r="AJ37" s="698"/>
      <c r="AK37" s="635" t="s">
        <v>960</v>
      </c>
      <c r="AM37" s="572"/>
      <c r="AN37" s="6"/>
      <c r="AO37" s="6"/>
      <c r="AP37" s="597">
        <v>720</v>
      </c>
      <c r="AQ37" s="614"/>
      <c r="AR37" s="6"/>
      <c r="AS37" s="6"/>
      <c r="AT37" s="635" t="s">
        <v>960</v>
      </c>
    </row>
    <row r="38" spans="1:46" ht="55.9" customHeight="1" x14ac:dyDescent="0.25">
      <c r="A38" s="2205"/>
      <c r="B38" s="574">
        <v>2</v>
      </c>
      <c r="C38" s="50"/>
      <c r="D38" s="596"/>
      <c r="E38" s="50"/>
      <c r="F38" s="597">
        <v>720</v>
      </c>
      <c r="G38" s="692"/>
      <c r="H38" s="1157"/>
      <c r="I38" s="848"/>
      <c r="J38" s="635" t="s">
        <v>960</v>
      </c>
      <c r="K38" s="622"/>
      <c r="L38" s="572"/>
      <c r="M38" s="6"/>
      <c r="N38" s="6"/>
      <c r="O38" s="597">
        <v>720</v>
      </c>
      <c r="P38" s="1157"/>
      <c r="Q38" s="1157"/>
      <c r="R38" s="6"/>
      <c r="S38" s="635" t="s">
        <v>960</v>
      </c>
      <c r="T38" s="622"/>
      <c r="U38" s="572"/>
      <c r="V38" s="6"/>
      <c r="W38" s="6"/>
      <c r="X38" s="597">
        <v>720</v>
      </c>
      <c r="Y38" s="1157"/>
      <c r="Z38" s="605"/>
      <c r="AA38" s="698"/>
      <c r="AB38" s="635" t="s">
        <v>960</v>
      </c>
      <c r="AC38" s="622"/>
      <c r="AD38" s="572"/>
      <c r="AE38" s="6"/>
      <c r="AF38" s="6"/>
      <c r="AG38" s="597">
        <v>720</v>
      </c>
      <c r="AH38" s="1157"/>
      <c r="AI38" s="6"/>
      <c r="AJ38" s="698"/>
      <c r="AK38" s="635" t="s">
        <v>960</v>
      </c>
      <c r="AM38" s="572"/>
      <c r="AN38" s="6"/>
      <c r="AO38" s="6"/>
      <c r="AP38" s="597">
        <v>720</v>
      </c>
      <c r="AQ38" s="1157"/>
      <c r="AR38" s="6"/>
      <c r="AS38" s="567"/>
      <c r="AT38" s="635" t="s">
        <v>960</v>
      </c>
    </row>
    <row r="39" spans="1:46" ht="70.900000000000006" customHeight="1" x14ac:dyDescent="0.25">
      <c r="A39" s="2206">
        <v>45554</v>
      </c>
      <c r="B39" s="574">
        <v>1</v>
      </c>
      <c r="C39" s="50"/>
      <c r="D39" s="596"/>
      <c r="E39" s="50"/>
      <c r="F39" s="597">
        <v>720</v>
      </c>
      <c r="G39" s="692"/>
      <c r="H39" s="1157"/>
      <c r="I39" s="848"/>
      <c r="J39" s="635" t="s">
        <v>960</v>
      </c>
      <c r="K39" s="622"/>
      <c r="L39" s="572"/>
      <c r="M39" s="6"/>
      <c r="N39" s="6"/>
      <c r="O39" s="597">
        <v>720</v>
      </c>
      <c r="P39" s="692"/>
      <c r="Q39" s="619"/>
      <c r="R39" s="6"/>
      <c r="S39" s="635" t="s">
        <v>960</v>
      </c>
      <c r="T39" s="622"/>
      <c r="U39" s="572"/>
      <c r="V39" s="6"/>
      <c r="W39" s="6"/>
      <c r="X39" s="597">
        <v>720</v>
      </c>
      <c r="Y39" s="614"/>
      <c r="Z39" s="619"/>
      <c r="AA39" s="698"/>
      <c r="AB39" s="635" t="s">
        <v>960</v>
      </c>
      <c r="AC39" s="622"/>
      <c r="AD39" s="572"/>
      <c r="AE39" s="6"/>
      <c r="AF39" s="6"/>
      <c r="AG39" s="597">
        <v>720</v>
      </c>
      <c r="AH39" s="692"/>
      <c r="AI39" s="619"/>
      <c r="AJ39" s="698"/>
      <c r="AK39" s="635" t="s">
        <v>960</v>
      </c>
      <c r="AM39" s="572"/>
      <c r="AN39" s="6"/>
      <c r="AO39" s="6"/>
      <c r="AP39" s="597">
        <v>720</v>
      </c>
      <c r="AQ39" s="620"/>
      <c r="AR39" s="692"/>
      <c r="AS39" s="698"/>
      <c r="AT39" s="635" t="s">
        <v>960</v>
      </c>
    </row>
    <row r="40" spans="1:46" ht="72.599999999999994" customHeight="1" x14ac:dyDescent="0.25">
      <c r="A40" s="2205"/>
      <c r="B40" s="574">
        <v>2</v>
      </c>
      <c r="C40" s="596"/>
      <c r="D40" s="596"/>
      <c r="E40" s="596"/>
      <c r="F40" s="597">
        <v>720</v>
      </c>
      <c r="G40" s="692"/>
      <c r="H40" s="1157"/>
      <c r="I40" s="1157"/>
      <c r="J40" s="635" t="s">
        <v>960</v>
      </c>
      <c r="K40" s="622"/>
      <c r="L40" s="572"/>
      <c r="M40" s="6"/>
      <c r="N40" s="6"/>
      <c r="O40" s="597">
        <v>720</v>
      </c>
      <c r="P40" s="685"/>
      <c r="Q40" s="619"/>
      <c r="R40" s="692"/>
      <c r="S40" s="635" t="s">
        <v>960</v>
      </c>
      <c r="T40" s="622"/>
      <c r="U40" s="572"/>
      <c r="V40" s="6"/>
      <c r="W40" s="6"/>
      <c r="X40" s="597">
        <v>720</v>
      </c>
      <c r="Y40" s="685"/>
      <c r="Z40" s="619"/>
      <c r="AA40" s="698"/>
      <c r="AB40" s="635" t="s">
        <v>960</v>
      </c>
      <c r="AC40" s="622"/>
      <c r="AD40" s="572"/>
      <c r="AE40" s="6"/>
      <c r="AF40" s="6"/>
      <c r="AG40" s="597">
        <v>720</v>
      </c>
      <c r="AH40" s="567"/>
      <c r="AI40" s="620"/>
      <c r="AJ40" s="698"/>
      <c r="AK40" s="635" t="s">
        <v>960</v>
      </c>
      <c r="AM40" s="567"/>
      <c r="AN40" s="6"/>
      <c r="AO40" s="6"/>
      <c r="AP40" s="597">
        <v>720</v>
      </c>
      <c r="AQ40" s="685"/>
      <c r="AR40" s="619"/>
      <c r="AS40" s="692"/>
      <c r="AT40" s="635" t="s">
        <v>960</v>
      </c>
    </row>
    <row r="41" spans="1:46" ht="39.6" customHeight="1" x14ac:dyDescent="0.25">
      <c r="A41" s="2206">
        <v>45555</v>
      </c>
      <c r="B41" s="574">
        <v>1</v>
      </c>
      <c r="C41" s="595"/>
      <c r="D41" s="596"/>
      <c r="E41" s="596"/>
      <c r="F41" s="597">
        <v>720</v>
      </c>
      <c r="G41" s="685"/>
      <c r="H41" s="620"/>
      <c r="I41" s="620"/>
      <c r="J41" s="635" t="s">
        <v>960</v>
      </c>
      <c r="K41" s="622"/>
      <c r="L41" s="572"/>
      <c r="M41" s="6"/>
      <c r="N41" s="6"/>
      <c r="O41" s="597">
        <v>720</v>
      </c>
      <c r="P41" s="614"/>
      <c r="Q41" s="6"/>
      <c r="R41" s="692"/>
      <c r="S41" s="635" t="s">
        <v>960</v>
      </c>
      <c r="T41" s="622"/>
      <c r="U41" s="572"/>
      <c r="V41" s="6"/>
      <c r="W41" s="6"/>
      <c r="X41" s="597">
        <v>720</v>
      </c>
      <c r="Y41" s="614"/>
      <c r="Z41" s="605"/>
      <c r="AA41" s="698"/>
      <c r="AB41" s="635" t="s">
        <v>960</v>
      </c>
      <c r="AC41" s="622"/>
      <c r="AD41" s="572"/>
      <c r="AE41" s="6"/>
      <c r="AF41" s="6"/>
      <c r="AG41" s="597">
        <v>720</v>
      </c>
      <c r="AH41" s="567"/>
      <c r="AI41" s="605"/>
      <c r="AJ41" s="6"/>
      <c r="AK41" s="635" t="s">
        <v>960</v>
      </c>
      <c r="AM41" s="572"/>
      <c r="AN41" s="6"/>
      <c r="AO41" s="6"/>
      <c r="AP41" s="597">
        <v>720</v>
      </c>
      <c r="AQ41" s="614"/>
      <c r="AR41" s="605"/>
      <c r="AS41" s="692"/>
      <c r="AT41" s="635" t="s">
        <v>960</v>
      </c>
    </row>
    <row r="42" spans="1:46" ht="52.9" customHeight="1" x14ac:dyDescent="0.25">
      <c r="A42" s="2205"/>
      <c r="B42" s="574">
        <v>2</v>
      </c>
      <c r="C42" s="596"/>
      <c r="D42" s="596"/>
      <c r="E42" s="596"/>
      <c r="F42" s="597">
        <v>720</v>
      </c>
      <c r="G42" s="685"/>
      <c r="H42" s="620"/>
      <c r="I42" s="692"/>
      <c r="J42" s="635" t="s">
        <v>960</v>
      </c>
      <c r="K42" s="622"/>
      <c r="L42" s="572"/>
      <c r="M42" s="6"/>
      <c r="N42" s="6"/>
      <c r="O42" s="597">
        <v>720</v>
      </c>
      <c r="P42" s="614"/>
      <c r="Q42" s="605"/>
      <c r="R42" s="6"/>
      <c r="S42" s="635" t="s">
        <v>960</v>
      </c>
      <c r="T42" s="622"/>
      <c r="U42" s="572"/>
      <c r="V42" s="6"/>
      <c r="W42" s="6"/>
      <c r="X42" s="597">
        <v>720</v>
      </c>
      <c r="Y42" s="1157"/>
      <c r="Z42" s="6"/>
      <c r="AA42" s="698"/>
      <c r="AB42" s="635" t="s">
        <v>960</v>
      </c>
      <c r="AC42" s="622"/>
      <c r="AD42" s="572"/>
      <c r="AE42" s="6"/>
      <c r="AF42" s="6"/>
      <c r="AG42" s="597">
        <v>720</v>
      </c>
      <c r="AH42" s="614"/>
      <c r="AI42" s="605"/>
      <c r="AJ42" s="6"/>
      <c r="AK42" s="635" t="s">
        <v>960</v>
      </c>
      <c r="AM42" s="572"/>
      <c r="AN42" s="6"/>
      <c r="AO42" s="6"/>
      <c r="AP42" s="597">
        <v>720</v>
      </c>
      <c r="AQ42" s="614"/>
      <c r="AR42" s="6"/>
      <c r="AS42" s="6"/>
      <c r="AT42" s="635" t="s">
        <v>960</v>
      </c>
    </row>
    <row r="43" spans="1:46" ht="65.45" customHeight="1" x14ac:dyDescent="0.25">
      <c r="A43" s="2206">
        <v>45556</v>
      </c>
      <c r="B43" s="574">
        <v>1</v>
      </c>
      <c r="C43" s="596"/>
      <c r="D43" s="596"/>
      <c r="E43" s="596"/>
      <c r="F43" s="597">
        <v>720</v>
      </c>
      <c r="G43" s="619"/>
      <c r="H43" s="619"/>
      <c r="I43" s="848"/>
      <c r="J43" s="635" t="s">
        <v>960</v>
      </c>
      <c r="K43" s="622"/>
      <c r="L43" s="572"/>
      <c r="M43" s="6"/>
      <c r="N43" s="6"/>
      <c r="O43" s="597">
        <v>720</v>
      </c>
      <c r="P43" s="614"/>
      <c r="Q43" s="6"/>
      <c r="R43" s="6"/>
      <c r="S43" s="635" t="s">
        <v>960</v>
      </c>
      <c r="T43" s="622"/>
      <c r="U43" s="572"/>
      <c r="V43" s="6"/>
      <c r="W43" s="6"/>
      <c r="X43" s="597">
        <v>720</v>
      </c>
      <c r="Y43" s="614"/>
      <c r="Z43" s="6"/>
      <c r="AA43" s="698"/>
      <c r="AB43" s="635" t="s">
        <v>960</v>
      </c>
      <c r="AC43" s="622"/>
      <c r="AD43" s="572"/>
      <c r="AE43" s="6"/>
      <c r="AF43" s="6"/>
      <c r="AG43" s="597">
        <v>720</v>
      </c>
      <c r="AH43" s="605"/>
      <c r="AI43" s="620"/>
      <c r="AJ43" s="6"/>
      <c r="AK43" s="635" t="s">
        <v>960</v>
      </c>
      <c r="AM43" s="572"/>
      <c r="AN43" s="6"/>
      <c r="AO43" s="6"/>
      <c r="AP43" s="597">
        <v>720</v>
      </c>
      <c r="AQ43" s="605"/>
      <c r="AR43" s="620"/>
      <c r="AS43" s="6"/>
      <c r="AT43" s="635" t="s">
        <v>960</v>
      </c>
    </row>
    <row r="44" spans="1:46" ht="69" customHeight="1" x14ac:dyDescent="0.25">
      <c r="A44" s="2205"/>
      <c r="B44" s="574">
        <v>2</v>
      </c>
      <c r="C44" s="596"/>
      <c r="D44" s="596"/>
      <c r="E44" s="596"/>
      <c r="F44" s="597"/>
      <c r="G44" s="619"/>
      <c r="H44" s="1157"/>
      <c r="I44" s="1157"/>
      <c r="J44" s="635"/>
      <c r="K44" s="622"/>
      <c r="L44" s="572"/>
      <c r="M44" s="6"/>
      <c r="N44" s="6"/>
      <c r="O44" s="613"/>
      <c r="P44" s="1157"/>
      <c r="Q44" s="6"/>
      <c r="R44" s="605"/>
      <c r="S44" s="635"/>
      <c r="T44" s="622"/>
      <c r="U44" s="572"/>
      <c r="V44" s="6"/>
      <c r="W44" s="596"/>
      <c r="X44" s="597"/>
      <c r="Y44" s="619"/>
      <c r="Z44" s="620"/>
      <c r="AA44" s="698"/>
      <c r="AB44" s="635"/>
      <c r="AC44" s="622"/>
      <c r="AD44" s="572"/>
      <c r="AE44" s="6"/>
      <c r="AF44" s="6"/>
      <c r="AG44" s="613"/>
      <c r="AH44" s="614"/>
      <c r="AI44" s="605"/>
      <c r="AJ44" s="698"/>
      <c r="AK44" s="635"/>
      <c r="AM44" s="572"/>
      <c r="AN44" s="6"/>
      <c r="AO44" s="6"/>
      <c r="AP44" s="613"/>
      <c r="AQ44" s="614"/>
      <c r="AR44" s="605"/>
      <c r="AS44" s="605"/>
      <c r="AT44" s="635"/>
    </row>
    <row r="45" spans="1:46" ht="69" customHeight="1" x14ac:dyDescent="0.25">
      <c r="A45" s="2206">
        <v>45557</v>
      </c>
      <c r="B45" s="574">
        <v>1</v>
      </c>
      <c r="C45" s="596"/>
      <c r="D45" s="596"/>
      <c r="E45" s="596">
        <v>16</v>
      </c>
      <c r="F45" s="597">
        <v>46</v>
      </c>
      <c r="G45" s="619"/>
      <c r="H45" s="619"/>
      <c r="I45" s="692" t="s">
        <v>152</v>
      </c>
      <c r="J45" s="635" t="s">
        <v>960</v>
      </c>
      <c r="K45" s="622"/>
      <c r="L45" s="572"/>
      <c r="M45" s="6"/>
      <c r="N45" s="6"/>
      <c r="O45" s="613">
        <v>87</v>
      </c>
      <c r="P45" s="614"/>
      <c r="Q45" s="605"/>
      <c r="R45" s="6"/>
      <c r="S45" s="635" t="s">
        <v>960</v>
      </c>
      <c r="T45" s="622"/>
      <c r="U45" s="572">
        <v>30</v>
      </c>
      <c r="V45" s="605"/>
      <c r="W45" s="6"/>
      <c r="X45" s="597">
        <v>89</v>
      </c>
      <c r="Y45" s="614" t="s">
        <v>166</v>
      </c>
      <c r="Z45" s="605"/>
      <c r="AA45" s="605"/>
      <c r="AB45" s="635" t="s">
        <v>960</v>
      </c>
      <c r="AC45" s="622"/>
      <c r="AD45" s="572"/>
      <c r="AE45" s="6"/>
      <c r="AF45" s="6"/>
      <c r="AG45" s="613">
        <v>115</v>
      </c>
      <c r="AH45" s="614"/>
      <c r="AI45" s="605"/>
      <c r="AJ45" s="605"/>
      <c r="AK45" s="635" t="s">
        <v>960</v>
      </c>
      <c r="AM45" s="572"/>
      <c r="AN45" s="6"/>
      <c r="AO45" s="6">
        <v>13</v>
      </c>
      <c r="AP45" s="613">
        <v>78</v>
      </c>
      <c r="AQ45" s="614"/>
      <c r="AR45" s="605"/>
      <c r="AS45" s="6" t="s">
        <v>964</v>
      </c>
      <c r="AT45" s="635" t="s">
        <v>963</v>
      </c>
    </row>
    <row r="46" spans="1:46" ht="48.6" customHeight="1" x14ac:dyDescent="0.25">
      <c r="A46" s="2205"/>
      <c r="B46" s="574">
        <v>2</v>
      </c>
      <c r="C46" s="596"/>
      <c r="D46" s="596"/>
      <c r="E46" s="596">
        <v>10</v>
      </c>
      <c r="F46" s="597"/>
      <c r="G46" s="619"/>
      <c r="H46" s="619"/>
      <c r="I46" s="605" t="s">
        <v>965</v>
      </c>
      <c r="J46" s="635"/>
      <c r="K46" s="622"/>
      <c r="L46" s="572"/>
      <c r="M46" s="6"/>
      <c r="N46" s="6"/>
      <c r="O46" s="785"/>
      <c r="P46" s="614"/>
      <c r="Q46" s="620"/>
      <c r="R46" s="605"/>
      <c r="S46" s="635"/>
      <c r="T46" s="622"/>
      <c r="U46" s="572"/>
      <c r="V46" s="6"/>
      <c r="W46" s="6">
        <v>10</v>
      </c>
      <c r="X46" s="613"/>
      <c r="Y46" s="6"/>
      <c r="Z46" s="6"/>
      <c r="AA46" s="605" t="s">
        <v>965</v>
      </c>
      <c r="AB46" s="635"/>
      <c r="AC46" s="622"/>
      <c r="AD46" s="572"/>
      <c r="AE46" s="6"/>
      <c r="AF46" s="6"/>
      <c r="AG46" s="613"/>
      <c r="AH46" s="1157"/>
      <c r="AI46" s="605"/>
      <c r="AJ46" s="698"/>
      <c r="AK46" s="635"/>
      <c r="AM46" s="572"/>
      <c r="AN46" s="6"/>
      <c r="AO46" s="6">
        <v>15</v>
      </c>
      <c r="AP46" s="613"/>
      <c r="AQ46" s="614"/>
      <c r="AR46" s="620"/>
      <c r="AS46" s="605" t="s">
        <v>965</v>
      </c>
      <c r="AT46" s="635"/>
    </row>
    <row r="47" spans="1:46" ht="58.9" customHeight="1" x14ac:dyDescent="0.25">
      <c r="A47" s="2206">
        <v>45558</v>
      </c>
      <c r="B47" s="574">
        <v>1</v>
      </c>
      <c r="C47" s="596"/>
      <c r="D47" s="596"/>
      <c r="E47" s="596">
        <v>12</v>
      </c>
      <c r="F47" s="597"/>
      <c r="G47" s="619"/>
      <c r="H47" s="620"/>
      <c r="I47" s="692" t="s">
        <v>152</v>
      </c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/>
      <c r="X47" s="613"/>
      <c r="Y47" s="619"/>
      <c r="Z47" s="605"/>
      <c r="AA47" s="605"/>
      <c r="AB47" s="635"/>
      <c r="AC47" s="622"/>
      <c r="AD47" s="572">
        <v>678</v>
      </c>
      <c r="AE47" s="6"/>
      <c r="AF47" s="6"/>
      <c r="AG47" s="613"/>
      <c r="AH47" s="1166" t="s">
        <v>968</v>
      </c>
      <c r="AI47" s="620"/>
      <c r="AJ47" s="698"/>
      <c r="AK47" s="613"/>
      <c r="AM47" s="572"/>
      <c r="AN47" s="6"/>
      <c r="AO47" s="6"/>
      <c r="AP47" s="613"/>
      <c r="AQ47" s="614"/>
      <c r="AR47" s="620"/>
      <c r="AS47" s="6"/>
      <c r="AT47" s="613"/>
    </row>
    <row r="48" spans="1:46" ht="34.9" customHeight="1" x14ac:dyDescent="0.25">
      <c r="A48" s="2205"/>
      <c r="B48" s="574">
        <v>2</v>
      </c>
      <c r="C48" s="596"/>
      <c r="D48" s="596"/>
      <c r="E48" s="596">
        <v>66</v>
      </c>
      <c r="F48" s="597"/>
      <c r="G48" s="620"/>
      <c r="H48" s="620"/>
      <c r="I48" s="692" t="s">
        <v>966</v>
      </c>
      <c r="J48" s="635"/>
      <c r="K48" s="622"/>
      <c r="L48" s="572"/>
      <c r="M48" s="6"/>
      <c r="N48" s="6"/>
      <c r="O48" s="597"/>
      <c r="P48" s="620"/>
      <c r="Q48" s="620"/>
      <c r="R48" s="692"/>
      <c r="S48" s="635"/>
      <c r="T48" s="622"/>
      <c r="U48" s="572"/>
      <c r="V48" s="6"/>
      <c r="W48" s="6"/>
      <c r="X48" s="597"/>
      <c r="Y48" s="620"/>
      <c r="Z48" s="620"/>
      <c r="AA48" s="692"/>
      <c r="AB48" s="635"/>
      <c r="AC48" s="622"/>
      <c r="AD48" s="572">
        <v>720</v>
      </c>
      <c r="AE48" s="6"/>
      <c r="AF48" s="6"/>
      <c r="AG48" s="597"/>
      <c r="AH48" s="1166" t="s">
        <v>968</v>
      </c>
      <c r="AI48" s="620"/>
      <c r="AJ48" s="692"/>
      <c r="AK48" s="635"/>
      <c r="AM48" s="572"/>
      <c r="AN48" s="6"/>
      <c r="AO48" s="572">
        <v>10</v>
      </c>
      <c r="AP48" s="6"/>
      <c r="AQ48" s="597"/>
      <c r="AR48" s="620"/>
      <c r="AS48" s="605" t="s">
        <v>325</v>
      </c>
      <c r="AT48" s="613"/>
    </row>
    <row r="49" spans="1:46" ht="43.15" customHeight="1" x14ac:dyDescent="0.25">
      <c r="A49" s="2206">
        <v>45559</v>
      </c>
      <c r="B49" s="574">
        <v>1</v>
      </c>
      <c r="C49" s="596"/>
      <c r="D49" s="596"/>
      <c r="E49" s="596"/>
      <c r="F49" s="597"/>
      <c r="G49" s="620"/>
      <c r="H49" s="619"/>
      <c r="I49" s="692"/>
      <c r="J49" s="635"/>
      <c r="K49" s="622"/>
      <c r="L49" s="572"/>
      <c r="M49" s="6"/>
      <c r="N49" s="6"/>
      <c r="O49" s="597"/>
      <c r="P49" s="620"/>
      <c r="Q49" s="619"/>
      <c r="R49" s="692"/>
      <c r="S49" s="635"/>
      <c r="T49" s="622"/>
      <c r="U49" s="572"/>
      <c r="V49" s="6">
        <v>60</v>
      </c>
      <c r="W49" s="6"/>
      <c r="X49" s="597"/>
      <c r="Y49" s="620"/>
      <c r="Z49" s="605" t="s">
        <v>967</v>
      </c>
      <c r="AA49" s="605"/>
      <c r="AB49" s="635"/>
      <c r="AC49" s="622"/>
      <c r="AD49" s="572">
        <v>720</v>
      </c>
      <c r="AE49" s="6"/>
      <c r="AF49" s="6"/>
      <c r="AG49" s="597"/>
      <c r="AH49" s="1166" t="s">
        <v>968</v>
      </c>
      <c r="AI49" s="619"/>
      <c r="AJ49" s="692"/>
      <c r="AK49" s="635"/>
      <c r="AM49" s="572"/>
      <c r="AN49" s="6"/>
      <c r="AO49" s="6">
        <v>17</v>
      </c>
      <c r="AP49" s="620"/>
      <c r="AQ49" s="619"/>
      <c r="AR49" s="692"/>
      <c r="AS49" s="635" t="s">
        <v>152</v>
      </c>
      <c r="AT49" s="635"/>
    </row>
    <row r="50" spans="1:46" ht="51.6" customHeight="1" x14ac:dyDescent="0.25">
      <c r="A50" s="2205"/>
      <c r="B50" s="574">
        <v>2</v>
      </c>
      <c r="C50" s="596"/>
      <c r="D50" s="596"/>
      <c r="E50" s="596">
        <v>40</v>
      </c>
      <c r="F50" s="597"/>
      <c r="G50" s="619"/>
      <c r="H50" s="619"/>
      <c r="I50" s="692" t="s">
        <v>152</v>
      </c>
      <c r="J50" s="635"/>
      <c r="K50" s="622"/>
      <c r="L50" s="572"/>
      <c r="M50" s="6"/>
      <c r="N50" s="6"/>
      <c r="O50" s="597"/>
      <c r="P50" s="619"/>
      <c r="Q50" s="619"/>
      <c r="R50" s="692"/>
      <c r="S50" s="635"/>
      <c r="T50" s="622"/>
      <c r="U50" s="572"/>
      <c r="V50" s="6">
        <v>22</v>
      </c>
      <c r="W50" s="6"/>
      <c r="X50" s="597"/>
      <c r="Y50" s="619"/>
      <c r="Z50" s="619" t="s">
        <v>394</v>
      </c>
      <c r="AA50" s="698"/>
      <c r="AB50" s="635"/>
      <c r="AC50" s="622"/>
      <c r="AD50" s="572">
        <v>204</v>
      </c>
      <c r="AE50" s="6"/>
      <c r="AF50" s="6"/>
      <c r="AG50" s="597"/>
      <c r="AH50" s="1166" t="s">
        <v>968</v>
      </c>
      <c r="AI50" s="619"/>
      <c r="AJ50" s="692"/>
      <c r="AK50" s="635"/>
      <c r="AM50" s="572"/>
      <c r="AN50" s="6"/>
      <c r="AO50" s="6">
        <v>161</v>
      </c>
      <c r="AP50" s="619"/>
      <c r="AQ50" s="619"/>
      <c r="AR50" s="692"/>
      <c r="AS50" s="635" t="s">
        <v>152</v>
      </c>
      <c r="AT50" s="635"/>
    </row>
    <row r="51" spans="1:46" ht="34.9" customHeight="1" x14ac:dyDescent="0.25">
      <c r="A51" s="2206">
        <v>45560</v>
      </c>
      <c r="B51" s="574">
        <v>1</v>
      </c>
      <c r="C51" s="596"/>
      <c r="D51" s="596"/>
      <c r="E51" s="596"/>
      <c r="F51" s="597"/>
      <c r="G51" s="619"/>
      <c r="H51" s="619"/>
      <c r="I51" s="692"/>
      <c r="J51" s="635"/>
      <c r="K51" s="622"/>
      <c r="L51" s="572"/>
      <c r="M51" s="6"/>
      <c r="N51" s="6"/>
      <c r="O51" s="597"/>
      <c r="P51" s="619"/>
      <c r="Q51" s="619"/>
      <c r="R51" s="692"/>
      <c r="S51" s="635"/>
      <c r="T51" s="622"/>
      <c r="U51" s="572"/>
      <c r="V51" s="6"/>
      <c r="W51" s="6"/>
      <c r="X51" s="597"/>
      <c r="Y51" s="619"/>
      <c r="Z51" s="619"/>
      <c r="AA51" s="698"/>
      <c r="AB51" s="635"/>
      <c r="AC51" s="622"/>
      <c r="AD51" s="572"/>
      <c r="AE51" s="6"/>
      <c r="AF51" s="6"/>
      <c r="AG51" s="597"/>
      <c r="AH51" s="619"/>
      <c r="AI51" s="619"/>
      <c r="AJ51" s="692"/>
      <c r="AK51" s="635"/>
      <c r="AM51" s="572"/>
      <c r="AN51" s="6"/>
      <c r="AO51" s="6">
        <v>80</v>
      </c>
      <c r="AP51" s="619"/>
      <c r="AQ51" s="619"/>
      <c r="AR51" s="692"/>
      <c r="AS51" s="635" t="s">
        <v>152</v>
      </c>
      <c r="AT51" s="635"/>
    </row>
    <row r="52" spans="1:46" ht="49.15" customHeight="1" x14ac:dyDescent="0.25">
      <c r="A52" s="2205"/>
      <c r="B52" s="574">
        <v>2</v>
      </c>
      <c r="C52" s="596"/>
      <c r="D52" s="596"/>
      <c r="E52" s="596">
        <v>15</v>
      </c>
      <c r="F52" s="597"/>
      <c r="G52" s="620"/>
      <c r="H52" s="620"/>
      <c r="I52" s="692" t="s">
        <v>152</v>
      </c>
      <c r="J52" s="635"/>
      <c r="K52" s="622"/>
      <c r="L52" s="572"/>
      <c r="M52" s="6"/>
      <c r="N52" s="6"/>
      <c r="O52" s="597"/>
      <c r="P52" s="620"/>
      <c r="Q52" s="620"/>
      <c r="R52" s="692"/>
      <c r="S52" s="635"/>
      <c r="T52" s="622"/>
      <c r="U52" s="572"/>
      <c r="V52" s="6">
        <v>14</v>
      </c>
      <c r="W52" s="6"/>
      <c r="X52" s="597"/>
      <c r="Y52" s="620"/>
      <c r="Z52" s="620" t="s">
        <v>317</v>
      </c>
      <c r="AA52" s="698"/>
      <c r="AB52" s="635"/>
      <c r="AC52" s="622"/>
      <c r="AD52" s="572"/>
      <c r="AE52" s="6"/>
      <c r="AF52" s="6"/>
      <c r="AG52" s="597"/>
      <c r="AH52" s="620"/>
      <c r="AI52" s="620"/>
      <c r="AJ52" s="692"/>
      <c r="AK52" s="635"/>
      <c r="AM52" s="572"/>
      <c r="AN52" s="613"/>
      <c r="AO52" s="613"/>
      <c r="AP52" s="613"/>
      <c r="AQ52" s="614"/>
      <c r="AR52" s="6"/>
      <c r="AS52" s="635"/>
      <c r="AT52" s="635"/>
    </row>
    <row r="53" spans="1:46" ht="48" customHeight="1" x14ac:dyDescent="0.25">
      <c r="A53" s="2206">
        <v>45561</v>
      </c>
      <c r="B53" s="574">
        <v>1</v>
      </c>
      <c r="C53" s="596"/>
      <c r="D53" s="596"/>
      <c r="E53" s="596"/>
      <c r="F53" s="597"/>
      <c r="G53" s="619"/>
      <c r="H53" s="619"/>
      <c r="I53" s="848"/>
      <c r="J53" s="635"/>
      <c r="K53" s="622"/>
      <c r="L53" s="572"/>
      <c r="M53" s="6"/>
      <c r="N53" s="6"/>
      <c r="O53" s="613"/>
      <c r="P53" s="1157"/>
      <c r="Q53" s="620"/>
      <c r="R53" s="6"/>
      <c r="S53" s="635"/>
      <c r="T53" s="622"/>
      <c r="U53" s="572"/>
      <c r="V53" s="6"/>
      <c r="W53" s="6"/>
      <c r="X53" s="613"/>
      <c r="Y53" s="1157"/>
      <c r="Z53" s="6"/>
      <c r="AA53" s="605"/>
      <c r="AB53" s="613"/>
      <c r="AC53" s="622"/>
      <c r="AD53" s="572"/>
      <c r="AE53" s="605"/>
      <c r="AF53" s="6"/>
      <c r="AG53" s="613"/>
      <c r="AH53" s="614"/>
      <c r="AI53" s="6"/>
      <c r="AJ53" s="605"/>
      <c r="AK53" s="613"/>
      <c r="AM53" s="572"/>
      <c r="AN53" s="605"/>
      <c r="AO53" s="6"/>
      <c r="AP53" s="613"/>
      <c r="AQ53" s="1157"/>
      <c r="AR53" s="6"/>
      <c r="AS53" s="6"/>
      <c r="AT53" s="613"/>
    </row>
    <row r="54" spans="1:46" ht="45.6" customHeight="1" x14ac:dyDescent="0.25">
      <c r="A54" s="2205"/>
      <c r="B54" s="1152">
        <v>2</v>
      </c>
      <c r="C54" s="596"/>
      <c r="D54" s="596"/>
      <c r="E54" s="596"/>
      <c r="F54" s="597"/>
      <c r="G54" s="619"/>
      <c r="H54" s="620"/>
      <c r="I54" s="692"/>
      <c r="J54" s="635"/>
      <c r="K54" s="622"/>
      <c r="L54" s="572"/>
      <c r="M54" s="6"/>
      <c r="N54" s="6"/>
      <c r="O54" s="597"/>
      <c r="P54" s="619"/>
      <c r="Q54" s="620"/>
      <c r="R54" s="619"/>
      <c r="S54" s="635"/>
      <c r="T54" s="622"/>
      <c r="U54" s="572"/>
      <c r="V54" s="6"/>
      <c r="W54" s="6"/>
      <c r="X54" s="597"/>
      <c r="Y54" s="620"/>
      <c r="Z54" s="620"/>
      <c r="AA54" s="620"/>
      <c r="AB54" s="635"/>
      <c r="AC54" s="622"/>
      <c r="AD54" s="572"/>
      <c r="AE54" s="6"/>
      <c r="AF54" s="6"/>
      <c r="AG54" s="613"/>
      <c r="AH54" s="614"/>
      <c r="AI54" s="620"/>
      <c r="AJ54" s="6"/>
      <c r="AK54" s="635"/>
      <c r="AM54" s="572"/>
      <c r="AN54" s="6"/>
      <c r="AO54" s="6">
        <v>11</v>
      </c>
      <c r="AP54" s="597"/>
      <c r="AQ54" s="1157"/>
      <c r="AR54" s="620"/>
      <c r="AS54" s="635" t="s">
        <v>152</v>
      </c>
      <c r="AT54" s="635"/>
    </row>
    <row r="55" spans="1:46" ht="39.6" customHeight="1" x14ac:dyDescent="0.25">
      <c r="A55" s="2206">
        <v>45562</v>
      </c>
      <c r="B55" s="574">
        <v>1</v>
      </c>
      <c r="C55" s="595"/>
      <c r="D55" s="596"/>
      <c r="E55" s="596"/>
      <c r="F55" s="597"/>
      <c r="G55" s="619"/>
      <c r="H55" s="619"/>
      <c r="I55" s="848"/>
      <c r="J55" s="613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/>
      <c r="X55" s="613"/>
      <c r="Y55" s="614"/>
      <c r="Z55" s="619"/>
      <c r="AA55" s="698"/>
      <c r="AB55" s="613"/>
      <c r="AC55" s="622"/>
      <c r="AD55" s="572"/>
      <c r="AE55" s="6"/>
      <c r="AF55" s="6"/>
      <c r="AG55" s="613"/>
      <c r="AH55" s="614"/>
      <c r="AI55" s="620"/>
      <c r="AJ55" s="605"/>
      <c r="AK55" s="613"/>
      <c r="AM55" s="572"/>
      <c r="AN55" s="6"/>
      <c r="AO55" s="6">
        <v>60</v>
      </c>
      <c r="AP55" s="613"/>
      <c r="AQ55" s="614"/>
      <c r="AR55" s="605"/>
      <c r="AS55" s="635" t="s">
        <v>152</v>
      </c>
      <c r="AT55" s="613"/>
    </row>
    <row r="56" spans="1:46" ht="94.15" customHeight="1" x14ac:dyDescent="0.25">
      <c r="A56" s="2205"/>
      <c r="B56" s="1152">
        <v>2</v>
      </c>
      <c r="C56" s="595"/>
      <c r="D56" s="596"/>
      <c r="E56" s="596"/>
      <c r="F56" s="597"/>
      <c r="G56" s="620"/>
      <c r="H56" s="620"/>
      <c r="I56" s="848"/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/>
      <c r="V56" s="6">
        <v>14</v>
      </c>
      <c r="W56" s="6"/>
      <c r="X56" s="597"/>
      <c r="Y56" s="1157"/>
      <c r="Z56" s="619" t="s">
        <v>394</v>
      </c>
      <c r="AA56" s="605"/>
      <c r="AB56" s="635"/>
      <c r="AC56" s="622"/>
      <c r="AD56" s="572"/>
      <c r="AE56" s="6"/>
      <c r="AF56" s="6"/>
      <c r="AG56" s="597"/>
      <c r="AH56" s="620"/>
      <c r="AI56" s="619"/>
      <c r="AJ56" s="620"/>
      <c r="AK56" s="635"/>
      <c r="AM56" s="572"/>
      <c r="AN56" s="6"/>
      <c r="AO56" s="6"/>
      <c r="AP56" s="597"/>
      <c r="AQ56" s="620"/>
      <c r="AR56" s="605"/>
      <c r="AS56" s="6"/>
      <c r="AT56" s="635"/>
    </row>
    <row r="57" spans="1:46" ht="52.15" customHeight="1" x14ac:dyDescent="0.25">
      <c r="A57" s="2206">
        <v>45563</v>
      </c>
      <c r="B57" s="574">
        <v>1</v>
      </c>
      <c r="C57" s="595"/>
      <c r="D57" s="596"/>
      <c r="E57" s="596"/>
      <c r="F57" s="597"/>
      <c r="G57" s="620"/>
      <c r="H57" s="620"/>
      <c r="I57" s="692"/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/>
      <c r="X57" s="597"/>
      <c r="Y57" s="620"/>
      <c r="Z57" s="619"/>
      <c r="AA57" s="605"/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/>
      <c r="AP57" s="597"/>
      <c r="AQ57" s="620"/>
      <c r="AR57" s="619"/>
      <c r="AS57" s="6"/>
      <c r="AT57" s="635"/>
    </row>
    <row r="58" spans="1:46" ht="78" customHeight="1" x14ac:dyDescent="0.25">
      <c r="A58" s="2205"/>
      <c r="B58" s="1152">
        <v>2</v>
      </c>
      <c r="C58" s="595"/>
      <c r="D58" s="596"/>
      <c r="E58" s="596">
        <v>60</v>
      </c>
      <c r="F58" s="597"/>
      <c r="G58" s="620"/>
      <c r="H58" s="620"/>
      <c r="I58" s="848" t="s">
        <v>152</v>
      </c>
      <c r="J58" s="635"/>
      <c r="K58" s="622"/>
      <c r="L58" s="572"/>
      <c r="M58" s="6"/>
      <c r="N58" s="6"/>
      <c r="O58" s="597"/>
      <c r="P58" s="620"/>
      <c r="Q58" s="619"/>
      <c r="R58" s="620"/>
      <c r="S58" s="635"/>
      <c r="T58" s="622"/>
      <c r="U58" s="572"/>
      <c r="V58" s="6"/>
      <c r="W58" s="6"/>
      <c r="X58" s="597"/>
      <c r="Y58" s="620"/>
      <c r="Z58" s="619"/>
      <c r="AA58" s="605"/>
      <c r="AB58" s="635"/>
      <c r="AC58" s="622"/>
      <c r="AD58" s="572"/>
      <c r="AE58" s="6"/>
      <c r="AF58" s="6"/>
      <c r="AG58" s="597"/>
      <c r="AH58" s="620"/>
      <c r="AI58" s="619"/>
      <c r="AJ58" s="6"/>
      <c r="AK58" s="635"/>
      <c r="AM58" s="572"/>
      <c r="AN58" s="6"/>
      <c r="AO58" s="6"/>
      <c r="AP58" s="597"/>
      <c r="AQ58" s="620"/>
      <c r="AR58" s="619"/>
      <c r="AS58" s="6"/>
      <c r="AT58" s="635"/>
    </row>
    <row r="59" spans="1:46" ht="73.150000000000006" customHeight="1" x14ac:dyDescent="0.25">
      <c r="A59" s="2206">
        <v>45564</v>
      </c>
      <c r="B59" s="574">
        <v>1</v>
      </c>
      <c r="C59" s="595"/>
      <c r="D59" s="596"/>
      <c r="E59" s="596"/>
      <c r="F59" s="597"/>
      <c r="G59" s="620"/>
      <c r="H59" s="619"/>
      <c r="I59" s="848"/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/>
      <c r="X59" s="613"/>
      <c r="Y59" s="614"/>
      <c r="Z59" s="619"/>
      <c r="AA59" s="698"/>
      <c r="AB59" s="635"/>
      <c r="AC59" s="622"/>
      <c r="AD59" s="572"/>
      <c r="AE59" s="6"/>
      <c r="AF59" s="6"/>
      <c r="AG59" s="613"/>
      <c r="AH59" s="1157"/>
      <c r="AI59" s="6"/>
      <c r="AJ59" s="620"/>
      <c r="AK59" s="635"/>
      <c r="AM59" s="572"/>
      <c r="AN59" s="6"/>
      <c r="AO59" s="6"/>
      <c r="AP59" s="613"/>
      <c r="AQ59" s="1157"/>
      <c r="AR59" s="6"/>
      <c r="AS59" s="620"/>
      <c r="AT59" s="635"/>
    </row>
    <row r="60" spans="1:46" ht="36" customHeight="1" x14ac:dyDescent="0.25">
      <c r="A60" s="2205"/>
      <c r="B60" s="1152">
        <v>2</v>
      </c>
      <c r="C60" s="595"/>
      <c r="D60" s="596"/>
      <c r="E60" s="596"/>
      <c r="F60" s="597"/>
      <c r="G60" s="619"/>
      <c r="H60" s="620"/>
      <c r="I60" s="848"/>
      <c r="J60" s="635"/>
      <c r="K60" s="622"/>
      <c r="L60" s="572"/>
      <c r="M60" s="6"/>
      <c r="N60" s="6"/>
      <c r="O60" s="613"/>
      <c r="P60" s="614"/>
      <c r="Q60" s="620"/>
      <c r="R60" s="6"/>
      <c r="S60" s="635"/>
      <c r="T60" s="622"/>
      <c r="U60" s="572"/>
      <c r="V60" s="6"/>
      <c r="W60" s="6"/>
      <c r="X60" s="613"/>
      <c r="Y60" s="1157"/>
      <c r="Z60" s="620"/>
      <c r="AA60" s="605"/>
      <c r="AB60" s="635"/>
      <c r="AC60" s="622"/>
      <c r="AD60" s="572"/>
      <c r="AE60" s="6"/>
      <c r="AF60" s="6"/>
      <c r="AG60" s="613"/>
      <c r="AH60" s="614"/>
      <c r="AI60" s="620"/>
      <c r="AJ60" s="605"/>
      <c r="AK60" s="635"/>
      <c r="AM60" s="572"/>
      <c r="AN60" s="6"/>
      <c r="AO60" s="6"/>
      <c r="AP60" s="613"/>
      <c r="AQ60" s="614"/>
      <c r="AR60" s="620"/>
      <c r="AS60" s="6"/>
      <c r="AT60" s="635"/>
    </row>
    <row r="61" spans="1:46" ht="32.450000000000003" customHeight="1" x14ac:dyDescent="0.25">
      <c r="A61" s="2206">
        <v>45565</v>
      </c>
      <c r="B61" s="574">
        <v>1</v>
      </c>
      <c r="C61" s="1160"/>
      <c r="D61" s="1162">
        <v>322</v>
      </c>
      <c r="E61" s="596"/>
      <c r="F61" s="749"/>
      <c r="G61" s="619"/>
      <c r="H61" s="1167" t="s">
        <v>366</v>
      </c>
      <c r="I61" s="692"/>
      <c r="J61" s="687"/>
      <c r="K61" s="622"/>
      <c r="L61" s="572"/>
      <c r="M61" s="6"/>
      <c r="N61" s="6"/>
      <c r="O61" s="613"/>
      <c r="P61" s="752"/>
      <c r="Q61" s="1158"/>
      <c r="R61" s="1158"/>
      <c r="S61" s="753"/>
      <c r="T61" s="622"/>
      <c r="U61" s="572"/>
      <c r="V61" s="6"/>
      <c r="W61" s="6"/>
      <c r="X61" s="613"/>
      <c r="Y61" s="1157"/>
      <c r="Z61" s="605"/>
      <c r="AA61" s="605"/>
      <c r="AB61" s="753"/>
      <c r="AC61" s="622"/>
      <c r="AD61" s="572"/>
      <c r="AE61" s="6"/>
      <c r="AF61" s="6"/>
      <c r="AG61" s="613"/>
      <c r="AH61" s="614"/>
      <c r="AI61" s="605"/>
      <c r="AJ61" s="605"/>
      <c r="AK61" s="753"/>
      <c r="AM61" s="572"/>
      <c r="AN61" s="6"/>
      <c r="AO61" s="6"/>
      <c r="AP61" s="613"/>
      <c r="AQ61" s="1157"/>
      <c r="AR61" s="6"/>
      <c r="AS61" s="6"/>
      <c r="AT61" s="753"/>
    </row>
    <row r="62" spans="1:46" ht="62.45" customHeight="1" x14ac:dyDescent="0.25">
      <c r="A62" s="2205"/>
      <c r="B62" s="1152">
        <v>2</v>
      </c>
      <c r="C62" s="1160"/>
      <c r="D62" s="1162">
        <v>207</v>
      </c>
      <c r="E62" s="1162"/>
      <c r="F62" s="749"/>
      <c r="G62" s="1154"/>
      <c r="H62" s="1167" t="s">
        <v>969</v>
      </c>
      <c r="I62" s="848"/>
      <c r="J62" s="687"/>
      <c r="K62" s="622"/>
      <c r="L62" s="572"/>
      <c r="M62" s="6"/>
      <c r="N62" s="6"/>
      <c r="O62" s="613"/>
      <c r="P62" s="752"/>
      <c r="Q62" s="1103"/>
      <c r="R62" s="1158"/>
      <c r="S62" s="753"/>
      <c r="T62" s="622"/>
      <c r="U62" s="572"/>
      <c r="V62" s="6"/>
      <c r="W62" s="6"/>
      <c r="X62" s="613"/>
      <c r="Y62" s="1157"/>
      <c r="Z62" s="605"/>
      <c r="AA62" s="698"/>
      <c r="AB62" s="753"/>
      <c r="AC62" s="622"/>
      <c r="AD62" s="572"/>
      <c r="AE62" s="6"/>
      <c r="AF62" s="6"/>
      <c r="AG62" s="613"/>
      <c r="AH62" s="2232"/>
      <c r="AI62" s="2233"/>
      <c r="AJ62" s="2234"/>
      <c r="AK62" s="753"/>
      <c r="AM62" s="572"/>
      <c r="AN62" s="6"/>
      <c r="AO62" s="6">
        <v>20</v>
      </c>
      <c r="AP62" s="613"/>
      <c r="AQ62" s="614"/>
      <c r="AR62" s="6"/>
      <c r="AS62" s="605" t="s">
        <v>508</v>
      </c>
      <c r="AT62" s="753"/>
    </row>
    <row r="63" spans="1:46" ht="64.150000000000006" customHeight="1" x14ac:dyDescent="0.25">
      <c r="A63" s="2206"/>
      <c r="B63" s="574">
        <v>1</v>
      </c>
      <c r="C63" s="706"/>
      <c r="D63" s="707"/>
      <c r="E63" s="707"/>
      <c r="F63" s="708"/>
      <c r="G63" s="717"/>
      <c r="H63" s="709"/>
      <c r="I63" s="848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/>
      <c r="X63" s="597"/>
      <c r="Y63" s="685"/>
      <c r="Z63" s="619"/>
      <c r="AA63" s="698"/>
      <c r="AB63" s="1156"/>
      <c r="AC63" s="622"/>
      <c r="AD63" s="572"/>
      <c r="AE63" s="6"/>
      <c r="AF63" s="6"/>
      <c r="AG63" s="597"/>
      <c r="AH63" s="685"/>
      <c r="AI63" s="619"/>
      <c r="AJ63" s="6"/>
      <c r="AK63" s="705"/>
      <c r="AM63" s="572"/>
      <c r="AN63" s="6"/>
      <c r="AO63" s="6"/>
      <c r="AP63" s="597"/>
      <c r="AQ63" s="685"/>
      <c r="AR63" s="619"/>
      <c r="AS63" s="619"/>
      <c r="AT63" s="705"/>
    </row>
    <row r="64" spans="1:46" ht="62.45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71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636"/>
      <c r="AQ64" s="637"/>
      <c r="AR64" s="638"/>
      <c r="AS64" s="638"/>
      <c r="AT64" s="713"/>
    </row>
    <row r="65" spans="1:42" ht="23.45" customHeight="1" x14ac:dyDescent="0.25">
      <c r="A65" s="524" t="s">
        <v>225</v>
      </c>
      <c r="C65" s="768">
        <f>SUM(C3:C64)</f>
        <v>0</v>
      </c>
      <c r="D65" s="525">
        <f>SUM(D3:D64)</f>
        <v>529</v>
      </c>
      <c r="E65" s="768">
        <f>SUM(E3:E64)</f>
        <v>219</v>
      </c>
      <c r="F65" s="525">
        <f>SUM(F3:F64)</f>
        <v>13317</v>
      </c>
      <c r="L65" s="525">
        <f>SUM(L3:L64)</f>
        <v>4310</v>
      </c>
      <c r="M65" s="525">
        <f>SUM(M3:M64)</f>
        <v>0</v>
      </c>
      <c r="N65" s="525">
        <f>SUM(N3:N64)</f>
        <v>28</v>
      </c>
      <c r="O65" s="525">
        <f>SUM(O3:O64)</f>
        <v>13243</v>
      </c>
      <c r="U65" s="525">
        <f>SUM(U3:U64)</f>
        <v>30</v>
      </c>
      <c r="V65" s="525">
        <f>SUM(V3:V64)</f>
        <v>110</v>
      </c>
      <c r="W65" s="525">
        <f>SUM(W3:W64)</f>
        <v>82</v>
      </c>
      <c r="X65" s="525">
        <f>SUM(X3:X64)</f>
        <v>13347</v>
      </c>
      <c r="AD65" s="525">
        <f>SUM(AD3:AD64)</f>
        <v>2359</v>
      </c>
      <c r="AE65" s="525">
        <f>SUM(AE3:AE64)</f>
        <v>0</v>
      </c>
      <c r="AF65" s="525">
        <f>SUM(AF3:AF64)</f>
        <v>33</v>
      </c>
      <c r="AG65" s="525">
        <f>SUM(AG3:AG64)</f>
        <v>13400</v>
      </c>
      <c r="AM65" s="525">
        <f>SUM(AM3:AM64)</f>
        <v>137</v>
      </c>
      <c r="AN65" s="525">
        <f>SUM(AN3:AN64)</f>
        <v>0</v>
      </c>
      <c r="AO65" s="525">
        <f>SUM(AO3:AO64)</f>
        <v>451</v>
      </c>
      <c r="AP65" s="525">
        <f>SUM(AP3:AP64)</f>
        <v>13347</v>
      </c>
    </row>
    <row r="73" spans="1:42" ht="15.75" thickBot="1" x14ac:dyDescent="0.3"/>
    <row r="74" spans="1:42" ht="22.5" customHeight="1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2" ht="20.25" customHeight="1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2" ht="21.75" customHeight="1" x14ac:dyDescent="0.3">
      <c r="B76" s="651" t="s">
        <v>218</v>
      </c>
      <c r="C76" s="652">
        <f>C65</f>
        <v>0</v>
      </c>
      <c r="D76" s="653">
        <f>C76/60</f>
        <v>0</v>
      </c>
      <c r="E76" s="652">
        <f>D65</f>
        <v>529</v>
      </c>
      <c r="F76" s="654">
        <f>E76/60</f>
        <v>8.8166666666666664</v>
      </c>
      <c r="G76" s="652">
        <f>E65</f>
        <v>219</v>
      </c>
      <c r="H76" s="653">
        <f>G76/60</f>
        <v>3.65</v>
      </c>
      <c r="I76" s="652">
        <f>F65</f>
        <v>13317</v>
      </c>
      <c r="J76" s="653">
        <f>I76/60</f>
        <v>221.95</v>
      </c>
    </row>
    <row r="77" spans="1:42" ht="19.5" customHeight="1" x14ac:dyDescent="0.3">
      <c r="B77" s="651" t="s">
        <v>219</v>
      </c>
      <c r="C77" s="655">
        <f>L65</f>
        <v>4310</v>
      </c>
      <c r="D77" s="656">
        <f>C77/60</f>
        <v>71.833333333333329</v>
      </c>
      <c r="E77" s="655">
        <f>M65</f>
        <v>0</v>
      </c>
      <c r="F77" s="657">
        <f>E77/60</f>
        <v>0</v>
      </c>
      <c r="G77" s="655">
        <f>N65</f>
        <v>28</v>
      </c>
      <c r="H77" s="656">
        <f>G77/60</f>
        <v>0.46666666666666667</v>
      </c>
      <c r="I77" s="655">
        <f>O65</f>
        <v>13243</v>
      </c>
      <c r="J77" s="656">
        <f>I77/60</f>
        <v>220.71666666666667</v>
      </c>
    </row>
    <row r="78" spans="1:42" ht="20.25" customHeight="1" x14ac:dyDescent="0.3">
      <c r="B78" s="651" t="s">
        <v>220</v>
      </c>
      <c r="C78" s="655">
        <f>U65</f>
        <v>30</v>
      </c>
      <c r="D78" s="656">
        <f>C78/60</f>
        <v>0.5</v>
      </c>
      <c r="E78" s="655">
        <f>V65</f>
        <v>110</v>
      </c>
      <c r="F78" s="657">
        <f>E78/60</f>
        <v>1.8333333333333333</v>
      </c>
      <c r="G78" s="655">
        <f>W65</f>
        <v>82</v>
      </c>
      <c r="H78" s="656">
        <f>G78/60</f>
        <v>1.3666666666666667</v>
      </c>
      <c r="I78" s="655">
        <f>X65</f>
        <v>13347</v>
      </c>
      <c r="J78" s="656">
        <f>I78/60</f>
        <v>222.45</v>
      </c>
    </row>
    <row r="79" spans="1:42" ht="22.5" customHeight="1" thickBot="1" x14ac:dyDescent="0.35">
      <c r="B79" s="651" t="s">
        <v>221</v>
      </c>
      <c r="C79" s="658">
        <f>AD65</f>
        <v>2359</v>
      </c>
      <c r="D79" s="659">
        <f>C79/60</f>
        <v>39.31666666666667</v>
      </c>
      <c r="E79" s="658">
        <f>AE65</f>
        <v>0</v>
      </c>
      <c r="F79" s="660">
        <f>E79/60</f>
        <v>0</v>
      </c>
      <c r="G79" s="658">
        <f>AF65</f>
        <v>33</v>
      </c>
      <c r="H79" s="659">
        <f>G79/60</f>
        <v>0.55000000000000004</v>
      </c>
      <c r="I79" s="658">
        <f>AG65</f>
        <v>13400</v>
      </c>
      <c r="J79" s="659">
        <f>I79/60</f>
        <v>223.33333333333334</v>
      </c>
    </row>
    <row r="80" spans="1:42" ht="22.5" customHeight="1" thickBot="1" x14ac:dyDescent="0.35">
      <c r="B80" s="651" t="s">
        <v>488</v>
      </c>
      <c r="C80" s="850">
        <f>AM65</f>
        <v>137</v>
      </c>
      <c r="D80" s="849">
        <f>C80/60</f>
        <v>2.2833333333333332</v>
      </c>
      <c r="E80" s="850">
        <f>AN65</f>
        <v>0</v>
      </c>
      <c r="F80" s="851">
        <f>E80/60</f>
        <v>0</v>
      </c>
      <c r="G80" s="850">
        <f>AO65</f>
        <v>451</v>
      </c>
      <c r="H80" s="849">
        <f>G80/60</f>
        <v>7.5166666666666666</v>
      </c>
      <c r="I80" s="850">
        <f>AP65</f>
        <v>13347</v>
      </c>
      <c r="J80" s="849">
        <f>I80/60</f>
        <v>222.45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113.93333333333334</v>
      </c>
      <c r="E82" s="666"/>
      <c r="F82" s="667">
        <f>SUM(F76:F80)</f>
        <v>10.65</v>
      </c>
      <c r="G82" s="666"/>
      <c r="H82" s="667">
        <f>SUM(H76:H80)</f>
        <v>13.549999999999999</v>
      </c>
      <c r="I82" s="666"/>
      <c r="J82" s="668">
        <f>AVERAGE(J76:J80)</f>
        <v>222.17999999999998</v>
      </c>
    </row>
  </sheetData>
  <mergeCells count="48">
    <mergeCell ref="AQ1:AT1"/>
    <mergeCell ref="A3:A4"/>
    <mergeCell ref="A5:A6"/>
    <mergeCell ref="C1:F1"/>
    <mergeCell ref="G1:J1"/>
    <mergeCell ref="L1:O1"/>
    <mergeCell ref="P1:S1"/>
    <mergeCell ref="U1:X1"/>
    <mergeCell ref="Y1:AB1"/>
    <mergeCell ref="AH14:AJ14"/>
    <mergeCell ref="A15:A16"/>
    <mergeCell ref="AD1:AG1"/>
    <mergeCell ref="AH1:AK1"/>
    <mergeCell ref="AM1:AP1"/>
    <mergeCell ref="A25:A26"/>
    <mergeCell ref="A7:A8"/>
    <mergeCell ref="A9:A10"/>
    <mergeCell ref="A11:A12"/>
    <mergeCell ref="A13:A14"/>
    <mergeCell ref="A17:A18"/>
    <mergeCell ref="AQ18:AS18"/>
    <mergeCell ref="A19:A20"/>
    <mergeCell ref="A21:A22"/>
    <mergeCell ref="A23:A24"/>
    <mergeCell ref="A49:A50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51:A52"/>
    <mergeCell ref="A53:A54"/>
    <mergeCell ref="A55:A56"/>
    <mergeCell ref="A57:A58"/>
    <mergeCell ref="A59:A60"/>
    <mergeCell ref="AH62:AJ62"/>
    <mergeCell ref="A63:A64"/>
    <mergeCell ref="C74:D74"/>
    <mergeCell ref="E74:F74"/>
    <mergeCell ref="G74:H74"/>
    <mergeCell ref="I74:J74"/>
    <mergeCell ref="A61:A62"/>
  </mergeCells>
  <pageMargins left="0.7" right="0.7" top="0.75" bottom="0.75" header="0.3" footer="0.3"/>
  <pageSetup paperSize="9" orientation="portrait" horizontalDpi="180" verticalDpi="18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2"/>
  <sheetViews>
    <sheetView zoomScale="60" zoomScaleNormal="60" workbookViewId="0">
      <pane xSplit="2" ySplit="2" topLeftCell="C42" activePane="bottomRight" state="frozen"/>
      <selection pane="topRight" activeCell="C1" sqref="C1"/>
      <selection pane="bottomLeft" activeCell="A3" sqref="A3"/>
      <selection pane="bottomRight" activeCell="G12" sqref="G12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7.285156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3" style="524" customWidth="1"/>
    <col min="17" max="17" width="27.28515625" style="524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2.42578125" style="524" customWidth="1"/>
    <col min="28" max="28" width="27" style="524" customWidth="1"/>
    <col min="29" max="33" width="10.7109375" style="524" customWidth="1"/>
    <col min="34" max="34" width="31.28515625" style="524" customWidth="1"/>
    <col min="35" max="35" width="18.57031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2" width="10.7109375" style="524" customWidth="1"/>
    <col min="43" max="43" width="21.140625" style="524" customWidth="1"/>
    <col min="44" max="44" width="26.5703125" style="524" customWidth="1"/>
    <col min="45" max="45" width="28.28515625" style="524" customWidth="1"/>
    <col min="46" max="46" width="26.5703125" style="524" customWidth="1"/>
    <col min="47" max="16384" width="8.85546875" style="524"/>
  </cols>
  <sheetData>
    <row r="1" spans="1:46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2" t="s">
        <v>206</v>
      </c>
      <c r="AR1" s="2252"/>
      <c r="AS1" s="2252"/>
      <c r="AT1" s="2253"/>
    </row>
    <row r="2" spans="1:46" ht="42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6" t="s">
        <v>199</v>
      </c>
      <c r="AI2" s="984" t="s">
        <v>200</v>
      </c>
      <c r="AJ2" s="984" t="s">
        <v>201</v>
      </c>
      <c r="AK2" s="984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6" t="s">
        <v>199</v>
      </c>
      <c r="AR2" s="984" t="s">
        <v>200</v>
      </c>
      <c r="AS2" s="984" t="s">
        <v>201</v>
      </c>
      <c r="AT2" s="984" t="s">
        <v>204</v>
      </c>
    </row>
    <row r="3" spans="1:46" ht="78" customHeight="1" x14ac:dyDescent="0.25">
      <c r="A3" s="2206">
        <v>45566</v>
      </c>
      <c r="B3" s="1169">
        <v>1</v>
      </c>
      <c r="C3" s="592"/>
      <c r="D3" s="593"/>
      <c r="E3" s="6"/>
      <c r="F3" s="594"/>
      <c r="G3" s="685"/>
      <c r="H3" s="619"/>
      <c r="I3" s="620"/>
      <c r="J3" s="686"/>
      <c r="K3" s="622"/>
      <c r="L3" s="612"/>
      <c r="M3" s="630"/>
      <c r="N3" s="630"/>
      <c r="O3" s="628"/>
      <c r="P3" s="629"/>
      <c r="Q3" s="699"/>
      <c r="R3" s="699"/>
      <c r="S3" s="628"/>
      <c r="T3" s="622"/>
      <c r="U3" s="612"/>
      <c r="V3" s="630"/>
      <c r="W3" s="6">
        <v>11</v>
      </c>
      <c r="X3" s="613"/>
      <c r="Y3" s="1174"/>
      <c r="Z3" s="629"/>
      <c r="AA3" s="620" t="s">
        <v>152</v>
      </c>
      <c r="AB3" s="720"/>
      <c r="AC3" s="622"/>
      <c r="AD3" s="612"/>
      <c r="AE3" s="630"/>
      <c r="AF3" s="6"/>
      <c r="AG3" s="628"/>
      <c r="AH3" s="629"/>
      <c r="AI3" s="629"/>
      <c r="AJ3" s="605"/>
      <c r="AK3" s="628"/>
      <c r="AM3" s="612"/>
      <c r="AN3" s="630"/>
      <c r="AO3" s="6"/>
      <c r="AP3" s="628"/>
      <c r="AQ3" s="629"/>
      <c r="AR3" s="648"/>
      <c r="AS3" s="605"/>
      <c r="AT3" s="628"/>
    </row>
    <row r="4" spans="1:46" ht="70.150000000000006" customHeight="1" x14ac:dyDescent="0.25">
      <c r="A4" s="2205"/>
      <c r="B4" s="574">
        <v>2</v>
      </c>
      <c r="C4" s="595"/>
      <c r="D4" s="596"/>
      <c r="E4" s="596"/>
      <c r="F4" s="597"/>
      <c r="G4" s="684"/>
      <c r="H4" s="619"/>
      <c r="I4" s="848"/>
      <c r="J4" s="687"/>
      <c r="K4" s="622"/>
      <c r="L4" s="572"/>
      <c r="M4" s="6"/>
      <c r="N4" s="6"/>
      <c r="O4" s="613"/>
      <c r="P4" s="614"/>
      <c r="Q4" s="619"/>
      <c r="R4" s="1176"/>
      <c r="S4" s="613"/>
      <c r="T4" s="622"/>
      <c r="U4" s="572"/>
      <c r="V4" s="605">
        <v>18</v>
      </c>
      <c r="W4" s="6">
        <v>30</v>
      </c>
      <c r="X4" s="613"/>
      <c r="Y4" s="1174"/>
      <c r="Z4" s="620" t="s">
        <v>394</v>
      </c>
      <c r="AA4" s="620" t="s">
        <v>152</v>
      </c>
      <c r="AB4" s="722"/>
      <c r="AC4" s="622"/>
      <c r="AD4" s="572"/>
      <c r="AE4" s="6"/>
      <c r="AF4" s="6"/>
      <c r="AG4" s="613"/>
      <c r="AH4" s="614"/>
      <c r="AI4" s="620"/>
      <c r="AJ4" s="6"/>
      <c r="AK4" s="613"/>
      <c r="AM4" s="572"/>
      <c r="AN4" s="6"/>
      <c r="AO4" s="6"/>
      <c r="AP4" s="613"/>
      <c r="AQ4" s="614"/>
      <c r="AR4" s="620"/>
      <c r="AS4" s="6"/>
      <c r="AT4" s="613"/>
    </row>
    <row r="5" spans="1:46" ht="60" customHeight="1" x14ac:dyDescent="0.25">
      <c r="A5" s="2206">
        <v>45567</v>
      </c>
      <c r="B5" s="574">
        <v>1</v>
      </c>
      <c r="C5" s="595"/>
      <c r="D5" s="596"/>
      <c r="E5" s="596"/>
      <c r="F5" s="597"/>
      <c r="G5" s="684"/>
      <c r="H5" s="684"/>
      <c r="I5" s="848"/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/>
      <c r="X5" s="613"/>
      <c r="Y5" s="1174"/>
      <c r="Z5" s="619"/>
      <c r="AA5" s="698"/>
      <c r="AB5" s="723"/>
      <c r="AC5" s="622"/>
      <c r="AD5" s="572"/>
      <c r="AE5" s="6"/>
      <c r="AF5" s="6"/>
      <c r="AG5" s="613"/>
      <c r="AH5" s="614"/>
      <c r="AI5" s="6"/>
      <c r="AJ5" s="1036"/>
      <c r="AK5" s="613"/>
      <c r="AM5" s="572"/>
      <c r="AN5" s="6"/>
      <c r="AO5" s="6"/>
      <c r="AP5" s="613"/>
      <c r="AQ5" s="614"/>
      <c r="AR5" s="6"/>
      <c r="AS5" s="605"/>
      <c r="AT5" s="634"/>
    </row>
    <row r="6" spans="1:46" ht="80.45" customHeight="1" x14ac:dyDescent="0.25">
      <c r="A6" s="2205"/>
      <c r="B6" s="574">
        <v>2</v>
      </c>
      <c r="C6" s="595"/>
      <c r="D6" s="596"/>
      <c r="E6" s="596">
        <v>32</v>
      </c>
      <c r="F6" s="597"/>
      <c r="G6" s="685"/>
      <c r="H6" s="620"/>
      <c r="I6" s="848" t="s">
        <v>152</v>
      </c>
      <c r="J6" s="635"/>
      <c r="K6" s="622"/>
      <c r="L6" s="572"/>
      <c r="M6" s="6"/>
      <c r="N6" s="6"/>
      <c r="O6" s="613"/>
      <c r="P6" s="614"/>
      <c r="Q6" s="619"/>
      <c r="R6" s="6"/>
      <c r="S6" s="635"/>
      <c r="T6" s="622"/>
      <c r="U6" s="572"/>
      <c r="V6" s="6"/>
      <c r="W6" s="6">
        <v>40</v>
      </c>
      <c r="X6" s="613"/>
      <c r="Y6" s="1174"/>
      <c r="Z6" s="619"/>
      <c r="AA6" s="620" t="s">
        <v>152</v>
      </c>
      <c r="AB6" s="635"/>
      <c r="AC6" s="622"/>
      <c r="AD6" s="572"/>
      <c r="AE6" s="6"/>
      <c r="AF6" s="6"/>
      <c r="AG6" s="613"/>
      <c r="AH6" s="614"/>
      <c r="AI6" s="6"/>
      <c r="AJ6" s="6"/>
      <c r="AK6" s="635"/>
      <c r="AM6" s="572">
        <v>38</v>
      </c>
      <c r="AN6" s="6"/>
      <c r="AO6" s="6"/>
      <c r="AP6" s="50"/>
      <c r="AQ6" s="1174" t="s">
        <v>970</v>
      </c>
      <c r="AR6" s="614"/>
      <c r="AS6" s="605"/>
      <c r="AT6" s="635"/>
    </row>
    <row r="7" spans="1:46" ht="71.45" customHeight="1" x14ac:dyDescent="0.25">
      <c r="A7" s="2206">
        <v>45568</v>
      </c>
      <c r="B7" s="574">
        <v>1</v>
      </c>
      <c r="C7" s="595"/>
      <c r="D7" s="596"/>
      <c r="E7" s="596">
        <v>23</v>
      </c>
      <c r="F7" s="597"/>
      <c r="G7" s="685"/>
      <c r="H7" s="620"/>
      <c r="I7" s="635" t="s">
        <v>232</v>
      </c>
      <c r="J7" s="635"/>
      <c r="K7" s="622"/>
      <c r="L7" s="572"/>
      <c r="M7" s="614"/>
      <c r="N7" s="6"/>
      <c r="O7" s="613"/>
      <c r="P7" s="614"/>
      <c r="Q7" s="1010"/>
      <c r="R7" s="6"/>
      <c r="S7" s="613"/>
      <c r="T7" s="622"/>
      <c r="U7" s="572"/>
      <c r="V7" s="6"/>
      <c r="W7" s="6">
        <v>31</v>
      </c>
      <c r="X7" s="613"/>
      <c r="Y7" s="1174"/>
      <c r="Z7" s="619"/>
      <c r="AA7" s="698" t="s">
        <v>328</v>
      </c>
      <c r="AB7" s="613"/>
      <c r="AC7" s="622"/>
      <c r="AD7" s="572"/>
      <c r="AE7" s="6"/>
      <c r="AF7" s="6"/>
      <c r="AG7" s="613"/>
      <c r="AH7" s="614"/>
      <c r="AI7" s="1010"/>
      <c r="AJ7" s="635"/>
      <c r="AK7" s="613"/>
      <c r="AM7" s="572"/>
      <c r="AN7" s="6"/>
      <c r="AO7" s="6"/>
      <c r="AP7" s="50"/>
      <c r="AQ7" s="613"/>
      <c r="AR7" s="614"/>
      <c r="AS7" s="1010"/>
      <c r="AT7" s="692"/>
    </row>
    <row r="8" spans="1:46" ht="69.599999999999994" customHeight="1" x14ac:dyDescent="0.25">
      <c r="A8" s="2205"/>
      <c r="B8" s="574">
        <v>2</v>
      </c>
      <c r="C8" s="595"/>
      <c r="D8" s="596"/>
      <c r="E8" s="596"/>
      <c r="F8" s="597"/>
      <c r="G8" s="684"/>
      <c r="H8" s="620"/>
      <c r="I8" s="848"/>
      <c r="J8" s="635"/>
      <c r="K8" s="622"/>
      <c r="L8" s="572"/>
      <c r="M8" s="6"/>
      <c r="N8" s="6"/>
      <c r="O8" s="613"/>
      <c r="P8" s="614"/>
      <c r="Q8" s="6"/>
      <c r="R8" s="605"/>
      <c r="S8" s="635"/>
      <c r="T8" s="622"/>
      <c r="U8" s="572"/>
      <c r="V8" s="572">
        <v>79</v>
      </c>
      <c r="W8" s="572"/>
      <c r="X8" s="613"/>
      <c r="Y8" s="1174"/>
      <c r="Z8" s="1173" t="s">
        <v>971</v>
      </c>
      <c r="AA8" s="609"/>
      <c r="AB8" s="635"/>
      <c r="AC8" s="622"/>
      <c r="AD8" s="572"/>
      <c r="AE8" s="6"/>
      <c r="AF8" s="6"/>
      <c r="AG8" s="613"/>
      <c r="AH8" s="614"/>
      <c r="AI8" s="605"/>
      <c r="AJ8" s="620"/>
      <c r="AK8" s="635"/>
      <c r="AM8" s="572"/>
      <c r="AN8" s="6"/>
      <c r="AO8" s="6"/>
      <c r="AP8" s="50"/>
      <c r="AQ8" s="613"/>
      <c r="AR8" s="1174"/>
      <c r="AS8" s="6"/>
      <c r="AT8" s="635"/>
    </row>
    <row r="9" spans="1:46" ht="76.900000000000006" customHeight="1" x14ac:dyDescent="0.25">
      <c r="A9" s="2206">
        <v>45569</v>
      </c>
      <c r="B9" s="574">
        <v>1</v>
      </c>
      <c r="C9" s="595"/>
      <c r="D9" s="596"/>
      <c r="E9" s="596"/>
      <c r="F9" s="597"/>
      <c r="G9" s="684"/>
      <c r="H9" s="619"/>
      <c r="I9" s="848"/>
      <c r="J9" s="635"/>
      <c r="K9" s="622"/>
      <c r="L9" s="572"/>
      <c r="M9" s="6"/>
      <c r="N9" s="6"/>
      <c r="O9" s="613"/>
      <c r="P9" s="614"/>
      <c r="Q9" s="6"/>
      <c r="R9" s="605"/>
      <c r="S9" s="635"/>
      <c r="T9" s="622"/>
      <c r="U9" s="572"/>
      <c r="V9" s="6"/>
      <c r="W9" s="6"/>
      <c r="X9" s="613"/>
      <c r="Y9" s="1174"/>
      <c r="Z9" s="6"/>
      <c r="AA9" s="698"/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/>
      <c r="AN9" s="6"/>
      <c r="AO9" s="6"/>
      <c r="AP9" s="50"/>
      <c r="AQ9" s="613"/>
      <c r="AR9" s="614"/>
      <c r="AS9" s="6"/>
      <c r="AT9" s="828"/>
    </row>
    <row r="10" spans="1:46" ht="67.150000000000006" customHeight="1" x14ac:dyDescent="0.25">
      <c r="A10" s="2205"/>
      <c r="B10" s="574">
        <v>2</v>
      </c>
      <c r="C10" s="595"/>
      <c r="D10" s="595"/>
      <c r="E10" s="595"/>
      <c r="F10" s="597"/>
      <c r="G10" s="1120"/>
      <c r="H10" s="1121"/>
      <c r="I10" s="1122"/>
      <c r="J10" s="635"/>
      <c r="K10" s="622"/>
      <c r="L10" s="572"/>
      <c r="M10" s="6"/>
      <c r="N10" s="6"/>
      <c r="O10" s="613"/>
      <c r="P10" s="614"/>
      <c r="Q10" s="6"/>
      <c r="R10" s="605"/>
      <c r="S10" s="635"/>
      <c r="T10" s="622"/>
      <c r="U10" s="572">
        <v>187</v>
      </c>
      <c r="V10" s="6"/>
      <c r="W10" s="6"/>
      <c r="X10" s="613"/>
      <c r="Y10" s="1174" t="s">
        <v>583</v>
      </c>
      <c r="Z10" s="1174"/>
      <c r="AA10" s="698"/>
      <c r="AB10" s="635"/>
      <c r="AC10" s="622"/>
      <c r="AD10" s="572"/>
      <c r="AE10" s="6"/>
      <c r="AF10" s="6"/>
      <c r="AG10" s="613"/>
      <c r="AH10" s="1174"/>
      <c r="AI10" s="605"/>
      <c r="AJ10" s="620"/>
      <c r="AK10" s="635"/>
      <c r="AM10" s="572"/>
      <c r="AN10" s="6"/>
      <c r="AO10" s="6"/>
      <c r="AP10" s="50"/>
      <c r="AQ10" s="613"/>
      <c r="AR10" s="614"/>
      <c r="AS10" s="6"/>
      <c r="AT10" s="635"/>
    </row>
    <row r="11" spans="1:46" ht="60" customHeight="1" x14ac:dyDescent="0.25">
      <c r="A11" s="2206">
        <v>45570</v>
      </c>
      <c r="B11" s="574">
        <v>1</v>
      </c>
      <c r="C11" s="595"/>
      <c r="D11" s="595"/>
      <c r="E11" s="595"/>
      <c r="F11" s="597"/>
      <c r="G11" s="1120"/>
      <c r="H11" s="1121"/>
      <c r="I11" s="1122"/>
      <c r="J11" s="687"/>
      <c r="K11" s="622"/>
      <c r="L11" s="572"/>
      <c r="M11" s="6"/>
      <c r="N11" s="6"/>
      <c r="O11" s="613"/>
      <c r="P11" s="614"/>
      <c r="Q11" s="6"/>
      <c r="R11" s="605"/>
      <c r="S11" s="613"/>
      <c r="T11" s="622"/>
      <c r="U11" s="572"/>
      <c r="V11" s="6"/>
      <c r="W11" s="6">
        <v>20</v>
      </c>
      <c r="X11" s="613"/>
      <c r="Y11" s="1174"/>
      <c r="Z11" s="6"/>
      <c r="AA11" s="698" t="s">
        <v>328</v>
      </c>
      <c r="AB11" s="613"/>
      <c r="AC11" s="622"/>
      <c r="AD11" s="572"/>
      <c r="AE11" s="6"/>
      <c r="AF11" s="6"/>
      <c r="AG11" s="613"/>
      <c r="AH11" s="614"/>
      <c r="AI11" s="6"/>
      <c r="AJ11" s="620"/>
      <c r="AK11" s="613"/>
      <c r="AM11" s="572"/>
      <c r="AN11" s="6"/>
      <c r="AO11" s="6"/>
      <c r="AP11" s="613"/>
      <c r="AQ11" s="614"/>
      <c r="AR11" s="6"/>
      <c r="AS11" s="6"/>
      <c r="AT11" s="634"/>
    </row>
    <row r="12" spans="1:46" ht="55.15" customHeight="1" x14ac:dyDescent="0.25">
      <c r="A12" s="2205"/>
      <c r="B12" s="574">
        <v>2</v>
      </c>
      <c r="C12" s="595">
        <v>171</v>
      </c>
      <c r="D12" s="596"/>
      <c r="E12" s="596"/>
      <c r="F12" s="597"/>
      <c r="G12" s="684" t="s">
        <v>972</v>
      </c>
      <c r="H12" s="619"/>
      <c r="I12" s="848"/>
      <c r="J12" s="635"/>
      <c r="K12" s="622"/>
      <c r="L12" s="572"/>
      <c r="M12" s="6"/>
      <c r="N12" s="6"/>
      <c r="O12" s="613"/>
      <c r="P12" s="614"/>
      <c r="Q12" s="6"/>
      <c r="R12" s="605"/>
      <c r="S12" s="635"/>
      <c r="T12" s="622"/>
      <c r="U12" s="572"/>
      <c r="V12" s="6">
        <v>21</v>
      </c>
      <c r="W12" s="6">
        <v>27</v>
      </c>
      <c r="X12" s="613"/>
      <c r="Y12" s="1174"/>
      <c r="Z12" s="620" t="s">
        <v>394</v>
      </c>
      <c r="AA12" s="620" t="s">
        <v>152</v>
      </c>
      <c r="AB12" s="635"/>
      <c r="AC12" s="622"/>
      <c r="AD12" s="572"/>
      <c r="AE12" s="6"/>
      <c r="AF12" s="6"/>
      <c r="AG12" s="613"/>
      <c r="AH12" s="614"/>
      <c r="AI12" s="605"/>
      <c r="AJ12" s="605"/>
      <c r="AK12" s="635"/>
      <c r="AM12" s="572"/>
      <c r="AN12" s="6"/>
      <c r="AO12" s="6"/>
      <c r="AP12" s="613"/>
      <c r="AQ12" s="614"/>
      <c r="AR12" s="6"/>
      <c r="AS12" s="605"/>
      <c r="AT12" s="635"/>
    </row>
    <row r="13" spans="1:46" ht="34.9" customHeight="1" x14ac:dyDescent="0.25">
      <c r="A13" s="2206">
        <v>45571</v>
      </c>
      <c r="B13" s="574">
        <v>1</v>
      </c>
      <c r="C13" s="595"/>
      <c r="D13" s="596"/>
      <c r="E13" s="596"/>
      <c r="F13" s="597"/>
      <c r="G13" s="684"/>
      <c r="H13" s="619"/>
      <c r="I13" s="848"/>
      <c r="J13" s="635"/>
      <c r="K13" s="622"/>
      <c r="L13" s="572"/>
      <c r="M13" s="6"/>
      <c r="N13" s="6"/>
      <c r="O13" s="597"/>
      <c r="P13" s="614"/>
      <c r="Q13" s="6"/>
      <c r="R13" s="6"/>
      <c r="S13" s="635"/>
      <c r="T13" s="622"/>
      <c r="U13" s="572"/>
      <c r="V13" s="6"/>
      <c r="W13" s="6"/>
      <c r="X13" s="597"/>
      <c r="Y13" s="1174"/>
      <c r="Z13" s="605"/>
      <c r="AA13" s="698"/>
      <c r="AB13" s="635"/>
      <c r="AC13" s="622"/>
      <c r="AD13" s="572"/>
      <c r="AE13" s="6"/>
      <c r="AF13" s="6"/>
      <c r="AG13" s="597"/>
      <c r="AH13" s="614"/>
      <c r="AI13" s="6"/>
      <c r="AJ13" s="605"/>
      <c r="AK13" s="635"/>
      <c r="AM13" s="572"/>
      <c r="AN13" s="6"/>
      <c r="AO13" s="6"/>
      <c r="AP13" s="597"/>
      <c r="AQ13" s="614"/>
      <c r="AR13" s="6"/>
      <c r="AS13" s="6"/>
      <c r="AT13" s="635"/>
    </row>
    <row r="14" spans="1:46" ht="49.15" customHeight="1" x14ac:dyDescent="0.25">
      <c r="A14" s="2205"/>
      <c r="B14" s="574">
        <v>2</v>
      </c>
      <c r="C14" s="595"/>
      <c r="D14" s="596"/>
      <c r="E14" s="596"/>
      <c r="F14" s="597"/>
      <c r="G14" s="684"/>
      <c r="H14" s="620"/>
      <c r="I14" s="848"/>
      <c r="J14" s="635"/>
      <c r="K14" s="622"/>
      <c r="L14" s="572"/>
      <c r="M14" s="6"/>
      <c r="N14" s="6"/>
      <c r="O14" s="597"/>
      <c r="P14" s="1174"/>
      <c r="Q14" s="6"/>
      <c r="R14" s="6"/>
      <c r="S14" s="635"/>
      <c r="T14" s="622"/>
      <c r="U14" s="572"/>
      <c r="V14" s="6"/>
      <c r="W14" s="6"/>
      <c r="X14" s="597"/>
      <c r="Y14" s="1174"/>
      <c r="Z14" s="605"/>
      <c r="AA14" s="698"/>
      <c r="AB14" s="635"/>
      <c r="AC14" s="622"/>
      <c r="AD14" s="572"/>
      <c r="AE14" s="6"/>
      <c r="AF14" s="6"/>
      <c r="AG14" s="597"/>
      <c r="AH14" s="2232"/>
      <c r="AI14" s="2233"/>
      <c r="AJ14" s="2234"/>
      <c r="AK14" s="635"/>
      <c r="AM14" s="572">
        <v>30</v>
      </c>
      <c r="AN14" s="6"/>
      <c r="AO14" s="6"/>
      <c r="AP14" s="597"/>
      <c r="AQ14" s="1181" t="s">
        <v>513</v>
      </c>
      <c r="AR14" s="6"/>
      <c r="AS14" s="698"/>
      <c r="AT14" s="635"/>
    </row>
    <row r="15" spans="1:46" ht="48" customHeight="1" x14ac:dyDescent="0.25">
      <c r="A15" s="2206">
        <v>45572</v>
      </c>
      <c r="B15" s="574">
        <v>1</v>
      </c>
      <c r="C15" s="595"/>
      <c r="D15" s="596"/>
      <c r="E15" s="6"/>
      <c r="F15" s="597"/>
      <c r="G15" s="684"/>
      <c r="H15" s="620"/>
      <c r="I15" s="848"/>
      <c r="J15" s="635"/>
      <c r="K15" s="622"/>
      <c r="L15" s="572"/>
      <c r="M15" s="6"/>
      <c r="N15" s="6"/>
      <c r="O15" s="597"/>
      <c r="P15" s="685"/>
      <c r="Q15" s="620"/>
      <c r="R15" s="620"/>
      <c r="S15" s="635"/>
      <c r="T15" s="622"/>
      <c r="U15" s="572"/>
      <c r="V15" s="6"/>
      <c r="W15" s="6"/>
      <c r="X15" s="597"/>
      <c r="Y15" s="684"/>
      <c r="Z15" s="620"/>
      <c r="AA15" s="698"/>
      <c r="AB15" s="635"/>
      <c r="AC15" s="622"/>
      <c r="AD15" s="572"/>
      <c r="AE15" s="6"/>
      <c r="AF15" s="622"/>
      <c r="AG15" s="597"/>
      <c r="AH15" s="685"/>
      <c r="AI15" s="620"/>
      <c r="AJ15" s="605"/>
      <c r="AK15" s="635"/>
      <c r="AM15" s="572"/>
      <c r="AN15" s="6"/>
      <c r="AO15" s="622"/>
      <c r="AP15" s="685"/>
      <c r="AQ15" s="620"/>
      <c r="AR15" s="620"/>
      <c r="AS15" s="620"/>
      <c r="AT15" s="635"/>
    </row>
    <row r="16" spans="1:46" ht="54.6" customHeight="1" x14ac:dyDescent="0.25">
      <c r="A16" s="2205"/>
      <c r="B16" s="574">
        <v>2</v>
      </c>
      <c r="C16" s="595"/>
      <c r="D16" s="595"/>
      <c r="E16" s="595"/>
      <c r="F16" s="597"/>
      <c r="G16" s="1134"/>
      <c r="H16" s="1135"/>
      <c r="I16" s="1136"/>
      <c r="J16" s="635"/>
      <c r="K16" s="622"/>
      <c r="L16" s="572"/>
      <c r="M16" s="6"/>
      <c r="N16" s="6"/>
      <c r="O16" s="597"/>
      <c r="P16" s="1134"/>
      <c r="Q16" s="1135"/>
      <c r="R16" s="1136"/>
      <c r="S16" s="635"/>
      <c r="T16" s="622"/>
      <c r="U16" s="572"/>
      <c r="V16" s="6"/>
      <c r="W16" s="6"/>
      <c r="X16" s="597"/>
      <c r="Y16" s="1134"/>
      <c r="Z16" s="1135"/>
      <c r="AA16" s="1136"/>
      <c r="AB16" s="635"/>
      <c r="AC16" s="622"/>
      <c r="AD16" s="572"/>
      <c r="AE16" s="6"/>
      <c r="AF16" s="6"/>
      <c r="AG16" s="597"/>
      <c r="AH16" s="1180"/>
      <c r="AI16" s="1135"/>
      <c r="AJ16" s="1136"/>
      <c r="AK16" s="635"/>
      <c r="AM16" s="572"/>
      <c r="AN16" s="6"/>
      <c r="AO16" s="6"/>
      <c r="AP16" s="597"/>
      <c r="AQ16" s="1134"/>
      <c r="AR16" s="1135"/>
      <c r="AS16" s="1136"/>
      <c r="AT16" s="635"/>
    </row>
    <row r="17" spans="1:46" ht="66" customHeight="1" x14ac:dyDescent="0.25">
      <c r="A17" s="2206">
        <v>45573</v>
      </c>
      <c r="B17" s="644">
        <v>1</v>
      </c>
      <c r="C17" s="595"/>
      <c r="D17" s="596"/>
      <c r="E17" s="596"/>
      <c r="F17" s="597"/>
      <c r="G17" s="685"/>
      <c r="H17" s="619"/>
      <c r="I17" s="848"/>
      <c r="J17" s="635"/>
      <c r="K17" s="622"/>
      <c r="L17" s="572"/>
      <c r="M17" s="6"/>
      <c r="N17" s="6"/>
      <c r="O17" s="597"/>
      <c r="P17" s="685"/>
      <c r="Q17" s="619"/>
      <c r="R17" s="620"/>
      <c r="S17" s="635"/>
      <c r="T17" s="622"/>
      <c r="U17" s="572"/>
      <c r="V17" s="6"/>
      <c r="W17" s="6"/>
      <c r="X17" s="597"/>
      <c r="Y17" s="684"/>
      <c r="Z17" s="619"/>
      <c r="AA17" s="848"/>
      <c r="AB17" s="635"/>
      <c r="AC17" s="622"/>
      <c r="AD17" s="572"/>
      <c r="AE17" s="6"/>
      <c r="AF17" s="6"/>
      <c r="AG17" s="597"/>
      <c r="AH17" s="685"/>
      <c r="AI17" s="619"/>
      <c r="AJ17" s="620"/>
      <c r="AK17" s="635"/>
      <c r="AM17" s="572"/>
      <c r="AN17" s="6"/>
      <c r="AO17" s="6"/>
      <c r="AP17" s="685"/>
      <c r="AQ17" s="619"/>
      <c r="AR17" s="620"/>
      <c r="AS17" s="698"/>
      <c r="AT17" s="635"/>
    </row>
    <row r="18" spans="1:46" ht="49.9" customHeight="1" x14ac:dyDescent="0.25">
      <c r="A18" s="2205"/>
      <c r="B18" s="574">
        <v>2</v>
      </c>
      <c r="C18" s="595"/>
      <c r="D18" s="596"/>
      <c r="E18" s="596">
        <v>25</v>
      </c>
      <c r="F18" s="597"/>
      <c r="G18" s="684"/>
      <c r="H18" s="830"/>
      <c r="I18" s="848" t="s">
        <v>152</v>
      </c>
      <c r="J18" s="635"/>
      <c r="K18" s="622"/>
      <c r="L18" s="572"/>
      <c r="M18" s="6"/>
      <c r="N18" s="6"/>
      <c r="O18" s="597"/>
      <c r="P18" s="684"/>
      <c r="Q18" s="620"/>
      <c r="R18" s="619"/>
      <c r="S18" s="635"/>
      <c r="T18" s="622"/>
      <c r="U18" s="572"/>
      <c r="V18" s="6"/>
      <c r="W18" s="596"/>
      <c r="X18" s="597"/>
      <c r="Y18" s="684"/>
      <c r="Z18" s="620"/>
      <c r="AA18" s="848"/>
      <c r="AB18" s="635"/>
      <c r="AC18" s="622"/>
      <c r="AD18" s="572"/>
      <c r="AE18" s="6"/>
      <c r="AF18" s="6"/>
      <c r="AG18" s="597"/>
      <c r="AH18" s="684"/>
      <c r="AI18" s="620"/>
      <c r="AJ18" s="619"/>
      <c r="AK18" s="635"/>
      <c r="AM18" s="572"/>
      <c r="AN18" s="6"/>
      <c r="AO18" s="6"/>
      <c r="AP18" s="597"/>
      <c r="AQ18" s="2254"/>
      <c r="AR18" s="2255"/>
      <c r="AS18" s="2256"/>
      <c r="AT18" s="635"/>
    </row>
    <row r="19" spans="1:46" ht="33.6" customHeight="1" x14ac:dyDescent="0.25">
      <c r="A19" s="2206">
        <v>45574</v>
      </c>
      <c r="B19" s="574">
        <v>1</v>
      </c>
      <c r="C19" s="622"/>
      <c r="D19" s="596"/>
      <c r="E19" s="596">
        <v>10</v>
      </c>
      <c r="F19" s="597"/>
      <c r="G19" s="567"/>
      <c r="H19" s="6"/>
      <c r="I19" s="848" t="s">
        <v>152</v>
      </c>
      <c r="J19" s="635"/>
      <c r="K19" s="622"/>
      <c r="L19" s="572"/>
      <c r="M19" s="6"/>
      <c r="N19" s="6"/>
      <c r="O19" s="597"/>
      <c r="P19" s="572"/>
      <c r="Q19" s="6"/>
      <c r="R19" s="6"/>
      <c r="S19" s="635"/>
      <c r="T19" s="622"/>
      <c r="U19" s="572"/>
      <c r="V19" s="6"/>
      <c r="W19" s="6">
        <v>32</v>
      </c>
      <c r="X19" s="597"/>
      <c r="Y19" s="572"/>
      <c r="Z19" s="605"/>
      <c r="AA19" s="620" t="s">
        <v>152</v>
      </c>
      <c r="AB19" s="635"/>
      <c r="AC19" s="622"/>
      <c r="AD19" s="572"/>
      <c r="AE19" s="6"/>
      <c r="AF19" s="6"/>
      <c r="AG19" s="597"/>
      <c r="AH19" s="572"/>
      <c r="AI19" s="6"/>
      <c r="AJ19" s="698"/>
      <c r="AK19" s="635"/>
      <c r="AM19" s="572"/>
      <c r="AN19" s="6"/>
      <c r="AO19" s="6"/>
      <c r="AP19" s="597"/>
      <c r="AQ19" s="572"/>
      <c r="AR19" s="6"/>
      <c r="AS19" s="620"/>
      <c r="AT19" s="635"/>
    </row>
    <row r="20" spans="1:46" ht="44.45" customHeight="1" x14ac:dyDescent="0.25">
      <c r="A20" s="2205"/>
      <c r="B20" s="574">
        <v>2</v>
      </c>
      <c r="C20" s="595"/>
      <c r="D20" s="596"/>
      <c r="E20" s="596"/>
      <c r="F20" s="597"/>
      <c r="G20" s="567"/>
      <c r="H20" s="1077"/>
      <c r="I20" s="848"/>
      <c r="J20" s="635"/>
      <c r="K20" s="622"/>
      <c r="L20" s="572"/>
      <c r="M20" s="6"/>
      <c r="N20" s="6"/>
      <c r="O20" s="597"/>
      <c r="P20" s="567"/>
      <c r="Q20" s="1077"/>
      <c r="R20" s="848"/>
      <c r="S20" s="635"/>
      <c r="T20" s="622"/>
      <c r="U20" s="572"/>
      <c r="V20" s="6"/>
      <c r="W20" s="6">
        <v>22</v>
      </c>
      <c r="X20" s="597"/>
      <c r="Y20" s="567"/>
      <c r="Z20" s="1077"/>
      <c r="AA20" s="620" t="s">
        <v>152</v>
      </c>
      <c r="AB20" s="635"/>
      <c r="AC20" s="622"/>
      <c r="AD20" s="572"/>
      <c r="AE20" s="6"/>
      <c r="AF20" s="6"/>
      <c r="AG20" s="597"/>
      <c r="AH20" s="567"/>
      <c r="AI20" s="1077"/>
      <c r="AJ20" s="848"/>
      <c r="AK20" s="635"/>
      <c r="AM20" s="572"/>
      <c r="AN20" s="6"/>
      <c r="AO20" s="6"/>
      <c r="AP20" s="597"/>
      <c r="AQ20" s="567"/>
      <c r="AR20" s="1077"/>
      <c r="AS20" s="848"/>
      <c r="AT20" s="635"/>
    </row>
    <row r="21" spans="1:46" ht="39.6" customHeight="1" x14ac:dyDescent="0.25">
      <c r="A21" s="2206">
        <v>45575</v>
      </c>
      <c r="B21" s="574">
        <v>1</v>
      </c>
      <c r="C21" s="595"/>
      <c r="D21" s="596"/>
      <c r="E21" s="596"/>
      <c r="F21" s="597"/>
      <c r="G21" s="688"/>
      <c r="H21" s="619"/>
      <c r="I21" s="848"/>
      <c r="J21" s="1164"/>
      <c r="K21" s="622"/>
      <c r="L21" s="572"/>
      <c r="M21" s="6"/>
      <c r="N21" s="6"/>
      <c r="O21" s="597"/>
      <c r="P21" s="572"/>
      <c r="Q21" s="6"/>
      <c r="R21" s="6"/>
      <c r="S21" s="1164"/>
      <c r="T21" s="622"/>
      <c r="U21" s="572"/>
      <c r="V21" s="6"/>
      <c r="W21" s="6">
        <v>13</v>
      </c>
      <c r="X21" s="597"/>
      <c r="Y21" s="567"/>
      <c r="Z21" s="6"/>
      <c r="AA21" s="698" t="s">
        <v>325</v>
      </c>
      <c r="AB21" s="1164"/>
      <c r="AC21" s="622"/>
      <c r="AD21" s="572"/>
      <c r="AE21" s="6"/>
      <c r="AF21" s="6"/>
      <c r="AG21" s="597"/>
      <c r="AH21" s="572"/>
      <c r="AI21" s="6"/>
      <c r="AJ21" s="848"/>
      <c r="AK21" s="1164"/>
      <c r="AM21" s="572"/>
      <c r="AN21" s="6"/>
      <c r="AO21" s="6"/>
      <c r="AP21" s="597"/>
      <c r="AQ21" s="572"/>
      <c r="AR21" s="605"/>
      <c r="AS21" s="50"/>
      <c r="AT21" s="1164"/>
    </row>
    <row r="22" spans="1:46" ht="49.9" customHeight="1" x14ac:dyDescent="0.25">
      <c r="A22" s="2205"/>
      <c r="B22" s="574">
        <v>2</v>
      </c>
      <c r="C22" s="595"/>
      <c r="D22" s="596"/>
      <c r="E22" s="596"/>
      <c r="F22" s="597"/>
      <c r="G22" s="1171"/>
      <c r="H22" s="620"/>
      <c r="I22" s="848"/>
      <c r="J22" s="635"/>
      <c r="K22" s="622"/>
      <c r="L22" s="572"/>
      <c r="M22" s="6"/>
      <c r="N22" s="6"/>
      <c r="O22" s="597"/>
      <c r="P22" s="1174"/>
      <c r="Q22" s="620"/>
      <c r="R22" s="6"/>
      <c r="S22" s="635"/>
      <c r="T22" s="622"/>
      <c r="U22" s="572"/>
      <c r="V22" s="6"/>
      <c r="W22" s="6"/>
      <c r="X22" s="597"/>
      <c r="Y22" s="567"/>
      <c r="Z22" s="620"/>
      <c r="AA22" s="698"/>
      <c r="AB22" s="635"/>
      <c r="AC22" s="622"/>
      <c r="AD22" s="572"/>
      <c r="AE22" s="6"/>
      <c r="AF22" s="6"/>
      <c r="AG22" s="597"/>
      <c r="AH22" s="572"/>
      <c r="AI22" s="6"/>
      <c r="AJ22" s="698"/>
      <c r="AK22" s="635"/>
      <c r="AM22" s="572"/>
      <c r="AN22" s="6"/>
      <c r="AO22" s="6"/>
      <c r="AP22" s="597"/>
      <c r="AQ22" s="572"/>
      <c r="AR22" s="620"/>
      <c r="AS22" s="50"/>
      <c r="AT22" s="635"/>
    </row>
    <row r="23" spans="1:46" ht="47.45" customHeight="1" x14ac:dyDescent="0.25">
      <c r="A23" s="2206">
        <v>45576</v>
      </c>
      <c r="B23" s="644">
        <v>1</v>
      </c>
      <c r="C23" s="595"/>
      <c r="D23" s="596"/>
      <c r="E23" s="596"/>
      <c r="F23" s="597"/>
      <c r="G23" s="685"/>
      <c r="H23" s="619"/>
      <c r="I23" s="848"/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/>
      <c r="V23" s="6"/>
      <c r="W23" s="6"/>
      <c r="X23" s="597"/>
      <c r="Y23" s="567"/>
      <c r="Z23" s="620"/>
      <c r="AA23" s="848"/>
      <c r="AB23" s="635"/>
      <c r="AC23" s="622"/>
      <c r="AD23" s="572"/>
      <c r="AE23" s="6"/>
      <c r="AF23" s="614"/>
      <c r="AG23" s="597"/>
      <c r="AH23" s="572"/>
      <c r="AI23" s="619"/>
      <c r="AJ23" s="620"/>
      <c r="AK23" s="635"/>
      <c r="AM23" s="572"/>
      <c r="AN23" s="6"/>
      <c r="AO23" s="6"/>
      <c r="AP23" s="597"/>
      <c r="AQ23" s="6"/>
      <c r="AR23" s="619"/>
      <c r="AS23" s="692"/>
      <c r="AT23" s="635"/>
    </row>
    <row r="24" spans="1:46" ht="49.9" customHeight="1" x14ac:dyDescent="0.25">
      <c r="A24" s="2205"/>
      <c r="B24" s="574">
        <v>2</v>
      </c>
      <c r="C24" s="595"/>
      <c r="D24" s="596"/>
      <c r="E24" s="596">
        <v>10</v>
      </c>
      <c r="F24" s="597"/>
      <c r="G24" s="685"/>
      <c r="H24" s="620"/>
      <c r="I24" s="848" t="s">
        <v>152</v>
      </c>
      <c r="J24" s="635"/>
      <c r="K24" s="622"/>
      <c r="L24" s="572"/>
      <c r="M24" s="6"/>
      <c r="N24" s="6"/>
      <c r="O24" s="597"/>
      <c r="P24" s="685"/>
      <c r="Q24" s="619"/>
      <c r="R24" s="620"/>
      <c r="S24" s="635"/>
      <c r="T24" s="622"/>
      <c r="U24" s="6"/>
      <c r="V24" s="597"/>
      <c r="W24" s="685"/>
      <c r="X24" s="597"/>
      <c r="Y24" s="848"/>
      <c r="Z24" s="619"/>
      <c r="AA24" s="848"/>
      <c r="AB24" s="635"/>
      <c r="AC24" s="622"/>
      <c r="AD24" s="572"/>
      <c r="AE24" s="6"/>
      <c r="AF24" s="614"/>
      <c r="AG24" s="597"/>
      <c r="AH24" s="848"/>
      <c r="AI24" s="619"/>
      <c r="AJ24" s="620"/>
      <c r="AK24" s="635"/>
      <c r="AM24" s="572"/>
      <c r="AN24" s="6"/>
      <c r="AO24" s="6"/>
      <c r="AP24" s="597"/>
      <c r="AQ24" s="619"/>
      <c r="AR24" s="619"/>
      <c r="AS24" s="635"/>
      <c r="AT24" s="635"/>
    </row>
    <row r="25" spans="1:46" ht="53.45" customHeight="1" x14ac:dyDescent="0.25">
      <c r="A25" s="2206">
        <v>45577</v>
      </c>
      <c r="B25" s="574">
        <v>1</v>
      </c>
      <c r="C25" s="595"/>
      <c r="D25" s="596"/>
      <c r="E25" s="596"/>
      <c r="F25" s="597"/>
      <c r="G25" s="685"/>
      <c r="H25" s="619"/>
      <c r="I25" s="848"/>
      <c r="J25" s="635"/>
      <c r="K25" s="622"/>
      <c r="L25" s="572"/>
      <c r="M25" s="6"/>
      <c r="N25" s="6"/>
      <c r="O25" s="597"/>
      <c r="P25" s="572"/>
      <c r="Q25" s="619"/>
      <c r="R25" s="6"/>
      <c r="S25" s="635"/>
      <c r="T25" s="622"/>
      <c r="U25" s="572"/>
      <c r="V25" s="6"/>
      <c r="W25" s="6">
        <v>32</v>
      </c>
      <c r="X25" s="597"/>
      <c r="Y25" s="567"/>
      <c r="Z25" s="605"/>
      <c r="AA25" s="698" t="s">
        <v>328</v>
      </c>
      <c r="AB25" s="635"/>
      <c r="AC25" s="622"/>
      <c r="AD25" s="572"/>
      <c r="AE25" s="6"/>
      <c r="AF25" s="6">
        <v>30</v>
      </c>
      <c r="AG25" s="597"/>
      <c r="AH25" s="6"/>
      <c r="AI25" s="605"/>
      <c r="AJ25" s="620" t="s">
        <v>152</v>
      </c>
      <c r="AK25" s="635"/>
      <c r="AM25" s="572"/>
      <c r="AN25" s="6"/>
      <c r="AO25" s="6"/>
      <c r="AP25" s="597"/>
      <c r="AQ25" s="6"/>
      <c r="AR25" s="6"/>
      <c r="AS25" s="50"/>
      <c r="AT25" s="635"/>
    </row>
    <row r="26" spans="1:46" ht="42" customHeight="1" x14ac:dyDescent="0.25">
      <c r="A26" s="2205"/>
      <c r="B26" s="574">
        <v>2</v>
      </c>
      <c r="C26" s="595"/>
      <c r="D26" s="596"/>
      <c r="E26" s="596"/>
      <c r="F26" s="597"/>
      <c r="G26" s="685"/>
      <c r="H26" s="620"/>
      <c r="I26" s="848"/>
      <c r="J26" s="635"/>
      <c r="K26" s="622"/>
      <c r="L26" s="572"/>
      <c r="M26" s="6"/>
      <c r="N26" s="6"/>
      <c r="O26" s="597"/>
      <c r="P26" s="685"/>
      <c r="Q26" s="620"/>
      <c r="R26" s="692"/>
      <c r="S26" s="635"/>
      <c r="T26" s="622"/>
      <c r="U26" s="572"/>
      <c r="V26" s="596"/>
      <c r="W26" s="6"/>
      <c r="X26" s="597"/>
      <c r="Y26" s="848"/>
      <c r="Z26" s="620"/>
      <c r="AA26" s="698"/>
      <c r="AB26" s="635"/>
      <c r="AC26" s="622"/>
      <c r="AD26" s="572"/>
      <c r="AE26" s="596"/>
      <c r="AF26" s="6"/>
      <c r="AG26" s="597"/>
      <c r="AH26" s="848"/>
      <c r="AI26" s="620"/>
      <c r="AJ26" s="692"/>
      <c r="AK26" s="635"/>
      <c r="AM26" s="572"/>
      <c r="AN26" s="596"/>
      <c r="AO26" s="6"/>
      <c r="AP26" s="597"/>
      <c r="AQ26" s="685"/>
      <c r="AR26" s="620"/>
      <c r="AS26" s="50"/>
      <c r="AT26" s="635"/>
    </row>
    <row r="27" spans="1:46" ht="49.9" customHeight="1" x14ac:dyDescent="0.25">
      <c r="A27" s="2206">
        <v>45578</v>
      </c>
      <c r="B27" s="644">
        <v>1</v>
      </c>
      <c r="C27" s="595"/>
      <c r="D27" s="596"/>
      <c r="E27" s="596"/>
      <c r="F27" s="597"/>
      <c r="G27" s="685"/>
      <c r="H27" s="619"/>
      <c r="I27" s="692"/>
      <c r="J27" s="635"/>
      <c r="K27" s="622"/>
      <c r="L27" s="572"/>
      <c r="M27" s="6"/>
      <c r="N27" s="6"/>
      <c r="O27" s="597"/>
      <c r="P27" s="685"/>
      <c r="Q27" s="619"/>
      <c r="R27" s="620"/>
      <c r="S27" s="635"/>
      <c r="T27" s="622"/>
      <c r="U27" s="572"/>
      <c r="V27" s="6">
        <v>24</v>
      </c>
      <c r="W27" s="6">
        <v>24</v>
      </c>
      <c r="X27" s="597"/>
      <c r="Y27" s="685"/>
      <c r="Z27" s="620" t="s">
        <v>394</v>
      </c>
      <c r="AA27" s="698" t="s">
        <v>325</v>
      </c>
      <c r="AB27" s="635"/>
      <c r="AC27" s="622"/>
      <c r="AD27" s="572"/>
      <c r="AE27" s="6"/>
      <c r="AF27" s="6"/>
      <c r="AG27" s="597"/>
      <c r="AH27" s="685"/>
      <c r="AI27" s="605"/>
      <c r="AJ27" s="620"/>
      <c r="AK27" s="635"/>
      <c r="AM27" s="572"/>
      <c r="AN27" s="6"/>
      <c r="AO27" s="6"/>
      <c r="AP27" s="597"/>
      <c r="AQ27" s="605"/>
      <c r="AR27" s="6"/>
      <c r="AS27" s="692"/>
      <c r="AT27" s="635"/>
    </row>
    <row r="28" spans="1:46" ht="72" customHeight="1" x14ac:dyDescent="0.25">
      <c r="A28" s="2205"/>
      <c r="B28" s="574">
        <v>2</v>
      </c>
      <c r="C28" s="595"/>
      <c r="D28" s="596"/>
      <c r="E28" s="596"/>
      <c r="F28" s="597"/>
      <c r="G28" s="620"/>
      <c r="H28" s="620"/>
      <c r="I28" s="692"/>
      <c r="J28" s="635"/>
      <c r="K28" s="622"/>
      <c r="L28" s="572"/>
      <c r="M28" s="6"/>
      <c r="N28" s="6"/>
      <c r="O28" s="597"/>
      <c r="P28" s="620"/>
      <c r="Q28" s="620"/>
      <c r="R28" s="620"/>
      <c r="S28" s="635"/>
      <c r="T28" s="622"/>
      <c r="U28" s="572"/>
      <c r="V28" s="6"/>
      <c r="W28" s="622"/>
      <c r="X28" s="597"/>
      <c r="Y28" s="620"/>
      <c r="Z28" s="6"/>
      <c r="AA28" s="698"/>
      <c r="AB28" s="635"/>
      <c r="AC28" s="622"/>
      <c r="AD28" s="572"/>
      <c r="AE28" s="6"/>
      <c r="AF28" s="6"/>
      <c r="AG28" s="597"/>
      <c r="AH28" s="685"/>
      <c r="AI28" s="605"/>
      <c r="AJ28" s="692"/>
      <c r="AK28" s="635"/>
      <c r="AM28" s="572"/>
      <c r="AN28" s="6"/>
      <c r="AO28" s="6"/>
      <c r="AP28" s="597"/>
      <c r="AQ28" s="605"/>
      <c r="AR28" s="6"/>
      <c r="AS28" s="50"/>
      <c r="AT28" s="635"/>
    </row>
    <row r="29" spans="1:46" ht="66" customHeight="1" x14ac:dyDescent="0.25">
      <c r="A29" s="2206">
        <v>45579</v>
      </c>
      <c r="B29" s="574">
        <v>1</v>
      </c>
      <c r="C29" s="595"/>
      <c r="D29" s="596"/>
      <c r="E29" s="596"/>
      <c r="F29" s="597"/>
      <c r="G29" s="620"/>
      <c r="H29" s="619"/>
      <c r="I29" s="692"/>
      <c r="J29" s="635"/>
      <c r="K29" s="622"/>
      <c r="L29" s="572"/>
      <c r="M29" s="6"/>
      <c r="N29" s="6"/>
      <c r="O29" s="597"/>
      <c r="P29" s="685"/>
      <c r="Q29" s="620"/>
      <c r="R29" s="620"/>
      <c r="S29" s="635"/>
      <c r="T29" s="622"/>
      <c r="U29" s="572"/>
      <c r="V29" s="6"/>
      <c r="W29" s="6">
        <v>10</v>
      </c>
      <c r="X29" s="597"/>
      <c r="Y29" s="620"/>
      <c r="Z29" s="619"/>
      <c r="AA29" s="620" t="s">
        <v>152</v>
      </c>
      <c r="AB29" s="635"/>
      <c r="AC29" s="622"/>
      <c r="AD29" s="572"/>
      <c r="AE29" s="6"/>
      <c r="AF29" s="6"/>
      <c r="AG29" s="597"/>
      <c r="AH29" s="685"/>
      <c r="AI29" s="619"/>
      <c r="AJ29" s="620"/>
      <c r="AK29" s="635"/>
      <c r="AM29" s="572"/>
      <c r="AN29" s="6"/>
      <c r="AO29" s="6"/>
      <c r="AP29" s="597"/>
      <c r="AQ29" s="605"/>
      <c r="AR29" s="619"/>
      <c r="AS29" s="50"/>
      <c r="AT29" s="635"/>
    </row>
    <row r="30" spans="1:46" ht="39.6" customHeight="1" x14ac:dyDescent="0.25">
      <c r="A30" s="2205"/>
      <c r="B30" s="644">
        <v>2</v>
      </c>
      <c r="C30" s="595"/>
      <c r="D30" s="596"/>
      <c r="E30" s="596">
        <v>18</v>
      </c>
      <c r="F30" s="597"/>
      <c r="G30" s="620"/>
      <c r="H30" s="619"/>
      <c r="I30" s="692" t="s">
        <v>973</v>
      </c>
      <c r="J30" s="635"/>
      <c r="K30" s="622"/>
      <c r="L30" s="572">
        <v>38</v>
      </c>
      <c r="M30" s="6"/>
      <c r="N30" s="6"/>
      <c r="O30" s="597"/>
      <c r="P30" s="685" t="s">
        <v>974</v>
      </c>
      <c r="Q30" s="620"/>
      <c r="R30" s="620"/>
      <c r="S30" s="635"/>
      <c r="T30" s="622"/>
      <c r="U30" s="572"/>
      <c r="V30" s="6"/>
      <c r="W30" s="6">
        <v>12</v>
      </c>
      <c r="X30" s="597"/>
      <c r="Y30" s="620"/>
      <c r="Z30" s="619"/>
      <c r="AA30" s="698" t="s">
        <v>325</v>
      </c>
      <c r="AB30" s="635"/>
      <c r="AC30" s="622"/>
      <c r="AD30" s="572"/>
      <c r="AE30" s="6"/>
      <c r="AF30" s="6"/>
      <c r="AG30" s="597"/>
      <c r="AH30" s="685"/>
      <c r="AI30" s="620"/>
      <c r="AJ30" s="620"/>
      <c r="AK30" s="635"/>
      <c r="AM30" s="572"/>
      <c r="AN30" s="6"/>
      <c r="AO30" s="6"/>
      <c r="AP30" s="597"/>
      <c r="AQ30" s="1174"/>
      <c r="AR30" s="605"/>
      <c r="AS30" s="828"/>
      <c r="AT30" s="635"/>
    </row>
    <row r="31" spans="1:46" ht="39.6" customHeight="1" x14ac:dyDescent="0.25">
      <c r="A31" s="2206">
        <v>45580</v>
      </c>
      <c r="B31" s="574">
        <v>1</v>
      </c>
      <c r="C31" s="595"/>
      <c r="D31" s="596"/>
      <c r="E31" s="596"/>
      <c r="F31" s="597"/>
      <c r="G31" s="685"/>
      <c r="H31" s="620"/>
      <c r="I31" s="620"/>
      <c r="J31" s="635"/>
      <c r="K31" s="622"/>
      <c r="L31" s="572"/>
      <c r="M31" s="6"/>
      <c r="N31" s="6"/>
      <c r="O31" s="597"/>
      <c r="P31" s="614"/>
      <c r="Q31" s="6"/>
      <c r="R31" s="6"/>
      <c r="S31" s="635"/>
      <c r="T31" s="622"/>
      <c r="U31" s="572"/>
      <c r="V31" s="6"/>
      <c r="W31" s="6"/>
      <c r="X31" s="597"/>
      <c r="Y31" s="1174"/>
      <c r="Z31" s="6"/>
      <c r="AA31" s="698"/>
      <c r="AB31" s="635"/>
      <c r="AC31" s="622"/>
      <c r="AD31" s="572"/>
      <c r="AE31" s="6"/>
      <c r="AF31" s="6"/>
      <c r="AG31" s="597"/>
      <c r="AH31" s="685"/>
      <c r="AI31" s="6"/>
      <c r="AJ31" s="6"/>
      <c r="AK31" s="635"/>
      <c r="AM31" s="572"/>
      <c r="AN31" s="6"/>
      <c r="AO31" s="6"/>
      <c r="AP31" s="597"/>
      <c r="AQ31" s="614"/>
      <c r="AR31" s="6"/>
      <c r="AS31" s="6"/>
      <c r="AT31" s="635"/>
    </row>
    <row r="32" spans="1:46" ht="63" customHeight="1" x14ac:dyDescent="0.25">
      <c r="A32" s="2205"/>
      <c r="B32" s="574">
        <v>2</v>
      </c>
      <c r="C32" s="595"/>
      <c r="D32" s="595"/>
      <c r="E32" s="596"/>
      <c r="F32" s="595">
        <v>48</v>
      </c>
      <c r="G32" s="685"/>
      <c r="H32" s="635"/>
      <c r="I32" s="692"/>
      <c r="J32" s="635" t="s">
        <v>954</v>
      </c>
      <c r="K32" s="622"/>
      <c r="L32" s="572"/>
      <c r="M32" s="6"/>
      <c r="N32" s="6"/>
      <c r="O32" s="6">
        <v>40</v>
      </c>
      <c r="P32" s="614"/>
      <c r="Q32" s="635"/>
      <c r="R32" s="6"/>
      <c r="S32" s="635" t="s">
        <v>954</v>
      </c>
      <c r="T32" s="622"/>
      <c r="U32" s="572"/>
      <c r="V32" s="6"/>
      <c r="W32" s="596"/>
      <c r="X32" s="6">
        <v>50</v>
      </c>
      <c r="Y32" s="685"/>
      <c r="Z32" s="635"/>
      <c r="AA32" s="698"/>
      <c r="AB32" s="635" t="s">
        <v>954</v>
      </c>
      <c r="AC32" s="622"/>
      <c r="AD32" s="572"/>
      <c r="AE32" s="6"/>
      <c r="AF32" s="596"/>
      <c r="AG32" s="6">
        <v>54</v>
      </c>
      <c r="AH32" s="685"/>
      <c r="AI32" s="635"/>
      <c r="AJ32" s="698"/>
      <c r="AK32" s="635" t="s">
        <v>954</v>
      </c>
      <c r="AM32" s="572"/>
      <c r="AN32" s="6"/>
      <c r="AO32" s="6"/>
      <c r="AP32" s="597"/>
      <c r="AQ32" s="614"/>
      <c r="AR32" s="635"/>
      <c r="AS32" s="684"/>
      <c r="AT32" s="635" t="s">
        <v>954</v>
      </c>
    </row>
    <row r="33" spans="1:46" ht="43.15" customHeight="1" x14ac:dyDescent="0.25">
      <c r="A33" s="2206">
        <v>45581</v>
      </c>
      <c r="B33" s="574">
        <v>1</v>
      </c>
      <c r="C33" s="595"/>
      <c r="D33" s="596"/>
      <c r="E33" s="596"/>
      <c r="F33" s="597"/>
      <c r="G33" s="685"/>
      <c r="H33" s="620"/>
      <c r="I33" s="698"/>
      <c r="J33" s="635"/>
      <c r="K33" s="622"/>
      <c r="L33" s="572"/>
      <c r="M33" s="6"/>
      <c r="N33" s="6"/>
      <c r="O33" s="597"/>
      <c r="P33" s="614"/>
      <c r="Q33" s="6"/>
      <c r="R33" s="6"/>
      <c r="S33" s="635"/>
      <c r="T33" s="622"/>
      <c r="U33" s="572"/>
      <c r="V33" s="6"/>
      <c r="W33" s="6">
        <v>18</v>
      </c>
      <c r="X33" s="597"/>
      <c r="Y33" s="614"/>
      <c r="Z33" s="6"/>
      <c r="AA33" s="698" t="s">
        <v>325</v>
      </c>
      <c r="AB33" s="635"/>
      <c r="AC33" s="622"/>
      <c r="AD33" s="572"/>
      <c r="AE33" s="6"/>
      <c r="AF33" s="6"/>
      <c r="AG33" s="597"/>
      <c r="AH33" s="614"/>
      <c r="AI33" s="605"/>
      <c r="AJ33" s="698"/>
      <c r="AK33" s="635"/>
      <c r="AM33" s="572"/>
      <c r="AN33" s="6"/>
      <c r="AO33" s="6"/>
      <c r="AP33" s="597"/>
      <c r="AQ33" s="614"/>
      <c r="AR33" s="605"/>
      <c r="AS33" s="6"/>
      <c r="AT33" s="635"/>
    </row>
    <row r="34" spans="1:46" ht="67.900000000000006" customHeight="1" x14ac:dyDescent="0.25">
      <c r="A34" s="2205"/>
      <c r="B34" s="644">
        <v>2</v>
      </c>
      <c r="C34" s="596"/>
      <c r="D34" s="596"/>
      <c r="E34" s="596">
        <v>25</v>
      </c>
      <c r="F34" s="597"/>
      <c r="G34" s="684"/>
      <c r="H34" s="620"/>
      <c r="I34" s="848" t="s">
        <v>152</v>
      </c>
      <c r="J34" s="635"/>
      <c r="K34" s="622"/>
      <c r="L34" s="572"/>
      <c r="M34" s="6"/>
      <c r="N34" s="6"/>
      <c r="O34" s="597"/>
      <c r="P34" s="614"/>
      <c r="Q34" s="620"/>
      <c r="R34" s="6"/>
      <c r="S34" s="635"/>
      <c r="T34" s="622"/>
      <c r="U34" s="572"/>
      <c r="V34" s="6"/>
      <c r="W34" s="6">
        <v>26</v>
      </c>
      <c r="X34" s="597"/>
      <c r="Y34" s="605"/>
      <c r="Z34" s="605"/>
      <c r="AA34" s="620" t="s">
        <v>152</v>
      </c>
      <c r="AB34" s="635"/>
      <c r="AC34" s="622"/>
      <c r="AD34" s="572"/>
      <c r="AE34" s="6"/>
      <c r="AF34" s="6"/>
      <c r="AG34" s="597"/>
      <c r="AH34" s="614"/>
      <c r="AI34" s="6"/>
      <c r="AJ34" s="605"/>
      <c r="AK34" s="635"/>
      <c r="AM34" s="572"/>
      <c r="AN34" s="6"/>
      <c r="AO34" s="6">
        <v>16</v>
      </c>
      <c r="AP34" s="597"/>
      <c r="AQ34" s="614"/>
      <c r="AR34" s="6"/>
      <c r="AS34" s="620" t="s">
        <v>152</v>
      </c>
      <c r="AT34" s="635"/>
    </row>
    <row r="35" spans="1:46" ht="51" customHeight="1" x14ac:dyDescent="0.25">
      <c r="A35" s="2206">
        <v>45582</v>
      </c>
      <c r="B35" s="574">
        <v>1</v>
      </c>
      <c r="C35" s="596"/>
      <c r="D35" s="596"/>
      <c r="E35" s="50">
        <v>13</v>
      </c>
      <c r="F35" s="597"/>
      <c r="G35" s="567"/>
      <c r="H35" s="614"/>
      <c r="I35" s="848" t="s">
        <v>152</v>
      </c>
      <c r="J35" s="635"/>
      <c r="K35" s="622"/>
      <c r="L35" s="572"/>
      <c r="M35" s="6"/>
      <c r="N35" s="6"/>
      <c r="O35" s="597"/>
      <c r="P35" s="567"/>
      <c r="Q35" s="1178"/>
      <c r="R35" s="620"/>
      <c r="S35" s="635"/>
      <c r="T35" s="622"/>
      <c r="U35" s="572"/>
      <c r="V35" s="6"/>
      <c r="W35" s="50">
        <v>13</v>
      </c>
      <c r="X35" s="597"/>
      <c r="Y35" s="567"/>
      <c r="Z35" s="605"/>
      <c r="AA35" s="620" t="s">
        <v>152</v>
      </c>
      <c r="AB35" s="635"/>
      <c r="AC35" s="622"/>
      <c r="AD35" s="572"/>
      <c r="AE35" s="6"/>
      <c r="AF35" s="6"/>
      <c r="AG35" s="597"/>
      <c r="AH35" s="567"/>
      <c r="AI35" s="6"/>
      <c r="AJ35" s="684"/>
      <c r="AK35" s="635"/>
      <c r="AM35" s="572"/>
      <c r="AN35" s="6"/>
      <c r="AO35" s="50"/>
      <c r="AP35" s="597"/>
      <c r="AQ35" s="567"/>
      <c r="AR35" s="692"/>
      <c r="AS35" s="828"/>
      <c r="AT35" s="635"/>
    </row>
    <row r="36" spans="1:46" ht="46.9" customHeight="1" x14ac:dyDescent="0.25">
      <c r="A36" s="2205"/>
      <c r="B36" s="574">
        <v>2</v>
      </c>
      <c r="C36" s="50"/>
      <c r="D36" s="6"/>
      <c r="E36" s="50">
        <v>20</v>
      </c>
      <c r="F36" s="597"/>
      <c r="G36" s="692"/>
      <c r="H36" s="620"/>
      <c r="I36" s="692" t="s">
        <v>973</v>
      </c>
      <c r="J36" s="635"/>
      <c r="K36" s="622"/>
      <c r="L36" s="567"/>
      <c r="M36" s="6"/>
      <c r="N36" s="6"/>
      <c r="O36" s="597"/>
      <c r="P36" s="567"/>
      <c r="Q36" s="620"/>
      <c r="R36" s="605"/>
      <c r="S36" s="635"/>
      <c r="T36" s="622"/>
      <c r="U36" s="572"/>
      <c r="V36" s="6"/>
      <c r="W36" s="6">
        <v>28</v>
      </c>
      <c r="X36" s="597"/>
      <c r="Y36" s="567"/>
      <c r="Z36" s="620"/>
      <c r="AA36" s="620" t="s">
        <v>152</v>
      </c>
      <c r="AB36" s="635"/>
      <c r="AC36" s="622"/>
      <c r="AD36" s="572"/>
      <c r="AE36" s="6"/>
      <c r="AF36" s="50"/>
      <c r="AG36" s="597"/>
      <c r="AH36" s="567"/>
      <c r="AI36" s="605"/>
      <c r="AJ36" s="698"/>
      <c r="AK36" s="635"/>
      <c r="AM36" s="572"/>
      <c r="AN36" s="6"/>
      <c r="AO36" s="572"/>
      <c r="AP36" s="597"/>
      <c r="AQ36" s="614"/>
      <c r="AR36" s="1174"/>
      <c r="AS36" s="567"/>
      <c r="AT36" s="635"/>
    </row>
    <row r="37" spans="1:46" ht="59.45" customHeight="1" x14ac:dyDescent="0.25">
      <c r="A37" s="2206">
        <v>45583</v>
      </c>
      <c r="B37" s="644">
        <v>1</v>
      </c>
      <c r="C37" s="50"/>
      <c r="D37" s="596"/>
      <c r="E37" s="50"/>
      <c r="F37" s="597"/>
      <c r="G37" s="692"/>
      <c r="H37" s="1174"/>
      <c r="I37" s="848"/>
      <c r="J37" s="635"/>
      <c r="K37" s="622"/>
      <c r="L37" s="572"/>
      <c r="M37" s="6"/>
      <c r="N37" s="6"/>
      <c r="O37" s="597"/>
      <c r="P37" s="614"/>
      <c r="Q37" s="6"/>
      <c r="R37" s="6"/>
      <c r="S37" s="635"/>
      <c r="T37" s="622"/>
      <c r="U37" s="572"/>
      <c r="V37" s="6"/>
      <c r="W37" s="6"/>
      <c r="X37" s="597"/>
      <c r="Y37" s="614"/>
      <c r="Z37" s="605"/>
      <c r="AA37" s="620"/>
      <c r="AB37" s="635"/>
      <c r="AC37" s="622"/>
      <c r="AD37" s="572"/>
      <c r="AE37" s="6"/>
      <c r="AF37" s="6"/>
      <c r="AG37" s="597"/>
      <c r="AH37" s="1174"/>
      <c r="AI37" s="6"/>
      <c r="AJ37" s="698"/>
      <c r="AK37" s="635"/>
      <c r="AM37" s="572">
        <v>18</v>
      </c>
      <c r="AN37" s="6"/>
      <c r="AO37" s="6"/>
      <c r="AP37" s="597"/>
      <c r="AQ37" s="614" t="s">
        <v>113</v>
      </c>
      <c r="AR37" s="6"/>
      <c r="AS37" s="6"/>
      <c r="AT37" s="635"/>
    </row>
    <row r="38" spans="1:46" ht="55.9" customHeight="1" x14ac:dyDescent="0.25">
      <c r="A38" s="2205"/>
      <c r="B38" s="574">
        <v>2</v>
      </c>
      <c r="C38" s="50"/>
      <c r="D38" s="596"/>
      <c r="E38" s="50"/>
      <c r="F38" s="597"/>
      <c r="G38" s="692"/>
      <c r="H38" s="1174"/>
      <c r="I38" s="848"/>
      <c r="J38" s="635"/>
      <c r="K38" s="622"/>
      <c r="L38" s="572"/>
      <c r="M38" s="6"/>
      <c r="N38" s="6"/>
      <c r="O38" s="597"/>
      <c r="P38" s="1174"/>
      <c r="Q38" s="1174"/>
      <c r="R38" s="6"/>
      <c r="S38" s="635"/>
      <c r="T38" s="622"/>
      <c r="U38" s="572"/>
      <c r="V38" s="6"/>
      <c r="W38" s="6"/>
      <c r="X38" s="597"/>
      <c r="Y38" s="1174"/>
      <c r="Z38" s="605"/>
      <c r="AA38" s="698"/>
      <c r="AB38" s="635"/>
      <c r="AC38" s="622"/>
      <c r="AD38" s="572"/>
      <c r="AE38" s="6"/>
      <c r="AF38" s="6"/>
      <c r="AG38" s="597"/>
      <c r="AH38" s="1174"/>
      <c r="AI38" s="6"/>
      <c r="AJ38" s="698"/>
      <c r="AK38" s="635"/>
      <c r="AM38" s="572"/>
      <c r="AN38" s="6"/>
      <c r="AO38" s="6"/>
      <c r="AP38" s="597"/>
      <c r="AQ38" s="1174"/>
      <c r="AR38" s="6"/>
      <c r="AS38" s="567"/>
      <c r="AT38" s="635"/>
    </row>
    <row r="39" spans="1:46" ht="70.900000000000006" customHeight="1" x14ac:dyDescent="0.25">
      <c r="A39" s="2206">
        <v>45584</v>
      </c>
      <c r="B39" s="574">
        <v>1</v>
      </c>
      <c r="C39" s="50"/>
      <c r="D39" s="596"/>
      <c r="E39" s="596">
        <v>28</v>
      </c>
      <c r="F39" s="597"/>
      <c r="G39" s="692"/>
      <c r="H39" s="1174"/>
      <c r="I39" s="848" t="s">
        <v>152</v>
      </c>
      <c r="J39" s="635"/>
      <c r="K39" s="622"/>
      <c r="L39" s="572"/>
      <c r="M39" s="6"/>
      <c r="N39" s="6"/>
      <c r="O39" s="597"/>
      <c r="P39" s="692"/>
      <c r="Q39" s="619"/>
      <c r="R39" s="6"/>
      <c r="S39" s="635"/>
      <c r="T39" s="622"/>
      <c r="U39" s="572"/>
      <c r="V39" s="6">
        <v>38</v>
      </c>
      <c r="W39" s="6">
        <v>30</v>
      </c>
      <c r="X39" s="597"/>
      <c r="Y39" s="614"/>
      <c r="Z39" s="620" t="s">
        <v>394</v>
      </c>
      <c r="AA39" s="698" t="s">
        <v>328</v>
      </c>
      <c r="AB39" s="635"/>
      <c r="AC39" s="622"/>
      <c r="AD39" s="572"/>
      <c r="AE39" s="6"/>
      <c r="AF39" s="6"/>
      <c r="AG39" s="597"/>
      <c r="AH39" s="692"/>
      <c r="AI39" s="619"/>
      <c r="AJ39" s="698"/>
      <c r="AK39" s="635"/>
      <c r="AM39" s="572"/>
      <c r="AN39" s="6"/>
      <c r="AO39" s="6"/>
      <c r="AP39" s="597"/>
      <c r="AQ39" s="620"/>
      <c r="AR39" s="692"/>
      <c r="AS39" s="698"/>
      <c r="AT39" s="635"/>
    </row>
    <row r="40" spans="1:46" ht="72.599999999999994" customHeight="1" x14ac:dyDescent="0.25">
      <c r="A40" s="2205"/>
      <c r="B40" s="574">
        <v>2</v>
      </c>
      <c r="C40" s="596"/>
      <c r="D40" s="596"/>
      <c r="E40" s="596">
        <v>30</v>
      </c>
      <c r="F40" s="597"/>
      <c r="G40" s="692"/>
      <c r="H40" s="1174"/>
      <c r="I40" s="848" t="s">
        <v>152</v>
      </c>
      <c r="J40" s="635"/>
      <c r="K40" s="622"/>
      <c r="L40" s="572"/>
      <c r="M40" s="6"/>
      <c r="N40" s="6"/>
      <c r="O40" s="597"/>
      <c r="P40" s="685"/>
      <c r="Q40" s="619"/>
      <c r="R40" s="692"/>
      <c r="S40" s="635"/>
      <c r="T40" s="622"/>
      <c r="U40" s="572">
        <v>84</v>
      </c>
      <c r="V40" s="6"/>
      <c r="W40" s="6">
        <v>21</v>
      </c>
      <c r="X40" s="597"/>
      <c r="Y40" s="685" t="s">
        <v>974</v>
      </c>
      <c r="Z40" s="619"/>
      <c r="AA40" s="620" t="s">
        <v>152</v>
      </c>
      <c r="AB40" s="635"/>
      <c r="AC40" s="622"/>
      <c r="AD40" s="572"/>
      <c r="AE40" s="6"/>
      <c r="AF40" s="6"/>
      <c r="AG40" s="597"/>
      <c r="AH40" s="567"/>
      <c r="AI40" s="620"/>
      <c r="AJ40" s="698"/>
      <c r="AK40" s="635"/>
      <c r="AM40" s="567"/>
      <c r="AN40" s="6"/>
      <c r="AO40" s="6">
        <v>14</v>
      </c>
      <c r="AP40" s="597"/>
      <c r="AQ40" s="685"/>
      <c r="AR40" s="619"/>
      <c r="AS40" s="692" t="s">
        <v>27</v>
      </c>
      <c r="AT40" s="635"/>
    </row>
    <row r="41" spans="1:46" ht="39.6" customHeight="1" x14ac:dyDescent="0.25">
      <c r="A41" s="2206">
        <v>45585</v>
      </c>
      <c r="B41" s="574">
        <v>1</v>
      </c>
      <c r="C41" s="595"/>
      <c r="D41" s="596"/>
      <c r="E41" s="596">
        <v>27</v>
      </c>
      <c r="F41" s="597"/>
      <c r="G41" s="685"/>
      <c r="H41" s="620"/>
      <c r="I41" s="692" t="s">
        <v>973</v>
      </c>
      <c r="J41" s="635"/>
      <c r="K41" s="622"/>
      <c r="L41" s="572"/>
      <c r="M41" s="6"/>
      <c r="N41" s="6"/>
      <c r="O41" s="597"/>
      <c r="P41" s="614"/>
      <c r="Q41" s="6"/>
      <c r="R41" s="692"/>
      <c r="S41" s="635"/>
      <c r="T41" s="622"/>
      <c r="U41" s="572"/>
      <c r="V41" s="6"/>
      <c r="W41" s="6">
        <v>32</v>
      </c>
      <c r="X41" s="597"/>
      <c r="Y41" s="614"/>
      <c r="Z41" s="605"/>
      <c r="AA41" s="698" t="s">
        <v>328</v>
      </c>
      <c r="AB41" s="635"/>
      <c r="AC41" s="622"/>
      <c r="AD41" s="572"/>
      <c r="AE41" s="6"/>
      <c r="AF41" s="6"/>
      <c r="AG41" s="597"/>
      <c r="AH41" s="567"/>
      <c r="AI41" s="605"/>
      <c r="AJ41" s="6"/>
      <c r="AK41" s="635"/>
      <c r="AM41" s="572"/>
      <c r="AN41" s="6"/>
      <c r="AO41" s="6"/>
      <c r="AP41" s="597"/>
      <c r="AQ41" s="614"/>
      <c r="AR41" s="605"/>
      <c r="AS41" s="692"/>
      <c r="AT41" s="635"/>
    </row>
    <row r="42" spans="1:46" ht="52.9" customHeight="1" x14ac:dyDescent="0.25">
      <c r="A42" s="2205"/>
      <c r="B42" s="574">
        <v>2</v>
      </c>
      <c r="C42" s="596"/>
      <c r="D42" s="596"/>
      <c r="E42" s="596">
        <v>50</v>
      </c>
      <c r="F42" s="597"/>
      <c r="G42" s="685"/>
      <c r="H42" s="620"/>
      <c r="I42" s="692" t="s">
        <v>807</v>
      </c>
      <c r="J42" s="635"/>
      <c r="K42" s="622"/>
      <c r="L42" s="572"/>
      <c r="M42" s="6"/>
      <c r="N42" s="6"/>
      <c r="O42" s="597"/>
      <c r="P42" s="614"/>
      <c r="Q42" s="605"/>
      <c r="R42" s="6"/>
      <c r="S42" s="635"/>
      <c r="T42" s="622"/>
      <c r="U42" s="572"/>
      <c r="V42" s="6"/>
      <c r="W42" s="6"/>
      <c r="X42" s="597"/>
      <c r="Y42" s="1174"/>
      <c r="Z42" s="6"/>
      <c r="AA42" s="698"/>
      <c r="AB42" s="635"/>
      <c r="AC42" s="622"/>
      <c r="AD42" s="572"/>
      <c r="AE42" s="6"/>
      <c r="AF42" s="6"/>
      <c r="AG42" s="597"/>
      <c r="AH42" s="614"/>
      <c r="AI42" s="605"/>
      <c r="AJ42" s="6"/>
      <c r="AK42" s="635"/>
      <c r="AM42" s="572"/>
      <c r="AN42" s="6"/>
      <c r="AO42" s="6"/>
      <c r="AP42" s="597"/>
      <c r="AQ42" s="614"/>
      <c r="AR42" s="6"/>
      <c r="AS42" s="6"/>
      <c r="AT42" s="635"/>
    </row>
    <row r="43" spans="1:46" ht="65.45" customHeight="1" x14ac:dyDescent="0.25">
      <c r="A43" s="2206">
        <v>45586</v>
      </c>
      <c r="B43" s="574">
        <v>1</v>
      </c>
      <c r="C43" s="596"/>
      <c r="D43" s="596"/>
      <c r="E43" s="596">
        <v>21</v>
      </c>
      <c r="F43" s="597"/>
      <c r="G43" s="619"/>
      <c r="H43" s="619"/>
      <c r="I43" s="848" t="s">
        <v>152</v>
      </c>
      <c r="J43" s="635"/>
      <c r="K43" s="622"/>
      <c r="L43" s="572"/>
      <c r="M43" s="6"/>
      <c r="N43" s="6"/>
      <c r="O43" s="597"/>
      <c r="P43" s="614"/>
      <c r="Q43" s="6"/>
      <c r="R43" s="6"/>
      <c r="S43" s="635"/>
      <c r="T43" s="622"/>
      <c r="U43" s="572"/>
      <c r="V43" s="6"/>
      <c r="W43" s="6"/>
      <c r="X43" s="597"/>
      <c r="Y43" s="614"/>
      <c r="Z43" s="6"/>
      <c r="AA43" s="698"/>
      <c r="AB43" s="635"/>
      <c r="AC43" s="622"/>
      <c r="AD43" s="572"/>
      <c r="AE43" s="6"/>
      <c r="AF43" s="6"/>
      <c r="AG43" s="597"/>
      <c r="AH43" s="605"/>
      <c r="AI43" s="620"/>
      <c r="AJ43" s="6"/>
      <c r="AK43" s="635"/>
      <c r="AM43" s="572"/>
      <c r="AN43" s="6"/>
      <c r="AO43" s="6"/>
      <c r="AP43" s="597"/>
      <c r="AQ43" s="605"/>
      <c r="AR43" s="620"/>
      <c r="AS43" s="6"/>
      <c r="AT43" s="635"/>
    </row>
    <row r="44" spans="1:46" ht="69" customHeight="1" x14ac:dyDescent="0.25">
      <c r="A44" s="2205"/>
      <c r="B44" s="574">
        <v>2</v>
      </c>
      <c r="C44" s="596"/>
      <c r="D44" s="596"/>
      <c r="E44" s="596">
        <v>37</v>
      </c>
      <c r="F44" s="597"/>
      <c r="G44" s="619"/>
      <c r="H44" s="1174"/>
      <c r="I44" s="692" t="s">
        <v>807</v>
      </c>
      <c r="J44" s="635"/>
      <c r="K44" s="622"/>
      <c r="L44" s="572"/>
      <c r="M44" s="6">
        <v>127</v>
      </c>
      <c r="N44" s="6"/>
      <c r="O44" s="613"/>
      <c r="P44" s="1174"/>
      <c r="Q44" s="6" t="s">
        <v>96</v>
      </c>
      <c r="R44" s="605"/>
      <c r="S44" s="635"/>
      <c r="T44" s="622"/>
      <c r="U44" s="572"/>
      <c r="V44" s="6"/>
      <c r="W44" s="596">
        <v>25</v>
      </c>
      <c r="X44" s="597"/>
      <c r="Y44" s="619"/>
      <c r="Z44" s="620"/>
      <c r="AA44" s="698" t="s">
        <v>807</v>
      </c>
      <c r="AB44" s="635"/>
      <c r="AC44" s="622"/>
      <c r="AD44" s="572"/>
      <c r="AE44" s="6"/>
      <c r="AF44" s="6"/>
      <c r="AG44" s="613"/>
      <c r="AH44" s="614"/>
      <c r="AI44" s="605"/>
      <c r="AJ44" s="698"/>
      <c r="AK44" s="635"/>
      <c r="AM44" s="572"/>
      <c r="AN44" s="6"/>
      <c r="AO44" s="6"/>
      <c r="AP44" s="613"/>
      <c r="AQ44" s="614"/>
      <c r="AR44" s="605"/>
      <c r="AS44" s="605"/>
      <c r="AT44" s="635"/>
    </row>
    <row r="45" spans="1:46" ht="69" customHeight="1" x14ac:dyDescent="0.25">
      <c r="A45" s="2206">
        <v>45587</v>
      </c>
      <c r="B45" s="574">
        <v>1</v>
      </c>
      <c r="C45" s="596"/>
      <c r="D45" s="596"/>
      <c r="E45" s="596">
        <v>30</v>
      </c>
      <c r="F45" s="597"/>
      <c r="G45" s="619"/>
      <c r="H45" s="619"/>
      <c r="I45" s="692" t="s">
        <v>401</v>
      </c>
      <c r="J45" s="635"/>
      <c r="K45" s="622"/>
      <c r="L45" s="572"/>
      <c r="M45" s="6"/>
      <c r="N45" s="6"/>
      <c r="O45" s="613"/>
      <c r="P45" s="614"/>
      <c r="Q45" s="605"/>
      <c r="R45" s="6"/>
      <c r="S45" s="635"/>
      <c r="T45" s="622"/>
      <c r="U45" s="572"/>
      <c r="V45" s="605"/>
      <c r="W45" s="6"/>
      <c r="X45" s="597"/>
      <c r="Y45" s="614"/>
      <c r="Z45" s="605"/>
      <c r="AA45" s="605"/>
      <c r="AB45" s="635"/>
      <c r="AC45" s="622"/>
      <c r="AD45" s="572"/>
      <c r="AE45" s="6"/>
      <c r="AF45" s="6"/>
      <c r="AG45" s="613"/>
      <c r="AH45" s="614"/>
      <c r="AI45" s="605"/>
      <c r="AJ45" s="605"/>
      <c r="AK45" s="635"/>
      <c r="AM45" s="572"/>
      <c r="AN45" s="6"/>
      <c r="AO45" s="6"/>
      <c r="AP45" s="613"/>
      <c r="AQ45" s="614"/>
      <c r="AR45" s="605"/>
      <c r="AS45" s="6"/>
      <c r="AT45" s="635"/>
    </row>
    <row r="46" spans="1:46" ht="48.6" customHeight="1" x14ac:dyDescent="0.25">
      <c r="A46" s="2205"/>
      <c r="B46" s="574">
        <v>2</v>
      </c>
      <c r="C46" s="596"/>
      <c r="D46" s="596"/>
      <c r="E46" s="596">
        <v>15</v>
      </c>
      <c r="F46" s="597"/>
      <c r="G46" s="619"/>
      <c r="H46" s="619"/>
      <c r="I46" s="605" t="s">
        <v>152</v>
      </c>
      <c r="J46" s="635"/>
      <c r="K46" s="622"/>
      <c r="L46" s="572"/>
      <c r="M46" s="6"/>
      <c r="N46" s="6"/>
      <c r="O46" s="785"/>
      <c r="P46" s="614"/>
      <c r="Q46" s="620"/>
      <c r="R46" s="605"/>
      <c r="S46" s="635"/>
      <c r="T46" s="622"/>
      <c r="U46" s="572"/>
      <c r="V46" s="6"/>
      <c r="W46" s="6"/>
      <c r="X46" s="613"/>
      <c r="Y46" s="6"/>
      <c r="Z46" s="6"/>
      <c r="AA46" s="605"/>
      <c r="AB46" s="635"/>
      <c r="AC46" s="622"/>
      <c r="AD46" s="572"/>
      <c r="AE46" s="6"/>
      <c r="AF46" s="6"/>
      <c r="AG46" s="613"/>
      <c r="AH46" s="1174"/>
      <c r="AI46" s="605"/>
      <c r="AJ46" s="698"/>
      <c r="AK46" s="635"/>
      <c r="AM46" s="572"/>
      <c r="AN46" s="6"/>
      <c r="AO46" s="6"/>
      <c r="AP46" s="613"/>
      <c r="AQ46" s="614"/>
      <c r="AR46" s="620"/>
      <c r="AS46" s="605"/>
      <c r="AT46" s="635"/>
    </row>
    <row r="47" spans="1:46" ht="58.9" customHeight="1" x14ac:dyDescent="0.25">
      <c r="A47" s="2206">
        <v>45588</v>
      </c>
      <c r="B47" s="574">
        <v>1</v>
      </c>
      <c r="C47" s="596"/>
      <c r="D47" s="596"/>
      <c r="E47" s="596">
        <v>35</v>
      </c>
      <c r="F47" s="597"/>
      <c r="G47" s="619"/>
      <c r="H47" s="620"/>
      <c r="I47" s="605" t="s">
        <v>152</v>
      </c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/>
      <c r="X47" s="613"/>
      <c r="Y47" s="619"/>
      <c r="Z47" s="605"/>
      <c r="AA47" s="605"/>
      <c r="AB47" s="635"/>
      <c r="AC47" s="622"/>
      <c r="AD47" s="572"/>
      <c r="AE47" s="6"/>
      <c r="AF47" s="6"/>
      <c r="AG47" s="613"/>
      <c r="AH47" s="1174"/>
      <c r="AI47" s="620"/>
      <c r="AJ47" s="698"/>
      <c r="AK47" s="613"/>
      <c r="AM47" s="572"/>
      <c r="AN47" s="6"/>
      <c r="AO47" s="6"/>
      <c r="AP47" s="613"/>
      <c r="AQ47" s="614"/>
      <c r="AR47" s="620"/>
      <c r="AS47" s="6"/>
      <c r="AT47" s="613"/>
    </row>
    <row r="48" spans="1:46" ht="34.9" customHeight="1" x14ac:dyDescent="0.25">
      <c r="A48" s="2205"/>
      <c r="B48" s="574">
        <v>2</v>
      </c>
      <c r="C48" s="596"/>
      <c r="D48" s="596"/>
      <c r="E48" s="596">
        <v>57</v>
      </c>
      <c r="F48" s="597"/>
      <c r="G48" s="620"/>
      <c r="H48" s="620"/>
      <c r="I48" s="692" t="s">
        <v>727</v>
      </c>
      <c r="J48" s="635"/>
      <c r="K48" s="622"/>
      <c r="L48" s="572"/>
      <c r="M48" s="6"/>
      <c r="N48" s="6"/>
      <c r="O48" s="597"/>
      <c r="P48" s="620"/>
      <c r="Q48" s="620"/>
      <c r="R48" s="692"/>
      <c r="S48" s="635"/>
      <c r="T48" s="622"/>
      <c r="U48" s="572"/>
      <c r="V48" s="6"/>
      <c r="W48" s="6"/>
      <c r="X48" s="597"/>
      <c r="Y48" s="620"/>
      <c r="Z48" s="620"/>
      <c r="AA48" s="692"/>
      <c r="AB48" s="635"/>
      <c r="AC48" s="622"/>
      <c r="AD48" s="572"/>
      <c r="AE48" s="6"/>
      <c r="AF48" s="6"/>
      <c r="AG48" s="597"/>
      <c r="AH48" s="1174"/>
      <c r="AI48" s="620"/>
      <c r="AJ48" s="692"/>
      <c r="AK48" s="635"/>
      <c r="AM48" s="572"/>
      <c r="AN48" s="6"/>
      <c r="AO48" s="572"/>
      <c r="AP48" s="6"/>
      <c r="AQ48" s="597"/>
      <c r="AR48" s="620"/>
      <c r="AS48" s="605"/>
      <c r="AT48" s="613"/>
    </row>
    <row r="49" spans="1:46" ht="43.15" customHeight="1" x14ac:dyDescent="0.25">
      <c r="A49" s="2206">
        <v>45589</v>
      </c>
      <c r="B49" s="574">
        <v>1</v>
      </c>
      <c r="C49" s="596"/>
      <c r="D49" s="596"/>
      <c r="E49" s="596">
        <v>10</v>
      </c>
      <c r="F49" s="597"/>
      <c r="G49" s="620"/>
      <c r="H49" s="619"/>
      <c r="I49" s="692" t="s">
        <v>152</v>
      </c>
      <c r="J49" s="635"/>
      <c r="K49" s="622"/>
      <c r="L49" s="572"/>
      <c r="M49" s="6"/>
      <c r="N49" s="6"/>
      <c r="O49" s="597"/>
      <c r="P49" s="620"/>
      <c r="Q49" s="619"/>
      <c r="R49" s="692"/>
      <c r="S49" s="635"/>
      <c r="T49" s="622"/>
      <c r="U49" s="572"/>
      <c r="V49" s="6"/>
      <c r="W49" s="6"/>
      <c r="X49" s="597"/>
      <c r="Y49" s="620"/>
      <c r="Z49" s="605"/>
      <c r="AA49" s="605"/>
      <c r="AB49" s="635"/>
      <c r="AC49" s="622"/>
      <c r="AD49" s="572"/>
      <c r="AE49" s="6"/>
      <c r="AF49" s="6"/>
      <c r="AG49" s="597"/>
      <c r="AH49" s="1174"/>
      <c r="AI49" s="619"/>
      <c r="AJ49" s="692"/>
      <c r="AK49" s="635"/>
      <c r="AM49" s="572"/>
      <c r="AN49" s="6"/>
      <c r="AO49" s="6"/>
      <c r="AP49" s="620"/>
      <c r="AQ49" s="619"/>
      <c r="AR49" s="692"/>
      <c r="AS49" s="635"/>
      <c r="AT49" s="635"/>
    </row>
    <row r="50" spans="1:46" ht="51.6" customHeight="1" x14ac:dyDescent="0.25">
      <c r="A50" s="2205"/>
      <c r="B50" s="574">
        <v>2</v>
      </c>
      <c r="C50" s="596"/>
      <c r="D50" s="596"/>
      <c r="E50" s="596">
        <v>23</v>
      </c>
      <c r="F50" s="597"/>
      <c r="G50" s="619"/>
      <c r="H50" s="619"/>
      <c r="I50" s="692" t="s">
        <v>152</v>
      </c>
      <c r="J50" s="635"/>
      <c r="K50" s="622"/>
      <c r="L50" s="572"/>
      <c r="M50" s="6"/>
      <c r="N50" s="6"/>
      <c r="O50" s="597"/>
      <c r="P50" s="619"/>
      <c r="Q50" s="619"/>
      <c r="R50" s="692"/>
      <c r="S50" s="635"/>
      <c r="T50" s="622"/>
      <c r="U50" s="572"/>
      <c r="V50" s="6"/>
      <c r="W50" s="6"/>
      <c r="X50" s="597"/>
      <c r="Y50" s="619"/>
      <c r="Z50" s="619"/>
      <c r="AA50" s="698"/>
      <c r="AB50" s="635"/>
      <c r="AC50" s="622"/>
      <c r="AD50" s="572"/>
      <c r="AE50" s="6"/>
      <c r="AF50" s="6"/>
      <c r="AG50" s="597"/>
      <c r="AH50" s="1174"/>
      <c r="AI50" s="619"/>
      <c r="AJ50" s="692"/>
      <c r="AK50" s="635"/>
      <c r="AM50" s="572"/>
      <c r="AN50" s="6"/>
      <c r="AO50" s="6"/>
      <c r="AP50" s="619"/>
      <c r="AQ50" s="619"/>
      <c r="AR50" s="692"/>
      <c r="AS50" s="635"/>
      <c r="AT50" s="635"/>
    </row>
    <row r="51" spans="1:46" ht="34.9" customHeight="1" x14ac:dyDescent="0.25">
      <c r="A51" s="2206">
        <v>45590</v>
      </c>
      <c r="B51" s="574">
        <v>1</v>
      </c>
      <c r="C51" s="596"/>
      <c r="D51" s="596"/>
      <c r="E51" s="596"/>
      <c r="F51" s="597"/>
      <c r="G51" s="619"/>
      <c r="H51" s="619"/>
      <c r="I51" s="692"/>
      <c r="J51" s="635"/>
      <c r="K51" s="622"/>
      <c r="L51" s="572"/>
      <c r="M51" s="6"/>
      <c r="N51" s="6"/>
      <c r="O51" s="597"/>
      <c r="P51" s="619"/>
      <c r="Q51" s="619"/>
      <c r="R51" s="692"/>
      <c r="S51" s="635"/>
      <c r="T51" s="622"/>
      <c r="U51" s="572"/>
      <c r="V51" s="6"/>
      <c r="W51" s="6"/>
      <c r="X51" s="597"/>
      <c r="Y51" s="619"/>
      <c r="Z51" s="619"/>
      <c r="AA51" s="698"/>
      <c r="AB51" s="635"/>
      <c r="AC51" s="622"/>
      <c r="AD51" s="572"/>
      <c r="AE51" s="6"/>
      <c r="AF51" s="6"/>
      <c r="AG51" s="597"/>
      <c r="AH51" s="619"/>
      <c r="AI51" s="619"/>
      <c r="AJ51" s="692"/>
      <c r="AK51" s="635"/>
      <c r="AM51" s="572"/>
      <c r="AN51" s="6"/>
      <c r="AO51" s="6"/>
      <c r="AP51" s="619"/>
      <c r="AQ51" s="619"/>
      <c r="AR51" s="692"/>
      <c r="AS51" s="635"/>
      <c r="AT51" s="635"/>
    </row>
    <row r="52" spans="1:46" ht="49.15" customHeight="1" x14ac:dyDescent="0.25">
      <c r="A52" s="2205"/>
      <c r="B52" s="574">
        <v>2</v>
      </c>
      <c r="C52" s="596"/>
      <c r="D52" s="596"/>
      <c r="E52" s="596"/>
      <c r="F52" s="597"/>
      <c r="G52" s="620"/>
      <c r="H52" s="620"/>
      <c r="I52" s="692"/>
      <c r="J52" s="635"/>
      <c r="K52" s="622"/>
      <c r="L52" s="572"/>
      <c r="M52" s="6"/>
      <c r="N52" s="6"/>
      <c r="O52" s="597"/>
      <c r="P52" s="620"/>
      <c r="Q52" s="620"/>
      <c r="R52" s="692"/>
      <c r="S52" s="635"/>
      <c r="T52" s="622"/>
      <c r="U52" s="572">
        <v>156</v>
      </c>
      <c r="V52" s="6"/>
      <c r="W52" s="6"/>
      <c r="X52" s="597"/>
      <c r="Y52" s="620"/>
      <c r="Z52" s="620"/>
      <c r="AA52" s="698"/>
      <c r="AB52" s="635"/>
      <c r="AC52" s="622"/>
      <c r="AD52" s="572"/>
      <c r="AE52" s="6"/>
      <c r="AF52" s="6"/>
      <c r="AG52" s="597"/>
      <c r="AH52" s="620"/>
      <c r="AI52" s="620"/>
      <c r="AJ52" s="692"/>
      <c r="AK52" s="635"/>
      <c r="AM52" s="572"/>
      <c r="AN52" s="613"/>
      <c r="AO52" s="613"/>
      <c r="AP52" s="613"/>
      <c r="AQ52" s="614"/>
      <c r="AR52" s="6"/>
      <c r="AS52" s="635"/>
      <c r="AT52" s="635"/>
    </row>
    <row r="53" spans="1:46" ht="48" customHeight="1" x14ac:dyDescent="0.25">
      <c r="A53" s="2206">
        <v>45591</v>
      </c>
      <c r="B53" s="574">
        <v>1</v>
      </c>
      <c r="C53" s="596"/>
      <c r="D53" s="596"/>
      <c r="E53" s="596"/>
      <c r="F53" s="597"/>
      <c r="G53" s="619"/>
      <c r="H53" s="619"/>
      <c r="I53" s="848"/>
      <c r="J53" s="635"/>
      <c r="K53" s="622"/>
      <c r="L53" s="572"/>
      <c r="M53" s="6"/>
      <c r="N53" s="6"/>
      <c r="O53" s="613"/>
      <c r="P53" s="1174"/>
      <c r="Q53" s="620"/>
      <c r="R53" s="6"/>
      <c r="S53" s="635"/>
      <c r="T53" s="622"/>
      <c r="U53" s="572"/>
      <c r="V53" s="6"/>
      <c r="W53" s="6"/>
      <c r="X53" s="613"/>
      <c r="Y53" s="1174"/>
      <c r="Z53" s="6"/>
      <c r="AA53" s="605"/>
      <c r="AB53" s="613"/>
      <c r="AC53" s="622"/>
      <c r="AD53" s="572"/>
      <c r="AE53" s="605"/>
      <c r="AF53" s="6"/>
      <c r="AG53" s="613"/>
      <c r="AH53" s="614"/>
      <c r="AI53" s="6"/>
      <c r="AJ53" s="605"/>
      <c r="AK53" s="613"/>
      <c r="AM53" s="572"/>
      <c r="AN53" s="605"/>
      <c r="AO53" s="6"/>
      <c r="AP53" s="613"/>
      <c r="AQ53" s="1174"/>
      <c r="AR53" s="6"/>
      <c r="AS53" s="6"/>
      <c r="AT53" s="613"/>
    </row>
    <row r="54" spans="1:46" ht="45.6" customHeight="1" x14ac:dyDescent="0.25">
      <c r="A54" s="2205"/>
      <c r="B54" s="1168">
        <v>2</v>
      </c>
      <c r="C54" s="596"/>
      <c r="D54" s="596"/>
      <c r="E54" s="596"/>
      <c r="F54" s="597"/>
      <c r="G54" s="619"/>
      <c r="H54" s="620"/>
      <c r="I54" s="692"/>
      <c r="J54" s="635"/>
      <c r="K54" s="622"/>
      <c r="L54" s="572"/>
      <c r="M54" s="6"/>
      <c r="N54" s="6"/>
      <c r="O54" s="597"/>
      <c r="P54" s="619"/>
      <c r="Q54" s="620"/>
      <c r="R54" s="619"/>
      <c r="S54" s="635"/>
      <c r="T54" s="622"/>
      <c r="U54" s="572"/>
      <c r="V54" s="6"/>
      <c r="W54" s="6">
        <v>9</v>
      </c>
      <c r="X54" s="597"/>
      <c r="Y54" s="620"/>
      <c r="Z54" s="620"/>
      <c r="AA54" s="620" t="s">
        <v>743</v>
      </c>
      <c r="AB54" s="635"/>
      <c r="AC54" s="622"/>
      <c r="AD54" s="572"/>
      <c r="AE54" s="6"/>
      <c r="AF54" s="6"/>
      <c r="AG54" s="613"/>
      <c r="AH54" s="614"/>
      <c r="AI54" s="620"/>
      <c r="AJ54" s="6"/>
      <c r="AK54" s="635"/>
      <c r="AM54" s="572"/>
      <c r="AN54" s="6"/>
      <c r="AO54" s="6"/>
      <c r="AP54" s="597"/>
      <c r="AQ54" s="1174"/>
      <c r="AR54" s="620"/>
      <c r="AS54" s="635"/>
      <c r="AT54" s="635"/>
    </row>
    <row r="55" spans="1:46" ht="39.6" customHeight="1" x14ac:dyDescent="0.25">
      <c r="A55" s="2206">
        <v>45592</v>
      </c>
      <c r="B55" s="574">
        <v>1</v>
      </c>
      <c r="C55" s="595"/>
      <c r="D55" s="596"/>
      <c r="E55" s="596"/>
      <c r="F55" s="597"/>
      <c r="G55" s="619"/>
      <c r="H55" s="619"/>
      <c r="I55" s="848"/>
      <c r="J55" s="613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/>
      <c r="X55" s="613"/>
      <c r="Y55" s="614"/>
      <c r="Z55" s="619"/>
      <c r="AA55" s="698"/>
      <c r="AB55" s="613"/>
      <c r="AC55" s="622"/>
      <c r="AD55" s="572"/>
      <c r="AE55" s="6"/>
      <c r="AF55" s="6"/>
      <c r="AG55" s="613"/>
      <c r="AH55" s="614"/>
      <c r="AI55" s="620"/>
      <c r="AJ55" s="605"/>
      <c r="AK55" s="613"/>
      <c r="AM55" s="572"/>
      <c r="AN55" s="6"/>
      <c r="AO55" s="6"/>
      <c r="AP55" s="613"/>
      <c r="AQ55" s="614"/>
      <c r="AR55" s="605"/>
      <c r="AS55" s="635"/>
      <c r="AT55" s="613"/>
    </row>
    <row r="56" spans="1:46" ht="94.15" customHeight="1" x14ac:dyDescent="0.25">
      <c r="A56" s="2205"/>
      <c r="B56" s="1168">
        <v>2</v>
      </c>
      <c r="C56" s="595"/>
      <c r="D56" s="596"/>
      <c r="E56" s="596"/>
      <c r="F56" s="597"/>
      <c r="G56" s="620"/>
      <c r="H56" s="620"/>
      <c r="I56" s="848"/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/>
      <c r="V56" s="6"/>
      <c r="W56" s="6"/>
      <c r="X56" s="597"/>
      <c r="Y56" s="1174"/>
      <c r="Z56" s="619"/>
      <c r="AA56" s="605"/>
      <c r="AB56" s="635"/>
      <c r="AC56" s="622"/>
      <c r="AD56" s="572"/>
      <c r="AE56" s="6"/>
      <c r="AF56" s="6">
        <v>15</v>
      </c>
      <c r="AG56" s="597"/>
      <c r="AH56" s="620"/>
      <c r="AI56" s="619"/>
      <c r="AJ56" s="620" t="s">
        <v>743</v>
      </c>
      <c r="AK56" s="635"/>
      <c r="AM56" s="572"/>
      <c r="AN56" s="6"/>
      <c r="AO56" s="6"/>
      <c r="AP56" s="597"/>
      <c r="AQ56" s="620"/>
      <c r="AR56" s="605"/>
      <c r="AS56" s="6"/>
      <c r="AT56" s="635"/>
    </row>
    <row r="57" spans="1:46" ht="52.15" customHeight="1" x14ac:dyDescent="0.25">
      <c r="A57" s="2206">
        <v>45593</v>
      </c>
      <c r="B57" s="574">
        <v>1</v>
      </c>
      <c r="C57" s="595"/>
      <c r="D57" s="596"/>
      <c r="E57" s="596"/>
      <c r="F57" s="597"/>
      <c r="G57" s="620"/>
      <c r="H57" s="620"/>
      <c r="I57" s="692"/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>
        <v>24</v>
      </c>
      <c r="X57" s="597"/>
      <c r="Y57" s="620"/>
      <c r="Z57" s="619"/>
      <c r="AA57" s="605" t="s">
        <v>152</v>
      </c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/>
      <c r="AP57" s="597"/>
      <c r="AQ57" s="620"/>
      <c r="AR57" s="619"/>
      <c r="AS57" s="6"/>
      <c r="AT57" s="635"/>
    </row>
    <row r="58" spans="1:46" ht="78" customHeight="1" x14ac:dyDescent="0.25">
      <c r="A58" s="2205"/>
      <c r="B58" s="1168">
        <v>2</v>
      </c>
      <c r="C58" s="595"/>
      <c r="D58" s="596"/>
      <c r="E58" s="596">
        <v>23</v>
      </c>
      <c r="F58" s="597"/>
      <c r="G58" s="620"/>
      <c r="H58" s="620"/>
      <c r="I58" s="848" t="s">
        <v>743</v>
      </c>
      <c r="J58" s="635"/>
      <c r="K58" s="622"/>
      <c r="L58" s="572"/>
      <c r="M58" s="6"/>
      <c r="N58" s="6"/>
      <c r="O58" s="597"/>
      <c r="P58" s="620"/>
      <c r="Q58" s="619"/>
      <c r="R58" s="620"/>
      <c r="S58" s="635"/>
      <c r="T58" s="622"/>
      <c r="U58" s="572"/>
      <c r="V58" s="6"/>
      <c r="W58" s="6"/>
      <c r="X58" s="597"/>
      <c r="Y58" s="620"/>
      <c r="Z58" s="619"/>
      <c r="AA58" s="605"/>
      <c r="AB58" s="635"/>
      <c r="AC58" s="622"/>
      <c r="AD58" s="572"/>
      <c r="AE58" s="6"/>
      <c r="AF58" s="6"/>
      <c r="AG58" s="597"/>
      <c r="AH58" s="620"/>
      <c r="AI58" s="619"/>
      <c r="AJ58" s="6"/>
      <c r="AK58" s="635"/>
      <c r="AM58" s="572"/>
      <c r="AN58" s="6"/>
      <c r="AO58" s="6"/>
      <c r="AP58" s="597"/>
      <c r="AQ58" s="620"/>
      <c r="AR58" s="619"/>
      <c r="AS58" s="6"/>
      <c r="AT58" s="635"/>
    </row>
    <row r="59" spans="1:46" ht="73.150000000000006" customHeight="1" x14ac:dyDescent="0.25">
      <c r="A59" s="2206">
        <v>45594</v>
      </c>
      <c r="B59" s="574">
        <v>1</v>
      </c>
      <c r="C59" s="595"/>
      <c r="D59" s="596"/>
      <c r="E59" s="596"/>
      <c r="F59" s="597"/>
      <c r="G59" s="620"/>
      <c r="H59" s="619"/>
      <c r="I59" s="848"/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/>
      <c r="X59" s="613"/>
      <c r="Y59" s="614"/>
      <c r="Z59" s="619"/>
      <c r="AA59" s="698"/>
      <c r="AB59" s="635"/>
      <c r="AC59" s="622"/>
      <c r="AD59" s="572"/>
      <c r="AE59" s="6"/>
      <c r="AF59" s="6"/>
      <c r="AG59" s="613"/>
      <c r="AH59" s="1174"/>
      <c r="AI59" s="6"/>
      <c r="AJ59" s="620"/>
      <c r="AK59" s="635"/>
      <c r="AM59" s="572"/>
      <c r="AN59" s="6"/>
      <c r="AO59" s="6"/>
      <c r="AP59" s="613"/>
      <c r="AQ59" s="1174"/>
      <c r="AR59" s="6"/>
      <c r="AS59" s="620"/>
      <c r="AT59" s="635"/>
    </row>
    <row r="60" spans="1:46" ht="36" customHeight="1" x14ac:dyDescent="0.25">
      <c r="A60" s="2205"/>
      <c r="B60" s="1168">
        <v>2</v>
      </c>
      <c r="C60" s="595"/>
      <c r="D60" s="596"/>
      <c r="E60" s="596"/>
      <c r="F60" s="597"/>
      <c r="G60" s="619"/>
      <c r="H60" s="620"/>
      <c r="I60" s="848"/>
      <c r="J60" s="635"/>
      <c r="K60" s="622"/>
      <c r="L60" s="572"/>
      <c r="M60" s="6"/>
      <c r="N60" s="6"/>
      <c r="O60" s="613"/>
      <c r="P60" s="614"/>
      <c r="Q60" s="620"/>
      <c r="R60" s="6"/>
      <c r="S60" s="635"/>
      <c r="T60" s="622"/>
      <c r="U60" s="572"/>
      <c r="V60" s="6"/>
      <c r="W60" s="6"/>
      <c r="X60" s="613"/>
      <c r="Y60" s="1174"/>
      <c r="Z60" s="620"/>
      <c r="AA60" s="605"/>
      <c r="AB60" s="635"/>
      <c r="AC60" s="622"/>
      <c r="AD60" s="572"/>
      <c r="AE60" s="6"/>
      <c r="AF60" s="6"/>
      <c r="AG60" s="613"/>
      <c r="AH60" s="614"/>
      <c r="AI60" s="620"/>
      <c r="AJ60" s="605"/>
      <c r="AK60" s="635"/>
      <c r="AM60" s="572"/>
      <c r="AN60" s="6"/>
      <c r="AO60" s="6"/>
      <c r="AP60" s="613"/>
      <c r="AQ60" s="614"/>
      <c r="AR60" s="620"/>
      <c r="AS60" s="6"/>
      <c r="AT60" s="635"/>
    </row>
    <row r="61" spans="1:46" ht="32.450000000000003" customHeight="1" x14ac:dyDescent="0.25">
      <c r="A61" s="2206">
        <v>45595</v>
      </c>
      <c r="B61" s="574">
        <v>1</v>
      </c>
      <c r="C61" s="1177"/>
      <c r="D61" s="1179"/>
      <c r="E61" s="596"/>
      <c r="F61" s="749"/>
      <c r="G61" s="619"/>
      <c r="H61" s="1178"/>
      <c r="I61" s="692"/>
      <c r="J61" s="687"/>
      <c r="K61" s="622"/>
      <c r="L61" s="572"/>
      <c r="M61" s="6"/>
      <c r="N61" s="6"/>
      <c r="O61" s="613"/>
      <c r="P61" s="752"/>
      <c r="Q61" s="1175"/>
      <c r="R61" s="1175"/>
      <c r="S61" s="753"/>
      <c r="T61" s="622"/>
      <c r="U61" s="572"/>
      <c r="V61" s="6"/>
      <c r="W61" s="6"/>
      <c r="X61" s="613"/>
      <c r="Y61" s="1174"/>
      <c r="Z61" s="605"/>
      <c r="AA61" s="605"/>
      <c r="AB61" s="753"/>
      <c r="AC61" s="622"/>
      <c r="AD61" s="572"/>
      <c r="AE61" s="6"/>
      <c r="AF61" s="6"/>
      <c r="AG61" s="613"/>
      <c r="AH61" s="614"/>
      <c r="AI61" s="605"/>
      <c r="AJ61" s="605"/>
      <c r="AK61" s="753"/>
      <c r="AM61" s="572"/>
      <c r="AN61" s="6"/>
      <c r="AO61" s="6"/>
      <c r="AP61" s="613"/>
      <c r="AQ61" s="1174"/>
      <c r="AR61" s="6"/>
      <c r="AS61" s="6"/>
      <c r="AT61" s="753"/>
    </row>
    <row r="62" spans="1:46" ht="62.45" customHeight="1" x14ac:dyDescent="0.25">
      <c r="A62" s="2205"/>
      <c r="B62" s="1168">
        <v>2</v>
      </c>
      <c r="C62" s="1177"/>
      <c r="D62" s="1179"/>
      <c r="E62" s="1179">
        <v>27</v>
      </c>
      <c r="F62" s="749"/>
      <c r="G62" s="1170"/>
      <c r="H62" s="1178"/>
      <c r="I62" s="848" t="s">
        <v>743</v>
      </c>
      <c r="J62" s="687"/>
      <c r="K62" s="622"/>
      <c r="L62" s="572"/>
      <c r="M62" s="6"/>
      <c r="N62" s="6"/>
      <c r="O62" s="613"/>
      <c r="P62" s="752"/>
      <c r="Q62" s="1103"/>
      <c r="R62" s="1175"/>
      <c r="S62" s="753"/>
      <c r="T62" s="622"/>
      <c r="U62" s="572"/>
      <c r="V62" s="6"/>
      <c r="W62" s="6"/>
      <c r="X62" s="613"/>
      <c r="Y62" s="1174"/>
      <c r="Z62" s="605"/>
      <c r="AA62" s="698"/>
      <c r="AB62" s="753"/>
      <c r="AC62" s="622"/>
      <c r="AD62" s="572"/>
      <c r="AE62" s="6"/>
      <c r="AF62" s="6"/>
      <c r="AG62" s="613"/>
      <c r="AH62" s="2232"/>
      <c r="AI62" s="2233"/>
      <c r="AJ62" s="2234"/>
      <c r="AK62" s="753"/>
      <c r="AM62" s="572"/>
      <c r="AN62" s="6"/>
      <c r="AO62" s="6"/>
      <c r="AP62" s="613"/>
      <c r="AQ62" s="614"/>
      <c r="AR62" s="6"/>
      <c r="AS62" s="605"/>
      <c r="AT62" s="753"/>
    </row>
    <row r="63" spans="1:46" ht="64.150000000000006" customHeight="1" x14ac:dyDescent="0.25">
      <c r="A63" s="2206">
        <v>45596</v>
      </c>
      <c r="B63" s="574">
        <v>1</v>
      </c>
      <c r="C63" s="706"/>
      <c r="D63" s="707"/>
      <c r="E63" s="707"/>
      <c r="F63" s="708"/>
      <c r="G63" s="717"/>
      <c r="H63" s="709"/>
      <c r="I63" s="848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>
        <v>13</v>
      </c>
      <c r="X63" s="597"/>
      <c r="Y63" s="685"/>
      <c r="Z63" s="619"/>
      <c r="AA63" s="698" t="s">
        <v>152</v>
      </c>
      <c r="AB63" s="1172"/>
      <c r="AC63" s="622"/>
      <c r="AD63" s="572"/>
      <c r="AE63" s="6"/>
      <c r="AF63" s="6"/>
      <c r="AG63" s="597"/>
      <c r="AH63" s="685"/>
      <c r="AI63" s="619"/>
      <c r="AJ63" s="6"/>
      <c r="AK63" s="705"/>
      <c r="AM63" s="572"/>
      <c r="AN63" s="6"/>
      <c r="AO63" s="6"/>
      <c r="AP63" s="597"/>
      <c r="AQ63" s="685"/>
      <c r="AR63" s="619"/>
      <c r="AS63" s="619"/>
      <c r="AT63" s="705"/>
    </row>
    <row r="64" spans="1:46" ht="62.45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>
        <v>22</v>
      </c>
      <c r="X64" s="636"/>
      <c r="Y64" s="637"/>
      <c r="Z64" s="638"/>
      <c r="AA64" s="698" t="s">
        <v>152</v>
      </c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636"/>
      <c r="AQ64" s="637"/>
      <c r="AR64" s="638"/>
      <c r="AS64" s="638"/>
      <c r="AT64" s="713"/>
    </row>
    <row r="65" spans="1:42" x14ac:dyDescent="0.25">
      <c r="A65" s="524" t="s">
        <v>225</v>
      </c>
      <c r="C65" s="768">
        <f>SUM(C3:C64)</f>
        <v>171</v>
      </c>
      <c r="D65" s="525">
        <f>SUM(D3:D64)</f>
        <v>0</v>
      </c>
      <c r="E65" s="768">
        <f>SUM(E3:E64)</f>
        <v>589</v>
      </c>
      <c r="F65" s="525">
        <f>SUM(F3:F64)</f>
        <v>48</v>
      </c>
      <c r="L65" s="525">
        <f>SUM(L3:L64)</f>
        <v>38</v>
      </c>
      <c r="M65" s="525">
        <f>SUM(M3:M64)</f>
        <v>127</v>
      </c>
      <c r="N65" s="525">
        <f>SUM(N3:N64)</f>
        <v>0</v>
      </c>
      <c r="O65" s="525">
        <f>SUM(O3:O64)</f>
        <v>40</v>
      </c>
      <c r="U65" s="525">
        <f>SUM(U3:U64)</f>
        <v>427</v>
      </c>
      <c r="V65" s="525">
        <f>SUM(V3:V64)</f>
        <v>180</v>
      </c>
      <c r="W65" s="525">
        <f>SUM(W3:W64)</f>
        <v>565</v>
      </c>
      <c r="X65" s="525">
        <f>SUM(X3:X64)</f>
        <v>50</v>
      </c>
      <c r="AD65" s="525">
        <f>SUM(AD3:AD64)</f>
        <v>0</v>
      </c>
      <c r="AE65" s="525">
        <f>SUM(AE3:AE64)</f>
        <v>0</v>
      </c>
      <c r="AF65" s="525">
        <f>SUM(AF3:AF64)</f>
        <v>45</v>
      </c>
      <c r="AG65" s="525">
        <f>SUM(AG3:AG64)</f>
        <v>54</v>
      </c>
      <c r="AM65" s="525">
        <f>SUM(AM3:AM64)</f>
        <v>86</v>
      </c>
      <c r="AN65" s="525">
        <f>SUM(AN3:AN64)</f>
        <v>0</v>
      </c>
      <c r="AO65" s="525">
        <f>SUM(AO3:AO64)</f>
        <v>30</v>
      </c>
      <c r="AP65" s="525">
        <f>SUM(AP3:AP64)</f>
        <v>0</v>
      </c>
    </row>
    <row r="73" spans="1:42" ht="15.75" thickBot="1" x14ac:dyDescent="0.3"/>
    <row r="74" spans="1:42" ht="19.5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2" ht="19.5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2" ht="18.75" x14ac:dyDescent="0.3">
      <c r="B76" s="651" t="s">
        <v>218</v>
      </c>
      <c r="C76" s="652">
        <f>C65</f>
        <v>171</v>
      </c>
      <c r="D76" s="653">
        <f>C76/60</f>
        <v>2.85</v>
      </c>
      <c r="E76" s="652">
        <f>D65</f>
        <v>0</v>
      </c>
      <c r="F76" s="654">
        <f>E76/60</f>
        <v>0</v>
      </c>
      <c r="G76" s="652">
        <f>E65</f>
        <v>589</v>
      </c>
      <c r="H76" s="653">
        <f>G76/60</f>
        <v>9.8166666666666664</v>
      </c>
      <c r="I76" s="652">
        <f>F65</f>
        <v>48</v>
      </c>
      <c r="J76" s="653">
        <f>I76/60</f>
        <v>0.8</v>
      </c>
    </row>
    <row r="77" spans="1:42" ht="18.75" x14ac:dyDescent="0.3">
      <c r="B77" s="651" t="s">
        <v>219</v>
      </c>
      <c r="C77" s="655">
        <f>L65</f>
        <v>38</v>
      </c>
      <c r="D77" s="656">
        <f>C77/60</f>
        <v>0.6333333333333333</v>
      </c>
      <c r="E77" s="655">
        <f>M65</f>
        <v>127</v>
      </c>
      <c r="F77" s="657">
        <f>E77/60</f>
        <v>2.1166666666666667</v>
      </c>
      <c r="G77" s="655">
        <f>N65</f>
        <v>0</v>
      </c>
      <c r="H77" s="656">
        <f>G77/60</f>
        <v>0</v>
      </c>
      <c r="I77" s="655">
        <f>O65</f>
        <v>40</v>
      </c>
      <c r="J77" s="656">
        <f>I77/60</f>
        <v>0.66666666666666663</v>
      </c>
    </row>
    <row r="78" spans="1:42" ht="18.75" x14ac:dyDescent="0.3">
      <c r="B78" s="651" t="s">
        <v>220</v>
      </c>
      <c r="C78" s="655">
        <f>U65</f>
        <v>427</v>
      </c>
      <c r="D78" s="656">
        <f>C78/60</f>
        <v>7.1166666666666663</v>
      </c>
      <c r="E78" s="655">
        <f>V65</f>
        <v>180</v>
      </c>
      <c r="F78" s="657">
        <f>E78/60</f>
        <v>3</v>
      </c>
      <c r="G78" s="655">
        <f>W65</f>
        <v>565</v>
      </c>
      <c r="H78" s="656">
        <f>G78/60</f>
        <v>9.4166666666666661</v>
      </c>
      <c r="I78" s="655">
        <f>X65</f>
        <v>50</v>
      </c>
      <c r="J78" s="656">
        <f>I78/60</f>
        <v>0.83333333333333337</v>
      </c>
    </row>
    <row r="79" spans="1:42" ht="19.5" thickBot="1" x14ac:dyDescent="0.35">
      <c r="B79" s="651" t="s">
        <v>221</v>
      </c>
      <c r="C79" s="658">
        <f>AD65</f>
        <v>0</v>
      </c>
      <c r="D79" s="659">
        <f>C79/60</f>
        <v>0</v>
      </c>
      <c r="E79" s="658">
        <f>AE65</f>
        <v>0</v>
      </c>
      <c r="F79" s="660">
        <f>E79/60</f>
        <v>0</v>
      </c>
      <c r="G79" s="658">
        <f>AF65</f>
        <v>45</v>
      </c>
      <c r="H79" s="659">
        <f>G79/60</f>
        <v>0.75</v>
      </c>
      <c r="I79" s="658">
        <f>AG65</f>
        <v>54</v>
      </c>
      <c r="J79" s="659">
        <f>I79/60</f>
        <v>0.9</v>
      </c>
    </row>
    <row r="80" spans="1:42" ht="19.5" thickBot="1" x14ac:dyDescent="0.35">
      <c r="B80" s="651" t="s">
        <v>488</v>
      </c>
      <c r="C80" s="850">
        <f>AM65</f>
        <v>86</v>
      </c>
      <c r="D80" s="849">
        <f>C80/60</f>
        <v>1.4333333333333333</v>
      </c>
      <c r="E80" s="850">
        <f>AN65</f>
        <v>0</v>
      </c>
      <c r="F80" s="851">
        <f>E80/60</f>
        <v>0</v>
      </c>
      <c r="G80" s="850">
        <f>AO65</f>
        <v>30</v>
      </c>
      <c r="H80" s="849">
        <f>G80/60</f>
        <v>0.5</v>
      </c>
      <c r="I80" s="850">
        <f>AP65</f>
        <v>0</v>
      </c>
      <c r="J80" s="849">
        <f>I80/60</f>
        <v>0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12.033333333333333</v>
      </c>
      <c r="E82" s="666"/>
      <c r="F82" s="667">
        <f>SUM(F76:F80)</f>
        <v>5.1166666666666671</v>
      </c>
      <c r="G82" s="666"/>
      <c r="H82" s="667">
        <f>SUM(H76:H80)</f>
        <v>20.483333333333334</v>
      </c>
      <c r="I82" s="666"/>
      <c r="J82" s="668">
        <f>AVERAGE(J76:J80)</f>
        <v>0.64</v>
      </c>
    </row>
  </sheetData>
  <mergeCells count="48">
    <mergeCell ref="AH62:AJ62"/>
    <mergeCell ref="A63:A64"/>
    <mergeCell ref="C74:D74"/>
    <mergeCell ref="E74:F74"/>
    <mergeCell ref="G74:H74"/>
    <mergeCell ref="I74:J74"/>
    <mergeCell ref="A61:A62"/>
    <mergeCell ref="A51:A52"/>
    <mergeCell ref="A53:A54"/>
    <mergeCell ref="A55:A56"/>
    <mergeCell ref="A57:A58"/>
    <mergeCell ref="A59:A60"/>
    <mergeCell ref="AQ18:AS18"/>
    <mergeCell ref="A19:A20"/>
    <mergeCell ref="A21:A22"/>
    <mergeCell ref="A23:A24"/>
    <mergeCell ref="A49:A50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25:A26"/>
    <mergeCell ref="A7:A8"/>
    <mergeCell ref="A9:A10"/>
    <mergeCell ref="A11:A12"/>
    <mergeCell ref="A13:A14"/>
    <mergeCell ref="A17:A18"/>
    <mergeCell ref="AH14:AJ14"/>
    <mergeCell ref="A15:A16"/>
    <mergeCell ref="AD1:AG1"/>
    <mergeCell ref="AH1:AK1"/>
    <mergeCell ref="AM1:AP1"/>
    <mergeCell ref="AQ1:AT1"/>
    <mergeCell ref="A3:A4"/>
    <mergeCell ref="A5:A6"/>
    <mergeCell ref="C1:F1"/>
    <mergeCell ref="G1:J1"/>
    <mergeCell ref="L1:O1"/>
    <mergeCell ref="P1:S1"/>
    <mergeCell ref="U1:X1"/>
    <mergeCell ref="Y1:AB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2"/>
  <sheetViews>
    <sheetView zoomScale="60" zoomScaleNormal="60" workbookViewId="0">
      <pane xSplit="1" ySplit="2" topLeftCell="B30" activePane="bottomRight" state="frozen"/>
      <selection pane="topRight" activeCell="B1" sqref="B1"/>
      <selection pane="bottomLeft" activeCell="A3" sqref="A3"/>
      <selection pane="bottomRight" activeCell="I40" sqref="I40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7.285156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3" style="524" customWidth="1"/>
    <col min="17" max="17" width="27.28515625" style="524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2.42578125" style="524" customWidth="1"/>
    <col min="28" max="28" width="27" style="524" customWidth="1"/>
    <col min="29" max="33" width="10.7109375" style="524" customWidth="1"/>
    <col min="34" max="34" width="31.28515625" style="524" customWidth="1"/>
    <col min="35" max="35" width="18.57031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2" width="10.7109375" style="524" customWidth="1"/>
    <col min="43" max="43" width="21.140625" style="524" customWidth="1"/>
    <col min="44" max="44" width="26.5703125" style="524" customWidth="1"/>
    <col min="45" max="45" width="28.28515625" style="524" customWidth="1"/>
    <col min="46" max="46" width="26.5703125" style="524" customWidth="1"/>
    <col min="47" max="16384" width="8.85546875" style="524"/>
  </cols>
  <sheetData>
    <row r="1" spans="1:46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2" t="s">
        <v>206</v>
      </c>
      <c r="AR1" s="2252"/>
      <c r="AS1" s="2252"/>
      <c r="AT1" s="2253"/>
    </row>
    <row r="2" spans="1:46" ht="42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6" t="s">
        <v>199</v>
      </c>
      <c r="AI2" s="984" t="s">
        <v>200</v>
      </c>
      <c r="AJ2" s="984" t="s">
        <v>201</v>
      </c>
      <c r="AK2" s="984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6" t="s">
        <v>199</v>
      </c>
      <c r="AR2" s="984" t="s">
        <v>200</v>
      </c>
      <c r="AS2" s="984" t="s">
        <v>201</v>
      </c>
      <c r="AT2" s="984" t="s">
        <v>204</v>
      </c>
    </row>
    <row r="3" spans="1:46" ht="78" customHeight="1" x14ac:dyDescent="0.25">
      <c r="A3" s="2206">
        <v>45597</v>
      </c>
      <c r="B3" s="1183">
        <v>1</v>
      </c>
      <c r="C3" s="592"/>
      <c r="D3" s="593"/>
      <c r="E3" s="6"/>
      <c r="F3" s="594"/>
      <c r="G3" s="685"/>
      <c r="H3" s="619"/>
      <c r="I3" s="620"/>
      <c r="J3" s="686"/>
      <c r="K3" s="622"/>
      <c r="L3" s="612"/>
      <c r="M3" s="630"/>
      <c r="N3" s="630"/>
      <c r="O3" s="628"/>
      <c r="P3" s="629"/>
      <c r="Q3" s="699"/>
      <c r="R3" s="699"/>
      <c r="S3" s="628"/>
      <c r="T3" s="622"/>
      <c r="U3" s="612"/>
      <c r="V3" s="630"/>
      <c r="W3" s="6"/>
      <c r="X3" s="613"/>
      <c r="Y3" s="1188"/>
      <c r="Z3" s="629"/>
      <c r="AA3" s="620"/>
      <c r="AB3" s="720"/>
      <c r="AC3" s="622"/>
      <c r="AD3" s="612"/>
      <c r="AE3" s="630"/>
      <c r="AF3" s="6"/>
      <c r="AG3" s="628"/>
      <c r="AH3" s="629"/>
      <c r="AI3" s="629"/>
      <c r="AJ3" s="605"/>
      <c r="AK3" s="628"/>
      <c r="AM3" s="612"/>
      <c r="AN3" s="630"/>
      <c r="AO3" s="6"/>
      <c r="AP3" s="628"/>
      <c r="AQ3" s="629"/>
      <c r="AR3" s="648"/>
      <c r="AS3" s="605"/>
      <c r="AT3" s="628"/>
    </row>
    <row r="4" spans="1:46" ht="69.75" customHeight="1" x14ac:dyDescent="0.25">
      <c r="A4" s="2205"/>
      <c r="B4" s="574">
        <v>2</v>
      </c>
      <c r="C4" s="595"/>
      <c r="D4" s="596"/>
      <c r="E4" s="596"/>
      <c r="F4" s="597"/>
      <c r="G4" s="684"/>
      <c r="H4" s="619"/>
      <c r="I4" s="848"/>
      <c r="J4" s="687"/>
      <c r="K4" s="622"/>
      <c r="L4" s="572"/>
      <c r="M4" s="6"/>
      <c r="N4" s="6"/>
      <c r="O4" s="613"/>
      <c r="P4" s="614"/>
      <c r="Q4" s="619"/>
      <c r="R4" s="1190"/>
      <c r="S4" s="613"/>
      <c r="T4" s="622"/>
      <c r="U4" s="572"/>
      <c r="V4" s="605"/>
      <c r="W4" s="6"/>
      <c r="X4" s="613"/>
      <c r="Y4" s="1188"/>
      <c r="Z4" s="620"/>
      <c r="AA4" s="620"/>
      <c r="AB4" s="722"/>
      <c r="AC4" s="622"/>
      <c r="AD4" s="572"/>
      <c r="AE4" s="6"/>
      <c r="AF4" s="6"/>
      <c r="AG4" s="613"/>
      <c r="AH4" s="614"/>
      <c r="AI4" s="620"/>
      <c r="AJ4" s="6"/>
      <c r="AK4" s="613"/>
      <c r="AM4" s="572"/>
      <c r="AN4" s="6"/>
      <c r="AO4" s="6"/>
      <c r="AP4" s="613"/>
      <c r="AQ4" s="614"/>
      <c r="AR4" s="620"/>
      <c r="AS4" s="6"/>
      <c r="AT4" s="613"/>
    </row>
    <row r="5" spans="1:46" ht="60" customHeight="1" x14ac:dyDescent="0.25">
      <c r="A5" s="2206">
        <v>45598</v>
      </c>
      <c r="B5" s="574">
        <v>1</v>
      </c>
      <c r="C5" s="595"/>
      <c r="D5" s="596"/>
      <c r="E5" s="596"/>
      <c r="F5" s="597"/>
      <c r="G5" s="684"/>
      <c r="H5" s="684"/>
      <c r="I5" s="848"/>
      <c r="J5" s="687"/>
      <c r="K5" s="622"/>
      <c r="L5" s="572"/>
      <c r="M5" s="6"/>
      <c r="N5" s="6"/>
      <c r="O5" s="613"/>
      <c r="P5" s="614"/>
      <c r="Q5" s="6"/>
      <c r="R5" s="6"/>
      <c r="S5" s="613"/>
      <c r="T5" s="622"/>
      <c r="U5" s="572"/>
      <c r="V5" s="6"/>
      <c r="W5" s="6"/>
      <c r="X5" s="613"/>
      <c r="Y5" s="1188"/>
      <c r="Z5" s="619"/>
      <c r="AA5" s="698"/>
      <c r="AB5" s="723"/>
      <c r="AC5" s="622"/>
      <c r="AD5" s="572"/>
      <c r="AE5" s="6"/>
      <c r="AF5" s="6"/>
      <c r="AG5" s="613"/>
      <c r="AH5" s="614"/>
      <c r="AI5" s="6"/>
      <c r="AJ5" s="1036"/>
      <c r="AK5" s="613"/>
      <c r="AM5" s="572"/>
      <c r="AN5" s="6"/>
      <c r="AO5" s="6"/>
      <c r="AP5" s="613"/>
      <c r="AQ5" s="614"/>
      <c r="AR5" s="6"/>
      <c r="AS5" s="605"/>
      <c r="AT5" s="634"/>
    </row>
    <row r="6" spans="1:46" ht="80.45" customHeight="1" x14ac:dyDescent="0.25">
      <c r="A6" s="2205"/>
      <c r="B6" s="574">
        <v>2</v>
      </c>
      <c r="C6" s="595">
        <v>175</v>
      </c>
      <c r="D6" s="596"/>
      <c r="E6" s="596"/>
      <c r="F6" s="597"/>
      <c r="G6" s="685" t="s">
        <v>583</v>
      </c>
      <c r="H6" s="620"/>
      <c r="I6" s="848"/>
      <c r="J6" s="635"/>
      <c r="K6" s="622"/>
      <c r="L6" s="572"/>
      <c r="M6" s="6"/>
      <c r="N6" s="6"/>
      <c r="O6" s="613"/>
      <c r="P6" s="614"/>
      <c r="Q6" s="619"/>
      <c r="R6" s="6"/>
      <c r="S6" s="635"/>
      <c r="T6" s="622"/>
      <c r="U6" s="572"/>
      <c r="V6" s="6"/>
      <c r="W6" s="6"/>
      <c r="X6" s="613"/>
      <c r="Y6" s="1188"/>
      <c r="Z6" s="619"/>
      <c r="AA6" s="620"/>
      <c r="AB6" s="635"/>
      <c r="AC6" s="622"/>
      <c r="AD6" s="572"/>
      <c r="AE6" s="6"/>
      <c r="AF6" s="6"/>
      <c r="AG6" s="613"/>
      <c r="AH6" s="614"/>
      <c r="AI6" s="6"/>
      <c r="AJ6" s="6"/>
      <c r="AK6" s="635"/>
      <c r="AM6" s="572"/>
      <c r="AN6" s="6"/>
      <c r="AO6" s="6"/>
      <c r="AP6" s="50"/>
      <c r="AQ6" s="1188"/>
      <c r="AR6" s="614"/>
      <c r="AS6" s="605"/>
      <c r="AT6" s="635"/>
    </row>
    <row r="7" spans="1:46" ht="71.45" customHeight="1" x14ac:dyDescent="0.25">
      <c r="A7" s="2206">
        <v>45599</v>
      </c>
      <c r="B7" s="574">
        <v>1</v>
      </c>
      <c r="C7" s="595"/>
      <c r="D7" s="596"/>
      <c r="E7" s="596"/>
      <c r="F7" s="597"/>
      <c r="G7" s="685"/>
      <c r="H7" s="620"/>
      <c r="I7" s="635"/>
      <c r="J7" s="635"/>
      <c r="K7" s="622"/>
      <c r="L7" s="572"/>
      <c r="M7" s="614"/>
      <c r="N7" s="6"/>
      <c r="O7" s="613">
        <v>20</v>
      </c>
      <c r="P7" s="614"/>
      <c r="Q7" s="1010"/>
      <c r="R7" s="6"/>
      <c r="S7" s="634" t="s">
        <v>317</v>
      </c>
      <c r="T7" s="622"/>
      <c r="U7" s="572"/>
      <c r="V7" s="6"/>
      <c r="W7" s="6">
        <v>23</v>
      </c>
      <c r="X7" s="613">
        <v>30</v>
      </c>
      <c r="Y7" s="1188"/>
      <c r="Z7" s="619"/>
      <c r="AA7" s="698" t="s">
        <v>152</v>
      </c>
      <c r="AB7" s="634" t="s">
        <v>317</v>
      </c>
      <c r="AC7" s="622"/>
      <c r="AD7" s="572"/>
      <c r="AE7" s="6"/>
      <c r="AF7" s="6"/>
      <c r="AG7" s="613"/>
      <c r="AH7" s="614"/>
      <c r="AI7" s="1010"/>
      <c r="AJ7" s="635"/>
      <c r="AK7" s="613"/>
      <c r="AM7" s="572"/>
      <c r="AN7" s="6"/>
      <c r="AO7" s="6"/>
      <c r="AP7" s="50"/>
      <c r="AQ7" s="613"/>
      <c r="AR7" s="614"/>
      <c r="AS7" s="1010"/>
      <c r="AT7" s="692"/>
    </row>
    <row r="8" spans="1:46" ht="69.599999999999994" customHeight="1" x14ac:dyDescent="0.25">
      <c r="A8" s="2205"/>
      <c r="B8" s="574">
        <v>2</v>
      </c>
      <c r="C8" s="595"/>
      <c r="D8" s="596"/>
      <c r="E8" s="596"/>
      <c r="F8" s="597"/>
      <c r="G8" s="684"/>
      <c r="H8" s="620"/>
      <c r="I8" s="848"/>
      <c r="J8" s="635"/>
      <c r="K8" s="622"/>
      <c r="L8" s="572"/>
      <c r="M8" s="6"/>
      <c r="N8" s="6"/>
      <c r="O8" s="613">
        <v>30</v>
      </c>
      <c r="P8" s="614"/>
      <c r="Q8" s="6"/>
      <c r="R8" s="605"/>
      <c r="S8" s="634" t="s">
        <v>317</v>
      </c>
      <c r="T8" s="622"/>
      <c r="U8" s="572">
        <v>185</v>
      </c>
      <c r="V8" s="572"/>
      <c r="W8" s="572"/>
      <c r="X8" s="613"/>
      <c r="Y8" s="1195" t="s">
        <v>45</v>
      </c>
      <c r="Z8" s="1187"/>
      <c r="AA8" s="609"/>
      <c r="AB8" s="635"/>
      <c r="AC8" s="622"/>
      <c r="AD8" s="572"/>
      <c r="AE8" s="6"/>
      <c r="AF8" s="6"/>
      <c r="AG8" s="613"/>
      <c r="AH8" s="614"/>
      <c r="AI8" s="605"/>
      <c r="AJ8" s="620"/>
      <c r="AK8" s="635"/>
      <c r="AM8" s="572"/>
      <c r="AN8" s="6"/>
      <c r="AO8" s="6"/>
      <c r="AP8" s="50"/>
      <c r="AQ8" s="613"/>
      <c r="AR8" s="1188"/>
      <c r="AS8" s="6"/>
      <c r="AT8" s="635"/>
    </row>
    <row r="9" spans="1:46" ht="76.900000000000006" customHeight="1" x14ac:dyDescent="0.25">
      <c r="A9" s="2206">
        <v>45600</v>
      </c>
      <c r="B9" s="574">
        <v>1</v>
      </c>
      <c r="C9" s="595"/>
      <c r="D9" s="596"/>
      <c r="E9" s="596">
        <v>10</v>
      </c>
      <c r="F9" s="597"/>
      <c r="G9" s="684"/>
      <c r="H9" s="619"/>
      <c r="I9" s="848" t="s">
        <v>152</v>
      </c>
      <c r="J9" s="635"/>
      <c r="K9" s="622"/>
      <c r="L9" s="572"/>
      <c r="M9" s="6"/>
      <c r="N9" s="6"/>
      <c r="O9" s="613"/>
      <c r="P9" s="614"/>
      <c r="Q9" s="6"/>
      <c r="R9" s="605"/>
      <c r="S9" s="635"/>
      <c r="T9" s="622"/>
      <c r="U9" s="572"/>
      <c r="V9" s="6"/>
      <c r="W9" s="6">
        <v>40</v>
      </c>
      <c r="X9" s="613"/>
      <c r="Y9" s="1188"/>
      <c r="Z9" s="6"/>
      <c r="AA9" s="698" t="s">
        <v>152</v>
      </c>
      <c r="AB9" s="635"/>
      <c r="AC9" s="622"/>
      <c r="AD9" s="572"/>
      <c r="AE9" s="6"/>
      <c r="AF9" s="6"/>
      <c r="AG9" s="613"/>
      <c r="AH9" s="614"/>
      <c r="AI9" s="6"/>
      <c r="AJ9" s="6"/>
      <c r="AK9" s="635"/>
      <c r="AM9" s="572"/>
      <c r="AN9" s="6"/>
      <c r="AO9" s="6"/>
      <c r="AP9" s="50"/>
      <c r="AQ9" s="613"/>
      <c r="AR9" s="614"/>
      <c r="AS9" s="6"/>
      <c r="AT9" s="828"/>
    </row>
    <row r="10" spans="1:46" ht="67.150000000000006" customHeight="1" x14ac:dyDescent="0.25">
      <c r="A10" s="2205"/>
      <c r="B10" s="574">
        <v>2</v>
      </c>
      <c r="C10" s="595">
        <v>360</v>
      </c>
      <c r="D10" s="595"/>
      <c r="E10" s="595"/>
      <c r="F10" s="597"/>
      <c r="G10" s="1196" t="s">
        <v>45</v>
      </c>
      <c r="H10" s="1121"/>
      <c r="I10" s="1122"/>
      <c r="J10" s="635"/>
      <c r="K10" s="622"/>
      <c r="L10" s="572"/>
      <c r="M10" s="6"/>
      <c r="N10" s="6"/>
      <c r="O10" s="613">
        <v>162</v>
      </c>
      <c r="P10" s="614"/>
      <c r="Q10" s="6"/>
      <c r="R10" s="605"/>
      <c r="S10" s="635" t="s">
        <v>975</v>
      </c>
      <c r="T10" s="622"/>
      <c r="U10" s="572"/>
      <c r="V10" s="6"/>
      <c r="W10" s="6"/>
      <c r="X10" s="613">
        <v>165</v>
      </c>
      <c r="Y10" s="1188"/>
      <c r="Z10" s="1188"/>
      <c r="AA10" s="698"/>
      <c r="AB10" s="635" t="s">
        <v>975</v>
      </c>
      <c r="AC10" s="622"/>
      <c r="AD10" s="572"/>
      <c r="AE10" s="6"/>
      <c r="AF10" s="6"/>
      <c r="AG10" s="613">
        <v>166</v>
      </c>
      <c r="AH10" s="1188"/>
      <c r="AI10" s="605"/>
      <c r="AJ10" s="620"/>
      <c r="AK10" s="635" t="s">
        <v>975</v>
      </c>
      <c r="AM10" s="572">
        <v>370</v>
      </c>
      <c r="AN10" s="6"/>
      <c r="AO10" s="6"/>
      <c r="AP10" s="50"/>
      <c r="AQ10" s="613" t="s">
        <v>45</v>
      </c>
      <c r="AR10" s="614"/>
      <c r="AS10" s="6"/>
      <c r="AT10" s="635"/>
    </row>
    <row r="11" spans="1:46" ht="60" customHeight="1" x14ac:dyDescent="0.25">
      <c r="A11" s="2206">
        <v>45601</v>
      </c>
      <c r="B11" s="574">
        <v>1</v>
      </c>
      <c r="C11" s="595"/>
      <c r="D11" s="595"/>
      <c r="E11" s="595"/>
      <c r="F11" s="597"/>
      <c r="G11" s="1120"/>
      <c r="H11" s="1121"/>
      <c r="I11" s="1122"/>
      <c r="J11" s="687"/>
      <c r="K11" s="622"/>
      <c r="L11" s="572"/>
      <c r="M11" s="6"/>
      <c r="N11" s="6"/>
      <c r="O11" s="613"/>
      <c r="P11" s="614"/>
      <c r="Q11" s="6"/>
      <c r="R11" s="605"/>
      <c r="S11" s="613"/>
      <c r="T11" s="622"/>
      <c r="U11" s="572"/>
      <c r="V11" s="6"/>
      <c r="W11" s="6">
        <v>92</v>
      </c>
      <c r="X11" s="613"/>
      <c r="Y11" s="1188"/>
      <c r="Z11" s="6"/>
      <c r="AA11" s="698" t="s">
        <v>152</v>
      </c>
      <c r="AB11" s="613"/>
      <c r="AC11" s="622"/>
      <c r="AD11" s="572"/>
      <c r="AE11" s="6"/>
      <c r="AF11" s="6">
        <v>7</v>
      </c>
      <c r="AG11" s="613"/>
      <c r="AH11" s="614"/>
      <c r="AI11" s="6"/>
      <c r="AJ11" s="698" t="s">
        <v>152</v>
      </c>
      <c r="AK11" s="613"/>
      <c r="AM11" s="572"/>
      <c r="AN11" s="6"/>
      <c r="AO11" s="6"/>
      <c r="AP11" s="613"/>
      <c r="AQ11" s="614"/>
      <c r="AR11" s="6"/>
      <c r="AS11" s="6"/>
      <c r="AT11" s="634"/>
    </row>
    <row r="12" spans="1:46" ht="55.15" customHeight="1" x14ac:dyDescent="0.25">
      <c r="A12" s="2205"/>
      <c r="B12" s="574">
        <v>2</v>
      </c>
      <c r="C12" s="595"/>
      <c r="D12" s="596"/>
      <c r="E12" s="596"/>
      <c r="F12" s="597"/>
      <c r="G12" s="684"/>
      <c r="H12" s="619"/>
      <c r="I12" s="848"/>
      <c r="J12" s="635"/>
      <c r="K12" s="622"/>
      <c r="L12" s="572"/>
      <c r="M12" s="6"/>
      <c r="N12" s="6"/>
      <c r="O12" s="613"/>
      <c r="P12" s="614"/>
      <c r="Q12" s="6"/>
      <c r="R12" s="605"/>
      <c r="S12" s="635"/>
      <c r="T12" s="622"/>
      <c r="U12" s="572"/>
      <c r="V12" s="6"/>
      <c r="W12" s="6">
        <v>59</v>
      </c>
      <c r="X12" s="613"/>
      <c r="Y12" s="1188"/>
      <c r="Z12" s="620"/>
      <c r="AA12" s="698" t="s">
        <v>152</v>
      </c>
      <c r="AB12" s="635"/>
      <c r="AC12" s="622"/>
      <c r="AD12" s="572"/>
      <c r="AE12" s="6"/>
      <c r="AF12" s="6"/>
      <c r="AG12" s="613"/>
      <c r="AH12" s="614"/>
      <c r="AI12" s="605"/>
      <c r="AJ12" s="605"/>
      <c r="AK12" s="635"/>
      <c r="AM12" s="572"/>
      <c r="AN12" s="6"/>
      <c r="AO12" s="6"/>
      <c r="AP12" s="613"/>
      <c r="AQ12" s="614"/>
      <c r="AR12" s="6"/>
      <c r="AS12" s="605"/>
      <c r="AT12" s="635"/>
    </row>
    <row r="13" spans="1:46" ht="34.9" customHeight="1" x14ac:dyDescent="0.25">
      <c r="A13" s="2206">
        <v>45602</v>
      </c>
      <c r="B13" s="574">
        <v>1</v>
      </c>
      <c r="C13" s="595"/>
      <c r="D13" s="596"/>
      <c r="E13" s="596"/>
      <c r="F13" s="597"/>
      <c r="G13" s="684"/>
      <c r="H13" s="619"/>
      <c r="I13" s="848"/>
      <c r="J13" s="635"/>
      <c r="K13" s="622"/>
      <c r="L13" s="572"/>
      <c r="M13" s="6"/>
      <c r="N13" s="6"/>
      <c r="O13" s="597"/>
      <c r="P13" s="614"/>
      <c r="Q13" s="6"/>
      <c r="R13" s="6"/>
      <c r="S13" s="635"/>
      <c r="T13" s="622"/>
      <c r="U13" s="572"/>
      <c r="V13" s="6"/>
      <c r="W13" s="6">
        <v>123</v>
      </c>
      <c r="X13" s="597"/>
      <c r="Y13" s="1188"/>
      <c r="Z13" s="605"/>
      <c r="AA13" s="698" t="s">
        <v>152</v>
      </c>
      <c r="AB13" s="635"/>
      <c r="AC13" s="622"/>
      <c r="AD13" s="572"/>
      <c r="AE13" s="6"/>
      <c r="AF13" s="6"/>
      <c r="AG13" s="597"/>
      <c r="AH13" s="614"/>
      <c r="AI13" s="6"/>
      <c r="AJ13" s="698"/>
      <c r="AK13" s="635"/>
      <c r="AM13" s="572"/>
      <c r="AN13" s="6"/>
      <c r="AO13" s="6"/>
      <c r="AP13" s="597"/>
      <c r="AQ13" s="614"/>
      <c r="AR13" s="6"/>
      <c r="AS13" s="6"/>
      <c r="AT13" s="635"/>
    </row>
    <row r="14" spans="1:46" ht="49.15" customHeight="1" x14ac:dyDescent="0.25">
      <c r="A14" s="2205"/>
      <c r="B14" s="574">
        <v>2</v>
      </c>
      <c r="C14" s="595"/>
      <c r="D14" s="596"/>
      <c r="E14" s="596"/>
      <c r="F14" s="597"/>
      <c r="G14" s="684"/>
      <c r="H14" s="620"/>
      <c r="I14" s="848"/>
      <c r="J14" s="635"/>
      <c r="K14" s="622"/>
      <c r="L14" s="572"/>
      <c r="M14" s="6"/>
      <c r="N14" s="6"/>
      <c r="O14" s="597"/>
      <c r="P14" s="1188"/>
      <c r="Q14" s="6"/>
      <c r="R14" s="6"/>
      <c r="S14" s="635"/>
      <c r="T14" s="622"/>
      <c r="U14" s="572"/>
      <c r="V14" s="6"/>
      <c r="W14" s="6">
        <v>26</v>
      </c>
      <c r="X14" s="597"/>
      <c r="Y14" s="1188"/>
      <c r="Z14" s="605"/>
      <c r="AA14" s="698" t="s">
        <v>152</v>
      </c>
      <c r="AB14" s="635"/>
      <c r="AC14" s="622"/>
      <c r="AD14" s="572"/>
      <c r="AE14" s="6"/>
      <c r="AF14" s="6"/>
      <c r="AG14" s="597"/>
      <c r="AH14" s="2232"/>
      <c r="AI14" s="2233"/>
      <c r="AJ14" s="2234"/>
      <c r="AK14" s="635"/>
      <c r="AM14" s="572"/>
      <c r="AN14" s="6"/>
      <c r="AO14" s="6"/>
      <c r="AP14" s="597"/>
      <c r="AQ14" s="1188"/>
      <c r="AR14" s="6"/>
      <c r="AS14" s="698"/>
      <c r="AT14" s="635"/>
    </row>
    <row r="15" spans="1:46" ht="48" customHeight="1" x14ac:dyDescent="0.25">
      <c r="A15" s="2206">
        <v>45603</v>
      </c>
      <c r="B15" s="574">
        <v>1</v>
      </c>
      <c r="C15" s="595"/>
      <c r="D15" s="596"/>
      <c r="E15" s="6"/>
      <c r="F15" s="635" t="s">
        <v>976</v>
      </c>
      <c r="G15" s="684"/>
      <c r="H15" s="620"/>
      <c r="I15" s="848"/>
      <c r="J15" s="635" t="s">
        <v>975</v>
      </c>
      <c r="K15" s="622"/>
      <c r="L15" s="572"/>
      <c r="M15" s="6"/>
      <c r="N15" s="6"/>
      <c r="O15" s="597">
        <v>263</v>
      </c>
      <c r="P15" s="685"/>
      <c r="Q15" s="620"/>
      <c r="R15" s="620"/>
      <c r="S15" s="635" t="s">
        <v>975</v>
      </c>
      <c r="T15" s="622"/>
      <c r="U15" s="572"/>
      <c r="V15" s="6"/>
      <c r="W15" s="6"/>
      <c r="X15" s="597">
        <v>269</v>
      </c>
      <c r="Y15" s="684"/>
      <c r="Z15" s="620"/>
      <c r="AA15" s="698"/>
      <c r="AB15" s="635" t="s">
        <v>975</v>
      </c>
      <c r="AC15" s="622"/>
      <c r="AD15" s="572"/>
      <c r="AE15" s="6"/>
      <c r="AF15" s="622"/>
      <c r="AG15" s="597">
        <v>270</v>
      </c>
      <c r="AH15" s="685"/>
      <c r="AI15" s="620"/>
      <c r="AJ15" s="605"/>
      <c r="AK15" s="635" t="s">
        <v>975</v>
      </c>
      <c r="AM15" s="572"/>
      <c r="AN15" s="6"/>
      <c r="AO15" s="622"/>
      <c r="AP15" s="685" t="s">
        <v>977</v>
      </c>
      <c r="AQ15" s="620"/>
      <c r="AR15" s="620"/>
      <c r="AS15" s="620"/>
      <c r="AT15" s="635" t="s">
        <v>975</v>
      </c>
    </row>
    <row r="16" spans="1:46" ht="54.6" customHeight="1" x14ac:dyDescent="0.25">
      <c r="A16" s="2205"/>
      <c r="B16" s="574">
        <v>2</v>
      </c>
      <c r="C16" s="595"/>
      <c r="D16" s="595"/>
      <c r="E16" s="595"/>
      <c r="F16" s="597">
        <v>720</v>
      </c>
      <c r="G16" s="1134"/>
      <c r="H16" s="1135"/>
      <c r="I16" s="1136"/>
      <c r="J16" s="635" t="s">
        <v>975</v>
      </c>
      <c r="K16" s="622"/>
      <c r="L16" s="572"/>
      <c r="M16" s="6"/>
      <c r="N16" s="6"/>
      <c r="O16" s="597">
        <v>720</v>
      </c>
      <c r="P16" s="1134"/>
      <c r="Q16" s="1135"/>
      <c r="R16" s="1136"/>
      <c r="S16" s="635" t="s">
        <v>975</v>
      </c>
      <c r="T16" s="622"/>
      <c r="U16" s="572"/>
      <c r="V16" s="6"/>
      <c r="W16" s="6"/>
      <c r="X16" s="597">
        <v>720</v>
      </c>
      <c r="Y16" s="1134"/>
      <c r="Z16" s="1135"/>
      <c r="AA16" s="1136"/>
      <c r="AB16" s="635" t="s">
        <v>975</v>
      </c>
      <c r="AC16" s="622"/>
      <c r="AD16" s="572"/>
      <c r="AE16" s="6"/>
      <c r="AF16" s="6"/>
      <c r="AG16" s="597">
        <v>720</v>
      </c>
      <c r="AH16" s="1194"/>
      <c r="AI16" s="1135"/>
      <c r="AJ16" s="1136"/>
      <c r="AK16" s="635" t="s">
        <v>975</v>
      </c>
      <c r="AM16" s="572"/>
      <c r="AN16" s="6"/>
      <c r="AO16" s="6"/>
      <c r="AP16" s="597">
        <v>720</v>
      </c>
      <c r="AQ16" s="1134"/>
      <c r="AR16" s="1135"/>
      <c r="AS16" s="1136"/>
      <c r="AT16" s="635" t="s">
        <v>975</v>
      </c>
    </row>
    <row r="17" spans="1:46" ht="66" customHeight="1" x14ac:dyDescent="0.25">
      <c r="A17" s="2206">
        <v>45604</v>
      </c>
      <c r="B17" s="644">
        <v>1</v>
      </c>
      <c r="C17" s="595"/>
      <c r="D17" s="596"/>
      <c r="E17" s="596"/>
      <c r="F17" s="597">
        <v>245</v>
      </c>
      <c r="G17" s="685"/>
      <c r="H17" s="619"/>
      <c r="I17" s="848"/>
      <c r="J17" s="635" t="s">
        <v>975</v>
      </c>
      <c r="K17" s="622"/>
      <c r="L17" s="572"/>
      <c r="M17" s="6"/>
      <c r="N17" s="6"/>
      <c r="O17" s="597">
        <v>242</v>
      </c>
      <c r="P17" s="685"/>
      <c r="Q17" s="619"/>
      <c r="R17" s="620"/>
      <c r="S17" s="635" t="s">
        <v>975</v>
      </c>
      <c r="T17" s="622"/>
      <c r="U17" s="572"/>
      <c r="V17" s="6"/>
      <c r="W17" s="6">
        <v>11</v>
      </c>
      <c r="X17" s="597">
        <v>253</v>
      </c>
      <c r="Y17" s="684"/>
      <c r="Z17" s="619"/>
      <c r="AA17" s="698" t="s">
        <v>152</v>
      </c>
      <c r="AB17" s="635" t="s">
        <v>975</v>
      </c>
      <c r="AC17" s="622"/>
      <c r="AD17" s="572"/>
      <c r="AE17" s="6"/>
      <c r="AF17" s="6"/>
      <c r="AG17" s="597">
        <v>254</v>
      </c>
      <c r="AH17" s="685"/>
      <c r="AI17" s="619"/>
      <c r="AJ17" s="620"/>
      <c r="AK17" s="635" t="s">
        <v>975</v>
      </c>
      <c r="AM17" s="572"/>
      <c r="AN17" s="6"/>
      <c r="AO17" s="6"/>
      <c r="AP17" s="685" t="s">
        <v>978</v>
      </c>
      <c r="AQ17" s="619"/>
      <c r="AR17" s="620"/>
      <c r="AS17" s="698"/>
      <c r="AT17" s="635" t="s">
        <v>975</v>
      </c>
    </row>
    <row r="18" spans="1:46" ht="49.9" customHeight="1" x14ac:dyDescent="0.25">
      <c r="A18" s="2205"/>
      <c r="B18" s="574">
        <v>2</v>
      </c>
      <c r="C18" s="595"/>
      <c r="D18" s="596"/>
      <c r="E18" s="596"/>
      <c r="F18" s="597"/>
      <c r="G18" s="684"/>
      <c r="H18" s="830"/>
      <c r="I18" s="848"/>
      <c r="J18" s="635"/>
      <c r="K18" s="622"/>
      <c r="L18" s="572"/>
      <c r="M18" s="6"/>
      <c r="N18" s="6"/>
      <c r="O18" s="597"/>
      <c r="P18" s="684"/>
      <c r="Q18" s="620"/>
      <c r="R18" s="619"/>
      <c r="S18" s="635"/>
      <c r="T18" s="622"/>
      <c r="U18" s="572"/>
      <c r="V18" s="6"/>
      <c r="W18" s="596">
        <v>29</v>
      </c>
      <c r="X18" s="597"/>
      <c r="Y18" s="684"/>
      <c r="Z18" s="620"/>
      <c r="AA18" s="698" t="s">
        <v>152</v>
      </c>
      <c r="AB18" s="635"/>
      <c r="AC18" s="622"/>
      <c r="AD18" s="572"/>
      <c r="AE18" s="6"/>
      <c r="AF18" s="6"/>
      <c r="AG18" s="597"/>
      <c r="AH18" s="684"/>
      <c r="AI18" s="620"/>
      <c r="AJ18" s="619"/>
      <c r="AK18" s="635"/>
      <c r="AM18" s="572"/>
      <c r="AN18" s="6"/>
      <c r="AO18" s="6"/>
      <c r="AP18" s="597"/>
      <c r="AQ18" s="2254"/>
      <c r="AR18" s="2255"/>
      <c r="AS18" s="2256"/>
      <c r="AT18" s="635"/>
    </row>
    <row r="19" spans="1:46" ht="33.6" customHeight="1" x14ac:dyDescent="0.25">
      <c r="A19" s="2206">
        <v>45605</v>
      </c>
      <c r="B19" s="574">
        <v>1</v>
      </c>
      <c r="C19" s="622"/>
      <c r="D19" s="596"/>
      <c r="E19" s="596"/>
      <c r="F19" s="597"/>
      <c r="G19" s="567"/>
      <c r="H19" s="6"/>
      <c r="I19" s="848"/>
      <c r="J19" s="635"/>
      <c r="K19" s="622"/>
      <c r="L19" s="572"/>
      <c r="M19" s="6"/>
      <c r="N19" s="6"/>
      <c r="O19" s="597"/>
      <c r="P19" s="572"/>
      <c r="Q19" s="6"/>
      <c r="R19" s="6"/>
      <c r="S19" s="635"/>
      <c r="T19" s="622"/>
      <c r="U19" s="572"/>
      <c r="V19" s="6"/>
      <c r="W19" s="6">
        <v>14</v>
      </c>
      <c r="X19" s="597"/>
      <c r="Y19" s="572"/>
      <c r="Z19" s="605"/>
      <c r="AA19" s="698" t="s">
        <v>152</v>
      </c>
      <c r="AB19" s="635"/>
      <c r="AC19" s="622"/>
      <c r="AD19" s="572"/>
      <c r="AE19" s="6"/>
      <c r="AF19" s="6"/>
      <c r="AG19" s="597"/>
      <c r="AH19" s="572"/>
      <c r="AI19" s="6"/>
      <c r="AJ19" s="698"/>
      <c r="AK19" s="635"/>
      <c r="AM19" s="572"/>
      <c r="AN19" s="6"/>
      <c r="AO19" s="6"/>
      <c r="AP19" s="597"/>
      <c r="AQ19" s="572"/>
      <c r="AR19" s="6"/>
      <c r="AS19" s="620"/>
      <c r="AT19" s="635"/>
    </row>
    <row r="20" spans="1:46" ht="44.45" customHeight="1" x14ac:dyDescent="0.25">
      <c r="A20" s="2205"/>
      <c r="B20" s="574">
        <v>2</v>
      </c>
      <c r="C20" s="595"/>
      <c r="D20" s="596"/>
      <c r="E20" s="596"/>
      <c r="F20" s="597"/>
      <c r="G20" s="567"/>
      <c r="H20" s="1077"/>
      <c r="I20" s="848"/>
      <c r="J20" s="635"/>
      <c r="K20" s="622"/>
      <c r="L20" s="572"/>
      <c r="M20" s="6"/>
      <c r="N20" s="6"/>
      <c r="O20" s="597"/>
      <c r="P20" s="567"/>
      <c r="Q20" s="1077"/>
      <c r="R20" s="848"/>
      <c r="S20" s="635"/>
      <c r="T20" s="622"/>
      <c r="U20" s="572"/>
      <c r="V20" s="6"/>
      <c r="W20" s="6"/>
      <c r="X20" s="597"/>
      <c r="Y20" s="567"/>
      <c r="Z20" s="1077"/>
      <c r="AA20" s="620"/>
      <c r="AB20" s="635"/>
      <c r="AC20" s="622"/>
      <c r="AD20" s="572"/>
      <c r="AE20" s="6"/>
      <c r="AF20" s="6"/>
      <c r="AG20" s="597"/>
      <c r="AH20" s="567"/>
      <c r="AI20" s="1077"/>
      <c r="AJ20" s="848"/>
      <c r="AK20" s="635"/>
      <c r="AM20" s="572"/>
      <c r="AN20" s="6"/>
      <c r="AO20" s="6"/>
      <c r="AP20" s="597"/>
      <c r="AQ20" s="567"/>
      <c r="AR20" s="1077"/>
      <c r="AS20" s="848"/>
      <c r="AT20" s="635"/>
    </row>
    <row r="21" spans="1:46" ht="39.6" customHeight="1" x14ac:dyDescent="0.25">
      <c r="A21" s="2206">
        <v>45606</v>
      </c>
      <c r="B21" s="574">
        <v>1</v>
      </c>
      <c r="C21" s="595"/>
      <c r="D21" s="596"/>
      <c r="E21" s="596"/>
      <c r="F21" s="597"/>
      <c r="G21" s="688"/>
      <c r="H21" s="619"/>
      <c r="I21" s="848"/>
      <c r="J21" s="1164"/>
      <c r="K21" s="622"/>
      <c r="L21" s="572"/>
      <c r="M21" s="6"/>
      <c r="N21" s="6"/>
      <c r="O21" s="597"/>
      <c r="P21" s="572"/>
      <c r="Q21" s="6"/>
      <c r="R21" s="6"/>
      <c r="S21" s="1164"/>
      <c r="T21" s="622"/>
      <c r="U21" s="572"/>
      <c r="V21" s="6"/>
      <c r="W21" s="6">
        <v>11</v>
      </c>
      <c r="X21" s="597"/>
      <c r="Y21" s="567"/>
      <c r="Z21" s="6"/>
      <c r="AA21" s="698" t="s">
        <v>152</v>
      </c>
      <c r="AB21" s="1164"/>
      <c r="AC21" s="622"/>
      <c r="AD21" s="572"/>
      <c r="AE21" s="6"/>
      <c r="AF21" s="6"/>
      <c r="AG21" s="597"/>
      <c r="AH21" s="572"/>
      <c r="AI21" s="6"/>
      <c r="AJ21" s="848"/>
      <c r="AK21" s="1164"/>
      <c r="AM21" s="572"/>
      <c r="AN21" s="6"/>
      <c r="AO21" s="6">
        <v>29</v>
      </c>
      <c r="AP21" s="597"/>
      <c r="AQ21" s="572"/>
      <c r="AR21" s="605"/>
      <c r="AS21" s="698" t="s">
        <v>152</v>
      </c>
      <c r="AT21" s="1164"/>
    </row>
    <row r="22" spans="1:46" ht="49.9" customHeight="1" x14ac:dyDescent="0.25">
      <c r="A22" s="2205"/>
      <c r="B22" s="574">
        <v>2</v>
      </c>
      <c r="C22" s="595"/>
      <c r="D22" s="596"/>
      <c r="E22" s="596"/>
      <c r="F22" s="597">
        <v>364</v>
      </c>
      <c r="G22" s="1185"/>
      <c r="H22" s="620"/>
      <c r="I22" s="848"/>
      <c r="J22" s="635" t="s">
        <v>975</v>
      </c>
      <c r="K22" s="622"/>
      <c r="L22" s="572"/>
      <c r="M22" s="6"/>
      <c r="N22" s="6"/>
      <c r="O22" s="597">
        <v>356</v>
      </c>
      <c r="P22" s="1188"/>
      <c r="Q22" s="620"/>
      <c r="R22" s="6"/>
      <c r="S22" s="635" t="s">
        <v>975</v>
      </c>
      <c r="T22" s="622"/>
      <c r="U22" s="572"/>
      <c r="V22" s="6"/>
      <c r="W22" s="6">
        <v>28</v>
      </c>
      <c r="X22" s="597">
        <v>387</v>
      </c>
      <c r="Y22" s="567"/>
      <c r="Z22" s="620"/>
      <c r="AA22" s="698" t="s">
        <v>152</v>
      </c>
      <c r="AB22" s="635" t="s">
        <v>975</v>
      </c>
      <c r="AC22" s="622"/>
      <c r="AD22" s="572"/>
      <c r="AE22" s="6"/>
      <c r="AF22" s="6"/>
      <c r="AG22" s="597">
        <v>395</v>
      </c>
      <c r="AH22" s="572"/>
      <c r="AI22" s="6"/>
      <c r="AJ22" s="698"/>
      <c r="AK22" s="635" t="s">
        <v>975</v>
      </c>
      <c r="AM22" s="572"/>
      <c r="AN22" s="6"/>
      <c r="AO22" s="6"/>
      <c r="AP22" s="597">
        <v>368</v>
      </c>
      <c r="AQ22" s="572"/>
      <c r="AR22" s="620"/>
      <c r="AS22" s="50"/>
      <c r="AT22" s="635" t="s">
        <v>975</v>
      </c>
    </row>
    <row r="23" spans="1:46" ht="47.45" customHeight="1" x14ac:dyDescent="0.25">
      <c r="A23" s="2206">
        <v>45607</v>
      </c>
      <c r="B23" s="644">
        <v>1</v>
      </c>
      <c r="C23" s="595"/>
      <c r="D23" s="596"/>
      <c r="E23" s="596"/>
      <c r="F23" s="597"/>
      <c r="G23" s="685"/>
      <c r="H23" s="619"/>
      <c r="I23" s="848"/>
      <c r="J23" s="635"/>
      <c r="K23" s="622"/>
      <c r="L23" s="572"/>
      <c r="M23" s="6"/>
      <c r="N23" s="6"/>
      <c r="O23" s="597"/>
      <c r="P23" s="685"/>
      <c r="Q23" s="619"/>
      <c r="R23" s="620"/>
      <c r="S23" s="635"/>
      <c r="T23" s="622"/>
      <c r="U23" s="572">
        <v>187</v>
      </c>
      <c r="V23" s="6">
        <v>15</v>
      </c>
      <c r="W23" s="6"/>
      <c r="X23" s="597"/>
      <c r="Y23" s="567" t="s">
        <v>984</v>
      </c>
      <c r="Z23" s="848" t="s">
        <v>983</v>
      </c>
      <c r="AA23" s="848"/>
      <c r="AB23" s="635"/>
      <c r="AC23" s="622"/>
      <c r="AD23" s="572"/>
      <c r="AE23" s="6"/>
      <c r="AF23" s="614"/>
      <c r="AG23" s="597"/>
      <c r="AH23" s="572"/>
      <c r="AI23" s="619"/>
      <c r="AJ23" s="620"/>
      <c r="AK23" s="635"/>
      <c r="AM23" s="572"/>
      <c r="AN23" s="6"/>
      <c r="AO23" s="6"/>
      <c r="AP23" s="597"/>
      <c r="AQ23" s="6"/>
      <c r="AR23" s="619"/>
      <c r="AS23" s="692"/>
      <c r="AT23" s="635"/>
    </row>
    <row r="24" spans="1:46" ht="49.9" customHeight="1" x14ac:dyDescent="0.25">
      <c r="A24" s="2205"/>
      <c r="B24" s="574">
        <v>2</v>
      </c>
      <c r="C24" s="595"/>
      <c r="D24" s="596"/>
      <c r="E24" s="596"/>
      <c r="F24" s="597"/>
      <c r="G24" s="685"/>
      <c r="H24" s="620"/>
      <c r="I24" s="848"/>
      <c r="J24" s="635"/>
      <c r="K24" s="622"/>
      <c r="L24" s="572"/>
      <c r="M24" s="6"/>
      <c r="N24" s="6"/>
      <c r="O24" s="597"/>
      <c r="P24" s="685"/>
      <c r="Q24" s="619"/>
      <c r="R24" s="620"/>
      <c r="S24" s="635"/>
      <c r="T24" s="622"/>
      <c r="U24" s="6">
        <v>86</v>
      </c>
      <c r="V24" s="597"/>
      <c r="W24" s="685" t="s">
        <v>982</v>
      </c>
      <c r="X24" s="597"/>
      <c r="Y24" s="848" t="s">
        <v>981</v>
      </c>
      <c r="Z24" s="619"/>
      <c r="AA24" s="698" t="s">
        <v>979</v>
      </c>
      <c r="AB24" s="635"/>
      <c r="AC24" s="622"/>
      <c r="AD24" s="572"/>
      <c r="AE24" s="6"/>
      <c r="AF24" s="614"/>
      <c r="AG24" s="597"/>
      <c r="AH24" s="848"/>
      <c r="AI24" s="619"/>
      <c r="AJ24" s="620"/>
      <c r="AK24" s="635"/>
      <c r="AM24" s="572"/>
      <c r="AN24" s="6"/>
      <c r="AO24" s="6"/>
      <c r="AP24" s="597"/>
      <c r="AQ24" s="619"/>
      <c r="AR24" s="619"/>
      <c r="AS24" s="635"/>
      <c r="AT24" s="635"/>
    </row>
    <row r="25" spans="1:46" ht="53.45" customHeight="1" x14ac:dyDescent="0.25">
      <c r="A25" s="2206">
        <v>45608</v>
      </c>
      <c r="B25" s="574">
        <v>1</v>
      </c>
      <c r="C25" s="595"/>
      <c r="D25" s="596"/>
      <c r="E25" s="596"/>
      <c r="F25" s="597"/>
      <c r="G25" s="685"/>
      <c r="H25" s="619"/>
      <c r="I25" s="848"/>
      <c r="J25" s="635"/>
      <c r="K25" s="622"/>
      <c r="L25" s="572"/>
      <c r="M25" s="6"/>
      <c r="N25" s="6"/>
      <c r="O25" s="597"/>
      <c r="P25" s="572"/>
      <c r="Q25" s="619"/>
      <c r="R25" s="6"/>
      <c r="S25" s="635"/>
      <c r="T25" s="622"/>
      <c r="U25" s="572"/>
      <c r="V25" s="6"/>
      <c r="W25" s="6">
        <v>15</v>
      </c>
      <c r="X25" s="597"/>
      <c r="Y25" s="567"/>
      <c r="Z25" s="605"/>
      <c r="AA25" s="698" t="s">
        <v>325</v>
      </c>
      <c r="AB25" s="635"/>
      <c r="AC25" s="622"/>
      <c r="AD25" s="572"/>
      <c r="AE25" s="6"/>
      <c r="AF25" s="6">
        <v>20</v>
      </c>
      <c r="AG25" s="597"/>
      <c r="AH25" s="6"/>
      <c r="AI25" s="605"/>
      <c r="AJ25" s="620" t="s">
        <v>980</v>
      </c>
      <c r="AK25" s="635"/>
      <c r="AM25" s="572"/>
      <c r="AN25" s="6"/>
      <c r="AO25" s="6"/>
      <c r="AP25" s="597"/>
      <c r="AQ25" s="6"/>
      <c r="AR25" s="6"/>
      <c r="AS25" s="50"/>
      <c r="AT25" s="635"/>
    </row>
    <row r="26" spans="1:46" ht="42" customHeight="1" x14ac:dyDescent="0.25">
      <c r="A26" s="2205"/>
      <c r="B26" s="574">
        <v>2</v>
      </c>
      <c r="C26" s="595"/>
      <c r="D26" s="596"/>
      <c r="E26" s="596"/>
      <c r="F26" s="597"/>
      <c r="G26" s="685"/>
      <c r="H26" s="620"/>
      <c r="I26" s="848"/>
      <c r="J26" s="635"/>
      <c r="K26" s="622"/>
      <c r="L26" s="572"/>
      <c r="M26" s="6"/>
      <c r="N26" s="6"/>
      <c r="O26" s="597"/>
      <c r="P26" s="685"/>
      <c r="Q26" s="620"/>
      <c r="R26" s="692"/>
      <c r="S26" s="635"/>
      <c r="T26" s="622"/>
      <c r="U26" s="572"/>
      <c r="V26" s="596"/>
      <c r="W26" s="6">
        <v>36</v>
      </c>
      <c r="X26" s="597"/>
      <c r="Y26" s="848"/>
      <c r="Z26" s="620"/>
      <c r="AA26" s="698" t="s">
        <v>979</v>
      </c>
      <c r="AB26" s="635"/>
      <c r="AC26" s="622"/>
      <c r="AD26" s="572"/>
      <c r="AE26" s="596"/>
      <c r="AF26" s="6"/>
      <c r="AG26" s="597"/>
      <c r="AH26" s="848"/>
      <c r="AI26" s="620"/>
      <c r="AJ26" s="692"/>
      <c r="AK26" s="635"/>
      <c r="AM26" s="572"/>
      <c r="AN26" s="596"/>
      <c r="AO26" s="6"/>
      <c r="AP26" s="597"/>
      <c r="AQ26" s="685"/>
      <c r="AR26" s="620"/>
      <c r="AS26" s="50"/>
      <c r="AT26" s="635"/>
    </row>
    <row r="27" spans="1:46" ht="49.9" customHeight="1" x14ac:dyDescent="0.25">
      <c r="A27" s="2206">
        <v>45609</v>
      </c>
      <c r="B27" s="644">
        <v>1</v>
      </c>
      <c r="C27" s="595"/>
      <c r="D27" s="596"/>
      <c r="E27" s="596"/>
      <c r="F27" s="597"/>
      <c r="G27" s="685"/>
      <c r="H27" s="619"/>
      <c r="I27" s="692"/>
      <c r="J27" s="635"/>
      <c r="K27" s="622"/>
      <c r="L27" s="572"/>
      <c r="M27" s="6"/>
      <c r="N27" s="6"/>
      <c r="O27" s="597"/>
      <c r="P27" s="685"/>
      <c r="Q27" s="619"/>
      <c r="R27" s="620"/>
      <c r="S27" s="635"/>
      <c r="T27" s="622"/>
      <c r="U27" s="572"/>
      <c r="V27" s="6"/>
      <c r="W27" s="6"/>
      <c r="X27" s="597"/>
      <c r="Y27" s="685"/>
      <c r="Z27" s="620"/>
      <c r="AA27" s="698"/>
      <c r="AB27" s="635"/>
      <c r="AC27" s="622"/>
      <c r="AD27" s="572"/>
      <c r="AE27" s="6"/>
      <c r="AF27" s="6"/>
      <c r="AG27" s="597"/>
      <c r="AH27" s="685"/>
      <c r="AI27" s="605"/>
      <c r="AJ27" s="620"/>
      <c r="AK27" s="635"/>
      <c r="AM27" s="572"/>
      <c r="AN27" s="6"/>
      <c r="AO27" s="6"/>
      <c r="AP27" s="597"/>
      <c r="AQ27" s="605"/>
      <c r="AR27" s="6"/>
      <c r="AS27" s="692"/>
      <c r="AT27" s="635"/>
    </row>
    <row r="28" spans="1:46" ht="72" customHeight="1" x14ac:dyDescent="0.25">
      <c r="A28" s="2205"/>
      <c r="B28" s="574">
        <v>2</v>
      </c>
      <c r="C28" s="595"/>
      <c r="D28" s="596"/>
      <c r="E28" s="596"/>
      <c r="F28" s="597"/>
      <c r="G28" s="620"/>
      <c r="H28" s="620"/>
      <c r="I28" s="692"/>
      <c r="J28" s="635"/>
      <c r="K28" s="622"/>
      <c r="L28" s="572"/>
      <c r="M28" s="6"/>
      <c r="N28" s="6"/>
      <c r="O28" s="597"/>
      <c r="P28" s="620"/>
      <c r="Q28" s="620"/>
      <c r="R28" s="620"/>
      <c r="S28" s="635"/>
      <c r="T28" s="622"/>
      <c r="U28" s="572"/>
      <c r="V28" s="6"/>
      <c r="W28" s="622">
        <v>8</v>
      </c>
      <c r="X28" s="597"/>
      <c r="Y28" s="620"/>
      <c r="Z28" s="6"/>
      <c r="AA28" s="698" t="s">
        <v>325</v>
      </c>
      <c r="AB28" s="635"/>
      <c r="AC28" s="622"/>
      <c r="AD28" s="572"/>
      <c r="AE28" s="6"/>
      <c r="AF28" s="6">
        <v>7</v>
      </c>
      <c r="AG28" s="597"/>
      <c r="AH28" s="685"/>
      <c r="AI28" s="605"/>
      <c r="AJ28" s="698" t="s">
        <v>325</v>
      </c>
      <c r="AK28" s="635"/>
      <c r="AM28" s="572"/>
      <c r="AN28" s="6"/>
      <c r="AO28" s="6"/>
      <c r="AP28" s="597"/>
      <c r="AQ28" s="605"/>
      <c r="AR28" s="6"/>
      <c r="AS28" s="50"/>
      <c r="AT28" s="635"/>
    </row>
    <row r="29" spans="1:46" ht="66" customHeight="1" x14ac:dyDescent="0.25">
      <c r="A29" s="2206">
        <v>45610</v>
      </c>
      <c r="B29" s="574">
        <v>1</v>
      </c>
      <c r="C29" s="595"/>
      <c r="D29" s="596"/>
      <c r="E29" s="596"/>
      <c r="F29" s="597"/>
      <c r="G29" s="620"/>
      <c r="H29" s="619"/>
      <c r="I29" s="692"/>
      <c r="J29" s="635"/>
      <c r="K29" s="622"/>
      <c r="L29" s="572"/>
      <c r="M29" s="6"/>
      <c r="N29" s="6"/>
      <c r="O29" s="597"/>
      <c r="P29" s="685"/>
      <c r="Q29" s="620"/>
      <c r="R29" s="620"/>
      <c r="S29" s="635"/>
      <c r="T29" s="622"/>
      <c r="U29" s="572"/>
      <c r="V29" s="6"/>
      <c r="W29" s="6"/>
      <c r="X29" s="597"/>
      <c r="Y29" s="620"/>
      <c r="Z29" s="619"/>
      <c r="AA29" s="620"/>
      <c r="AB29" s="635"/>
      <c r="AC29" s="622"/>
      <c r="AD29" s="572"/>
      <c r="AE29" s="6"/>
      <c r="AF29" s="6"/>
      <c r="AG29" s="597"/>
      <c r="AH29" s="685"/>
      <c r="AI29" s="619"/>
      <c r="AJ29" s="620"/>
      <c r="AK29" s="635"/>
      <c r="AM29" s="572"/>
      <c r="AN29" s="6"/>
      <c r="AO29" s="6">
        <v>15</v>
      </c>
      <c r="AP29" s="597"/>
      <c r="AQ29" s="605"/>
      <c r="AR29" s="619"/>
      <c r="AS29" s="50" t="s">
        <v>325</v>
      </c>
      <c r="AT29" s="635"/>
    </row>
    <row r="30" spans="1:46" ht="39.6" customHeight="1" x14ac:dyDescent="0.25">
      <c r="A30" s="2205"/>
      <c r="B30" s="644">
        <v>2</v>
      </c>
      <c r="C30" s="595"/>
      <c r="D30" s="596"/>
      <c r="E30" s="596"/>
      <c r="F30" s="597"/>
      <c r="G30" s="620"/>
      <c r="H30" s="619"/>
      <c r="I30" s="692"/>
      <c r="J30" s="635"/>
      <c r="K30" s="622"/>
      <c r="L30" s="572"/>
      <c r="M30" s="6"/>
      <c r="N30" s="6"/>
      <c r="O30" s="597"/>
      <c r="P30" s="685"/>
      <c r="Q30" s="620"/>
      <c r="R30" s="620"/>
      <c r="S30" s="635"/>
      <c r="T30" s="622"/>
      <c r="U30" s="572"/>
      <c r="V30" s="6"/>
      <c r="W30" s="6">
        <v>14</v>
      </c>
      <c r="X30" s="597"/>
      <c r="Y30" s="620"/>
      <c r="Z30" s="619"/>
      <c r="AA30" s="698" t="s">
        <v>325</v>
      </c>
      <c r="AB30" s="635"/>
      <c r="AC30" s="622"/>
      <c r="AD30" s="572"/>
      <c r="AE30" s="6"/>
      <c r="AF30" s="6"/>
      <c r="AG30" s="597"/>
      <c r="AH30" s="685"/>
      <c r="AI30" s="620"/>
      <c r="AJ30" s="620"/>
      <c r="AK30" s="635"/>
      <c r="AM30" s="572"/>
      <c r="AN30" s="6"/>
      <c r="AO30" s="6">
        <v>8</v>
      </c>
      <c r="AP30" s="597">
        <v>15</v>
      </c>
      <c r="AQ30" s="1188"/>
      <c r="AR30" s="605"/>
      <c r="AS30" s="50" t="s">
        <v>325</v>
      </c>
      <c r="AT30" s="634" t="s">
        <v>317</v>
      </c>
    </row>
    <row r="31" spans="1:46" ht="39.6" customHeight="1" x14ac:dyDescent="0.25">
      <c r="A31" s="2206">
        <v>45611</v>
      </c>
      <c r="B31" s="574">
        <v>1</v>
      </c>
      <c r="C31" s="595"/>
      <c r="D31" s="596"/>
      <c r="E31" s="596"/>
      <c r="F31" s="597"/>
      <c r="G31" s="685"/>
      <c r="H31" s="620"/>
      <c r="I31" s="620"/>
      <c r="J31" s="635"/>
      <c r="K31" s="622"/>
      <c r="L31" s="572"/>
      <c r="M31" s="6"/>
      <c r="N31" s="6"/>
      <c r="O31" s="597"/>
      <c r="P31" s="614"/>
      <c r="Q31" s="6"/>
      <c r="R31" s="6"/>
      <c r="S31" s="635"/>
      <c r="T31" s="622"/>
      <c r="U31" s="572"/>
      <c r="V31" s="6"/>
      <c r="W31" s="6"/>
      <c r="X31" s="597"/>
      <c r="Y31" s="1188"/>
      <c r="Z31" s="6"/>
      <c r="AA31" s="698"/>
      <c r="AB31" s="635"/>
      <c r="AC31" s="622"/>
      <c r="AD31" s="572"/>
      <c r="AE31" s="6"/>
      <c r="AF31" s="6"/>
      <c r="AG31" s="597"/>
      <c r="AH31" s="685"/>
      <c r="AI31" s="6"/>
      <c r="AJ31" s="6"/>
      <c r="AK31" s="635"/>
      <c r="AM31" s="572"/>
      <c r="AN31" s="6"/>
      <c r="AO31" s="6"/>
      <c r="AP31" s="597">
        <v>720</v>
      </c>
      <c r="AQ31" s="614"/>
      <c r="AR31" s="6"/>
      <c r="AS31" s="6"/>
      <c r="AT31" s="634" t="s">
        <v>317</v>
      </c>
    </row>
    <row r="32" spans="1:46" ht="63" customHeight="1" x14ac:dyDescent="0.25">
      <c r="A32" s="2205"/>
      <c r="B32" s="574">
        <v>2</v>
      </c>
      <c r="C32" s="595"/>
      <c r="D32" s="595"/>
      <c r="E32" s="596"/>
      <c r="F32" s="595"/>
      <c r="G32" s="685"/>
      <c r="H32" s="635"/>
      <c r="I32" s="692"/>
      <c r="J32" s="635"/>
      <c r="K32" s="622"/>
      <c r="L32" s="572"/>
      <c r="M32" s="6"/>
      <c r="N32" s="6"/>
      <c r="O32" s="6"/>
      <c r="P32" s="614"/>
      <c r="Q32" s="635"/>
      <c r="R32" s="6"/>
      <c r="S32" s="635"/>
      <c r="T32" s="622"/>
      <c r="U32" s="572"/>
      <c r="V32" s="6"/>
      <c r="W32" s="596"/>
      <c r="X32" s="6"/>
      <c r="Y32" s="685"/>
      <c r="Z32" s="635"/>
      <c r="AA32" s="698"/>
      <c r="AB32" s="635"/>
      <c r="AC32" s="622"/>
      <c r="AD32" s="572"/>
      <c r="AE32" s="6"/>
      <c r="AF32" s="596"/>
      <c r="AG32" s="6"/>
      <c r="AH32" s="685"/>
      <c r="AI32" s="635"/>
      <c r="AJ32" s="698"/>
      <c r="AK32" s="635"/>
      <c r="AM32" s="572">
        <v>15</v>
      </c>
      <c r="AN32" s="6"/>
      <c r="AO32" s="6"/>
      <c r="AP32" s="597">
        <v>383</v>
      </c>
      <c r="AQ32" s="614" t="s">
        <v>985</v>
      </c>
      <c r="AR32" s="635"/>
      <c r="AS32" s="684"/>
      <c r="AT32" s="634" t="s">
        <v>317</v>
      </c>
    </row>
    <row r="33" spans="1:46" ht="43.15" customHeight="1" x14ac:dyDescent="0.25">
      <c r="A33" s="2206">
        <v>45612</v>
      </c>
      <c r="B33" s="574">
        <v>1</v>
      </c>
      <c r="C33" s="595"/>
      <c r="D33" s="596"/>
      <c r="E33" s="596"/>
      <c r="F33" s="597"/>
      <c r="G33" s="685"/>
      <c r="H33" s="620"/>
      <c r="I33" s="698"/>
      <c r="J33" s="635"/>
      <c r="K33" s="622"/>
      <c r="L33" s="572"/>
      <c r="M33" s="6"/>
      <c r="N33" s="6"/>
      <c r="O33" s="597"/>
      <c r="P33" s="614"/>
      <c r="Q33" s="6"/>
      <c r="R33" s="6"/>
      <c r="S33" s="635"/>
      <c r="T33" s="622"/>
      <c r="U33" s="572"/>
      <c r="V33" s="6"/>
      <c r="W33" s="6"/>
      <c r="X33" s="597"/>
      <c r="Y33" s="614"/>
      <c r="Z33" s="6"/>
      <c r="AA33" s="698"/>
      <c r="AB33" s="635"/>
      <c r="AC33" s="622"/>
      <c r="AD33" s="572"/>
      <c r="AE33" s="6"/>
      <c r="AF33" s="6"/>
      <c r="AG33" s="597"/>
      <c r="AH33" s="614"/>
      <c r="AI33" s="605"/>
      <c r="AJ33" s="698"/>
      <c r="AK33" s="635"/>
      <c r="AM33" s="572">
        <v>720</v>
      </c>
      <c r="AN33" s="6"/>
      <c r="AO33" s="6"/>
      <c r="AP33" s="597"/>
      <c r="AQ33" s="614" t="s">
        <v>813</v>
      </c>
      <c r="AR33" s="605"/>
      <c r="AS33" s="6"/>
      <c r="AT33" s="635"/>
    </row>
    <row r="34" spans="1:46" ht="67.900000000000006" customHeight="1" x14ac:dyDescent="0.25">
      <c r="A34" s="2205"/>
      <c r="B34" s="644">
        <v>2</v>
      </c>
      <c r="C34" s="596"/>
      <c r="D34" s="596"/>
      <c r="E34" s="596"/>
      <c r="F34" s="597"/>
      <c r="G34" s="684"/>
      <c r="H34" s="620"/>
      <c r="I34" s="848"/>
      <c r="J34" s="635"/>
      <c r="K34" s="622"/>
      <c r="L34" s="572"/>
      <c r="M34" s="6"/>
      <c r="N34" s="6"/>
      <c r="O34" s="597"/>
      <c r="P34" s="614"/>
      <c r="Q34" s="620"/>
      <c r="R34" s="6"/>
      <c r="S34" s="635"/>
      <c r="T34" s="622"/>
      <c r="U34" s="572"/>
      <c r="V34" s="6"/>
      <c r="W34" s="6">
        <v>14</v>
      </c>
      <c r="X34" s="597"/>
      <c r="Y34" s="605"/>
      <c r="Z34" s="605"/>
      <c r="AA34" s="698" t="s">
        <v>987</v>
      </c>
      <c r="AB34" s="635"/>
      <c r="AC34" s="622"/>
      <c r="AD34" s="572"/>
      <c r="AE34" s="6"/>
      <c r="AF34" s="6"/>
      <c r="AG34" s="597"/>
      <c r="AH34" s="614"/>
      <c r="AI34" s="6"/>
      <c r="AJ34" s="605"/>
      <c r="AK34" s="635"/>
      <c r="AM34" s="572">
        <v>720</v>
      </c>
      <c r="AN34" s="6"/>
      <c r="AO34" s="6"/>
      <c r="AP34" s="597"/>
      <c r="AQ34" s="614" t="s">
        <v>813</v>
      </c>
      <c r="AR34" s="6"/>
      <c r="AS34" s="620"/>
      <c r="AT34" s="635"/>
    </row>
    <row r="35" spans="1:46" ht="51" customHeight="1" x14ac:dyDescent="0.25">
      <c r="A35" s="2206">
        <v>45613</v>
      </c>
      <c r="B35" s="574">
        <v>1</v>
      </c>
      <c r="C35" s="596"/>
      <c r="D35" s="596"/>
      <c r="E35" s="50">
        <v>10</v>
      </c>
      <c r="F35" s="597"/>
      <c r="G35" s="567"/>
      <c r="H35" s="614"/>
      <c r="I35" s="698" t="s">
        <v>986</v>
      </c>
      <c r="J35" s="635"/>
      <c r="K35" s="622"/>
      <c r="L35" s="572"/>
      <c r="M35" s="6"/>
      <c r="N35" s="6"/>
      <c r="O35" s="597"/>
      <c r="P35" s="567"/>
      <c r="Q35" s="1192"/>
      <c r="R35" s="620"/>
      <c r="S35" s="635"/>
      <c r="T35" s="622"/>
      <c r="U35" s="572"/>
      <c r="V35" s="6"/>
      <c r="W35" s="50">
        <v>38</v>
      </c>
      <c r="X35" s="597"/>
      <c r="Y35" s="567"/>
      <c r="Z35" s="605"/>
      <c r="AA35" s="698" t="s">
        <v>979</v>
      </c>
      <c r="AB35" s="635"/>
      <c r="AC35" s="622"/>
      <c r="AD35" s="572"/>
      <c r="AE35" s="6"/>
      <c r="AF35" s="6"/>
      <c r="AG35" s="597"/>
      <c r="AH35" s="567"/>
      <c r="AI35" s="6"/>
      <c r="AJ35" s="684"/>
      <c r="AK35" s="635"/>
      <c r="AM35" s="572">
        <v>720</v>
      </c>
      <c r="AN35" s="6"/>
      <c r="AO35" s="50"/>
      <c r="AP35" s="597"/>
      <c r="AQ35" s="614" t="s">
        <v>813</v>
      </c>
      <c r="AR35" s="692"/>
      <c r="AS35" s="828"/>
      <c r="AT35" s="635"/>
    </row>
    <row r="36" spans="1:46" ht="46.9" customHeight="1" x14ac:dyDescent="0.25">
      <c r="A36" s="2205"/>
      <c r="B36" s="574">
        <v>2</v>
      </c>
      <c r="C36" s="50"/>
      <c r="D36" s="6"/>
      <c r="E36" s="50"/>
      <c r="F36" s="597"/>
      <c r="G36" s="692"/>
      <c r="H36" s="620"/>
      <c r="I36" s="692"/>
      <c r="J36" s="635"/>
      <c r="K36" s="622"/>
      <c r="L36" s="567"/>
      <c r="M36" s="6"/>
      <c r="N36" s="6"/>
      <c r="O36" s="597"/>
      <c r="P36" s="567"/>
      <c r="Q36" s="620"/>
      <c r="R36" s="605"/>
      <c r="S36" s="635"/>
      <c r="T36" s="622"/>
      <c r="U36" s="572"/>
      <c r="V36" s="6"/>
      <c r="W36" s="6">
        <v>86</v>
      </c>
      <c r="X36" s="597"/>
      <c r="Y36" s="567"/>
      <c r="Z36" s="620"/>
      <c r="AA36" s="698" t="s">
        <v>979</v>
      </c>
      <c r="AB36" s="635"/>
      <c r="AC36" s="622"/>
      <c r="AD36" s="572"/>
      <c r="AE36" s="6"/>
      <c r="AF36" s="50"/>
      <c r="AG36" s="597"/>
      <c r="AH36" s="567"/>
      <c r="AI36" s="605"/>
      <c r="AJ36" s="698"/>
      <c r="AK36" s="635"/>
      <c r="AM36" s="572">
        <v>720</v>
      </c>
      <c r="AN36" s="6"/>
      <c r="AO36" s="572"/>
      <c r="AP36" s="597"/>
      <c r="AQ36" s="614" t="s">
        <v>813</v>
      </c>
      <c r="AR36" s="1188"/>
      <c r="AS36" s="567"/>
      <c r="AT36" s="635"/>
    </row>
    <row r="37" spans="1:46" ht="59.45" customHeight="1" x14ac:dyDescent="0.25">
      <c r="A37" s="2206">
        <v>45614</v>
      </c>
      <c r="B37" s="644">
        <v>1</v>
      </c>
      <c r="C37" s="50"/>
      <c r="D37" s="596"/>
      <c r="E37" s="50"/>
      <c r="F37" s="597"/>
      <c r="G37" s="692"/>
      <c r="H37" s="1188"/>
      <c r="I37" s="848"/>
      <c r="J37" s="635"/>
      <c r="K37" s="622"/>
      <c r="L37" s="572"/>
      <c r="M37" s="6"/>
      <c r="N37" s="6"/>
      <c r="O37" s="597"/>
      <c r="P37" s="614"/>
      <c r="Q37" s="6"/>
      <c r="R37" s="6"/>
      <c r="S37" s="635"/>
      <c r="T37" s="622"/>
      <c r="U37" s="572"/>
      <c r="V37" s="6"/>
      <c r="W37" s="6">
        <v>33</v>
      </c>
      <c r="X37" s="597"/>
      <c r="Y37" s="614"/>
      <c r="Z37" s="605"/>
      <c r="AA37" s="698" t="s">
        <v>269</v>
      </c>
      <c r="AB37" s="635"/>
      <c r="AC37" s="622"/>
      <c r="AD37" s="572"/>
      <c r="AE37" s="6"/>
      <c r="AF37" s="6"/>
      <c r="AG37" s="597"/>
      <c r="AH37" s="1188"/>
      <c r="AI37" s="6"/>
      <c r="AJ37" s="698"/>
      <c r="AK37" s="635"/>
      <c r="AM37" s="572">
        <v>286</v>
      </c>
      <c r="AN37" s="6"/>
      <c r="AO37" s="6"/>
      <c r="AP37" s="597"/>
      <c r="AQ37" s="614" t="s">
        <v>988</v>
      </c>
      <c r="AR37" s="6"/>
      <c r="AS37" s="6"/>
      <c r="AT37" s="635"/>
    </row>
    <row r="38" spans="1:46" ht="55.9" customHeight="1" x14ac:dyDescent="0.25">
      <c r="A38" s="2205"/>
      <c r="B38" s="574">
        <v>2</v>
      </c>
      <c r="C38" s="50"/>
      <c r="D38" s="596"/>
      <c r="E38" s="50"/>
      <c r="F38" s="597"/>
      <c r="G38" s="692"/>
      <c r="H38" s="1188"/>
      <c r="I38" s="848"/>
      <c r="J38" s="635"/>
      <c r="K38" s="622"/>
      <c r="L38" s="572"/>
      <c r="M38" s="6">
        <v>181</v>
      </c>
      <c r="N38" s="6"/>
      <c r="O38" s="597"/>
      <c r="P38" s="1188"/>
      <c r="Q38" s="1198" t="s">
        <v>991</v>
      </c>
      <c r="R38" s="6"/>
      <c r="S38" s="635"/>
      <c r="T38" s="622"/>
      <c r="U38" s="572"/>
      <c r="V38" s="6"/>
      <c r="W38" s="6"/>
      <c r="X38" s="597"/>
      <c r="Y38" s="1188"/>
      <c r="Z38" s="605"/>
      <c r="AA38" s="698"/>
      <c r="AB38" s="635"/>
      <c r="AC38" s="622"/>
      <c r="AD38" s="572"/>
      <c r="AE38" s="6"/>
      <c r="AF38" s="6"/>
      <c r="AG38" s="597"/>
      <c r="AH38" s="1188"/>
      <c r="AI38" s="6"/>
      <c r="AJ38" s="698"/>
      <c r="AK38" s="635"/>
      <c r="AM38" s="572">
        <v>510</v>
      </c>
      <c r="AN38" s="6"/>
      <c r="AO38" s="6"/>
      <c r="AP38" s="597"/>
      <c r="AQ38" s="1197" t="s">
        <v>989</v>
      </c>
      <c r="AR38" s="6"/>
      <c r="AS38" s="567"/>
      <c r="AT38" s="635"/>
    </row>
    <row r="39" spans="1:46" ht="70.900000000000006" customHeight="1" x14ac:dyDescent="0.25">
      <c r="A39" s="2206">
        <v>45615</v>
      </c>
      <c r="B39" s="574">
        <v>1</v>
      </c>
      <c r="C39" s="50"/>
      <c r="D39" s="596"/>
      <c r="E39" s="596"/>
      <c r="F39" s="597"/>
      <c r="G39" s="692"/>
      <c r="H39" s="1188"/>
      <c r="I39" s="848"/>
      <c r="J39" s="635"/>
      <c r="K39" s="622"/>
      <c r="L39" s="572"/>
      <c r="M39" s="6"/>
      <c r="N39" s="6"/>
      <c r="O39" s="597"/>
      <c r="P39" s="692"/>
      <c r="Q39" s="619"/>
      <c r="R39" s="6"/>
      <c r="S39" s="635"/>
      <c r="T39" s="622"/>
      <c r="U39" s="572"/>
      <c r="V39" s="6"/>
      <c r="W39" s="6">
        <v>30</v>
      </c>
      <c r="X39" s="597"/>
      <c r="Y39" s="614"/>
      <c r="Z39" s="620"/>
      <c r="AA39" s="698" t="s">
        <v>987</v>
      </c>
      <c r="AB39" s="635"/>
      <c r="AC39" s="622"/>
      <c r="AD39" s="572"/>
      <c r="AE39" s="6"/>
      <c r="AF39" s="6"/>
      <c r="AG39" s="597"/>
      <c r="AH39" s="692"/>
      <c r="AI39" s="619"/>
      <c r="AJ39" s="698"/>
      <c r="AK39" s="635"/>
      <c r="AM39" s="572"/>
      <c r="AN39" s="6"/>
      <c r="AO39" s="6"/>
      <c r="AP39" s="597"/>
      <c r="AQ39" s="620"/>
      <c r="AR39" s="692"/>
      <c r="AS39" s="698"/>
      <c r="AT39" s="635"/>
    </row>
    <row r="40" spans="1:46" ht="72.599999999999994" customHeight="1" x14ac:dyDescent="0.25">
      <c r="A40" s="2205"/>
      <c r="B40" s="574">
        <v>2</v>
      </c>
      <c r="C40" s="596"/>
      <c r="D40" s="596">
        <v>105</v>
      </c>
      <c r="E40" s="596">
        <v>9</v>
      </c>
      <c r="F40" s="597"/>
      <c r="G40" s="692"/>
      <c r="H40" s="1198" t="s">
        <v>96</v>
      </c>
      <c r="I40" s="848" t="s">
        <v>808</v>
      </c>
      <c r="J40" s="635"/>
      <c r="K40" s="622"/>
      <c r="L40" s="572"/>
      <c r="M40" s="6"/>
      <c r="N40" s="6"/>
      <c r="O40" s="597"/>
      <c r="P40" s="685"/>
      <c r="Q40" s="619"/>
      <c r="R40" s="692"/>
      <c r="S40" s="635"/>
      <c r="T40" s="622"/>
      <c r="U40" s="572">
        <v>80</v>
      </c>
      <c r="V40" s="6"/>
      <c r="W40" s="6">
        <v>37</v>
      </c>
      <c r="X40" s="597"/>
      <c r="Y40" s="1199" t="s">
        <v>308</v>
      </c>
      <c r="Z40" s="6"/>
      <c r="AA40" s="698" t="s">
        <v>990</v>
      </c>
      <c r="AB40" s="635"/>
      <c r="AC40" s="622"/>
      <c r="AD40" s="572"/>
      <c r="AE40" s="6"/>
      <c r="AF40" s="6"/>
      <c r="AG40" s="597"/>
      <c r="AH40" s="567"/>
      <c r="AI40" s="620"/>
      <c r="AJ40" s="698"/>
      <c r="AK40" s="635"/>
      <c r="AM40" s="567"/>
      <c r="AN40" s="6"/>
      <c r="AO40" s="6"/>
      <c r="AP40" s="597"/>
      <c r="AQ40" s="685"/>
      <c r="AR40" s="619"/>
      <c r="AS40" s="692"/>
      <c r="AT40" s="635"/>
    </row>
    <row r="41" spans="1:46" ht="39.6" customHeight="1" x14ac:dyDescent="0.25">
      <c r="A41" s="2206">
        <v>45616</v>
      </c>
      <c r="B41" s="574">
        <v>1</v>
      </c>
      <c r="C41" s="595"/>
      <c r="D41" s="596"/>
      <c r="E41" s="596"/>
      <c r="F41" s="597"/>
      <c r="G41" s="685"/>
      <c r="H41" s="620"/>
      <c r="I41" s="692"/>
      <c r="J41" s="635"/>
      <c r="K41" s="622"/>
      <c r="L41" s="572"/>
      <c r="M41" s="6"/>
      <c r="N41" s="6"/>
      <c r="O41" s="597"/>
      <c r="P41" s="614"/>
      <c r="Q41" s="6"/>
      <c r="R41" s="692"/>
      <c r="S41" s="635"/>
      <c r="T41" s="622"/>
      <c r="U41" s="572"/>
      <c r="V41" s="6"/>
      <c r="W41" s="6"/>
      <c r="X41" s="597"/>
      <c r="Y41" s="614"/>
      <c r="Z41" s="605"/>
      <c r="AA41" s="698"/>
      <c r="AB41" s="635"/>
      <c r="AC41" s="622"/>
      <c r="AD41" s="572"/>
      <c r="AE41" s="6"/>
      <c r="AF41" s="6"/>
      <c r="AG41" s="597"/>
      <c r="AH41" s="567"/>
      <c r="AI41" s="605"/>
      <c r="AJ41" s="6"/>
      <c r="AK41" s="635"/>
      <c r="AM41" s="572"/>
      <c r="AN41" s="6"/>
      <c r="AO41" s="6"/>
      <c r="AP41" s="597"/>
      <c r="AQ41" s="614"/>
      <c r="AR41" s="605"/>
      <c r="AS41" s="692"/>
      <c r="AT41" s="635"/>
    </row>
    <row r="42" spans="1:46" ht="52.9" customHeight="1" x14ac:dyDescent="0.25">
      <c r="A42" s="2205"/>
      <c r="B42" s="574">
        <v>2</v>
      </c>
      <c r="C42" s="596"/>
      <c r="D42" s="596"/>
      <c r="E42" s="596"/>
      <c r="F42" s="597"/>
      <c r="G42" s="685"/>
      <c r="H42" s="620"/>
      <c r="I42" s="692"/>
      <c r="J42" s="635"/>
      <c r="K42" s="622"/>
      <c r="L42" s="572"/>
      <c r="M42" s="6"/>
      <c r="N42" s="6"/>
      <c r="O42" s="597"/>
      <c r="P42" s="614"/>
      <c r="Q42" s="605"/>
      <c r="R42" s="6"/>
      <c r="S42" s="635"/>
      <c r="T42" s="622"/>
      <c r="U42" s="572"/>
      <c r="V42" s="6"/>
      <c r="W42" s="6"/>
      <c r="X42" s="597"/>
      <c r="Y42" s="1198"/>
      <c r="Z42" s="6"/>
      <c r="AA42" s="698"/>
      <c r="AB42" s="635"/>
      <c r="AC42" s="622"/>
      <c r="AD42" s="572"/>
      <c r="AE42" s="6"/>
      <c r="AF42" s="6"/>
      <c r="AG42" s="597"/>
      <c r="AH42" s="614"/>
      <c r="AI42" s="605"/>
      <c r="AJ42" s="6"/>
      <c r="AK42" s="635"/>
      <c r="AM42" s="572"/>
      <c r="AN42" s="6"/>
      <c r="AO42" s="6"/>
      <c r="AP42" s="597"/>
      <c r="AQ42" s="614"/>
      <c r="AR42" s="6"/>
      <c r="AS42" s="6"/>
      <c r="AT42" s="635"/>
    </row>
    <row r="43" spans="1:46" ht="65.45" customHeight="1" x14ac:dyDescent="0.25">
      <c r="A43" s="2206">
        <v>45617</v>
      </c>
      <c r="B43" s="574">
        <v>1</v>
      </c>
      <c r="C43" s="596"/>
      <c r="D43" s="596"/>
      <c r="E43" s="596"/>
      <c r="F43" s="597"/>
      <c r="G43" s="619"/>
      <c r="H43" s="619"/>
      <c r="I43" s="848"/>
      <c r="J43" s="635"/>
      <c r="K43" s="622"/>
      <c r="L43" s="572"/>
      <c r="M43" s="6"/>
      <c r="N43" s="6"/>
      <c r="O43" s="597"/>
      <c r="P43" s="614"/>
      <c r="Q43" s="6"/>
      <c r="R43" s="6"/>
      <c r="S43" s="635"/>
      <c r="T43" s="622"/>
      <c r="U43" s="572"/>
      <c r="V43" s="6"/>
      <c r="W43" s="6">
        <v>12</v>
      </c>
      <c r="X43" s="597"/>
      <c r="Y43" s="614"/>
      <c r="Z43" s="6"/>
      <c r="AA43" s="698" t="s">
        <v>987</v>
      </c>
      <c r="AB43" s="635"/>
      <c r="AC43" s="622"/>
      <c r="AD43" s="572"/>
      <c r="AE43" s="6"/>
      <c r="AF43" s="6"/>
      <c r="AG43" s="597"/>
      <c r="AH43" s="605"/>
      <c r="AI43" s="620"/>
      <c r="AJ43" s="6"/>
      <c r="AK43" s="635"/>
      <c r="AM43" s="572"/>
      <c r="AN43" s="6"/>
      <c r="AO43" s="6"/>
      <c r="AP43" s="597"/>
      <c r="AQ43" s="605"/>
      <c r="AR43" s="620"/>
      <c r="AS43" s="6"/>
      <c r="AT43" s="635"/>
    </row>
    <row r="44" spans="1:46" ht="69" customHeight="1" x14ac:dyDescent="0.25">
      <c r="A44" s="2205"/>
      <c r="B44" s="574">
        <v>2</v>
      </c>
      <c r="C44" s="596"/>
      <c r="D44" s="596"/>
      <c r="E44" s="596"/>
      <c r="F44" s="597"/>
      <c r="G44" s="619"/>
      <c r="H44" s="1188"/>
      <c r="I44" s="692"/>
      <c r="J44" s="635"/>
      <c r="K44" s="622"/>
      <c r="L44" s="572"/>
      <c r="M44" s="6"/>
      <c r="N44" s="6"/>
      <c r="O44" s="613"/>
      <c r="P44" s="1188"/>
      <c r="Q44" s="6"/>
      <c r="R44" s="605"/>
      <c r="S44" s="635"/>
      <c r="T44" s="622"/>
      <c r="U44" s="572"/>
      <c r="V44" s="6"/>
      <c r="W44" s="596">
        <v>13</v>
      </c>
      <c r="X44" s="597"/>
      <c r="Y44" s="619"/>
      <c r="Z44" s="620"/>
      <c r="AA44" s="698" t="s">
        <v>987</v>
      </c>
      <c r="AB44" s="635"/>
      <c r="AC44" s="622"/>
      <c r="AD44" s="572"/>
      <c r="AE44" s="6"/>
      <c r="AF44" s="6"/>
      <c r="AG44" s="613"/>
      <c r="AH44" s="614"/>
      <c r="AI44" s="605"/>
      <c r="AJ44" s="698"/>
      <c r="AK44" s="635"/>
      <c r="AM44" s="572"/>
      <c r="AN44" s="6"/>
      <c r="AO44" s="6"/>
      <c r="AP44" s="613"/>
      <c r="AQ44" s="614"/>
      <c r="AR44" s="605"/>
      <c r="AS44" s="605"/>
      <c r="AT44" s="635"/>
    </row>
    <row r="45" spans="1:46" ht="69" customHeight="1" x14ac:dyDescent="0.25">
      <c r="A45" s="2206">
        <v>45618</v>
      </c>
      <c r="B45" s="574">
        <v>1</v>
      </c>
      <c r="C45" s="596"/>
      <c r="D45" s="596"/>
      <c r="E45" s="596"/>
      <c r="F45" s="597"/>
      <c r="G45" s="619"/>
      <c r="H45" s="619"/>
      <c r="I45" s="692"/>
      <c r="J45" s="635"/>
      <c r="K45" s="622"/>
      <c r="L45" s="572"/>
      <c r="M45" s="6"/>
      <c r="N45" s="6"/>
      <c r="O45" s="613"/>
      <c r="P45" s="614"/>
      <c r="Q45" s="605"/>
      <c r="R45" s="6"/>
      <c r="S45" s="635"/>
      <c r="T45" s="622"/>
      <c r="U45" s="572"/>
      <c r="V45" s="605"/>
      <c r="W45" s="6">
        <v>13</v>
      </c>
      <c r="X45" s="597"/>
      <c r="Y45" s="614"/>
      <c r="Z45" s="605"/>
      <c r="AA45" s="698" t="s">
        <v>987</v>
      </c>
      <c r="AB45" s="635"/>
      <c r="AC45" s="622"/>
      <c r="AD45" s="572"/>
      <c r="AE45" s="6"/>
      <c r="AF45" s="6"/>
      <c r="AG45" s="613"/>
      <c r="AH45" s="614"/>
      <c r="AI45" s="605"/>
      <c r="AJ45" s="605"/>
      <c r="AK45" s="635"/>
      <c r="AM45" s="572"/>
      <c r="AN45" s="6"/>
      <c r="AO45" s="6"/>
      <c r="AP45" s="613"/>
      <c r="AQ45" s="614"/>
      <c r="AR45" s="605"/>
      <c r="AS45" s="6"/>
      <c r="AT45" s="635"/>
    </row>
    <row r="46" spans="1:46" ht="48.6" customHeight="1" x14ac:dyDescent="0.25">
      <c r="A46" s="2205"/>
      <c r="B46" s="574">
        <v>2</v>
      </c>
      <c r="C46" s="596"/>
      <c r="D46" s="596"/>
      <c r="E46" s="596">
        <v>39</v>
      </c>
      <c r="F46" s="597"/>
      <c r="G46" s="619"/>
      <c r="H46" s="619"/>
      <c r="I46" s="605" t="s">
        <v>97</v>
      </c>
      <c r="J46" s="635"/>
      <c r="K46" s="622"/>
      <c r="L46" s="572"/>
      <c r="M46" s="6"/>
      <c r="N46" s="6"/>
      <c r="O46" s="785"/>
      <c r="P46" s="614"/>
      <c r="Q46" s="620"/>
      <c r="R46" s="605"/>
      <c r="S46" s="635"/>
      <c r="T46" s="622"/>
      <c r="U46" s="572"/>
      <c r="V46" s="6"/>
      <c r="W46" s="6"/>
      <c r="X46" s="613"/>
      <c r="Y46" s="6"/>
      <c r="Z46" s="6"/>
      <c r="AA46" s="605"/>
      <c r="AB46" s="635"/>
      <c r="AC46" s="622"/>
      <c r="AD46" s="572"/>
      <c r="AE46" s="6"/>
      <c r="AF46" s="6"/>
      <c r="AG46" s="613"/>
      <c r="AH46" s="1188"/>
      <c r="AI46" s="605"/>
      <c r="AJ46" s="698"/>
      <c r="AK46" s="635"/>
      <c r="AM46" s="572">
        <v>27</v>
      </c>
      <c r="AN46" s="6"/>
      <c r="AO46" s="6"/>
      <c r="AP46" s="613"/>
      <c r="AQ46" s="614" t="s">
        <v>113</v>
      </c>
      <c r="AR46" s="620"/>
      <c r="AS46" s="605"/>
      <c r="AT46" s="635"/>
    </row>
    <row r="47" spans="1:46" ht="58.9" customHeight="1" x14ac:dyDescent="0.25">
      <c r="A47" s="2206">
        <v>45619</v>
      </c>
      <c r="B47" s="574">
        <v>1</v>
      </c>
      <c r="C47" s="596"/>
      <c r="D47" s="596">
        <v>15</v>
      </c>
      <c r="E47" s="596"/>
      <c r="F47" s="597"/>
      <c r="G47" s="619"/>
      <c r="H47" s="620" t="s">
        <v>992</v>
      </c>
      <c r="I47" s="605"/>
      <c r="J47" s="687"/>
      <c r="K47" s="622"/>
      <c r="L47" s="572"/>
      <c r="M47" s="6"/>
      <c r="N47" s="6"/>
      <c r="O47" s="613"/>
      <c r="P47" s="614"/>
      <c r="Q47" s="6"/>
      <c r="R47" s="6"/>
      <c r="S47" s="635"/>
      <c r="T47" s="622"/>
      <c r="U47" s="572"/>
      <c r="V47" s="6"/>
      <c r="W47" s="6"/>
      <c r="X47" s="613"/>
      <c r="Y47" s="619"/>
      <c r="Z47" s="605"/>
      <c r="AA47" s="605"/>
      <c r="AB47" s="635"/>
      <c r="AC47" s="622"/>
      <c r="AD47" s="572"/>
      <c r="AE47" s="6"/>
      <c r="AF47" s="6"/>
      <c r="AG47" s="613"/>
      <c r="AH47" s="1188"/>
      <c r="AI47" s="620"/>
      <c r="AJ47" s="698"/>
      <c r="AK47" s="613"/>
      <c r="AM47" s="572"/>
      <c r="AN47" s="6"/>
      <c r="AO47" s="6"/>
      <c r="AP47" s="613"/>
      <c r="AQ47" s="614"/>
      <c r="AR47" s="620"/>
      <c r="AS47" s="6"/>
      <c r="AT47" s="613"/>
    </row>
    <row r="48" spans="1:46" ht="34.9" customHeight="1" x14ac:dyDescent="0.25">
      <c r="A48" s="2205"/>
      <c r="B48" s="574">
        <v>2</v>
      </c>
      <c r="C48" s="596"/>
      <c r="D48" s="596"/>
      <c r="E48" s="596"/>
      <c r="F48" s="597"/>
      <c r="G48" s="620"/>
      <c r="H48" s="620"/>
      <c r="I48" s="692"/>
      <c r="J48" s="635"/>
      <c r="K48" s="622"/>
      <c r="L48" s="572"/>
      <c r="M48" s="6"/>
      <c r="N48" s="6"/>
      <c r="O48" s="597"/>
      <c r="P48" s="620"/>
      <c r="Q48" s="620"/>
      <c r="R48" s="692"/>
      <c r="S48" s="635"/>
      <c r="T48" s="622"/>
      <c r="U48" s="572"/>
      <c r="V48" s="6"/>
      <c r="W48" s="6">
        <v>10</v>
      </c>
      <c r="X48" s="597"/>
      <c r="Y48" s="620"/>
      <c r="Z48" s="620"/>
      <c r="AA48" s="692" t="s">
        <v>152</v>
      </c>
      <c r="AB48" s="635"/>
      <c r="AC48" s="622"/>
      <c r="AD48" s="572"/>
      <c r="AE48" s="6"/>
      <c r="AF48" s="6"/>
      <c r="AG48" s="597"/>
      <c r="AH48" s="1188"/>
      <c r="AI48" s="620"/>
      <c r="AJ48" s="692"/>
      <c r="AK48" s="635"/>
      <c r="AM48" s="572"/>
      <c r="AN48" s="6"/>
      <c r="AO48" s="572"/>
      <c r="AP48" s="6"/>
      <c r="AQ48" s="597"/>
      <c r="AR48" s="620"/>
      <c r="AS48" s="605"/>
      <c r="AT48" s="613"/>
    </row>
    <row r="49" spans="1:46" ht="43.15" customHeight="1" x14ac:dyDescent="0.25">
      <c r="A49" s="2206">
        <v>45620</v>
      </c>
      <c r="B49" s="574">
        <v>1</v>
      </c>
      <c r="C49" s="596"/>
      <c r="D49" s="596"/>
      <c r="E49" s="596"/>
      <c r="F49" s="597"/>
      <c r="G49" s="620"/>
      <c r="H49" s="619"/>
      <c r="I49" s="692"/>
      <c r="J49" s="635"/>
      <c r="K49" s="622"/>
      <c r="L49" s="572"/>
      <c r="M49" s="6"/>
      <c r="N49" s="6"/>
      <c r="O49" s="597"/>
      <c r="P49" s="620"/>
      <c r="Q49" s="619"/>
      <c r="R49" s="692"/>
      <c r="S49" s="635"/>
      <c r="T49" s="622"/>
      <c r="U49" s="572"/>
      <c r="V49" s="6"/>
      <c r="W49" s="6"/>
      <c r="X49" s="597"/>
      <c r="Y49" s="620"/>
      <c r="Z49" s="605"/>
      <c r="AA49" s="605"/>
      <c r="AB49" s="635"/>
      <c r="AC49" s="622"/>
      <c r="AD49" s="572"/>
      <c r="AE49" s="6"/>
      <c r="AF49" s="6"/>
      <c r="AG49" s="597"/>
      <c r="AH49" s="1188"/>
      <c r="AI49" s="619"/>
      <c r="AJ49" s="692"/>
      <c r="AK49" s="635"/>
      <c r="AM49" s="572"/>
      <c r="AN49" s="6"/>
      <c r="AO49" s="6">
        <v>73</v>
      </c>
      <c r="AP49" s="620"/>
      <c r="AQ49" s="619"/>
      <c r="AR49" s="692"/>
      <c r="AS49" s="635" t="s">
        <v>152</v>
      </c>
      <c r="AT49" s="635"/>
    </row>
    <row r="50" spans="1:46" ht="51.6" customHeight="1" x14ac:dyDescent="0.25">
      <c r="A50" s="2205"/>
      <c r="B50" s="574">
        <v>2</v>
      </c>
      <c r="C50" s="596"/>
      <c r="D50" s="596"/>
      <c r="E50" s="596"/>
      <c r="F50" s="597"/>
      <c r="G50" s="619"/>
      <c r="H50" s="619"/>
      <c r="I50" s="692"/>
      <c r="J50" s="635"/>
      <c r="K50" s="622"/>
      <c r="L50" s="572"/>
      <c r="M50" s="6"/>
      <c r="N50" s="6"/>
      <c r="O50" s="597"/>
      <c r="P50" s="619"/>
      <c r="Q50" s="619"/>
      <c r="R50" s="692"/>
      <c r="S50" s="635"/>
      <c r="T50" s="622"/>
      <c r="U50" s="572"/>
      <c r="V50" s="6"/>
      <c r="W50" s="6">
        <v>42</v>
      </c>
      <c r="X50" s="597"/>
      <c r="Y50" s="619"/>
      <c r="Z50" s="619"/>
      <c r="AA50" s="692" t="s">
        <v>152</v>
      </c>
      <c r="AB50" s="635"/>
      <c r="AC50" s="622"/>
      <c r="AD50" s="572"/>
      <c r="AE50" s="6"/>
      <c r="AF50" s="6"/>
      <c r="AG50" s="597"/>
      <c r="AH50" s="1188"/>
      <c r="AI50" s="619"/>
      <c r="AJ50" s="692"/>
      <c r="AK50" s="635"/>
      <c r="AM50" s="572"/>
      <c r="AN50" s="6"/>
      <c r="AO50" s="6">
        <v>10</v>
      </c>
      <c r="AP50" s="619"/>
      <c r="AQ50" s="619"/>
      <c r="AR50" s="692"/>
      <c r="AS50" s="635" t="s">
        <v>152</v>
      </c>
      <c r="AT50" s="635"/>
    </row>
    <row r="51" spans="1:46" ht="34.9" customHeight="1" x14ac:dyDescent="0.25">
      <c r="A51" s="2206">
        <v>45621</v>
      </c>
      <c r="B51" s="574">
        <v>1</v>
      </c>
      <c r="C51" s="596"/>
      <c r="D51" s="596"/>
      <c r="E51" s="596"/>
      <c r="F51" s="597"/>
      <c r="G51" s="619"/>
      <c r="H51" s="619"/>
      <c r="I51" s="692"/>
      <c r="J51" s="635"/>
      <c r="K51" s="622"/>
      <c r="L51" s="572"/>
      <c r="M51" s="6"/>
      <c r="N51" s="6"/>
      <c r="O51" s="597"/>
      <c r="P51" s="619"/>
      <c r="Q51" s="619"/>
      <c r="R51" s="692"/>
      <c r="S51" s="635"/>
      <c r="T51" s="622"/>
      <c r="U51" s="572"/>
      <c r="V51" s="6"/>
      <c r="W51" s="6">
        <v>20</v>
      </c>
      <c r="X51" s="597"/>
      <c r="Y51" s="619"/>
      <c r="Z51" s="619"/>
      <c r="AA51" s="692" t="s">
        <v>152</v>
      </c>
      <c r="AB51" s="635"/>
      <c r="AC51" s="622"/>
      <c r="AD51" s="572"/>
      <c r="AE51" s="6"/>
      <c r="AF51" s="6"/>
      <c r="AG51" s="597"/>
      <c r="AH51" s="619"/>
      <c r="AI51" s="619"/>
      <c r="AJ51" s="692"/>
      <c r="AK51" s="635"/>
      <c r="AM51" s="572"/>
      <c r="AN51" s="6"/>
      <c r="AO51" s="6"/>
      <c r="AP51" s="619"/>
      <c r="AQ51" s="619"/>
      <c r="AR51" s="692"/>
      <c r="AS51" s="635"/>
      <c r="AT51" s="635"/>
    </row>
    <row r="52" spans="1:46" ht="49.15" customHeight="1" x14ac:dyDescent="0.25">
      <c r="A52" s="2205"/>
      <c r="B52" s="574">
        <v>2</v>
      </c>
      <c r="C52" s="596"/>
      <c r="D52" s="596"/>
      <c r="E52" s="596"/>
      <c r="F52" s="597"/>
      <c r="G52" s="620"/>
      <c r="H52" s="620"/>
      <c r="I52" s="692"/>
      <c r="J52" s="635"/>
      <c r="K52" s="622"/>
      <c r="L52" s="572"/>
      <c r="M52" s="6"/>
      <c r="N52" s="6"/>
      <c r="O52" s="597"/>
      <c r="P52" s="620"/>
      <c r="Q52" s="620"/>
      <c r="R52" s="692"/>
      <c r="S52" s="635"/>
      <c r="T52" s="622"/>
      <c r="U52" s="572"/>
      <c r="V52" s="6"/>
      <c r="W52" s="6">
        <v>26</v>
      </c>
      <c r="X52" s="597"/>
      <c r="Y52" s="620"/>
      <c r="Z52" s="620"/>
      <c r="AA52" s="692" t="s">
        <v>152</v>
      </c>
      <c r="AB52" s="635"/>
      <c r="AC52" s="622"/>
      <c r="AD52" s="572"/>
      <c r="AE52" s="6"/>
      <c r="AF52" s="6"/>
      <c r="AG52" s="597"/>
      <c r="AH52" s="620"/>
      <c r="AI52" s="620"/>
      <c r="AJ52" s="692"/>
      <c r="AK52" s="635"/>
      <c r="AM52" s="572"/>
      <c r="AN52" s="613"/>
      <c r="AO52" s="613"/>
      <c r="AP52" s="613"/>
      <c r="AQ52" s="614"/>
      <c r="AR52" s="6"/>
      <c r="AS52" s="635"/>
      <c r="AT52" s="635"/>
    </row>
    <row r="53" spans="1:46" ht="48" customHeight="1" x14ac:dyDescent="0.25">
      <c r="A53" s="2206">
        <v>45622</v>
      </c>
      <c r="B53" s="574">
        <v>1</v>
      </c>
      <c r="C53" s="596"/>
      <c r="D53" s="596"/>
      <c r="E53" s="596"/>
      <c r="F53" s="597"/>
      <c r="G53" s="619"/>
      <c r="H53" s="619"/>
      <c r="I53" s="848"/>
      <c r="J53" s="635"/>
      <c r="K53" s="622"/>
      <c r="L53" s="572"/>
      <c r="M53" s="6">
        <v>191</v>
      </c>
      <c r="N53" s="6"/>
      <c r="O53" s="613"/>
      <c r="P53" s="1188"/>
      <c r="Q53" s="620" t="s">
        <v>366</v>
      </c>
      <c r="R53" s="6"/>
      <c r="S53" s="635"/>
      <c r="T53" s="622"/>
      <c r="U53" s="572"/>
      <c r="V53" s="6"/>
      <c r="W53" s="6"/>
      <c r="X53" s="613"/>
      <c r="Y53" s="1188"/>
      <c r="Z53" s="6"/>
      <c r="AA53" s="605"/>
      <c r="AB53" s="613"/>
      <c r="AC53" s="622"/>
      <c r="AD53" s="572"/>
      <c r="AE53" s="605"/>
      <c r="AF53" s="6"/>
      <c r="AG53" s="613"/>
      <c r="AH53" s="614"/>
      <c r="AI53" s="6"/>
      <c r="AJ53" s="605"/>
      <c r="AK53" s="613"/>
      <c r="AM53" s="572"/>
      <c r="AN53" s="605"/>
      <c r="AO53" s="6"/>
      <c r="AP53" s="613"/>
      <c r="AQ53" s="1188"/>
      <c r="AR53" s="6"/>
      <c r="AS53" s="6"/>
      <c r="AT53" s="613"/>
    </row>
    <row r="54" spans="1:46" ht="45.6" customHeight="1" x14ac:dyDescent="0.25">
      <c r="A54" s="2205"/>
      <c r="B54" s="1182">
        <v>2</v>
      </c>
      <c r="C54" s="596"/>
      <c r="D54" s="596"/>
      <c r="E54" s="596"/>
      <c r="F54" s="597"/>
      <c r="G54" s="619"/>
      <c r="H54" s="620"/>
      <c r="I54" s="692"/>
      <c r="J54" s="635"/>
      <c r="K54" s="622"/>
      <c r="L54" s="572"/>
      <c r="M54" s="6"/>
      <c r="N54" s="6"/>
      <c r="O54" s="597"/>
      <c r="P54" s="619"/>
      <c r="Q54" s="620"/>
      <c r="R54" s="619"/>
      <c r="S54" s="635"/>
      <c r="T54" s="622"/>
      <c r="U54" s="572"/>
      <c r="V54" s="6"/>
      <c r="W54" s="6"/>
      <c r="X54" s="597"/>
      <c r="Y54" s="620"/>
      <c r="Z54" s="620"/>
      <c r="AA54" s="620"/>
      <c r="AB54" s="635"/>
      <c r="AC54" s="622"/>
      <c r="AD54" s="572"/>
      <c r="AE54" s="6"/>
      <c r="AF54" s="6"/>
      <c r="AG54" s="613"/>
      <c r="AH54" s="614"/>
      <c r="AI54" s="620"/>
      <c r="AJ54" s="6"/>
      <c r="AK54" s="635"/>
      <c r="AM54" s="572"/>
      <c r="AN54" s="6"/>
      <c r="AO54" s="6"/>
      <c r="AP54" s="597"/>
      <c r="AQ54" s="1188"/>
      <c r="AR54" s="620"/>
      <c r="AS54" s="635"/>
      <c r="AT54" s="635"/>
    </row>
    <row r="55" spans="1:46" ht="39.6" customHeight="1" x14ac:dyDescent="0.25">
      <c r="A55" s="2206">
        <v>45623</v>
      </c>
      <c r="B55" s="574">
        <v>1</v>
      </c>
      <c r="C55" s="595"/>
      <c r="D55" s="596"/>
      <c r="E55" s="596"/>
      <c r="F55" s="597"/>
      <c r="G55" s="619"/>
      <c r="H55" s="619"/>
      <c r="I55" s="848"/>
      <c r="J55" s="613"/>
      <c r="K55" s="622"/>
      <c r="L55" s="572"/>
      <c r="M55" s="6"/>
      <c r="N55" s="6"/>
      <c r="O55" s="613"/>
      <c r="P55" s="614"/>
      <c r="Q55" s="620"/>
      <c r="R55" s="6"/>
      <c r="S55" s="613"/>
      <c r="T55" s="622"/>
      <c r="U55" s="572"/>
      <c r="V55" s="6"/>
      <c r="W55" s="6"/>
      <c r="X55" s="613"/>
      <c r="Y55" s="614"/>
      <c r="Z55" s="619"/>
      <c r="AA55" s="698"/>
      <c r="AB55" s="613"/>
      <c r="AC55" s="622"/>
      <c r="AD55" s="572"/>
      <c r="AE55" s="6"/>
      <c r="AF55" s="6"/>
      <c r="AG55" s="613"/>
      <c r="AH55" s="614"/>
      <c r="AI55" s="620"/>
      <c r="AJ55" s="605"/>
      <c r="AK55" s="613"/>
      <c r="AM55" s="572"/>
      <c r="AN55" s="6"/>
      <c r="AO55" s="6"/>
      <c r="AP55" s="613"/>
      <c r="AQ55" s="614"/>
      <c r="AR55" s="605"/>
      <c r="AS55" s="635"/>
      <c r="AT55" s="613"/>
    </row>
    <row r="56" spans="1:46" ht="94.15" customHeight="1" x14ac:dyDescent="0.25">
      <c r="A56" s="2205"/>
      <c r="B56" s="1182">
        <v>2</v>
      </c>
      <c r="C56" s="595"/>
      <c r="D56" s="596"/>
      <c r="E56" s="596"/>
      <c r="F56" s="597"/>
      <c r="G56" s="620"/>
      <c r="H56" s="620"/>
      <c r="I56" s="848"/>
      <c r="J56" s="635"/>
      <c r="K56" s="622"/>
      <c r="L56" s="572"/>
      <c r="M56" s="6"/>
      <c r="N56" s="6"/>
      <c r="O56" s="597"/>
      <c r="P56" s="620"/>
      <c r="Q56" s="619"/>
      <c r="R56" s="620"/>
      <c r="S56" s="635"/>
      <c r="T56" s="622"/>
      <c r="U56" s="572"/>
      <c r="V56" s="6"/>
      <c r="W56" s="6"/>
      <c r="X56" s="597"/>
      <c r="Y56" s="1188"/>
      <c r="Z56" s="619"/>
      <c r="AA56" s="605"/>
      <c r="AB56" s="635"/>
      <c r="AC56" s="622"/>
      <c r="AD56" s="572"/>
      <c r="AE56" s="6"/>
      <c r="AF56" s="6"/>
      <c r="AG56" s="597"/>
      <c r="AH56" s="620"/>
      <c r="AI56" s="619"/>
      <c r="AJ56" s="620"/>
      <c r="AK56" s="635"/>
      <c r="AM56" s="572"/>
      <c r="AN56" s="6"/>
      <c r="AO56" s="6"/>
      <c r="AP56" s="597"/>
      <c r="AQ56" s="620"/>
      <c r="AR56" s="605"/>
      <c r="AS56" s="6"/>
      <c r="AT56" s="635"/>
    </row>
    <row r="57" spans="1:46" ht="52.15" customHeight="1" x14ac:dyDescent="0.25">
      <c r="A57" s="2206">
        <v>45624</v>
      </c>
      <c r="B57" s="574">
        <v>1</v>
      </c>
      <c r="C57" s="595"/>
      <c r="D57" s="596"/>
      <c r="E57" s="596"/>
      <c r="F57" s="597"/>
      <c r="G57" s="620"/>
      <c r="H57" s="620"/>
      <c r="I57" s="692"/>
      <c r="J57" s="635"/>
      <c r="K57" s="622"/>
      <c r="L57" s="572"/>
      <c r="M57" s="6"/>
      <c r="N57" s="6"/>
      <c r="O57" s="597"/>
      <c r="P57" s="620"/>
      <c r="Q57" s="619"/>
      <c r="R57" s="620"/>
      <c r="S57" s="635"/>
      <c r="T57" s="622"/>
      <c r="U57" s="572"/>
      <c r="V57" s="6"/>
      <c r="W57" s="6"/>
      <c r="X57" s="597"/>
      <c r="Y57" s="620"/>
      <c r="Z57" s="619"/>
      <c r="AA57" s="605"/>
      <c r="AB57" s="635"/>
      <c r="AC57" s="622"/>
      <c r="AD57" s="572"/>
      <c r="AE57" s="6"/>
      <c r="AF57" s="6"/>
      <c r="AG57" s="597"/>
      <c r="AH57" s="620"/>
      <c r="AI57" s="619"/>
      <c r="AJ57" s="620"/>
      <c r="AK57" s="635"/>
      <c r="AM57" s="572"/>
      <c r="AN57" s="6"/>
      <c r="AO57" s="6"/>
      <c r="AP57" s="597"/>
      <c r="AQ57" s="620"/>
      <c r="AR57" s="619"/>
      <c r="AS57" s="6"/>
      <c r="AT57" s="635"/>
    </row>
    <row r="58" spans="1:46" ht="78" customHeight="1" x14ac:dyDescent="0.25">
      <c r="A58" s="2205"/>
      <c r="B58" s="1182">
        <v>2</v>
      </c>
      <c r="C58" s="595"/>
      <c r="D58" s="596"/>
      <c r="E58" s="596"/>
      <c r="F58" s="597"/>
      <c r="G58" s="620"/>
      <c r="H58" s="620"/>
      <c r="I58" s="848"/>
      <c r="J58" s="635"/>
      <c r="K58" s="622"/>
      <c r="L58" s="572"/>
      <c r="M58" s="6"/>
      <c r="N58" s="6"/>
      <c r="O58" s="597"/>
      <c r="P58" s="620"/>
      <c r="Q58" s="619"/>
      <c r="R58" s="620"/>
      <c r="S58" s="635"/>
      <c r="T58" s="622"/>
      <c r="U58" s="572"/>
      <c r="V58" s="6">
        <v>89</v>
      </c>
      <c r="W58" s="6">
        <v>28</v>
      </c>
      <c r="X58" s="597"/>
      <c r="Y58" s="620"/>
      <c r="Z58" s="619" t="s">
        <v>366</v>
      </c>
      <c r="AA58" s="605" t="s">
        <v>152</v>
      </c>
      <c r="AB58" s="635"/>
      <c r="AC58" s="622"/>
      <c r="AD58" s="572"/>
      <c r="AE58" s="6"/>
      <c r="AF58" s="6"/>
      <c r="AG58" s="597"/>
      <c r="AH58" s="620"/>
      <c r="AI58" s="619"/>
      <c r="AJ58" s="6"/>
      <c r="AK58" s="635"/>
      <c r="AM58" s="572"/>
      <c r="AN58" s="6"/>
      <c r="AO58" s="6"/>
      <c r="AP58" s="597"/>
      <c r="AQ58" s="620"/>
      <c r="AR58" s="619"/>
      <c r="AS58" s="6"/>
      <c r="AT58" s="635"/>
    </row>
    <row r="59" spans="1:46" ht="73.150000000000006" customHeight="1" x14ac:dyDescent="0.25">
      <c r="A59" s="2206">
        <v>45625</v>
      </c>
      <c r="B59" s="574">
        <v>1</v>
      </c>
      <c r="C59" s="595"/>
      <c r="D59" s="596"/>
      <c r="E59" s="596"/>
      <c r="F59" s="597"/>
      <c r="G59" s="620"/>
      <c r="H59" s="619"/>
      <c r="I59" s="848"/>
      <c r="J59" s="635"/>
      <c r="K59" s="622"/>
      <c r="L59" s="572"/>
      <c r="M59" s="6"/>
      <c r="N59" s="6"/>
      <c r="O59" s="613"/>
      <c r="P59" s="614"/>
      <c r="Q59" s="605"/>
      <c r="R59" s="6"/>
      <c r="S59" s="635"/>
      <c r="T59" s="622"/>
      <c r="U59" s="572"/>
      <c r="V59" s="6"/>
      <c r="W59" s="6"/>
      <c r="X59" s="613"/>
      <c r="Y59" s="614"/>
      <c r="Z59" s="619"/>
      <c r="AA59" s="698"/>
      <c r="AB59" s="635"/>
      <c r="AC59" s="622"/>
      <c r="AD59" s="572"/>
      <c r="AE59" s="6"/>
      <c r="AF59" s="6"/>
      <c r="AG59" s="613"/>
      <c r="AH59" s="1188"/>
      <c r="AI59" s="6"/>
      <c r="AJ59" s="620"/>
      <c r="AK59" s="635"/>
      <c r="AM59" s="572"/>
      <c r="AN59" s="6"/>
      <c r="AO59" s="6"/>
      <c r="AP59" s="613"/>
      <c r="AQ59" s="1188"/>
      <c r="AR59" s="6"/>
      <c r="AS59" s="620"/>
      <c r="AT59" s="635"/>
    </row>
    <row r="60" spans="1:46" ht="36" customHeight="1" x14ac:dyDescent="0.25">
      <c r="A60" s="2205"/>
      <c r="B60" s="1182">
        <v>2</v>
      </c>
      <c r="C60" s="595"/>
      <c r="D60" s="596"/>
      <c r="E60" s="596"/>
      <c r="F60" s="597"/>
      <c r="G60" s="619"/>
      <c r="H60" s="620"/>
      <c r="I60" s="848"/>
      <c r="J60" s="635"/>
      <c r="K60" s="622"/>
      <c r="L60" s="572"/>
      <c r="M60" s="6"/>
      <c r="N60" s="6"/>
      <c r="O60" s="613"/>
      <c r="P60" s="614"/>
      <c r="Q60" s="620"/>
      <c r="R60" s="6"/>
      <c r="S60" s="635"/>
      <c r="T60" s="622"/>
      <c r="U60" s="572"/>
      <c r="V60" s="6"/>
      <c r="W60" s="6"/>
      <c r="X60" s="613"/>
      <c r="Y60" s="1188"/>
      <c r="Z60" s="620"/>
      <c r="AA60" s="605"/>
      <c r="AB60" s="635"/>
      <c r="AC60" s="622"/>
      <c r="AD60" s="572"/>
      <c r="AE60" s="6"/>
      <c r="AF60" s="6"/>
      <c r="AG60" s="613"/>
      <c r="AH60" s="614"/>
      <c r="AI60" s="620"/>
      <c r="AJ60" s="605"/>
      <c r="AK60" s="635"/>
      <c r="AM60" s="572"/>
      <c r="AN60" s="6"/>
      <c r="AO60" s="6">
        <v>47</v>
      </c>
      <c r="AP60" s="613"/>
      <c r="AQ60" s="614"/>
      <c r="AR60" s="620"/>
      <c r="AS60" s="605" t="s">
        <v>152</v>
      </c>
      <c r="AT60" s="635"/>
    </row>
    <row r="61" spans="1:46" ht="32.450000000000003" customHeight="1" x14ac:dyDescent="0.25">
      <c r="A61" s="2206">
        <v>45626</v>
      </c>
      <c r="B61" s="574">
        <v>1</v>
      </c>
      <c r="C61" s="1191"/>
      <c r="D61" s="1193"/>
      <c r="E61" s="596"/>
      <c r="F61" s="749"/>
      <c r="G61" s="619"/>
      <c r="H61" s="1192"/>
      <c r="I61" s="692"/>
      <c r="J61" s="687"/>
      <c r="K61" s="622"/>
      <c r="L61" s="572"/>
      <c r="M61" s="6"/>
      <c r="N61" s="6"/>
      <c r="O61" s="613"/>
      <c r="P61" s="752"/>
      <c r="Q61" s="1189"/>
      <c r="R61" s="1189"/>
      <c r="S61" s="753"/>
      <c r="T61" s="622"/>
      <c r="U61" s="572"/>
      <c r="V61" s="6"/>
      <c r="W61" s="6"/>
      <c r="X61" s="613"/>
      <c r="Y61" s="1188"/>
      <c r="Z61" s="605"/>
      <c r="AA61" s="605"/>
      <c r="AB61" s="753"/>
      <c r="AC61" s="622"/>
      <c r="AD61" s="572"/>
      <c r="AE61" s="6"/>
      <c r="AF61" s="6"/>
      <c r="AG61" s="613"/>
      <c r="AH61" s="614"/>
      <c r="AI61" s="605"/>
      <c r="AJ61" s="605"/>
      <c r="AK61" s="753"/>
      <c r="AM61" s="572"/>
      <c r="AN61" s="6"/>
      <c r="AO61" s="6">
        <v>40</v>
      </c>
      <c r="AP61" s="613"/>
      <c r="AQ61" s="1188"/>
      <c r="AR61" s="6"/>
      <c r="AS61" s="605" t="s">
        <v>993</v>
      </c>
      <c r="AT61" s="753"/>
    </row>
    <row r="62" spans="1:46" ht="62.45" customHeight="1" x14ac:dyDescent="0.25">
      <c r="A62" s="2205"/>
      <c r="B62" s="1182">
        <v>2</v>
      </c>
      <c r="C62" s="1191"/>
      <c r="D62" s="1193"/>
      <c r="E62" s="1193"/>
      <c r="F62" s="749"/>
      <c r="G62" s="1184"/>
      <c r="H62" s="1192"/>
      <c r="I62" s="848"/>
      <c r="J62" s="687"/>
      <c r="K62" s="622"/>
      <c r="L62" s="572"/>
      <c r="M62" s="6"/>
      <c r="N62" s="6"/>
      <c r="O62" s="613"/>
      <c r="P62" s="752"/>
      <c r="Q62" s="1103"/>
      <c r="R62" s="1189"/>
      <c r="S62" s="753"/>
      <c r="T62" s="622"/>
      <c r="U62" s="572"/>
      <c r="V62" s="6"/>
      <c r="W62" s="6"/>
      <c r="X62" s="613"/>
      <c r="Y62" s="1188"/>
      <c r="Z62" s="605"/>
      <c r="AA62" s="698"/>
      <c r="AB62" s="753"/>
      <c r="AC62" s="622"/>
      <c r="AD62" s="572"/>
      <c r="AE62" s="6"/>
      <c r="AF62" s="6"/>
      <c r="AG62" s="613"/>
      <c r="AH62" s="2232"/>
      <c r="AI62" s="2233"/>
      <c r="AJ62" s="2234"/>
      <c r="AK62" s="753"/>
      <c r="AM62" s="572"/>
      <c r="AN62" s="6"/>
      <c r="AO62" s="6"/>
      <c r="AP62" s="613"/>
      <c r="AQ62" s="614"/>
      <c r="AR62" s="6"/>
      <c r="AS62" s="605"/>
      <c r="AT62" s="753"/>
    </row>
    <row r="63" spans="1:46" ht="64.150000000000006" hidden="1" customHeight="1" x14ac:dyDescent="0.25">
      <c r="A63" s="2206">
        <v>45596</v>
      </c>
      <c r="B63" s="574">
        <v>1</v>
      </c>
      <c r="C63" s="706"/>
      <c r="D63" s="707"/>
      <c r="E63" s="707"/>
      <c r="F63" s="708"/>
      <c r="G63" s="717"/>
      <c r="H63" s="709"/>
      <c r="I63" s="848"/>
      <c r="J63" s="687"/>
      <c r="K63" s="622"/>
      <c r="L63" s="572"/>
      <c r="M63" s="6"/>
      <c r="N63" s="6"/>
      <c r="O63" s="597"/>
      <c r="P63" s="717"/>
      <c r="Q63" s="709"/>
      <c r="R63" s="709"/>
      <c r="S63" s="718"/>
      <c r="T63" s="622"/>
      <c r="U63" s="572"/>
      <c r="V63" s="6"/>
      <c r="W63" s="6"/>
      <c r="X63" s="597"/>
      <c r="Y63" s="685"/>
      <c r="Z63" s="619"/>
      <c r="AA63" s="698"/>
      <c r="AB63" s="1186"/>
      <c r="AC63" s="622"/>
      <c r="AD63" s="572"/>
      <c r="AE63" s="6"/>
      <c r="AF63" s="6"/>
      <c r="AG63" s="597"/>
      <c r="AH63" s="685"/>
      <c r="AI63" s="619"/>
      <c r="AJ63" s="6"/>
      <c r="AK63" s="705"/>
      <c r="AM63" s="572"/>
      <c r="AN63" s="6"/>
      <c r="AO63" s="6"/>
      <c r="AP63" s="597"/>
      <c r="AQ63" s="685"/>
      <c r="AR63" s="619"/>
      <c r="AS63" s="619"/>
      <c r="AT63" s="705"/>
    </row>
    <row r="64" spans="1:46" ht="62.45" hidden="1" customHeight="1" x14ac:dyDescent="0.25">
      <c r="A64" s="2205"/>
      <c r="B64" s="711">
        <v>2</v>
      </c>
      <c r="C64" s="729"/>
      <c r="D64" s="730"/>
      <c r="E64" s="730"/>
      <c r="F64" s="731"/>
      <c r="G64" s="732"/>
      <c r="H64" s="733"/>
      <c r="I64" s="734"/>
      <c r="J64" s="735"/>
      <c r="K64" s="622"/>
      <c r="L64" s="639"/>
      <c r="M64" s="638"/>
      <c r="N64" s="638"/>
      <c r="O64" s="636"/>
      <c r="P64" s="714"/>
      <c r="Q64" s="715"/>
      <c r="R64" s="715"/>
      <c r="S64" s="716"/>
      <c r="T64" s="622"/>
      <c r="U64" s="639"/>
      <c r="V64" s="638"/>
      <c r="W64" s="638"/>
      <c r="X64" s="636"/>
      <c r="Y64" s="637"/>
      <c r="Z64" s="638"/>
      <c r="AA64" s="698"/>
      <c r="AB64" s="712"/>
      <c r="AC64" s="622"/>
      <c r="AD64" s="639"/>
      <c r="AE64" s="638"/>
      <c r="AF64" s="638"/>
      <c r="AG64" s="636"/>
      <c r="AH64" s="637"/>
      <c r="AI64" s="638"/>
      <c r="AJ64" s="638"/>
      <c r="AK64" s="713"/>
      <c r="AM64" s="639"/>
      <c r="AN64" s="638"/>
      <c r="AO64" s="638"/>
      <c r="AP64" s="636"/>
      <c r="AQ64" s="637"/>
      <c r="AR64" s="638"/>
      <c r="AS64" s="638"/>
      <c r="AT64" s="713"/>
    </row>
    <row r="65" spans="1:42" x14ac:dyDescent="0.25">
      <c r="A65" s="524" t="s">
        <v>225</v>
      </c>
      <c r="C65" s="768">
        <f>SUM(C3:C64)</f>
        <v>535</v>
      </c>
      <c r="D65" s="525">
        <f>SUM(D3:D64)</f>
        <v>120</v>
      </c>
      <c r="E65" s="768">
        <f>SUM(E3:E64)</f>
        <v>68</v>
      </c>
      <c r="F65" s="525">
        <f>SUM(F3:F64)</f>
        <v>1329</v>
      </c>
      <c r="L65" s="525">
        <f>SUM(L3:L64)</f>
        <v>0</v>
      </c>
      <c r="M65" s="525">
        <f>SUM(M3:M64)</f>
        <v>372</v>
      </c>
      <c r="N65" s="525">
        <f>SUM(N3:N64)</f>
        <v>0</v>
      </c>
      <c r="O65" s="525">
        <f>SUM(O3:O64)</f>
        <v>1793</v>
      </c>
      <c r="U65" s="525">
        <f>SUM(U3:U64)</f>
        <v>538</v>
      </c>
      <c r="V65" s="525">
        <f>SUM(V3:V64)</f>
        <v>104</v>
      </c>
      <c r="W65" s="525">
        <f>SUM(W3:W64)</f>
        <v>931</v>
      </c>
      <c r="X65" s="525">
        <f>SUM(X3:X64)</f>
        <v>1824</v>
      </c>
      <c r="AD65" s="525">
        <f>SUM(AD3:AD64)</f>
        <v>0</v>
      </c>
      <c r="AE65" s="525">
        <f>SUM(AE3:AE64)</f>
        <v>0</v>
      </c>
      <c r="AF65" s="525">
        <f>SUM(AF3:AF64)</f>
        <v>34</v>
      </c>
      <c r="AG65" s="525">
        <f>SUM(AG3:AG64)</f>
        <v>1805</v>
      </c>
      <c r="AM65" s="525">
        <f>SUM(AM3:AM64)</f>
        <v>4088</v>
      </c>
      <c r="AN65" s="525">
        <f>SUM(AN3:AN64)</f>
        <v>0</v>
      </c>
      <c r="AO65" s="525">
        <f>SUM(AO3:AO64)</f>
        <v>222</v>
      </c>
      <c r="AP65" s="525">
        <f>SUM(AP3:AP64)</f>
        <v>2206</v>
      </c>
    </row>
    <row r="73" spans="1:42" ht="15.75" thickBot="1" x14ac:dyDescent="0.3"/>
    <row r="74" spans="1:42" ht="19.5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2" ht="19.5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2" ht="18.75" x14ac:dyDescent="0.3">
      <c r="B76" s="651" t="s">
        <v>218</v>
      </c>
      <c r="C76" s="652">
        <f>C65</f>
        <v>535</v>
      </c>
      <c r="D76" s="653">
        <f>C76/60</f>
        <v>8.9166666666666661</v>
      </c>
      <c r="E76" s="652">
        <f>D65</f>
        <v>120</v>
      </c>
      <c r="F76" s="654">
        <f>E76/60</f>
        <v>2</v>
      </c>
      <c r="G76" s="652">
        <f>E65</f>
        <v>68</v>
      </c>
      <c r="H76" s="653">
        <f>G76/60</f>
        <v>1.1333333333333333</v>
      </c>
      <c r="I76" s="652">
        <f>F65</f>
        <v>1329</v>
      </c>
      <c r="J76" s="653">
        <f>I76/60</f>
        <v>22.15</v>
      </c>
    </row>
    <row r="77" spans="1:42" ht="18.75" x14ac:dyDescent="0.3">
      <c r="B77" s="651" t="s">
        <v>219</v>
      </c>
      <c r="C77" s="655">
        <f>L65</f>
        <v>0</v>
      </c>
      <c r="D77" s="656">
        <f>C77/60</f>
        <v>0</v>
      </c>
      <c r="E77" s="655">
        <f>M65</f>
        <v>372</v>
      </c>
      <c r="F77" s="657">
        <f>E77/60</f>
        <v>6.2</v>
      </c>
      <c r="G77" s="655">
        <f>N65</f>
        <v>0</v>
      </c>
      <c r="H77" s="656">
        <f>G77/60</f>
        <v>0</v>
      </c>
      <c r="I77" s="655">
        <f>O65</f>
        <v>1793</v>
      </c>
      <c r="J77" s="656">
        <f>I77/60</f>
        <v>29.883333333333333</v>
      </c>
    </row>
    <row r="78" spans="1:42" ht="18.75" x14ac:dyDescent="0.3">
      <c r="B78" s="651" t="s">
        <v>220</v>
      </c>
      <c r="C78" s="655">
        <f>U65</f>
        <v>538</v>
      </c>
      <c r="D78" s="656">
        <f>C78/60</f>
        <v>8.9666666666666668</v>
      </c>
      <c r="E78" s="655">
        <f>V65</f>
        <v>104</v>
      </c>
      <c r="F78" s="657">
        <f>E78/60</f>
        <v>1.7333333333333334</v>
      </c>
      <c r="G78" s="655">
        <f>W65</f>
        <v>931</v>
      </c>
      <c r="H78" s="656">
        <f>G78/60</f>
        <v>15.516666666666667</v>
      </c>
      <c r="I78" s="655">
        <f>X65</f>
        <v>1824</v>
      </c>
      <c r="J78" s="656">
        <f>I78/60</f>
        <v>30.4</v>
      </c>
    </row>
    <row r="79" spans="1:42" ht="19.5" thickBot="1" x14ac:dyDescent="0.35">
      <c r="B79" s="651" t="s">
        <v>221</v>
      </c>
      <c r="C79" s="658">
        <f>AD65</f>
        <v>0</v>
      </c>
      <c r="D79" s="659">
        <f>C79/60</f>
        <v>0</v>
      </c>
      <c r="E79" s="658">
        <f>AE65</f>
        <v>0</v>
      </c>
      <c r="F79" s="660">
        <f>E79/60</f>
        <v>0</v>
      </c>
      <c r="G79" s="658">
        <f>AF65</f>
        <v>34</v>
      </c>
      <c r="H79" s="659">
        <f>G79/60</f>
        <v>0.56666666666666665</v>
      </c>
      <c r="I79" s="658">
        <f>AG65</f>
        <v>1805</v>
      </c>
      <c r="J79" s="659">
        <f>I79/60</f>
        <v>30.083333333333332</v>
      </c>
    </row>
    <row r="80" spans="1:42" ht="19.5" thickBot="1" x14ac:dyDescent="0.35">
      <c r="B80" s="651" t="s">
        <v>488</v>
      </c>
      <c r="C80" s="850">
        <f>AM65</f>
        <v>4088</v>
      </c>
      <c r="D80" s="849">
        <f>C80/60</f>
        <v>68.13333333333334</v>
      </c>
      <c r="E80" s="850">
        <f>AN65</f>
        <v>0</v>
      </c>
      <c r="F80" s="851">
        <f>E80/60</f>
        <v>0</v>
      </c>
      <c r="G80" s="850">
        <f>AO65</f>
        <v>222</v>
      </c>
      <c r="H80" s="849">
        <f>G80/60</f>
        <v>3.7</v>
      </c>
      <c r="I80" s="850">
        <f>AP65</f>
        <v>2206</v>
      </c>
      <c r="J80" s="849">
        <f>I80/60</f>
        <v>36.766666666666666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86.01666666666668</v>
      </c>
      <c r="E82" s="666"/>
      <c r="F82" s="667">
        <f>SUM(F76:F80)</f>
        <v>9.9333333333333336</v>
      </c>
      <c r="G82" s="666"/>
      <c r="H82" s="667">
        <f>SUM(H76:H80)</f>
        <v>20.916666666666668</v>
      </c>
      <c r="I82" s="666"/>
      <c r="J82" s="668">
        <f>AVERAGE(J76:J80)</f>
        <v>29.856666666666666</v>
      </c>
    </row>
  </sheetData>
  <mergeCells count="48">
    <mergeCell ref="AH62:AJ62"/>
    <mergeCell ref="A63:A64"/>
    <mergeCell ref="C74:D74"/>
    <mergeCell ref="E74:F74"/>
    <mergeCell ref="G74:H74"/>
    <mergeCell ref="I74:J74"/>
    <mergeCell ref="A61:A62"/>
    <mergeCell ref="A51:A52"/>
    <mergeCell ref="A53:A54"/>
    <mergeCell ref="A55:A56"/>
    <mergeCell ref="A57:A58"/>
    <mergeCell ref="A59:A60"/>
    <mergeCell ref="AQ18:AS18"/>
    <mergeCell ref="A19:A20"/>
    <mergeCell ref="A21:A22"/>
    <mergeCell ref="A23:A24"/>
    <mergeCell ref="A49:A50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25:A26"/>
    <mergeCell ref="A7:A8"/>
    <mergeCell ref="A9:A10"/>
    <mergeCell ref="A11:A12"/>
    <mergeCell ref="A13:A14"/>
    <mergeCell ref="A17:A18"/>
    <mergeCell ref="AH14:AJ14"/>
    <mergeCell ref="A15:A16"/>
    <mergeCell ref="AD1:AG1"/>
    <mergeCell ref="AH1:AK1"/>
    <mergeCell ref="AM1:AP1"/>
    <mergeCell ref="AQ1:AT1"/>
    <mergeCell ref="A3:A4"/>
    <mergeCell ref="A5:A6"/>
    <mergeCell ref="C1:F1"/>
    <mergeCell ref="G1:J1"/>
    <mergeCell ref="L1:O1"/>
    <mergeCell ref="P1:S1"/>
    <mergeCell ref="U1:X1"/>
    <mergeCell ref="Y1:AB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3"/>
  <sheetViews>
    <sheetView zoomScale="55" zoomScaleNormal="55" workbookViewId="0">
      <pane xSplit="3" ySplit="2" topLeftCell="D24" activePane="bottomRight" state="frozen"/>
      <selection pane="topRight" activeCell="D1" sqref="D1"/>
      <selection pane="bottomLeft" activeCell="A3" sqref="A3"/>
      <selection pane="bottomRight" activeCell="J24" sqref="J24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3.140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7.285156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3" style="524" customWidth="1"/>
    <col min="17" max="17" width="27.28515625" style="524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2.42578125" style="524" customWidth="1"/>
    <col min="28" max="28" width="27" style="524" customWidth="1"/>
    <col min="29" max="33" width="10.7109375" style="524" customWidth="1"/>
    <col min="34" max="34" width="31.28515625" style="524" customWidth="1"/>
    <col min="35" max="35" width="18.57031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2" width="10.7109375" style="524" customWidth="1"/>
    <col min="43" max="43" width="21.140625" style="524" customWidth="1"/>
    <col min="44" max="44" width="26.5703125" style="524" customWidth="1"/>
    <col min="45" max="45" width="28.28515625" style="524" customWidth="1"/>
    <col min="46" max="46" width="26.5703125" style="524" customWidth="1"/>
    <col min="47" max="16384" width="8.85546875" style="524"/>
  </cols>
  <sheetData>
    <row r="1" spans="1:46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2" t="s">
        <v>206</v>
      </c>
      <c r="AR1" s="2252"/>
      <c r="AS1" s="2252"/>
      <c r="AT1" s="2253"/>
    </row>
    <row r="2" spans="1:46" ht="42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6" t="s">
        <v>199</v>
      </c>
      <c r="AI2" s="984" t="s">
        <v>200</v>
      </c>
      <c r="AJ2" s="984" t="s">
        <v>201</v>
      </c>
      <c r="AK2" s="984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6" t="s">
        <v>199</v>
      </c>
      <c r="AR2" s="984" t="s">
        <v>200</v>
      </c>
      <c r="AS2" s="984" t="s">
        <v>201</v>
      </c>
      <c r="AT2" s="984" t="s">
        <v>204</v>
      </c>
    </row>
    <row r="3" spans="1:46" ht="78" customHeight="1" x14ac:dyDescent="0.3">
      <c r="A3" s="2260">
        <v>45627</v>
      </c>
      <c r="B3" s="1200">
        <v>1</v>
      </c>
      <c r="C3" s="1201"/>
      <c r="D3" s="1202"/>
      <c r="E3" s="289"/>
      <c r="F3" s="1203"/>
      <c r="G3" s="1204"/>
      <c r="H3" s="1205"/>
      <c r="I3" s="1206"/>
      <c r="J3" s="1207"/>
      <c r="K3" s="1208"/>
      <c r="L3" s="1209"/>
      <c r="M3" s="1210"/>
      <c r="N3" s="1210"/>
      <c r="O3" s="1211"/>
      <c r="P3" s="1212"/>
      <c r="Q3" s="1213"/>
      <c r="R3" s="1213"/>
      <c r="S3" s="1211"/>
      <c r="T3" s="1208"/>
      <c r="U3" s="1209"/>
      <c r="V3" s="1210"/>
      <c r="W3" s="289"/>
      <c r="X3" s="1214"/>
      <c r="Y3" s="1215"/>
      <c r="Z3" s="1212"/>
      <c r="AA3" s="1206"/>
      <c r="AB3" s="1216"/>
      <c r="AC3" s="1208"/>
      <c r="AD3" s="1209"/>
      <c r="AE3" s="1210"/>
      <c r="AF3" s="289"/>
      <c r="AG3" s="1211"/>
      <c r="AH3" s="1212"/>
      <c r="AI3" s="1212"/>
      <c r="AJ3" s="407"/>
      <c r="AK3" s="1211"/>
      <c r="AL3" s="301"/>
      <c r="AM3" s="1209"/>
      <c r="AN3" s="1210"/>
      <c r="AO3" s="289"/>
      <c r="AP3" s="1211"/>
      <c r="AQ3" s="1212"/>
      <c r="AR3" s="1217"/>
      <c r="AS3" s="407"/>
      <c r="AT3" s="1211"/>
    </row>
    <row r="4" spans="1:46" ht="69.75" customHeight="1" x14ac:dyDescent="0.3">
      <c r="A4" s="2261"/>
      <c r="B4" s="1218">
        <v>2</v>
      </c>
      <c r="C4" s="1219"/>
      <c r="D4" s="1220"/>
      <c r="E4" s="1220"/>
      <c r="F4" s="1221"/>
      <c r="G4" s="1222"/>
      <c r="H4" s="1205"/>
      <c r="I4" s="1223"/>
      <c r="J4" s="1224"/>
      <c r="K4" s="1208"/>
      <c r="L4" s="1225"/>
      <c r="M4" s="289"/>
      <c r="N4" s="289"/>
      <c r="O4" s="1214"/>
      <c r="P4" s="1226"/>
      <c r="Q4" s="1205"/>
      <c r="R4" s="263"/>
      <c r="S4" s="1214"/>
      <c r="T4" s="1208"/>
      <c r="U4" s="1225">
        <v>40</v>
      </c>
      <c r="V4" s="407"/>
      <c r="W4" s="289">
        <v>11</v>
      </c>
      <c r="X4" s="1214"/>
      <c r="Y4" s="1222" t="s">
        <v>994</v>
      </c>
      <c r="Z4" s="1206"/>
      <c r="AA4" s="1206" t="s">
        <v>325</v>
      </c>
      <c r="AB4" s="1227"/>
      <c r="AC4" s="1208"/>
      <c r="AD4" s="1225"/>
      <c r="AE4" s="289"/>
      <c r="AF4" s="289"/>
      <c r="AG4" s="1214"/>
      <c r="AH4" s="1226"/>
      <c r="AI4" s="1206"/>
      <c r="AJ4" s="289"/>
      <c r="AK4" s="1214"/>
      <c r="AL4" s="301"/>
      <c r="AM4" s="1225"/>
      <c r="AN4" s="289"/>
      <c r="AO4" s="289">
        <v>10</v>
      </c>
      <c r="AP4" s="1214"/>
      <c r="AQ4" s="1226"/>
      <c r="AR4" s="1206"/>
      <c r="AS4" s="289" t="s">
        <v>336</v>
      </c>
      <c r="AT4" s="1214"/>
    </row>
    <row r="5" spans="1:46" ht="60" customHeight="1" x14ac:dyDescent="0.3">
      <c r="A5" s="2260">
        <v>45628</v>
      </c>
      <c r="B5" s="1218">
        <v>1</v>
      </c>
      <c r="C5" s="1219"/>
      <c r="D5" s="1220"/>
      <c r="E5" s="1220"/>
      <c r="F5" s="1221"/>
      <c r="G5" s="1222"/>
      <c r="H5" s="1222"/>
      <c r="I5" s="1223"/>
      <c r="J5" s="1224"/>
      <c r="K5" s="1208"/>
      <c r="L5" s="1225"/>
      <c r="M5" s="289"/>
      <c r="N5" s="289"/>
      <c r="O5" s="1214"/>
      <c r="P5" s="1226"/>
      <c r="Q5" s="289"/>
      <c r="R5" s="289"/>
      <c r="S5" s="1214"/>
      <c r="T5" s="1208"/>
      <c r="U5" s="1225"/>
      <c r="V5" s="289"/>
      <c r="W5" s="289"/>
      <c r="X5" s="1214"/>
      <c r="Y5" s="1215"/>
      <c r="Z5" s="1205"/>
      <c r="AA5" s="1228"/>
      <c r="AB5" s="1229"/>
      <c r="AC5" s="1208"/>
      <c r="AD5" s="1225"/>
      <c r="AE5" s="289"/>
      <c r="AF5" s="289"/>
      <c r="AG5" s="1214"/>
      <c r="AH5" s="1226"/>
      <c r="AI5" s="289"/>
      <c r="AJ5" s="1230"/>
      <c r="AK5" s="1214"/>
      <c r="AL5" s="301"/>
      <c r="AM5" s="1225"/>
      <c r="AN5" s="289"/>
      <c r="AO5" s="289">
        <v>30</v>
      </c>
      <c r="AP5" s="1214"/>
      <c r="AQ5" s="1226"/>
      <c r="AR5" s="289"/>
      <c r="AS5" s="407" t="s">
        <v>97</v>
      </c>
      <c r="AT5" s="1231"/>
    </row>
    <row r="6" spans="1:46" ht="80.45" customHeight="1" x14ac:dyDescent="0.3">
      <c r="A6" s="2261"/>
      <c r="B6" s="1218">
        <v>2</v>
      </c>
      <c r="C6" s="1219"/>
      <c r="D6" s="1220"/>
      <c r="E6" s="1220"/>
      <c r="F6" s="1221"/>
      <c r="G6" s="1204"/>
      <c r="H6" s="1206"/>
      <c r="I6" s="1223"/>
      <c r="J6" s="1232"/>
      <c r="K6" s="1208"/>
      <c r="L6" s="1225"/>
      <c r="M6" s="289"/>
      <c r="N6" s="289"/>
      <c r="O6" s="1214"/>
      <c r="P6" s="1226"/>
      <c r="Q6" s="1205"/>
      <c r="R6" s="289"/>
      <c r="S6" s="1232"/>
      <c r="T6" s="1208"/>
      <c r="U6" s="1225"/>
      <c r="V6" s="289"/>
      <c r="W6" s="289"/>
      <c r="X6" s="1214"/>
      <c r="Y6" s="1215"/>
      <c r="Z6" s="1205"/>
      <c r="AA6" s="1206"/>
      <c r="AB6" s="1232"/>
      <c r="AC6" s="1208"/>
      <c r="AD6" s="1225"/>
      <c r="AE6" s="289"/>
      <c r="AF6" s="289"/>
      <c r="AG6" s="1214"/>
      <c r="AH6" s="1226"/>
      <c r="AI6" s="289"/>
      <c r="AJ6" s="289"/>
      <c r="AK6" s="1232"/>
      <c r="AL6" s="301"/>
      <c r="AM6" s="1225"/>
      <c r="AN6" s="289"/>
      <c r="AO6" s="289"/>
      <c r="AP6" s="353"/>
      <c r="AQ6" s="1215"/>
      <c r="AR6" s="1226"/>
      <c r="AS6" s="407"/>
      <c r="AT6" s="1232"/>
    </row>
    <row r="7" spans="1:46" ht="71.45" customHeight="1" x14ac:dyDescent="0.3">
      <c r="A7" s="2260">
        <v>45629</v>
      </c>
      <c r="B7" s="1218">
        <v>1</v>
      </c>
      <c r="C7" s="1219"/>
      <c r="D7" s="1220"/>
      <c r="E7" s="1220"/>
      <c r="F7" s="1221"/>
      <c r="G7" s="1204"/>
      <c r="H7" s="1206"/>
      <c r="I7" s="1232"/>
      <c r="J7" s="1232"/>
      <c r="K7" s="1208"/>
      <c r="L7" s="1225"/>
      <c r="M7" s="1226"/>
      <c r="N7" s="289"/>
      <c r="O7" s="1214"/>
      <c r="P7" s="1226"/>
      <c r="Q7" s="1233"/>
      <c r="R7" s="289"/>
      <c r="S7" s="1231"/>
      <c r="T7" s="1208"/>
      <c r="U7" s="1225"/>
      <c r="V7" s="289"/>
      <c r="W7" s="289">
        <v>15</v>
      </c>
      <c r="X7" s="1214"/>
      <c r="Y7" s="1215"/>
      <c r="Z7" s="1205"/>
      <c r="AA7" s="1228" t="s">
        <v>152</v>
      </c>
      <c r="AB7" s="1231"/>
      <c r="AC7" s="1208"/>
      <c r="AD7" s="1225"/>
      <c r="AE7" s="289"/>
      <c r="AF7" s="289"/>
      <c r="AG7" s="1214"/>
      <c r="AH7" s="1226"/>
      <c r="AI7" s="1233"/>
      <c r="AJ7" s="1232"/>
      <c r="AK7" s="1214"/>
      <c r="AL7" s="301"/>
      <c r="AM7" s="1225"/>
      <c r="AN7" s="289"/>
      <c r="AO7" s="289"/>
      <c r="AP7" s="353"/>
      <c r="AQ7" s="1214"/>
      <c r="AR7" s="1226"/>
      <c r="AS7" s="1233"/>
      <c r="AT7" s="1234"/>
    </row>
    <row r="8" spans="1:46" ht="69.599999999999994" customHeight="1" x14ac:dyDescent="0.3">
      <c r="A8" s="2261"/>
      <c r="B8" s="1218">
        <v>2</v>
      </c>
      <c r="C8" s="1219"/>
      <c r="D8" s="1220"/>
      <c r="E8" s="1220"/>
      <c r="F8" s="1221"/>
      <c r="G8" s="1222"/>
      <c r="H8" s="1206"/>
      <c r="I8" s="1223"/>
      <c r="J8" s="1232"/>
      <c r="K8" s="1208"/>
      <c r="L8" s="1225"/>
      <c r="M8" s="289"/>
      <c r="N8" s="289"/>
      <c r="O8" s="1214"/>
      <c r="P8" s="1226"/>
      <c r="Q8" s="289"/>
      <c r="R8" s="407"/>
      <c r="S8" s="1231"/>
      <c r="T8" s="1208"/>
      <c r="U8" s="1225"/>
      <c r="V8" s="1225"/>
      <c r="W8" s="1225">
        <v>22</v>
      </c>
      <c r="X8" s="1214"/>
      <c r="Y8" s="1215"/>
      <c r="Z8" s="352"/>
      <c r="AA8" s="1215" t="s">
        <v>995</v>
      </c>
      <c r="AB8" s="1232"/>
      <c r="AC8" s="1208"/>
      <c r="AD8" s="1225"/>
      <c r="AE8" s="289"/>
      <c r="AF8" s="289"/>
      <c r="AG8" s="1214"/>
      <c r="AH8" s="1226"/>
      <c r="AI8" s="407"/>
      <c r="AJ8" s="1206"/>
      <c r="AK8" s="1232"/>
      <c r="AL8" s="301"/>
      <c r="AM8" s="1225">
        <v>418</v>
      </c>
      <c r="AN8" s="289"/>
      <c r="AO8" s="289"/>
      <c r="AP8" s="353"/>
      <c r="AQ8" s="1214" t="s">
        <v>583</v>
      </c>
      <c r="AR8" s="1215"/>
      <c r="AS8" s="289"/>
      <c r="AT8" s="1232"/>
    </row>
    <row r="9" spans="1:46" ht="76.900000000000006" customHeight="1" x14ac:dyDescent="0.3">
      <c r="A9" s="2260">
        <v>45630</v>
      </c>
      <c r="B9" s="1218">
        <v>1</v>
      </c>
      <c r="C9" s="1219"/>
      <c r="D9" s="1220"/>
      <c r="E9" s="1220"/>
      <c r="F9" s="1221"/>
      <c r="G9" s="1222"/>
      <c r="H9" s="1205"/>
      <c r="I9" s="1223"/>
      <c r="J9" s="1232"/>
      <c r="K9" s="1208"/>
      <c r="L9" s="1225"/>
      <c r="M9" s="289"/>
      <c r="N9" s="289"/>
      <c r="O9" s="1214"/>
      <c r="P9" s="1226"/>
      <c r="Q9" s="289"/>
      <c r="R9" s="407"/>
      <c r="S9" s="1232"/>
      <c r="T9" s="1208"/>
      <c r="U9" s="1225"/>
      <c r="V9" s="289"/>
      <c r="W9" s="289"/>
      <c r="X9" s="1214"/>
      <c r="Y9" s="1215"/>
      <c r="Z9" s="289"/>
      <c r="AA9" s="1228"/>
      <c r="AB9" s="1232"/>
      <c r="AC9" s="1208"/>
      <c r="AD9" s="1225"/>
      <c r="AE9" s="289"/>
      <c r="AF9" s="289"/>
      <c r="AG9" s="1214"/>
      <c r="AH9" s="1226"/>
      <c r="AI9" s="289"/>
      <c r="AJ9" s="289"/>
      <c r="AK9" s="1232"/>
      <c r="AL9" s="301"/>
      <c r="AM9" s="1225"/>
      <c r="AN9" s="289"/>
      <c r="AO9" s="289"/>
      <c r="AP9" s="353"/>
      <c r="AQ9" s="1214"/>
      <c r="AR9" s="1226"/>
      <c r="AS9" s="289"/>
      <c r="AT9" s="1235"/>
    </row>
    <row r="10" spans="1:46" ht="67.150000000000006" customHeight="1" x14ac:dyDescent="0.3">
      <c r="A10" s="2261"/>
      <c r="B10" s="1218">
        <v>2</v>
      </c>
      <c r="C10" s="1219"/>
      <c r="D10" s="1219"/>
      <c r="E10" s="1219">
        <v>37</v>
      </c>
      <c r="F10" s="1221"/>
      <c r="G10" s="1236"/>
      <c r="H10" s="1237"/>
      <c r="I10" s="1238" t="s">
        <v>152</v>
      </c>
      <c r="J10" s="1232"/>
      <c r="K10" s="1208"/>
      <c r="L10" s="1225"/>
      <c r="M10" s="289"/>
      <c r="N10" s="289"/>
      <c r="O10" s="1214"/>
      <c r="P10" s="1226"/>
      <c r="Q10" s="289"/>
      <c r="R10" s="407"/>
      <c r="S10" s="1232"/>
      <c r="T10" s="1208"/>
      <c r="U10" s="1225"/>
      <c r="V10" s="289"/>
      <c r="W10" s="289">
        <v>34</v>
      </c>
      <c r="X10" s="1214"/>
      <c r="Y10" s="1215"/>
      <c r="Z10" s="1215"/>
      <c r="AA10" s="1208" t="s">
        <v>152</v>
      </c>
      <c r="AB10" s="1232"/>
      <c r="AC10" s="1208"/>
      <c r="AD10" s="1225"/>
      <c r="AE10" s="289"/>
      <c r="AF10" s="289"/>
      <c r="AG10" s="1214"/>
      <c r="AH10" s="1215"/>
      <c r="AI10" s="407"/>
      <c r="AJ10" s="1206"/>
      <c r="AK10" s="1232"/>
      <c r="AL10" s="301"/>
      <c r="AM10" s="1225"/>
      <c r="AN10" s="289"/>
      <c r="AO10" s="289">
        <v>39</v>
      </c>
      <c r="AP10" s="353"/>
      <c r="AQ10" s="1214"/>
      <c r="AR10" s="1226"/>
      <c r="AS10" s="289" t="s">
        <v>152</v>
      </c>
      <c r="AT10" s="1232"/>
    </row>
    <row r="11" spans="1:46" ht="60" customHeight="1" x14ac:dyDescent="0.3">
      <c r="A11" s="2260">
        <v>45631</v>
      </c>
      <c r="B11" s="1218">
        <v>1</v>
      </c>
      <c r="C11" s="1219"/>
      <c r="D11" s="1219"/>
      <c r="E11" s="1219">
        <v>15</v>
      </c>
      <c r="F11" s="1221"/>
      <c r="G11" s="1239"/>
      <c r="H11" s="1237"/>
      <c r="I11" s="1238" t="s">
        <v>152</v>
      </c>
      <c r="J11" s="1224"/>
      <c r="K11" s="1208"/>
      <c r="L11" s="1225"/>
      <c r="M11" s="289"/>
      <c r="N11" s="289"/>
      <c r="O11" s="1214"/>
      <c r="P11" s="1226"/>
      <c r="Q11" s="289"/>
      <c r="R11" s="407"/>
      <c r="S11" s="1214"/>
      <c r="T11" s="1208"/>
      <c r="U11" s="1225"/>
      <c r="V11" s="289"/>
      <c r="W11" s="289"/>
      <c r="X11" s="1214"/>
      <c r="Y11" s="1215"/>
      <c r="Z11" s="289"/>
      <c r="AA11" s="1228"/>
      <c r="AB11" s="1214"/>
      <c r="AC11" s="1208"/>
      <c r="AD11" s="1225"/>
      <c r="AE11" s="289"/>
      <c r="AF11" s="289"/>
      <c r="AG11" s="1214"/>
      <c r="AH11" s="1226"/>
      <c r="AI11" s="289"/>
      <c r="AJ11" s="1228"/>
      <c r="AK11" s="1214"/>
      <c r="AL11" s="301"/>
      <c r="AM11" s="1225"/>
      <c r="AN11" s="289"/>
      <c r="AO11" s="289"/>
      <c r="AP11" s="1214"/>
      <c r="AQ11" s="1226"/>
      <c r="AR11" s="289"/>
      <c r="AS11" s="289"/>
      <c r="AT11" s="1231"/>
    </row>
    <row r="12" spans="1:46" ht="55.15" customHeight="1" x14ac:dyDescent="0.3">
      <c r="A12" s="2261"/>
      <c r="B12" s="1218">
        <v>2</v>
      </c>
      <c r="C12" s="1219"/>
      <c r="D12" s="1220"/>
      <c r="E12" s="1220">
        <v>27</v>
      </c>
      <c r="F12" s="1221"/>
      <c r="G12" s="1222"/>
      <c r="H12" s="1205"/>
      <c r="I12" s="1238" t="s">
        <v>152</v>
      </c>
      <c r="J12" s="1232"/>
      <c r="K12" s="1208"/>
      <c r="L12" s="1225"/>
      <c r="M12" s="289"/>
      <c r="N12" s="289"/>
      <c r="O12" s="1214"/>
      <c r="P12" s="1226"/>
      <c r="Q12" s="289"/>
      <c r="R12" s="407"/>
      <c r="S12" s="1232"/>
      <c r="T12" s="1208"/>
      <c r="U12" s="1225"/>
      <c r="V12" s="289"/>
      <c r="W12" s="289">
        <v>29</v>
      </c>
      <c r="X12" s="1214"/>
      <c r="Y12" s="1215"/>
      <c r="Z12" s="1206"/>
      <c r="AA12" s="1228" t="s">
        <v>996</v>
      </c>
      <c r="AB12" s="1232"/>
      <c r="AC12" s="1208"/>
      <c r="AD12" s="1225"/>
      <c r="AE12" s="289"/>
      <c r="AF12" s="289"/>
      <c r="AG12" s="1214"/>
      <c r="AH12" s="1226"/>
      <c r="AI12" s="407"/>
      <c r="AJ12" s="407"/>
      <c r="AK12" s="1232"/>
      <c r="AL12" s="301"/>
      <c r="AM12" s="1225"/>
      <c r="AN12" s="289"/>
      <c r="AO12" s="289"/>
      <c r="AP12" s="1214"/>
      <c r="AQ12" s="1226"/>
      <c r="AR12" s="289"/>
      <c r="AS12" s="407"/>
      <c r="AT12" s="1232"/>
    </row>
    <row r="13" spans="1:46" ht="34.9" customHeight="1" x14ac:dyDescent="0.3">
      <c r="A13" s="2260">
        <v>45632</v>
      </c>
      <c r="B13" s="1218">
        <v>1</v>
      </c>
      <c r="C13" s="1219"/>
      <c r="D13" s="1220"/>
      <c r="E13" s="1220"/>
      <c r="F13" s="1221"/>
      <c r="G13" s="1222"/>
      <c r="H13" s="1205"/>
      <c r="I13" s="1223"/>
      <c r="J13" s="1232"/>
      <c r="K13" s="1208"/>
      <c r="L13" s="1225"/>
      <c r="M13" s="289"/>
      <c r="N13" s="289"/>
      <c r="O13" s="1221"/>
      <c r="P13" s="1226"/>
      <c r="Q13" s="289"/>
      <c r="R13" s="289"/>
      <c r="S13" s="1232"/>
      <c r="T13" s="1208"/>
      <c r="U13" s="1225"/>
      <c r="V13" s="289"/>
      <c r="W13" s="289"/>
      <c r="X13" s="1221"/>
      <c r="Y13" s="1215"/>
      <c r="Z13" s="407"/>
      <c r="AA13" s="1228"/>
      <c r="AB13" s="1232"/>
      <c r="AC13" s="1208"/>
      <c r="AD13" s="1225"/>
      <c r="AE13" s="289"/>
      <c r="AF13" s="289"/>
      <c r="AG13" s="1221"/>
      <c r="AH13" s="1226"/>
      <c r="AI13" s="289"/>
      <c r="AJ13" s="1228"/>
      <c r="AK13" s="1232"/>
      <c r="AL13" s="301"/>
      <c r="AM13" s="1225">
        <v>175</v>
      </c>
      <c r="AN13" s="289"/>
      <c r="AO13" s="289">
        <v>15</v>
      </c>
      <c r="AP13" s="1221"/>
      <c r="AQ13" s="1226" t="s">
        <v>997</v>
      </c>
      <c r="AR13" s="289"/>
      <c r="AS13" s="1206" t="s">
        <v>325</v>
      </c>
      <c r="AT13" s="1232"/>
    </row>
    <row r="14" spans="1:46" ht="49.15" customHeight="1" x14ac:dyDescent="0.3">
      <c r="A14" s="2261"/>
      <c r="B14" s="1218">
        <v>2</v>
      </c>
      <c r="C14" s="1219"/>
      <c r="D14" s="1220"/>
      <c r="E14" s="1220"/>
      <c r="F14" s="1221">
        <v>44</v>
      </c>
      <c r="G14" s="1222"/>
      <c r="H14" s="1206"/>
      <c r="I14" s="1223"/>
      <c r="J14" s="1232" t="s">
        <v>954</v>
      </c>
      <c r="K14" s="1208"/>
      <c r="L14" s="1225"/>
      <c r="M14" s="289"/>
      <c r="N14" s="289"/>
      <c r="O14" s="1221">
        <v>30</v>
      </c>
      <c r="P14" s="1215"/>
      <c r="Q14" s="289"/>
      <c r="R14" s="289"/>
      <c r="S14" s="1232" t="s">
        <v>954</v>
      </c>
      <c r="T14" s="1208"/>
      <c r="U14" s="1225"/>
      <c r="V14" s="289"/>
      <c r="W14" s="289">
        <v>15</v>
      </c>
      <c r="X14" s="1221">
        <v>50</v>
      </c>
      <c r="Y14" s="1215"/>
      <c r="Z14" s="407"/>
      <c r="AA14" s="1228" t="s">
        <v>152</v>
      </c>
      <c r="AB14" s="1232" t="s">
        <v>954</v>
      </c>
      <c r="AC14" s="1208"/>
      <c r="AD14" s="1225"/>
      <c r="AE14" s="289"/>
      <c r="AF14" s="289"/>
      <c r="AG14" s="1221">
        <v>43</v>
      </c>
      <c r="AH14" s="2262"/>
      <c r="AI14" s="2263"/>
      <c r="AJ14" s="2264"/>
      <c r="AK14" s="1232" t="s">
        <v>954</v>
      </c>
      <c r="AL14" s="301"/>
      <c r="AM14" s="1225"/>
      <c r="AN14" s="289"/>
      <c r="AO14" s="289"/>
      <c r="AP14" s="1221">
        <v>46</v>
      </c>
      <c r="AQ14" s="1215"/>
      <c r="AR14" s="289"/>
      <c r="AS14" s="1228"/>
      <c r="AT14" s="1232" t="s">
        <v>954</v>
      </c>
    </row>
    <row r="15" spans="1:46" ht="48" customHeight="1" x14ac:dyDescent="0.3">
      <c r="A15" s="2260">
        <v>45633</v>
      </c>
      <c r="B15" s="1218">
        <v>1</v>
      </c>
      <c r="C15" s="1219"/>
      <c r="D15" s="1220"/>
      <c r="E15" s="289">
        <v>10</v>
      </c>
      <c r="F15" s="1232"/>
      <c r="G15" s="1222"/>
      <c r="H15" s="1206"/>
      <c r="I15" s="1223" t="s">
        <v>325</v>
      </c>
      <c r="J15" s="1232"/>
      <c r="K15" s="1208"/>
      <c r="L15" s="1225"/>
      <c r="M15" s="289"/>
      <c r="N15" s="289"/>
      <c r="O15" s="1221"/>
      <c r="P15" s="1204"/>
      <c r="Q15" s="1206"/>
      <c r="R15" s="1206"/>
      <c r="S15" s="1232"/>
      <c r="T15" s="1208"/>
      <c r="U15" s="1225"/>
      <c r="V15" s="289"/>
      <c r="W15" s="289"/>
      <c r="X15" s="1221"/>
      <c r="Y15" s="1222"/>
      <c r="Z15" s="1206"/>
      <c r="AA15" s="1228"/>
      <c r="AB15" s="1232"/>
      <c r="AC15" s="1208"/>
      <c r="AD15" s="1225"/>
      <c r="AE15" s="289"/>
      <c r="AF15" s="1208"/>
      <c r="AG15" s="1221"/>
      <c r="AH15" s="1204"/>
      <c r="AI15" s="1206"/>
      <c r="AJ15" s="407"/>
      <c r="AK15" s="1232"/>
      <c r="AL15" s="301"/>
      <c r="AM15" s="1225"/>
      <c r="AN15" s="289"/>
      <c r="AO15" s="1208">
        <v>11</v>
      </c>
      <c r="AP15" s="1204"/>
      <c r="AQ15" s="1206"/>
      <c r="AR15" s="1206"/>
      <c r="AS15" s="1206" t="s">
        <v>325</v>
      </c>
      <c r="AT15" s="1232"/>
    </row>
    <row r="16" spans="1:46" ht="63" customHeight="1" x14ac:dyDescent="0.3">
      <c r="A16" s="2261"/>
      <c r="B16" s="1218">
        <v>2</v>
      </c>
      <c r="C16" s="1219"/>
      <c r="D16" s="1219">
        <v>52</v>
      </c>
      <c r="E16" s="1219"/>
      <c r="F16" s="1221"/>
      <c r="G16" s="1240"/>
      <c r="H16" s="1237" t="s">
        <v>998</v>
      </c>
      <c r="I16" s="1241"/>
      <c r="J16" s="1232"/>
      <c r="K16" s="1208"/>
      <c r="L16" s="1225"/>
      <c r="M16" s="289">
        <v>27</v>
      </c>
      <c r="N16" s="289"/>
      <c r="O16" s="1221"/>
      <c r="P16" s="1240"/>
      <c r="Q16" s="1237" t="s">
        <v>998</v>
      </c>
      <c r="R16" s="1241"/>
      <c r="S16" s="1232"/>
      <c r="T16" s="1208"/>
      <c r="U16" s="1225"/>
      <c r="V16" s="289">
        <v>30</v>
      </c>
      <c r="W16" s="289">
        <v>38</v>
      </c>
      <c r="X16" s="1221"/>
      <c r="Y16" s="1240"/>
      <c r="Z16" s="1237" t="s">
        <v>998</v>
      </c>
      <c r="AA16" s="1242" t="s">
        <v>152</v>
      </c>
      <c r="AB16" s="1232"/>
      <c r="AC16" s="1208"/>
      <c r="AD16" s="1225"/>
      <c r="AE16" s="289">
        <v>34</v>
      </c>
      <c r="AF16" s="289"/>
      <c r="AG16" s="1221"/>
      <c r="AH16" s="1243"/>
      <c r="AI16" s="1237" t="s">
        <v>998</v>
      </c>
      <c r="AJ16" s="1241"/>
      <c r="AK16" s="1232"/>
      <c r="AL16" s="301"/>
      <c r="AM16" s="1225"/>
      <c r="AN16" s="289">
        <v>39</v>
      </c>
      <c r="AO16" s="289"/>
      <c r="AP16" s="1221"/>
      <c r="AQ16" s="1240"/>
      <c r="AR16" s="1237" t="s">
        <v>998</v>
      </c>
      <c r="AS16" s="1241"/>
      <c r="AT16" s="1232"/>
    </row>
    <row r="17" spans="1:46" ht="66" customHeight="1" x14ac:dyDescent="0.3">
      <c r="A17" s="2260">
        <v>45634</v>
      </c>
      <c r="B17" s="1244">
        <v>1</v>
      </c>
      <c r="C17" s="1219"/>
      <c r="D17" s="1220"/>
      <c r="E17" s="1220"/>
      <c r="F17" s="1221"/>
      <c r="G17" s="1204"/>
      <c r="H17" s="1205"/>
      <c r="I17" s="1223"/>
      <c r="J17" s="1232"/>
      <c r="K17" s="1208"/>
      <c r="L17" s="1225"/>
      <c r="M17" s="289"/>
      <c r="N17" s="289"/>
      <c r="O17" s="1221"/>
      <c r="P17" s="1204"/>
      <c r="Q17" s="1205"/>
      <c r="R17" s="1206"/>
      <c r="S17" s="1232"/>
      <c r="T17" s="1208"/>
      <c r="U17" s="1225"/>
      <c r="V17" s="289"/>
      <c r="W17" s="289">
        <v>14</v>
      </c>
      <c r="X17" s="1221"/>
      <c r="Y17" s="1222"/>
      <c r="Z17" s="1205"/>
      <c r="AA17" s="1242" t="s">
        <v>152</v>
      </c>
      <c r="AB17" s="1232"/>
      <c r="AC17" s="1208"/>
      <c r="AD17" s="1225"/>
      <c r="AE17" s="289"/>
      <c r="AF17" s="289"/>
      <c r="AG17" s="1221"/>
      <c r="AH17" s="1204"/>
      <c r="AI17" s="1205"/>
      <c r="AJ17" s="1206"/>
      <c r="AK17" s="1232"/>
      <c r="AL17" s="301"/>
      <c r="AM17" s="1225"/>
      <c r="AN17" s="289"/>
      <c r="AO17" s="289"/>
      <c r="AP17" s="1204"/>
      <c r="AQ17" s="1205"/>
      <c r="AR17" s="1206"/>
      <c r="AS17" s="1228"/>
      <c r="AT17" s="1232"/>
    </row>
    <row r="18" spans="1:46" ht="49.9" customHeight="1" x14ac:dyDescent="0.3">
      <c r="A18" s="2261"/>
      <c r="B18" s="1218">
        <v>2</v>
      </c>
      <c r="C18" s="1219"/>
      <c r="D18" s="1220"/>
      <c r="E18" s="1220"/>
      <c r="F18" s="1221"/>
      <c r="G18" s="1222"/>
      <c r="H18" s="1245"/>
      <c r="I18" s="1223"/>
      <c r="J18" s="1232"/>
      <c r="K18" s="1208"/>
      <c r="L18" s="1225"/>
      <c r="M18" s="289">
        <v>19</v>
      </c>
      <c r="N18" s="289">
        <v>23</v>
      </c>
      <c r="O18" s="1221"/>
      <c r="P18" s="1222"/>
      <c r="Q18" s="1206" t="s">
        <v>832</v>
      </c>
      <c r="R18" s="1223" t="s">
        <v>325</v>
      </c>
      <c r="S18" s="1232"/>
      <c r="T18" s="1208"/>
      <c r="U18" s="1225"/>
      <c r="V18" s="289"/>
      <c r="W18" s="1220"/>
      <c r="X18" s="1221"/>
      <c r="Y18" s="1222"/>
      <c r="Z18" s="1206"/>
      <c r="AA18" s="1228"/>
      <c r="AB18" s="1232"/>
      <c r="AC18" s="1208"/>
      <c r="AD18" s="1225"/>
      <c r="AE18" s="289"/>
      <c r="AF18" s="289"/>
      <c r="AG18" s="1221"/>
      <c r="AH18" s="1222"/>
      <c r="AI18" s="1206"/>
      <c r="AJ18" s="1205"/>
      <c r="AK18" s="1232"/>
      <c r="AL18" s="301"/>
      <c r="AM18" s="1225"/>
      <c r="AN18" s="289"/>
      <c r="AO18" s="289">
        <v>25</v>
      </c>
      <c r="AP18" s="1221"/>
      <c r="AQ18" s="2265" t="s">
        <v>999</v>
      </c>
      <c r="AR18" s="2266"/>
      <c r="AS18" s="2267"/>
      <c r="AT18" s="1232"/>
    </row>
    <row r="19" spans="1:46" ht="33.6" customHeight="1" x14ac:dyDescent="0.3">
      <c r="A19" s="2260">
        <v>45635</v>
      </c>
      <c r="B19" s="1218">
        <v>1</v>
      </c>
      <c r="C19" s="1208"/>
      <c r="D19" s="1220"/>
      <c r="E19" s="1220">
        <v>37</v>
      </c>
      <c r="F19" s="1221"/>
      <c r="G19" s="1246"/>
      <c r="H19" s="289"/>
      <c r="I19" s="1238" t="s">
        <v>152</v>
      </c>
      <c r="J19" s="1232"/>
      <c r="K19" s="1208"/>
      <c r="L19" s="1225"/>
      <c r="M19" s="289"/>
      <c r="N19" s="289"/>
      <c r="O19" s="1221"/>
      <c r="P19" s="1225"/>
      <c r="Q19" s="289"/>
      <c r="R19" s="289"/>
      <c r="S19" s="1232"/>
      <c r="T19" s="1208"/>
      <c r="U19" s="1225"/>
      <c r="V19" s="289"/>
      <c r="W19" s="289">
        <v>141</v>
      </c>
      <c r="X19" s="1221"/>
      <c r="Y19" s="1225"/>
      <c r="Z19" s="407"/>
      <c r="AA19" s="1242" t="s">
        <v>152</v>
      </c>
      <c r="AB19" s="1232"/>
      <c r="AC19" s="1208"/>
      <c r="AD19" s="1225"/>
      <c r="AE19" s="289"/>
      <c r="AF19" s="289"/>
      <c r="AG19" s="1221"/>
      <c r="AH19" s="1225"/>
      <c r="AI19" s="289"/>
      <c r="AJ19" s="1228"/>
      <c r="AK19" s="1232"/>
      <c r="AL19" s="301"/>
      <c r="AM19" s="1225"/>
      <c r="AN19" s="289"/>
      <c r="AO19" s="289"/>
      <c r="AP19" s="1221"/>
      <c r="AQ19" s="1225"/>
      <c r="AR19" s="289"/>
      <c r="AS19" s="1206"/>
      <c r="AT19" s="1232"/>
    </row>
    <row r="20" spans="1:46" ht="44.45" customHeight="1" x14ac:dyDescent="0.3">
      <c r="A20" s="2261"/>
      <c r="B20" s="1218">
        <v>2</v>
      </c>
      <c r="C20" s="1219"/>
      <c r="D20" s="1220"/>
      <c r="E20" s="1220">
        <v>15</v>
      </c>
      <c r="F20" s="1221"/>
      <c r="G20" s="1246"/>
      <c r="H20" s="407"/>
      <c r="I20" s="1238" t="s">
        <v>152</v>
      </c>
      <c r="J20" s="1232"/>
      <c r="K20" s="1208"/>
      <c r="L20" s="1225"/>
      <c r="M20" s="289">
        <v>20</v>
      </c>
      <c r="N20" s="289"/>
      <c r="O20" s="1221"/>
      <c r="P20" s="1246"/>
      <c r="Q20" s="407" t="s">
        <v>1000</v>
      </c>
      <c r="R20" s="1223"/>
      <c r="S20" s="1232"/>
      <c r="T20" s="1208"/>
      <c r="U20" s="1225"/>
      <c r="V20" s="289"/>
      <c r="W20" s="289"/>
      <c r="X20" s="1221"/>
      <c r="Y20" s="1246"/>
      <c r="Z20" s="407"/>
      <c r="AA20" s="1206"/>
      <c r="AB20" s="1232"/>
      <c r="AC20" s="1208"/>
      <c r="AD20" s="1225"/>
      <c r="AE20" s="289"/>
      <c r="AF20" s="289">
        <v>11</v>
      </c>
      <c r="AG20" s="1221"/>
      <c r="AH20" s="1246"/>
      <c r="AI20" s="407"/>
      <c r="AJ20" s="1223" t="s">
        <v>1001</v>
      </c>
      <c r="AK20" s="1232"/>
      <c r="AL20" s="301"/>
      <c r="AM20" s="1225"/>
      <c r="AN20" s="289"/>
      <c r="AO20" s="289"/>
      <c r="AP20" s="1221"/>
      <c r="AQ20" s="1246"/>
      <c r="AR20" s="407"/>
      <c r="AS20" s="1223"/>
      <c r="AT20" s="1232"/>
    </row>
    <row r="21" spans="1:46" ht="39.6" customHeight="1" x14ac:dyDescent="0.3">
      <c r="A21" s="2260">
        <v>45636</v>
      </c>
      <c r="B21" s="1218">
        <v>1</v>
      </c>
      <c r="C21" s="1219"/>
      <c r="D21" s="1220"/>
      <c r="E21" s="1220">
        <v>48</v>
      </c>
      <c r="F21" s="1221"/>
      <c r="G21" s="1247"/>
      <c r="H21" s="1205"/>
      <c r="I21" s="1238" t="s">
        <v>152</v>
      </c>
      <c r="J21" s="1248"/>
      <c r="K21" s="1208"/>
      <c r="L21" s="1225"/>
      <c r="M21" s="289"/>
      <c r="N21" s="289"/>
      <c r="O21" s="1221"/>
      <c r="P21" s="1225"/>
      <c r="Q21" s="289"/>
      <c r="R21" s="289"/>
      <c r="S21" s="1248"/>
      <c r="T21" s="1208"/>
      <c r="U21" s="1225"/>
      <c r="V21" s="289"/>
      <c r="W21" s="289">
        <v>122</v>
      </c>
      <c r="X21" s="1221"/>
      <c r="Y21" s="1246"/>
      <c r="Z21" s="289"/>
      <c r="AA21" s="1242" t="s">
        <v>152</v>
      </c>
      <c r="AB21" s="1248"/>
      <c r="AC21" s="1208"/>
      <c r="AD21" s="1225"/>
      <c r="AE21" s="289"/>
      <c r="AF21" s="289">
        <v>38</v>
      </c>
      <c r="AG21" s="1221"/>
      <c r="AH21" s="1225"/>
      <c r="AI21" s="289"/>
      <c r="AJ21" s="1228" t="s">
        <v>996</v>
      </c>
      <c r="AK21" s="1248"/>
      <c r="AL21" s="301"/>
      <c r="AM21" s="1225"/>
      <c r="AN21" s="289"/>
      <c r="AO21" s="289"/>
      <c r="AP21" s="1221"/>
      <c r="AQ21" s="1225"/>
      <c r="AR21" s="407"/>
      <c r="AS21" s="1228"/>
      <c r="AT21" s="1248"/>
    </row>
    <row r="22" spans="1:46" ht="49.9" customHeight="1" x14ac:dyDescent="0.3">
      <c r="A22" s="2261"/>
      <c r="B22" s="1218">
        <v>2</v>
      </c>
      <c r="C22" s="1219"/>
      <c r="D22" s="1220"/>
      <c r="E22" s="1220"/>
      <c r="F22" s="1221">
        <v>536</v>
      </c>
      <c r="G22" s="1249"/>
      <c r="H22" s="1206"/>
      <c r="I22" s="1223"/>
      <c r="J22" s="1232" t="s">
        <v>975</v>
      </c>
      <c r="K22" s="1208"/>
      <c r="L22" s="1225"/>
      <c r="M22" s="289"/>
      <c r="N22" s="289"/>
      <c r="O22" s="1221">
        <v>509</v>
      </c>
      <c r="P22" s="1215"/>
      <c r="Q22" s="1206"/>
      <c r="R22" s="289"/>
      <c r="S22" s="1232" t="s">
        <v>975</v>
      </c>
      <c r="T22" s="1208"/>
      <c r="U22" s="1225"/>
      <c r="V22" s="289"/>
      <c r="W22" s="289"/>
      <c r="X22" s="1221">
        <v>504</v>
      </c>
      <c r="Y22" s="1246"/>
      <c r="Z22" s="1206"/>
      <c r="AA22" s="1228"/>
      <c r="AB22" s="1232" t="s">
        <v>975</v>
      </c>
      <c r="AC22" s="1208"/>
      <c r="AD22" s="1225"/>
      <c r="AE22" s="289"/>
      <c r="AF22" s="289"/>
      <c r="AG22" s="1221">
        <v>528</v>
      </c>
      <c r="AH22" s="1225"/>
      <c r="AI22" s="289"/>
      <c r="AJ22" s="1232"/>
      <c r="AK22" s="1232" t="s">
        <v>975</v>
      </c>
      <c r="AL22" s="301"/>
      <c r="AM22" s="1225"/>
      <c r="AN22" s="289"/>
      <c r="AO22" s="289"/>
      <c r="AP22" s="1221">
        <v>540</v>
      </c>
      <c r="AQ22" s="1225"/>
      <c r="AR22" s="1206"/>
      <c r="AS22" s="353"/>
      <c r="AT22" s="1232" t="s">
        <v>975</v>
      </c>
    </row>
    <row r="23" spans="1:46" ht="47.45" customHeight="1" x14ac:dyDescent="0.3">
      <c r="A23" s="2260">
        <v>45637</v>
      </c>
      <c r="B23" s="1244">
        <v>1</v>
      </c>
      <c r="C23" s="1219"/>
      <c r="D23" s="1220"/>
      <c r="E23" s="1220">
        <v>58</v>
      </c>
      <c r="F23" s="1221"/>
      <c r="G23" s="1204"/>
      <c r="H23" s="1205"/>
      <c r="I23" s="1238" t="s">
        <v>152</v>
      </c>
      <c r="J23" s="1232"/>
      <c r="K23" s="1208"/>
      <c r="L23" s="1225"/>
      <c r="M23" s="289"/>
      <c r="N23" s="289"/>
      <c r="O23" s="1221"/>
      <c r="P23" s="1204"/>
      <c r="Q23" s="1205"/>
      <c r="R23" s="1206"/>
      <c r="S23" s="1232"/>
      <c r="T23" s="1208"/>
      <c r="U23" s="1225"/>
      <c r="V23" s="289"/>
      <c r="W23" s="289">
        <v>23</v>
      </c>
      <c r="X23" s="1221"/>
      <c r="Y23" s="1246"/>
      <c r="Z23" s="1223"/>
      <c r="AA23" s="1242" t="s">
        <v>152</v>
      </c>
      <c r="AB23" s="1232"/>
      <c r="AC23" s="1208"/>
      <c r="AD23" s="1225"/>
      <c r="AE23" s="289"/>
      <c r="AF23" s="1226">
        <v>40</v>
      </c>
      <c r="AG23" s="1221"/>
      <c r="AH23" s="1225"/>
      <c r="AI23" s="1205"/>
      <c r="AJ23" s="1242" t="s">
        <v>152</v>
      </c>
      <c r="AK23" s="1232"/>
      <c r="AL23" s="301"/>
      <c r="AM23" s="1225"/>
      <c r="AN23" s="289"/>
      <c r="AO23" s="289"/>
      <c r="AP23" s="1221"/>
      <c r="AQ23" s="289"/>
      <c r="AR23" s="1205"/>
      <c r="AS23" s="1234"/>
      <c r="AT23" s="1232"/>
    </row>
    <row r="24" spans="1:46" ht="49.9" customHeight="1" x14ac:dyDescent="0.3">
      <c r="A24" s="2261"/>
      <c r="B24" s="1218">
        <v>2</v>
      </c>
      <c r="C24" s="1219"/>
      <c r="D24" s="1220"/>
      <c r="E24" s="1220">
        <v>10</v>
      </c>
      <c r="F24" s="1221">
        <v>355</v>
      </c>
      <c r="G24" s="1204"/>
      <c r="H24" s="1206"/>
      <c r="I24" s="1238" t="s">
        <v>152</v>
      </c>
      <c r="J24" s="1232" t="s">
        <v>975</v>
      </c>
      <c r="K24" s="1208"/>
      <c r="L24" s="1225"/>
      <c r="M24" s="289"/>
      <c r="N24" s="289"/>
      <c r="O24" s="1221">
        <v>318</v>
      </c>
      <c r="P24" s="1204"/>
      <c r="Q24" s="1205"/>
      <c r="R24" s="1206"/>
      <c r="S24" s="1232" t="s">
        <v>975</v>
      </c>
      <c r="T24" s="1208"/>
      <c r="U24" s="289"/>
      <c r="V24" s="1221"/>
      <c r="W24" s="1204" t="s">
        <v>1002</v>
      </c>
      <c r="X24" s="1221">
        <v>347</v>
      </c>
      <c r="Y24" s="1223"/>
      <c r="Z24" s="1205"/>
      <c r="AA24" s="1228" t="s">
        <v>996</v>
      </c>
      <c r="AB24" s="1232" t="s">
        <v>975</v>
      </c>
      <c r="AC24" s="1208"/>
      <c r="AD24" s="1225"/>
      <c r="AE24" s="289"/>
      <c r="AF24" s="1226"/>
      <c r="AG24" s="1221">
        <v>351</v>
      </c>
      <c r="AH24" s="1223"/>
      <c r="AI24" s="1205"/>
      <c r="AJ24" s="1206"/>
      <c r="AK24" s="1232" t="s">
        <v>975</v>
      </c>
      <c r="AL24" s="301"/>
      <c r="AM24" s="1225"/>
      <c r="AN24" s="289"/>
      <c r="AO24" s="289"/>
      <c r="AP24" s="1221">
        <v>364</v>
      </c>
      <c r="AQ24" s="1205"/>
      <c r="AR24" s="1205"/>
      <c r="AS24" s="1232"/>
      <c r="AT24" s="1232" t="s">
        <v>975</v>
      </c>
    </row>
    <row r="25" spans="1:46" ht="53.45" customHeight="1" x14ac:dyDescent="0.3">
      <c r="A25" s="2260">
        <v>45638</v>
      </c>
      <c r="B25" s="1218">
        <v>1</v>
      </c>
      <c r="C25" s="1219"/>
      <c r="D25" s="1220"/>
      <c r="E25" s="1220"/>
      <c r="F25" s="1221"/>
      <c r="G25" s="1204"/>
      <c r="H25" s="1205"/>
      <c r="I25" s="1223"/>
      <c r="J25" s="1232"/>
      <c r="K25" s="1208"/>
      <c r="L25" s="1225"/>
      <c r="M25" s="289"/>
      <c r="N25" s="289"/>
      <c r="O25" s="1221"/>
      <c r="P25" s="1225"/>
      <c r="Q25" s="1205"/>
      <c r="R25" s="289"/>
      <c r="S25" s="1232"/>
      <c r="T25" s="1208"/>
      <c r="U25" s="1225"/>
      <c r="V25" s="289"/>
      <c r="W25" s="289">
        <v>24</v>
      </c>
      <c r="X25" s="1221"/>
      <c r="Y25" s="1246"/>
      <c r="Z25" s="407"/>
      <c r="AA25" s="1206" t="s">
        <v>325</v>
      </c>
      <c r="AB25" s="1232"/>
      <c r="AC25" s="1208"/>
      <c r="AD25" s="1225"/>
      <c r="AE25" s="289"/>
      <c r="AF25" s="289">
        <v>9</v>
      </c>
      <c r="AG25" s="1221"/>
      <c r="AH25" s="289"/>
      <c r="AI25" s="407"/>
      <c r="AJ25" s="1206" t="s">
        <v>325</v>
      </c>
      <c r="AK25" s="1232"/>
      <c r="AL25" s="301"/>
      <c r="AM25" s="1225"/>
      <c r="AN25" s="289"/>
      <c r="AO25" s="289">
        <v>33</v>
      </c>
      <c r="AP25" s="1221"/>
      <c r="AQ25" s="289"/>
      <c r="AR25" s="289"/>
      <c r="AS25" s="1206" t="s">
        <v>325</v>
      </c>
      <c r="AT25" s="1232"/>
    </row>
    <row r="26" spans="1:46" ht="42" customHeight="1" x14ac:dyDescent="0.3">
      <c r="A26" s="2261"/>
      <c r="B26" s="1218">
        <v>2</v>
      </c>
      <c r="C26" s="1219"/>
      <c r="D26" s="1220"/>
      <c r="E26" s="1220"/>
      <c r="F26" s="1221"/>
      <c r="G26" s="1204"/>
      <c r="H26" s="1206"/>
      <c r="I26" s="1223"/>
      <c r="J26" s="1232"/>
      <c r="K26" s="1208"/>
      <c r="L26" s="1225"/>
      <c r="M26" s="289"/>
      <c r="N26" s="289"/>
      <c r="O26" s="1221"/>
      <c r="P26" s="1204"/>
      <c r="Q26" s="1206"/>
      <c r="R26" s="1234"/>
      <c r="S26" s="1232"/>
      <c r="T26" s="1208"/>
      <c r="U26" s="1225"/>
      <c r="V26" s="1220">
        <v>190</v>
      </c>
      <c r="W26" s="289"/>
      <c r="X26" s="1221"/>
      <c r="Y26" s="1223"/>
      <c r="Z26" s="1206" t="s">
        <v>1003</v>
      </c>
      <c r="AA26" s="1228"/>
      <c r="AB26" s="1232"/>
      <c r="AC26" s="1208"/>
      <c r="AD26" s="1225"/>
      <c r="AE26" s="1220">
        <v>15</v>
      </c>
      <c r="AF26" s="289"/>
      <c r="AG26" s="1221"/>
      <c r="AH26" s="1223"/>
      <c r="AI26" s="1206" t="s">
        <v>1004</v>
      </c>
      <c r="AJ26" s="1206" t="s">
        <v>325</v>
      </c>
      <c r="AK26" s="1232"/>
      <c r="AL26" s="301"/>
      <c r="AM26" s="1225"/>
      <c r="AN26" s="1220"/>
      <c r="AO26" s="289">
        <v>57</v>
      </c>
      <c r="AP26" s="1221"/>
      <c r="AQ26" s="1204"/>
      <c r="AR26" s="1206"/>
      <c r="AS26" s="1206" t="s">
        <v>325</v>
      </c>
      <c r="AT26" s="1232"/>
    </row>
    <row r="27" spans="1:46" ht="49.9" customHeight="1" x14ac:dyDescent="0.3">
      <c r="A27" s="2260">
        <v>45639</v>
      </c>
      <c r="B27" s="1244">
        <v>1</v>
      </c>
      <c r="C27" s="1219"/>
      <c r="D27" s="1220"/>
      <c r="E27" s="1220">
        <v>27</v>
      </c>
      <c r="F27" s="1221"/>
      <c r="G27" s="1204"/>
      <c r="H27" s="1205"/>
      <c r="I27" s="1238" t="s">
        <v>152</v>
      </c>
      <c r="J27" s="1232"/>
      <c r="K27" s="1208"/>
      <c r="L27" s="1225"/>
      <c r="M27" s="289"/>
      <c r="N27" s="289"/>
      <c r="O27" s="1221"/>
      <c r="P27" s="1204"/>
      <c r="Q27" s="1205"/>
      <c r="R27" s="1206"/>
      <c r="S27" s="1232"/>
      <c r="T27" s="1208"/>
      <c r="U27" s="1225"/>
      <c r="V27" s="289"/>
      <c r="W27" s="289">
        <v>50</v>
      </c>
      <c r="X27" s="1221"/>
      <c r="Y27" s="1204"/>
      <c r="Z27" s="1206"/>
      <c r="AA27" s="1242" t="s">
        <v>152</v>
      </c>
      <c r="AB27" s="1232"/>
      <c r="AC27" s="1208"/>
      <c r="AD27" s="1225"/>
      <c r="AE27" s="289"/>
      <c r="AF27" s="289"/>
      <c r="AG27" s="1221"/>
      <c r="AH27" s="1204"/>
      <c r="AI27" s="407"/>
      <c r="AJ27" s="1206"/>
      <c r="AK27" s="1232"/>
      <c r="AL27" s="301"/>
      <c r="AM27" s="1225"/>
      <c r="AN27" s="289"/>
      <c r="AO27" s="289">
        <v>52</v>
      </c>
      <c r="AP27" s="1221"/>
      <c r="AQ27" s="407"/>
      <c r="AR27" s="289"/>
      <c r="AS27" s="1206" t="s">
        <v>325</v>
      </c>
      <c r="AT27" s="1232"/>
    </row>
    <row r="28" spans="1:46" ht="72" customHeight="1" x14ac:dyDescent="0.3">
      <c r="A28" s="2261"/>
      <c r="B28" s="1218">
        <v>2</v>
      </c>
      <c r="C28" s="1219"/>
      <c r="D28" s="1220"/>
      <c r="E28" s="1220"/>
      <c r="F28" s="1221"/>
      <c r="G28" s="1206"/>
      <c r="H28" s="1206"/>
      <c r="I28" s="1234"/>
      <c r="J28" s="1232"/>
      <c r="K28" s="1208"/>
      <c r="L28" s="1225"/>
      <c r="M28" s="289"/>
      <c r="N28" s="289"/>
      <c r="O28" s="1221"/>
      <c r="P28" s="1206"/>
      <c r="Q28" s="1206"/>
      <c r="R28" s="1206"/>
      <c r="S28" s="1232"/>
      <c r="T28" s="1208"/>
      <c r="U28" s="1225"/>
      <c r="V28" s="289"/>
      <c r="W28" s="1208"/>
      <c r="X28" s="1221"/>
      <c r="Y28" s="1206"/>
      <c r="Z28" s="289"/>
      <c r="AA28" s="1228"/>
      <c r="AB28" s="1232"/>
      <c r="AC28" s="1208"/>
      <c r="AD28" s="1225"/>
      <c r="AE28" s="289"/>
      <c r="AF28" s="289"/>
      <c r="AG28" s="1221"/>
      <c r="AH28" s="1204"/>
      <c r="AI28" s="407"/>
      <c r="AJ28" s="1228"/>
      <c r="AK28" s="1232"/>
      <c r="AL28" s="301"/>
      <c r="AM28" s="1225"/>
      <c r="AN28" s="289"/>
      <c r="AO28" s="289">
        <v>24</v>
      </c>
      <c r="AP28" s="1221"/>
      <c r="AQ28" s="407"/>
      <c r="AR28" s="289"/>
      <c r="AS28" s="1206" t="s">
        <v>325</v>
      </c>
      <c r="AT28" s="1232"/>
    </row>
    <row r="29" spans="1:46" ht="66" customHeight="1" x14ac:dyDescent="0.3">
      <c r="A29" s="2260">
        <v>45640</v>
      </c>
      <c r="B29" s="1218">
        <v>1</v>
      </c>
      <c r="C29" s="1219"/>
      <c r="D29" s="1220"/>
      <c r="E29" s="1220">
        <v>106</v>
      </c>
      <c r="F29" s="1221"/>
      <c r="G29" s="1206"/>
      <c r="H29" s="1205"/>
      <c r="I29" s="1234"/>
      <c r="J29" s="1232"/>
      <c r="K29" s="1208"/>
      <c r="L29" s="1225"/>
      <c r="M29" s="289"/>
      <c r="N29" s="289"/>
      <c r="O29" s="1221"/>
      <c r="P29" s="1204"/>
      <c r="Q29" s="1206"/>
      <c r="R29" s="1206"/>
      <c r="S29" s="1232"/>
      <c r="T29" s="1208"/>
      <c r="U29" s="1225"/>
      <c r="V29" s="289"/>
      <c r="W29" s="289">
        <v>111</v>
      </c>
      <c r="X29" s="1221"/>
      <c r="Y29" s="1206"/>
      <c r="Z29" s="1205"/>
      <c r="AA29" s="1228" t="s">
        <v>328</v>
      </c>
      <c r="AB29" s="1232"/>
      <c r="AC29" s="1208"/>
      <c r="AD29" s="1225"/>
      <c r="AE29" s="289"/>
      <c r="AF29" s="289">
        <v>57</v>
      </c>
      <c r="AG29" s="1221"/>
      <c r="AH29" s="1204"/>
      <c r="AI29" s="1205"/>
      <c r="AJ29" s="289" t="s">
        <v>508</v>
      </c>
      <c r="AK29" s="1232"/>
      <c r="AL29" s="301"/>
      <c r="AM29" s="1225"/>
      <c r="AN29" s="289"/>
      <c r="AO29" s="289"/>
      <c r="AP29" s="1221"/>
      <c r="AQ29" s="407"/>
      <c r="AR29" s="1205"/>
      <c r="AS29" s="353"/>
      <c r="AT29" s="1232"/>
    </row>
    <row r="30" spans="1:46" ht="39.6" customHeight="1" x14ac:dyDescent="0.3">
      <c r="A30" s="2261"/>
      <c r="B30" s="1244">
        <v>2</v>
      </c>
      <c r="C30" s="1219"/>
      <c r="D30" s="1220"/>
      <c r="E30" s="1220">
        <v>15</v>
      </c>
      <c r="F30" s="1221"/>
      <c r="G30" s="1206"/>
      <c r="H30" s="1205"/>
      <c r="I30" s="1228" t="s">
        <v>152</v>
      </c>
      <c r="J30" s="1232"/>
      <c r="K30" s="1208"/>
      <c r="L30" s="1225"/>
      <c r="M30" s="289"/>
      <c r="N30" s="289"/>
      <c r="O30" s="1221"/>
      <c r="P30" s="1204"/>
      <c r="Q30" s="1206"/>
      <c r="R30" s="1206"/>
      <c r="S30" s="1232"/>
      <c r="T30" s="1208"/>
      <c r="U30" s="1225"/>
      <c r="V30" s="289"/>
      <c r="W30" s="289">
        <v>20</v>
      </c>
      <c r="X30" s="1221"/>
      <c r="Y30" s="1206"/>
      <c r="Z30" s="1205"/>
      <c r="AA30" s="1228" t="s">
        <v>328</v>
      </c>
      <c r="AB30" s="1232"/>
      <c r="AC30" s="1208"/>
      <c r="AD30" s="1225"/>
      <c r="AE30" s="289"/>
      <c r="AF30" s="289">
        <v>10</v>
      </c>
      <c r="AG30" s="1221"/>
      <c r="AH30" s="1204"/>
      <c r="AI30" s="1206"/>
      <c r="AJ30" s="289" t="s">
        <v>508</v>
      </c>
      <c r="AK30" s="1232"/>
      <c r="AL30" s="301"/>
      <c r="AM30" s="1225"/>
      <c r="AN30" s="289"/>
      <c r="AO30" s="289">
        <v>8</v>
      </c>
      <c r="AP30" s="1221"/>
      <c r="AQ30" s="1215"/>
      <c r="AR30" s="407"/>
      <c r="AS30" s="353" t="s">
        <v>325</v>
      </c>
      <c r="AT30" s="1231"/>
    </row>
    <row r="31" spans="1:46" ht="39.6" customHeight="1" x14ac:dyDescent="0.3">
      <c r="A31" s="2260">
        <v>45641</v>
      </c>
      <c r="B31" s="1218">
        <v>1</v>
      </c>
      <c r="C31" s="1219"/>
      <c r="D31" s="1220"/>
      <c r="E31" s="1220">
        <v>10</v>
      </c>
      <c r="F31" s="1221"/>
      <c r="G31" s="1204"/>
      <c r="H31" s="1206"/>
      <c r="I31" s="1228" t="s">
        <v>152</v>
      </c>
      <c r="J31" s="1232"/>
      <c r="K31" s="1208"/>
      <c r="L31" s="1225"/>
      <c r="M31" s="289"/>
      <c r="N31" s="289"/>
      <c r="O31" s="1221"/>
      <c r="P31" s="1226"/>
      <c r="Q31" s="289"/>
      <c r="R31" s="289"/>
      <c r="S31" s="1232"/>
      <c r="T31" s="1208"/>
      <c r="U31" s="1225"/>
      <c r="V31" s="289"/>
      <c r="W31" s="289"/>
      <c r="X31" s="1221"/>
      <c r="Y31" s="1215"/>
      <c r="Z31" s="289"/>
      <c r="AA31" s="1228"/>
      <c r="AB31" s="1232"/>
      <c r="AC31" s="1208"/>
      <c r="AD31" s="1225"/>
      <c r="AE31" s="289"/>
      <c r="AF31" s="289">
        <v>10</v>
      </c>
      <c r="AG31" s="1221"/>
      <c r="AH31" s="1204"/>
      <c r="AI31" s="289"/>
      <c r="AJ31" s="289" t="s">
        <v>508</v>
      </c>
      <c r="AK31" s="1232"/>
      <c r="AL31" s="301"/>
      <c r="AM31" s="1225"/>
      <c r="AN31" s="289"/>
      <c r="AO31" s="289"/>
      <c r="AP31" s="1221"/>
      <c r="AQ31" s="1226"/>
      <c r="AR31" s="289"/>
      <c r="AS31" s="289"/>
      <c r="AT31" s="1231"/>
    </row>
    <row r="32" spans="1:46" ht="63" customHeight="1" x14ac:dyDescent="0.3">
      <c r="A32" s="2261"/>
      <c r="B32" s="1218">
        <v>2</v>
      </c>
      <c r="C32" s="1219"/>
      <c r="D32" s="1219"/>
      <c r="E32" s="1220">
        <v>15</v>
      </c>
      <c r="F32" s="1219"/>
      <c r="G32" s="1204"/>
      <c r="H32" s="1232"/>
      <c r="I32" s="1228" t="s">
        <v>152</v>
      </c>
      <c r="J32" s="1232"/>
      <c r="K32" s="1208"/>
      <c r="L32" s="1225"/>
      <c r="M32" s="289"/>
      <c r="N32" s="289"/>
      <c r="O32" s="289"/>
      <c r="P32" s="1226"/>
      <c r="Q32" s="1232"/>
      <c r="R32" s="289"/>
      <c r="S32" s="1232"/>
      <c r="T32" s="1208"/>
      <c r="U32" s="1225"/>
      <c r="V32" s="289"/>
      <c r="W32" s="1220"/>
      <c r="X32" s="289"/>
      <c r="Y32" s="1204"/>
      <c r="Z32" s="1232"/>
      <c r="AA32" s="1228"/>
      <c r="AB32" s="1232"/>
      <c r="AC32" s="1208"/>
      <c r="AD32" s="1225"/>
      <c r="AE32" s="289"/>
      <c r="AF32" s="1220"/>
      <c r="AG32" s="289"/>
      <c r="AH32" s="1204"/>
      <c r="AI32" s="1232"/>
      <c r="AJ32" s="1228"/>
      <c r="AK32" s="1232"/>
      <c r="AL32" s="301"/>
      <c r="AM32" s="1225"/>
      <c r="AN32" s="289"/>
      <c r="AO32" s="289"/>
      <c r="AP32" s="1221"/>
      <c r="AQ32" s="1226"/>
      <c r="AR32" s="1232"/>
      <c r="AS32" s="1222"/>
      <c r="AT32" s="1231"/>
    </row>
    <row r="33" spans="1:46" ht="43.15" customHeight="1" x14ac:dyDescent="0.3">
      <c r="A33" s="2260">
        <v>45642</v>
      </c>
      <c r="B33" s="1218">
        <v>1</v>
      </c>
      <c r="C33" s="1219"/>
      <c r="D33" s="1220"/>
      <c r="E33" s="1220">
        <v>15</v>
      </c>
      <c r="F33" s="1221"/>
      <c r="G33" s="1204"/>
      <c r="H33" s="1206"/>
      <c r="I33" s="1228" t="s">
        <v>152</v>
      </c>
      <c r="J33" s="1232"/>
      <c r="K33" s="1208"/>
      <c r="L33" s="1225"/>
      <c r="M33" s="289"/>
      <c r="N33" s="289"/>
      <c r="O33" s="1221"/>
      <c r="P33" s="1226"/>
      <c r="Q33" s="289"/>
      <c r="R33" s="289"/>
      <c r="S33" s="1232"/>
      <c r="T33" s="1208"/>
      <c r="U33" s="1225"/>
      <c r="V33" s="289"/>
      <c r="W33" s="289"/>
      <c r="X33" s="1221"/>
      <c r="Y33" s="1226"/>
      <c r="Z33" s="289"/>
      <c r="AA33" s="1228"/>
      <c r="AB33" s="1232"/>
      <c r="AC33" s="1208"/>
      <c r="AD33" s="1225"/>
      <c r="AE33" s="289"/>
      <c r="AF33" s="289">
        <v>10</v>
      </c>
      <c r="AG33" s="1221"/>
      <c r="AH33" s="1226"/>
      <c r="AI33" s="407"/>
      <c r="AJ33" s="1228" t="s">
        <v>152</v>
      </c>
      <c r="AK33" s="1232"/>
      <c r="AL33" s="301"/>
      <c r="AM33" s="1225"/>
      <c r="AN33" s="289"/>
      <c r="AO33" s="289">
        <v>10</v>
      </c>
      <c r="AP33" s="1221"/>
      <c r="AQ33" s="1226"/>
      <c r="AR33" s="407"/>
      <c r="AS33" s="289" t="s">
        <v>152</v>
      </c>
      <c r="AT33" s="1232"/>
    </row>
    <row r="34" spans="1:46" ht="67.900000000000006" customHeight="1" x14ac:dyDescent="0.3">
      <c r="A34" s="2261"/>
      <c r="B34" s="1244">
        <v>2</v>
      </c>
      <c r="C34" s="1220"/>
      <c r="D34" s="1220"/>
      <c r="E34" s="1220">
        <v>12</v>
      </c>
      <c r="F34" s="1221"/>
      <c r="G34" s="1222"/>
      <c r="H34" s="1206"/>
      <c r="I34" s="1228" t="s">
        <v>152</v>
      </c>
      <c r="J34" s="1232"/>
      <c r="K34" s="1208"/>
      <c r="L34" s="1225"/>
      <c r="M34" s="289"/>
      <c r="N34" s="289"/>
      <c r="O34" s="1221"/>
      <c r="P34" s="1226"/>
      <c r="Q34" s="1206"/>
      <c r="R34" s="289"/>
      <c r="S34" s="1232"/>
      <c r="T34" s="1208"/>
      <c r="U34" s="1225"/>
      <c r="V34" s="289"/>
      <c r="W34" s="289">
        <v>31</v>
      </c>
      <c r="X34" s="1221"/>
      <c r="Y34" s="407"/>
      <c r="Z34" s="407"/>
      <c r="AA34" s="1228" t="s">
        <v>152</v>
      </c>
      <c r="AB34" s="1232"/>
      <c r="AC34" s="1208"/>
      <c r="AD34" s="1225"/>
      <c r="AE34" s="289"/>
      <c r="AF34" s="289"/>
      <c r="AG34" s="1221"/>
      <c r="AH34" s="1226"/>
      <c r="AI34" s="289"/>
      <c r="AJ34" s="407"/>
      <c r="AK34" s="1232"/>
      <c r="AL34" s="301"/>
      <c r="AM34" s="1225"/>
      <c r="AN34" s="289"/>
      <c r="AO34" s="289"/>
      <c r="AP34" s="1221"/>
      <c r="AQ34" s="1226"/>
      <c r="AR34" s="289"/>
      <c r="AS34" s="1206"/>
      <c r="AT34" s="1232"/>
    </row>
    <row r="35" spans="1:46" ht="51" customHeight="1" x14ac:dyDescent="0.3">
      <c r="A35" s="2260">
        <v>45643</v>
      </c>
      <c r="B35" s="1218">
        <v>1</v>
      </c>
      <c r="C35" s="1220"/>
      <c r="D35" s="1220"/>
      <c r="E35" s="353">
        <v>20</v>
      </c>
      <c r="F35" s="1221"/>
      <c r="G35" s="1246"/>
      <c r="H35" s="1226"/>
      <c r="I35" s="1228" t="s">
        <v>152</v>
      </c>
      <c r="J35" s="1232"/>
      <c r="K35" s="1208"/>
      <c r="L35" s="1225"/>
      <c r="M35" s="289"/>
      <c r="N35" s="289"/>
      <c r="O35" s="1221"/>
      <c r="P35" s="1246"/>
      <c r="Q35" s="1250"/>
      <c r="R35" s="1206"/>
      <c r="S35" s="1232"/>
      <c r="T35" s="1208"/>
      <c r="U35" s="1225"/>
      <c r="V35" s="289"/>
      <c r="W35" s="353">
        <v>31</v>
      </c>
      <c r="X35" s="1221"/>
      <c r="Y35" s="1246"/>
      <c r="Z35" s="407"/>
      <c r="AA35" s="1228" t="s">
        <v>152</v>
      </c>
      <c r="AB35" s="1232"/>
      <c r="AC35" s="1208"/>
      <c r="AD35" s="1225"/>
      <c r="AE35" s="289"/>
      <c r="AF35" s="289"/>
      <c r="AG35" s="1221"/>
      <c r="AH35" s="1246"/>
      <c r="AI35" s="289"/>
      <c r="AJ35" s="1222"/>
      <c r="AK35" s="1232"/>
      <c r="AL35" s="301"/>
      <c r="AM35" s="1225"/>
      <c r="AN35" s="289"/>
      <c r="AO35" s="353"/>
      <c r="AP35" s="1221"/>
      <c r="AQ35" s="1226"/>
      <c r="AR35" s="1234"/>
      <c r="AS35" s="1235"/>
      <c r="AT35" s="1232"/>
    </row>
    <row r="36" spans="1:46" ht="46.9" customHeight="1" x14ac:dyDescent="0.3">
      <c r="A36" s="2261"/>
      <c r="B36" s="1218">
        <v>2</v>
      </c>
      <c r="C36" s="353"/>
      <c r="D36" s="289"/>
      <c r="E36" s="353">
        <v>378</v>
      </c>
      <c r="F36" s="1221"/>
      <c r="G36" s="1234"/>
      <c r="H36" s="1206"/>
      <c r="I36" s="1234" t="s">
        <v>1005</v>
      </c>
      <c r="J36" s="1232"/>
      <c r="K36" s="1208"/>
      <c r="L36" s="1246"/>
      <c r="M36" s="289"/>
      <c r="N36" s="289"/>
      <c r="O36" s="1221"/>
      <c r="P36" s="1246"/>
      <c r="Q36" s="1206"/>
      <c r="R36" s="407"/>
      <c r="S36" s="1232"/>
      <c r="T36" s="1208"/>
      <c r="U36" s="1225"/>
      <c r="V36" s="289"/>
      <c r="W36" s="289">
        <v>31</v>
      </c>
      <c r="X36" s="1221"/>
      <c r="Y36" s="1246"/>
      <c r="Z36" s="1206"/>
      <c r="AA36" s="1228" t="s">
        <v>152</v>
      </c>
      <c r="AB36" s="1232"/>
      <c r="AC36" s="1208"/>
      <c r="AD36" s="1225"/>
      <c r="AE36" s="289"/>
      <c r="AF36" s="353"/>
      <c r="AG36" s="1221"/>
      <c r="AH36" s="1246"/>
      <c r="AI36" s="407"/>
      <c r="AJ36" s="1228"/>
      <c r="AK36" s="1232"/>
      <c r="AL36" s="301"/>
      <c r="AM36" s="1225"/>
      <c r="AN36" s="289"/>
      <c r="AO36" s="1225"/>
      <c r="AP36" s="1221"/>
      <c r="AQ36" s="1226"/>
      <c r="AR36" s="1215"/>
      <c r="AS36" s="1246"/>
      <c r="AT36" s="1232"/>
    </row>
    <row r="37" spans="1:46" ht="59.45" customHeight="1" x14ac:dyDescent="0.3">
      <c r="A37" s="2260">
        <v>45644</v>
      </c>
      <c r="B37" s="1244">
        <v>1</v>
      </c>
      <c r="C37" s="353"/>
      <c r="D37" s="1220">
        <v>90</v>
      </c>
      <c r="E37" s="353"/>
      <c r="F37" s="1221"/>
      <c r="G37" s="1234"/>
      <c r="H37" s="1215" t="s">
        <v>366</v>
      </c>
      <c r="I37" s="1223"/>
      <c r="J37" s="1232"/>
      <c r="K37" s="1208"/>
      <c r="L37" s="1225"/>
      <c r="M37" s="289"/>
      <c r="N37" s="289"/>
      <c r="O37" s="1221"/>
      <c r="P37" s="1226"/>
      <c r="Q37" s="289"/>
      <c r="R37" s="289"/>
      <c r="S37" s="1232"/>
      <c r="T37" s="1208"/>
      <c r="U37" s="1225"/>
      <c r="V37" s="289"/>
      <c r="W37" s="289">
        <v>60</v>
      </c>
      <c r="X37" s="1221"/>
      <c r="Y37" s="1226"/>
      <c r="Z37" s="407"/>
      <c r="AA37" s="1228" t="s">
        <v>152</v>
      </c>
      <c r="AB37" s="1232"/>
      <c r="AC37" s="1208"/>
      <c r="AD37" s="1225"/>
      <c r="AE37" s="289"/>
      <c r="AF37" s="289"/>
      <c r="AG37" s="1221"/>
      <c r="AH37" s="1215"/>
      <c r="AI37" s="289"/>
      <c r="AJ37" s="1228"/>
      <c r="AK37" s="1232"/>
      <c r="AL37" s="301"/>
      <c r="AM37" s="1225"/>
      <c r="AN37" s="289"/>
      <c r="AO37" s="289"/>
      <c r="AP37" s="1221"/>
      <c r="AQ37" s="1226"/>
      <c r="AR37" s="289"/>
      <c r="AS37" s="289"/>
      <c r="AT37" s="1232"/>
    </row>
    <row r="38" spans="1:46" ht="55.9" customHeight="1" x14ac:dyDescent="0.3">
      <c r="A38" s="2261"/>
      <c r="B38" s="1218">
        <v>2</v>
      </c>
      <c r="C38" s="353"/>
      <c r="D38" s="1220"/>
      <c r="E38" s="353">
        <v>36</v>
      </c>
      <c r="F38" s="1221"/>
      <c r="G38" s="1234"/>
      <c r="H38" s="1215"/>
      <c r="I38" s="1223" t="s">
        <v>152</v>
      </c>
      <c r="J38" s="1232"/>
      <c r="K38" s="1208"/>
      <c r="L38" s="1225"/>
      <c r="M38" s="289"/>
      <c r="N38" s="289"/>
      <c r="O38" s="1221"/>
      <c r="P38" s="1215"/>
      <c r="Q38" s="1215"/>
      <c r="R38" s="289"/>
      <c r="S38" s="1232"/>
      <c r="T38" s="1208"/>
      <c r="U38" s="1225"/>
      <c r="V38" s="289"/>
      <c r="W38" s="289">
        <v>55</v>
      </c>
      <c r="X38" s="1221"/>
      <c r="Y38" s="1215"/>
      <c r="Z38" s="407"/>
      <c r="AA38" s="1228" t="s">
        <v>152</v>
      </c>
      <c r="AB38" s="1232"/>
      <c r="AC38" s="1208"/>
      <c r="AD38" s="1225"/>
      <c r="AE38" s="289"/>
      <c r="AF38" s="289"/>
      <c r="AG38" s="1221"/>
      <c r="AH38" s="1215"/>
      <c r="AI38" s="289"/>
      <c r="AJ38" s="1228"/>
      <c r="AK38" s="1232"/>
      <c r="AL38" s="301"/>
      <c r="AM38" s="1225"/>
      <c r="AN38" s="289">
        <v>30</v>
      </c>
      <c r="AO38" s="289"/>
      <c r="AP38" s="1221"/>
      <c r="AQ38" s="1215"/>
      <c r="AR38" s="289" t="s">
        <v>1007</v>
      </c>
      <c r="AS38" s="1246"/>
      <c r="AT38" s="1232"/>
    </row>
    <row r="39" spans="1:46" ht="70.900000000000006" customHeight="1" x14ac:dyDescent="0.3">
      <c r="A39" s="2260">
        <v>45645</v>
      </c>
      <c r="B39" s="1218">
        <v>1</v>
      </c>
      <c r="C39" s="353"/>
      <c r="D39" s="1220"/>
      <c r="E39" s="1220"/>
      <c r="F39" s="1221"/>
      <c r="G39" s="1234"/>
      <c r="H39" s="1215"/>
      <c r="I39" s="1223"/>
      <c r="J39" s="1232"/>
      <c r="K39" s="1208"/>
      <c r="L39" s="1225"/>
      <c r="M39" s="289"/>
      <c r="N39" s="289"/>
      <c r="O39" s="1221"/>
      <c r="P39" s="1234"/>
      <c r="Q39" s="1205"/>
      <c r="R39" s="289"/>
      <c r="S39" s="1232"/>
      <c r="T39" s="1208"/>
      <c r="U39" s="1225"/>
      <c r="V39" s="289"/>
      <c r="W39" s="289">
        <v>30</v>
      </c>
      <c r="X39" s="1221"/>
      <c r="Y39" s="1226"/>
      <c r="Z39" s="1206"/>
      <c r="AA39" s="1228" t="s">
        <v>152</v>
      </c>
      <c r="AB39" s="1232"/>
      <c r="AC39" s="1208"/>
      <c r="AD39" s="1225"/>
      <c r="AE39" s="289"/>
      <c r="AF39" s="289"/>
      <c r="AG39" s="1221"/>
      <c r="AH39" s="1234"/>
      <c r="AI39" s="1205"/>
      <c r="AJ39" s="1228"/>
      <c r="AK39" s="1232"/>
      <c r="AL39" s="301"/>
      <c r="AM39" s="1225"/>
      <c r="AN39" s="289"/>
      <c r="AO39" s="289"/>
      <c r="AP39" s="1221"/>
      <c r="AQ39" s="1206"/>
      <c r="AR39" s="1234"/>
      <c r="AS39" s="1228"/>
      <c r="AT39" s="1232"/>
    </row>
    <row r="40" spans="1:46" ht="72.599999999999994" customHeight="1" x14ac:dyDescent="0.3">
      <c r="A40" s="2261"/>
      <c r="B40" s="1218">
        <v>2</v>
      </c>
      <c r="C40" s="1220"/>
      <c r="D40" s="1220"/>
      <c r="E40" s="1220">
        <v>38</v>
      </c>
      <c r="F40" s="1221"/>
      <c r="G40" s="1234"/>
      <c r="H40" s="1215"/>
      <c r="I40" s="1223" t="s">
        <v>152</v>
      </c>
      <c r="J40" s="1232"/>
      <c r="K40" s="1208"/>
      <c r="L40" s="1225"/>
      <c r="M40" s="289"/>
      <c r="N40" s="289"/>
      <c r="O40" s="1221"/>
      <c r="P40" s="1204"/>
      <c r="Q40" s="1205"/>
      <c r="R40" s="1234"/>
      <c r="S40" s="1232"/>
      <c r="T40" s="1208"/>
      <c r="U40" s="1225"/>
      <c r="V40" s="289"/>
      <c r="W40" s="289">
        <v>38</v>
      </c>
      <c r="X40" s="1221"/>
      <c r="Y40" s="1215"/>
      <c r="Z40" s="289"/>
      <c r="AA40" s="1228" t="s">
        <v>152</v>
      </c>
      <c r="AB40" s="1232"/>
      <c r="AC40" s="1208"/>
      <c r="AD40" s="1225"/>
      <c r="AE40" s="289"/>
      <c r="AF40" s="289"/>
      <c r="AG40" s="1221"/>
      <c r="AH40" s="1246"/>
      <c r="AI40" s="1206"/>
      <c r="AJ40" s="1228"/>
      <c r="AK40" s="1232"/>
      <c r="AL40" s="301"/>
      <c r="AM40" s="1246"/>
      <c r="AN40" s="289"/>
      <c r="AO40" s="289"/>
      <c r="AP40" s="1221"/>
      <c r="AQ40" s="1204"/>
      <c r="AR40" s="1205"/>
      <c r="AS40" s="1234"/>
      <c r="AT40" s="1232"/>
    </row>
    <row r="41" spans="1:46" ht="39.6" customHeight="1" x14ac:dyDescent="0.3">
      <c r="A41" s="2260">
        <v>45646</v>
      </c>
      <c r="B41" s="1218">
        <v>1</v>
      </c>
      <c r="C41" s="1219"/>
      <c r="D41" s="1220">
        <v>13</v>
      </c>
      <c r="E41" s="1220">
        <v>61</v>
      </c>
      <c r="F41" s="1221"/>
      <c r="G41" s="1204"/>
      <c r="H41" s="1206" t="s">
        <v>1006</v>
      </c>
      <c r="I41" s="1223" t="s">
        <v>152</v>
      </c>
      <c r="J41" s="1232"/>
      <c r="K41" s="1208"/>
      <c r="L41" s="1225"/>
      <c r="M41" s="289">
        <v>25</v>
      </c>
      <c r="N41" s="289"/>
      <c r="O41" s="1221"/>
      <c r="P41" s="1226"/>
      <c r="Q41" s="289" t="s">
        <v>1006</v>
      </c>
      <c r="R41" s="1234"/>
      <c r="S41" s="1232"/>
      <c r="T41" s="1208"/>
      <c r="U41" s="1225"/>
      <c r="V41" s="289"/>
      <c r="W41" s="289"/>
      <c r="X41" s="1221"/>
      <c r="Y41" s="1226"/>
      <c r="Z41" s="407"/>
      <c r="AA41" s="1228"/>
      <c r="AB41" s="1232"/>
      <c r="AC41" s="1208"/>
      <c r="AD41" s="1225"/>
      <c r="AE41" s="289"/>
      <c r="AF41" s="289"/>
      <c r="AG41" s="1221"/>
      <c r="AH41" s="1246"/>
      <c r="AI41" s="407"/>
      <c r="AJ41" s="289"/>
      <c r="AK41" s="1232"/>
      <c r="AL41" s="301"/>
      <c r="AM41" s="1225"/>
      <c r="AN41" s="289"/>
      <c r="AO41" s="289"/>
      <c r="AP41" s="1221"/>
      <c r="AQ41" s="1226"/>
      <c r="AR41" s="407"/>
      <c r="AS41" s="1234"/>
      <c r="AT41" s="1232"/>
    </row>
    <row r="42" spans="1:46" ht="52.9" customHeight="1" x14ac:dyDescent="0.3">
      <c r="A42" s="2261"/>
      <c r="B42" s="1218">
        <v>2</v>
      </c>
      <c r="C42" s="1220"/>
      <c r="D42" s="1220"/>
      <c r="E42" s="1220"/>
      <c r="F42" s="1221"/>
      <c r="G42" s="1204"/>
      <c r="H42" s="1206"/>
      <c r="I42" s="1234"/>
      <c r="J42" s="1232"/>
      <c r="K42" s="1208"/>
      <c r="L42" s="1225"/>
      <c r="M42" s="289"/>
      <c r="N42" s="289"/>
      <c r="O42" s="1221"/>
      <c r="P42" s="1226"/>
      <c r="Q42" s="407"/>
      <c r="R42" s="289"/>
      <c r="S42" s="1232"/>
      <c r="T42" s="1208"/>
      <c r="U42" s="1225"/>
      <c r="V42" s="289"/>
      <c r="W42" s="289"/>
      <c r="X42" s="1221"/>
      <c r="Y42" s="1215"/>
      <c r="Z42" s="289"/>
      <c r="AA42" s="1228"/>
      <c r="AB42" s="1232"/>
      <c r="AC42" s="1208"/>
      <c r="AD42" s="1225"/>
      <c r="AE42" s="289"/>
      <c r="AF42" s="289"/>
      <c r="AG42" s="1221"/>
      <c r="AH42" s="1226"/>
      <c r="AI42" s="407"/>
      <c r="AJ42" s="289"/>
      <c r="AK42" s="1232"/>
      <c r="AL42" s="301"/>
      <c r="AM42" s="1225"/>
      <c r="AN42" s="289"/>
      <c r="AO42" s="289"/>
      <c r="AP42" s="1221"/>
      <c r="AQ42" s="1226"/>
      <c r="AR42" s="289"/>
      <c r="AS42" s="289"/>
      <c r="AT42" s="1232"/>
    </row>
    <row r="43" spans="1:46" ht="65.45" customHeight="1" x14ac:dyDescent="0.3">
      <c r="A43" s="2260">
        <v>45647</v>
      </c>
      <c r="B43" s="1218">
        <v>1</v>
      </c>
      <c r="C43" s="1220"/>
      <c r="D43" s="1220"/>
      <c r="E43" s="1220">
        <v>15</v>
      </c>
      <c r="F43" s="1221"/>
      <c r="G43" s="1205"/>
      <c r="H43" s="1205"/>
      <c r="I43" s="1234" t="s">
        <v>152</v>
      </c>
      <c r="J43" s="1232"/>
      <c r="K43" s="1208"/>
      <c r="L43" s="1225"/>
      <c r="M43" s="289"/>
      <c r="N43" s="289"/>
      <c r="O43" s="1221"/>
      <c r="P43" s="1226"/>
      <c r="Q43" s="289"/>
      <c r="R43" s="289"/>
      <c r="S43" s="1232"/>
      <c r="T43" s="1208"/>
      <c r="U43" s="1225"/>
      <c r="V43" s="289"/>
      <c r="W43" s="289"/>
      <c r="X43" s="1221"/>
      <c r="Y43" s="1226"/>
      <c r="Z43" s="289"/>
      <c r="AA43" s="1228"/>
      <c r="AB43" s="1232"/>
      <c r="AC43" s="1208"/>
      <c r="AD43" s="1225"/>
      <c r="AE43" s="289"/>
      <c r="AF43" s="289"/>
      <c r="AG43" s="1221"/>
      <c r="AH43" s="407"/>
      <c r="AI43" s="1206"/>
      <c r="AJ43" s="289"/>
      <c r="AK43" s="1232"/>
      <c r="AL43" s="301"/>
      <c r="AM43" s="1225"/>
      <c r="AN43" s="289"/>
      <c r="AO43" s="289"/>
      <c r="AP43" s="1221"/>
      <c r="AQ43" s="407"/>
      <c r="AR43" s="1206"/>
      <c r="AS43" s="289"/>
      <c r="AT43" s="1232"/>
    </row>
    <row r="44" spans="1:46" ht="69" customHeight="1" x14ac:dyDescent="0.3">
      <c r="A44" s="2261"/>
      <c r="B44" s="1218">
        <v>2</v>
      </c>
      <c r="C44" s="1220"/>
      <c r="D44" s="1220"/>
      <c r="E44" s="1220">
        <v>17</v>
      </c>
      <c r="F44" s="1221"/>
      <c r="G44" s="1205"/>
      <c r="H44" s="1215"/>
      <c r="I44" s="1234" t="s">
        <v>152</v>
      </c>
      <c r="J44" s="1232"/>
      <c r="K44" s="1208"/>
      <c r="L44" s="1225"/>
      <c r="M44" s="289"/>
      <c r="N44" s="289"/>
      <c r="O44" s="1214"/>
      <c r="P44" s="1215"/>
      <c r="Q44" s="289"/>
      <c r="R44" s="407"/>
      <c r="S44" s="1232"/>
      <c r="T44" s="1208"/>
      <c r="U44" s="1225"/>
      <c r="V44" s="289"/>
      <c r="W44" s="1220"/>
      <c r="X44" s="1221"/>
      <c r="Y44" s="1205"/>
      <c r="Z44" s="1206"/>
      <c r="AA44" s="1228"/>
      <c r="AB44" s="1232"/>
      <c r="AC44" s="1208"/>
      <c r="AD44" s="1225"/>
      <c r="AE44" s="289"/>
      <c r="AF44" s="289"/>
      <c r="AG44" s="1214"/>
      <c r="AH44" s="1226"/>
      <c r="AI44" s="407"/>
      <c r="AJ44" s="1228"/>
      <c r="AK44" s="1232"/>
      <c r="AL44" s="301"/>
      <c r="AM44" s="1225"/>
      <c r="AN44" s="289"/>
      <c r="AO44" s="289"/>
      <c r="AP44" s="1214"/>
      <c r="AQ44" s="1226"/>
      <c r="AR44" s="407"/>
      <c r="AS44" s="407"/>
      <c r="AT44" s="1232"/>
    </row>
    <row r="45" spans="1:46" ht="69" customHeight="1" x14ac:dyDescent="0.3">
      <c r="A45" s="2260">
        <v>45648</v>
      </c>
      <c r="B45" s="1218">
        <v>1</v>
      </c>
      <c r="C45" s="1220"/>
      <c r="D45" s="1220"/>
      <c r="E45" s="1220"/>
      <c r="F45" s="1221"/>
      <c r="G45" s="1205"/>
      <c r="H45" s="1205"/>
      <c r="I45" s="1234"/>
      <c r="J45" s="1232"/>
      <c r="K45" s="1208"/>
      <c r="L45" s="1225"/>
      <c r="M45" s="289"/>
      <c r="N45" s="289"/>
      <c r="O45" s="1214"/>
      <c r="P45" s="1226"/>
      <c r="Q45" s="407"/>
      <c r="R45" s="289"/>
      <c r="S45" s="1232"/>
      <c r="T45" s="1208"/>
      <c r="U45" s="1225"/>
      <c r="V45" s="407"/>
      <c r="W45" s="289"/>
      <c r="X45" s="1221"/>
      <c r="Y45" s="1226"/>
      <c r="Z45" s="407"/>
      <c r="AA45" s="1228"/>
      <c r="AB45" s="1232"/>
      <c r="AC45" s="1208"/>
      <c r="AD45" s="1225"/>
      <c r="AE45" s="289"/>
      <c r="AF45" s="289"/>
      <c r="AG45" s="1214"/>
      <c r="AH45" s="1226"/>
      <c r="AI45" s="407"/>
      <c r="AJ45" s="407"/>
      <c r="AK45" s="1232"/>
      <c r="AL45" s="301"/>
      <c r="AM45" s="1225"/>
      <c r="AN45" s="289"/>
      <c r="AO45" s="289"/>
      <c r="AP45" s="1214"/>
      <c r="AQ45" s="1226"/>
      <c r="AR45" s="407"/>
      <c r="AS45" s="289"/>
      <c r="AT45" s="1232"/>
    </row>
    <row r="46" spans="1:46" ht="48.6" customHeight="1" x14ac:dyDescent="0.3">
      <c r="A46" s="2261"/>
      <c r="B46" s="1218">
        <v>2</v>
      </c>
      <c r="C46" s="1220"/>
      <c r="D46" s="1220"/>
      <c r="E46" s="1220">
        <v>15</v>
      </c>
      <c r="F46" s="1221"/>
      <c r="G46" s="1205"/>
      <c r="H46" s="1205"/>
      <c r="I46" s="1234" t="s">
        <v>152</v>
      </c>
      <c r="J46" s="1232"/>
      <c r="K46" s="1208"/>
      <c r="L46" s="1225"/>
      <c r="M46" s="289"/>
      <c r="N46" s="289"/>
      <c r="O46" s="1251"/>
      <c r="P46" s="1226"/>
      <c r="Q46" s="1206"/>
      <c r="R46" s="407"/>
      <c r="S46" s="1232"/>
      <c r="T46" s="1208"/>
      <c r="U46" s="1225"/>
      <c r="V46" s="289"/>
      <c r="W46" s="289"/>
      <c r="X46" s="1214"/>
      <c r="Y46" s="289"/>
      <c r="Z46" s="289"/>
      <c r="AA46" s="407"/>
      <c r="AB46" s="1232"/>
      <c r="AC46" s="1208"/>
      <c r="AD46" s="1225"/>
      <c r="AE46" s="289"/>
      <c r="AF46" s="289">
        <v>10</v>
      </c>
      <c r="AG46" s="1214"/>
      <c r="AH46" s="1215"/>
      <c r="AI46" s="407"/>
      <c r="AJ46" s="1228" t="s">
        <v>508</v>
      </c>
      <c r="AK46" s="1232"/>
      <c r="AL46" s="301"/>
      <c r="AM46" s="1225"/>
      <c r="AN46" s="289"/>
      <c r="AO46" s="289">
        <v>23</v>
      </c>
      <c r="AP46" s="1214"/>
      <c r="AQ46" s="1226"/>
      <c r="AR46" s="1206"/>
      <c r="AS46" s="407" t="s">
        <v>508</v>
      </c>
      <c r="AT46" s="1232"/>
    </row>
    <row r="47" spans="1:46" ht="58.9" customHeight="1" x14ac:dyDescent="0.3">
      <c r="A47" s="2260">
        <v>45649</v>
      </c>
      <c r="B47" s="1218">
        <v>1</v>
      </c>
      <c r="C47" s="1220"/>
      <c r="D47" s="1220"/>
      <c r="E47" s="1220">
        <v>29</v>
      </c>
      <c r="F47" s="1221"/>
      <c r="G47" s="1205"/>
      <c r="H47" s="1206"/>
      <c r="I47" s="1234" t="s">
        <v>152</v>
      </c>
      <c r="J47" s="1224"/>
      <c r="K47" s="1208"/>
      <c r="L47" s="1225"/>
      <c r="M47" s="289"/>
      <c r="N47" s="289"/>
      <c r="O47" s="1214"/>
      <c r="P47" s="1226"/>
      <c r="Q47" s="289"/>
      <c r="R47" s="289"/>
      <c r="S47" s="1232"/>
      <c r="T47" s="1208"/>
      <c r="U47" s="1225"/>
      <c r="V47" s="289"/>
      <c r="W47" s="289">
        <v>42</v>
      </c>
      <c r="X47" s="1214"/>
      <c r="Y47" s="1205"/>
      <c r="Z47" s="407"/>
      <c r="AA47" s="407" t="s">
        <v>152</v>
      </c>
      <c r="AB47" s="1232"/>
      <c r="AC47" s="1208"/>
      <c r="AD47" s="1225"/>
      <c r="AE47" s="289"/>
      <c r="AF47" s="289"/>
      <c r="AG47" s="1214"/>
      <c r="AH47" s="1215"/>
      <c r="AI47" s="1206"/>
      <c r="AJ47" s="1228"/>
      <c r="AK47" s="1214"/>
      <c r="AL47" s="301"/>
      <c r="AM47" s="1225"/>
      <c r="AN47" s="289"/>
      <c r="AO47" s="289">
        <v>20</v>
      </c>
      <c r="AP47" s="1214"/>
      <c r="AQ47" s="1226"/>
      <c r="AR47" s="1206"/>
      <c r="AS47" s="407" t="s">
        <v>508</v>
      </c>
      <c r="AT47" s="1214"/>
    </row>
    <row r="48" spans="1:46" ht="34.9" customHeight="1" x14ac:dyDescent="0.3">
      <c r="A48" s="2261"/>
      <c r="B48" s="1218">
        <v>2</v>
      </c>
      <c r="C48" s="1220"/>
      <c r="D48" s="1220"/>
      <c r="E48" s="1220">
        <v>23</v>
      </c>
      <c r="F48" s="1221"/>
      <c r="G48" s="1206"/>
      <c r="H48" s="1206"/>
      <c r="I48" s="1234" t="s">
        <v>152</v>
      </c>
      <c r="J48" s="1232"/>
      <c r="K48" s="1208"/>
      <c r="L48" s="1225"/>
      <c r="M48" s="289"/>
      <c r="N48" s="289"/>
      <c r="O48" s="1221"/>
      <c r="P48" s="1206"/>
      <c r="Q48" s="1206"/>
      <c r="R48" s="1234"/>
      <c r="S48" s="1232"/>
      <c r="T48" s="1208"/>
      <c r="U48" s="1225"/>
      <c r="V48" s="289"/>
      <c r="W48" s="289"/>
      <c r="X48" s="1221"/>
      <c r="Y48" s="1206"/>
      <c r="Z48" s="1206"/>
      <c r="AA48" s="1234"/>
      <c r="AB48" s="1232"/>
      <c r="AC48" s="1208"/>
      <c r="AD48" s="1225"/>
      <c r="AE48" s="289"/>
      <c r="AF48" s="289"/>
      <c r="AG48" s="1221"/>
      <c r="AH48" s="1215"/>
      <c r="AI48" s="1206"/>
      <c r="AJ48" s="1234"/>
      <c r="AK48" s="1232"/>
      <c r="AL48" s="301"/>
      <c r="AM48" s="1225"/>
      <c r="AN48" s="289"/>
      <c r="AO48" s="1225"/>
      <c r="AP48" s="289"/>
      <c r="AQ48" s="1221"/>
      <c r="AR48" s="1206"/>
      <c r="AS48" s="407"/>
      <c r="AT48" s="1214"/>
    </row>
    <row r="49" spans="1:46" ht="43.15" customHeight="1" x14ac:dyDescent="0.3">
      <c r="A49" s="2260">
        <v>45650</v>
      </c>
      <c r="B49" s="1218">
        <v>1</v>
      </c>
      <c r="C49" s="1220"/>
      <c r="D49" s="1220"/>
      <c r="E49" s="1220"/>
      <c r="F49" s="1221"/>
      <c r="G49" s="1206"/>
      <c r="H49" s="1205"/>
      <c r="I49" s="1234"/>
      <c r="J49" s="1232"/>
      <c r="K49" s="1208"/>
      <c r="L49" s="1225"/>
      <c r="M49" s="289"/>
      <c r="N49" s="289"/>
      <c r="O49" s="1221"/>
      <c r="P49" s="1206"/>
      <c r="Q49" s="1205"/>
      <c r="R49" s="1234"/>
      <c r="S49" s="1232"/>
      <c r="T49" s="1208"/>
      <c r="U49" s="1225"/>
      <c r="V49" s="289"/>
      <c r="W49" s="289"/>
      <c r="X49" s="1221"/>
      <c r="Y49" s="1206"/>
      <c r="Z49" s="407"/>
      <c r="AA49" s="407"/>
      <c r="AB49" s="1232"/>
      <c r="AC49" s="1208"/>
      <c r="AD49" s="1225"/>
      <c r="AE49" s="289"/>
      <c r="AF49" s="289"/>
      <c r="AG49" s="1221"/>
      <c r="AH49" s="1215"/>
      <c r="AI49" s="1205"/>
      <c r="AJ49" s="1234"/>
      <c r="AK49" s="1232"/>
      <c r="AL49" s="301"/>
      <c r="AM49" s="1225"/>
      <c r="AN49" s="289"/>
      <c r="AO49" s="289"/>
      <c r="AP49" s="1206"/>
      <c r="AQ49" s="1205"/>
      <c r="AR49" s="1234"/>
      <c r="AS49" s="1232"/>
      <c r="AT49" s="1232"/>
    </row>
    <row r="50" spans="1:46" ht="51.6" customHeight="1" x14ac:dyDescent="0.3">
      <c r="A50" s="2261"/>
      <c r="B50" s="1218">
        <v>2</v>
      </c>
      <c r="C50" s="1220"/>
      <c r="D50" s="1220"/>
      <c r="E50" s="1220"/>
      <c r="F50" s="1221"/>
      <c r="G50" s="1205"/>
      <c r="H50" s="1205"/>
      <c r="I50" s="1234"/>
      <c r="J50" s="1232"/>
      <c r="K50" s="1208"/>
      <c r="L50" s="1225"/>
      <c r="M50" s="289"/>
      <c r="N50" s="289"/>
      <c r="O50" s="1221"/>
      <c r="P50" s="1205"/>
      <c r="Q50" s="1205"/>
      <c r="R50" s="1234"/>
      <c r="S50" s="1232"/>
      <c r="T50" s="1208"/>
      <c r="U50" s="1225"/>
      <c r="V50" s="289"/>
      <c r="W50" s="289"/>
      <c r="X50" s="1221"/>
      <c r="Y50" s="1205"/>
      <c r="Z50" s="1205"/>
      <c r="AA50" s="1234"/>
      <c r="AB50" s="1232"/>
      <c r="AC50" s="1208"/>
      <c r="AD50" s="1225"/>
      <c r="AE50" s="289"/>
      <c r="AF50" s="289"/>
      <c r="AG50" s="1221"/>
      <c r="AH50" s="1215"/>
      <c r="AI50" s="1205"/>
      <c r="AJ50" s="1234"/>
      <c r="AK50" s="1232"/>
      <c r="AL50" s="301"/>
      <c r="AM50" s="1225"/>
      <c r="AN50" s="289"/>
      <c r="AO50" s="289"/>
      <c r="AP50" s="1205"/>
      <c r="AQ50" s="1205"/>
      <c r="AR50" s="1234"/>
      <c r="AS50" s="1232"/>
      <c r="AT50" s="1232"/>
    </row>
    <row r="51" spans="1:46" ht="34.9" customHeight="1" x14ac:dyDescent="0.3">
      <c r="A51" s="2260">
        <v>45651</v>
      </c>
      <c r="B51" s="1218">
        <v>1</v>
      </c>
      <c r="C51" s="1220"/>
      <c r="D51" s="1220"/>
      <c r="E51" s="1220">
        <v>10</v>
      </c>
      <c r="F51" s="1221"/>
      <c r="G51" s="1205"/>
      <c r="H51" s="1205"/>
      <c r="I51" s="1234" t="s">
        <v>152</v>
      </c>
      <c r="J51" s="1232"/>
      <c r="K51" s="1208"/>
      <c r="L51" s="1225"/>
      <c r="M51" s="289"/>
      <c r="N51" s="289"/>
      <c r="O51" s="1221"/>
      <c r="P51" s="1205"/>
      <c r="Q51" s="1205"/>
      <c r="R51" s="1234"/>
      <c r="S51" s="1232"/>
      <c r="T51" s="1208"/>
      <c r="U51" s="1225"/>
      <c r="V51" s="289"/>
      <c r="W51" s="289"/>
      <c r="X51" s="1221"/>
      <c r="Y51" s="1205"/>
      <c r="Z51" s="1205"/>
      <c r="AA51" s="1234"/>
      <c r="AB51" s="1232"/>
      <c r="AC51" s="1208"/>
      <c r="AD51" s="1225"/>
      <c r="AE51" s="289"/>
      <c r="AF51" s="289"/>
      <c r="AG51" s="1221"/>
      <c r="AH51" s="1205"/>
      <c r="AI51" s="1205"/>
      <c r="AJ51" s="1234"/>
      <c r="AK51" s="1232"/>
      <c r="AL51" s="301"/>
      <c r="AM51" s="1225"/>
      <c r="AN51" s="289">
        <v>24</v>
      </c>
      <c r="AO51" s="289"/>
      <c r="AP51" s="1205"/>
      <c r="AQ51" s="1205"/>
      <c r="AR51" s="1234" t="s">
        <v>1008</v>
      </c>
      <c r="AS51" s="1232"/>
      <c r="AT51" s="1232"/>
    </row>
    <row r="52" spans="1:46" ht="49.15" customHeight="1" x14ac:dyDescent="0.3">
      <c r="A52" s="2261"/>
      <c r="B52" s="1218">
        <v>2</v>
      </c>
      <c r="C52" s="1220"/>
      <c r="D52" s="1220"/>
      <c r="E52" s="1220">
        <v>23</v>
      </c>
      <c r="F52" s="1221"/>
      <c r="G52" s="1206"/>
      <c r="H52" s="1206"/>
      <c r="I52" s="1234" t="s">
        <v>152</v>
      </c>
      <c r="J52" s="1232"/>
      <c r="K52" s="1208"/>
      <c r="L52" s="1225"/>
      <c r="M52" s="289"/>
      <c r="N52" s="289"/>
      <c r="O52" s="1221"/>
      <c r="P52" s="1206"/>
      <c r="Q52" s="1206"/>
      <c r="R52" s="1234"/>
      <c r="S52" s="1232"/>
      <c r="T52" s="1208"/>
      <c r="U52" s="1225"/>
      <c r="V52" s="289"/>
      <c r="W52" s="289">
        <v>25</v>
      </c>
      <c r="X52" s="1221"/>
      <c r="Y52" s="1206"/>
      <c r="Z52" s="1206"/>
      <c r="AA52" s="1234" t="s">
        <v>152</v>
      </c>
      <c r="AB52" s="1232"/>
      <c r="AC52" s="1208"/>
      <c r="AD52" s="1225"/>
      <c r="AE52" s="289"/>
      <c r="AF52" s="289"/>
      <c r="AG52" s="1221"/>
      <c r="AH52" s="1206"/>
      <c r="AI52" s="1206"/>
      <c r="AJ52" s="1234"/>
      <c r="AK52" s="1232"/>
      <c r="AL52" s="301"/>
      <c r="AM52" s="1225"/>
      <c r="AN52" s="1214"/>
      <c r="AO52" s="1214"/>
      <c r="AP52" s="1214"/>
      <c r="AQ52" s="1226"/>
      <c r="AR52" s="289"/>
      <c r="AS52" s="1232"/>
      <c r="AT52" s="1232"/>
    </row>
    <row r="53" spans="1:46" ht="48" customHeight="1" x14ac:dyDescent="0.3">
      <c r="A53" s="2260">
        <v>45652</v>
      </c>
      <c r="B53" s="1218">
        <v>1</v>
      </c>
      <c r="C53" s="1220"/>
      <c r="D53" s="1220"/>
      <c r="E53" s="1220">
        <v>10</v>
      </c>
      <c r="F53" s="1221"/>
      <c r="G53" s="1205"/>
      <c r="H53" s="1205"/>
      <c r="I53" s="1223" t="s">
        <v>152</v>
      </c>
      <c r="J53" s="1232"/>
      <c r="K53" s="1208"/>
      <c r="L53" s="1225"/>
      <c r="M53" s="289"/>
      <c r="N53" s="289"/>
      <c r="O53" s="1214"/>
      <c r="P53" s="1215"/>
      <c r="Q53" s="1206"/>
      <c r="R53" s="289"/>
      <c r="S53" s="1232"/>
      <c r="T53" s="1208"/>
      <c r="U53" s="1225"/>
      <c r="V53" s="289"/>
      <c r="W53" s="289"/>
      <c r="X53" s="1214"/>
      <c r="Y53" s="1215"/>
      <c r="Z53" s="289"/>
      <c r="AA53" s="407"/>
      <c r="AB53" s="1214"/>
      <c r="AC53" s="1208"/>
      <c r="AD53" s="1225"/>
      <c r="AE53" s="407"/>
      <c r="AF53" s="289">
        <v>10</v>
      </c>
      <c r="AG53" s="1214"/>
      <c r="AH53" s="1226"/>
      <c r="AI53" s="289"/>
      <c r="AJ53" s="407" t="s">
        <v>508</v>
      </c>
      <c r="AK53" s="1214"/>
      <c r="AL53" s="301"/>
      <c r="AM53" s="1225"/>
      <c r="AN53" s="407">
        <v>35</v>
      </c>
      <c r="AO53" s="289"/>
      <c r="AP53" s="1214"/>
      <c r="AQ53" s="1215"/>
      <c r="AR53" s="289" t="s">
        <v>1008</v>
      </c>
      <c r="AS53" s="289"/>
      <c r="AT53" s="1214"/>
    </row>
    <row r="54" spans="1:46" ht="45.6" customHeight="1" x14ac:dyDescent="0.3">
      <c r="A54" s="2261"/>
      <c r="B54" s="1252">
        <v>2</v>
      </c>
      <c r="C54" s="1220"/>
      <c r="D54" s="1220"/>
      <c r="E54" s="1220">
        <v>74</v>
      </c>
      <c r="F54" s="1221"/>
      <c r="G54" s="1205"/>
      <c r="H54" s="1206"/>
      <c r="I54" s="1223" t="s">
        <v>152</v>
      </c>
      <c r="J54" s="1232"/>
      <c r="K54" s="1208"/>
      <c r="L54" s="1225"/>
      <c r="M54" s="289"/>
      <c r="N54" s="289"/>
      <c r="O54" s="1221"/>
      <c r="P54" s="1205"/>
      <c r="Q54" s="1206"/>
      <c r="R54" s="1205"/>
      <c r="S54" s="1232"/>
      <c r="T54" s="1208"/>
      <c r="U54" s="1225"/>
      <c r="V54" s="289"/>
      <c r="W54" s="289">
        <v>111</v>
      </c>
      <c r="X54" s="1221"/>
      <c r="Y54" s="1206"/>
      <c r="Z54" s="1206"/>
      <c r="AA54" s="1228" t="s">
        <v>152</v>
      </c>
      <c r="AB54" s="1232"/>
      <c r="AC54" s="1208"/>
      <c r="AD54" s="1225"/>
      <c r="AE54" s="289"/>
      <c r="AF54" s="289"/>
      <c r="AG54" s="1214"/>
      <c r="AH54" s="1226"/>
      <c r="AI54" s="1206"/>
      <c r="AJ54" s="289"/>
      <c r="AK54" s="1232"/>
      <c r="AL54" s="301"/>
      <c r="AM54" s="1225"/>
      <c r="AN54" s="289">
        <v>720</v>
      </c>
      <c r="AO54" s="289"/>
      <c r="AP54" s="1221"/>
      <c r="AQ54" s="1215"/>
      <c r="AR54" s="289" t="s">
        <v>1008</v>
      </c>
      <c r="AS54" s="1232"/>
      <c r="AT54" s="1232"/>
    </row>
    <row r="55" spans="1:46" ht="39.6" customHeight="1" x14ac:dyDescent="0.3">
      <c r="A55" s="2260">
        <v>45653</v>
      </c>
      <c r="B55" s="1218">
        <v>1</v>
      </c>
      <c r="C55" s="1219"/>
      <c r="D55" s="1220"/>
      <c r="E55" s="1220">
        <v>25</v>
      </c>
      <c r="F55" s="1221"/>
      <c r="G55" s="1205"/>
      <c r="H55" s="1205"/>
      <c r="I55" s="1223" t="s">
        <v>152</v>
      </c>
      <c r="J55" s="1214"/>
      <c r="K55" s="1208"/>
      <c r="L55" s="1225"/>
      <c r="M55" s="289"/>
      <c r="N55" s="289"/>
      <c r="O55" s="1214"/>
      <c r="P55" s="1226"/>
      <c r="Q55" s="1206"/>
      <c r="R55" s="289"/>
      <c r="S55" s="1214"/>
      <c r="T55" s="1208"/>
      <c r="U55" s="1225"/>
      <c r="V55" s="289"/>
      <c r="W55" s="289">
        <v>26</v>
      </c>
      <c r="X55" s="1214"/>
      <c r="Y55" s="1226"/>
      <c r="Z55" s="1205"/>
      <c r="AA55" s="1228" t="s">
        <v>152</v>
      </c>
      <c r="AB55" s="1214"/>
      <c r="AC55" s="1208"/>
      <c r="AD55" s="1225"/>
      <c r="AE55" s="289"/>
      <c r="AF55" s="289"/>
      <c r="AG55" s="1214"/>
      <c r="AH55" s="1226"/>
      <c r="AI55" s="1206"/>
      <c r="AJ55" s="407"/>
      <c r="AK55" s="1214"/>
      <c r="AL55" s="301"/>
      <c r="AM55" s="1225"/>
      <c r="AN55" s="289"/>
      <c r="AO55" s="289"/>
      <c r="AP55" s="1214"/>
      <c r="AQ55" s="1226"/>
      <c r="AR55" s="407"/>
      <c r="AS55" s="1232"/>
      <c r="AT55" s="1214"/>
    </row>
    <row r="56" spans="1:46" ht="94.15" customHeight="1" x14ac:dyDescent="0.3">
      <c r="A56" s="2261"/>
      <c r="B56" s="1252">
        <v>2</v>
      </c>
      <c r="C56" s="1219"/>
      <c r="D56" s="1220"/>
      <c r="E56" s="1220">
        <v>27</v>
      </c>
      <c r="F56" s="1221"/>
      <c r="G56" s="1206"/>
      <c r="H56" s="1206"/>
      <c r="I56" s="1223" t="s">
        <v>152</v>
      </c>
      <c r="J56" s="1232"/>
      <c r="K56" s="1208"/>
      <c r="L56" s="1225"/>
      <c r="M56" s="289"/>
      <c r="N56" s="289"/>
      <c r="O56" s="1221"/>
      <c r="P56" s="1206"/>
      <c r="Q56" s="1205"/>
      <c r="R56" s="1206"/>
      <c r="S56" s="1232"/>
      <c r="T56" s="1208"/>
      <c r="U56" s="1225"/>
      <c r="V56" s="289"/>
      <c r="W56" s="289"/>
      <c r="X56" s="1221"/>
      <c r="Y56" s="1215"/>
      <c r="Z56" s="1205"/>
      <c r="AA56" s="407"/>
      <c r="AB56" s="1232"/>
      <c r="AC56" s="1208"/>
      <c r="AD56" s="1225"/>
      <c r="AE56" s="289"/>
      <c r="AF56" s="289"/>
      <c r="AG56" s="1221"/>
      <c r="AH56" s="1206"/>
      <c r="AI56" s="1205"/>
      <c r="AJ56" s="1206"/>
      <c r="AK56" s="1232"/>
      <c r="AL56" s="301"/>
      <c r="AM56" s="1225"/>
      <c r="AN56" s="289"/>
      <c r="AO56" s="289"/>
      <c r="AP56" s="1221"/>
      <c r="AQ56" s="1206"/>
      <c r="AR56" s="407"/>
      <c r="AS56" s="289"/>
      <c r="AT56" s="1232"/>
    </row>
    <row r="57" spans="1:46" ht="52.15" customHeight="1" x14ac:dyDescent="0.3">
      <c r="A57" s="2260">
        <v>45654</v>
      </c>
      <c r="B57" s="1218">
        <v>1</v>
      </c>
      <c r="C57" s="1219"/>
      <c r="D57" s="1220"/>
      <c r="E57" s="1220"/>
      <c r="F57" s="1221"/>
      <c r="G57" s="1206"/>
      <c r="H57" s="1206"/>
      <c r="I57" s="1234"/>
      <c r="J57" s="1232"/>
      <c r="K57" s="1208"/>
      <c r="L57" s="1225"/>
      <c r="M57" s="289"/>
      <c r="N57" s="289"/>
      <c r="O57" s="1221"/>
      <c r="P57" s="1206"/>
      <c r="Q57" s="1205"/>
      <c r="R57" s="1206"/>
      <c r="S57" s="1232"/>
      <c r="T57" s="1208"/>
      <c r="U57" s="1225"/>
      <c r="V57" s="289"/>
      <c r="W57" s="289"/>
      <c r="X57" s="1221"/>
      <c r="Y57" s="1206"/>
      <c r="Z57" s="1205"/>
      <c r="AA57" s="407"/>
      <c r="AB57" s="1232"/>
      <c r="AC57" s="1208"/>
      <c r="AD57" s="1225"/>
      <c r="AE57" s="289"/>
      <c r="AF57" s="289"/>
      <c r="AG57" s="1221"/>
      <c r="AH57" s="1206"/>
      <c r="AI57" s="1205"/>
      <c r="AJ57" s="1206"/>
      <c r="AK57" s="1232"/>
      <c r="AL57" s="301"/>
      <c r="AM57" s="1225"/>
      <c r="AN57" s="289"/>
      <c r="AO57" s="289"/>
      <c r="AP57" s="1221"/>
      <c r="AQ57" s="1206"/>
      <c r="AR57" s="1205"/>
      <c r="AS57" s="289"/>
      <c r="AT57" s="1232"/>
    </row>
    <row r="58" spans="1:46" ht="78" customHeight="1" x14ac:dyDescent="0.3">
      <c r="A58" s="2261"/>
      <c r="B58" s="1252">
        <v>2</v>
      </c>
      <c r="C58" s="1219"/>
      <c r="D58" s="1220">
        <v>134</v>
      </c>
      <c r="E58" s="1220">
        <v>17</v>
      </c>
      <c r="F58" s="1221"/>
      <c r="G58" s="1206"/>
      <c r="H58" s="1206" t="s">
        <v>1010</v>
      </c>
      <c r="I58" s="1223" t="s">
        <v>152</v>
      </c>
      <c r="J58" s="1232"/>
      <c r="K58" s="1208"/>
      <c r="L58" s="1225"/>
      <c r="M58" s="289">
        <v>142</v>
      </c>
      <c r="N58" s="289"/>
      <c r="O58" s="1221"/>
      <c r="P58" s="1206"/>
      <c r="Q58" s="1205" t="s">
        <v>1010</v>
      </c>
      <c r="R58" s="1206"/>
      <c r="S58" s="1232"/>
      <c r="T58" s="1208"/>
      <c r="U58" s="1225">
        <v>229</v>
      </c>
      <c r="V58" s="289">
        <v>164</v>
      </c>
      <c r="W58" s="289"/>
      <c r="X58" s="1221"/>
      <c r="Y58" s="1206" t="s">
        <v>1009</v>
      </c>
      <c r="Z58" s="1205" t="s">
        <v>1010</v>
      </c>
      <c r="AA58" s="407"/>
      <c r="AB58" s="1232"/>
      <c r="AC58" s="1208"/>
      <c r="AD58" s="1225"/>
      <c r="AE58" s="289">
        <v>141</v>
      </c>
      <c r="AF58" s="289"/>
      <c r="AG58" s="1221"/>
      <c r="AH58" s="1206"/>
      <c r="AI58" s="1205" t="s">
        <v>1010</v>
      </c>
      <c r="AJ58" s="289"/>
      <c r="AK58" s="1232"/>
      <c r="AL58" s="301"/>
      <c r="AM58" s="1225"/>
      <c r="AN58" s="289">
        <v>156</v>
      </c>
      <c r="AO58" s="289"/>
      <c r="AP58" s="1221"/>
      <c r="AQ58" s="1206"/>
      <c r="AR58" s="1205" t="s">
        <v>1010</v>
      </c>
      <c r="AS58" s="289"/>
      <c r="AT58" s="1232"/>
    </row>
    <row r="59" spans="1:46" ht="73.150000000000006" customHeight="1" x14ac:dyDescent="0.3">
      <c r="A59" s="2260">
        <v>45655</v>
      </c>
      <c r="B59" s="1218">
        <v>1</v>
      </c>
      <c r="C59" s="1219"/>
      <c r="D59" s="1220"/>
      <c r="E59" s="1220"/>
      <c r="F59" s="1221"/>
      <c r="G59" s="1206"/>
      <c r="H59" s="1205"/>
      <c r="I59" s="1223"/>
      <c r="J59" s="1232"/>
      <c r="K59" s="1208"/>
      <c r="L59" s="1225"/>
      <c r="M59" s="289"/>
      <c r="N59" s="289"/>
      <c r="O59" s="1214"/>
      <c r="P59" s="1226"/>
      <c r="Q59" s="407"/>
      <c r="R59" s="289"/>
      <c r="S59" s="1232"/>
      <c r="T59" s="1208"/>
      <c r="U59" s="1225">
        <v>288</v>
      </c>
      <c r="V59" s="289"/>
      <c r="W59" s="289"/>
      <c r="X59" s="1214"/>
      <c r="Y59" s="1206" t="s">
        <v>1009</v>
      </c>
      <c r="Z59" s="1205"/>
      <c r="AA59" s="1228"/>
      <c r="AB59" s="1232"/>
      <c r="AC59" s="1208"/>
      <c r="AD59" s="1225"/>
      <c r="AE59" s="289"/>
      <c r="AF59" s="289"/>
      <c r="AG59" s="1214"/>
      <c r="AH59" s="1215"/>
      <c r="AI59" s="289"/>
      <c r="AJ59" s="1206"/>
      <c r="AK59" s="1232"/>
      <c r="AL59" s="301"/>
      <c r="AM59" s="1225"/>
      <c r="AN59" s="289"/>
      <c r="AO59" s="289">
        <v>15</v>
      </c>
      <c r="AP59" s="1214"/>
      <c r="AQ59" s="1215"/>
      <c r="AR59" s="289"/>
      <c r="AS59" s="1206" t="s">
        <v>388</v>
      </c>
      <c r="AT59" s="1232"/>
    </row>
    <row r="60" spans="1:46" ht="36" customHeight="1" x14ac:dyDescent="0.3">
      <c r="A60" s="2261"/>
      <c r="B60" s="1252">
        <v>2</v>
      </c>
      <c r="C60" s="1219"/>
      <c r="D60" s="1220"/>
      <c r="E60" s="1220"/>
      <c r="F60" s="1221"/>
      <c r="G60" s="1205"/>
      <c r="H60" s="1206"/>
      <c r="I60" s="1223"/>
      <c r="J60" s="1232"/>
      <c r="K60" s="1208"/>
      <c r="L60" s="1225"/>
      <c r="M60" s="289"/>
      <c r="N60" s="289"/>
      <c r="O60" s="1214"/>
      <c r="P60" s="1226"/>
      <c r="Q60" s="1206"/>
      <c r="R60" s="289"/>
      <c r="S60" s="1232"/>
      <c r="T60" s="1208"/>
      <c r="U60" s="1225"/>
      <c r="V60" s="289"/>
      <c r="W60" s="289"/>
      <c r="X60" s="1214"/>
      <c r="Y60" s="1215"/>
      <c r="Z60" s="1206"/>
      <c r="AA60" s="407"/>
      <c r="AB60" s="1232"/>
      <c r="AC60" s="1208"/>
      <c r="AD60" s="1225"/>
      <c r="AE60" s="289"/>
      <c r="AF60" s="289"/>
      <c r="AG60" s="1214"/>
      <c r="AH60" s="1226"/>
      <c r="AI60" s="1206"/>
      <c r="AJ60" s="407"/>
      <c r="AK60" s="1232"/>
      <c r="AL60" s="301"/>
      <c r="AM60" s="1225"/>
      <c r="AN60" s="289"/>
      <c r="AO60" s="289"/>
      <c r="AP60" s="1214"/>
      <c r="AQ60" s="1226"/>
      <c r="AR60" s="1206"/>
      <c r="AS60" s="407"/>
      <c r="AT60" s="1232"/>
    </row>
    <row r="61" spans="1:46" ht="32.450000000000003" customHeight="1" x14ac:dyDescent="0.3">
      <c r="A61" s="2260">
        <v>45656</v>
      </c>
      <c r="B61" s="1218">
        <v>1</v>
      </c>
      <c r="C61" s="1253"/>
      <c r="D61" s="1254"/>
      <c r="E61" s="1220">
        <v>20</v>
      </c>
      <c r="F61" s="1255"/>
      <c r="G61" s="1205"/>
      <c r="H61" s="1250"/>
      <c r="I61" s="1223" t="s">
        <v>152</v>
      </c>
      <c r="J61" s="1224"/>
      <c r="K61" s="1208"/>
      <c r="L61" s="1225"/>
      <c r="M61" s="289"/>
      <c r="N61" s="289"/>
      <c r="O61" s="1214"/>
      <c r="P61" s="1256"/>
      <c r="Q61" s="1257"/>
      <c r="R61" s="1257"/>
      <c r="S61" s="1258"/>
      <c r="T61" s="1208"/>
      <c r="U61" s="1225"/>
      <c r="V61" s="289"/>
      <c r="W61" s="289"/>
      <c r="X61" s="1214"/>
      <c r="Y61" s="1215"/>
      <c r="Z61" s="407"/>
      <c r="AA61" s="407"/>
      <c r="AB61" s="1258"/>
      <c r="AC61" s="1208"/>
      <c r="AD61" s="1225"/>
      <c r="AE61" s="289"/>
      <c r="AF61" s="289"/>
      <c r="AG61" s="1214"/>
      <c r="AH61" s="1226"/>
      <c r="AI61" s="407"/>
      <c r="AJ61" s="407"/>
      <c r="AK61" s="1258"/>
      <c r="AL61" s="301"/>
      <c r="AM61" s="1225"/>
      <c r="AN61" s="289"/>
      <c r="AO61" s="289"/>
      <c r="AP61" s="1214"/>
      <c r="AQ61" s="1215"/>
      <c r="AR61" s="289"/>
      <c r="AS61" s="407"/>
      <c r="AT61" s="1258"/>
    </row>
    <row r="62" spans="1:46" ht="62.45" customHeight="1" x14ac:dyDescent="0.3">
      <c r="A62" s="2261"/>
      <c r="B62" s="1252">
        <v>2</v>
      </c>
      <c r="C62" s="1253"/>
      <c r="D62" s="1254"/>
      <c r="E62" s="1254">
        <v>20</v>
      </c>
      <c r="F62" s="1255"/>
      <c r="G62" s="1259"/>
      <c r="H62" s="1250"/>
      <c r="I62" s="1223" t="s">
        <v>152</v>
      </c>
      <c r="J62" s="1224"/>
      <c r="K62" s="1208"/>
      <c r="L62" s="1225"/>
      <c r="M62" s="289"/>
      <c r="N62" s="289"/>
      <c r="O62" s="1214"/>
      <c r="P62" s="1256"/>
      <c r="Q62" s="1260"/>
      <c r="R62" s="1257"/>
      <c r="S62" s="1258"/>
      <c r="T62" s="1208"/>
      <c r="U62" s="1225"/>
      <c r="V62" s="289"/>
      <c r="W62" s="289"/>
      <c r="X62" s="1214"/>
      <c r="Y62" s="1215"/>
      <c r="Z62" s="407"/>
      <c r="AA62" s="1228"/>
      <c r="AB62" s="1258"/>
      <c r="AC62" s="1208"/>
      <c r="AD62" s="1225"/>
      <c r="AE62" s="289"/>
      <c r="AF62" s="289"/>
      <c r="AG62" s="1214"/>
      <c r="AH62" s="2262"/>
      <c r="AI62" s="2263"/>
      <c r="AJ62" s="2264"/>
      <c r="AK62" s="1258"/>
      <c r="AL62" s="301"/>
      <c r="AM62" s="1225"/>
      <c r="AN62" s="289"/>
      <c r="AO62" s="289"/>
      <c r="AP62" s="1214"/>
      <c r="AQ62" s="1226"/>
      <c r="AR62" s="289"/>
      <c r="AS62" s="407"/>
      <c r="AT62" s="1258"/>
    </row>
    <row r="63" spans="1:46" ht="62.45" customHeight="1" x14ac:dyDescent="0.3">
      <c r="A63" s="1293"/>
      <c r="B63" s="1252">
        <v>1</v>
      </c>
      <c r="C63" s="1253"/>
      <c r="D63" s="1254"/>
      <c r="E63" s="1254"/>
      <c r="F63" s="1255"/>
      <c r="G63" s="1259"/>
      <c r="H63" s="1250"/>
      <c r="I63" s="1223"/>
      <c r="J63" s="1224"/>
      <c r="K63" s="1208"/>
      <c r="L63" s="1225"/>
      <c r="M63" s="289"/>
      <c r="N63" s="289"/>
      <c r="O63" s="1214"/>
      <c r="P63" s="1256"/>
      <c r="Q63" s="1260"/>
      <c r="R63" s="1257"/>
      <c r="S63" s="1258"/>
      <c r="T63" s="1208"/>
      <c r="U63" s="1225"/>
      <c r="V63" s="289"/>
      <c r="W63" s="289"/>
      <c r="X63" s="1214"/>
      <c r="Y63" s="1288"/>
      <c r="Z63" s="407"/>
      <c r="AA63" s="1228"/>
      <c r="AB63" s="1258"/>
      <c r="AC63" s="1208"/>
      <c r="AD63" s="1225"/>
      <c r="AE63" s="289"/>
      <c r="AF63" s="289"/>
      <c r="AG63" s="1214"/>
      <c r="AH63" s="1286"/>
      <c r="AI63" s="1287"/>
      <c r="AJ63" s="1288"/>
      <c r="AK63" s="1258"/>
      <c r="AL63" s="301"/>
      <c r="AM63" s="1225"/>
      <c r="AN63" s="289"/>
      <c r="AO63" s="289"/>
      <c r="AP63" s="1214"/>
      <c r="AQ63" s="1226"/>
      <c r="AR63" s="289"/>
      <c r="AS63" s="407"/>
      <c r="AT63" s="1258"/>
    </row>
    <row r="64" spans="1:46" ht="64.150000000000006" hidden="1" customHeight="1" x14ac:dyDescent="0.3">
      <c r="A64" s="2260">
        <v>45657</v>
      </c>
      <c r="B64" s="1218">
        <v>1</v>
      </c>
      <c r="C64" s="1261"/>
      <c r="D64" s="1262"/>
      <c r="E64" s="1262"/>
      <c r="F64" s="1263"/>
      <c r="G64" s="1264"/>
      <c r="H64" s="1265"/>
      <c r="I64" s="1223"/>
      <c r="J64" s="1224"/>
      <c r="K64" s="1208"/>
      <c r="L64" s="1225"/>
      <c r="M64" s="289"/>
      <c r="N64" s="289"/>
      <c r="O64" s="1221"/>
      <c r="P64" s="1264"/>
      <c r="Q64" s="1265"/>
      <c r="R64" s="1265"/>
      <c r="S64" s="1266"/>
      <c r="T64" s="1208"/>
      <c r="U64" s="1225"/>
      <c r="V64" s="289"/>
      <c r="W64" s="289"/>
      <c r="X64" s="1221"/>
      <c r="Y64" s="1204"/>
      <c r="Z64" s="1205"/>
      <c r="AA64" s="1228"/>
      <c r="AB64" s="1267"/>
      <c r="AC64" s="1208"/>
      <c r="AD64" s="1225"/>
      <c r="AE64" s="289"/>
      <c r="AF64" s="289"/>
      <c r="AG64" s="1221"/>
      <c r="AH64" s="1204"/>
      <c r="AI64" s="1205"/>
      <c r="AJ64" s="289"/>
      <c r="AK64" s="1268"/>
      <c r="AL64" s="301"/>
      <c r="AM64" s="1225"/>
      <c r="AN64" s="289"/>
      <c r="AO64" s="289"/>
      <c r="AP64" s="1221"/>
      <c r="AQ64" s="1204"/>
      <c r="AR64" s="1205"/>
      <c r="AS64" s="1205"/>
      <c r="AT64" s="1268"/>
    </row>
    <row r="65" spans="1:46" ht="62.45" customHeight="1" x14ac:dyDescent="0.3">
      <c r="A65" s="2261"/>
      <c r="B65" s="384">
        <v>2</v>
      </c>
      <c r="C65" s="1269"/>
      <c r="D65" s="1270"/>
      <c r="E65" s="1270">
        <v>29</v>
      </c>
      <c r="F65" s="1271"/>
      <c r="G65" s="1272"/>
      <c r="H65" s="1273"/>
      <c r="I65" s="1274" t="s">
        <v>152</v>
      </c>
      <c r="J65" s="1275"/>
      <c r="K65" s="1208"/>
      <c r="L65" s="1276"/>
      <c r="M65" s="1277"/>
      <c r="N65" s="1277"/>
      <c r="O65" s="1278"/>
      <c r="P65" s="1279"/>
      <c r="Q65" s="1280"/>
      <c r="R65" s="1280"/>
      <c r="S65" s="1281"/>
      <c r="T65" s="1208"/>
      <c r="U65" s="1276"/>
      <c r="V65" s="1277"/>
      <c r="W65" s="1277">
        <v>10</v>
      </c>
      <c r="X65" s="1278"/>
      <c r="Y65" s="1282"/>
      <c r="Z65" s="1277" t="s">
        <v>152</v>
      </c>
      <c r="AA65" s="1228"/>
      <c r="AB65" s="1283"/>
      <c r="AC65" s="1208"/>
      <c r="AD65" s="1276"/>
      <c r="AE65" s="1277"/>
      <c r="AF65" s="1277"/>
      <c r="AG65" s="1278"/>
      <c r="AH65" s="1282"/>
      <c r="AI65" s="1277"/>
      <c r="AJ65" s="1277"/>
      <c r="AK65" s="1284"/>
      <c r="AL65" s="301"/>
      <c r="AM65" s="1276"/>
      <c r="AN65" s="1277"/>
      <c r="AO65" s="1277">
        <v>10</v>
      </c>
      <c r="AP65" s="1278"/>
      <c r="AQ65" s="1282"/>
      <c r="AR65" s="1277"/>
      <c r="AS65" s="1277" t="s">
        <v>152</v>
      </c>
      <c r="AT65" s="1284"/>
    </row>
    <row r="66" spans="1:46" ht="18.75" x14ac:dyDescent="0.3">
      <c r="A66" s="301" t="s">
        <v>225</v>
      </c>
      <c r="B66" s="419"/>
      <c r="C66" s="1285">
        <f>SUM(C3:C65)</f>
        <v>0</v>
      </c>
      <c r="D66" s="419">
        <f>SUM(D3:D65)</f>
        <v>289</v>
      </c>
      <c r="E66" s="1285">
        <f>SUM(E3:E65)</f>
        <v>1344</v>
      </c>
      <c r="F66" s="419">
        <f>SUM(F3:F65)</f>
        <v>935</v>
      </c>
      <c r="G66" s="301"/>
      <c r="H66" s="301"/>
      <c r="I66" s="301"/>
      <c r="J66" s="301"/>
      <c r="K66" s="301"/>
      <c r="L66" s="419">
        <f>SUM(L3:L65)</f>
        <v>0</v>
      </c>
      <c r="M66" s="419">
        <f>SUM(M3:M65)</f>
        <v>233</v>
      </c>
      <c r="N66" s="419">
        <f>SUM(N3:N65)</f>
        <v>23</v>
      </c>
      <c r="O66" s="419">
        <f>SUM(O3:O65)</f>
        <v>857</v>
      </c>
      <c r="P66" s="301"/>
      <c r="Q66" s="301"/>
      <c r="R66" s="301"/>
      <c r="S66" s="301"/>
      <c r="T66" s="301"/>
      <c r="U66" s="419">
        <f>SUM(U3:U65)</f>
        <v>557</v>
      </c>
      <c r="V66" s="419">
        <f>SUM(V3:V65)</f>
        <v>384</v>
      </c>
      <c r="W66" s="419">
        <f>SUM(W3:W65)</f>
        <v>1159</v>
      </c>
      <c r="X66" s="419">
        <f>SUM(X3:X65)</f>
        <v>901</v>
      </c>
      <c r="Y66" s="301"/>
      <c r="Z66" s="301"/>
      <c r="AA66" s="301"/>
      <c r="AB66" s="301"/>
      <c r="AC66" s="301"/>
      <c r="AD66" s="419">
        <f>SUM(AD3:AD65)</f>
        <v>0</v>
      </c>
      <c r="AE66" s="419">
        <f>SUM(AE3:AE65)</f>
        <v>190</v>
      </c>
      <c r="AF66" s="419">
        <f>SUM(AF3:AF65)</f>
        <v>205</v>
      </c>
      <c r="AG66" s="419">
        <f>SUM(AG3:AG65)</f>
        <v>922</v>
      </c>
      <c r="AH66" s="301"/>
      <c r="AI66" s="301"/>
      <c r="AJ66" s="301"/>
      <c r="AK66" s="301"/>
      <c r="AL66" s="301"/>
      <c r="AM66" s="419">
        <f>SUM(AM3:AM65)</f>
        <v>593</v>
      </c>
      <c r="AN66" s="419">
        <f>SUM(AN3:AN65)</f>
        <v>1004</v>
      </c>
      <c r="AO66" s="419">
        <f>SUM(AO3:AO65)</f>
        <v>382</v>
      </c>
      <c r="AP66" s="419">
        <f>SUM(AP3:AP65)</f>
        <v>950</v>
      </c>
      <c r="AQ66" s="301"/>
      <c r="AR66" s="301"/>
      <c r="AS66" s="301"/>
      <c r="AT66" s="301"/>
    </row>
    <row r="74" spans="1:46" ht="15.75" thickBot="1" x14ac:dyDescent="0.3"/>
    <row r="75" spans="1:46" ht="19.5" thickBot="1" x14ac:dyDescent="0.35">
      <c r="B75" s="419"/>
      <c r="C75" s="2222" t="s">
        <v>199</v>
      </c>
      <c r="D75" s="2223"/>
      <c r="E75" s="2224" t="s">
        <v>200</v>
      </c>
      <c r="F75" s="2225"/>
      <c r="G75" s="2222" t="s">
        <v>201</v>
      </c>
      <c r="H75" s="2223"/>
      <c r="I75" s="2222" t="s">
        <v>204</v>
      </c>
      <c r="J75" s="2223"/>
    </row>
    <row r="76" spans="1:46" ht="19.5" thickBot="1" x14ac:dyDescent="0.35">
      <c r="B76" s="419"/>
      <c r="C76" s="662" t="s">
        <v>222</v>
      </c>
      <c r="D76" s="663" t="s">
        <v>223</v>
      </c>
      <c r="E76" s="664" t="s">
        <v>222</v>
      </c>
      <c r="F76" s="665" t="s">
        <v>223</v>
      </c>
      <c r="G76" s="662" t="s">
        <v>222</v>
      </c>
      <c r="H76" s="663" t="s">
        <v>223</v>
      </c>
      <c r="I76" s="662" t="s">
        <v>222</v>
      </c>
      <c r="J76" s="663" t="s">
        <v>223</v>
      </c>
    </row>
    <row r="77" spans="1:46" ht="18.75" x14ac:dyDescent="0.3">
      <c r="B77" s="651" t="s">
        <v>218</v>
      </c>
      <c r="C77" s="652">
        <f>C66</f>
        <v>0</v>
      </c>
      <c r="D77" s="653">
        <f>C77/60</f>
        <v>0</v>
      </c>
      <c r="E77" s="652">
        <f>D66</f>
        <v>289</v>
      </c>
      <c r="F77" s="654">
        <f>E77/60</f>
        <v>4.8166666666666664</v>
      </c>
      <c r="G77" s="652">
        <f>E66</f>
        <v>1344</v>
      </c>
      <c r="H77" s="653">
        <f>G77/60</f>
        <v>22.4</v>
      </c>
      <c r="I77" s="652">
        <f>F66</f>
        <v>935</v>
      </c>
      <c r="J77" s="653">
        <f>I77/60</f>
        <v>15.583333333333334</v>
      </c>
    </row>
    <row r="78" spans="1:46" ht="18.75" x14ac:dyDescent="0.3">
      <c r="B78" s="651" t="s">
        <v>219</v>
      </c>
      <c r="C78" s="655">
        <f>L66</f>
        <v>0</v>
      </c>
      <c r="D78" s="656">
        <f>C78/60</f>
        <v>0</v>
      </c>
      <c r="E78" s="655">
        <f>M66</f>
        <v>233</v>
      </c>
      <c r="F78" s="657">
        <f>E78/60</f>
        <v>3.8833333333333333</v>
      </c>
      <c r="G78" s="655">
        <f>N66</f>
        <v>23</v>
      </c>
      <c r="H78" s="656">
        <f>G78/60</f>
        <v>0.38333333333333336</v>
      </c>
      <c r="I78" s="655">
        <f>O66</f>
        <v>857</v>
      </c>
      <c r="J78" s="656">
        <f>I78/60</f>
        <v>14.283333333333333</v>
      </c>
    </row>
    <row r="79" spans="1:46" ht="18.75" x14ac:dyDescent="0.3">
      <c r="B79" s="651" t="s">
        <v>220</v>
      </c>
      <c r="C79" s="655">
        <f>U66</f>
        <v>557</v>
      </c>
      <c r="D79" s="656">
        <f>C79/60</f>
        <v>9.2833333333333332</v>
      </c>
      <c r="E79" s="655">
        <f>V66</f>
        <v>384</v>
      </c>
      <c r="F79" s="657">
        <f>E79/60</f>
        <v>6.4</v>
      </c>
      <c r="G79" s="655">
        <f>W66</f>
        <v>1159</v>
      </c>
      <c r="H79" s="656">
        <f>G79/60</f>
        <v>19.316666666666666</v>
      </c>
      <c r="I79" s="655">
        <f>X66</f>
        <v>901</v>
      </c>
      <c r="J79" s="656">
        <f>I79/60</f>
        <v>15.016666666666667</v>
      </c>
    </row>
    <row r="80" spans="1:46" ht="19.5" thickBot="1" x14ac:dyDescent="0.35">
      <c r="B80" s="651" t="s">
        <v>221</v>
      </c>
      <c r="C80" s="658">
        <f>AD66</f>
        <v>0</v>
      </c>
      <c r="D80" s="659">
        <f>C80/60</f>
        <v>0</v>
      </c>
      <c r="E80" s="658">
        <f>AE66</f>
        <v>190</v>
      </c>
      <c r="F80" s="660">
        <f>E80/60</f>
        <v>3.1666666666666665</v>
      </c>
      <c r="G80" s="658">
        <f>AF66</f>
        <v>205</v>
      </c>
      <c r="H80" s="659">
        <f>G80/60</f>
        <v>3.4166666666666665</v>
      </c>
      <c r="I80" s="658">
        <f>AG66</f>
        <v>922</v>
      </c>
      <c r="J80" s="659">
        <f>I80/60</f>
        <v>15.366666666666667</v>
      </c>
    </row>
    <row r="81" spans="2:10" ht="19.5" thickBot="1" x14ac:dyDescent="0.35">
      <c r="B81" s="651" t="s">
        <v>488</v>
      </c>
      <c r="C81" s="850">
        <f>AM66</f>
        <v>593</v>
      </c>
      <c r="D81" s="849">
        <f>C81/60</f>
        <v>9.8833333333333329</v>
      </c>
      <c r="E81" s="850">
        <f>AN66</f>
        <v>1004</v>
      </c>
      <c r="F81" s="851">
        <f>E81/60</f>
        <v>16.733333333333334</v>
      </c>
      <c r="G81" s="850">
        <f>AO66</f>
        <v>382</v>
      </c>
      <c r="H81" s="849">
        <f>G81/60</f>
        <v>6.3666666666666663</v>
      </c>
      <c r="I81" s="850">
        <f>AP66</f>
        <v>950</v>
      </c>
      <c r="J81" s="849">
        <f>I81/60</f>
        <v>15.833333333333334</v>
      </c>
    </row>
    <row r="82" spans="2:10" ht="19.5" thickBot="1" x14ac:dyDescent="0.35">
      <c r="B82" s="419"/>
      <c r="C82" s="301"/>
      <c r="D82" s="301"/>
      <c r="E82" s="301"/>
      <c r="F82" s="301"/>
      <c r="G82" s="301"/>
      <c r="H82" s="301"/>
      <c r="I82" s="301"/>
      <c r="J82" s="301"/>
    </row>
    <row r="83" spans="2:10" ht="19.5" thickBot="1" x14ac:dyDescent="0.35">
      <c r="B83" s="661" t="s">
        <v>217</v>
      </c>
      <c r="C83" s="666"/>
      <c r="D83" s="667">
        <f>SUM(D77:D81)</f>
        <v>19.166666666666664</v>
      </c>
      <c r="E83" s="666"/>
      <c r="F83" s="667">
        <f>SUM(F77:F81)</f>
        <v>35</v>
      </c>
      <c r="G83" s="666"/>
      <c r="H83" s="667">
        <f>SUM(H77:H81)</f>
        <v>51.883333333333326</v>
      </c>
      <c r="I83" s="666"/>
      <c r="J83" s="668">
        <f>AVERAGE(J77:J81)</f>
        <v>15.216666666666665</v>
      </c>
    </row>
  </sheetData>
  <mergeCells count="48">
    <mergeCell ref="AH62:AJ62"/>
    <mergeCell ref="A64:A65"/>
    <mergeCell ref="C75:D75"/>
    <mergeCell ref="E75:F75"/>
    <mergeCell ref="G75:H75"/>
    <mergeCell ref="I75:J75"/>
    <mergeCell ref="A61:A62"/>
    <mergeCell ref="A51:A52"/>
    <mergeCell ref="A53:A54"/>
    <mergeCell ref="A55:A56"/>
    <mergeCell ref="A57:A58"/>
    <mergeCell ref="A59:A60"/>
    <mergeCell ref="AQ18:AS18"/>
    <mergeCell ref="A19:A20"/>
    <mergeCell ref="A21:A22"/>
    <mergeCell ref="A23:A24"/>
    <mergeCell ref="A49:A50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25:A26"/>
    <mergeCell ref="A7:A8"/>
    <mergeCell ref="A9:A10"/>
    <mergeCell ref="A11:A12"/>
    <mergeCell ref="A13:A14"/>
    <mergeCell ref="A17:A18"/>
    <mergeCell ref="AH14:AJ14"/>
    <mergeCell ref="A15:A16"/>
    <mergeCell ref="AD1:AG1"/>
    <mergeCell ref="AH1:AK1"/>
    <mergeCell ref="AM1:AP1"/>
    <mergeCell ref="AQ1:AT1"/>
    <mergeCell ref="A3:A4"/>
    <mergeCell ref="A5:A6"/>
    <mergeCell ref="C1:F1"/>
    <mergeCell ref="G1:J1"/>
    <mergeCell ref="L1:O1"/>
    <mergeCell ref="P1:S1"/>
    <mergeCell ref="U1:X1"/>
    <mergeCell ref="Y1:AB1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3"/>
  <sheetViews>
    <sheetView zoomScale="70" zoomScaleNormal="70" workbookViewId="0">
      <pane xSplit="3" ySplit="2" topLeftCell="AC42" activePane="bottomRight" state="frozen"/>
      <selection pane="topRight" activeCell="D1" sqref="D1"/>
      <selection pane="bottomLeft" activeCell="A3" sqref="A3"/>
      <selection pane="bottomRight" activeCell="AK45" sqref="AK45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2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9.425781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6" style="524" bestFit="1" customWidth="1"/>
    <col min="17" max="17" width="42.140625" style="524" bestFit="1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6.140625" style="524" bestFit="1" customWidth="1"/>
    <col min="28" max="28" width="27" style="524" customWidth="1"/>
    <col min="29" max="33" width="10.7109375" style="524" customWidth="1"/>
    <col min="34" max="34" width="31.28515625" style="524" customWidth="1"/>
    <col min="35" max="35" width="23.285156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2" width="10.7109375" style="524" customWidth="1"/>
    <col min="43" max="43" width="21.140625" style="524" customWidth="1"/>
    <col min="44" max="44" width="26.5703125" style="524" customWidth="1"/>
    <col min="45" max="45" width="31.140625" style="524" customWidth="1"/>
    <col min="46" max="46" width="26.5703125" style="524" customWidth="1"/>
    <col min="47" max="16384" width="8.85546875" style="524"/>
  </cols>
  <sheetData>
    <row r="1" spans="1:46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2" t="s">
        <v>206</v>
      </c>
      <c r="AR1" s="2252"/>
      <c r="AS1" s="2252"/>
      <c r="AT1" s="2253"/>
    </row>
    <row r="2" spans="1:46" ht="42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6" t="s">
        <v>199</v>
      </c>
      <c r="AI2" s="984" t="s">
        <v>200</v>
      </c>
      <c r="AJ2" s="984" t="s">
        <v>201</v>
      </c>
      <c r="AK2" s="984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6" t="s">
        <v>199</v>
      </c>
      <c r="AR2" s="984" t="s">
        <v>200</v>
      </c>
      <c r="AS2" s="984" t="s">
        <v>201</v>
      </c>
      <c r="AT2" s="984" t="s">
        <v>204</v>
      </c>
    </row>
    <row r="3" spans="1:46" ht="78" customHeight="1" x14ac:dyDescent="0.3">
      <c r="A3" s="2260">
        <v>45658</v>
      </c>
      <c r="B3" s="1200">
        <v>1</v>
      </c>
      <c r="C3" s="1201"/>
      <c r="D3" s="1202"/>
      <c r="E3" s="289">
        <v>25</v>
      </c>
      <c r="F3" s="1203"/>
      <c r="G3" s="1204"/>
      <c r="H3" s="1205"/>
      <c r="I3" s="1223" t="s">
        <v>152</v>
      </c>
      <c r="J3" s="1207"/>
      <c r="K3" s="1208"/>
      <c r="L3" s="1209"/>
      <c r="M3" s="1210"/>
      <c r="N3" s="1210"/>
      <c r="O3" s="1211"/>
      <c r="P3" s="1212"/>
      <c r="Q3" s="1213"/>
      <c r="R3" s="1213"/>
      <c r="S3" s="1211"/>
      <c r="T3" s="1208"/>
      <c r="U3" s="1209"/>
      <c r="V3" s="1210"/>
      <c r="W3" s="289">
        <v>9</v>
      </c>
      <c r="X3" s="1214"/>
      <c r="Y3" s="1290"/>
      <c r="Z3" s="1212"/>
      <c r="AA3" s="1206" t="s">
        <v>388</v>
      </c>
      <c r="AB3" s="1216"/>
      <c r="AC3" s="1208"/>
      <c r="AD3" s="1209"/>
      <c r="AE3" s="1210"/>
      <c r="AF3" s="289"/>
      <c r="AG3" s="1211"/>
      <c r="AH3" s="1212"/>
      <c r="AI3" s="1212"/>
      <c r="AJ3" s="407"/>
      <c r="AK3" s="1211"/>
      <c r="AL3" s="301"/>
      <c r="AM3" s="1209"/>
      <c r="AN3" s="1210"/>
      <c r="AO3" s="289"/>
      <c r="AP3" s="1211"/>
      <c r="AQ3" s="1212"/>
      <c r="AR3" s="1217"/>
      <c r="AS3" s="407"/>
      <c r="AT3" s="1211"/>
    </row>
    <row r="4" spans="1:46" ht="69.75" customHeight="1" x14ac:dyDescent="0.3">
      <c r="A4" s="2261"/>
      <c r="B4" s="1218">
        <v>2</v>
      </c>
      <c r="C4" s="1219"/>
      <c r="D4" s="1220">
        <v>307</v>
      </c>
      <c r="E4" s="1220">
        <v>39</v>
      </c>
      <c r="F4" s="1221"/>
      <c r="G4" s="1222"/>
      <c r="H4" s="1205" t="s">
        <v>1011</v>
      </c>
      <c r="I4" s="1223" t="s">
        <v>152</v>
      </c>
      <c r="J4" s="1224"/>
      <c r="K4" s="1208"/>
      <c r="L4" s="1225"/>
      <c r="M4" s="289"/>
      <c r="N4" s="289"/>
      <c r="O4" s="1214"/>
      <c r="P4" s="1226"/>
      <c r="Q4" s="1205"/>
      <c r="R4" s="263"/>
      <c r="S4" s="1214"/>
      <c r="T4" s="1208"/>
      <c r="U4" s="1225"/>
      <c r="V4" s="407"/>
      <c r="W4" s="289"/>
      <c r="X4" s="1214"/>
      <c r="Y4" s="1222"/>
      <c r="Z4" s="1206"/>
      <c r="AA4" s="1206"/>
      <c r="AB4" s="1227"/>
      <c r="AC4" s="1208"/>
      <c r="AD4" s="1225"/>
      <c r="AE4" s="289"/>
      <c r="AF4" s="289"/>
      <c r="AG4" s="1214"/>
      <c r="AH4" s="1226"/>
      <c r="AI4" s="1206"/>
      <c r="AJ4" s="289"/>
      <c r="AK4" s="1214"/>
      <c r="AL4" s="301"/>
      <c r="AM4" s="1225"/>
      <c r="AN4" s="289"/>
      <c r="AO4" s="289">
        <v>40</v>
      </c>
      <c r="AP4" s="1214"/>
      <c r="AQ4" s="1226"/>
      <c r="AR4" s="1206"/>
      <c r="AS4" s="289" t="s">
        <v>1012</v>
      </c>
      <c r="AT4" s="1214"/>
    </row>
    <row r="5" spans="1:46" ht="60" customHeight="1" x14ac:dyDescent="0.3">
      <c r="A5" s="2260">
        <v>45659</v>
      </c>
      <c r="B5" s="1218">
        <v>1</v>
      </c>
      <c r="C5" s="1219"/>
      <c r="D5" s="1220"/>
      <c r="E5" s="1220">
        <v>46</v>
      </c>
      <c r="F5" s="1221"/>
      <c r="G5" s="1329"/>
      <c r="H5" s="1297"/>
      <c r="I5" s="1223" t="s">
        <v>152</v>
      </c>
      <c r="J5" s="1224"/>
      <c r="K5" s="1208"/>
      <c r="L5" s="1225"/>
      <c r="M5" s="289"/>
      <c r="N5" s="289"/>
      <c r="O5" s="1214"/>
      <c r="P5" s="1226"/>
      <c r="Q5" s="289"/>
      <c r="R5" s="289"/>
      <c r="S5" s="1214"/>
      <c r="T5" s="1208"/>
      <c r="U5" s="1225"/>
      <c r="V5" s="289"/>
      <c r="W5" s="289"/>
      <c r="X5" s="1214"/>
      <c r="Y5" s="1290"/>
      <c r="Z5" s="1205"/>
      <c r="AA5" s="1228"/>
      <c r="AB5" s="1229"/>
      <c r="AC5" s="1208"/>
      <c r="AD5" s="1225"/>
      <c r="AE5" s="289"/>
      <c r="AF5" s="289"/>
      <c r="AG5" s="1214"/>
      <c r="AH5" s="1226"/>
      <c r="AI5" s="289"/>
      <c r="AJ5" s="1230"/>
      <c r="AK5" s="1214"/>
      <c r="AL5" s="301"/>
      <c r="AM5" s="1225"/>
      <c r="AN5" s="289"/>
      <c r="AO5" s="289">
        <v>28</v>
      </c>
      <c r="AP5" s="1214"/>
      <c r="AQ5" s="1226"/>
      <c r="AR5" s="1257"/>
      <c r="AS5" s="407" t="s">
        <v>388</v>
      </c>
      <c r="AT5" s="1231"/>
    </row>
    <row r="6" spans="1:46" ht="80.45" customHeight="1" x14ac:dyDescent="0.3">
      <c r="A6" s="2261"/>
      <c r="B6" s="1218">
        <v>2</v>
      </c>
      <c r="C6" s="1219"/>
      <c r="D6" s="1220"/>
      <c r="E6" s="1220">
        <v>132</v>
      </c>
      <c r="F6" s="1221"/>
      <c r="G6" s="1204"/>
      <c r="H6" s="1206"/>
      <c r="I6" s="1223" t="s">
        <v>152</v>
      </c>
      <c r="J6" s="1232"/>
      <c r="K6" s="1208"/>
      <c r="L6" s="1225"/>
      <c r="M6" s="289"/>
      <c r="N6" s="289"/>
      <c r="O6" s="1214"/>
      <c r="P6" s="1226"/>
      <c r="Q6" s="1205"/>
      <c r="R6" s="289"/>
      <c r="S6" s="1232"/>
      <c r="T6" s="1208"/>
      <c r="U6" s="1225"/>
      <c r="V6" s="289">
        <v>65</v>
      </c>
      <c r="W6" s="289"/>
      <c r="X6" s="1214"/>
      <c r="Y6" s="1290"/>
      <c r="Z6" s="1205" t="s">
        <v>1013</v>
      </c>
      <c r="AA6" s="1206"/>
      <c r="AB6" s="1232"/>
      <c r="AC6" s="1208"/>
      <c r="AD6" s="1225"/>
      <c r="AE6" s="289"/>
      <c r="AF6" s="289"/>
      <c r="AG6" s="1214"/>
      <c r="AH6" s="1226"/>
      <c r="AI6" s="289"/>
      <c r="AJ6" s="289"/>
      <c r="AK6" s="1232"/>
      <c r="AL6" s="301"/>
      <c r="AM6" s="1225"/>
      <c r="AN6" s="289"/>
      <c r="AO6" s="289"/>
      <c r="AP6" s="1214"/>
      <c r="AQ6" s="1295"/>
      <c r="AR6" s="1348"/>
      <c r="AS6" s="1296"/>
      <c r="AT6" s="1232"/>
    </row>
    <row r="7" spans="1:46" ht="71.45" customHeight="1" x14ac:dyDescent="0.3">
      <c r="A7" s="2260">
        <v>45660</v>
      </c>
      <c r="B7" s="1218">
        <v>1</v>
      </c>
      <c r="C7" s="1219"/>
      <c r="D7" s="1220">
        <v>57</v>
      </c>
      <c r="E7" s="1220">
        <v>13</v>
      </c>
      <c r="F7" s="1221"/>
      <c r="G7" s="1204"/>
      <c r="H7" s="1206" t="s">
        <v>1010</v>
      </c>
      <c r="I7" s="1223" t="s">
        <v>152</v>
      </c>
      <c r="J7" s="1232"/>
      <c r="K7" s="1208"/>
      <c r="L7" s="1225"/>
      <c r="M7" s="1226">
        <v>62</v>
      </c>
      <c r="N7" s="289"/>
      <c r="O7" s="1214"/>
      <c r="P7" s="1226"/>
      <c r="Q7" s="1233" t="s">
        <v>1010</v>
      </c>
      <c r="R7" s="289"/>
      <c r="S7" s="1231"/>
      <c r="T7" s="1208"/>
      <c r="U7" s="1225"/>
      <c r="V7" s="289">
        <v>81</v>
      </c>
      <c r="W7" s="289">
        <v>50</v>
      </c>
      <c r="X7" s="1214"/>
      <c r="Y7" s="1290"/>
      <c r="Z7" s="1205" t="s">
        <v>1014</v>
      </c>
      <c r="AA7" s="1228" t="s">
        <v>388</v>
      </c>
      <c r="AB7" s="1231"/>
      <c r="AC7" s="1208"/>
      <c r="AD7" s="1225"/>
      <c r="AE7" s="289">
        <v>67</v>
      </c>
      <c r="AF7" s="289"/>
      <c r="AG7" s="1214"/>
      <c r="AH7" s="1226"/>
      <c r="AI7" s="1233" t="s">
        <v>1014</v>
      </c>
      <c r="AJ7" s="1332"/>
      <c r="AK7" s="1346"/>
      <c r="AL7" s="301"/>
      <c r="AM7" s="1225"/>
      <c r="AN7" s="289">
        <v>175</v>
      </c>
      <c r="AO7" s="289"/>
      <c r="AP7" s="1214"/>
      <c r="AQ7" s="1294"/>
      <c r="AR7" s="1334" t="s">
        <v>1014</v>
      </c>
      <c r="AS7" s="1347"/>
      <c r="AT7" s="1234"/>
    </row>
    <row r="8" spans="1:46" ht="69.599999999999994" customHeight="1" x14ac:dyDescent="0.3">
      <c r="A8" s="2261"/>
      <c r="B8" s="1218">
        <v>2</v>
      </c>
      <c r="C8" s="1219"/>
      <c r="D8" s="1254"/>
      <c r="E8" s="1220">
        <v>17</v>
      </c>
      <c r="F8" s="1221"/>
      <c r="G8" s="1222"/>
      <c r="H8" s="1206" t="s">
        <v>27</v>
      </c>
      <c r="I8" s="1223"/>
      <c r="J8" s="1232"/>
      <c r="K8" s="1208"/>
      <c r="L8" s="1225"/>
      <c r="M8" s="289"/>
      <c r="N8" s="289"/>
      <c r="O8" s="1214"/>
      <c r="P8" s="1226"/>
      <c r="Q8" s="289"/>
      <c r="R8" s="407"/>
      <c r="S8" s="1231"/>
      <c r="T8" s="1208"/>
      <c r="U8" s="1333"/>
      <c r="V8" s="1334"/>
      <c r="W8" s="1226">
        <v>10</v>
      </c>
      <c r="X8" s="1214"/>
      <c r="Y8" s="1290"/>
      <c r="Z8" s="1289" t="s">
        <v>27</v>
      </c>
      <c r="AA8" s="1290"/>
      <c r="AB8" s="1232"/>
      <c r="AC8" s="1208"/>
      <c r="AD8" s="1225"/>
      <c r="AE8" s="289"/>
      <c r="AF8" s="289"/>
      <c r="AG8" s="1214"/>
      <c r="AH8" s="1226"/>
      <c r="AI8" s="407"/>
      <c r="AJ8" s="1332"/>
      <c r="AK8" s="1335"/>
      <c r="AL8" s="301"/>
      <c r="AM8" s="1225"/>
      <c r="AN8" s="289"/>
      <c r="AO8" s="289"/>
      <c r="AP8" s="1214"/>
      <c r="AQ8" s="1294"/>
      <c r="AR8" s="1349"/>
      <c r="AS8" s="1226"/>
      <c r="AT8" s="1232"/>
    </row>
    <row r="9" spans="1:46" ht="76.900000000000006" customHeight="1" x14ac:dyDescent="0.3">
      <c r="A9" s="2260">
        <v>45661</v>
      </c>
      <c r="B9" s="1218">
        <v>1</v>
      </c>
      <c r="C9" s="1301"/>
      <c r="D9" s="1328"/>
      <c r="E9" s="1325">
        <v>55</v>
      </c>
      <c r="F9" s="1221"/>
      <c r="G9" s="1222"/>
      <c r="H9" s="1205" t="s">
        <v>27</v>
      </c>
      <c r="I9" s="1223"/>
      <c r="J9" s="1232"/>
      <c r="K9" s="1208"/>
      <c r="L9" s="1225"/>
      <c r="M9" s="289"/>
      <c r="N9" s="289"/>
      <c r="O9" s="1214"/>
      <c r="P9" s="1226"/>
      <c r="Q9" s="289"/>
      <c r="R9" s="407"/>
      <c r="S9" s="1232"/>
      <c r="T9" s="1208"/>
      <c r="U9" s="1333"/>
      <c r="V9" s="1226"/>
      <c r="W9" s="289">
        <v>4</v>
      </c>
      <c r="X9" s="1214"/>
      <c r="Y9" s="1290"/>
      <c r="Z9" s="289" t="s">
        <v>27</v>
      </c>
      <c r="AA9" s="1228"/>
      <c r="AB9" s="1232"/>
      <c r="AC9" s="1208"/>
      <c r="AD9" s="1225"/>
      <c r="AE9" s="289"/>
      <c r="AF9" s="289"/>
      <c r="AG9" s="1214"/>
      <c r="AH9" s="1226"/>
      <c r="AI9" s="289"/>
      <c r="AJ9" s="289"/>
      <c r="AK9" s="1232"/>
      <c r="AL9" s="301"/>
      <c r="AM9" s="1225"/>
      <c r="AN9" s="289"/>
      <c r="AO9" s="289"/>
      <c r="AP9" s="1214"/>
      <c r="AQ9" s="1294"/>
      <c r="AR9" s="1334"/>
      <c r="AS9" s="1226"/>
      <c r="AT9" s="1235"/>
    </row>
    <row r="10" spans="1:46" ht="67.150000000000006" customHeight="1" x14ac:dyDescent="0.3">
      <c r="A10" s="2261"/>
      <c r="B10" s="1218">
        <v>2</v>
      </c>
      <c r="C10" s="1301"/>
      <c r="D10" s="1326"/>
      <c r="E10" s="1325"/>
      <c r="F10" s="1221"/>
      <c r="G10" s="1291"/>
      <c r="H10" s="1237"/>
      <c r="I10" s="1292"/>
      <c r="J10" s="1232"/>
      <c r="K10" s="1208"/>
      <c r="L10" s="1225">
        <v>52.5</v>
      </c>
      <c r="M10" s="289">
        <v>52.5</v>
      </c>
      <c r="N10" s="289"/>
      <c r="O10" s="1214"/>
      <c r="P10" s="1226" t="s">
        <v>1015</v>
      </c>
      <c r="Q10" s="289" t="s">
        <v>1016</v>
      </c>
      <c r="R10" s="407"/>
      <c r="S10" s="1232"/>
      <c r="T10" s="1208"/>
      <c r="U10" s="1225"/>
      <c r="V10" s="289"/>
      <c r="W10" s="289"/>
      <c r="X10" s="1214"/>
      <c r="Y10" s="1290"/>
      <c r="Z10" s="1290"/>
      <c r="AA10" s="1208"/>
      <c r="AB10" s="1232"/>
      <c r="AC10" s="1208"/>
      <c r="AD10" s="1225"/>
      <c r="AE10" s="289"/>
      <c r="AF10" s="289"/>
      <c r="AG10" s="1214"/>
      <c r="AH10" s="1290"/>
      <c r="AI10" s="407"/>
      <c r="AJ10" s="1206"/>
      <c r="AK10" s="1232"/>
      <c r="AL10" s="301"/>
      <c r="AM10" s="1225"/>
      <c r="AN10" s="289"/>
      <c r="AO10" s="289"/>
      <c r="AP10" s="1214"/>
      <c r="AQ10" s="1294"/>
      <c r="AR10" s="1350"/>
      <c r="AS10" s="1226"/>
      <c r="AT10" s="1232"/>
    </row>
    <row r="11" spans="1:46" ht="60" customHeight="1" x14ac:dyDescent="0.3">
      <c r="A11" s="2260">
        <v>45662</v>
      </c>
      <c r="B11" s="1218">
        <v>1</v>
      </c>
      <c r="C11" s="1301"/>
      <c r="D11" s="1327"/>
      <c r="E11" s="1325"/>
      <c r="F11" s="1221"/>
      <c r="G11" s="1239"/>
      <c r="H11" s="1237"/>
      <c r="I11" s="1292"/>
      <c r="J11" s="1224"/>
      <c r="K11" s="1208"/>
      <c r="L11" s="1225"/>
      <c r="M11" s="289"/>
      <c r="N11" s="289"/>
      <c r="O11" s="1214"/>
      <c r="P11" s="1226"/>
      <c r="Q11" s="289"/>
      <c r="R11" s="407"/>
      <c r="S11" s="1214"/>
      <c r="T11" s="1208"/>
      <c r="U11" s="1225">
        <v>90</v>
      </c>
      <c r="V11" s="289"/>
      <c r="W11" s="289">
        <v>55</v>
      </c>
      <c r="X11" s="1214"/>
      <c r="Y11" s="1290" t="s">
        <v>45</v>
      </c>
      <c r="Z11" s="289"/>
      <c r="AA11" s="1228" t="s">
        <v>152</v>
      </c>
      <c r="AB11" s="1214"/>
      <c r="AC11" s="1208"/>
      <c r="AD11" s="1225"/>
      <c r="AE11" s="289"/>
      <c r="AF11" s="289"/>
      <c r="AG11" s="1214"/>
      <c r="AH11" s="1226"/>
      <c r="AI11" s="289"/>
      <c r="AJ11" s="1228"/>
      <c r="AK11" s="1214"/>
      <c r="AL11" s="301"/>
      <c r="AM11" s="1225"/>
      <c r="AN11" s="289"/>
      <c r="AO11" s="289"/>
      <c r="AP11" s="1214"/>
      <c r="AQ11" s="1226"/>
      <c r="AR11" s="263"/>
      <c r="AS11" s="289"/>
      <c r="AT11" s="1231"/>
    </row>
    <row r="12" spans="1:46" ht="55.15" customHeight="1" x14ac:dyDescent="0.3">
      <c r="A12" s="2261"/>
      <c r="B12" s="1218">
        <v>2</v>
      </c>
      <c r="C12" s="1219"/>
      <c r="D12" s="1305"/>
      <c r="E12" s="1220"/>
      <c r="F12" s="1221"/>
      <c r="G12" s="1222"/>
      <c r="H12" s="1205"/>
      <c r="I12" s="1292"/>
      <c r="J12" s="1232"/>
      <c r="K12" s="1208"/>
      <c r="L12" s="1225"/>
      <c r="M12" s="289">
        <v>114</v>
      </c>
      <c r="N12" s="289"/>
      <c r="O12" s="1214"/>
      <c r="P12" s="1226"/>
      <c r="Q12" s="289" t="s">
        <v>1017</v>
      </c>
      <c r="R12" s="407"/>
      <c r="S12" s="1232"/>
      <c r="T12" s="1208"/>
      <c r="U12" s="1225">
        <v>720</v>
      </c>
      <c r="V12" s="289"/>
      <c r="W12" s="289"/>
      <c r="X12" s="1214"/>
      <c r="Y12" s="1290" t="s">
        <v>45</v>
      </c>
      <c r="Z12" s="1206"/>
      <c r="AA12" s="1228"/>
      <c r="AB12" s="1232"/>
      <c r="AC12" s="1208"/>
      <c r="AD12" s="1225"/>
      <c r="AE12" s="289"/>
      <c r="AF12" s="289"/>
      <c r="AG12" s="1214"/>
      <c r="AH12" s="1226"/>
      <c r="AI12" s="407"/>
      <c r="AJ12" s="407"/>
      <c r="AK12" s="1232"/>
      <c r="AL12" s="301"/>
      <c r="AM12" s="1225"/>
      <c r="AN12" s="289"/>
      <c r="AO12" s="289"/>
      <c r="AP12" s="1214"/>
      <c r="AQ12" s="1226"/>
      <c r="AR12" s="289"/>
      <c r="AS12" s="407"/>
      <c r="AT12" s="1232"/>
    </row>
    <row r="13" spans="1:46" ht="34.9" customHeight="1" x14ac:dyDescent="0.3">
      <c r="A13" s="2260">
        <v>45663</v>
      </c>
      <c r="B13" s="1218">
        <v>1</v>
      </c>
      <c r="C13" s="1219"/>
      <c r="D13" s="1220"/>
      <c r="E13" s="1220"/>
      <c r="F13" s="1221"/>
      <c r="G13" s="1222"/>
      <c r="H13" s="1205"/>
      <c r="I13" s="1223"/>
      <c r="J13" s="1232"/>
      <c r="K13" s="1208"/>
      <c r="L13" s="1225"/>
      <c r="M13" s="289"/>
      <c r="N13" s="289"/>
      <c r="O13" s="1221"/>
      <c r="P13" s="1226"/>
      <c r="Q13" s="289"/>
      <c r="R13" s="289"/>
      <c r="S13" s="1232"/>
      <c r="T13" s="1208"/>
      <c r="U13" s="1225">
        <v>720</v>
      </c>
      <c r="V13" s="289"/>
      <c r="W13" s="289"/>
      <c r="X13" s="1221"/>
      <c r="Y13" s="1290" t="s">
        <v>45</v>
      </c>
      <c r="Z13" s="407"/>
      <c r="AA13" s="1228"/>
      <c r="AB13" s="1232"/>
      <c r="AC13" s="1208"/>
      <c r="AD13" s="1225"/>
      <c r="AE13" s="289"/>
      <c r="AF13" s="289"/>
      <c r="AG13" s="1221"/>
      <c r="AH13" s="1226"/>
      <c r="AI13" s="289"/>
      <c r="AJ13" s="1228"/>
      <c r="AK13" s="1232"/>
      <c r="AL13" s="301"/>
      <c r="AM13" s="1225"/>
      <c r="AN13" s="289"/>
      <c r="AO13" s="289"/>
      <c r="AP13" s="1221"/>
      <c r="AQ13" s="1226"/>
      <c r="AR13" s="289"/>
      <c r="AS13" s="1206"/>
      <c r="AT13" s="1232"/>
    </row>
    <row r="14" spans="1:46" ht="49.15" customHeight="1" x14ac:dyDescent="0.3">
      <c r="A14" s="2261"/>
      <c r="B14" s="1218">
        <v>2</v>
      </c>
      <c r="C14" s="1219"/>
      <c r="D14" s="1220"/>
      <c r="E14" s="1220"/>
      <c r="F14" s="1221"/>
      <c r="G14" s="1222"/>
      <c r="H14" s="1206"/>
      <c r="I14" s="1223"/>
      <c r="J14" s="1232"/>
      <c r="K14" s="1208"/>
      <c r="L14" s="1225"/>
      <c r="M14" s="289"/>
      <c r="N14" s="289"/>
      <c r="O14" s="1221"/>
      <c r="P14" s="1290"/>
      <c r="Q14" s="289"/>
      <c r="R14" s="289"/>
      <c r="S14" s="1232"/>
      <c r="T14" s="1208"/>
      <c r="U14" s="1225">
        <v>720</v>
      </c>
      <c r="V14" s="289"/>
      <c r="W14" s="289"/>
      <c r="X14" s="1221"/>
      <c r="Y14" s="1290" t="s">
        <v>45</v>
      </c>
      <c r="Z14" s="407"/>
      <c r="AA14" s="1228"/>
      <c r="AB14" s="1232"/>
      <c r="AC14" s="1208"/>
      <c r="AD14" s="1225"/>
      <c r="AE14" s="289"/>
      <c r="AF14" s="289"/>
      <c r="AG14" s="1221"/>
      <c r="AH14" s="2262"/>
      <c r="AI14" s="2263"/>
      <c r="AJ14" s="2264"/>
      <c r="AK14" s="1232"/>
      <c r="AL14" s="301"/>
      <c r="AM14" s="1225"/>
      <c r="AN14" s="289"/>
      <c r="AO14" s="1344"/>
      <c r="AP14" s="1351"/>
      <c r="AQ14" s="1290"/>
      <c r="AR14" s="289"/>
      <c r="AS14" s="1228"/>
      <c r="AT14" s="1232"/>
    </row>
    <row r="15" spans="1:46" ht="48" customHeight="1" x14ac:dyDescent="0.3">
      <c r="A15" s="2260">
        <v>45664</v>
      </c>
      <c r="B15" s="1218">
        <v>1</v>
      </c>
      <c r="C15" s="1219"/>
      <c r="D15" s="1254"/>
      <c r="E15" s="1257"/>
      <c r="F15" s="1267"/>
      <c r="G15" s="1259"/>
      <c r="H15" s="1250"/>
      <c r="I15" s="1302"/>
      <c r="J15" s="1267"/>
      <c r="K15" s="1208"/>
      <c r="L15" s="1303"/>
      <c r="M15" s="1257"/>
      <c r="N15" s="1257"/>
      <c r="O15" s="1255"/>
      <c r="P15" s="1304"/>
      <c r="Q15" s="1250"/>
      <c r="R15" s="1206"/>
      <c r="S15" s="1232"/>
      <c r="T15" s="1208"/>
      <c r="U15" s="1225"/>
      <c r="V15" s="289"/>
      <c r="W15" s="289">
        <v>720</v>
      </c>
      <c r="X15" s="1221"/>
      <c r="Y15" s="1222"/>
      <c r="Z15" s="1206"/>
      <c r="AA15" s="1228" t="s">
        <v>1018</v>
      </c>
      <c r="AB15" s="1232"/>
      <c r="AC15" s="1208"/>
      <c r="AD15" s="1225"/>
      <c r="AE15" s="289"/>
      <c r="AF15" s="1208"/>
      <c r="AG15" s="1221"/>
      <c r="AH15" s="1204"/>
      <c r="AI15" s="1206"/>
      <c r="AJ15" s="407"/>
      <c r="AK15" s="1232"/>
      <c r="AL15" s="301"/>
      <c r="AM15" s="1225"/>
      <c r="AN15" s="289"/>
      <c r="AO15" s="1352"/>
      <c r="AP15" s="1358"/>
      <c r="AQ15" s="1297"/>
      <c r="AR15" s="1206"/>
      <c r="AS15" s="1206"/>
      <c r="AT15" s="1232"/>
    </row>
    <row r="16" spans="1:46" ht="63" customHeight="1" x14ac:dyDescent="0.3">
      <c r="A16" s="2261"/>
      <c r="B16" s="1218">
        <v>2</v>
      </c>
      <c r="C16" s="1301">
        <v>360</v>
      </c>
      <c r="D16" s="1323"/>
      <c r="E16" s="1321"/>
      <c r="F16" s="1312"/>
      <c r="G16" s="1367" t="s">
        <v>45</v>
      </c>
      <c r="H16" s="1314"/>
      <c r="I16" s="1315"/>
      <c r="J16" s="1316"/>
      <c r="K16" s="1317"/>
      <c r="L16" s="1318"/>
      <c r="M16" s="1319"/>
      <c r="N16" s="1319"/>
      <c r="O16" s="1312"/>
      <c r="P16" s="1313"/>
      <c r="Q16" s="1320"/>
      <c r="R16" s="1241"/>
      <c r="S16" s="1232"/>
      <c r="T16" s="1208"/>
      <c r="U16" s="1225">
        <v>71</v>
      </c>
      <c r="V16" s="289"/>
      <c r="W16" s="289">
        <v>57</v>
      </c>
      <c r="X16" s="1221"/>
      <c r="Y16" s="1298" t="s">
        <v>1019</v>
      </c>
      <c r="Z16" s="1237"/>
      <c r="AA16" s="1242" t="s">
        <v>521</v>
      </c>
      <c r="AB16" s="1232"/>
      <c r="AC16" s="1208"/>
      <c r="AD16" s="1225"/>
      <c r="AE16" s="289"/>
      <c r="AF16" s="289"/>
      <c r="AG16" s="1221"/>
      <c r="AH16" s="1243"/>
      <c r="AI16" s="1237"/>
      <c r="AJ16" s="1241"/>
      <c r="AK16" s="1232"/>
      <c r="AL16" s="301"/>
      <c r="AM16" s="1225"/>
      <c r="AN16" s="289"/>
      <c r="AO16" s="289"/>
      <c r="AP16" s="1221"/>
      <c r="AQ16" s="1357"/>
      <c r="AR16" s="1237"/>
      <c r="AS16" s="1241"/>
      <c r="AT16" s="1232"/>
    </row>
    <row r="17" spans="1:46" ht="66" customHeight="1" x14ac:dyDescent="0.3">
      <c r="A17" s="2260">
        <v>45665</v>
      </c>
      <c r="B17" s="1244">
        <v>1</v>
      </c>
      <c r="C17" s="1219"/>
      <c r="D17" s="1324"/>
      <c r="E17" s="1322">
        <v>22</v>
      </c>
      <c r="F17" s="1306"/>
      <c r="G17" s="1307"/>
      <c r="H17" s="1308"/>
      <c r="I17" s="1309" t="s">
        <v>328</v>
      </c>
      <c r="J17" s="1310"/>
      <c r="K17" s="1208"/>
      <c r="L17" s="1311"/>
      <c r="M17" s="263"/>
      <c r="N17" s="263"/>
      <c r="O17" s="1306"/>
      <c r="P17" s="1307"/>
      <c r="Q17" s="1308"/>
      <c r="R17" s="1206"/>
      <c r="S17" s="1232"/>
      <c r="T17" s="1208"/>
      <c r="U17" s="1225"/>
      <c r="V17" s="289"/>
      <c r="W17" s="289">
        <v>67</v>
      </c>
      <c r="X17" s="1221"/>
      <c r="Y17" s="1222"/>
      <c r="Z17" s="1205"/>
      <c r="AA17" s="1242" t="s">
        <v>328</v>
      </c>
      <c r="AB17" s="1232"/>
      <c r="AC17" s="1208"/>
      <c r="AD17" s="1225"/>
      <c r="AE17" s="289"/>
      <c r="AF17" s="289"/>
      <c r="AG17" s="1221"/>
      <c r="AH17" s="1204"/>
      <c r="AI17" s="1205"/>
      <c r="AJ17" s="1206"/>
      <c r="AK17" s="1232"/>
      <c r="AL17" s="301"/>
      <c r="AM17" s="1225"/>
      <c r="AN17" s="289"/>
      <c r="AO17" s="1344"/>
      <c r="AP17" s="1358"/>
      <c r="AQ17" s="1242"/>
      <c r="AR17" s="1206"/>
      <c r="AS17" s="1228"/>
      <c r="AT17" s="1232"/>
    </row>
    <row r="18" spans="1:46" ht="49.5" customHeight="1" x14ac:dyDescent="0.3">
      <c r="A18" s="2261"/>
      <c r="B18" s="1218">
        <v>2</v>
      </c>
      <c r="C18" s="1219"/>
      <c r="D18" s="1220"/>
      <c r="E18" s="1220"/>
      <c r="F18" s="1221"/>
      <c r="G18" s="1222"/>
      <c r="H18" s="1245"/>
      <c r="I18" s="1223"/>
      <c r="J18" s="1232"/>
      <c r="K18" s="1208"/>
      <c r="L18" s="1225"/>
      <c r="M18" s="289">
        <v>23</v>
      </c>
      <c r="N18" s="289"/>
      <c r="O18" s="1221"/>
      <c r="P18" s="1222"/>
      <c r="Q18" s="1206" t="s">
        <v>317</v>
      </c>
      <c r="R18" s="1223"/>
      <c r="S18" s="1232"/>
      <c r="T18" s="1208"/>
      <c r="U18" s="1225"/>
      <c r="V18" s="289"/>
      <c r="W18" s="1220"/>
      <c r="X18" s="1221"/>
      <c r="Y18" s="1222"/>
      <c r="Z18" s="1206"/>
      <c r="AA18" s="1228"/>
      <c r="AB18" s="1232"/>
      <c r="AC18" s="1208"/>
      <c r="AD18" s="1225"/>
      <c r="AE18" s="289"/>
      <c r="AF18" s="289"/>
      <c r="AG18" s="1221"/>
      <c r="AH18" s="1222"/>
      <c r="AI18" s="1206"/>
      <c r="AJ18" s="1205"/>
      <c r="AK18" s="1232"/>
      <c r="AL18" s="301"/>
      <c r="AM18" s="1225">
        <v>480</v>
      </c>
      <c r="AN18" s="289"/>
      <c r="AO18" s="1344"/>
      <c r="AP18" s="1351"/>
      <c r="AQ18" s="1366" t="s">
        <v>45</v>
      </c>
      <c r="AR18" s="1237"/>
      <c r="AS18" s="1368"/>
      <c r="AT18" s="1232"/>
    </row>
    <row r="19" spans="1:46" ht="33.6" customHeight="1" x14ac:dyDescent="0.3">
      <c r="A19" s="2260">
        <v>45666</v>
      </c>
      <c r="B19" s="1218">
        <v>1</v>
      </c>
      <c r="C19" s="1208"/>
      <c r="D19" s="1220"/>
      <c r="E19" s="1220">
        <v>14</v>
      </c>
      <c r="F19" s="1221"/>
      <c r="G19" s="1246"/>
      <c r="H19" s="289"/>
      <c r="I19" s="1292" t="s">
        <v>152</v>
      </c>
      <c r="J19" s="1232"/>
      <c r="K19" s="1208"/>
      <c r="L19" s="1225"/>
      <c r="M19" s="289"/>
      <c r="N19" s="289"/>
      <c r="O19" s="1221"/>
      <c r="P19" s="1225"/>
      <c r="Q19" s="289"/>
      <c r="R19" s="289"/>
      <c r="S19" s="1232"/>
      <c r="T19" s="1208"/>
      <c r="U19" s="1225"/>
      <c r="V19" s="289"/>
      <c r="W19" s="289">
        <v>17</v>
      </c>
      <c r="X19" s="1221"/>
      <c r="Y19" s="1225"/>
      <c r="Z19" s="407"/>
      <c r="AA19" s="1242" t="s">
        <v>152</v>
      </c>
      <c r="AB19" s="1232"/>
      <c r="AC19" s="1208"/>
      <c r="AD19" s="1225"/>
      <c r="AE19" s="289"/>
      <c r="AF19" s="289"/>
      <c r="AG19" s="1221"/>
      <c r="AH19" s="1225"/>
      <c r="AI19" s="289"/>
      <c r="AJ19" s="1228"/>
      <c r="AK19" s="1232"/>
      <c r="AL19" s="301"/>
      <c r="AM19" s="1225"/>
      <c r="AN19" s="289"/>
      <c r="AO19" s="289"/>
      <c r="AP19" s="1221"/>
      <c r="AQ19" s="1225"/>
      <c r="AR19" s="289"/>
      <c r="AS19" s="1206"/>
      <c r="AT19" s="1232"/>
    </row>
    <row r="20" spans="1:46" ht="44.45" customHeight="1" x14ac:dyDescent="0.3">
      <c r="A20" s="2261"/>
      <c r="B20" s="1218">
        <v>2</v>
      </c>
      <c r="C20" s="1219"/>
      <c r="D20" s="1220"/>
      <c r="E20" s="1220"/>
      <c r="F20" s="1221"/>
      <c r="G20" s="1246"/>
      <c r="H20" s="407"/>
      <c r="I20" s="1292"/>
      <c r="J20" s="1232"/>
      <c r="K20" s="1208"/>
      <c r="L20" s="1225"/>
      <c r="M20" s="289"/>
      <c r="N20" s="289"/>
      <c r="O20" s="1221"/>
      <c r="P20" s="1246"/>
      <c r="Q20" s="407"/>
      <c r="R20" s="1223"/>
      <c r="S20" s="1232"/>
      <c r="T20" s="1208"/>
      <c r="U20" s="1225">
        <v>45</v>
      </c>
      <c r="V20" s="289"/>
      <c r="W20" s="289"/>
      <c r="X20" s="1221"/>
      <c r="Y20" s="1246" t="s">
        <v>1020</v>
      </c>
      <c r="Z20" s="407"/>
      <c r="AA20" s="1206"/>
      <c r="AB20" s="1232"/>
      <c r="AC20" s="1208"/>
      <c r="AD20" s="1225">
        <v>239</v>
      </c>
      <c r="AE20" s="289"/>
      <c r="AF20" s="289"/>
      <c r="AG20" s="1221"/>
      <c r="AH20" s="1246" t="s">
        <v>45</v>
      </c>
      <c r="AI20" s="407"/>
      <c r="AJ20" s="1223"/>
      <c r="AK20" s="1232"/>
      <c r="AL20" s="301"/>
      <c r="AM20" s="1225"/>
      <c r="AN20" s="289"/>
      <c r="AO20" s="289"/>
      <c r="AP20" s="1221"/>
      <c r="AQ20" s="1246"/>
      <c r="AR20" s="407"/>
      <c r="AS20" s="1223"/>
      <c r="AT20" s="1232"/>
    </row>
    <row r="21" spans="1:46" ht="39" customHeight="1" x14ac:dyDescent="0.3">
      <c r="A21" s="2260">
        <v>45667</v>
      </c>
      <c r="B21" s="1218">
        <v>1</v>
      </c>
      <c r="C21" s="1219"/>
      <c r="D21" s="1220"/>
      <c r="E21" s="1220"/>
      <c r="F21" s="1221"/>
      <c r="G21" s="1247"/>
      <c r="H21" s="1205"/>
      <c r="I21" s="1292"/>
      <c r="J21" s="1248"/>
      <c r="K21" s="1208"/>
      <c r="L21" s="1225"/>
      <c r="M21" s="289">
        <v>17</v>
      </c>
      <c r="N21" s="289"/>
      <c r="O21" s="1221"/>
      <c r="P21" s="1225"/>
      <c r="Q21" s="407" t="s">
        <v>1021</v>
      </c>
      <c r="R21" s="289"/>
      <c r="S21" s="1248"/>
      <c r="T21" s="1208"/>
      <c r="U21" s="1225"/>
      <c r="V21" s="289"/>
      <c r="W21" s="289">
        <v>16</v>
      </c>
      <c r="X21" s="1221"/>
      <c r="Y21" s="1246"/>
      <c r="Z21" s="289"/>
      <c r="AA21" s="1242" t="s">
        <v>152</v>
      </c>
      <c r="AB21" s="1248"/>
      <c r="AC21" s="1208"/>
      <c r="AD21" s="1225"/>
      <c r="AE21" s="289"/>
      <c r="AF21" s="289"/>
      <c r="AG21" s="1221"/>
      <c r="AH21" s="1225"/>
      <c r="AI21" s="289"/>
      <c r="AJ21" s="1228"/>
      <c r="AK21" s="1248"/>
      <c r="AL21" s="301"/>
      <c r="AM21" s="1225"/>
      <c r="AN21" s="289"/>
      <c r="AO21" s="289"/>
      <c r="AP21" s="1221"/>
      <c r="AQ21" s="1225"/>
      <c r="AR21" s="407"/>
      <c r="AS21" s="1228"/>
      <c r="AT21" s="1248"/>
    </row>
    <row r="22" spans="1:46" ht="49.9" customHeight="1" x14ac:dyDescent="0.3">
      <c r="A22" s="2261"/>
      <c r="B22" s="1218">
        <v>2</v>
      </c>
      <c r="C22" s="1219">
        <v>116</v>
      </c>
      <c r="D22" s="1220"/>
      <c r="E22" s="1220"/>
      <c r="F22" s="1221"/>
      <c r="G22" s="1249" t="s">
        <v>1022</v>
      </c>
      <c r="H22" s="1206"/>
      <c r="I22" s="1223"/>
      <c r="J22" s="1232"/>
      <c r="K22" s="1208"/>
      <c r="L22" s="1225"/>
      <c r="M22" s="289"/>
      <c r="N22" s="289"/>
      <c r="O22" s="1221"/>
      <c r="P22" s="1290"/>
      <c r="Q22" s="1206"/>
      <c r="R22" s="289"/>
      <c r="S22" s="1232"/>
      <c r="T22" s="1208"/>
      <c r="U22" s="1225"/>
      <c r="V22" s="289"/>
      <c r="W22" s="289"/>
      <c r="X22" s="1221"/>
      <c r="Y22" s="1246"/>
      <c r="Z22" s="1206"/>
      <c r="AA22" s="1228"/>
      <c r="AB22" s="1232"/>
      <c r="AC22" s="1208"/>
      <c r="AD22" s="1225"/>
      <c r="AE22" s="289"/>
      <c r="AF22" s="289"/>
      <c r="AG22" s="1221"/>
      <c r="AH22" s="1225"/>
      <c r="AI22" s="289"/>
      <c r="AJ22" s="1332"/>
      <c r="AK22" s="1335"/>
      <c r="AL22" s="301"/>
      <c r="AM22" s="1225"/>
      <c r="AN22" s="289"/>
      <c r="AO22" s="289"/>
      <c r="AP22" s="1221"/>
      <c r="AQ22" s="1225"/>
      <c r="AR22" s="1206"/>
      <c r="AS22" s="353"/>
      <c r="AT22" s="1232"/>
    </row>
    <row r="23" spans="1:46" ht="47.45" customHeight="1" x14ac:dyDescent="0.3">
      <c r="A23" s="2260">
        <v>45668</v>
      </c>
      <c r="B23" s="1244">
        <v>1</v>
      </c>
      <c r="C23" s="1219"/>
      <c r="D23" s="1220"/>
      <c r="E23" s="1220"/>
      <c r="F23" s="1221"/>
      <c r="G23" s="1204"/>
      <c r="H23" s="1205"/>
      <c r="I23" s="1292"/>
      <c r="J23" s="1232"/>
      <c r="K23" s="1208"/>
      <c r="L23" s="1225"/>
      <c r="M23" s="289"/>
      <c r="N23" s="289"/>
      <c r="O23" s="1221"/>
      <c r="P23" s="1204"/>
      <c r="Q23" s="1205"/>
      <c r="R23" s="1206"/>
      <c r="S23" s="1232"/>
      <c r="T23" s="1208"/>
      <c r="U23" s="1225"/>
      <c r="V23" s="289"/>
      <c r="W23" s="289"/>
      <c r="X23" s="1221"/>
      <c r="Y23" s="1246"/>
      <c r="Z23" s="1223"/>
      <c r="AA23" s="1242"/>
      <c r="AB23" s="1232"/>
      <c r="AC23" s="1208"/>
      <c r="AD23" s="1225"/>
      <c r="AE23" s="289"/>
      <c r="AF23" s="1226"/>
      <c r="AG23" s="1221"/>
      <c r="AH23" s="1225"/>
      <c r="AI23" s="1205"/>
      <c r="AJ23" s="1345"/>
      <c r="AK23" s="1335"/>
      <c r="AL23" s="301"/>
      <c r="AM23" s="1225"/>
      <c r="AN23" s="289"/>
      <c r="AO23" s="289"/>
      <c r="AP23" s="1221"/>
      <c r="AQ23" s="289"/>
      <c r="AR23" s="1205"/>
      <c r="AS23" s="1234"/>
      <c r="AT23" s="1232"/>
    </row>
    <row r="24" spans="1:46" ht="49.9" customHeight="1" x14ac:dyDescent="0.3">
      <c r="A24" s="2261"/>
      <c r="B24" s="1218">
        <v>2</v>
      </c>
      <c r="C24" s="1219"/>
      <c r="D24" s="1220"/>
      <c r="E24" s="1220"/>
      <c r="F24" s="1221"/>
      <c r="G24" s="1204"/>
      <c r="H24" s="1206"/>
      <c r="I24" s="1292"/>
      <c r="J24" s="1232"/>
      <c r="K24" s="1208"/>
      <c r="L24" s="1225"/>
      <c r="M24" s="289"/>
      <c r="N24" s="289"/>
      <c r="O24" s="1221"/>
      <c r="P24" s="1204"/>
      <c r="Q24" s="1205"/>
      <c r="R24" s="1206"/>
      <c r="S24" s="1232"/>
      <c r="T24" s="1300"/>
      <c r="U24" s="1226"/>
      <c r="V24" s="1299"/>
      <c r="W24" s="1242" t="s">
        <v>1023</v>
      </c>
      <c r="X24" s="1221"/>
      <c r="Y24" s="1223"/>
      <c r="Z24" s="1205"/>
      <c r="AA24" s="1228" t="s">
        <v>328</v>
      </c>
      <c r="AB24" s="1232"/>
      <c r="AC24" s="1208"/>
      <c r="AD24" s="1225"/>
      <c r="AE24" s="289"/>
      <c r="AF24" s="1226"/>
      <c r="AG24" s="1221"/>
      <c r="AH24" s="1223"/>
      <c r="AI24" s="1205"/>
      <c r="AJ24" s="1206"/>
      <c r="AK24" s="1232"/>
      <c r="AL24" s="301"/>
      <c r="AM24" s="1225"/>
      <c r="AN24" s="289"/>
      <c r="AO24" s="289"/>
      <c r="AP24" s="1221"/>
      <c r="AQ24" s="1205"/>
      <c r="AR24" s="1205"/>
      <c r="AS24" s="1232"/>
      <c r="AT24" s="1232"/>
    </row>
    <row r="25" spans="1:46" ht="53.45" customHeight="1" x14ac:dyDescent="0.3">
      <c r="A25" s="2260">
        <v>45669</v>
      </c>
      <c r="B25" s="1218">
        <v>1</v>
      </c>
      <c r="C25" s="1219"/>
      <c r="D25" s="1220"/>
      <c r="E25" s="1220"/>
      <c r="F25" s="1221"/>
      <c r="G25" s="1204"/>
      <c r="H25" s="1205"/>
      <c r="I25" s="1223"/>
      <c r="J25" s="1232"/>
      <c r="K25" s="1208"/>
      <c r="L25" s="1225"/>
      <c r="M25" s="289"/>
      <c r="N25" s="289"/>
      <c r="O25" s="1221"/>
      <c r="P25" s="1225"/>
      <c r="Q25" s="1205"/>
      <c r="R25" s="289"/>
      <c r="S25" s="1232"/>
      <c r="T25" s="1208"/>
      <c r="U25" s="1225"/>
      <c r="V25" s="289"/>
      <c r="W25" s="289"/>
      <c r="X25" s="1221"/>
      <c r="Y25" s="1246"/>
      <c r="Z25" s="407"/>
      <c r="AA25" s="1206"/>
      <c r="AB25" s="1232"/>
      <c r="AC25" s="1208"/>
      <c r="AD25" s="1225"/>
      <c r="AE25" s="289"/>
      <c r="AF25" s="289"/>
      <c r="AG25" s="1221"/>
      <c r="AH25" s="289"/>
      <c r="AI25" s="407"/>
      <c r="AJ25" s="1206"/>
      <c r="AK25" s="1232"/>
      <c r="AL25" s="301"/>
      <c r="AM25" s="1225"/>
      <c r="AN25" s="289"/>
      <c r="AO25" s="289"/>
      <c r="AP25" s="1221"/>
      <c r="AQ25" s="289"/>
      <c r="AR25" s="289"/>
      <c r="AS25" s="1206"/>
      <c r="AT25" s="1232"/>
    </row>
    <row r="26" spans="1:46" ht="42" customHeight="1" x14ac:dyDescent="0.3">
      <c r="A26" s="2261"/>
      <c r="B26" s="1218">
        <v>2</v>
      </c>
      <c r="C26" s="1219"/>
      <c r="D26" s="1220"/>
      <c r="E26" s="1220"/>
      <c r="F26" s="1221"/>
      <c r="G26" s="1204"/>
      <c r="H26" s="1206"/>
      <c r="I26" s="1223"/>
      <c r="J26" s="1232"/>
      <c r="K26" s="1208"/>
      <c r="L26" s="1225"/>
      <c r="M26" s="289"/>
      <c r="N26" s="289"/>
      <c r="O26" s="1221"/>
      <c r="P26" s="1204"/>
      <c r="Q26" s="1206"/>
      <c r="R26" s="1234"/>
      <c r="S26" s="1232"/>
      <c r="T26" s="1208"/>
      <c r="U26" s="1225"/>
      <c r="V26" s="1220"/>
      <c r="W26" s="289">
        <v>70</v>
      </c>
      <c r="X26" s="1221"/>
      <c r="Y26" s="1223"/>
      <c r="Z26" s="1206"/>
      <c r="AA26" s="1228" t="s">
        <v>328</v>
      </c>
      <c r="AB26" s="1232"/>
      <c r="AC26" s="1208"/>
      <c r="AD26" s="1225"/>
      <c r="AE26" s="1220"/>
      <c r="AF26" s="289"/>
      <c r="AG26" s="1221"/>
      <c r="AH26" s="1223"/>
      <c r="AI26" s="1206"/>
      <c r="AJ26" s="1206"/>
      <c r="AK26" s="1232"/>
      <c r="AL26" s="301"/>
      <c r="AM26" s="1225"/>
      <c r="AN26" s="1220"/>
      <c r="AO26" s="289"/>
      <c r="AP26" s="1221"/>
      <c r="AQ26" s="1204"/>
      <c r="AR26" s="1206"/>
      <c r="AS26" s="1206"/>
      <c r="AT26" s="1232"/>
    </row>
    <row r="27" spans="1:46" ht="49.9" customHeight="1" x14ac:dyDescent="0.3">
      <c r="A27" s="2260">
        <v>45670</v>
      </c>
      <c r="B27" s="1244">
        <v>1</v>
      </c>
      <c r="C27" s="1219"/>
      <c r="D27" s="1220"/>
      <c r="E27" s="1220">
        <v>9</v>
      </c>
      <c r="F27" s="1221"/>
      <c r="G27" s="1204"/>
      <c r="H27" s="1205"/>
      <c r="I27" s="1292" t="s">
        <v>152</v>
      </c>
      <c r="J27" s="1232"/>
      <c r="K27" s="1208"/>
      <c r="L27" s="1225"/>
      <c r="M27" s="289"/>
      <c r="N27" s="289"/>
      <c r="O27" s="1221"/>
      <c r="P27" s="1204"/>
      <c r="Q27" s="1205"/>
      <c r="R27" s="1206"/>
      <c r="S27" s="1232"/>
      <c r="T27" s="1208"/>
      <c r="U27" s="1225"/>
      <c r="V27" s="289"/>
      <c r="W27" s="289">
        <v>13</v>
      </c>
      <c r="X27" s="1221"/>
      <c r="Y27" s="1204"/>
      <c r="Z27" s="1206"/>
      <c r="AA27" s="1242" t="s">
        <v>152</v>
      </c>
      <c r="AB27" s="1232"/>
      <c r="AC27" s="1208"/>
      <c r="AD27" s="1225"/>
      <c r="AE27" s="289"/>
      <c r="AF27" s="289"/>
      <c r="AG27" s="1221"/>
      <c r="AH27" s="1204"/>
      <c r="AI27" s="407"/>
      <c r="AJ27" s="1206"/>
      <c r="AK27" s="1232"/>
      <c r="AL27" s="301"/>
      <c r="AM27" s="1225"/>
      <c r="AN27" s="289"/>
      <c r="AO27" s="289"/>
      <c r="AP27" s="1221"/>
      <c r="AQ27" s="407"/>
      <c r="AR27" s="289"/>
      <c r="AS27" s="1206"/>
      <c r="AT27" s="1232"/>
    </row>
    <row r="28" spans="1:46" ht="72" customHeight="1" x14ac:dyDescent="0.3">
      <c r="A28" s="2261"/>
      <c r="B28" s="1218">
        <v>2</v>
      </c>
      <c r="C28" s="1219">
        <v>625</v>
      </c>
      <c r="D28" s="1220"/>
      <c r="E28" s="1220"/>
      <c r="F28" s="1221"/>
      <c r="G28" s="1206" t="s">
        <v>1024</v>
      </c>
      <c r="H28" s="1206"/>
      <c r="I28" s="1234"/>
      <c r="J28" s="1232"/>
      <c r="K28" s="1208"/>
      <c r="L28" s="1225"/>
      <c r="M28" s="289"/>
      <c r="N28" s="289"/>
      <c r="O28" s="1221"/>
      <c r="P28" s="1206"/>
      <c r="Q28" s="1206"/>
      <c r="R28" s="1206"/>
      <c r="S28" s="1232"/>
      <c r="T28" s="1208"/>
      <c r="U28" s="1225"/>
      <c r="V28" s="289"/>
      <c r="W28" s="1208"/>
      <c r="X28" s="1221"/>
      <c r="Y28" s="1206"/>
      <c r="Z28" s="289"/>
      <c r="AA28" s="1228"/>
      <c r="AB28" s="1232"/>
      <c r="AC28" s="1208"/>
      <c r="AD28" s="1225"/>
      <c r="AE28" s="289"/>
      <c r="AF28" s="289"/>
      <c r="AG28" s="1221"/>
      <c r="AH28" s="1204"/>
      <c r="AI28" s="407"/>
      <c r="AJ28" s="1228"/>
      <c r="AK28" s="1232"/>
      <c r="AL28" s="301"/>
      <c r="AM28" s="1225"/>
      <c r="AN28" s="289"/>
      <c r="AO28" s="289">
        <v>64</v>
      </c>
      <c r="AP28" s="1221"/>
      <c r="AQ28" s="407"/>
      <c r="AR28" s="289"/>
      <c r="AS28" s="1206" t="s">
        <v>152</v>
      </c>
      <c r="AT28" s="1232"/>
    </row>
    <row r="29" spans="1:46" ht="66" customHeight="1" x14ac:dyDescent="0.3">
      <c r="A29" s="2260">
        <v>45671</v>
      </c>
      <c r="B29" s="1218">
        <v>1</v>
      </c>
      <c r="C29" s="1219">
        <v>321</v>
      </c>
      <c r="D29" s="1220"/>
      <c r="E29" s="1220"/>
      <c r="F29" s="1221"/>
      <c r="G29" s="1206" t="s">
        <v>1024</v>
      </c>
      <c r="H29" s="1205"/>
      <c r="I29" s="1234"/>
      <c r="J29" s="1232"/>
      <c r="K29" s="1208"/>
      <c r="L29" s="1225"/>
      <c r="M29" s="289"/>
      <c r="N29" s="289"/>
      <c r="O29" s="1221"/>
      <c r="P29" s="1204"/>
      <c r="Q29" s="1206"/>
      <c r="R29" s="1206"/>
      <c r="S29" s="1232"/>
      <c r="T29" s="1208"/>
      <c r="U29" s="1225"/>
      <c r="V29" s="289"/>
      <c r="W29" s="289">
        <v>28</v>
      </c>
      <c r="X29" s="1221"/>
      <c r="Y29" s="1206"/>
      <c r="Z29" s="1205"/>
      <c r="AA29" s="1228" t="s">
        <v>152</v>
      </c>
      <c r="AB29" s="1232"/>
      <c r="AC29" s="1208"/>
      <c r="AD29" s="1225"/>
      <c r="AE29" s="289"/>
      <c r="AF29" s="289"/>
      <c r="AG29" s="1221"/>
      <c r="AH29" s="1204"/>
      <c r="AI29" s="1205"/>
      <c r="AJ29" s="289"/>
      <c r="AK29" s="1232"/>
      <c r="AL29" s="301"/>
      <c r="AM29" s="1225"/>
      <c r="AN29" s="289"/>
      <c r="AO29" s="289"/>
      <c r="AP29" s="289">
        <v>415</v>
      </c>
      <c r="AQ29" s="407"/>
      <c r="AR29" s="1205"/>
      <c r="AS29" s="353"/>
      <c r="AT29" s="1232" t="s">
        <v>1008</v>
      </c>
    </row>
    <row r="30" spans="1:46" ht="39.6" customHeight="1" x14ac:dyDescent="0.3">
      <c r="A30" s="2261"/>
      <c r="B30" s="1244">
        <v>2</v>
      </c>
      <c r="C30" s="1219"/>
      <c r="D30" s="1220"/>
      <c r="E30" s="1220"/>
      <c r="F30" s="1221"/>
      <c r="G30" s="1206"/>
      <c r="H30" s="1205"/>
      <c r="I30" s="1228"/>
      <c r="J30" s="1232"/>
      <c r="K30" s="1208"/>
      <c r="L30" s="1225"/>
      <c r="M30" s="289"/>
      <c r="N30" s="289"/>
      <c r="O30" s="1221"/>
      <c r="P30" s="1204"/>
      <c r="Q30" s="1206"/>
      <c r="R30" s="1206"/>
      <c r="S30" s="1232"/>
      <c r="T30" s="1208"/>
      <c r="U30" s="1225"/>
      <c r="V30" s="289"/>
      <c r="W30" s="289">
        <v>29</v>
      </c>
      <c r="X30" s="1221"/>
      <c r="Y30" s="1206"/>
      <c r="Z30" s="1336"/>
      <c r="AA30" s="1337" t="s">
        <v>328</v>
      </c>
      <c r="AB30" s="1232"/>
      <c r="AC30" s="1208"/>
      <c r="AD30" s="1225"/>
      <c r="AE30" s="289"/>
      <c r="AF30" s="289"/>
      <c r="AG30" s="1221"/>
      <c r="AH30" s="1204"/>
      <c r="AI30" s="1206"/>
      <c r="AJ30" s="289"/>
      <c r="AK30" s="1232"/>
      <c r="AL30" s="301"/>
      <c r="AM30" s="1225"/>
      <c r="AN30" s="289"/>
      <c r="AO30" s="289"/>
      <c r="AP30" s="289">
        <v>720</v>
      </c>
      <c r="AQ30" s="1290"/>
      <c r="AR30" s="1205"/>
      <c r="AS30" s="353"/>
      <c r="AT30" s="1231" t="s">
        <v>1008</v>
      </c>
    </row>
    <row r="31" spans="1:46" ht="39.6" customHeight="1" x14ac:dyDescent="0.3">
      <c r="A31" s="2260">
        <v>45672</v>
      </c>
      <c r="B31" s="1218">
        <v>1</v>
      </c>
      <c r="C31" s="1219"/>
      <c r="D31" s="1220"/>
      <c r="E31" s="1220"/>
      <c r="F31" s="1221"/>
      <c r="G31" s="1204"/>
      <c r="H31" s="1332"/>
      <c r="I31" s="1331"/>
      <c r="J31" s="1232"/>
      <c r="K31" s="1208"/>
      <c r="L31" s="1225"/>
      <c r="M31" s="289"/>
      <c r="N31" s="289"/>
      <c r="O31" s="1221"/>
      <c r="P31" s="1226"/>
      <c r="Q31" s="289"/>
      <c r="R31" s="289"/>
      <c r="S31" s="1232"/>
      <c r="T31" s="1208"/>
      <c r="U31" s="1225"/>
      <c r="V31" s="289"/>
      <c r="W31" s="289">
        <v>10</v>
      </c>
      <c r="X31" s="1221"/>
      <c r="Y31" s="1295"/>
      <c r="Z31" s="1338"/>
      <c r="AA31" s="1339" t="s">
        <v>152</v>
      </c>
      <c r="AB31" s="1335"/>
      <c r="AC31" s="1208"/>
      <c r="AD31" s="1225"/>
      <c r="AE31" s="289"/>
      <c r="AF31" s="289"/>
      <c r="AG31" s="1221"/>
      <c r="AH31" s="1204"/>
      <c r="AI31" s="289"/>
      <c r="AJ31" s="289"/>
      <c r="AK31" s="1232"/>
      <c r="AL31" s="301"/>
      <c r="AM31" s="1225"/>
      <c r="AN31" s="289"/>
      <c r="AO31" s="289"/>
      <c r="AP31" s="289">
        <v>720</v>
      </c>
      <c r="AQ31" s="1226"/>
      <c r="AR31" s="1205"/>
      <c r="AS31" s="289"/>
      <c r="AT31" s="1231" t="s">
        <v>1008</v>
      </c>
    </row>
    <row r="32" spans="1:46" ht="63" customHeight="1" x14ac:dyDescent="0.3">
      <c r="A32" s="2261"/>
      <c r="B32" s="1218">
        <v>2</v>
      </c>
      <c r="C32" s="1330"/>
      <c r="D32" s="1325"/>
      <c r="E32" s="1299">
        <v>35</v>
      </c>
      <c r="F32" s="1325"/>
      <c r="G32" s="1204"/>
      <c r="H32" s="1332"/>
      <c r="I32" s="1331" t="s">
        <v>152</v>
      </c>
      <c r="J32" s="1232"/>
      <c r="K32" s="1208"/>
      <c r="L32" s="1225"/>
      <c r="M32" s="289"/>
      <c r="N32" s="289"/>
      <c r="O32" s="289"/>
      <c r="P32" s="1226"/>
      <c r="Q32" s="1332"/>
      <c r="R32" s="1226"/>
      <c r="S32" s="1232"/>
      <c r="T32" s="1208"/>
      <c r="U32" s="1225"/>
      <c r="V32" s="289"/>
      <c r="W32" s="1220">
        <v>100</v>
      </c>
      <c r="X32" s="289"/>
      <c r="Y32" s="1243"/>
      <c r="Z32" s="1342"/>
      <c r="AA32" s="1341" t="s">
        <v>328</v>
      </c>
      <c r="AB32" s="1335"/>
      <c r="AC32" s="1208"/>
      <c r="AD32" s="1225"/>
      <c r="AE32" s="289"/>
      <c r="AF32" s="1220"/>
      <c r="AG32" s="289"/>
      <c r="AH32" s="1204"/>
      <c r="AI32" s="1332"/>
      <c r="AJ32" s="1331"/>
      <c r="AK32" s="1232"/>
      <c r="AL32" s="301"/>
      <c r="AM32" s="1225"/>
      <c r="AN32" s="289"/>
      <c r="AO32" s="289">
        <v>83</v>
      </c>
      <c r="AP32" s="289">
        <v>118</v>
      </c>
      <c r="AQ32" s="1226"/>
      <c r="AR32" s="1205"/>
      <c r="AS32" s="1297" t="s">
        <v>328</v>
      </c>
      <c r="AT32" s="1231" t="s">
        <v>1008</v>
      </c>
    </row>
    <row r="33" spans="1:46" ht="43.15" customHeight="1" x14ac:dyDescent="0.3">
      <c r="A33" s="2260">
        <v>45673</v>
      </c>
      <c r="B33" s="1218">
        <v>1</v>
      </c>
      <c r="C33" s="1219"/>
      <c r="D33" s="1220"/>
      <c r="E33" s="1220">
        <v>33</v>
      </c>
      <c r="F33" s="1221"/>
      <c r="G33" s="1204"/>
      <c r="H33" s="1332"/>
      <c r="I33" s="1331" t="s">
        <v>152</v>
      </c>
      <c r="J33" s="1232"/>
      <c r="K33" s="1208"/>
      <c r="L33" s="1225"/>
      <c r="M33" s="289"/>
      <c r="N33" s="289"/>
      <c r="O33" s="1221"/>
      <c r="P33" s="1226"/>
      <c r="Q33" s="289"/>
      <c r="R33" s="289"/>
      <c r="S33" s="1232"/>
      <c r="T33" s="1208"/>
      <c r="U33" s="1225"/>
      <c r="V33" s="289"/>
      <c r="W33" s="289">
        <v>20</v>
      </c>
      <c r="X33" s="1221"/>
      <c r="Y33" s="1226"/>
      <c r="Z33" s="263"/>
      <c r="AA33" s="1341" t="s">
        <v>328</v>
      </c>
      <c r="AB33" s="1232"/>
      <c r="AC33" s="1208"/>
      <c r="AD33" s="1225"/>
      <c r="AE33" s="289"/>
      <c r="AF33" s="289"/>
      <c r="AG33" s="1221"/>
      <c r="AH33" s="1226"/>
      <c r="AI33" s="1343"/>
      <c r="AJ33" s="1331"/>
      <c r="AK33" s="1232"/>
      <c r="AL33" s="301"/>
      <c r="AM33" s="1225"/>
      <c r="AN33" s="289"/>
      <c r="AO33" s="289"/>
      <c r="AP33" s="289">
        <v>720</v>
      </c>
      <c r="AQ33" s="1226"/>
      <c r="AR33" s="1343"/>
      <c r="AS33" s="1226"/>
      <c r="AT33" s="1232" t="s">
        <v>1008</v>
      </c>
    </row>
    <row r="34" spans="1:46" ht="67.900000000000006" customHeight="1" x14ac:dyDescent="0.3">
      <c r="A34" s="2261"/>
      <c r="B34" s="1244">
        <v>2</v>
      </c>
      <c r="C34" s="1220"/>
      <c r="D34" s="1220"/>
      <c r="E34" s="1220"/>
      <c r="F34" s="1221"/>
      <c r="G34" s="1222"/>
      <c r="H34" s="1206"/>
      <c r="I34" s="1228"/>
      <c r="J34" s="1232"/>
      <c r="K34" s="1208"/>
      <c r="L34" s="1225"/>
      <c r="M34" s="289">
        <v>31</v>
      </c>
      <c r="N34" s="289"/>
      <c r="O34" s="1221"/>
      <c r="P34" s="1226"/>
      <c r="Q34" s="1206" t="s">
        <v>1021</v>
      </c>
      <c r="R34" s="289"/>
      <c r="S34" s="1232"/>
      <c r="T34" s="1208"/>
      <c r="U34" s="1225"/>
      <c r="V34" s="289"/>
      <c r="W34" s="289">
        <v>30</v>
      </c>
      <c r="X34" s="1221"/>
      <c r="Y34" s="407"/>
      <c r="Z34" s="407"/>
      <c r="AA34" s="1341" t="s">
        <v>328</v>
      </c>
      <c r="AB34" s="1232"/>
      <c r="AC34" s="1208"/>
      <c r="AD34" s="1225">
        <v>136</v>
      </c>
      <c r="AE34" s="289"/>
      <c r="AF34" s="289"/>
      <c r="AG34" s="1221"/>
      <c r="AH34" s="1226"/>
      <c r="AI34" s="289"/>
      <c r="AJ34" s="407" t="s">
        <v>1025</v>
      </c>
      <c r="AK34" s="1232"/>
      <c r="AL34" s="301"/>
      <c r="AM34" s="1225"/>
      <c r="AN34" s="289"/>
      <c r="AO34" s="289"/>
      <c r="AP34" s="289">
        <v>720</v>
      </c>
      <c r="AQ34" s="1226"/>
      <c r="AR34" s="1343"/>
      <c r="AS34" s="1206"/>
      <c r="AT34" s="1232" t="s">
        <v>1008</v>
      </c>
    </row>
    <row r="35" spans="1:46" ht="51" customHeight="1" x14ac:dyDescent="0.3">
      <c r="A35" s="2260">
        <v>45674</v>
      </c>
      <c r="B35" s="1218">
        <v>1</v>
      </c>
      <c r="C35" s="1220"/>
      <c r="D35" s="1220"/>
      <c r="E35" s="353"/>
      <c r="F35" s="1221"/>
      <c r="G35" s="1246"/>
      <c r="H35" s="1226"/>
      <c r="I35" s="1228"/>
      <c r="J35" s="1232"/>
      <c r="K35" s="1208"/>
      <c r="L35" s="1225"/>
      <c r="M35" s="289">
        <v>43</v>
      </c>
      <c r="N35" s="289"/>
      <c r="O35" s="1221"/>
      <c r="P35" s="1246"/>
      <c r="Q35" s="1206" t="s">
        <v>1021</v>
      </c>
      <c r="R35" s="1206"/>
      <c r="S35" s="1232"/>
      <c r="T35" s="1208"/>
      <c r="U35" s="1225"/>
      <c r="V35" s="289"/>
      <c r="W35" s="353"/>
      <c r="X35" s="1221"/>
      <c r="Y35" s="1246"/>
      <c r="Z35" s="407"/>
      <c r="AA35" s="1228"/>
      <c r="AB35" s="1232"/>
      <c r="AC35" s="1208"/>
      <c r="AD35" s="1225"/>
      <c r="AE35" s="289"/>
      <c r="AF35" s="289"/>
      <c r="AG35" s="1221"/>
      <c r="AH35" s="1246"/>
      <c r="AI35" s="1344"/>
      <c r="AJ35" s="1297"/>
      <c r="AK35" s="1232"/>
      <c r="AL35" s="301"/>
      <c r="AM35" s="1225"/>
      <c r="AN35" s="289"/>
      <c r="AO35" s="289"/>
      <c r="AP35" s="289">
        <v>720</v>
      </c>
      <c r="AQ35" s="1226"/>
      <c r="AR35" s="1343"/>
      <c r="AS35" s="1295"/>
      <c r="AT35" s="1232" t="s">
        <v>1008</v>
      </c>
    </row>
    <row r="36" spans="1:46" ht="46.9" customHeight="1" x14ac:dyDescent="0.3">
      <c r="A36" s="2261"/>
      <c r="B36" s="1218">
        <v>2</v>
      </c>
      <c r="C36" s="353"/>
      <c r="D36" s="289"/>
      <c r="E36" s="353"/>
      <c r="F36" s="1221"/>
      <c r="G36" s="1234"/>
      <c r="H36" s="1206"/>
      <c r="I36" s="1234"/>
      <c r="J36" s="1232"/>
      <c r="K36" s="1208"/>
      <c r="L36" s="1246"/>
      <c r="M36" s="289">
        <v>10</v>
      </c>
      <c r="N36" s="289"/>
      <c r="O36" s="1221"/>
      <c r="P36" s="1246"/>
      <c r="Q36" s="1206" t="s">
        <v>1021</v>
      </c>
      <c r="R36" s="407"/>
      <c r="S36" s="1232"/>
      <c r="T36" s="1208"/>
      <c r="U36" s="1225"/>
      <c r="V36" s="289"/>
      <c r="W36" s="289">
        <v>25</v>
      </c>
      <c r="X36" s="1221"/>
      <c r="Y36" s="1246"/>
      <c r="Z36" s="1206"/>
      <c r="AA36" s="1228" t="s">
        <v>152</v>
      </c>
      <c r="AB36" s="1232"/>
      <c r="AC36" s="1208"/>
      <c r="AD36" s="1225"/>
      <c r="AE36" s="289"/>
      <c r="AF36" s="353"/>
      <c r="AG36" s="1221"/>
      <c r="AH36" s="1246"/>
      <c r="AI36" s="1343"/>
      <c r="AJ36" s="1331"/>
      <c r="AK36" s="1232"/>
      <c r="AL36" s="301"/>
      <c r="AM36" s="1225"/>
      <c r="AN36" s="289"/>
      <c r="AO36" s="289"/>
      <c r="AP36" s="289">
        <v>720</v>
      </c>
      <c r="AQ36" s="1226"/>
      <c r="AR36" s="1343"/>
      <c r="AS36" s="1296"/>
      <c r="AT36" s="1232" t="s">
        <v>1008</v>
      </c>
    </row>
    <row r="37" spans="1:46" ht="59.45" customHeight="1" x14ac:dyDescent="0.3">
      <c r="A37" s="2260">
        <v>45675</v>
      </c>
      <c r="B37" s="1244">
        <v>1</v>
      </c>
      <c r="C37" s="353"/>
      <c r="D37" s="1220"/>
      <c r="E37" s="353"/>
      <c r="F37" s="1221"/>
      <c r="G37" s="1234"/>
      <c r="H37" s="1290"/>
      <c r="I37" s="1223"/>
      <c r="J37" s="1232"/>
      <c r="K37" s="1208"/>
      <c r="L37" s="1225"/>
      <c r="M37" s="289">
        <v>18</v>
      </c>
      <c r="N37" s="289"/>
      <c r="O37" s="1221"/>
      <c r="P37" s="1226"/>
      <c r="Q37" s="1206" t="s">
        <v>1021</v>
      </c>
      <c r="R37" s="289"/>
      <c r="S37" s="1232"/>
      <c r="T37" s="1208"/>
      <c r="U37" s="1225"/>
      <c r="V37" s="289"/>
      <c r="W37" s="289">
        <v>15</v>
      </c>
      <c r="X37" s="1221"/>
      <c r="Y37" s="1226"/>
      <c r="Z37" s="407"/>
      <c r="AA37" s="1228" t="s">
        <v>152</v>
      </c>
      <c r="AB37" s="1232"/>
      <c r="AC37" s="1208"/>
      <c r="AD37" s="1225"/>
      <c r="AE37" s="289"/>
      <c r="AF37" s="289"/>
      <c r="AG37" s="1221"/>
      <c r="AH37" s="1290"/>
      <c r="AI37" s="289"/>
      <c r="AJ37" s="1228"/>
      <c r="AK37" s="1232"/>
      <c r="AL37" s="301"/>
      <c r="AM37" s="1225"/>
      <c r="AN37" s="289"/>
      <c r="AO37" s="289"/>
      <c r="AP37" s="289">
        <v>720</v>
      </c>
      <c r="AQ37" s="1226"/>
      <c r="AR37" s="1343"/>
      <c r="AS37" s="1226"/>
      <c r="AT37" s="1232" t="s">
        <v>1008</v>
      </c>
    </row>
    <row r="38" spans="1:46" ht="55.9" customHeight="1" x14ac:dyDescent="0.3">
      <c r="A38" s="2261"/>
      <c r="B38" s="1218">
        <v>2</v>
      </c>
      <c r="C38" s="353"/>
      <c r="D38" s="1220"/>
      <c r="E38" s="353"/>
      <c r="F38" s="1221"/>
      <c r="G38" s="1234"/>
      <c r="H38" s="1290"/>
      <c r="I38" s="1223"/>
      <c r="J38" s="1232"/>
      <c r="K38" s="1208"/>
      <c r="L38" s="1225"/>
      <c r="M38" s="289">
        <v>72</v>
      </c>
      <c r="N38" s="289"/>
      <c r="O38" s="1221"/>
      <c r="P38" s="1290"/>
      <c r="Q38" s="1290" t="s">
        <v>1027</v>
      </c>
      <c r="R38" s="289"/>
      <c r="S38" s="1232"/>
      <c r="T38" s="1208"/>
      <c r="U38" s="1225"/>
      <c r="V38" s="289"/>
      <c r="W38" s="289">
        <v>15</v>
      </c>
      <c r="X38" s="1221"/>
      <c r="Y38" s="1290"/>
      <c r="Z38" s="407"/>
      <c r="AA38" s="1228" t="s">
        <v>152</v>
      </c>
      <c r="AB38" s="1232"/>
      <c r="AC38" s="1208"/>
      <c r="AD38" s="1225"/>
      <c r="AE38" s="289"/>
      <c r="AF38" s="289"/>
      <c r="AG38" s="1221"/>
      <c r="AH38" s="1290"/>
      <c r="AI38" s="289"/>
      <c r="AJ38" s="1228"/>
      <c r="AK38" s="1232"/>
      <c r="AL38" s="301"/>
      <c r="AM38" s="1225"/>
      <c r="AN38" s="289"/>
      <c r="AO38" s="289"/>
      <c r="AP38" s="289">
        <v>720</v>
      </c>
      <c r="AQ38" s="1226"/>
      <c r="AR38" s="1343"/>
      <c r="AS38" s="1296"/>
      <c r="AT38" s="1232" t="s">
        <v>1008</v>
      </c>
    </row>
    <row r="39" spans="1:46" ht="70.900000000000006" customHeight="1" x14ac:dyDescent="0.3">
      <c r="A39" s="2260">
        <v>45676</v>
      </c>
      <c r="B39" s="1218">
        <v>1</v>
      </c>
      <c r="C39" s="353"/>
      <c r="D39" s="1220"/>
      <c r="E39" s="1220"/>
      <c r="F39" s="1221"/>
      <c r="G39" s="1234"/>
      <c r="H39" s="1290"/>
      <c r="I39" s="1223"/>
      <c r="J39" s="1232"/>
      <c r="K39" s="1208"/>
      <c r="L39" s="1225"/>
      <c r="M39" s="289">
        <v>26</v>
      </c>
      <c r="N39" s="289"/>
      <c r="O39" s="1221"/>
      <c r="P39" s="1234"/>
      <c r="Q39" s="1206" t="s">
        <v>1021</v>
      </c>
      <c r="R39" s="289"/>
      <c r="S39" s="1232"/>
      <c r="T39" s="1208"/>
      <c r="U39" s="1225"/>
      <c r="V39" s="289"/>
      <c r="W39" s="289"/>
      <c r="X39" s="1221"/>
      <c r="Y39" s="1226"/>
      <c r="Z39" s="1206"/>
      <c r="AA39" s="1228"/>
      <c r="AB39" s="1232"/>
      <c r="AC39" s="1208"/>
      <c r="AD39" s="1225"/>
      <c r="AE39" s="289"/>
      <c r="AF39" s="289"/>
      <c r="AG39" s="1221"/>
      <c r="AH39" s="1234"/>
      <c r="AI39" s="1205"/>
      <c r="AJ39" s="1228"/>
      <c r="AK39" s="1232"/>
      <c r="AL39" s="301"/>
      <c r="AM39" s="1225"/>
      <c r="AN39" s="289"/>
      <c r="AO39" s="289"/>
      <c r="AP39" s="289">
        <v>720</v>
      </c>
      <c r="AQ39" s="1226"/>
      <c r="AR39" s="1343"/>
      <c r="AS39" s="1331"/>
      <c r="AT39" s="1232" t="s">
        <v>1008</v>
      </c>
    </row>
    <row r="40" spans="1:46" ht="72.599999999999994" customHeight="1" x14ac:dyDescent="0.3">
      <c r="A40" s="2261"/>
      <c r="B40" s="1218">
        <v>2</v>
      </c>
      <c r="C40" s="1220"/>
      <c r="D40" s="1220"/>
      <c r="E40" s="1220"/>
      <c r="F40" s="1221"/>
      <c r="G40" s="1234"/>
      <c r="H40" s="1290"/>
      <c r="I40" s="1223"/>
      <c r="J40" s="1232"/>
      <c r="K40" s="1208"/>
      <c r="L40" s="1225"/>
      <c r="M40" s="289">
        <v>492</v>
      </c>
      <c r="N40" s="289"/>
      <c r="O40" s="1221"/>
      <c r="P40" s="1204"/>
      <c r="Q40" s="1205" t="s">
        <v>1016</v>
      </c>
      <c r="R40" s="1234"/>
      <c r="S40" s="1232"/>
      <c r="T40" s="1208"/>
      <c r="U40" s="1225"/>
      <c r="V40" s="289"/>
      <c r="W40" s="289">
        <v>10</v>
      </c>
      <c r="X40" s="1221"/>
      <c r="Y40" s="1290"/>
      <c r="Z40" s="289"/>
      <c r="AA40" s="1228" t="s">
        <v>152</v>
      </c>
      <c r="AB40" s="1232"/>
      <c r="AC40" s="1208"/>
      <c r="AD40" s="1225"/>
      <c r="AE40" s="289"/>
      <c r="AF40" s="289"/>
      <c r="AG40" s="1221"/>
      <c r="AH40" s="1246"/>
      <c r="AI40" s="1206"/>
      <c r="AJ40" s="1228"/>
      <c r="AK40" s="1232"/>
      <c r="AL40" s="301"/>
      <c r="AM40" s="1246"/>
      <c r="AN40" s="289"/>
      <c r="AO40" s="289"/>
      <c r="AP40" s="289">
        <v>720</v>
      </c>
      <c r="AQ40" s="1226"/>
      <c r="AR40" s="1343"/>
      <c r="AS40" s="1234"/>
      <c r="AT40" s="1232" t="s">
        <v>1008</v>
      </c>
    </row>
    <row r="41" spans="1:46" ht="39.6" customHeight="1" x14ac:dyDescent="0.3">
      <c r="A41" s="2260">
        <v>45677</v>
      </c>
      <c r="B41" s="1218">
        <v>1</v>
      </c>
      <c r="C41" s="1219"/>
      <c r="D41" s="1220"/>
      <c r="E41" s="1220"/>
      <c r="F41" s="1221"/>
      <c r="G41" s="1204"/>
      <c r="H41" s="1206"/>
      <c r="I41" s="1223"/>
      <c r="J41" s="1232"/>
      <c r="K41" s="1208"/>
      <c r="L41" s="1225"/>
      <c r="M41" s="289"/>
      <c r="N41" s="289"/>
      <c r="O41" s="1221"/>
      <c r="P41" s="1226"/>
      <c r="Q41" s="289"/>
      <c r="R41" s="1234"/>
      <c r="S41" s="1232"/>
      <c r="T41" s="1208"/>
      <c r="U41" s="1225"/>
      <c r="V41" s="289">
        <v>21</v>
      </c>
      <c r="W41" s="289"/>
      <c r="X41" s="1221"/>
      <c r="Y41" s="1226"/>
      <c r="Z41" s="407" t="s">
        <v>1026</v>
      </c>
      <c r="AA41" s="1228"/>
      <c r="AB41" s="1232"/>
      <c r="AC41" s="1208"/>
      <c r="AD41" s="1225"/>
      <c r="AE41" s="289"/>
      <c r="AF41" s="289"/>
      <c r="AG41" s="1221"/>
      <c r="AH41" s="1246"/>
      <c r="AI41" s="407"/>
      <c r="AJ41" s="289"/>
      <c r="AK41" s="1232"/>
      <c r="AL41" s="301"/>
      <c r="AM41" s="1225"/>
      <c r="AN41" s="289"/>
      <c r="AO41" s="289"/>
      <c r="AP41" s="289">
        <v>720</v>
      </c>
      <c r="AQ41" s="1226"/>
      <c r="AR41" s="1343"/>
      <c r="AS41" s="1234"/>
      <c r="AT41" s="1232" t="s">
        <v>1008</v>
      </c>
    </row>
    <row r="42" spans="1:46" ht="52.9" customHeight="1" x14ac:dyDescent="0.3">
      <c r="A42" s="2261"/>
      <c r="B42" s="1218">
        <v>2</v>
      </c>
      <c r="C42" s="1220"/>
      <c r="D42" s="1220">
        <v>211</v>
      </c>
      <c r="E42" s="1220"/>
      <c r="F42" s="1221"/>
      <c r="G42" s="1204"/>
      <c r="H42" s="1206" t="s">
        <v>1028</v>
      </c>
      <c r="I42" s="1234"/>
      <c r="J42" s="1232"/>
      <c r="K42" s="1208"/>
      <c r="L42" s="1225"/>
      <c r="M42" s="289"/>
      <c r="N42" s="289"/>
      <c r="O42" s="1221"/>
      <c r="P42" s="1226"/>
      <c r="Q42" s="407"/>
      <c r="R42" s="289"/>
      <c r="S42" s="1232"/>
      <c r="T42" s="1208"/>
      <c r="U42" s="1225"/>
      <c r="V42" s="289"/>
      <c r="W42" s="289">
        <v>27</v>
      </c>
      <c r="X42" s="1221"/>
      <c r="Y42" s="1290"/>
      <c r="Z42" s="289"/>
      <c r="AA42" s="1228" t="s">
        <v>152</v>
      </c>
      <c r="AB42" s="1232"/>
      <c r="AC42" s="1208"/>
      <c r="AD42" s="1225"/>
      <c r="AE42" s="289"/>
      <c r="AF42" s="289"/>
      <c r="AG42" s="1221"/>
      <c r="AH42" s="1226"/>
      <c r="AI42" s="407"/>
      <c r="AJ42" s="289"/>
      <c r="AK42" s="1232"/>
      <c r="AL42" s="301"/>
      <c r="AM42" s="1225"/>
      <c r="AN42" s="289"/>
      <c r="AO42" s="289"/>
      <c r="AP42" s="289">
        <v>669</v>
      </c>
      <c r="AQ42" s="1226"/>
      <c r="AR42" s="1343"/>
      <c r="AS42" s="289"/>
      <c r="AT42" s="1232" t="s">
        <v>1008</v>
      </c>
    </row>
    <row r="43" spans="1:46" ht="65.45" customHeight="1" x14ac:dyDescent="0.3">
      <c r="A43" s="2260">
        <v>45678</v>
      </c>
      <c r="B43" s="1218">
        <v>1</v>
      </c>
      <c r="C43" s="1220"/>
      <c r="D43" s="1220"/>
      <c r="E43" s="1220"/>
      <c r="F43" s="1221"/>
      <c r="G43" s="1205"/>
      <c r="H43" s="1205"/>
      <c r="I43" s="1234"/>
      <c r="J43" s="1232"/>
      <c r="K43" s="1208"/>
      <c r="L43" s="1225"/>
      <c r="M43" s="289"/>
      <c r="N43" s="289"/>
      <c r="O43" s="1221"/>
      <c r="P43" s="1226"/>
      <c r="Q43" s="289"/>
      <c r="R43" s="289"/>
      <c r="S43" s="1232"/>
      <c r="T43" s="1208"/>
      <c r="U43" s="1225"/>
      <c r="V43" s="289"/>
      <c r="W43" s="289">
        <v>10</v>
      </c>
      <c r="X43" s="1221"/>
      <c r="Y43" s="1226"/>
      <c r="Z43" s="289"/>
      <c r="AA43" s="1228" t="s">
        <v>152</v>
      </c>
      <c r="AB43" s="1232"/>
      <c r="AC43" s="1208"/>
      <c r="AD43" s="1225"/>
      <c r="AE43" s="289"/>
      <c r="AF43" s="289"/>
      <c r="AG43" s="1221"/>
      <c r="AH43" s="407"/>
      <c r="AI43" s="1206"/>
      <c r="AJ43" s="289"/>
      <c r="AK43" s="1232"/>
      <c r="AL43" s="301"/>
      <c r="AM43" s="1225"/>
      <c r="AN43" s="289"/>
      <c r="AO43" s="289"/>
      <c r="AP43" s="289">
        <v>65</v>
      </c>
      <c r="AQ43" s="407"/>
      <c r="AR43" s="1343"/>
      <c r="AS43" s="289"/>
      <c r="AT43" s="1232" t="s">
        <v>1008</v>
      </c>
    </row>
    <row r="44" spans="1:46" ht="69" customHeight="1" x14ac:dyDescent="0.3">
      <c r="A44" s="2261"/>
      <c r="B44" s="1218">
        <v>2</v>
      </c>
      <c r="C44" s="1220"/>
      <c r="D44" s="1220"/>
      <c r="E44" s="1220"/>
      <c r="F44" s="1221"/>
      <c r="G44" s="1205"/>
      <c r="H44" s="1290"/>
      <c r="I44" s="1234"/>
      <c r="J44" s="1232"/>
      <c r="K44" s="1208"/>
      <c r="L44" s="1225">
        <v>139</v>
      </c>
      <c r="M44" s="289"/>
      <c r="N44" s="289"/>
      <c r="O44" s="1214"/>
      <c r="P44" s="1290" t="s">
        <v>1029</v>
      </c>
      <c r="Q44" s="289"/>
      <c r="R44" s="407"/>
      <c r="S44" s="1232"/>
      <c r="T44" s="1208"/>
      <c r="U44" s="1225"/>
      <c r="V44" s="289"/>
      <c r="W44" s="1220">
        <v>23</v>
      </c>
      <c r="X44" s="1221"/>
      <c r="Y44" s="1205"/>
      <c r="Z44" s="1206"/>
      <c r="AA44" s="1228" t="s">
        <v>152</v>
      </c>
      <c r="AB44" s="1232"/>
      <c r="AC44" s="1208"/>
      <c r="AD44" s="1225"/>
      <c r="AE44" s="289"/>
      <c r="AF44" s="289"/>
      <c r="AG44" s="1214"/>
      <c r="AH44" s="1226"/>
      <c r="AI44" s="407"/>
      <c r="AJ44" s="1228"/>
      <c r="AK44" s="1232"/>
      <c r="AL44" s="301"/>
      <c r="AM44" s="1225"/>
      <c r="AN44" s="289"/>
      <c r="AO44" s="289"/>
      <c r="AP44" s="289"/>
      <c r="AQ44" s="1226"/>
      <c r="AR44" s="407"/>
      <c r="AS44" s="407"/>
      <c r="AT44" s="1232"/>
    </row>
    <row r="45" spans="1:46" ht="69" customHeight="1" x14ac:dyDescent="0.3">
      <c r="A45" s="2260">
        <v>45679</v>
      </c>
      <c r="B45" s="1218">
        <v>1</v>
      </c>
      <c r="C45" s="1220"/>
      <c r="D45" s="1220"/>
      <c r="E45" s="1220"/>
      <c r="F45" s="1221">
        <v>189</v>
      </c>
      <c r="G45" s="1205"/>
      <c r="H45" s="1205"/>
      <c r="I45" s="1234"/>
      <c r="J45" s="1232" t="s">
        <v>975</v>
      </c>
      <c r="K45" s="1208"/>
      <c r="L45" s="1225"/>
      <c r="M45" s="289"/>
      <c r="N45" s="289"/>
      <c r="O45" s="1214">
        <v>189</v>
      </c>
      <c r="P45" s="1226"/>
      <c r="Q45" s="407"/>
      <c r="R45" s="289"/>
      <c r="S45" s="1232" t="s">
        <v>975</v>
      </c>
      <c r="T45" s="1208"/>
      <c r="U45" s="1225"/>
      <c r="V45" s="407"/>
      <c r="W45" s="289">
        <v>17</v>
      </c>
      <c r="X45" s="1221">
        <v>189</v>
      </c>
      <c r="Y45" s="1226"/>
      <c r="Z45" s="407"/>
      <c r="AA45" s="1228" t="s">
        <v>328</v>
      </c>
      <c r="AB45" s="1232" t="s">
        <v>975</v>
      </c>
      <c r="AC45" s="1208"/>
      <c r="AD45" s="1225"/>
      <c r="AE45" s="289"/>
      <c r="AF45" s="289"/>
      <c r="AG45" s="1214">
        <v>189</v>
      </c>
      <c r="AH45" s="1226"/>
      <c r="AI45" s="407"/>
      <c r="AJ45" s="407"/>
      <c r="AK45" s="1232" t="s">
        <v>975</v>
      </c>
      <c r="AL45" s="301"/>
      <c r="AM45" s="1225"/>
      <c r="AN45" s="289"/>
      <c r="AO45" s="289"/>
      <c r="AP45" s="289"/>
      <c r="AQ45" s="1226"/>
      <c r="AR45" s="407"/>
      <c r="AS45" s="289"/>
      <c r="AT45" s="1232"/>
    </row>
    <row r="46" spans="1:46" ht="48.6" customHeight="1" x14ac:dyDescent="0.3">
      <c r="A46" s="2261"/>
      <c r="B46" s="1218">
        <v>2</v>
      </c>
      <c r="C46" s="1220"/>
      <c r="D46" s="1220"/>
      <c r="E46" s="1220"/>
      <c r="F46" s="1221">
        <v>247</v>
      </c>
      <c r="G46" s="1205"/>
      <c r="H46" s="1205"/>
      <c r="I46" s="1234"/>
      <c r="J46" s="1232" t="s">
        <v>975</v>
      </c>
      <c r="K46" s="1208"/>
      <c r="L46" s="1225"/>
      <c r="M46" s="289"/>
      <c r="N46" s="289"/>
      <c r="O46" s="1251">
        <v>253</v>
      </c>
      <c r="P46" s="1226"/>
      <c r="Q46" s="1206"/>
      <c r="R46" s="407"/>
      <c r="S46" s="1232" t="s">
        <v>975</v>
      </c>
      <c r="T46" s="1208"/>
      <c r="U46" s="1225"/>
      <c r="V46" s="289"/>
      <c r="W46" s="289"/>
      <c r="X46" s="1214">
        <v>299</v>
      </c>
      <c r="Y46" s="289"/>
      <c r="Z46" s="289"/>
      <c r="AA46" s="407"/>
      <c r="AB46" s="1232" t="s">
        <v>975</v>
      </c>
      <c r="AC46" s="1208"/>
      <c r="AD46" s="1225"/>
      <c r="AE46" s="289"/>
      <c r="AF46" s="289"/>
      <c r="AG46" s="1214">
        <v>271</v>
      </c>
      <c r="AH46" s="1290"/>
      <c r="AI46" s="407"/>
      <c r="AJ46" s="1228"/>
      <c r="AK46" s="1232" t="s">
        <v>975</v>
      </c>
      <c r="AL46" s="301"/>
      <c r="AM46" s="1225"/>
      <c r="AN46" s="289"/>
      <c r="AO46" s="289">
        <v>15</v>
      </c>
      <c r="AP46" s="289"/>
      <c r="AQ46" s="1226"/>
      <c r="AR46" s="1206"/>
      <c r="AS46" s="407" t="s">
        <v>152</v>
      </c>
      <c r="AT46" s="1232"/>
    </row>
    <row r="47" spans="1:46" ht="58.9" customHeight="1" x14ac:dyDescent="0.3">
      <c r="A47" s="2260">
        <v>45680</v>
      </c>
      <c r="B47" s="1218">
        <v>1</v>
      </c>
      <c r="C47" s="1220"/>
      <c r="D47" s="1220"/>
      <c r="E47" s="1220"/>
      <c r="F47" s="1221"/>
      <c r="G47" s="1205"/>
      <c r="H47" s="1206"/>
      <c r="I47" s="1234"/>
      <c r="J47" s="1224"/>
      <c r="K47" s="1208"/>
      <c r="L47" s="1225"/>
      <c r="M47" s="289"/>
      <c r="N47" s="289"/>
      <c r="O47" s="1214"/>
      <c r="P47" s="1226"/>
      <c r="Q47" s="289"/>
      <c r="R47" s="289"/>
      <c r="S47" s="1232"/>
      <c r="T47" s="1208"/>
      <c r="U47" s="1225"/>
      <c r="V47" s="289"/>
      <c r="W47" s="289"/>
      <c r="X47" s="1214"/>
      <c r="Y47" s="1205"/>
      <c r="Z47" s="407"/>
      <c r="AA47" s="407"/>
      <c r="AB47" s="1232"/>
      <c r="AC47" s="1208"/>
      <c r="AD47" s="1225"/>
      <c r="AE47" s="289"/>
      <c r="AF47" s="289"/>
      <c r="AG47" s="289">
        <v>720</v>
      </c>
      <c r="AH47" s="1290"/>
      <c r="AI47" s="1206"/>
      <c r="AJ47" s="1228"/>
      <c r="AK47" s="1258" t="s">
        <v>1008</v>
      </c>
      <c r="AL47" s="301"/>
      <c r="AM47" s="1225"/>
      <c r="AN47" s="289"/>
      <c r="AO47" s="289"/>
      <c r="AP47" s="289">
        <v>581</v>
      </c>
      <c r="AQ47" s="1226"/>
      <c r="AR47" s="1206"/>
      <c r="AS47" s="407" t="s">
        <v>1030</v>
      </c>
      <c r="AT47" s="1258" t="s">
        <v>1008</v>
      </c>
    </row>
    <row r="48" spans="1:46" ht="34.9" customHeight="1" x14ac:dyDescent="0.3">
      <c r="A48" s="2261"/>
      <c r="B48" s="1218">
        <v>2</v>
      </c>
      <c r="C48" s="1220"/>
      <c r="D48" s="1220"/>
      <c r="E48" s="1220"/>
      <c r="F48" s="1221"/>
      <c r="G48" s="1206"/>
      <c r="H48" s="1206"/>
      <c r="I48" s="1234"/>
      <c r="J48" s="1232"/>
      <c r="K48" s="1208"/>
      <c r="L48" s="1225"/>
      <c r="M48" s="289"/>
      <c r="N48" s="289"/>
      <c r="O48" s="1221"/>
      <c r="P48" s="1206"/>
      <c r="Q48" s="1206"/>
      <c r="R48" s="1234"/>
      <c r="S48" s="1232"/>
      <c r="T48" s="1208"/>
      <c r="U48" s="1225"/>
      <c r="V48" s="289"/>
      <c r="W48" s="289"/>
      <c r="X48" s="1221"/>
      <c r="Y48" s="1206"/>
      <c r="Z48" s="1206"/>
      <c r="AA48" s="1234"/>
      <c r="AB48" s="1232"/>
      <c r="AC48" s="1208"/>
      <c r="AD48" s="1225"/>
      <c r="AE48" s="289"/>
      <c r="AF48" s="289"/>
      <c r="AG48" s="289">
        <v>720</v>
      </c>
      <c r="AH48" s="1290"/>
      <c r="AI48" s="1206"/>
      <c r="AJ48" s="1228"/>
      <c r="AK48" s="1258" t="s">
        <v>1008</v>
      </c>
      <c r="AL48" s="301"/>
      <c r="AM48" s="1225"/>
      <c r="AN48" s="1344"/>
      <c r="AO48" s="1226"/>
      <c r="AP48" s="1344">
        <v>720</v>
      </c>
      <c r="AQ48" s="1351"/>
      <c r="AR48" s="1206"/>
      <c r="AS48" s="407"/>
      <c r="AT48" s="1258" t="s">
        <v>1008</v>
      </c>
    </row>
    <row r="49" spans="1:46" ht="43.15" customHeight="1" x14ac:dyDescent="0.3">
      <c r="A49" s="2260">
        <v>45681</v>
      </c>
      <c r="B49" s="1218">
        <v>1</v>
      </c>
      <c r="C49" s="1220"/>
      <c r="D49" s="1220"/>
      <c r="E49" s="1220"/>
      <c r="F49" s="1221"/>
      <c r="G49" s="1206"/>
      <c r="H49" s="1205"/>
      <c r="I49" s="1234"/>
      <c r="J49" s="1232"/>
      <c r="K49" s="1208"/>
      <c r="L49" s="1225"/>
      <c r="M49" s="289"/>
      <c r="N49" s="289"/>
      <c r="O49" s="1221"/>
      <c r="P49" s="1206"/>
      <c r="Q49" s="1205"/>
      <c r="R49" s="1234"/>
      <c r="S49" s="1232"/>
      <c r="T49" s="1208"/>
      <c r="U49" s="1225"/>
      <c r="V49" s="289"/>
      <c r="W49" s="289"/>
      <c r="X49" s="1221"/>
      <c r="Y49" s="1206"/>
      <c r="Z49" s="407"/>
      <c r="AA49" s="407"/>
      <c r="AB49" s="1232"/>
      <c r="AC49" s="1208"/>
      <c r="AD49" s="1225"/>
      <c r="AE49" s="289"/>
      <c r="AF49" s="289"/>
      <c r="AG49" s="289">
        <v>720</v>
      </c>
      <c r="AH49" s="1290"/>
      <c r="AI49" s="1205"/>
      <c r="AJ49" s="1228"/>
      <c r="AK49" s="1258" t="s">
        <v>1008</v>
      </c>
      <c r="AL49" s="301"/>
      <c r="AM49" s="1225"/>
      <c r="AN49" s="1344"/>
      <c r="AO49" s="1226"/>
      <c r="AP49" s="1344">
        <v>720</v>
      </c>
      <c r="AQ49" s="1242"/>
      <c r="AR49" s="1206"/>
      <c r="AS49" s="1234"/>
      <c r="AT49" s="1353" t="s">
        <v>1008</v>
      </c>
    </row>
    <row r="50" spans="1:46" ht="51.6" customHeight="1" x14ac:dyDescent="0.3">
      <c r="A50" s="2261"/>
      <c r="B50" s="1218">
        <v>2</v>
      </c>
      <c r="C50" s="1220"/>
      <c r="D50" s="1220"/>
      <c r="E50" s="1220"/>
      <c r="F50" s="1221"/>
      <c r="G50" s="1205"/>
      <c r="H50" s="1205"/>
      <c r="I50" s="1234"/>
      <c r="J50" s="1232"/>
      <c r="K50" s="1208"/>
      <c r="L50" s="1225"/>
      <c r="M50" s="289"/>
      <c r="N50" s="289"/>
      <c r="O50" s="1221"/>
      <c r="P50" s="1205"/>
      <c r="Q50" s="1205"/>
      <c r="R50" s="1234"/>
      <c r="S50" s="1232"/>
      <c r="T50" s="1208"/>
      <c r="U50" s="1225"/>
      <c r="V50" s="289"/>
      <c r="W50" s="289"/>
      <c r="X50" s="1221"/>
      <c r="Y50" s="1205"/>
      <c r="Z50" s="1205"/>
      <c r="AA50" s="1234"/>
      <c r="AB50" s="1232"/>
      <c r="AC50" s="1208"/>
      <c r="AD50" s="1225"/>
      <c r="AE50" s="289"/>
      <c r="AF50" s="289"/>
      <c r="AG50" s="289">
        <v>581</v>
      </c>
      <c r="AH50" s="1290"/>
      <c r="AI50" s="1205"/>
      <c r="AJ50" s="1228"/>
      <c r="AK50" s="1258" t="s">
        <v>1008</v>
      </c>
      <c r="AL50" s="301"/>
      <c r="AM50" s="1225"/>
      <c r="AN50" s="1344"/>
      <c r="AO50" s="289"/>
      <c r="AP50" s="1344">
        <v>720</v>
      </c>
      <c r="AQ50" s="1242"/>
      <c r="AR50" s="1206"/>
      <c r="AS50" s="1234"/>
      <c r="AT50" s="1354" t="s">
        <v>1008</v>
      </c>
    </row>
    <row r="51" spans="1:46" ht="34.9" customHeight="1" x14ac:dyDescent="0.3">
      <c r="A51" s="2260">
        <v>45682</v>
      </c>
      <c r="B51" s="1218">
        <v>1</v>
      </c>
      <c r="C51" s="1220"/>
      <c r="D51" s="1220"/>
      <c r="E51" s="1220"/>
      <c r="F51" s="1221">
        <v>22</v>
      </c>
      <c r="G51" s="1205"/>
      <c r="H51" s="1205"/>
      <c r="I51" s="1234" t="s">
        <v>152</v>
      </c>
      <c r="J51" s="1232"/>
      <c r="K51" s="1208"/>
      <c r="L51" s="1225"/>
      <c r="M51" s="289"/>
      <c r="N51" s="289"/>
      <c r="O51" s="1221"/>
      <c r="P51" s="1205"/>
      <c r="Q51" s="1205"/>
      <c r="R51" s="1234"/>
      <c r="S51" s="1232"/>
      <c r="T51" s="1208"/>
      <c r="U51" s="1225"/>
      <c r="V51" s="289"/>
      <c r="W51" s="289">
        <v>68</v>
      </c>
      <c r="X51" s="1221"/>
      <c r="Y51" s="1205"/>
      <c r="Z51" s="1205"/>
      <c r="AA51" s="1234" t="s">
        <v>152</v>
      </c>
      <c r="AB51" s="1232"/>
      <c r="AC51" s="1208"/>
      <c r="AD51" s="1225"/>
      <c r="AE51" s="289"/>
      <c r="AF51" s="289">
        <v>45</v>
      </c>
      <c r="AG51" s="1221"/>
      <c r="AH51" s="1205"/>
      <c r="AI51" s="1205"/>
      <c r="AJ51" s="1234" t="s">
        <v>328</v>
      </c>
      <c r="AK51" s="1232"/>
      <c r="AL51" s="301"/>
      <c r="AM51" s="1225"/>
      <c r="AN51" s="1344"/>
      <c r="AO51" s="1257"/>
      <c r="AP51" s="1344">
        <v>720</v>
      </c>
      <c r="AQ51" s="1242"/>
      <c r="AR51" s="1206"/>
      <c r="AS51" s="1234"/>
      <c r="AT51" s="1354" t="s">
        <v>1008</v>
      </c>
    </row>
    <row r="52" spans="1:46" ht="49.15" customHeight="1" x14ac:dyDescent="0.3">
      <c r="A52" s="2261"/>
      <c r="B52" s="1218">
        <v>2</v>
      </c>
      <c r="C52" s="1220"/>
      <c r="D52" s="1220"/>
      <c r="E52" s="1220"/>
      <c r="F52" s="1221"/>
      <c r="G52" s="1206"/>
      <c r="H52" s="1206"/>
      <c r="I52" s="1234"/>
      <c r="J52" s="1232"/>
      <c r="K52" s="1208"/>
      <c r="L52" s="1225"/>
      <c r="M52" s="289"/>
      <c r="N52" s="289"/>
      <c r="O52" s="1221"/>
      <c r="P52" s="1206"/>
      <c r="Q52" s="1206"/>
      <c r="R52" s="1234"/>
      <c r="S52" s="1232"/>
      <c r="T52" s="1208"/>
      <c r="U52" s="1225"/>
      <c r="V52" s="289"/>
      <c r="W52" s="289">
        <v>45</v>
      </c>
      <c r="X52" s="1221"/>
      <c r="Y52" s="1206"/>
      <c r="Z52" s="1206"/>
      <c r="AA52" s="1234" t="s">
        <v>328</v>
      </c>
      <c r="AB52" s="1232"/>
      <c r="AC52" s="1208"/>
      <c r="AD52" s="1225"/>
      <c r="AE52" s="289"/>
      <c r="AF52" s="289"/>
      <c r="AG52" s="1221"/>
      <c r="AH52" s="1206" t="s">
        <v>269</v>
      </c>
      <c r="AI52" s="1206"/>
      <c r="AJ52" s="1234"/>
      <c r="AK52" s="1232"/>
      <c r="AL52" s="301"/>
      <c r="AM52" s="1225"/>
      <c r="AN52" s="353"/>
      <c r="AO52" s="1348"/>
      <c r="AP52" s="353">
        <v>636</v>
      </c>
      <c r="AQ52" s="1226"/>
      <c r="AR52" s="1206"/>
      <c r="AS52" s="1234"/>
      <c r="AT52" s="1340" t="s">
        <v>1008</v>
      </c>
    </row>
    <row r="53" spans="1:46" ht="48" customHeight="1" x14ac:dyDescent="0.3">
      <c r="A53" s="2260">
        <v>45683</v>
      </c>
      <c r="B53" s="1218">
        <v>1</v>
      </c>
      <c r="C53" s="1220"/>
      <c r="D53" s="1220"/>
      <c r="E53" s="1220">
        <v>60</v>
      </c>
      <c r="F53" s="1221"/>
      <c r="G53" s="1205"/>
      <c r="H53" s="1205"/>
      <c r="I53" s="1223" t="s">
        <v>152</v>
      </c>
      <c r="J53" s="1232"/>
      <c r="K53" s="1208"/>
      <c r="L53" s="1225"/>
      <c r="M53" s="289"/>
      <c r="N53" s="289"/>
      <c r="O53" s="1214"/>
      <c r="P53" s="1290"/>
      <c r="Q53" s="1206"/>
      <c r="R53" s="289"/>
      <c r="S53" s="1232"/>
      <c r="T53" s="1208"/>
      <c r="U53" s="1225"/>
      <c r="V53" s="289"/>
      <c r="W53" s="289">
        <v>28</v>
      </c>
      <c r="X53" s="1214"/>
      <c r="Y53" s="1290"/>
      <c r="Z53" s="289"/>
      <c r="AA53" s="1228" t="s">
        <v>152</v>
      </c>
      <c r="AB53" s="1214"/>
      <c r="AC53" s="1208"/>
      <c r="AD53" s="1225"/>
      <c r="AE53" s="407"/>
      <c r="AF53" s="289"/>
      <c r="AG53" s="1214"/>
      <c r="AH53" s="1226"/>
      <c r="AI53" s="289"/>
      <c r="AJ53" s="407"/>
      <c r="AK53" s="1214"/>
      <c r="AL53" s="301"/>
      <c r="AM53" s="1225"/>
      <c r="AN53" s="1235"/>
      <c r="AO53" s="1350"/>
      <c r="AP53" s="1235">
        <v>720</v>
      </c>
      <c r="AQ53" s="1290"/>
      <c r="AR53" s="1206"/>
      <c r="AS53" s="353"/>
      <c r="AT53" s="1355" t="s">
        <v>1008</v>
      </c>
    </row>
    <row r="54" spans="1:46" ht="45.6" customHeight="1" x14ac:dyDescent="0.3">
      <c r="A54" s="2261"/>
      <c r="B54" s="1252">
        <v>2</v>
      </c>
      <c r="C54" s="1220">
        <v>20</v>
      </c>
      <c r="D54" s="1220"/>
      <c r="E54" s="1220">
        <v>70</v>
      </c>
      <c r="F54" s="1221"/>
      <c r="G54" s="1205" t="s">
        <v>1031</v>
      </c>
      <c r="H54" s="1206"/>
      <c r="I54" s="1223" t="s">
        <v>152</v>
      </c>
      <c r="J54" s="1232"/>
      <c r="K54" s="1208"/>
      <c r="L54" s="1225"/>
      <c r="M54" s="289"/>
      <c r="N54" s="289"/>
      <c r="O54" s="1221"/>
      <c r="P54" s="1205"/>
      <c r="Q54" s="1206"/>
      <c r="R54" s="1205"/>
      <c r="S54" s="1232"/>
      <c r="T54" s="1208"/>
      <c r="U54" s="1225"/>
      <c r="V54" s="289"/>
      <c r="W54" s="289">
        <v>30</v>
      </c>
      <c r="X54" s="1221"/>
      <c r="Y54" s="1206"/>
      <c r="Z54" s="1206"/>
      <c r="AA54" s="1228" t="s">
        <v>152</v>
      </c>
      <c r="AB54" s="1232"/>
      <c r="AC54" s="1208"/>
      <c r="AD54" s="1225"/>
      <c r="AE54" s="289"/>
      <c r="AF54" s="289"/>
      <c r="AG54" s="1214"/>
      <c r="AH54" s="1226"/>
      <c r="AI54" s="1206"/>
      <c r="AJ54" s="289"/>
      <c r="AK54" s="1232"/>
      <c r="AL54" s="301"/>
      <c r="AM54" s="1225"/>
      <c r="AN54" s="1235"/>
      <c r="AO54" s="263"/>
      <c r="AP54" s="1235">
        <v>720</v>
      </c>
      <c r="AQ54" s="1290"/>
      <c r="AR54" s="1206"/>
      <c r="AS54" s="1234"/>
      <c r="AT54" s="1354" t="s">
        <v>1008</v>
      </c>
    </row>
    <row r="55" spans="1:46" ht="39.6" customHeight="1" x14ac:dyDescent="0.3">
      <c r="A55" s="2260">
        <v>45684</v>
      </c>
      <c r="B55" s="1218">
        <v>1</v>
      </c>
      <c r="C55" s="1219"/>
      <c r="D55" s="1220"/>
      <c r="E55" s="1220">
        <v>45</v>
      </c>
      <c r="F55" s="1221"/>
      <c r="G55" s="1205"/>
      <c r="H55" s="1205"/>
      <c r="I55" s="1223" t="s">
        <v>152</v>
      </c>
      <c r="J55" s="1214"/>
      <c r="K55" s="1208"/>
      <c r="L55" s="1225"/>
      <c r="M55" s="289"/>
      <c r="N55" s="289"/>
      <c r="O55" s="1214"/>
      <c r="P55" s="1226"/>
      <c r="Q55" s="1206"/>
      <c r="R55" s="289"/>
      <c r="S55" s="1214"/>
      <c r="T55" s="1208"/>
      <c r="U55" s="1225"/>
      <c r="V55" s="289"/>
      <c r="W55" s="289">
        <v>68</v>
      </c>
      <c r="X55" s="1214"/>
      <c r="Y55" s="1226"/>
      <c r="Z55" s="1205"/>
      <c r="AA55" s="1228" t="s">
        <v>152</v>
      </c>
      <c r="AB55" s="1214"/>
      <c r="AC55" s="1208"/>
      <c r="AD55" s="1225"/>
      <c r="AE55" s="289"/>
      <c r="AF55" s="289"/>
      <c r="AG55" s="1214"/>
      <c r="AH55" s="1226"/>
      <c r="AI55" s="1206"/>
      <c r="AJ55" s="407"/>
      <c r="AK55" s="1214"/>
      <c r="AL55" s="301"/>
      <c r="AM55" s="1225"/>
      <c r="AN55" s="1235"/>
      <c r="AO55" s="289"/>
      <c r="AP55" s="1235">
        <v>720</v>
      </c>
      <c r="AQ55" s="1226"/>
      <c r="AR55" s="1206"/>
      <c r="AS55" s="1234"/>
      <c r="AT55" s="1356" t="s">
        <v>1008</v>
      </c>
    </row>
    <row r="56" spans="1:46" ht="52.5" customHeight="1" x14ac:dyDescent="0.3">
      <c r="A56" s="2261"/>
      <c r="B56" s="1252">
        <v>2</v>
      </c>
      <c r="C56" s="1219"/>
      <c r="D56" s="1220"/>
      <c r="E56" s="1220">
        <v>92</v>
      </c>
      <c r="F56" s="1221"/>
      <c r="G56" s="1206"/>
      <c r="H56" s="1206"/>
      <c r="I56" s="1223" t="s">
        <v>152</v>
      </c>
      <c r="J56" s="1232"/>
      <c r="K56" s="1208"/>
      <c r="L56" s="1225"/>
      <c r="M56" s="289"/>
      <c r="N56" s="289"/>
      <c r="O56" s="1221"/>
      <c r="P56" s="1206"/>
      <c r="Q56" s="1205"/>
      <c r="R56" s="1206"/>
      <c r="S56" s="1232"/>
      <c r="T56" s="1208"/>
      <c r="U56" s="1225">
        <v>43</v>
      </c>
      <c r="V56" s="289"/>
      <c r="W56" s="289">
        <v>13</v>
      </c>
      <c r="X56" s="1221"/>
      <c r="Y56" s="1290" t="s">
        <v>1032</v>
      </c>
      <c r="Z56" s="1205"/>
      <c r="AA56" s="1228" t="s">
        <v>152</v>
      </c>
      <c r="AB56" s="1232"/>
      <c r="AC56" s="1208"/>
      <c r="AD56" s="1225"/>
      <c r="AE56" s="289"/>
      <c r="AF56" s="289"/>
      <c r="AG56" s="1221"/>
      <c r="AH56" s="1206"/>
      <c r="AI56" s="1205"/>
      <c r="AJ56" s="1206"/>
      <c r="AK56" s="1232"/>
      <c r="AL56" s="301"/>
      <c r="AM56" s="1225"/>
      <c r="AN56" s="1235"/>
      <c r="AO56" s="289"/>
      <c r="AP56" s="1235">
        <v>720</v>
      </c>
      <c r="AQ56" s="1206"/>
      <c r="AR56" s="1206"/>
      <c r="AS56" s="289"/>
      <c r="AT56" s="1310" t="s">
        <v>1008</v>
      </c>
    </row>
    <row r="57" spans="1:46" ht="52.15" customHeight="1" x14ac:dyDescent="0.3">
      <c r="A57" s="2260">
        <v>45685</v>
      </c>
      <c r="B57" s="1218">
        <v>1</v>
      </c>
      <c r="C57" s="1219"/>
      <c r="D57" s="1220"/>
      <c r="E57" s="1220">
        <v>48</v>
      </c>
      <c r="F57" s="1221"/>
      <c r="G57" s="1206"/>
      <c r="H57" s="1206"/>
      <c r="I57" s="1234" t="s">
        <v>152</v>
      </c>
      <c r="J57" s="1232"/>
      <c r="K57" s="1208"/>
      <c r="L57" s="1225"/>
      <c r="M57" s="289"/>
      <c r="N57" s="289"/>
      <c r="O57" s="1221"/>
      <c r="P57" s="1206"/>
      <c r="Q57" s="1205"/>
      <c r="R57" s="1206"/>
      <c r="S57" s="1232"/>
      <c r="T57" s="1208"/>
      <c r="U57" s="1225"/>
      <c r="V57" s="289"/>
      <c r="W57" s="289">
        <v>65</v>
      </c>
      <c r="X57" s="1221"/>
      <c r="Y57" s="1206"/>
      <c r="Z57" s="1205"/>
      <c r="AA57" s="407" t="s">
        <v>152</v>
      </c>
      <c r="AB57" s="1232"/>
      <c r="AC57" s="1208"/>
      <c r="AD57" s="1225"/>
      <c r="AE57" s="289"/>
      <c r="AF57" s="289"/>
      <c r="AG57" s="1221"/>
      <c r="AH57" s="1206"/>
      <c r="AI57" s="1205"/>
      <c r="AJ57" s="1206"/>
      <c r="AK57" s="1232"/>
      <c r="AL57" s="301"/>
      <c r="AM57" s="1225"/>
      <c r="AN57" s="1235"/>
      <c r="AO57" s="289"/>
      <c r="AP57" s="1235">
        <v>720</v>
      </c>
      <c r="AQ57" s="1206"/>
      <c r="AR57" s="1206"/>
      <c r="AS57" s="289"/>
      <c r="AT57" s="1232" t="s">
        <v>1008</v>
      </c>
    </row>
    <row r="58" spans="1:46" ht="45" customHeight="1" x14ac:dyDescent="0.3">
      <c r="A58" s="2261"/>
      <c r="B58" s="1252">
        <v>2</v>
      </c>
      <c r="C58" s="1219"/>
      <c r="D58" s="1220"/>
      <c r="E58" s="1220"/>
      <c r="F58" s="1221"/>
      <c r="G58" s="1206"/>
      <c r="H58" s="1206"/>
      <c r="I58" s="1223"/>
      <c r="J58" s="1232"/>
      <c r="K58" s="1208"/>
      <c r="L58" s="1225"/>
      <c r="M58" s="289"/>
      <c r="N58" s="289"/>
      <c r="O58" s="1221"/>
      <c r="P58" s="1206"/>
      <c r="Q58" s="1205"/>
      <c r="R58" s="1206"/>
      <c r="S58" s="1232"/>
      <c r="T58" s="1208"/>
      <c r="U58" s="1225"/>
      <c r="V58" s="289"/>
      <c r="W58" s="289">
        <v>51</v>
      </c>
      <c r="X58" s="1221"/>
      <c r="Y58" s="1206"/>
      <c r="Z58" s="1205"/>
      <c r="AA58" s="407" t="s">
        <v>152</v>
      </c>
      <c r="AB58" s="1232"/>
      <c r="AC58" s="1208"/>
      <c r="AD58" s="1225"/>
      <c r="AE58" s="289"/>
      <c r="AF58" s="289"/>
      <c r="AG58" s="289">
        <v>577</v>
      </c>
      <c r="AH58" s="1206"/>
      <c r="AI58" s="1205" t="s">
        <v>1008</v>
      </c>
      <c r="AJ58" s="289"/>
      <c r="AK58" s="1232" t="s">
        <v>1008</v>
      </c>
      <c r="AL58" s="301"/>
      <c r="AM58" s="1225">
        <v>180</v>
      </c>
      <c r="AN58" s="289"/>
      <c r="AO58" s="289"/>
      <c r="AP58" s="1225">
        <v>180</v>
      </c>
      <c r="AQ58" s="1206"/>
      <c r="AR58" s="1205"/>
      <c r="AS58" s="289"/>
      <c r="AT58" s="1232" t="s">
        <v>1008</v>
      </c>
    </row>
    <row r="59" spans="1:46" ht="48" customHeight="1" x14ac:dyDescent="0.3">
      <c r="A59" s="2260">
        <v>45686</v>
      </c>
      <c r="B59" s="1218">
        <v>1</v>
      </c>
      <c r="C59" s="1219"/>
      <c r="D59" s="1220"/>
      <c r="E59" s="1220"/>
      <c r="F59" s="1221"/>
      <c r="G59" s="1206"/>
      <c r="H59" s="1205"/>
      <c r="I59" s="1223"/>
      <c r="J59" s="1232"/>
      <c r="K59" s="1208"/>
      <c r="L59" s="1225"/>
      <c r="M59" s="289"/>
      <c r="N59" s="289"/>
      <c r="O59" s="1214"/>
      <c r="P59" s="1226"/>
      <c r="Q59" s="407"/>
      <c r="R59" s="289"/>
      <c r="S59" s="1232"/>
      <c r="T59" s="1208"/>
      <c r="U59" s="1225"/>
      <c r="V59" s="289"/>
      <c r="W59" s="289">
        <v>37</v>
      </c>
      <c r="X59" s="1214"/>
      <c r="Y59" s="1206"/>
      <c r="Z59" s="1205"/>
      <c r="AA59" s="1223" t="s">
        <v>328</v>
      </c>
      <c r="AB59" s="1232"/>
      <c r="AC59" s="1208"/>
      <c r="AD59" s="1225"/>
      <c r="AE59" s="289"/>
      <c r="AF59" s="289"/>
      <c r="AG59" s="1214">
        <v>720</v>
      </c>
      <c r="AH59" s="1225"/>
      <c r="AI59" s="289"/>
      <c r="AJ59" s="1206"/>
      <c r="AK59" s="1232" t="s">
        <v>1008</v>
      </c>
      <c r="AL59" s="301"/>
      <c r="AM59" s="1225"/>
      <c r="AN59" s="289"/>
      <c r="AO59" s="289">
        <v>90</v>
      </c>
      <c r="AP59" s="289"/>
      <c r="AQ59" s="1290"/>
      <c r="AR59" s="289"/>
      <c r="AS59" s="407" t="s">
        <v>325</v>
      </c>
      <c r="AT59" s="1232"/>
    </row>
    <row r="60" spans="1:46" ht="44.25" customHeight="1" x14ac:dyDescent="0.3">
      <c r="A60" s="2261"/>
      <c r="B60" s="1252">
        <v>2</v>
      </c>
      <c r="C60" s="1219"/>
      <c r="D60" s="1220"/>
      <c r="E60" s="1220">
        <v>43</v>
      </c>
      <c r="F60" s="1221"/>
      <c r="G60" s="1205"/>
      <c r="H60" s="1206"/>
      <c r="I60" s="1223" t="s">
        <v>328</v>
      </c>
      <c r="J60" s="1232"/>
      <c r="K60" s="1208"/>
      <c r="L60" s="1225"/>
      <c r="M60" s="289"/>
      <c r="N60" s="289"/>
      <c r="O60" s="1214"/>
      <c r="P60" s="1226"/>
      <c r="Q60" s="1206"/>
      <c r="R60" s="289"/>
      <c r="S60" s="1232"/>
      <c r="T60" s="1208"/>
      <c r="U60" s="1225"/>
      <c r="V60" s="289"/>
      <c r="W60" s="289">
        <v>119</v>
      </c>
      <c r="X60" s="1214"/>
      <c r="Y60" s="1290"/>
      <c r="Z60" s="1206"/>
      <c r="AA60" s="1223" t="s">
        <v>328</v>
      </c>
      <c r="AB60" s="1232"/>
      <c r="AC60" s="1208"/>
      <c r="AD60" s="1225"/>
      <c r="AE60" s="1225"/>
      <c r="AF60" s="1225"/>
      <c r="AG60" s="1225">
        <v>720</v>
      </c>
      <c r="AH60" s="1225"/>
      <c r="AI60" s="1206"/>
      <c r="AJ60" s="407"/>
      <c r="AK60" s="1232" t="s">
        <v>1008</v>
      </c>
      <c r="AL60" s="301"/>
      <c r="AM60" s="1225"/>
      <c r="AN60" s="289"/>
      <c r="AO60" s="289">
        <v>50</v>
      </c>
      <c r="AP60" s="289"/>
      <c r="AQ60" s="1226"/>
      <c r="AR60" s="1206"/>
      <c r="AS60" s="407" t="s">
        <v>325</v>
      </c>
      <c r="AT60" s="1232"/>
    </row>
    <row r="61" spans="1:46" ht="56.25" customHeight="1" x14ac:dyDescent="0.3">
      <c r="A61" s="2260">
        <v>45687</v>
      </c>
      <c r="B61" s="1218">
        <v>1</v>
      </c>
      <c r="C61" s="1253">
        <v>235</v>
      </c>
      <c r="D61" s="1254"/>
      <c r="E61" s="1220">
        <v>15</v>
      </c>
      <c r="F61" s="1255"/>
      <c r="G61" s="1205" t="s">
        <v>1033</v>
      </c>
      <c r="H61" s="1250"/>
      <c r="I61" s="1223" t="s">
        <v>328</v>
      </c>
      <c r="J61" s="1224"/>
      <c r="K61" s="1208"/>
      <c r="L61" s="1225"/>
      <c r="M61" s="1225">
        <v>45</v>
      </c>
      <c r="N61" s="289"/>
      <c r="O61" s="1214"/>
      <c r="P61" s="1256"/>
      <c r="Q61" s="1206" t="s">
        <v>1021</v>
      </c>
      <c r="R61" s="1257"/>
      <c r="S61" s="1258"/>
      <c r="T61" s="1208"/>
      <c r="U61" s="1225"/>
      <c r="V61" s="289"/>
      <c r="W61" s="289">
        <v>48</v>
      </c>
      <c r="X61" s="1214"/>
      <c r="Y61" s="1290"/>
      <c r="Z61" s="407"/>
      <c r="AA61" s="1223" t="s">
        <v>328</v>
      </c>
      <c r="AB61" s="1258"/>
      <c r="AC61" s="1208"/>
      <c r="AD61" s="1225">
        <v>12</v>
      </c>
      <c r="AE61" s="289"/>
      <c r="AF61" s="289"/>
      <c r="AG61" s="1214"/>
      <c r="AH61" s="1256" t="s">
        <v>1033</v>
      </c>
      <c r="AI61" s="1260"/>
      <c r="AJ61" s="1260"/>
      <c r="AK61" s="1258"/>
      <c r="AL61" s="301"/>
      <c r="AM61" s="1225">
        <v>85</v>
      </c>
      <c r="AN61" s="289"/>
      <c r="AO61" s="289"/>
      <c r="AP61" s="289"/>
      <c r="AQ61" s="1290" t="s">
        <v>1034</v>
      </c>
      <c r="AR61" s="289"/>
      <c r="AS61" s="407"/>
      <c r="AT61" s="1258"/>
    </row>
    <row r="62" spans="1:46" ht="53.25" customHeight="1" x14ac:dyDescent="0.3">
      <c r="A62" s="2261"/>
      <c r="B62" s="1252">
        <v>2</v>
      </c>
      <c r="C62" s="1253"/>
      <c r="D62" s="1254"/>
      <c r="E62" s="1254">
        <v>45</v>
      </c>
      <c r="F62" s="1255"/>
      <c r="G62" s="1259"/>
      <c r="H62" s="1250"/>
      <c r="I62" s="1223" t="s">
        <v>328</v>
      </c>
      <c r="J62" s="1224"/>
      <c r="K62" s="1208"/>
      <c r="L62" s="1225"/>
      <c r="M62" s="289"/>
      <c r="N62" s="289"/>
      <c r="O62" s="1214"/>
      <c r="P62" s="1256"/>
      <c r="Q62" s="1260"/>
      <c r="R62" s="1257"/>
      <c r="S62" s="1258"/>
      <c r="T62" s="1208"/>
      <c r="U62" s="1225"/>
      <c r="V62" s="289"/>
      <c r="W62" s="289">
        <v>105</v>
      </c>
      <c r="X62" s="1214"/>
      <c r="Y62" s="1290"/>
      <c r="Z62" s="1260"/>
      <c r="AA62" s="1223" t="s">
        <v>328</v>
      </c>
      <c r="AB62" s="1258"/>
      <c r="AC62" s="1208"/>
      <c r="AD62" s="1225"/>
      <c r="AE62" s="289"/>
      <c r="AF62" s="289">
        <v>20</v>
      </c>
      <c r="AG62" s="353"/>
      <c r="AH62" s="2270"/>
      <c r="AI62" s="2271"/>
      <c r="AJ62" s="2272"/>
      <c r="AK62" s="1375"/>
      <c r="AL62" s="301"/>
      <c r="AM62" s="1225"/>
      <c r="AN62" s="289"/>
      <c r="AO62" s="289"/>
      <c r="AP62" s="289"/>
      <c r="AQ62" s="1226"/>
      <c r="AR62" s="289"/>
      <c r="AS62" s="407"/>
      <c r="AT62" s="1258"/>
    </row>
    <row r="63" spans="1:46" ht="35.25" customHeight="1" x14ac:dyDescent="0.3">
      <c r="A63" s="2268">
        <v>45688</v>
      </c>
      <c r="B63" s="1252">
        <v>1</v>
      </c>
      <c r="C63" s="1253"/>
      <c r="D63" s="1254"/>
      <c r="E63" s="1254"/>
      <c r="F63" s="1255"/>
      <c r="G63" s="1259"/>
      <c r="H63" s="1250"/>
      <c r="I63" s="1223"/>
      <c r="J63" s="1224"/>
      <c r="K63" s="1208"/>
      <c r="L63" s="1225"/>
      <c r="M63" s="289"/>
      <c r="N63" s="289"/>
      <c r="O63" s="1214"/>
      <c r="P63" s="1256"/>
      <c r="Q63" s="1260"/>
      <c r="R63" s="1257"/>
      <c r="S63" s="1258"/>
      <c r="T63" s="1208"/>
      <c r="U63" s="1225"/>
      <c r="V63" s="289"/>
      <c r="W63" s="289">
        <v>106</v>
      </c>
      <c r="X63" s="1214"/>
      <c r="Y63" s="1295"/>
      <c r="Z63" s="1361"/>
      <c r="AA63" s="1223" t="s">
        <v>328</v>
      </c>
      <c r="AB63" s="1365"/>
      <c r="AC63" s="1208"/>
      <c r="AD63" s="1225"/>
      <c r="AE63" s="289"/>
      <c r="AF63" s="289">
        <v>33</v>
      </c>
      <c r="AG63" s="1214"/>
      <c r="AH63" s="1378"/>
      <c r="AI63" s="1376"/>
      <c r="AJ63" s="1377" t="s">
        <v>328</v>
      </c>
      <c r="AK63" s="1258"/>
      <c r="AL63" s="301"/>
      <c r="AM63" s="1225"/>
      <c r="AN63" s="289"/>
      <c r="AO63" s="289"/>
      <c r="AP63" s="289"/>
      <c r="AQ63" s="1226"/>
      <c r="AR63" s="289"/>
      <c r="AS63" s="407"/>
      <c r="AT63" s="1258"/>
    </row>
    <row r="64" spans="1:46" ht="64.150000000000006" hidden="1" customHeight="1" x14ac:dyDescent="0.3">
      <c r="A64" s="2269"/>
      <c r="B64" s="1218">
        <v>1</v>
      </c>
      <c r="C64" s="1261"/>
      <c r="D64" s="1262"/>
      <c r="E64" s="1262"/>
      <c r="F64" s="1263"/>
      <c r="G64" s="1264"/>
      <c r="H64" s="1265"/>
      <c r="I64" s="1223"/>
      <c r="J64" s="1224"/>
      <c r="K64" s="1208"/>
      <c r="L64" s="1225"/>
      <c r="M64" s="289"/>
      <c r="N64" s="289"/>
      <c r="O64" s="1221"/>
      <c r="P64" s="1264"/>
      <c r="Q64" s="1265"/>
      <c r="R64" s="1265"/>
      <c r="S64" s="1266"/>
      <c r="T64" s="1208"/>
      <c r="U64" s="1225"/>
      <c r="V64" s="289"/>
      <c r="W64" s="289"/>
      <c r="X64" s="1221"/>
      <c r="Y64" s="1243"/>
      <c r="Z64" s="1362"/>
      <c r="AA64" s="1223" t="s">
        <v>328</v>
      </c>
      <c r="AB64" s="1364"/>
      <c r="AC64" s="1208"/>
      <c r="AD64" s="1225"/>
      <c r="AE64" s="289"/>
      <c r="AF64" s="289"/>
      <c r="AG64" s="1221"/>
      <c r="AH64" s="1204"/>
      <c r="AI64" s="1205"/>
      <c r="AJ64" s="1234" t="s">
        <v>328</v>
      </c>
      <c r="AK64" s="1268"/>
      <c r="AL64" s="301"/>
      <c r="AM64" s="1225"/>
      <c r="AN64" s="289"/>
      <c r="AO64" s="289"/>
      <c r="AP64" s="289"/>
      <c r="AQ64" s="1204"/>
      <c r="AR64" s="1205"/>
      <c r="AS64" s="1205"/>
      <c r="AT64" s="1268"/>
    </row>
    <row r="65" spans="1:46" ht="36" customHeight="1" x14ac:dyDescent="0.3">
      <c r="A65" s="2260"/>
      <c r="B65" s="384">
        <v>2</v>
      </c>
      <c r="C65" s="1269"/>
      <c r="D65" s="1270"/>
      <c r="E65" s="1270">
        <v>22</v>
      </c>
      <c r="F65" s="1271"/>
      <c r="G65" s="1272"/>
      <c r="H65" s="1273"/>
      <c r="I65" s="1223" t="s">
        <v>328</v>
      </c>
      <c r="J65" s="1275"/>
      <c r="K65" s="1208"/>
      <c r="L65" s="1276"/>
      <c r="M65" s="1277"/>
      <c r="N65" s="1277"/>
      <c r="O65" s="1278"/>
      <c r="P65" s="1279"/>
      <c r="Q65" s="1280"/>
      <c r="R65" s="1280"/>
      <c r="S65" s="1281"/>
      <c r="T65" s="1208"/>
      <c r="U65" s="1276"/>
      <c r="V65" s="1277"/>
      <c r="W65" s="1277">
        <v>81</v>
      </c>
      <c r="X65" s="1278"/>
      <c r="Y65" s="1360"/>
      <c r="Z65" s="1363"/>
      <c r="AA65" s="1223" t="s">
        <v>328</v>
      </c>
      <c r="AB65" s="1359"/>
      <c r="AC65" s="1208"/>
      <c r="AD65" s="1276">
        <v>14</v>
      </c>
      <c r="AE65" s="1277"/>
      <c r="AF65" s="1277">
        <v>10</v>
      </c>
      <c r="AG65" s="1278"/>
      <c r="AH65" s="1226" t="s">
        <v>1035</v>
      </c>
      <c r="AI65" s="1277"/>
      <c r="AJ65" s="1234" t="s">
        <v>328</v>
      </c>
      <c r="AK65" s="1284"/>
      <c r="AL65" s="301"/>
      <c r="AM65" s="1276"/>
      <c r="AN65" s="1277"/>
      <c r="AO65" s="1277">
        <v>16</v>
      </c>
      <c r="AP65" s="1277"/>
      <c r="AQ65" s="1282"/>
      <c r="AR65" s="1277"/>
      <c r="AS65" s="1277" t="s">
        <v>325</v>
      </c>
      <c r="AT65" s="1284"/>
    </row>
    <row r="66" spans="1:46" ht="18.75" x14ac:dyDescent="0.3">
      <c r="A66" s="301" t="s">
        <v>225</v>
      </c>
      <c r="B66" s="419"/>
      <c r="C66" s="1285">
        <f>SUM(C3:C65)</f>
        <v>1677</v>
      </c>
      <c r="D66" s="419">
        <f>SUM(D3:D65)</f>
        <v>575</v>
      </c>
      <c r="E66" s="1285">
        <f>SUM(E3:E65)</f>
        <v>880</v>
      </c>
      <c r="F66" s="419">
        <f>SUM(F3:F65)</f>
        <v>458</v>
      </c>
      <c r="G66" s="301"/>
      <c r="H66" s="301"/>
      <c r="I66" s="301"/>
      <c r="J66" s="301"/>
      <c r="K66" s="301"/>
      <c r="L66" s="419">
        <f>SUM(L3:L65)</f>
        <v>191.5</v>
      </c>
      <c r="M66" s="419">
        <f>SUM(M3:M65)</f>
        <v>1005.5</v>
      </c>
      <c r="N66" s="419">
        <f>SUM(N3:N65)</f>
        <v>0</v>
      </c>
      <c r="O66" s="419">
        <f>SUM(O3:O65)</f>
        <v>442</v>
      </c>
      <c r="P66" s="301"/>
      <c r="Q66" s="301"/>
      <c r="R66" s="301"/>
      <c r="S66" s="301"/>
      <c r="T66" s="301"/>
      <c r="U66" s="419">
        <f>SUM(U3:U65)</f>
        <v>2409</v>
      </c>
      <c r="V66" s="419">
        <f>SUM(V3:V65)</f>
        <v>167</v>
      </c>
      <c r="W66" s="419">
        <f>SUM(W3:W65)</f>
        <v>2311</v>
      </c>
      <c r="X66" s="419">
        <f>SUM(X3:X65)</f>
        <v>488</v>
      </c>
      <c r="Y66" s="301"/>
      <c r="Z66" s="301"/>
      <c r="AA66" s="301"/>
      <c r="AB66" s="301"/>
      <c r="AC66" s="301"/>
      <c r="AD66" s="419">
        <f>SUM(AD3:AD65)</f>
        <v>401</v>
      </c>
      <c r="AE66" s="419">
        <f>SUM(AE3:AE65)</f>
        <v>67</v>
      </c>
      <c r="AF66" s="419">
        <f>SUM(AF3:AF65)</f>
        <v>108</v>
      </c>
      <c r="AG66" s="419">
        <f>SUM(AG3:AG65)</f>
        <v>5218</v>
      </c>
      <c r="AH66" s="301"/>
      <c r="AI66" s="301"/>
      <c r="AJ66" s="301"/>
      <c r="AK66" s="301"/>
      <c r="AL66" s="301"/>
      <c r="AM66" s="419">
        <f>SUM(AM3:AM65)</f>
        <v>745</v>
      </c>
      <c r="AN66" s="419">
        <f>SUM(AN3:AN65)</f>
        <v>175</v>
      </c>
      <c r="AO66" s="419">
        <f>SUM(AO3:AO65)</f>
        <v>386</v>
      </c>
      <c r="AP66" s="419">
        <f>SUM(AP3:AP65)</f>
        <v>17064</v>
      </c>
      <c r="AQ66" s="301"/>
      <c r="AR66" s="301"/>
      <c r="AS66" s="301"/>
      <c r="AT66" s="301"/>
    </row>
    <row r="74" spans="1:46" ht="15.75" thickBot="1" x14ac:dyDescent="0.3"/>
    <row r="75" spans="1:46" ht="19.5" thickBot="1" x14ac:dyDescent="0.35">
      <c r="B75" s="419"/>
      <c r="C75" s="2222" t="s">
        <v>199</v>
      </c>
      <c r="D75" s="2223"/>
      <c r="E75" s="2224" t="s">
        <v>200</v>
      </c>
      <c r="F75" s="2225"/>
      <c r="G75" s="2222" t="s">
        <v>201</v>
      </c>
      <c r="H75" s="2223"/>
      <c r="I75" s="2222" t="s">
        <v>204</v>
      </c>
      <c r="J75" s="2223"/>
    </row>
    <row r="76" spans="1:46" ht="19.5" thickBot="1" x14ac:dyDescent="0.35">
      <c r="B76" s="419"/>
      <c r="C76" s="662" t="s">
        <v>222</v>
      </c>
      <c r="D76" s="663" t="s">
        <v>223</v>
      </c>
      <c r="E76" s="664" t="s">
        <v>222</v>
      </c>
      <c r="F76" s="665" t="s">
        <v>223</v>
      </c>
      <c r="G76" s="662" t="s">
        <v>222</v>
      </c>
      <c r="H76" s="663" t="s">
        <v>223</v>
      </c>
      <c r="I76" s="662" t="s">
        <v>222</v>
      </c>
      <c r="J76" s="663" t="s">
        <v>223</v>
      </c>
    </row>
    <row r="77" spans="1:46" ht="18.75" x14ac:dyDescent="0.3">
      <c r="B77" s="651" t="s">
        <v>218</v>
      </c>
      <c r="C77" s="652">
        <f>C66</f>
        <v>1677</v>
      </c>
      <c r="D77" s="653">
        <f>C77/60</f>
        <v>27.95</v>
      </c>
      <c r="E77" s="652">
        <f>D66</f>
        <v>575</v>
      </c>
      <c r="F77" s="654">
        <f>E77/60</f>
        <v>9.5833333333333339</v>
      </c>
      <c r="G77" s="652">
        <f>E66</f>
        <v>880</v>
      </c>
      <c r="H77" s="653">
        <f>G77/60</f>
        <v>14.666666666666666</v>
      </c>
      <c r="I77" s="652">
        <f>F66</f>
        <v>458</v>
      </c>
      <c r="J77" s="653">
        <f>I77/60</f>
        <v>7.6333333333333337</v>
      </c>
    </row>
    <row r="78" spans="1:46" ht="18.75" x14ac:dyDescent="0.3">
      <c r="B78" s="651" t="s">
        <v>219</v>
      </c>
      <c r="C78" s="655">
        <f>L66</f>
        <v>191.5</v>
      </c>
      <c r="D78" s="656">
        <f>C78/60</f>
        <v>3.1916666666666669</v>
      </c>
      <c r="E78" s="655">
        <f>M66</f>
        <v>1005.5</v>
      </c>
      <c r="F78" s="657">
        <f>E78/60</f>
        <v>16.758333333333333</v>
      </c>
      <c r="G78" s="655">
        <f>N66</f>
        <v>0</v>
      </c>
      <c r="H78" s="656">
        <f>G78/60</f>
        <v>0</v>
      </c>
      <c r="I78" s="655">
        <f>O66</f>
        <v>442</v>
      </c>
      <c r="J78" s="656">
        <f>I78/60</f>
        <v>7.3666666666666663</v>
      </c>
    </row>
    <row r="79" spans="1:46" ht="18.75" x14ac:dyDescent="0.3">
      <c r="B79" s="651" t="s">
        <v>220</v>
      </c>
      <c r="C79" s="655">
        <f>U66</f>
        <v>2409</v>
      </c>
      <c r="D79" s="656">
        <f>C79/60</f>
        <v>40.15</v>
      </c>
      <c r="E79" s="655">
        <f>V66</f>
        <v>167</v>
      </c>
      <c r="F79" s="657">
        <f>E79/60</f>
        <v>2.7833333333333332</v>
      </c>
      <c r="G79" s="655">
        <f>W66</f>
        <v>2311</v>
      </c>
      <c r="H79" s="656">
        <f>G79/60</f>
        <v>38.516666666666666</v>
      </c>
      <c r="I79" s="655">
        <f>X66</f>
        <v>488</v>
      </c>
      <c r="J79" s="656">
        <f>I79/60</f>
        <v>8.1333333333333329</v>
      </c>
    </row>
    <row r="80" spans="1:46" ht="19.5" thickBot="1" x14ac:dyDescent="0.35">
      <c r="B80" s="651" t="s">
        <v>221</v>
      </c>
      <c r="C80" s="658">
        <f>AD66</f>
        <v>401</v>
      </c>
      <c r="D80" s="659">
        <f>C80/60</f>
        <v>6.6833333333333336</v>
      </c>
      <c r="E80" s="658">
        <f>AE66</f>
        <v>67</v>
      </c>
      <c r="F80" s="660">
        <f>E80/60</f>
        <v>1.1166666666666667</v>
      </c>
      <c r="G80" s="658">
        <f>AF66</f>
        <v>108</v>
      </c>
      <c r="H80" s="659">
        <f>G80/60</f>
        <v>1.8</v>
      </c>
      <c r="I80" s="658">
        <f>AG66</f>
        <v>5218</v>
      </c>
      <c r="J80" s="659">
        <f>I80/60</f>
        <v>86.966666666666669</v>
      </c>
    </row>
    <row r="81" spans="2:10" ht="19.5" thickBot="1" x14ac:dyDescent="0.35">
      <c r="B81" s="651" t="s">
        <v>488</v>
      </c>
      <c r="C81" s="850">
        <f>AM66</f>
        <v>745</v>
      </c>
      <c r="D81" s="849">
        <f>C81/60</f>
        <v>12.416666666666666</v>
      </c>
      <c r="E81" s="850">
        <f>AN66</f>
        <v>175</v>
      </c>
      <c r="F81" s="851">
        <f>E81/60</f>
        <v>2.9166666666666665</v>
      </c>
      <c r="G81" s="850">
        <f>AO66</f>
        <v>386</v>
      </c>
      <c r="H81" s="849">
        <f>G81/60</f>
        <v>6.4333333333333336</v>
      </c>
      <c r="I81" s="850">
        <f>AP66</f>
        <v>17064</v>
      </c>
      <c r="J81" s="849">
        <f>I81/60</f>
        <v>284.39999999999998</v>
      </c>
    </row>
    <row r="82" spans="2:10" ht="19.5" thickBot="1" x14ac:dyDescent="0.35">
      <c r="B82" s="419"/>
      <c r="C82" s="301"/>
      <c r="D82" s="301"/>
      <c r="E82" s="301"/>
      <c r="F82" s="301"/>
      <c r="G82" s="301"/>
      <c r="H82" s="301"/>
      <c r="I82" s="301"/>
      <c r="J82" s="301"/>
    </row>
    <row r="83" spans="2:10" ht="19.5" thickBot="1" x14ac:dyDescent="0.35">
      <c r="B83" s="661" t="s">
        <v>217</v>
      </c>
      <c r="C83" s="666"/>
      <c r="D83" s="667">
        <f>SUM(D77:D81)</f>
        <v>90.391666666666666</v>
      </c>
      <c r="E83" s="666"/>
      <c r="F83" s="667">
        <f>SUM(F77:F81)</f>
        <v>33.158333333333331</v>
      </c>
      <c r="G83" s="666"/>
      <c r="H83" s="667">
        <f>SUM(H77:H81)</f>
        <v>61.416666666666657</v>
      </c>
      <c r="I83" s="666"/>
      <c r="J83" s="668">
        <f>AVERAGE(J77:J81)</f>
        <v>78.900000000000006</v>
      </c>
    </row>
  </sheetData>
  <mergeCells count="47">
    <mergeCell ref="A59:A60"/>
    <mergeCell ref="A61:A62"/>
    <mergeCell ref="A63:A65"/>
    <mergeCell ref="AH62:AJ62"/>
    <mergeCell ref="C75:D75"/>
    <mergeCell ref="E75:F75"/>
    <mergeCell ref="G75:H75"/>
    <mergeCell ref="I75:J75"/>
    <mergeCell ref="A25:A26"/>
    <mergeCell ref="A51:A52"/>
    <mergeCell ref="A53:A54"/>
    <mergeCell ref="A55:A56"/>
    <mergeCell ref="A57:A58"/>
    <mergeCell ref="A17:A18"/>
    <mergeCell ref="A19:A20"/>
    <mergeCell ref="A21:A22"/>
    <mergeCell ref="A23:A24"/>
    <mergeCell ref="A49:A50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H14:AJ14"/>
    <mergeCell ref="A15:A16"/>
    <mergeCell ref="AD1:AG1"/>
    <mergeCell ref="AH1:AK1"/>
    <mergeCell ref="AM1:AP1"/>
    <mergeCell ref="A7:A8"/>
    <mergeCell ref="A9:A10"/>
    <mergeCell ref="A11:A12"/>
    <mergeCell ref="A13:A14"/>
    <mergeCell ref="AQ1:AT1"/>
    <mergeCell ref="A3:A4"/>
    <mergeCell ref="A5:A6"/>
    <mergeCell ref="C1:F1"/>
    <mergeCell ref="G1:J1"/>
    <mergeCell ref="L1:O1"/>
    <mergeCell ref="P1:S1"/>
    <mergeCell ref="U1:X1"/>
    <mergeCell ref="Y1:AB1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6"/>
  <sheetViews>
    <sheetView zoomScale="55" zoomScaleNormal="55" workbookViewId="0">
      <pane xSplit="3" ySplit="2" topLeftCell="D51" activePane="bottomRight" state="frozen"/>
      <selection pane="topRight" activeCell="D1" sqref="D1"/>
      <selection pane="bottomLeft" activeCell="A3" sqref="A3"/>
      <selection pane="bottomRight" activeCell="AJ55" sqref="AJ55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2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9.425781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6" style="524" bestFit="1" customWidth="1"/>
    <col min="17" max="17" width="42.140625" style="524" bestFit="1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6.140625" style="524" bestFit="1" customWidth="1"/>
    <col min="28" max="28" width="27" style="524" customWidth="1"/>
    <col min="29" max="33" width="10.7109375" style="524" customWidth="1"/>
    <col min="34" max="34" width="31.28515625" style="524" customWidth="1"/>
    <col min="35" max="35" width="23.285156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2" width="10.7109375" style="524" customWidth="1"/>
    <col min="43" max="43" width="21.140625" style="524" customWidth="1"/>
    <col min="44" max="44" width="26.5703125" style="524" customWidth="1"/>
    <col min="45" max="45" width="31.140625" style="524" customWidth="1"/>
    <col min="46" max="46" width="26.5703125" style="524" customWidth="1"/>
    <col min="47" max="16384" width="8.85546875" style="524"/>
  </cols>
  <sheetData>
    <row r="1" spans="1:46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2" t="s">
        <v>206</v>
      </c>
      <c r="AR1" s="2252"/>
      <c r="AS1" s="2252"/>
      <c r="AT1" s="2253"/>
    </row>
    <row r="2" spans="1:46" ht="42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6" t="s">
        <v>199</v>
      </c>
      <c r="AI2" s="984" t="s">
        <v>200</v>
      </c>
      <c r="AJ2" s="984" t="s">
        <v>201</v>
      </c>
      <c r="AK2" s="984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6" t="s">
        <v>199</v>
      </c>
      <c r="AR2" s="984" t="s">
        <v>200</v>
      </c>
      <c r="AS2" s="984" t="s">
        <v>201</v>
      </c>
      <c r="AT2" s="984" t="s">
        <v>204</v>
      </c>
    </row>
    <row r="3" spans="1:46" ht="78" customHeight="1" x14ac:dyDescent="0.3">
      <c r="A3" s="2260">
        <v>45689</v>
      </c>
      <c r="B3" s="1200">
        <v>1</v>
      </c>
      <c r="C3" s="1201"/>
      <c r="D3" s="1202"/>
      <c r="E3" s="289"/>
      <c r="F3" s="1203"/>
      <c r="G3" s="1204"/>
      <c r="H3" s="1205"/>
      <c r="I3" s="1223"/>
      <c r="J3" s="1207"/>
      <c r="K3" s="1208"/>
      <c r="L3" s="1209"/>
      <c r="M3" s="1210"/>
      <c r="N3" s="1210"/>
      <c r="O3" s="1211"/>
      <c r="P3" s="1212"/>
      <c r="Q3" s="1213"/>
      <c r="R3" s="1213"/>
      <c r="S3" s="1211"/>
      <c r="T3" s="1208"/>
      <c r="U3" s="1209"/>
      <c r="V3" s="1210"/>
      <c r="W3" s="289"/>
      <c r="X3" s="1214"/>
      <c r="Y3" s="1371"/>
      <c r="Z3" s="1212"/>
      <c r="AA3" s="1206"/>
      <c r="AB3" s="1216"/>
      <c r="AC3" s="1208"/>
      <c r="AD3" s="1209"/>
      <c r="AE3" s="1210"/>
      <c r="AF3" s="289">
        <v>35</v>
      </c>
      <c r="AG3" s="1211"/>
      <c r="AH3" s="1212"/>
      <c r="AI3" s="1212"/>
      <c r="AJ3" s="407" t="s">
        <v>328</v>
      </c>
      <c r="AK3" s="1211"/>
      <c r="AL3" s="301"/>
      <c r="AM3" s="1209"/>
      <c r="AN3" s="1210"/>
      <c r="AO3" s="289"/>
      <c r="AP3" s="1211">
        <v>559</v>
      </c>
      <c r="AQ3" s="1212"/>
      <c r="AR3" s="1217"/>
      <c r="AS3" s="407"/>
      <c r="AT3" s="1211" t="s">
        <v>1008</v>
      </c>
    </row>
    <row r="4" spans="1:46" ht="69.75" customHeight="1" x14ac:dyDescent="0.3">
      <c r="A4" s="2261"/>
      <c r="B4" s="1218">
        <v>2</v>
      </c>
      <c r="C4" s="1219"/>
      <c r="D4" s="1220"/>
      <c r="E4" s="1220">
        <v>27</v>
      </c>
      <c r="F4" s="1221"/>
      <c r="G4" s="1222"/>
      <c r="H4" s="1205"/>
      <c r="I4" s="1223" t="s">
        <v>328</v>
      </c>
      <c r="J4" s="1224"/>
      <c r="K4" s="1208"/>
      <c r="L4" s="1225"/>
      <c r="M4" s="289"/>
      <c r="N4" s="289"/>
      <c r="O4" s="1214"/>
      <c r="P4" s="1226"/>
      <c r="Q4" s="1205"/>
      <c r="R4" s="263"/>
      <c r="S4" s="1214"/>
      <c r="T4" s="1208"/>
      <c r="U4" s="1225"/>
      <c r="V4" s="407"/>
      <c r="W4" s="289">
        <v>42</v>
      </c>
      <c r="X4" s="1214"/>
      <c r="Y4" s="1222"/>
      <c r="Z4" s="1206"/>
      <c r="AA4" s="1206" t="s">
        <v>328</v>
      </c>
      <c r="AB4" s="1227"/>
      <c r="AC4" s="1208"/>
      <c r="AD4" s="1225"/>
      <c r="AE4" s="289"/>
      <c r="AF4" s="289"/>
      <c r="AG4" s="1214"/>
      <c r="AH4" s="1226"/>
      <c r="AI4" s="1206"/>
      <c r="AJ4" s="407"/>
      <c r="AK4" s="1214"/>
      <c r="AL4" s="301"/>
      <c r="AM4" s="1225"/>
      <c r="AN4" s="289"/>
      <c r="AO4" s="289"/>
      <c r="AP4" s="1214">
        <v>720</v>
      </c>
      <c r="AQ4" s="1226"/>
      <c r="AR4" s="1206"/>
      <c r="AS4" s="289"/>
      <c r="AT4" s="1211" t="s">
        <v>1008</v>
      </c>
    </row>
    <row r="5" spans="1:46" ht="60" customHeight="1" x14ac:dyDescent="0.3">
      <c r="A5" s="2260">
        <v>45690</v>
      </c>
      <c r="B5" s="1218">
        <v>1</v>
      </c>
      <c r="C5" s="1219"/>
      <c r="D5" s="1220"/>
      <c r="E5" s="1220">
        <v>14</v>
      </c>
      <c r="F5" s="1221"/>
      <c r="G5" s="1329"/>
      <c r="H5" s="1374"/>
      <c r="I5" s="1223" t="s">
        <v>328</v>
      </c>
      <c r="J5" s="1224"/>
      <c r="K5" s="1208"/>
      <c r="L5" s="1225"/>
      <c r="M5" s="289"/>
      <c r="N5" s="289"/>
      <c r="O5" s="1214"/>
      <c r="P5" s="1226"/>
      <c r="Q5" s="289"/>
      <c r="R5" s="289"/>
      <c r="S5" s="1214"/>
      <c r="T5" s="1208"/>
      <c r="U5" s="1225"/>
      <c r="V5" s="289"/>
      <c r="W5" s="289">
        <v>11</v>
      </c>
      <c r="X5" s="1214"/>
      <c r="Y5" s="1371"/>
      <c r="Z5" s="1205"/>
      <c r="AA5" s="1228" t="s">
        <v>328</v>
      </c>
      <c r="AB5" s="1229"/>
      <c r="AC5" s="1208"/>
      <c r="AD5" s="1225"/>
      <c r="AE5" s="289"/>
      <c r="AF5" s="289"/>
      <c r="AG5" s="1214"/>
      <c r="AH5" s="1226"/>
      <c r="AI5" s="289"/>
      <c r="AJ5" s="1230"/>
      <c r="AK5" s="1214"/>
      <c r="AL5" s="301"/>
      <c r="AM5" s="1225"/>
      <c r="AN5" s="289"/>
      <c r="AO5" s="289"/>
      <c r="AP5" s="1214">
        <v>720</v>
      </c>
      <c r="AQ5" s="1226"/>
      <c r="AR5" s="1257"/>
      <c r="AS5" s="407"/>
      <c r="AT5" s="1211" t="s">
        <v>1008</v>
      </c>
    </row>
    <row r="6" spans="1:46" ht="80.45" customHeight="1" x14ac:dyDescent="0.3">
      <c r="A6" s="2261"/>
      <c r="B6" s="1218">
        <v>2</v>
      </c>
      <c r="C6" s="1219"/>
      <c r="D6" s="1220"/>
      <c r="E6" s="1220">
        <v>54</v>
      </c>
      <c r="F6" s="1221"/>
      <c r="G6" s="1204"/>
      <c r="H6" s="1206"/>
      <c r="I6" s="1223" t="s">
        <v>328</v>
      </c>
      <c r="J6" s="1232"/>
      <c r="K6" s="1208"/>
      <c r="L6" s="1225"/>
      <c r="M6" s="289"/>
      <c r="N6" s="289"/>
      <c r="O6" s="1214"/>
      <c r="P6" s="1226"/>
      <c r="Q6" s="1205"/>
      <c r="R6" s="289"/>
      <c r="S6" s="1232"/>
      <c r="T6" s="1208"/>
      <c r="U6" s="1225"/>
      <c r="V6" s="289"/>
      <c r="W6" s="289">
        <v>19</v>
      </c>
      <c r="X6" s="1214"/>
      <c r="Y6" s="1371"/>
      <c r="Z6" s="1205"/>
      <c r="AA6" s="1228" t="s">
        <v>328</v>
      </c>
      <c r="AB6" s="1232"/>
      <c r="AC6" s="1208"/>
      <c r="AD6" s="1225"/>
      <c r="AE6" s="289"/>
      <c r="AF6" s="289">
        <v>19</v>
      </c>
      <c r="AG6" s="1214"/>
      <c r="AH6" s="1226"/>
      <c r="AI6" s="289"/>
      <c r="AJ6" s="1332" t="s">
        <v>328</v>
      </c>
      <c r="AK6" s="1232"/>
      <c r="AL6" s="301"/>
      <c r="AM6" s="1225"/>
      <c r="AN6" s="289"/>
      <c r="AO6" s="289"/>
      <c r="AP6" s="1214">
        <v>144</v>
      </c>
      <c r="AQ6" s="1370"/>
      <c r="AR6" s="1348"/>
      <c r="AS6" s="1371"/>
      <c r="AT6" s="1211" t="s">
        <v>1008</v>
      </c>
    </row>
    <row r="7" spans="1:46" ht="71.45" customHeight="1" x14ac:dyDescent="0.3">
      <c r="A7" s="2260">
        <v>45691</v>
      </c>
      <c r="B7" s="1218">
        <v>1</v>
      </c>
      <c r="C7" s="1219"/>
      <c r="D7" s="1220"/>
      <c r="E7" s="1220">
        <v>31</v>
      </c>
      <c r="F7" s="1221"/>
      <c r="G7" s="1204"/>
      <c r="H7" s="1206"/>
      <c r="I7" s="1223" t="s">
        <v>328</v>
      </c>
      <c r="J7" s="1232"/>
      <c r="K7" s="1208"/>
      <c r="L7" s="1225"/>
      <c r="M7" s="1226"/>
      <c r="N7" s="289"/>
      <c r="O7" s="1214"/>
      <c r="P7" s="1226"/>
      <c r="Q7" s="1233"/>
      <c r="R7" s="289"/>
      <c r="S7" s="1231"/>
      <c r="T7" s="1208"/>
      <c r="U7" s="1225"/>
      <c r="V7" s="289"/>
      <c r="W7" s="289"/>
      <c r="X7" s="1214"/>
      <c r="Y7" s="1371"/>
      <c r="Z7" s="1205"/>
      <c r="AA7" s="1228"/>
      <c r="AB7" s="1231"/>
      <c r="AC7" s="1208"/>
      <c r="AD7" s="1225"/>
      <c r="AE7" s="289"/>
      <c r="AF7" s="289">
        <v>12</v>
      </c>
      <c r="AG7" s="1214"/>
      <c r="AH7" s="1226"/>
      <c r="AI7" s="1233"/>
      <c r="AJ7" s="1332" t="s">
        <v>328</v>
      </c>
      <c r="AK7" s="1346"/>
      <c r="AL7" s="301"/>
      <c r="AM7" s="1225"/>
      <c r="AN7" s="289"/>
      <c r="AO7" s="289">
        <v>19</v>
      </c>
      <c r="AP7" s="1214"/>
      <c r="AQ7" s="1369"/>
      <c r="AR7" s="1334"/>
      <c r="AS7" s="1347" t="s">
        <v>328</v>
      </c>
      <c r="AT7" s="1234"/>
    </row>
    <row r="8" spans="1:46" ht="69.599999999999994" customHeight="1" x14ac:dyDescent="0.3">
      <c r="A8" s="2261"/>
      <c r="B8" s="1218">
        <v>2</v>
      </c>
      <c r="C8" s="1219">
        <v>668</v>
      </c>
      <c r="D8" s="1254"/>
      <c r="E8" s="1220"/>
      <c r="F8" s="1221"/>
      <c r="G8" s="1222" t="s">
        <v>45</v>
      </c>
      <c r="H8" s="1206"/>
      <c r="I8" s="1223"/>
      <c r="J8" s="1232"/>
      <c r="K8" s="1208"/>
      <c r="L8" s="1225"/>
      <c r="M8" s="289"/>
      <c r="N8" s="289"/>
      <c r="O8" s="1214"/>
      <c r="P8" s="1226"/>
      <c r="Q8" s="289"/>
      <c r="R8" s="407"/>
      <c r="S8" s="1231"/>
      <c r="T8" s="1208"/>
      <c r="U8" s="1333"/>
      <c r="V8" s="1334"/>
      <c r="W8" s="1226">
        <v>14</v>
      </c>
      <c r="X8" s="1214"/>
      <c r="Y8" s="1371"/>
      <c r="Z8" s="1370"/>
      <c r="AA8" s="1371" t="s">
        <v>328</v>
      </c>
      <c r="AB8" s="1232"/>
      <c r="AC8" s="1208"/>
      <c r="AD8" s="1225"/>
      <c r="AE8" s="289"/>
      <c r="AF8" s="289">
        <v>13</v>
      </c>
      <c r="AG8" s="1214"/>
      <c r="AH8" s="1226"/>
      <c r="AI8" s="407"/>
      <c r="AJ8" s="1332" t="s">
        <v>328</v>
      </c>
      <c r="AK8" s="1335"/>
      <c r="AL8" s="301"/>
      <c r="AM8" s="1225"/>
      <c r="AN8" s="289"/>
      <c r="AO8" s="289"/>
      <c r="AP8" s="1214"/>
      <c r="AQ8" s="1369"/>
      <c r="AR8" s="1349"/>
      <c r="AS8" s="1226"/>
      <c r="AT8" s="1232"/>
    </row>
    <row r="9" spans="1:46" ht="76.900000000000006" customHeight="1" x14ac:dyDescent="0.3">
      <c r="A9" s="2260">
        <v>45692</v>
      </c>
      <c r="B9" s="1218">
        <v>1</v>
      </c>
      <c r="C9" s="1301">
        <v>80</v>
      </c>
      <c r="D9" s="1328"/>
      <c r="E9" s="1325">
        <v>40</v>
      </c>
      <c r="F9" s="1221"/>
      <c r="G9" s="1222" t="s">
        <v>45</v>
      </c>
      <c r="H9" s="1205"/>
      <c r="I9" s="1223" t="s">
        <v>328</v>
      </c>
      <c r="J9" s="1232"/>
      <c r="K9" s="1208"/>
      <c r="L9" s="1225"/>
      <c r="M9" s="289">
        <v>127</v>
      </c>
      <c r="N9" s="289"/>
      <c r="O9" s="1214"/>
      <c r="P9" s="1226"/>
      <c r="Q9" s="289" t="s">
        <v>317</v>
      </c>
      <c r="R9" s="407"/>
      <c r="S9" s="1232"/>
      <c r="T9" s="1208"/>
      <c r="U9" s="1333"/>
      <c r="V9" s="1226"/>
      <c r="W9" s="289">
        <v>23</v>
      </c>
      <c r="X9" s="1214"/>
      <c r="Y9" s="1371"/>
      <c r="Z9" s="289"/>
      <c r="AA9" s="1380" t="s">
        <v>328</v>
      </c>
      <c r="AB9" s="1232"/>
      <c r="AC9" s="1208"/>
      <c r="AD9" s="1225"/>
      <c r="AE9" s="289"/>
      <c r="AF9" s="289"/>
      <c r="AG9" s="1214"/>
      <c r="AH9" s="1226"/>
      <c r="AI9" s="289"/>
      <c r="AJ9" s="289"/>
      <c r="AK9" s="1232"/>
      <c r="AL9" s="301"/>
      <c r="AM9" s="1225"/>
      <c r="AN9" s="289"/>
      <c r="AO9" s="289"/>
      <c r="AP9" s="1214"/>
      <c r="AQ9" s="1369"/>
      <c r="AR9" s="1334"/>
      <c r="AS9" s="1226"/>
      <c r="AT9" s="1235"/>
    </row>
    <row r="10" spans="1:46" ht="67.150000000000006" customHeight="1" x14ac:dyDescent="0.3">
      <c r="A10" s="2261"/>
      <c r="B10" s="1218">
        <v>2</v>
      </c>
      <c r="C10" s="1301"/>
      <c r="D10" s="1326">
        <v>20</v>
      </c>
      <c r="E10" s="1325">
        <v>86</v>
      </c>
      <c r="F10" s="1221"/>
      <c r="G10" s="1372"/>
      <c r="H10" s="1237" t="s">
        <v>1038</v>
      </c>
      <c r="I10" s="1223" t="s">
        <v>328</v>
      </c>
      <c r="J10" s="1232"/>
      <c r="K10" s="1208"/>
      <c r="L10" s="1225">
        <v>720</v>
      </c>
      <c r="M10" s="289"/>
      <c r="N10" s="289"/>
      <c r="O10" s="1214"/>
      <c r="P10" s="1226" t="s">
        <v>45</v>
      </c>
      <c r="Q10" s="289"/>
      <c r="R10" s="407"/>
      <c r="S10" s="1232"/>
      <c r="T10" s="1208"/>
      <c r="U10" s="1225"/>
      <c r="V10" s="289"/>
      <c r="W10" s="289">
        <v>36</v>
      </c>
      <c r="X10" s="1214"/>
      <c r="Y10" s="1371"/>
      <c r="Z10" s="1371"/>
      <c r="AA10" s="1381" t="s">
        <v>328</v>
      </c>
      <c r="AB10" s="1232"/>
      <c r="AC10" s="1208"/>
      <c r="AD10" s="1225"/>
      <c r="AE10" s="289"/>
      <c r="AF10" s="289">
        <v>19</v>
      </c>
      <c r="AG10" s="1214"/>
      <c r="AH10" s="1371"/>
      <c r="AI10" s="407"/>
      <c r="AJ10" s="1206" t="s">
        <v>328</v>
      </c>
      <c r="AK10" s="1232"/>
      <c r="AL10" s="301"/>
      <c r="AM10" s="1225"/>
      <c r="AN10" s="289"/>
      <c r="AO10" s="289"/>
      <c r="AP10" s="1214"/>
      <c r="AQ10" s="1369"/>
      <c r="AR10" s="1350"/>
      <c r="AS10" s="1226"/>
      <c r="AT10" s="1232"/>
    </row>
    <row r="11" spans="1:46" ht="60" customHeight="1" x14ac:dyDescent="0.3">
      <c r="A11" s="2260">
        <v>45693</v>
      </c>
      <c r="B11" s="1218">
        <v>1</v>
      </c>
      <c r="C11" s="1301"/>
      <c r="D11" s="1327">
        <v>178</v>
      </c>
      <c r="E11" s="1325">
        <v>342</v>
      </c>
      <c r="F11" s="1221"/>
      <c r="G11" s="1239"/>
      <c r="H11" s="1237" t="s">
        <v>1039</v>
      </c>
      <c r="I11" s="1374" t="s">
        <v>1040</v>
      </c>
      <c r="J11" s="1224"/>
      <c r="K11" s="1208"/>
      <c r="L11" s="1225">
        <v>73</v>
      </c>
      <c r="M11" s="289"/>
      <c r="N11" s="289"/>
      <c r="O11" s="1214"/>
      <c r="P11" s="1226" t="s">
        <v>45</v>
      </c>
      <c r="Q11" s="289"/>
      <c r="R11" s="407"/>
      <c r="S11" s="1214"/>
      <c r="T11" s="1208"/>
      <c r="U11" s="1225"/>
      <c r="V11" s="289"/>
      <c r="W11" s="289"/>
      <c r="X11" s="1214"/>
      <c r="Y11" s="1371"/>
      <c r="Z11" s="289"/>
      <c r="AA11" s="1228"/>
      <c r="AB11" s="1214"/>
      <c r="AC11" s="1208"/>
      <c r="AD11" s="1225"/>
      <c r="AE11" s="289"/>
      <c r="AF11" s="289">
        <v>12</v>
      </c>
      <c r="AG11" s="1214"/>
      <c r="AH11" s="1226"/>
      <c r="AI11" s="289"/>
      <c r="AJ11" s="1206" t="s">
        <v>328</v>
      </c>
      <c r="AK11" s="1214"/>
      <c r="AL11" s="301"/>
      <c r="AM11" s="1225"/>
      <c r="AN11" s="289"/>
      <c r="AO11" s="289"/>
      <c r="AP11" s="1214"/>
      <c r="AQ11" s="1226"/>
      <c r="AR11" s="263"/>
      <c r="AS11" s="289"/>
      <c r="AT11" s="1231"/>
    </row>
    <row r="12" spans="1:46" ht="55.15" customHeight="1" x14ac:dyDescent="0.3">
      <c r="A12" s="2261"/>
      <c r="B12" s="1218">
        <v>2</v>
      </c>
      <c r="C12" s="1219">
        <v>231</v>
      </c>
      <c r="D12" s="1305"/>
      <c r="E12" s="1220">
        <v>63</v>
      </c>
      <c r="F12" s="1221"/>
      <c r="G12" s="1222" t="s">
        <v>1041</v>
      </c>
      <c r="H12" s="1205"/>
      <c r="I12" s="1223" t="s">
        <v>328</v>
      </c>
      <c r="J12" s="1232"/>
      <c r="K12" s="1208"/>
      <c r="L12" s="1225"/>
      <c r="M12" s="289">
        <v>30</v>
      </c>
      <c r="N12" s="289"/>
      <c r="O12" s="1221"/>
      <c r="P12" s="1226"/>
      <c r="Q12" s="289" t="s">
        <v>61</v>
      </c>
      <c r="R12" s="407"/>
      <c r="S12" s="1232"/>
      <c r="T12" s="1208"/>
      <c r="U12" s="1225"/>
      <c r="V12" s="289"/>
      <c r="W12" s="289">
        <v>28</v>
      </c>
      <c r="X12" s="1214"/>
      <c r="Y12" s="1371"/>
      <c r="Z12" s="1206"/>
      <c r="AA12" s="1228" t="s">
        <v>328</v>
      </c>
      <c r="AB12" s="1232"/>
      <c r="AC12" s="1208"/>
      <c r="AD12" s="1225"/>
      <c r="AE12" s="289"/>
      <c r="AF12" s="289">
        <v>38</v>
      </c>
      <c r="AG12" s="1214"/>
      <c r="AH12" s="1226"/>
      <c r="AI12" s="407"/>
      <c r="AJ12" s="1206" t="s">
        <v>328</v>
      </c>
      <c r="AK12" s="1232"/>
      <c r="AL12" s="301"/>
      <c r="AM12" s="1225"/>
      <c r="AN12" s="289"/>
      <c r="AO12" s="289"/>
      <c r="AP12" s="1214">
        <v>493</v>
      </c>
      <c r="AQ12" s="1226"/>
      <c r="AR12" s="289"/>
      <c r="AS12" s="407"/>
      <c r="AT12" s="1232" t="s">
        <v>1008</v>
      </c>
    </row>
    <row r="13" spans="1:46" ht="51" customHeight="1" x14ac:dyDescent="0.3">
      <c r="A13" s="2260">
        <v>45694</v>
      </c>
      <c r="B13" s="1218">
        <v>1</v>
      </c>
      <c r="C13" s="1219"/>
      <c r="D13" s="1220"/>
      <c r="E13" s="1220">
        <v>10</v>
      </c>
      <c r="F13" s="1221"/>
      <c r="G13" s="1222"/>
      <c r="H13" s="1205"/>
      <c r="I13" s="1223" t="s">
        <v>328</v>
      </c>
      <c r="J13" s="1232"/>
      <c r="K13" s="1208"/>
      <c r="L13" s="1225"/>
      <c r="M13" s="289"/>
      <c r="N13" s="289"/>
      <c r="O13" s="1221"/>
      <c r="P13" s="1226"/>
      <c r="Q13" s="289"/>
      <c r="R13" s="289"/>
      <c r="S13" s="1232"/>
      <c r="T13" s="1208"/>
      <c r="U13" s="1225"/>
      <c r="V13" s="289"/>
      <c r="W13" s="289">
        <v>13</v>
      </c>
      <c r="X13" s="1221"/>
      <c r="Y13" s="1371"/>
      <c r="Z13" s="407"/>
      <c r="AA13" s="1228" t="s">
        <v>328</v>
      </c>
      <c r="AB13" s="1232"/>
      <c r="AC13" s="1208"/>
      <c r="AD13" s="1225"/>
      <c r="AE13" s="289"/>
      <c r="AF13" s="289"/>
      <c r="AG13" s="1221"/>
      <c r="AH13" s="1226"/>
      <c r="AI13" s="289"/>
      <c r="AJ13" s="1228"/>
      <c r="AK13" s="1232"/>
      <c r="AL13" s="301"/>
      <c r="AM13" s="1225"/>
      <c r="AN13" s="289"/>
      <c r="AO13" s="289"/>
      <c r="AP13" s="1351">
        <v>720</v>
      </c>
      <c r="AQ13" s="1226"/>
      <c r="AR13" s="289"/>
      <c r="AS13" s="1206"/>
      <c r="AT13" s="1232" t="s">
        <v>1008</v>
      </c>
    </row>
    <row r="14" spans="1:46" ht="49.15" customHeight="1" x14ac:dyDescent="0.3">
      <c r="A14" s="2261"/>
      <c r="B14" s="1218">
        <v>2</v>
      </c>
      <c r="C14" s="1219"/>
      <c r="D14" s="1220"/>
      <c r="E14" s="1220">
        <v>109</v>
      </c>
      <c r="F14" s="1221"/>
      <c r="G14" s="1222"/>
      <c r="H14" s="1206"/>
      <c r="I14" s="1223" t="s">
        <v>328</v>
      </c>
      <c r="J14" s="1232"/>
      <c r="K14" s="1208"/>
      <c r="L14" s="1225"/>
      <c r="M14" s="289"/>
      <c r="N14" s="289"/>
      <c r="O14" s="1221"/>
      <c r="P14" s="1371"/>
      <c r="Q14" s="289"/>
      <c r="R14" s="289"/>
      <c r="S14" s="1232"/>
      <c r="T14" s="1208"/>
      <c r="U14" s="1225"/>
      <c r="V14" s="289"/>
      <c r="W14" s="289">
        <v>58</v>
      </c>
      <c r="X14" s="1221"/>
      <c r="Y14" s="1371"/>
      <c r="Z14" s="407"/>
      <c r="AA14" s="1228" t="s">
        <v>328</v>
      </c>
      <c r="AB14" s="1232"/>
      <c r="AC14" s="1208"/>
      <c r="AD14" s="1225"/>
      <c r="AE14" s="289"/>
      <c r="AF14" s="289">
        <v>7</v>
      </c>
      <c r="AG14" s="1221"/>
      <c r="AH14" s="2262"/>
      <c r="AI14" s="2263"/>
      <c r="AJ14" s="2264"/>
      <c r="AK14" s="1232"/>
      <c r="AL14" s="301"/>
      <c r="AM14" s="1225"/>
      <c r="AN14" s="289" t="s">
        <v>1036</v>
      </c>
      <c r="AO14" s="1344"/>
      <c r="AP14" s="1351">
        <v>720</v>
      </c>
      <c r="AQ14" s="1371"/>
      <c r="AR14" s="289"/>
      <c r="AS14" s="1228"/>
      <c r="AT14" s="1232" t="s">
        <v>1008</v>
      </c>
    </row>
    <row r="15" spans="1:46" ht="48" customHeight="1" x14ac:dyDescent="0.3">
      <c r="A15" s="2260">
        <v>45695</v>
      </c>
      <c r="B15" s="1218">
        <v>1</v>
      </c>
      <c r="C15" s="1219"/>
      <c r="D15" s="1254"/>
      <c r="E15" s="1257">
        <v>23</v>
      </c>
      <c r="F15" s="1267"/>
      <c r="G15" s="1259"/>
      <c r="H15" s="1250"/>
      <c r="I15" s="1223" t="s">
        <v>328</v>
      </c>
      <c r="J15" s="1267"/>
      <c r="K15" s="1208"/>
      <c r="L15" s="1303"/>
      <c r="M15" s="1257"/>
      <c r="N15" s="1257"/>
      <c r="O15" s="1255"/>
      <c r="P15" s="1304"/>
      <c r="Q15" s="1250"/>
      <c r="R15" s="1206"/>
      <c r="S15" s="1232"/>
      <c r="T15" s="1208"/>
      <c r="U15" s="1225"/>
      <c r="V15" s="289"/>
      <c r="W15" s="289">
        <v>12</v>
      </c>
      <c r="X15" s="1221"/>
      <c r="Y15" s="1222"/>
      <c r="Z15" s="1206"/>
      <c r="AA15" s="1228" t="s">
        <v>328</v>
      </c>
      <c r="AB15" s="1232"/>
      <c r="AC15" s="1208"/>
      <c r="AD15" s="1225"/>
      <c r="AE15" s="289"/>
      <c r="AF15" s="1208"/>
      <c r="AG15" s="1221"/>
      <c r="AH15" s="1204"/>
      <c r="AI15" s="1206"/>
      <c r="AJ15" s="407"/>
      <c r="AK15" s="1232"/>
      <c r="AL15" s="301"/>
      <c r="AM15" s="1225"/>
      <c r="AN15" s="289"/>
      <c r="AO15" s="1352"/>
      <c r="AP15" s="1351">
        <v>720</v>
      </c>
      <c r="AQ15" s="1374"/>
      <c r="AR15" s="1206"/>
      <c r="AS15" s="1206"/>
      <c r="AT15" s="1232" t="s">
        <v>1008</v>
      </c>
    </row>
    <row r="16" spans="1:46" ht="63" customHeight="1" x14ac:dyDescent="0.25">
      <c r="A16" s="2261"/>
      <c r="B16" s="1218">
        <v>2</v>
      </c>
      <c r="C16" s="1301"/>
      <c r="D16" s="1323"/>
      <c r="E16" s="1321">
        <v>22</v>
      </c>
      <c r="F16" s="1312"/>
      <c r="G16" s="1367"/>
      <c r="H16" s="1314"/>
      <c r="I16" s="1223" t="s">
        <v>328</v>
      </c>
      <c r="J16" s="1379"/>
      <c r="K16" s="1317"/>
      <c r="L16" s="1318"/>
      <c r="M16" s="1319"/>
      <c r="N16" s="1319"/>
      <c r="O16" s="1312"/>
      <c r="P16" s="1313"/>
      <c r="Q16" s="1320"/>
      <c r="R16" s="1241"/>
      <c r="S16" s="1232"/>
      <c r="T16" s="1208"/>
      <c r="U16" s="1225"/>
      <c r="V16" s="289"/>
      <c r="W16" s="289">
        <v>20</v>
      </c>
      <c r="X16" s="1221"/>
      <c r="Y16" s="1298"/>
      <c r="Z16" s="1237"/>
      <c r="AA16" s="1242" t="s">
        <v>328</v>
      </c>
      <c r="AB16" s="1232"/>
      <c r="AC16" s="1208"/>
      <c r="AD16" s="1225"/>
      <c r="AE16" s="289"/>
      <c r="AF16" s="289">
        <v>34</v>
      </c>
      <c r="AG16" s="1221"/>
      <c r="AH16" s="1243"/>
      <c r="AI16" s="1226"/>
      <c r="AJ16" s="289" t="s">
        <v>1042</v>
      </c>
      <c r="AK16" s="1228"/>
      <c r="AL16" s="1232"/>
      <c r="AM16" s="1225"/>
      <c r="AN16" s="289"/>
      <c r="AO16" s="289"/>
      <c r="AP16" s="1221">
        <v>142</v>
      </c>
      <c r="AQ16" s="1357"/>
      <c r="AR16" s="1237"/>
      <c r="AS16" s="1241"/>
      <c r="AT16" s="1232" t="s">
        <v>1008</v>
      </c>
    </row>
    <row r="17" spans="1:46" ht="66" customHeight="1" x14ac:dyDescent="0.3">
      <c r="A17" s="2260">
        <v>45696</v>
      </c>
      <c r="B17" s="1244">
        <v>1</v>
      </c>
      <c r="C17" s="1219"/>
      <c r="D17" s="1324"/>
      <c r="E17" s="1322">
        <v>12</v>
      </c>
      <c r="F17" s="1306"/>
      <c r="G17" s="1307"/>
      <c r="H17" s="1308"/>
      <c r="I17" s="1309" t="s">
        <v>328</v>
      </c>
      <c r="J17" s="1310"/>
      <c r="K17" s="1208"/>
      <c r="L17" s="1311"/>
      <c r="M17" s="263"/>
      <c r="N17" s="263"/>
      <c r="O17" s="1306"/>
      <c r="P17" s="1307"/>
      <c r="Q17" s="1308"/>
      <c r="R17" s="1206"/>
      <c r="S17" s="1232"/>
      <c r="T17" s="1208"/>
      <c r="U17" s="1225"/>
      <c r="V17" s="289"/>
      <c r="W17" s="289">
        <v>15</v>
      </c>
      <c r="X17" s="1221"/>
      <c r="Y17" s="1222"/>
      <c r="Z17" s="1205"/>
      <c r="AA17" s="1242" t="s">
        <v>815</v>
      </c>
      <c r="AB17" s="1232"/>
      <c r="AC17" s="1208"/>
      <c r="AD17" s="1225">
        <v>15</v>
      </c>
      <c r="AE17" s="289"/>
      <c r="AF17" s="289"/>
      <c r="AG17" s="1221"/>
      <c r="AH17" s="1204" t="s">
        <v>743</v>
      </c>
      <c r="AI17" s="1205"/>
      <c r="AJ17" s="1206"/>
      <c r="AK17" s="1232"/>
      <c r="AL17" s="301"/>
      <c r="AM17" s="1225"/>
      <c r="AN17" s="289"/>
      <c r="AO17" s="1344"/>
      <c r="AP17" s="1358" t="s">
        <v>1043</v>
      </c>
      <c r="AQ17" s="1242"/>
      <c r="AR17" s="1206"/>
      <c r="AS17" s="1228"/>
      <c r="AT17" s="1232" t="s">
        <v>1008</v>
      </c>
    </row>
    <row r="18" spans="1:46" ht="49.5" customHeight="1" x14ac:dyDescent="0.3">
      <c r="A18" s="2261"/>
      <c r="B18" s="1218">
        <v>2</v>
      </c>
      <c r="C18" s="1219"/>
      <c r="D18" s="1220"/>
      <c r="E18" s="1220">
        <v>12</v>
      </c>
      <c r="F18" s="1221"/>
      <c r="G18" s="1222"/>
      <c r="H18" s="1245"/>
      <c r="I18" s="1309" t="s">
        <v>328</v>
      </c>
      <c r="J18" s="1232"/>
      <c r="K18" s="1208"/>
      <c r="L18" s="1225"/>
      <c r="M18" s="289"/>
      <c r="N18" s="289"/>
      <c r="O18" s="1221"/>
      <c r="P18" s="1222"/>
      <c r="Q18" s="1206"/>
      <c r="R18" s="1223"/>
      <c r="S18" s="1232"/>
      <c r="T18" s="1208"/>
      <c r="U18" s="1225"/>
      <c r="V18" s="289"/>
      <c r="W18" s="1220">
        <v>12</v>
      </c>
      <c r="X18" s="1221"/>
      <c r="Y18" s="1222"/>
      <c r="Z18" s="1206"/>
      <c r="AA18" s="1228" t="s">
        <v>328</v>
      </c>
      <c r="AB18" s="1232"/>
      <c r="AC18" s="1208"/>
      <c r="AD18" s="1225"/>
      <c r="AE18" s="289"/>
      <c r="AF18" s="289"/>
      <c r="AG18" s="1221"/>
      <c r="AH18" s="1222"/>
      <c r="AI18" s="1206"/>
      <c r="AJ18" s="1205"/>
      <c r="AK18" s="1232"/>
      <c r="AL18" s="301"/>
      <c r="AM18" s="1225"/>
      <c r="AN18" s="289"/>
      <c r="AO18" s="1344"/>
      <c r="AP18" s="1351">
        <v>38</v>
      </c>
      <c r="AQ18" s="1373"/>
      <c r="AR18" s="1237"/>
      <c r="AS18" s="1368"/>
      <c r="AT18" s="1232" t="s">
        <v>1008</v>
      </c>
    </row>
    <row r="19" spans="1:46" ht="38.25" customHeight="1" x14ac:dyDescent="0.3">
      <c r="A19" s="2260">
        <v>45697</v>
      </c>
      <c r="B19" s="1218">
        <v>1</v>
      </c>
      <c r="C19" s="1208"/>
      <c r="D19" s="1220"/>
      <c r="E19" s="1220"/>
      <c r="F19" s="1221"/>
      <c r="G19" s="1246"/>
      <c r="H19" s="289"/>
      <c r="I19" s="1374"/>
      <c r="J19" s="1232"/>
      <c r="K19" s="1208"/>
      <c r="L19" s="1225"/>
      <c r="M19" s="289"/>
      <c r="N19" s="289"/>
      <c r="O19" s="1221"/>
      <c r="P19" s="1225"/>
      <c r="Q19" s="289"/>
      <c r="R19" s="289"/>
      <c r="S19" s="1232"/>
      <c r="T19" s="1208"/>
      <c r="U19" s="1225"/>
      <c r="V19" s="289"/>
      <c r="W19" s="289"/>
      <c r="X19" s="1221"/>
      <c r="Y19" s="1225"/>
      <c r="Z19" s="407"/>
      <c r="AA19" s="1242"/>
      <c r="AB19" s="1232"/>
      <c r="AC19" s="1208"/>
      <c r="AD19" s="1225"/>
      <c r="AE19" s="289"/>
      <c r="AF19" s="289"/>
      <c r="AG19" s="1221"/>
      <c r="AH19" s="1225"/>
      <c r="AI19" s="289"/>
      <c r="AJ19" s="1228"/>
      <c r="AK19" s="1232"/>
      <c r="AL19" s="301"/>
      <c r="AM19" s="1225"/>
      <c r="AN19" s="289"/>
      <c r="AO19" s="289"/>
      <c r="AP19" s="1221">
        <v>622</v>
      </c>
      <c r="AQ19" s="1225"/>
      <c r="AR19" s="289"/>
      <c r="AS19" s="1206"/>
      <c r="AT19" s="1232" t="s">
        <v>1008</v>
      </c>
    </row>
    <row r="20" spans="1:46" ht="44.45" customHeight="1" x14ac:dyDescent="0.3">
      <c r="A20" s="2261"/>
      <c r="B20" s="1218">
        <v>2</v>
      </c>
      <c r="C20" s="1219">
        <v>103</v>
      </c>
      <c r="D20" s="1220">
        <v>19</v>
      </c>
      <c r="E20" s="1220"/>
      <c r="F20" s="1221"/>
      <c r="G20" s="1246" t="s">
        <v>1037</v>
      </c>
      <c r="H20" s="407" t="s">
        <v>276</v>
      </c>
      <c r="I20" s="1374"/>
      <c r="J20" s="1232"/>
      <c r="K20" s="1208"/>
      <c r="L20" s="1225"/>
      <c r="M20" s="289"/>
      <c r="N20" s="289"/>
      <c r="O20" s="1221"/>
      <c r="P20" s="1246"/>
      <c r="Q20" s="407"/>
      <c r="R20" s="1223"/>
      <c r="S20" s="1232"/>
      <c r="T20" s="1208"/>
      <c r="U20" s="1225"/>
      <c r="V20" s="289"/>
      <c r="W20" s="289"/>
      <c r="X20" s="1221"/>
      <c r="Y20" s="1246"/>
      <c r="Z20" s="407"/>
      <c r="AA20" s="1206"/>
      <c r="AB20" s="1232"/>
      <c r="AC20" s="1208"/>
      <c r="AD20" s="1225"/>
      <c r="AE20" s="289"/>
      <c r="AF20" s="289"/>
      <c r="AG20" s="1221"/>
      <c r="AH20" s="1246"/>
      <c r="AI20" s="407"/>
      <c r="AJ20" s="1223"/>
      <c r="AK20" s="1232"/>
      <c r="AL20" s="301"/>
      <c r="AM20" s="1225"/>
      <c r="AN20" s="289"/>
      <c r="AO20" s="289"/>
      <c r="AP20" s="1221">
        <v>31</v>
      </c>
      <c r="AQ20" s="1246"/>
      <c r="AR20" s="407"/>
      <c r="AS20" s="1223"/>
      <c r="AT20" s="1232" t="s">
        <v>1008</v>
      </c>
    </row>
    <row r="21" spans="1:46" ht="39" customHeight="1" x14ac:dyDescent="0.3">
      <c r="A21" s="2260">
        <v>45698</v>
      </c>
      <c r="B21" s="1218">
        <v>1</v>
      </c>
      <c r="C21" s="1219"/>
      <c r="D21" s="1220"/>
      <c r="E21" s="1220"/>
      <c r="F21" s="1221"/>
      <c r="G21" s="1247"/>
      <c r="H21" s="1205"/>
      <c r="I21" s="1374"/>
      <c r="J21" s="1248"/>
      <c r="K21" s="1208"/>
      <c r="L21" s="1225"/>
      <c r="M21" s="289"/>
      <c r="N21" s="289"/>
      <c r="O21" s="1221"/>
      <c r="P21" s="1225"/>
      <c r="Q21" s="407"/>
      <c r="R21" s="289"/>
      <c r="S21" s="1248"/>
      <c r="T21" s="1208"/>
      <c r="U21" s="1225"/>
      <c r="V21" s="289"/>
      <c r="W21" s="289"/>
      <c r="X21" s="1221"/>
      <c r="Y21" s="1246"/>
      <c r="Z21" s="289"/>
      <c r="AA21" s="1242"/>
      <c r="AB21" s="1248"/>
      <c r="AC21" s="1208"/>
      <c r="AD21" s="1225"/>
      <c r="AE21" s="289"/>
      <c r="AF21" s="289"/>
      <c r="AG21" s="1221"/>
      <c r="AH21" s="1225"/>
      <c r="AI21" s="289"/>
      <c r="AJ21" s="1228"/>
      <c r="AK21" s="1248"/>
      <c r="AL21" s="301"/>
      <c r="AM21" s="1225"/>
      <c r="AN21" s="289"/>
      <c r="AO21" s="289"/>
      <c r="AP21" s="1221">
        <v>720</v>
      </c>
      <c r="AQ21" s="1225"/>
      <c r="AR21" s="407"/>
      <c r="AS21" s="1228"/>
      <c r="AT21" s="1232" t="s">
        <v>1008</v>
      </c>
    </row>
    <row r="22" spans="1:46" ht="49.9" customHeight="1" x14ac:dyDescent="0.3">
      <c r="A22" s="2261"/>
      <c r="B22" s="1218">
        <v>2</v>
      </c>
      <c r="C22" s="1219">
        <v>720</v>
      </c>
      <c r="D22" s="1220"/>
      <c r="E22" s="1220"/>
      <c r="F22" s="1221"/>
      <c r="G22" s="1249" t="s">
        <v>1037</v>
      </c>
      <c r="H22" s="1206"/>
      <c r="I22" s="1223"/>
      <c r="J22" s="1232"/>
      <c r="K22" s="1208"/>
      <c r="L22" s="1225"/>
      <c r="M22" s="289"/>
      <c r="N22" s="289"/>
      <c r="O22" s="1221"/>
      <c r="P22" s="1371"/>
      <c r="Q22" s="1206"/>
      <c r="R22" s="289"/>
      <c r="S22" s="1232"/>
      <c r="T22" s="1208"/>
      <c r="U22" s="1225"/>
      <c r="V22" s="289"/>
      <c r="W22" s="289">
        <v>30</v>
      </c>
      <c r="X22" s="1221"/>
      <c r="Y22" s="1246"/>
      <c r="Z22" s="1206"/>
      <c r="AA22" s="1228" t="s">
        <v>815</v>
      </c>
      <c r="AB22" s="1232"/>
      <c r="AC22" s="1208"/>
      <c r="AD22" s="1225"/>
      <c r="AE22" s="289">
        <v>41</v>
      </c>
      <c r="AF22" s="289">
        <v>17</v>
      </c>
      <c r="AG22" s="1221"/>
      <c r="AH22" s="1225"/>
      <c r="AI22" s="289" t="s">
        <v>1044</v>
      </c>
      <c r="AJ22" s="1332" t="s">
        <v>325</v>
      </c>
      <c r="AK22" s="1335"/>
      <c r="AL22" s="301"/>
      <c r="AM22" s="1225"/>
      <c r="AN22" s="289"/>
      <c r="AO22" s="289"/>
      <c r="AP22" s="1221"/>
      <c r="AQ22" s="1225"/>
      <c r="AR22" s="1206"/>
      <c r="AS22" s="353"/>
      <c r="AT22" s="1232"/>
    </row>
    <row r="23" spans="1:46" ht="47.45" customHeight="1" x14ac:dyDescent="0.3">
      <c r="A23" s="2260">
        <v>45699</v>
      </c>
      <c r="B23" s="1244">
        <v>1</v>
      </c>
      <c r="C23" s="1219">
        <v>720</v>
      </c>
      <c r="D23" s="1220"/>
      <c r="E23" s="1220"/>
      <c r="F23" s="1221"/>
      <c r="G23" s="1249" t="s">
        <v>1037</v>
      </c>
      <c r="H23" s="1205"/>
      <c r="I23" s="1374"/>
      <c r="J23" s="1232"/>
      <c r="K23" s="1208"/>
      <c r="L23" s="1225"/>
      <c r="M23" s="289"/>
      <c r="N23" s="289"/>
      <c r="O23" s="1221"/>
      <c r="P23" s="1204"/>
      <c r="Q23" s="1205"/>
      <c r="R23" s="1206"/>
      <c r="S23" s="1232"/>
      <c r="T23" s="1208"/>
      <c r="U23" s="1225"/>
      <c r="V23" s="289"/>
      <c r="W23" s="289">
        <v>18</v>
      </c>
      <c r="X23" s="1221"/>
      <c r="Y23" s="1246"/>
      <c r="Z23" s="1223"/>
      <c r="AA23" s="1242" t="s">
        <v>328</v>
      </c>
      <c r="AB23" s="1232"/>
      <c r="AC23" s="1208"/>
      <c r="AD23" s="1225"/>
      <c r="AE23" s="289"/>
      <c r="AF23" s="1226"/>
      <c r="AG23" s="1221"/>
      <c r="AH23" s="1225"/>
      <c r="AI23" s="1205"/>
      <c r="AJ23" s="1345"/>
      <c r="AK23" s="1335"/>
      <c r="AL23" s="301"/>
      <c r="AM23" s="1225"/>
      <c r="AN23" s="289"/>
      <c r="AO23" s="289">
        <v>10</v>
      </c>
      <c r="AP23" s="1221"/>
      <c r="AQ23" s="289"/>
      <c r="AR23" s="1205"/>
      <c r="AS23" s="1234" t="s">
        <v>325</v>
      </c>
      <c r="AT23" s="1232"/>
    </row>
    <row r="24" spans="1:46" ht="49.9" customHeight="1" x14ac:dyDescent="0.3">
      <c r="A24" s="2261"/>
      <c r="B24" s="1218">
        <v>2</v>
      </c>
      <c r="C24" s="1219">
        <v>720</v>
      </c>
      <c r="D24" s="1220"/>
      <c r="E24" s="1220"/>
      <c r="F24" s="1221"/>
      <c r="G24" s="1249" t="s">
        <v>1037</v>
      </c>
      <c r="H24" s="1206"/>
      <c r="I24" s="1374"/>
      <c r="J24" s="1232"/>
      <c r="K24" s="1208"/>
      <c r="L24" s="1225"/>
      <c r="M24" s="289"/>
      <c r="N24" s="289"/>
      <c r="O24" s="1221"/>
      <c r="P24" s="1204"/>
      <c r="Q24" s="1205"/>
      <c r="R24" s="1206"/>
      <c r="S24" s="1232"/>
      <c r="T24" s="1300"/>
      <c r="U24" s="1226"/>
      <c r="V24" s="1299"/>
      <c r="W24" s="1242" t="s">
        <v>1045</v>
      </c>
      <c r="X24" s="1221"/>
      <c r="Y24" s="1223"/>
      <c r="Z24" s="1205"/>
      <c r="AA24" s="1242" t="s">
        <v>328</v>
      </c>
      <c r="AB24" s="1232"/>
      <c r="AC24" s="1208"/>
      <c r="AD24" s="1225"/>
      <c r="AE24" s="289"/>
      <c r="AF24" s="1226"/>
      <c r="AG24" s="1221"/>
      <c r="AH24" s="1223"/>
      <c r="AI24" s="1205"/>
      <c r="AJ24" s="1206"/>
      <c r="AK24" s="1232"/>
      <c r="AL24" s="301"/>
      <c r="AM24" s="1225"/>
      <c r="AN24" s="289"/>
      <c r="AO24" s="289"/>
      <c r="AP24" s="1221"/>
      <c r="AQ24" s="1205"/>
      <c r="AR24" s="1205"/>
      <c r="AS24" s="1232"/>
      <c r="AT24" s="1232"/>
    </row>
    <row r="25" spans="1:46" ht="53.45" customHeight="1" x14ac:dyDescent="0.3">
      <c r="A25" s="2260">
        <v>45700</v>
      </c>
      <c r="B25" s="1218">
        <v>1</v>
      </c>
      <c r="C25" s="1219"/>
      <c r="D25" s="1220"/>
      <c r="E25" s="1220">
        <v>702</v>
      </c>
      <c r="F25" s="1221"/>
      <c r="G25" s="1204"/>
      <c r="H25" s="1205"/>
      <c r="I25" s="1223" t="s">
        <v>239</v>
      </c>
      <c r="J25" s="1232"/>
      <c r="K25" s="1208"/>
      <c r="L25" s="1225"/>
      <c r="M25" s="289"/>
      <c r="N25" s="289"/>
      <c r="O25" s="1221"/>
      <c r="P25" s="1225"/>
      <c r="Q25" s="1205"/>
      <c r="R25" s="289"/>
      <c r="S25" s="1232"/>
      <c r="T25" s="1208"/>
      <c r="U25" s="1225"/>
      <c r="V25" s="289"/>
      <c r="W25" s="289">
        <v>22</v>
      </c>
      <c r="X25" s="1221"/>
      <c r="Y25" s="1246"/>
      <c r="Z25" s="407"/>
      <c r="AA25" s="1242" t="s">
        <v>328</v>
      </c>
      <c r="AB25" s="1232"/>
      <c r="AC25" s="1208"/>
      <c r="AD25" s="1225"/>
      <c r="AE25" s="289"/>
      <c r="AF25" s="289"/>
      <c r="AG25" s="1221"/>
      <c r="AH25" s="289"/>
      <c r="AI25" s="407"/>
      <c r="AJ25" s="1206"/>
      <c r="AK25" s="1232"/>
      <c r="AL25" s="301"/>
      <c r="AM25" s="1225"/>
      <c r="AN25" s="289"/>
      <c r="AO25" s="289"/>
      <c r="AP25" s="1221">
        <v>22</v>
      </c>
      <c r="AQ25" s="289"/>
      <c r="AR25" s="289"/>
      <c r="AS25" s="1206"/>
      <c r="AT25" s="1232" t="s">
        <v>1008</v>
      </c>
    </row>
    <row r="26" spans="1:46" ht="66.75" customHeight="1" x14ac:dyDescent="0.3">
      <c r="A26" s="2261"/>
      <c r="B26" s="1218">
        <v>2</v>
      </c>
      <c r="C26" s="1219">
        <v>165</v>
      </c>
      <c r="D26" s="1220">
        <v>55</v>
      </c>
      <c r="E26" s="1220"/>
      <c r="F26" s="1221"/>
      <c r="G26" s="1204" t="s">
        <v>1047</v>
      </c>
      <c r="H26" s="1206" t="s">
        <v>1046</v>
      </c>
      <c r="I26" s="1223"/>
      <c r="J26" s="1232"/>
      <c r="K26" s="1208"/>
      <c r="L26" s="1225"/>
      <c r="M26" s="289"/>
      <c r="N26" s="289"/>
      <c r="O26" s="1221"/>
      <c r="P26" s="1204"/>
      <c r="Q26" s="1206"/>
      <c r="R26" s="1234"/>
      <c r="S26" s="1232"/>
      <c r="T26" s="1208"/>
      <c r="U26" s="1225"/>
      <c r="V26" s="1220"/>
      <c r="W26" s="289">
        <v>18</v>
      </c>
      <c r="X26" s="1221"/>
      <c r="Y26" s="1223"/>
      <c r="Z26" s="1206"/>
      <c r="AA26" s="1242" t="s">
        <v>328</v>
      </c>
      <c r="AB26" s="1232"/>
      <c r="AC26" s="1208"/>
      <c r="AD26" s="1225"/>
      <c r="AE26" s="1220"/>
      <c r="AF26" s="289">
        <v>14</v>
      </c>
      <c r="AG26" s="1221"/>
      <c r="AH26" s="1223"/>
      <c r="AI26" s="1206"/>
      <c r="AJ26" s="1206" t="s">
        <v>325</v>
      </c>
      <c r="AK26" s="1232"/>
      <c r="AL26" s="301"/>
      <c r="AM26" s="1225"/>
      <c r="AN26" s="1220"/>
      <c r="AO26" s="289"/>
      <c r="AP26" s="1221"/>
      <c r="AQ26" s="1204"/>
      <c r="AR26" s="1206"/>
      <c r="AS26" s="1206"/>
      <c r="AT26" s="1232"/>
    </row>
    <row r="27" spans="1:46" ht="49.9" customHeight="1" x14ac:dyDescent="0.3">
      <c r="A27" s="2260">
        <v>45701</v>
      </c>
      <c r="B27" s="1244">
        <v>1</v>
      </c>
      <c r="C27" s="1219"/>
      <c r="D27" s="1220"/>
      <c r="E27" s="1220"/>
      <c r="F27" s="1221"/>
      <c r="G27" s="1204"/>
      <c r="H27" s="1205"/>
      <c r="I27" s="1374"/>
      <c r="J27" s="1232"/>
      <c r="K27" s="1208"/>
      <c r="L27" s="1225"/>
      <c r="M27" s="289"/>
      <c r="N27" s="289"/>
      <c r="O27" s="1221"/>
      <c r="P27" s="1204"/>
      <c r="Q27" s="1205"/>
      <c r="R27" s="1206"/>
      <c r="S27" s="1232"/>
      <c r="T27" s="1208"/>
      <c r="U27" s="1225"/>
      <c r="V27" s="289"/>
      <c r="W27" s="289"/>
      <c r="X27" s="1221"/>
      <c r="Y27" s="1204"/>
      <c r="Z27" s="1206"/>
      <c r="AA27" s="1242"/>
      <c r="AB27" s="1232"/>
      <c r="AC27" s="1208"/>
      <c r="AD27" s="1225"/>
      <c r="AE27" s="289"/>
      <c r="AF27" s="289"/>
      <c r="AG27" s="1221"/>
      <c r="AH27" s="1204"/>
      <c r="AI27" s="407"/>
      <c r="AJ27" s="1206"/>
      <c r="AK27" s="1232"/>
      <c r="AL27" s="301"/>
      <c r="AM27" s="1225"/>
      <c r="AN27" s="289"/>
      <c r="AO27" s="289"/>
      <c r="AP27" s="1221">
        <v>720</v>
      </c>
      <c r="AQ27" s="407"/>
      <c r="AR27" s="289"/>
      <c r="AS27" s="1206"/>
      <c r="AT27" s="1232" t="s">
        <v>1008</v>
      </c>
    </row>
    <row r="28" spans="1:46" ht="72" customHeight="1" x14ac:dyDescent="0.3">
      <c r="A28" s="2261"/>
      <c r="B28" s="1218">
        <v>2</v>
      </c>
      <c r="C28" s="1219"/>
      <c r="D28" s="1220"/>
      <c r="E28" s="1220"/>
      <c r="F28" s="1221"/>
      <c r="G28" s="1206"/>
      <c r="H28" s="1206"/>
      <c r="I28" s="1234"/>
      <c r="J28" s="1232"/>
      <c r="K28" s="1208"/>
      <c r="L28" s="1225"/>
      <c r="M28" s="289"/>
      <c r="N28" s="289"/>
      <c r="O28" s="1221"/>
      <c r="P28" s="1206"/>
      <c r="Q28" s="1206"/>
      <c r="R28" s="1206"/>
      <c r="S28" s="1232"/>
      <c r="T28" s="1208"/>
      <c r="U28" s="1225"/>
      <c r="V28" s="289"/>
      <c r="W28" s="1208"/>
      <c r="X28" s="1221"/>
      <c r="Y28" s="1206"/>
      <c r="Z28" s="289"/>
      <c r="AA28" s="1228"/>
      <c r="AB28" s="1232"/>
      <c r="AC28" s="1208"/>
      <c r="AD28" s="1225"/>
      <c r="AE28" s="289"/>
      <c r="AF28" s="289"/>
      <c r="AG28" s="1221"/>
      <c r="AH28" s="1204"/>
      <c r="AI28" s="407"/>
      <c r="AJ28" s="1228"/>
      <c r="AK28" s="1232"/>
      <c r="AL28" s="301"/>
      <c r="AM28" s="1225"/>
      <c r="AN28" s="289"/>
      <c r="AO28" s="289"/>
      <c r="AP28" s="1221"/>
      <c r="AQ28" s="407"/>
      <c r="AR28" s="289"/>
      <c r="AS28" s="1206"/>
      <c r="AT28" s="1232"/>
    </row>
    <row r="29" spans="1:46" ht="66" customHeight="1" x14ac:dyDescent="0.3">
      <c r="A29" s="2260">
        <v>45702</v>
      </c>
      <c r="B29" s="1218">
        <v>1</v>
      </c>
      <c r="C29" s="1219"/>
      <c r="D29" s="1220"/>
      <c r="E29" s="1220"/>
      <c r="F29" s="1221"/>
      <c r="G29" s="1206"/>
      <c r="H29" s="1205"/>
      <c r="I29" s="1234"/>
      <c r="J29" s="1232"/>
      <c r="K29" s="1208"/>
      <c r="L29" s="1225"/>
      <c r="M29" s="289"/>
      <c r="N29" s="289"/>
      <c r="O29" s="1221"/>
      <c r="P29" s="1204"/>
      <c r="Q29" s="1206"/>
      <c r="R29" s="1206"/>
      <c r="S29" s="1232"/>
      <c r="T29" s="1208"/>
      <c r="U29" s="1225"/>
      <c r="V29" s="289"/>
      <c r="W29" s="289"/>
      <c r="X29" s="1221"/>
      <c r="Y29" s="1206"/>
      <c r="Z29" s="1205"/>
      <c r="AA29" s="1228"/>
      <c r="AB29" s="1232"/>
      <c r="AC29" s="1208"/>
      <c r="AD29" s="1225"/>
      <c r="AE29" s="289"/>
      <c r="AF29" s="289"/>
      <c r="AG29" s="1221"/>
      <c r="AH29" s="1204"/>
      <c r="AI29" s="1205"/>
      <c r="AJ29" s="289"/>
      <c r="AK29" s="1232"/>
      <c r="AL29" s="301"/>
      <c r="AM29" s="1225"/>
      <c r="AN29" s="289"/>
      <c r="AO29" s="289"/>
      <c r="AP29" s="1221"/>
      <c r="AQ29" s="407"/>
      <c r="AR29" s="1205"/>
      <c r="AS29" s="353"/>
      <c r="AT29" s="1232"/>
    </row>
    <row r="30" spans="1:46" ht="39.6" customHeight="1" x14ac:dyDescent="0.3">
      <c r="A30" s="2261"/>
      <c r="B30" s="1244">
        <v>2</v>
      </c>
      <c r="C30" s="1219">
        <v>73</v>
      </c>
      <c r="D30" s="1220"/>
      <c r="E30" s="1220"/>
      <c r="F30" s="1221"/>
      <c r="G30" s="1206" t="s">
        <v>1048</v>
      </c>
      <c r="H30" s="1205"/>
      <c r="I30" s="1228"/>
      <c r="J30" s="1232"/>
      <c r="K30" s="1208"/>
      <c r="L30" s="1225"/>
      <c r="M30" s="289"/>
      <c r="N30" s="289"/>
      <c r="O30" s="1221"/>
      <c r="P30" s="1204"/>
      <c r="Q30" s="1206"/>
      <c r="R30" s="1206"/>
      <c r="S30" s="1232"/>
      <c r="T30" s="1208"/>
      <c r="U30" s="1225"/>
      <c r="V30" s="289"/>
      <c r="W30" s="289">
        <v>73</v>
      </c>
      <c r="X30" s="1221"/>
      <c r="Y30" s="1206"/>
      <c r="Z30" s="1336"/>
      <c r="AA30" s="1337" t="s">
        <v>1049</v>
      </c>
      <c r="AB30" s="1232"/>
      <c r="AC30" s="1208"/>
      <c r="AD30" s="1225"/>
      <c r="AE30" s="289"/>
      <c r="AF30" s="289"/>
      <c r="AG30" s="1221"/>
      <c r="AH30" s="1204"/>
      <c r="AI30" s="1206"/>
      <c r="AJ30" s="289"/>
      <c r="AK30" s="1232"/>
      <c r="AL30" s="301"/>
      <c r="AM30" s="1225"/>
      <c r="AN30" s="289"/>
      <c r="AO30" s="289"/>
      <c r="AP30" s="1221">
        <v>271</v>
      </c>
      <c r="AQ30" s="1371"/>
      <c r="AR30" s="1205"/>
      <c r="AS30" s="353"/>
      <c r="AT30" s="1231" t="s">
        <v>1008</v>
      </c>
    </row>
    <row r="31" spans="1:46" ht="39.6" customHeight="1" x14ac:dyDescent="0.3">
      <c r="A31" s="2260">
        <v>45703</v>
      </c>
      <c r="B31" s="1218">
        <v>1</v>
      </c>
      <c r="C31" s="1219"/>
      <c r="D31" s="1220"/>
      <c r="E31" s="1220"/>
      <c r="F31" s="1221"/>
      <c r="G31" s="1204"/>
      <c r="H31" s="1332"/>
      <c r="I31" s="1331"/>
      <c r="J31" s="1232"/>
      <c r="K31" s="1208"/>
      <c r="L31" s="1225"/>
      <c r="M31" s="289"/>
      <c r="N31" s="289"/>
      <c r="O31" s="1221"/>
      <c r="P31" s="1226"/>
      <c r="Q31" s="289"/>
      <c r="R31" s="289"/>
      <c r="S31" s="1232"/>
      <c r="T31" s="1208"/>
      <c r="U31" s="1225"/>
      <c r="V31" s="289"/>
      <c r="W31" s="289"/>
      <c r="X31" s="1221"/>
      <c r="Y31" s="1370"/>
      <c r="Z31" s="1338"/>
      <c r="AA31" s="1339"/>
      <c r="AB31" s="1335"/>
      <c r="AC31" s="1208"/>
      <c r="AD31" s="1225"/>
      <c r="AE31" s="289"/>
      <c r="AF31" s="289"/>
      <c r="AG31" s="1221"/>
      <c r="AH31" s="1204"/>
      <c r="AI31" s="289"/>
      <c r="AJ31" s="289"/>
      <c r="AK31" s="1232"/>
      <c r="AL31" s="301"/>
      <c r="AM31" s="1225"/>
      <c r="AN31" s="289"/>
      <c r="AO31" s="289"/>
      <c r="AP31" s="1221">
        <v>720</v>
      </c>
      <c r="AQ31" s="1226"/>
      <c r="AR31" s="1205"/>
      <c r="AS31" s="289"/>
      <c r="AT31" s="1231" t="s">
        <v>1008</v>
      </c>
    </row>
    <row r="32" spans="1:46" ht="63" customHeight="1" x14ac:dyDescent="0.3">
      <c r="A32" s="2261"/>
      <c r="B32" s="1218">
        <v>2</v>
      </c>
      <c r="C32" s="1330"/>
      <c r="D32" s="1325"/>
      <c r="E32" s="1220">
        <v>50</v>
      </c>
      <c r="F32" s="1325"/>
      <c r="G32" s="1204"/>
      <c r="H32" s="1332"/>
      <c r="I32" s="1331" t="s">
        <v>331</v>
      </c>
      <c r="J32" s="1232"/>
      <c r="K32" s="1208"/>
      <c r="L32" s="1225"/>
      <c r="M32" s="289"/>
      <c r="N32" s="289"/>
      <c r="O32" s="289"/>
      <c r="P32" s="1226"/>
      <c r="Q32" s="1332"/>
      <c r="R32" s="1226"/>
      <c r="S32" s="1232"/>
      <c r="T32" s="1208"/>
      <c r="U32" s="1225"/>
      <c r="V32" s="289"/>
      <c r="W32" s="1220"/>
      <c r="X32" s="289"/>
      <c r="Y32" s="1243"/>
      <c r="Z32" s="1342"/>
      <c r="AA32" s="1341"/>
      <c r="AB32" s="1335"/>
      <c r="AC32" s="1208"/>
      <c r="AD32" s="1225"/>
      <c r="AE32" s="289"/>
      <c r="AF32" s="1220"/>
      <c r="AG32" s="289"/>
      <c r="AH32" s="1204"/>
      <c r="AI32" s="1332"/>
      <c r="AJ32" s="1331"/>
      <c r="AK32" s="1232"/>
      <c r="AL32" s="301"/>
      <c r="AM32" s="1225"/>
      <c r="AN32" s="289"/>
      <c r="AO32" s="289"/>
      <c r="AP32" s="1221">
        <v>720</v>
      </c>
      <c r="AQ32" s="1226"/>
      <c r="AR32" s="1205"/>
      <c r="AS32" s="1374"/>
      <c r="AT32" s="1231" t="s">
        <v>1008</v>
      </c>
    </row>
    <row r="33" spans="1:46" ht="43.15" customHeight="1" x14ac:dyDescent="0.3">
      <c r="A33" s="2260">
        <v>45704</v>
      </c>
      <c r="B33" s="1218">
        <v>1</v>
      </c>
      <c r="C33" s="1219"/>
      <c r="D33" s="1220"/>
      <c r="E33" s="1220"/>
      <c r="F33" s="1221"/>
      <c r="G33" s="1204"/>
      <c r="H33" s="1332"/>
      <c r="I33" s="1331"/>
      <c r="J33" s="1232"/>
      <c r="K33" s="1208"/>
      <c r="L33" s="1225"/>
      <c r="M33" s="289"/>
      <c r="N33" s="289"/>
      <c r="O33" s="1221"/>
      <c r="P33" s="1226"/>
      <c r="Q33" s="289"/>
      <c r="R33" s="289"/>
      <c r="S33" s="1232"/>
      <c r="T33" s="1208"/>
      <c r="U33" s="1225"/>
      <c r="V33" s="289"/>
      <c r="W33" s="289"/>
      <c r="X33" s="1221"/>
      <c r="Y33" s="1226"/>
      <c r="Z33" s="263"/>
      <c r="AA33" s="1341"/>
      <c r="AB33" s="1232"/>
      <c r="AC33" s="1208"/>
      <c r="AD33" s="1225"/>
      <c r="AE33" s="289"/>
      <c r="AF33" s="289"/>
      <c r="AG33" s="1221"/>
      <c r="AH33" s="1226"/>
      <c r="AI33" s="1343"/>
      <c r="AJ33" s="1331"/>
      <c r="AK33" s="1232"/>
      <c r="AL33" s="301"/>
      <c r="AM33" s="1225"/>
      <c r="AN33" s="289"/>
      <c r="AO33" s="289"/>
      <c r="AP33" s="1221">
        <v>720</v>
      </c>
      <c r="AQ33" s="1226"/>
      <c r="AR33" s="1343"/>
      <c r="AS33" s="1226"/>
      <c r="AT33" s="1231" t="s">
        <v>1008</v>
      </c>
    </row>
    <row r="34" spans="1:46" ht="67.900000000000006" customHeight="1" x14ac:dyDescent="0.3">
      <c r="A34" s="2261"/>
      <c r="B34" s="1244">
        <v>2</v>
      </c>
      <c r="C34" s="1220"/>
      <c r="D34" s="1220"/>
      <c r="E34" s="1220"/>
      <c r="F34" s="1221"/>
      <c r="G34" s="1222"/>
      <c r="H34" s="1206"/>
      <c r="I34" s="1228"/>
      <c r="J34" s="1232"/>
      <c r="K34" s="1208"/>
      <c r="L34" s="1225"/>
      <c r="M34" s="289"/>
      <c r="N34" s="289"/>
      <c r="O34" s="1221"/>
      <c r="P34" s="1226"/>
      <c r="Q34" s="1206"/>
      <c r="R34" s="289"/>
      <c r="S34" s="1232"/>
      <c r="T34" s="1208"/>
      <c r="U34" s="1225"/>
      <c r="V34" s="289"/>
      <c r="W34" s="289">
        <v>10</v>
      </c>
      <c r="X34" s="1221"/>
      <c r="Y34" s="407"/>
      <c r="Z34" s="407"/>
      <c r="AA34" s="1341" t="s">
        <v>328</v>
      </c>
      <c r="AB34" s="1232"/>
      <c r="AC34" s="1208"/>
      <c r="AD34" s="1225"/>
      <c r="AE34" s="289"/>
      <c r="AF34" s="289"/>
      <c r="AG34" s="1221"/>
      <c r="AH34" s="1226"/>
      <c r="AI34" s="289"/>
      <c r="AJ34" s="407"/>
      <c r="AK34" s="1232"/>
      <c r="AL34" s="301"/>
      <c r="AM34" s="1225"/>
      <c r="AN34" s="289"/>
      <c r="AO34" s="289"/>
      <c r="AP34" s="1221">
        <v>35</v>
      </c>
      <c r="AQ34" s="1226"/>
      <c r="AR34" s="1343"/>
      <c r="AS34" s="1206"/>
      <c r="AT34" s="1231" t="s">
        <v>1008</v>
      </c>
    </row>
    <row r="35" spans="1:46" ht="51" customHeight="1" x14ac:dyDescent="0.3">
      <c r="A35" s="2260">
        <v>45705</v>
      </c>
      <c r="B35" s="1218">
        <v>1</v>
      </c>
      <c r="C35" s="1220"/>
      <c r="D35" s="1220"/>
      <c r="E35" s="353"/>
      <c r="F35" s="1221"/>
      <c r="G35" s="1246"/>
      <c r="H35" s="1226"/>
      <c r="I35" s="1228"/>
      <c r="J35" s="1232"/>
      <c r="K35" s="1208"/>
      <c r="L35" s="1225"/>
      <c r="M35" s="289"/>
      <c r="N35" s="289"/>
      <c r="O35" s="1221"/>
      <c r="P35" s="1246"/>
      <c r="Q35" s="1206"/>
      <c r="R35" s="1206"/>
      <c r="S35" s="1232"/>
      <c r="T35" s="1208"/>
      <c r="U35" s="1225"/>
      <c r="V35" s="289"/>
      <c r="W35" s="353"/>
      <c r="X35" s="1221"/>
      <c r="Y35" s="1246"/>
      <c r="Z35" s="407"/>
      <c r="AA35" s="1228"/>
      <c r="AB35" s="1232"/>
      <c r="AC35" s="1208"/>
      <c r="AD35" s="1225"/>
      <c r="AE35" s="289"/>
      <c r="AF35" s="289"/>
      <c r="AG35" s="1221"/>
      <c r="AH35" s="1246"/>
      <c r="AI35" s="1344"/>
      <c r="AJ35" s="1374"/>
      <c r="AK35" s="1232"/>
      <c r="AL35" s="301"/>
      <c r="AM35" s="1225"/>
      <c r="AN35" s="289"/>
      <c r="AO35" s="289"/>
      <c r="AP35" s="1221"/>
      <c r="AQ35" s="1226"/>
      <c r="AR35" s="1343"/>
      <c r="AS35" s="1370"/>
      <c r="AT35" s="1232"/>
    </row>
    <row r="36" spans="1:46" ht="46.9" customHeight="1" x14ac:dyDescent="0.3">
      <c r="A36" s="2261"/>
      <c r="B36" s="1218">
        <v>2</v>
      </c>
      <c r="C36" s="353"/>
      <c r="D36" s="289"/>
      <c r="E36" s="353"/>
      <c r="F36" s="1221"/>
      <c r="G36" s="1234"/>
      <c r="H36" s="1206"/>
      <c r="I36" s="1234"/>
      <c r="J36" s="1232"/>
      <c r="K36" s="1208"/>
      <c r="L36" s="1246"/>
      <c r="M36" s="289"/>
      <c r="N36" s="289"/>
      <c r="O36" s="1221"/>
      <c r="P36" s="1246"/>
      <c r="Q36" s="1206"/>
      <c r="R36" s="407"/>
      <c r="S36" s="1232"/>
      <c r="T36" s="1208"/>
      <c r="U36" s="1225"/>
      <c r="V36" s="289"/>
      <c r="W36" s="289">
        <v>27</v>
      </c>
      <c r="X36" s="1221"/>
      <c r="Y36" s="1246"/>
      <c r="Z36" s="1206"/>
      <c r="AA36" s="1228" t="s">
        <v>328</v>
      </c>
      <c r="AB36" s="1232"/>
      <c r="AC36" s="1208"/>
      <c r="AD36" s="1225"/>
      <c r="AE36" s="289"/>
      <c r="AF36" s="353"/>
      <c r="AG36" s="1221"/>
      <c r="AH36" s="1246"/>
      <c r="AI36" s="1343"/>
      <c r="AJ36" s="1331"/>
      <c r="AK36" s="1232"/>
      <c r="AL36" s="301"/>
      <c r="AM36" s="1225"/>
      <c r="AN36" s="289"/>
      <c r="AO36" s="289"/>
      <c r="AP36" s="1221">
        <v>612</v>
      </c>
      <c r="AQ36" s="1226"/>
      <c r="AR36" s="1343"/>
      <c r="AS36" s="1371"/>
      <c r="AT36" s="1232" t="s">
        <v>1008</v>
      </c>
    </row>
    <row r="37" spans="1:46" ht="59.45" customHeight="1" x14ac:dyDescent="0.3">
      <c r="A37" s="2260">
        <v>45706</v>
      </c>
      <c r="B37" s="1244">
        <v>1</v>
      </c>
      <c r="C37" s="353"/>
      <c r="D37" s="1220"/>
      <c r="E37" s="353">
        <v>15</v>
      </c>
      <c r="F37" s="1221"/>
      <c r="G37" s="1234"/>
      <c r="H37" s="1371"/>
      <c r="I37" s="1223" t="s">
        <v>808</v>
      </c>
      <c r="J37" s="1232"/>
      <c r="K37" s="1208"/>
      <c r="L37" s="1225"/>
      <c r="M37" s="289"/>
      <c r="N37" s="289"/>
      <c r="O37" s="1221"/>
      <c r="P37" s="1226"/>
      <c r="Q37" s="1206"/>
      <c r="R37" s="289"/>
      <c r="S37" s="1232"/>
      <c r="T37" s="1208"/>
      <c r="U37" s="1225"/>
      <c r="V37" s="289"/>
      <c r="W37" s="289"/>
      <c r="X37" s="1221"/>
      <c r="Y37" s="1226"/>
      <c r="Z37" s="407"/>
      <c r="AA37" s="1228"/>
      <c r="AB37" s="1232"/>
      <c r="AC37" s="1208"/>
      <c r="AD37" s="1225"/>
      <c r="AE37" s="289"/>
      <c r="AF37" s="289"/>
      <c r="AG37" s="1221"/>
      <c r="AH37" s="1371"/>
      <c r="AI37" s="289"/>
      <c r="AJ37" s="1228"/>
      <c r="AK37" s="1232"/>
      <c r="AL37" s="301"/>
      <c r="AM37" s="1225"/>
      <c r="AN37" s="289"/>
      <c r="AO37" s="289"/>
      <c r="AP37" s="1221">
        <v>720</v>
      </c>
      <c r="AQ37" s="1226"/>
      <c r="AR37" s="1343"/>
      <c r="AS37" s="1226"/>
      <c r="AT37" s="1232" t="s">
        <v>1008</v>
      </c>
    </row>
    <row r="38" spans="1:46" ht="55.9" customHeight="1" x14ac:dyDescent="0.3">
      <c r="A38" s="2261"/>
      <c r="B38" s="1218">
        <v>2</v>
      </c>
      <c r="C38" s="353"/>
      <c r="D38" s="1220"/>
      <c r="E38" s="353">
        <v>30</v>
      </c>
      <c r="F38" s="1221"/>
      <c r="G38" s="1234"/>
      <c r="H38" s="1371"/>
      <c r="I38" s="1223" t="s">
        <v>808</v>
      </c>
      <c r="J38" s="1232"/>
      <c r="K38" s="1208"/>
      <c r="L38" s="1225"/>
      <c r="M38" s="289"/>
      <c r="N38" s="289"/>
      <c r="O38" s="1221"/>
      <c r="P38" s="1371"/>
      <c r="Q38" s="1371"/>
      <c r="R38" s="289"/>
      <c r="S38" s="1232"/>
      <c r="T38" s="1208"/>
      <c r="U38" s="1225"/>
      <c r="V38" s="289"/>
      <c r="W38" s="289"/>
      <c r="X38" s="1221"/>
      <c r="Y38" s="1371"/>
      <c r="Z38" s="407"/>
      <c r="AA38" s="1228"/>
      <c r="AB38" s="1232"/>
      <c r="AC38" s="1208"/>
      <c r="AD38" s="1225"/>
      <c r="AE38" s="289"/>
      <c r="AF38" s="289"/>
      <c r="AG38" s="1221"/>
      <c r="AH38" s="1371"/>
      <c r="AI38" s="289"/>
      <c r="AJ38" s="1228"/>
      <c r="AK38" s="1232"/>
      <c r="AL38" s="301"/>
      <c r="AM38" s="1225"/>
      <c r="AN38" s="289"/>
      <c r="AO38" s="289"/>
      <c r="AP38" s="1221">
        <v>570</v>
      </c>
      <c r="AQ38" s="1226"/>
      <c r="AR38" s="1343"/>
      <c r="AS38" s="1371"/>
      <c r="AT38" s="1232" t="s">
        <v>1008</v>
      </c>
    </row>
    <row r="39" spans="1:46" ht="70.900000000000006" customHeight="1" x14ac:dyDescent="0.3">
      <c r="A39" s="2260">
        <v>45707</v>
      </c>
      <c r="B39" s="1218">
        <v>1</v>
      </c>
      <c r="C39" s="353"/>
      <c r="D39" s="1220"/>
      <c r="E39" s="1220"/>
      <c r="F39" s="1221"/>
      <c r="G39" s="1234"/>
      <c r="H39" s="1371"/>
      <c r="I39" s="1223"/>
      <c r="J39" s="1232"/>
      <c r="K39" s="1208"/>
      <c r="L39" s="1225">
        <v>40</v>
      </c>
      <c r="M39" s="289"/>
      <c r="N39" s="289"/>
      <c r="O39" s="1221"/>
      <c r="P39" s="1234" t="s">
        <v>1050</v>
      </c>
      <c r="Q39" s="1206"/>
      <c r="R39" s="289"/>
      <c r="S39" s="1232"/>
      <c r="T39" s="1208"/>
      <c r="U39" s="1225"/>
      <c r="V39" s="289"/>
      <c r="W39" s="289">
        <v>12</v>
      </c>
      <c r="X39" s="1221"/>
      <c r="Y39" s="1226"/>
      <c r="Z39" s="1206"/>
      <c r="AA39" s="1228" t="s">
        <v>328</v>
      </c>
      <c r="AB39" s="1232"/>
      <c r="AC39" s="1208"/>
      <c r="AD39" s="1225"/>
      <c r="AE39" s="289"/>
      <c r="AF39" s="289"/>
      <c r="AG39" s="1221"/>
      <c r="AH39" s="1234"/>
      <c r="AI39" s="1205"/>
      <c r="AJ39" s="1228"/>
      <c r="AK39" s="1232"/>
      <c r="AL39" s="301"/>
      <c r="AM39" s="1225"/>
      <c r="AN39" s="289"/>
      <c r="AO39" s="289"/>
      <c r="AP39" s="1221"/>
      <c r="AQ39" s="1226"/>
      <c r="AR39" s="1343"/>
      <c r="AS39" s="1331"/>
      <c r="AT39" s="1232"/>
    </row>
    <row r="40" spans="1:46" ht="72.599999999999994" customHeight="1" x14ac:dyDescent="0.3">
      <c r="A40" s="2261"/>
      <c r="B40" s="1218">
        <v>2</v>
      </c>
      <c r="C40" s="1220"/>
      <c r="D40" s="1220"/>
      <c r="E40" s="1220"/>
      <c r="F40" s="1221"/>
      <c r="G40" s="1234"/>
      <c r="H40" s="1371"/>
      <c r="I40" s="1223"/>
      <c r="J40" s="1232"/>
      <c r="K40" s="1208"/>
      <c r="L40" s="1225"/>
      <c r="M40" s="289"/>
      <c r="N40" s="289"/>
      <c r="O40" s="1221"/>
      <c r="P40" s="1204"/>
      <c r="Q40" s="1205"/>
      <c r="R40" s="1234"/>
      <c r="S40" s="1232"/>
      <c r="T40" s="1208"/>
      <c r="U40" s="1225"/>
      <c r="V40" s="289"/>
      <c r="W40" s="289">
        <v>10</v>
      </c>
      <c r="X40" s="1221"/>
      <c r="Y40" s="1371"/>
      <c r="Z40" s="289"/>
      <c r="AA40" s="1228" t="s">
        <v>808</v>
      </c>
      <c r="AB40" s="1232"/>
      <c r="AC40" s="1208"/>
      <c r="AD40" s="1225"/>
      <c r="AE40" s="289"/>
      <c r="AF40" s="289"/>
      <c r="AG40" s="1221"/>
      <c r="AH40" s="1246"/>
      <c r="AI40" s="1206"/>
      <c r="AJ40" s="1228"/>
      <c r="AK40" s="1232"/>
      <c r="AL40" s="301"/>
      <c r="AM40" s="1246"/>
      <c r="AN40" s="289"/>
      <c r="AO40" s="289">
        <v>28</v>
      </c>
      <c r="AP40" s="1221">
        <v>126</v>
      </c>
      <c r="AQ40" s="1226"/>
      <c r="AR40" s="1343"/>
      <c r="AS40" s="1234" t="s">
        <v>328</v>
      </c>
      <c r="AT40" s="1232" t="s">
        <v>1008</v>
      </c>
    </row>
    <row r="41" spans="1:46" ht="39.6" customHeight="1" x14ac:dyDescent="0.3">
      <c r="A41" s="2260">
        <v>45708</v>
      </c>
      <c r="B41" s="1218">
        <v>1</v>
      </c>
      <c r="C41" s="1219"/>
      <c r="D41" s="1220"/>
      <c r="E41" s="1220"/>
      <c r="F41" s="1221"/>
      <c r="G41" s="1204"/>
      <c r="H41" s="1206"/>
      <c r="I41" s="1223"/>
      <c r="J41" s="1232"/>
      <c r="K41" s="1208"/>
      <c r="L41" s="1225"/>
      <c r="M41" s="289"/>
      <c r="N41" s="289"/>
      <c r="O41" s="1221"/>
      <c r="P41" s="1226"/>
      <c r="Q41" s="289"/>
      <c r="R41" s="1234"/>
      <c r="S41" s="1232"/>
      <c r="T41" s="1208"/>
      <c r="U41" s="1225"/>
      <c r="V41" s="289"/>
      <c r="W41" s="289">
        <v>15</v>
      </c>
      <c r="X41" s="1221"/>
      <c r="Y41" s="1226"/>
      <c r="Z41" s="407"/>
      <c r="AA41" s="1228" t="s">
        <v>328</v>
      </c>
      <c r="AB41" s="1232"/>
      <c r="AC41" s="1208"/>
      <c r="AD41" s="1225"/>
      <c r="AE41" s="289"/>
      <c r="AF41" s="289"/>
      <c r="AG41" s="1221"/>
      <c r="AH41" s="1246"/>
      <c r="AI41" s="407"/>
      <c r="AJ41" s="289"/>
      <c r="AK41" s="1232"/>
      <c r="AL41" s="301"/>
      <c r="AM41" s="1225"/>
      <c r="AN41" s="289"/>
      <c r="AO41" s="289"/>
      <c r="AP41" s="1221">
        <v>720</v>
      </c>
      <c r="AQ41" s="1226"/>
      <c r="AR41" s="1343"/>
      <c r="AS41" s="1234"/>
      <c r="AT41" s="1232" t="s">
        <v>1008</v>
      </c>
    </row>
    <row r="42" spans="1:46" ht="52.9" customHeight="1" x14ac:dyDescent="0.3">
      <c r="A42" s="2261"/>
      <c r="B42" s="1218">
        <v>2</v>
      </c>
      <c r="C42" s="1220">
        <v>466</v>
      </c>
      <c r="D42" s="1220"/>
      <c r="E42" s="1220"/>
      <c r="F42" s="1221"/>
      <c r="G42" s="1204" t="s">
        <v>1051</v>
      </c>
      <c r="H42" s="1206"/>
      <c r="I42" s="1234"/>
      <c r="J42" s="1232"/>
      <c r="K42" s="1208"/>
      <c r="L42" s="1225"/>
      <c r="M42" s="289">
        <v>222</v>
      </c>
      <c r="N42" s="289"/>
      <c r="O42" s="1221"/>
      <c r="P42" s="1226"/>
      <c r="Q42" s="407" t="s">
        <v>1052</v>
      </c>
      <c r="R42" s="289"/>
      <c r="S42" s="1232"/>
      <c r="T42" s="1208"/>
      <c r="U42" s="1225"/>
      <c r="V42" s="289"/>
      <c r="W42" s="289"/>
      <c r="X42" s="1221"/>
      <c r="Y42" s="1371"/>
      <c r="Z42" s="289"/>
      <c r="AA42" s="1228"/>
      <c r="AB42" s="1232"/>
      <c r="AC42" s="1208"/>
      <c r="AD42" s="1225"/>
      <c r="AE42" s="289"/>
      <c r="AF42" s="289"/>
      <c r="AG42" s="1221"/>
      <c r="AH42" s="1226"/>
      <c r="AI42" s="407"/>
      <c r="AJ42" s="289"/>
      <c r="AK42" s="1232"/>
      <c r="AL42" s="301"/>
      <c r="AM42" s="1225"/>
      <c r="AN42" s="289"/>
      <c r="AO42" s="289">
        <v>20</v>
      </c>
      <c r="AP42" s="1221">
        <v>233</v>
      </c>
      <c r="AQ42" s="1226"/>
      <c r="AR42" s="1343"/>
      <c r="AS42" s="289" t="s">
        <v>1053</v>
      </c>
      <c r="AT42" s="1232" t="s">
        <v>1008</v>
      </c>
    </row>
    <row r="43" spans="1:46" ht="65.45" customHeight="1" x14ac:dyDescent="0.3">
      <c r="A43" s="2260">
        <v>45709</v>
      </c>
      <c r="B43" s="1218">
        <v>1</v>
      </c>
      <c r="C43" s="1220"/>
      <c r="D43" s="1220"/>
      <c r="E43" s="1220">
        <v>70</v>
      </c>
      <c r="F43" s="1221"/>
      <c r="G43" s="1205"/>
      <c r="H43" s="1205"/>
      <c r="I43" s="1234" t="s">
        <v>152</v>
      </c>
      <c r="J43" s="1232"/>
      <c r="K43" s="1208"/>
      <c r="L43" s="1225"/>
      <c r="M43" s="289"/>
      <c r="N43" s="289"/>
      <c r="O43" s="1221"/>
      <c r="P43" s="1226"/>
      <c r="Q43" s="289"/>
      <c r="R43" s="289"/>
      <c r="S43" s="1232"/>
      <c r="T43" s="1208"/>
      <c r="U43" s="1225"/>
      <c r="V43" s="289"/>
      <c r="W43" s="289">
        <v>67</v>
      </c>
      <c r="X43" s="1221"/>
      <c r="Y43" s="1226"/>
      <c r="Z43" s="289"/>
      <c r="AA43" s="1228" t="s">
        <v>328</v>
      </c>
      <c r="AB43" s="1232"/>
      <c r="AC43" s="1208"/>
      <c r="AD43" s="1225"/>
      <c r="AE43" s="289"/>
      <c r="AF43" s="289"/>
      <c r="AG43" s="1221"/>
      <c r="AH43" s="407"/>
      <c r="AI43" s="1206"/>
      <c r="AJ43" s="289"/>
      <c r="AK43" s="1232"/>
      <c r="AL43" s="301"/>
      <c r="AM43" s="1225"/>
      <c r="AN43" s="289"/>
      <c r="AO43" s="289"/>
      <c r="AP43" s="1221">
        <v>684</v>
      </c>
      <c r="AQ43" s="407"/>
      <c r="AR43" s="1343"/>
      <c r="AS43" s="289"/>
      <c r="AT43" s="1232" t="s">
        <v>1008</v>
      </c>
    </row>
    <row r="44" spans="1:46" ht="69" customHeight="1" x14ac:dyDescent="0.3">
      <c r="A44" s="2261"/>
      <c r="B44" s="1218">
        <v>2</v>
      </c>
      <c r="C44" s="1220">
        <v>26</v>
      </c>
      <c r="D44" s="1220"/>
      <c r="E44" s="1220">
        <v>13</v>
      </c>
      <c r="F44" s="1221"/>
      <c r="G44" s="1205" t="s">
        <v>1054</v>
      </c>
      <c r="H44" s="1371"/>
      <c r="I44" s="1234" t="s">
        <v>152</v>
      </c>
      <c r="J44" s="1232"/>
      <c r="K44" s="1208"/>
      <c r="L44" s="1225"/>
      <c r="M44" s="289"/>
      <c r="N44" s="289"/>
      <c r="O44" s="1214"/>
      <c r="P44" s="1371"/>
      <c r="Q44" s="289"/>
      <c r="R44" s="407"/>
      <c r="S44" s="1232"/>
      <c r="T44" s="1208"/>
      <c r="U44" s="1225"/>
      <c r="V44" s="289"/>
      <c r="W44" s="1220">
        <v>105</v>
      </c>
      <c r="X44" s="1221"/>
      <c r="Y44" s="1205"/>
      <c r="Z44" s="1206"/>
      <c r="AA44" s="1228" t="s">
        <v>328</v>
      </c>
      <c r="AB44" s="1232"/>
      <c r="AC44" s="1208"/>
      <c r="AD44" s="1225"/>
      <c r="AE44" s="289"/>
      <c r="AF44" s="289">
        <v>21</v>
      </c>
      <c r="AG44" s="1214"/>
      <c r="AH44" s="1226"/>
      <c r="AI44" s="407"/>
      <c r="AJ44" s="1228" t="s">
        <v>328</v>
      </c>
      <c r="AK44" s="1232"/>
      <c r="AL44" s="301"/>
      <c r="AM44" s="1225"/>
      <c r="AN44" s="289"/>
      <c r="AO44" s="289">
        <v>30</v>
      </c>
      <c r="AP44" s="1214"/>
      <c r="AQ44" s="1226"/>
      <c r="AR44" s="407"/>
      <c r="AS44" s="407" t="s">
        <v>328</v>
      </c>
      <c r="AT44" s="1232"/>
    </row>
    <row r="45" spans="1:46" ht="69" customHeight="1" x14ac:dyDescent="0.3">
      <c r="A45" s="2260">
        <v>45710</v>
      </c>
      <c r="B45" s="1218">
        <v>1</v>
      </c>
      <c r="C45" s="1220"/>
      <c r="D45" s="1220"/>
      <c r="E45" s="1220">
        <v>10</v>
      </c>
      <c r="F45" s="1221"/>
      <c r="G45" s="1205"/>
      <c r="H45" s="1205"/>
      <c r="I45" s="1234" t="s">
        <v>152</v>
      </c>
      <c r="J45" s="1232"/>
      <c r="K45" s="1208"/>
      <c r="L45" s="1225"/>
      <c r="M45" s="289"/>
      <c r="N45" s="289"/>
      <c r="O45" s="1214"/>
      <c r="P45" s="1226"/>
      <c r="Q45" s="407"/>
      <c r="R45" s="289"/>
      <c r="S45" s="1232"/>
      <c r="T45" s="1208"/>
      <c r="U45" s="1225"/>
      <c r="V45" s="407"/>
      <c r="W45" s="289">
        <v>25</v>
      </c>
      <c r="X45" s="1221"/>
      <c r="Y45" s="1226"/>
      <c r="Z45" s="407"/>
      <c r="AA45" s="1228" t="s">
        <v>328</v>
      </c>
      <c r="AB45" s="1232"/>
      <c r="AC45" s="1208"/>
      <c r="AD45" s="1225"/>
      <c r="AE45" s="289"/>
      <c r="AF45" s="289">
        <v>20</v>
      </c>
      <c r="AG45" s="1214"/>
      <c r="AH45" s="1226"/>
      <c r="AI45" s="407"/>
      <c r="AJ45" s="1228" t="s">
        <v>328</v>
      </c>
      <c r="AK45" s="1232"/>
      <c r="AL45" s="301"/>
      <c r="AM45" s="1225"/>
      <c r="AN45" s="289"/>
      <c r="AO45" s="289"/>
      <c r="AP45" s="1214">
        <v>620</v>
      </c>
      <c r="AQ45" s="1226"/>
      <c r="AR45" s="407"/>
      <c r="AS45" s="289"/>
      <c r="AT45" s="1232" t="s">
        <v>1008</v>
      </c>
    </row>
    <row r="46" spans="1:46" ht="48.6" customHeight="1" x14ac:dyDescent="0.3">
      <c r="A46" s="2261"/>
      <c r="B46" s="1218">
        <v>2</v>
      </c>
      <c r="C46" s="1220"/>
      <c r="D46" s="1220"/>
      <c r="E46" s="1220">
        <v>15</v>
      </c>
      <c r="F46" s="1221"/>
      <c r="G46" s="1205"/>
      <c r="H46" s="1205"/>
      <c r="I46" s="1234" t="s">
        <v>152</v>
      </c>
      <c r="J46" s="1232"/>
      <c r="K46" s="1208"/>
      <c r="L46" s="1225">
        <v>161</v>
      </c>
      <c r="M46" s="289"/>
      <c r="N46" s="289"/>
      <c r="O46" s="1251"/>
      <c r="P46" s="1226" t="s">
        <v>1055</v>
      </c>
      <c r="Q46" s="1206"/>
      <c r="R46" s="407"/>
      <c r="S46" s="1232"/>
      <c r="T46" s="1208"/>
      <c r="U46" s="1225"/>
      <c r="V46" s="289"/>
      <c r="W46" s="289"/>
      <c r="X46" s="1214"/>
      <c r="Y46" s="289"/>
      <c r="Z46" s="289"/>
      <c r="AA46" s="407"/>
      <c r="AB46" s="1232"/>
      <c r="AC46" s="1208"/>
      <c r="AD46" s="1225"/>
      <c r="AE46" s="289"/>
      <c r="AF46" s="289">
        <v>10</v>
      </c>
      <c r="AG46" s="1214"/>
      <c r="AH46" s="1371"/>
      <c r="AI46" s="407"/>
      <c r="AJ46" s="1228" t="s">
        <v>328</v>
      </c>
      <c r="AK46" s="1232"/>
      <c r="AL46" s="301"/>
      <c r="AM46" s="1225"/>
      <c r="AN46" s="289"/>
      <c r="AO46" s="289"/>
      <c r="AP46" s="1214">
        <v>720</v>
      </c>
      <c r="AQ46" s="1226"/>
      <c r="AR46" s="1206"/>
      <c r="AS46" s="407"/>
      <c r="AT46" s="1232" t="s">
        <v>1008</v>
      </c>
    </row>
    <row r="47" spans="1:46" ht="58.9" customHeight="1" x14ac:dyDescent="0.3">
      <c r="A47" s="2260">
        <v>45711</v>
      </c>
      <c r="B47" s="1218">
        <v>1</v>
      </c>
      <c r="C47" s="1220"/>
      <c r="D47" s="1220"/>
      <c r="E47" s="1220"/>
      <c r="F47" s="1221"/>
      <c r="G47" s="1205"/>
      <c r="H47" s="1206"/>
      <c r="I47" s="1234"/>
      <c r="J47" s="1224"/>
      <c r="K47" s="1208"/>
      <c r="L47" s="1225"/>
      <c r="M47" s="289"/>
      <c r="N47" s="289"/>
      <c r="O47" s="1214"/>
      <c r="P47" s="1226"/>
      <c r="Q47" s="289"/>
      <c r="R47" s="289"/>
      <c r="S47" s="1232"/>
      <c r="T47" s="1208"/>
      <c r="U47" s="1225"/>
      <c r="V47" s="289"/>
      <c r="W47" s="289">
        <v>16</v>
      </c>
      <c r="X47" s="1214"/>
      <c r="Y47" s="1205"/>
      <c r="Z47" s="407"/>
      <c r="AA47" s="407" t="s">
        <v>328</v>
      </c>
      <c r="AB47" s="1232"/>
      <c r="AC47" s="1208"/>
      <c r="AD47" s="1225"/>
      <c r="AE47" s="289"/>
      <c r="AF47" s="289">
        <v>18</v>
      </c>
      <c r="AG47" s="1214"/>
      <c r="AH47" s="1371"/>
      <c r="AI47" s="1206"/>
      <c r="AJ47" s="1234" t="s">
        <v>328</v>
      </c>
      <c r="AK47" s="1214"/>
      <c r="AL47" s="301"/>
      <c r="AM47" s="1225"/>
      <c r="AN47" s="289"/>
      <c r="AO47" s="289"/>
      <c r="AP47" s="1214">
        <v>720</v>
      </c>
      <c r="AQ47" s="1226"/>
      <c r="AR47" s="1206"/>
      <c r="AS47" s="407"/>
      <c r="AT47" s="1232" t="s">
        <v>1008</v>
      </c>
    </row>
    <row r="48" spans="1:46" ht="34.9" customHeight="1" x14ac:dyDescent="0.3">
      <c r="A48" s="2261"/>
      <c r="B48" s="1218">
        <v>2</v>
      </c>
      <c r="C48" s="1220"/>
      <c r="D48" s="1220"/>
      <c r="E48" s="1220">
        <v>12</v>
      </c>
      <c r="F48" s="1221"/>
      <c r="G48" s="1206"/>
      <c r="H48" s="1206"/>
      <c r="I48" s="1223" t="s">
        <v>328</v>
      </c>
      <c r="J48" s="1232"/>
      <c r="K48" s="1208"/>
      <c r="L48" s="1225"/>
      <c r="M48" s="289"/>
      <c r="N48" s="289"/>
      <c r="O48" s="1221"/>
      <c r="P48" s="1206"/>
      <c r="Q48" s="1206"/>
      <c r="R48" s="1234"/>
      <c r="S48" s="1232"/>
      <c r="T48" s="1208"/>
      <c r="U48" s="1225"/>
      <c r="V48" s="289"/>
      <c r="W48" s="289"/>
      <c r="X48" s="1221"/>
      <c r="Y48" s="1206"/>
      <c r="Z48" s="1206"/>
      <c r="AA48" s="1234"/>
      <c r="AB48" s="1232"/>
      <c r="AC48" s="1208"/>
      <c r="AD48" s="1225"/>
      <c r="AE48" s="289"/>
      <c r="AF48" s="289">
        <v>25</v>
      </c>
      <c r="AG48" s="1221"/>
      <c r="AH48" s="1371"/>
      <c r="AI48" s="1206"/>
      <c r="AJ48" s="1234" t="s">
        <v>328</v>
      </c>
      <c r="AK48" s="1232"/>
      <c r="AL48" s="301"/>
      <c r="AM48" s="1225"/>
      <c r="AN48" s="1344"/>
      <c r="AO48" s="1226"/>
      <c r="AP48" s="1214">
        <v>720</v>
      </c>
      <c r="AQ48" s="1351"/>
      <c r="AR48" s="1206"/>
      <c r="AS48" s="407"/>
      <c r="AT48" s="1232" t="s">
        <v>1008</v>
      </c>
    </row>
    <row r="49" spans="1:46" ht="43.15" customHeight="1" x14ac:dyDescent="0.3">
      <c r="A49" s="2260">
        <v>45712</v>
      </c>
      <c r="B49" s="1218">
        <v>1</v>
      </c>
      <c r="C49" s="1220"/>
      <c r="D49" s="1220"/>
      <c r="E49" s="1220">
        <v>14</v>
      </c>
      <c r="F49" s="1221"/>
      <c r="G49" s="1205"/>
      <c r="H49" s="1205"/>
      <c r="I49" s="1223" t="s">
        <v>328</v>
      </c>
      <c r="J49" s="1232"/>
      <c r="K49" s="1208"/>
      <c r="L49" s="1225"/>
      <c r="M49" s="289"/>
      <c r="N49" s="289">
        <v>355</v>
      </c>
      <c r="O49" s="1221"/>
      <c r="P49" s="1206"/>
      <c r="Q49" s="1205"/>
      <c r="R49" s="1234" t="s">
        <v>1058</v>
      </c>
      <c r="S49" s="1232"/>
      <c r="T49" s="1208"/>
      <c r="U49" s="1225"/>
      <c r="V49" s="289"/>
      <c r="W49" s="289">
        <v>25</v>
      </c>
      <c r="X49" s="1221"/>
      <c r="Y49" s="1206"/>
      <c r="Z49" s="407"/>
      <c r="AA49" s="1234" t="s">
        <v>328</v>
      </c>
      <c r="AB49" s="1232"/>
      <c r="AC49" s="1208"/>
      <c r="AD49" s="1225"/>
      <c r="AE49" s="289"/>
      <c r="AF49" s="289">
        <v>20</v>
      </c>
      <c r="AG49" s="1221"/>
      <c r="AH49" s="1371"/>
      <c r="AI49" s="1205"/>
      <c r="AJ49" s="1234" t="s">
        <v>328</v>
      </c>
      <c r="AK49" s="1232"/>
      <c r="AL49" s="301"/>
      <c r="AM49" s="1225"/>
      <c r="AN49" s="1344"/>
      <c r="AO49" s="1226"/>
      <c r="AP49" s="1214">
        <v>720</v>
      </c>
      <c r="AQ49" s="1242"/>
      <c r="AR49" s="1206"/>
      <c r="AS49" s="1234"/>
      <c r="AT49" s="1232" t="s">
        <v>1008</v>
      </c>
    </row>
    <row r="50" spans="1:46" ht="51.6" customHeight="1" x14ac:dyDescent="0.3">
      <c r="A50" s="2261"/>
      <c r="B50" s="1218">
        <v>2</v>
      </c>
      <c r="C50" s="1220"/>
      <c r="D50" s="1220"/>
      <c r="E50" s="1220">
        <v>15</v>
      </c>
      <c r="F50" s="1221"/>
      <c r="G50" s="1205"/>
      <c r="H50" s="1205"/>
      <c r="I50" s="1223" t="s">
        <v>328</v>
      </c>
      <c r="J50" s="1232"/>
      <c r="K50" s="1208"/>
      <c r="L50" s="1225"/>
      <c r="M50" s="289"/>
      <c r="N50" s="289"/>
      <c r="O50" s="1221"/>
      <c r="P50" s="1205"/>
      <c r="Q50" s="1205"/>
      <c r="R50" s="1234"/>
      <c r="S50" s="1232"/>
      <c r="T50" s="1208"/>
      <c r="U50" s="1225"/>
      <c r="V50" s="289"/>
      <c r="W50" s="289">
        <v>60</v>
      </c>
      <c r="X50" s="1221"/>
      <c r="Y50" s="1205"/>
      <c r="Z50" s="1205"/>
      <c r="AA50" s="1234" t="s">
        <v>328</v>
      </c>
      <c r="AB50" s="1232"/>
      <c r="AC50" s="1208"/>
      <c r="AD50" s="1225"/>
      <c r="AE50" s="289"/>
      <c r="AF50" s="289">
        <v>10</v>
      </c>
      <c r="AG50" s="1221"/>
      <c r="AH50" s="1371"/>
      <c r="AI50" s="1205"/>
      <c r="AJ50" s="1234" t="s">
        <v>328</v>
      </c>
      <c r="AK50" s="1232"/>
      <c r="AL50" s="301"/>
      <c r="AM50" s="1225"/>
      <c r="AN50" s="1344"/>
      <c r="AO50" s="289"/>
      <c r="AP50" s="1214">
        <v>720</v>
      </c>
      <c r="AQ50" s="1242"/>
      <c r="AR50" s="1206"/>
      <c r="AS50" s="1234"/>
      <c r="AT50" s="1232" t="s">
        <v>1008</v>
      </c>
    </row>
    <row r="51" spans="1:46" ht="34.9" customHeight="1" x14ac:dyDescent="0.3">
      <c r="A51" s="2260">
        <v>45713</v>
      </c>
      <c r="B51" s="1218">
        <v>1</v>
      </c>
      <c r="C51" s="1220"/>
      <c r="D51" s="1220"/>
      <c r="E51" s="1220">
        <v>13</v>
      </c>
      <c r="F51" s="1221"/>
      <c r="G51" s="1205"/>
      <c r="H51" s="1205"/>
      <c r="I51" s="1223" t="s">
        <v>328</v>
      </c>
      <c r="J51" s="1232"/>
      <c r="K51" s="1208"/>
      <c r="L51" s="1225"/>
      <c r="M51" s="289"/>
      <c r="N51" s="289"/>
      <c r="O51" s="1221"/>
      <c r="P51" s="1205"/>
      <c r="Q51" s="1205"/>
      <c r="R51" s="1234"/>
      <c r="S51" s="1232"/>
      <c r="T51" s="1208"/>
      <c r="U51" s="1225"/>
      <c r="V51" s="289"/>
      <c r="W51" s="289">
        <v>23</v>
      </c>
      <c r="X51" s="1221"/>
      <c r="Y51" s="1205"/>
      <c r="Z51" s="1205"/>
      <c r="AA51" s="1234" t="s">
        <v>328</v>
      </c>
      <c r="AB51" s="1232"/>
      <c r="AC51" s="1208"/>
      <c r="AD51" s="1225"/>
      <c r="AE51" s="289"/>
      <c r="AF51" s="289">
        <v>27</v>
      </c>
      <c r="AG51" s="1221"/>
      <c r="AH51" s="1205"/>
      <c r="AI51" s="1205"/>
      <c r="AJ51" s="1234" t="s">
        <v>328</v>
      </c>
      <c r="AK51" s="1232"/>
      <c r="AL51" s="301"/>
      <c r="AM51" s="1225"/>
      <c r="AN51" s="1344"/>
      <c r="AO51" s="1257"/>
      <c r="AP51" s="1214">
        <v>720</v>
      </c>
      <c r="AQ51" s="1242"/>
      <c r="AR51" s="1206"/>
      <c r="AS51" s="1234"/>
      <c r="AT51" s="1232" t="s">
        <v>1008</v>
      </c>
    </row>
    <row r="52" spans="1:46" ht="49.15" customHeight="1" x14ac:dyDescent="0.3">
      <c r="A52" s="2261"/>
      <c r="B52" s="1218">
        <v>2</v>
      </c>
      <c r="C52" s="1220"/>
      <c r="D52" s="1220"/>
      <c r="E52" s="1220">
        <v>37</v>
      </c>
      <c r="F52" s="1221"/>
      <c r="G52" s="1206"/>
      <c r="H52" s="1206"/>
      <c r="I52" s="1223" t="s">
        <v>328</v>
      </c>
      <c r="J52" s="1232"/>
      <c r="K52" s="1208"/>
      <c r="L52" s="1225"/>
      <c r="M52" s="289"/>
      <c r="N52" s="289"/>
      <c r="O52" s="1221"/>
      <c r="P52" s="1206"/>
      <c r="Q52" s="1206"/>
      <c r="R52" s="1234"/>
      <c r="S52" s="1232"/>
      <c r="T52" s="1208"/>
      <c r="U52" s="1225"/>
      <c r="V52" s="289"/>
      <c r="W52" s="289"/>
      <c r="X52" s="1221"/>
      <c r="Y52" s="1206"/>
      <c r="Z52" s="1206"/>
      <c r="AA52" s="1234"/>
      <c r="AB52" s="1232"/>
      <c r="AC52" s="1208"/>
      <c r="AD52" s="1225"/>
      <c r="AE52" s="289"/>
      <c r="AF52" s="289">
        <v>30</v>
      </c>
      <c r="AG52" s="1221"/>
      <c r="AH52" s="1206"/>
      <c r="AI52" s="1206"/>
      <c r="AJ52" s="1234" t="s">
        <v>328</v>
      </c>
      <c r="AK52" s="1232"/>
      <c r="AL52" s="301"/>
      <c r="AM52" s="1225"/>
      <c r="AN52" s="353"/>
      <c r="AO52" s="1348"/>
      <c r="AP52" s="1214">
        <v>720</v>
      </c>
      <c r="AQ52" s="1226"/>
      <c r="AR52" s="1206"/>
      <c r="AS52" s="1234"/>
      <c r="AT52" s="1232" t="s">
        <v>1008</v>
      </c>
    </row>
    <row r="53" spans="1:46" ht="48" customHeight="1" x14ac:dyDescent="0.3">
      <c r="A53" s="2260">
        <v>45714</v>
      </c>
      <c r="B53" s="1218">
        <v>1</v>
      </c>
      <c r="C53" s="1220"/>
      <c r="D53" s="1220"/>
      <c r="E53" s="1220">
        <v>41</v>
      </c>
      <c r="F53" s="1221"/>
      <c r="G53" s="1205"/>
      <c r="H53" s="1205"/>
      <c r="I53" s="1223" t="s">
        <v>328</v>
      </c>
      <c r="J53" s="1232"/>
      <c r="K53" s="1208"/>
      <c r="L53" s="1225"/>
      <c r="M53" s="289"/>
      <c r="N53" s="289"/>
      <c r="O53" s="1214"/>
      <c r="P53" s="1371"/>
      <c r="Q53" s="1206"/>
      <c r="R53" s="289"/>
      <c r="S53" s="1232"/>
      <c r="T53" s="1208"/>
      <c r="U53" s="1225"/>
      <c r="V53" s="289"/>
      <c r="W53" s="289">
        <v>55</v>
      </c>
      <c r="X53" s="1214"/>
      <c r="Y53" s="1371"/>
      <c r="Z53" s="289"/>
      <c r="AA53" s="1228" t="s">
        <v>328</v>
      </c>
      <c r="AB53" s="1214"/>
      <c r="AC53" s="1208"/>
      <c r="AD53" s="1225"/>
      <c r="AE53" s="407"/>
      <c r="AF53" s="289"/>
      <c r="AG53" s="1214"/>
      <c r="AH53" s="1226"/>
      <c r="AI53" s="289"/>
      <c r="AJ53" s="407"/>
      <c r="AK53" s="1214"/>
      <c r="AL53" s="301"/>
      <c r="AM53" s="1225"/>
      <c r="AN53" s="1235"/>
      <c r="AO53" s="1350"/>
      <c r="AP53" s="1214">
        <v>720</v>
      </c>
      <c r="AQ53" s="1371"/>
      <c r="AR53" s="1206"/>
      <c r="AS53" s="353"/>
      <c r="AT53" s="1232" t="s">
        <v>1008</v>
      </c>
    </row>
    <row r="54" spans="1:46" ht="45.6" customHeight="1" x14ac:dyDescent="0.3">
      <c r="A54" s="2261"/>
      <c r="B54" s="1252">
        <v>2</v>
      </c>
      <c r="C54" s="1220"/>
      <c r="D54" s="1220"/>
      <c r="E54" s="1220">
        <v>50</v>
      </c>
      <c r="F54" s="1221"/>
      <c r="G54" s="1205"/>
      <c r="H54" s="1206"/>
      <c r="I54" s="1223" t="s">
        <v>328</v>
      </c>
      <c r="J54" s="1232"/>
      <c r="K54" s="1208"/>
      <c r="L54" s="1225">
        <v>199</v>
      </c>
      <c r="M54" s="289"/>
      <c r="N54" s="289"/>
      <c r="O54" s="1221"/>
      <c r="P54" s="1205" t="s">
        <v>1057</v>
      </c>
      <c r="Q54" s="1206"/>
      <c r="R54" s="1205"/>
      <c r="S54" s="1232"/>
      <c r="T54" s="1208"/>
      <c r="U54" s="1225"/>
      <c r="V54" s="289"/>
      <c r="W54" s="289">
        <v>47</v>
      </c>
      <c r="X54" s="1221"/>
      <c r="Y54" s="1206"/>
      <c r="Z54" s="1206"/>
      <c r="AA54" s="1228" t="s">
        <v>328</v>
      </c>
      <c r="AB54" s="1232"/>
      <c r="AC54" s="1208"/>
      <c r="AD54" s="1225"/>
      <c r="AE54" s="289"/>
      <c r="AF54" s="289">
        <v>75</v>
      </c>
      <c r="AG54" s="1214"/>
      <c r="AH54" s="1226"/>
      <c r="AI54" s="1206"/>
      <c r="AJ54" s="407" t="s">
        <v>328</v>
      </c>
      <c r="AK54" s="1232"/>
      <c r="AL54" s="301"/>
      <c r="AM54" s="1225"/>
      <c r="AN54" s="1235"/>
      <c r="AO54" s="263"/>
      <c r="AP54" s="1214">
        <v>720</v>
      </c>
      <c r="AQ54" s="1371"/>
      <c r="AR54" s="1206"/>
      <c r="AS54" s="1234"/>
      <c r="AT54" s="1232" t="s">
        <v>1008</v>
      </c>
    </row>
    <row r="55" spans="1:46" ht="39.6" customHeight="1" x14ac:dyDescent="0.3">
      <c r="A55" s="2260">
        <v>45715</v>
      </c>
      <c r="B55" s="1218">
        <v>1</v>
      </c>
      <c r="C55" s="1219"/>
      <c r="D55" s="1220"/>
      <c r="E55" s="1220">
        <v>25</v>
      </c>
      <c r="F55" s="1221"/>
      <c r="G55" s="1205"/>
      <c r="H55" s="1205"/>
      <c r="I55" s="1223" t="s">
        <v>328</v>
      </c>
      <c r="J55" s="1214"/>
      <c r="K55" s="1208"/>
      <c r="L55" s="1225"/>
      <c r="M55" s="289"/>
      <c r="N55" s="289"/>
      <c r="O55" s="1214"/>
      <c r="P55" s="1226"/>
      <c r="Q55" s="1206"/>
      <c r="R55" s="289"/>
      <c r="S55" s="1214"/>
      <c r="T55" s="1208"/>
      <c r="U55" s="1225"/>
      <c r="V55" s="289"/>
      <c r="W55" s="289">
        <v>30</v>
      </c>
      <c r="X55" s="1214"/>
      <c r="Y55" s="1226"/>
      <c r="Z55" s="1205"/>
      <c r="AA55" s="1228" t="s">
        <v>328</v>
      </c>
      <c r="AB55" s="1214"/>
      <c r="AC55" s="1208"/>
      <c r="AD55" s="1225"/>
      <c r="AE55" s="289"/>
      <c r="AF55" s="289">
        <v>28</v>
      </c>
      <c r="AG55" s="1214"/>
      <c r="AH55" s="1226"/>
      <c r="AI55" s="1206"/>
      <c r="AJ55" s="407" t="s">
        <v>328</v>
      </c>
      <c r="AK55" s="1214"/>
      <c r="AL55" s="301"/>
      <c r="AM55" s="1225"/>
      <c r="AN55" s="1235"/>
      <c r="AO55" s="289"/>
      <c r="AP55" s="1214">
        <v>720</v>
      </c>
      <c r="AQ55" s="1226"/>
      <c r="AR55" s="1206"/>
      <c r="AS55" s="1234"/>
      <c r="AT55" s="1232" t="s">
        <v>1008</v>
      </c>
    </row>
    <row r="56" spans="1:46" ht="52.5" customHeight="1" x14ac:dyDescent="0.3">
      <c r="A56" s="2261"/>
      <c r="B56" s="1252">
        <v>2</v>
      </c>
      <c r="C56" s="1219"/>
      <c r="D56" s="1220"/>
      <c r="E56" s="1220">
        <v>36</v>
      </c>
      <c r="F56" s="1221"/>
      <c r="G56" s="1206"/>
      <c r="H56" s="1206"/>
      <c r="I56" s="1223" t="s">
        <v>328</v>
      </c>
      <c r="J56" s="1232"/>
      <c r="K56" s="1208"/>
      <c r="L56" s="1225"/>
      <c r="M56" s="289"/>
      <c r="N56" s="289"/>
      <c r="O56" s="1221"/>
      <c r="P56" s="1206"/>
      <c r="Q56" s="1205"/>
      <c r="R56" s="1206"/>
      <c r="S56" s="1232"/>
      <c r="T56" s="1208"/>
      <c r="U56" s="1225"/>
      <c r="V56" s="289"/>
      <c r="W56" s="289">
        <v>64</v>
      </c>
      <c r="X56" s="1221"/>
      <c r="Y56" s="1371"/>
      <c r="Z56" s="1205"/>
      <c r="AA56" s="1228" t="s">
        <v>328</v>
      </c>
      <c r="AB56" s="1232"/>
      <c r="AC56" s="1208"/>
      <c r="AD56" s="1225">
        <v>40</v>
      </c>
      <c r="AE56" s="289"/>
      <c r="AF56" s="289"/>
      <c r="AG56" s="1221"/>
      <c r="AH56" s="1206" t="s">
        <v>1056</v>
      </c>
      <c r="AI56" s="1205"/>
      <c r="AJ56" s="1206"/>
      <c r="AK56" s="1232"/>
      <c r="AL56" s="301"/>
      <c r="AM56" s="1225"/>
      <c r="AN56" s="1235"/>
      <c r="AO56" s="289"/>
      <c r="AP56" s="1214">
        <v>720</v>
      </c>
      <c r="AQ56" s="1206"/>
      <c r="AR56" s="1206"/>
      <c r="AS56" s="289"/>
      <c r="AT56" s="1232" t="s">
        <v>1008</v>
      </c>
    </row>
    <row r="57" spans="1:46" ht="52.15" customHeight="1" x14ac:dyDescent="0.3">
      <c r="A57" s="2260">
        <v>45716</v>
      </c>
      <c r="B57" s="1218">
        <v>1</v>
      </c>
      <c r="C57" s="1219"/>
      <c r="D57" s="1220"/>
      <c r="E57" s="1220"/>
      <c r="F57" s="1221"/>
      <c r="G57" s="1206"/>
      <c r="H57" s="1206"/>
      <c r="I57" s="1223"/>
      <c r="J57" s="1232"/>
      <c r="K57" s="1208"/>
      <c r="L57" s="1225"/>
      <c r="M57" s="289"/>
      <c r="N57" s="289"/>
      <c r="O57" s="1221"/>
      <c r="P57" s="1206"/>
      <c r="Q57" s="1205"/>
      <c r="R57" s="1206"/>
      <c r="S57" s="1232"/>
      <c r="T57" s="1208"/>
      <c r="U57" s="1225"/>
      <c r="V57" s="289"/>
      <c r="W57" s="289"/>
      <c r="X57" s="1221"/>
      <c r="Y57" s="1206"/>
      <c r="Z57" s="1205"/>
      <c r="AA57" s="407"/>
      <c r="AB57" s="1232"/>
      <c r="AC57" s="1208"/>
      <c r="AD57" s="1225"/>
      <c r="AE57" s="289"/>
      <c r="AF57" s="289"/>
      <c r="AG57" s="1221"/>
      <c r="AH57" s="1206"/>
      <c r="AI57" s="1205"/>
      <c r="AJ57" s="1206"/>
      <c r="AK57" s="1232"/>
      <c r="AL57" s="301"/>
      <c r="AM57" s="1225"/>
      <c r="AN57" s="1235"/>
      <c r="AO57" s="289"/>
      <c r="AP57" s="1214">
        <v>720</v>
      </c>
      <c r="AQ57" s="1206"/>
      <c r="AR57" s="1206"/>
      <c r="AS57" s="289"/>
      <c r="AT57" s="1232" t="s">
        <v>1008</v>
      </c>
    </row>
    <row r="58" spans="1:46" ht="45" customHeight="1" x14ac:dyDescent="0.3">
      <c r="A58" s="2261"/>
      <c r="B58" s="1252">
        <v>2</v>
      </c>
      <c r="C58" s="1219"/>
      <c r="D58" s="1220"/>
      <c r="E58" s="1220">
        <v>45</v>
      </c>
      <c r="F58" s="1221"/>
      <c r="G58" s="1206"/>
      <c r="H58" s="1206"/>
      <c r="I58" s="1223" t="s">
        <v>328</v>
      </c>
      <c r="J58" s="1232"/>
      <c r="K58" s="1208"/>
      <c r="L58" s="1225"/>
      <c r="M58" s="289"/>
      <c r="N58" s="289"/>
      <c r="O58" s="1221"/>
      <c r="P58" s="1206"/>
      <c r="Q58" s="1205"/>
      <c r="R58" s="1206"/>
      <c r="S58" s="1232"/>
      <c r="T58" s="1208"/>
      <c r="U58" s="1225"/>
      <c r="V58" s="289"/>
      <c r="W58" s="289">
        <v>51</v>
      </c>
      <c r="X58" s="1221"/>
      <c r="Y58" s="1206"/>
      <c r="Z58" s="1205"/>
      <c r="AA58" s="407" t="s">
        <v>328</v>
      </c>
      <c r="AB58" s="1232"/>
      <c r="AC58" s="1208"/>
      <c r="AD58" s="1225"/>
      <c r="AE58" s="289"/>
      <c r="AF58" s="289">
        <v>22</v>
      </c>
      <c r="AG58" s="1221"/>
      <c r="AH58" s="1206"/>
      <c r="AI58" s="1205"/>
      <c r="AJ58" s="407" t="s">
        <v>328</v>
      </c>
      <c r="AK58" s="1232"/>
      <c r="AL58" s="301"/>
      <c r="AM58" s="1225"/>
      <c r="AN58" s="289"/>
      <c r="AO58" s="289"/>
      <c r="AP58" s="1214">
        <v>720</v>
      </c>
      <c r="AQ58" s="1206"/>
      <c r="AR58" s="1205"/>
      <c r="AS58" s="289"/>
      <c r="AT58" s="1232" t="s">
        <v>1008</v>
      </c>
    </row>
    <row r="59" spans="1:46" ht="18.75" x14ac:dyDescent="0.3">
      <c r="A59" s="301" t="s">
        <v>225</v>
      </c>
      <c r="B59" s="419"/>
      <c r="C59" s="1285">
        <f>SUM(C3:C58)</f>
        <v>3972</v>
      </c>
      <c r="D59" s="419">
        <f>SUM(D3:D58)</f>
        <v>272</v>
      </c>
      <c r="E59" s="1285">
        <f>SUM(E3:E58)</f>
        <v>2038</v>
      </c>
      <c r="F59" s="419">
        <f>SUM(F3:F58)</f>
        <v>0</v>
      </c>
      <c r="G59" s="301"/>
      <c r="H59" s="301"/>
      <c r="I59" s="301"/>
      <c r="J59" s="301"/>
      <c r="K59" s="301"/>
      <c r="L59" s="419">
        <f>SUM(L3:L58)</f>
        <v>1193</v>
      </c>
      <c r="M59" s="419">
        <f>SUM(M3:M58)</f>
        <v>379</v>
      </c>
      <c r="N59" s="419">
        <f>SUM(N3:N58)</f>
        <v>355</v>
      </c>
      <c r="O59" s="419">
        <f>SUM(O3:O58)</f>
        <v>0</v>
      </c>
      <c r="P59" s="301"/>
      <c r="Q59" s="301"/>
      <c r="R59" s="301"/>
      <c r="S59" s="301"/>
      <c r="T59" s="301"/>
      <c r="U59" s="419">
        <f>SUM(U3:U58)</f>
        <v>0</v>
      </c>
      <c r="V59" s="419">
        <f>SUM(V3:V58)</f>
        <v>0</v>
      </c>
      <c r="W59" s="419">
        <f>SUM(W3:W58)</f>
        <v>1106</v>
      </c>
      <c r="X59" s="419">
        <f>SUM(X3:X58)</f>
        <v>0</v>
      </c>
      <c r="Y59" s="301"/>
      <c r="Z59" s="301"/>
      <c r="AA59" s="301"/>
      <c r="AB59" s="301"/>
      <c r="AC59" s="301"/>
      <c r="AD59" s="419">
        <f>SUM(AD3:AD58)</f>
        <v>55</v>
      </c>
      <c r="AE59" s="419">
        <f>SUM(AE3:AE58)</f>
        <v>41</v>
      </c>
      <c r="AF59" s="419">
        <f>SUM(AF3:AF58)</f>
        <v>526</v>
      </c>
      <c r="AG59" s="419">
        <f>SUM(AG3:AG58)</f>
        <v>0</v>
      </c>
      <c r="AH59" s="301"/>
      <c r="AI59" s="301"/>
      <c r="AJ59" s="301"/>
      <c r="AK59" s="301"/>
      <c r="AL59" s="301"/>
      <c r="AM59" s="419">
        <f>SUM(AM3:AM58)</f>
        <v>0</v>
      </c>
      <c r="AN59" s="419">
        <f>SUM(AN3:AN58)</f>
        <v>0</v>
      </c>
      <c r="AO59" s="419">
        <f>SUM(AO3:AO58)</f>
        <v>107</v>
      </c>
      <c r="AP59" s="419">
        <f>SUM(AP3:AP58)</f>
        <v>23202</v>
      </c>
      <c r="AQ59" s="301"/>
      <c r="AR59" s="301"/>
      <c r="AS59" s="301"/>
      <c r="AT59" s="301"/>
    </row>
    <row r="67" spans="2:10" ht="15.75" thickBot="1" x14ac:dyDescent="0.3"/>
    <row r="68" spans="2:10" ht="19.5" thickBot="1" x14ac:dyDescent="0.35">
      <c r="B68" s="419"/>
      <c r="C68" s="2222" t="s">
        <v>199</v>
      </c>
      <c r="D68" s="2223"/>
      <c r="E68" s="2224" t="s">
        <v>200</v>
      </c>
      <c r="F68" s="2225"/>
      <c r="G68" s="2222" t="s">
        <v>201</v>
      </c>
      <c r="H68" s="2223"/>
      <c r="I68" s="2222" t="s">
        <v>204</v>
      </c>
      <c r="J68" s="2223"/>
    </row>
    <row r="69" spans="2:10" ht="19.5" thickBot="1" x14ac:dyDescent="0.35">
      <c r="B69" s="419"/>
      <c r="C69" s="662" t="s">
        <v>222</v>
      </c>
      <c r="D69" s="663" t="s">
        <v>223</v>
      </c>
      <c r="E69" s="664" t="s">
        <v>222</v>
      </c>
      <c r="F69" s="665" t="s">
        <v>223</v>
      </c>
      <c r="G69" s="662" t="s">
        <v>222</v>
      </c>
      <c r="H69" s="663" t="s">
        <v>223</v>
      </c>
      <c r="I69" s="662" t="s">
        <v>222</v>
      </c>
      <c r="J69" s="663" t="s">
        <v>223</v>
      </c>
    </row>
    <row r="70" spans="2:10" ht="18.75" x14ac:dyDescent="0.3">
      <c r="B70" s="651" t="s">
        <v>218</v>
      </c>
      <c r="C70" s="652">
        <f>C59</f>
        <v>3972</v>
      </c>
      <c r="D70" s="653">
        <f>C70/60</f>
        <v>66.2</v>
      </c>
      <c r="E70" s="652">
        <f>D59</f>
        <v>272</v>
      </c>
      <c r="F70" s="654">
        <f>E70/60</f>
        <v>4.5333333333333332</v>
      </c>
      <c r="G70" s="652">
        <f>E59</f>
        <v>2038</v>
      </c>
      <c r="H70" s="653">
        <f>G70/60</f>
        <v>33.966666666666669</v>
      </c>
      <c r="I70" s="652">
        <f>F59</f>
        <v>0</v>
      </c>
      <c r="J70" s="653">
        <f>I70/60</f>
        <v>0</v>
      </c>
    </row>
    <row r="71" spans="2:10" ht="18.75" x14ac:dyDescent="0.3">
      <c r="B71" s="651" t="s">
        <v>219</v>
      </c>
      <c r="C71" s="655">
        <f>L59</f>
        <v>1193</v>
      </c>
      <c r="D71" s="656">
        <f>C71/60</f>
        <v>19.883333333333333</v>
      </c>
      <c r="E71" s="655">
        <f>M59</f>
        <v>379</v>
      </c>
      <c r="F71" s="657">
        <f>E71/60</f>
        <v>6.3166666666666664</v>
      </c>
      <c r="G71" s="655">
        <f>N59</f>
        <v>355</v>
      </c>
      <c r="H71" s="656">
        <f>G71/60</f>
        <v>5.916666666666667</v>
      </c>
      <c r="I71" s="655">
        <f>O59</f>
        <v>0</v>
      </c>
      <c r="J71" s="656">
        <f>I71/60</f>
        <v>0</v>
      </c>
    </row>
    <row r="72" spans="2:10" ht="18.75" x14ac:dyDescent="0.3">
      <c r="B72" s="651" t="s">
        <v>220</v>
      </c>
      <c r="C72" s="655">
        <f>U59</f>
        <v>0</v>
      </c>
      <c r="D72" s="656">
        <f>C72/60</f>
        <v>0</v>
      </c>
      <c r="E72" s="655">
        <f>V59</f>
        <v>0</v>
      </c>
      <c r="F72" s="657">
        <f>E72/60</f>
        <v>0</v>
      </c>
      <c r="G72" s="655">
        <f>W59</f>
        <v>1106</v>
      </c>
      <c r="H72" s="656">
        <f>G72/60</f>
        <v>18.433333333333334</v>
      </c>
      <c r="I72" s="655">
        <f>X59</f>
        <v>0</v>
      </c>
      <c r="J72" s="656">
        <f>I72/60</f>
        <v>0</v>
      </c>
    </row>
    <row r="73" spans="2:10" ht="19.5" thickBot="1" x14ac:dyDescent="0.35">
      <c r="B73" s="651" t="s">
        <v>221</v>
      </c>
      <c r="C73" s="658">
        <f>AD59</f>
        <v>55</v>
      </c>
      <c r="D73" s="659">
        <f>C73/60</f>
        <v>0.91666666666666663</v>
      </c>
      <c r="E73" s="658">
        <f>AE59</f>
        <v>41</v>
      </c>
      <c r="F73" s="660">
        <f>E73/60</f>
        <v>0.68333333333333335</v>
      </c>
      <c r="G73" s="658">
        <f>AF59</f>
        <v>526</v>
      </c>
      <c r="H73" s="659">
        <f>G73/60</f>
        <v>8.7666666666666675</v>
      </c>
      <c r="I73" s="658">
        <f>AG59</f>
        <v>0</v>
      </c>
      <c r="J73" s="659">
        <f>I73/60</f>
        <v>0</v>
      </c>
    </row>
    <row r="74" spans="2:10" ht="19.5" thickBot="1" x14ac:dyDescent="0.35">
      <c r="B74" s="651" t="s">
        <v>488</v>
      </c>
      <c r="C74" s="850">
        <f>AM59</f>
        <v>0</v>
      </c>
      <c r="D74" s="849">
        <f>C74/60</f>
        <v>0</v>
      </c>
      <c r="E74" s="850">
        <f>AN59</f>
        <v>0</v>
      </c>
      <c r="F74" s="851">
        <f>E74/60</f>
        <v>0</v>
      </c>
      <c r="G74" s="850">
        <f>AO59</f>
        <v>107</v>
      </c>
      <c r="H74" s="849">
        <f>G74/60</f>
        <v>1.7833333333333334</v>
      </c>
      <c r="I74" s="850">
        <f>AP59</f>
        <v>23202</v>
      </c>
      <c r="J74" s="849">
        <f>I74/60</f>
        <v>386.7</v>
      </c>
    </row>
    <row r="75" spans="2:10" ht="19.5" thickBot="1" x14ac:dyDescent="0.35">
      <c r="B75" s="419"/>
      <c r="C75" s="301"/>
      <c r="D75" s="301"/>
      <c r="E75" s="301"/>
      <c r="F75" s="301"/>
      <c r="G75" s="301"/>
      <c r="H75" s="301"/>
      <c r="I75" s="301"/>
      <c r="J75" s="301"/>
    </row>
    <row r="76" spans="2:10" ht="19.5" thickBot="1" x14ac:dyDescent="0.35">
      <c r="B76" s="661" t="s">
        <v>217</v>
      </c>
      <c r="C76" s="666"/>
      <c r="D76" s="667">
        <f>SUM(D70:D74)</f>
        <v>87.000000000000014</v>
      </c>
      <c r="E76" s="666"/>
      <c r="F76" s="667">
        <f>SUM(F70:F74)</f>
        <v>11.533333333333333</v>
      </c>
      <c r="G76" s="666"/>
      <c r="H76" s="667">
        <f>SUM(H70:H74)</f>
        <v>68.86666666666666</v>
      </c>
      <c r="I76" s="666"/>
      <c r="J76" s="668">
        <f>AVERAGE(J70:J74)</f>
        <v>77.34</v>
      </c>
    </row>
  </sheetData>
  <mergeCells count="43">
    <mergeCell ref="E68:F68"/>
    <mergeCell ref="G68:H68"/>
    <mergeCell ref="I68:J68"/>
    <mergeCell ref="A51:A52"/>
    <mergeCell ref="A53:A54"/>
    <mergeCell ref="A55:A56"/>
    <mergeCell ref="A57:A58"/>
    <mergeCell ref="C68:D68"/>
    <mergeCell ref="A41:A42"/>
    <mergeCell ref="A43:A44"/>
    <mergeCell ref="A45:A46"/>
    <mergeCell ref="A47:A48"/>
    <mergeCell ref="A49:A50"/>
    <mergeCell ref="A13:A14"/>
    <mergeCell ref="AH14:AJ14"/>
    <mergeCell ref="A39:A40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15:A16"/>
    <mergeCell ref="AM1:AP1"/>
    <mergeCell ref="AQ1:AT1"/>
    <mergeCell ref="A3:A4"/>
    <mergeCell ref="U1:X1"/>
    <mergeCell ref="Y1:AB1"/>
    <mergeCell ref="G1:J1"/>
    <mergeCell ref="L1:O1"/>
    <mergeCell ref="P1:S1"/>
    <mergeCell ref="AD1:AG1"/>
    <mergeCell ref="AH1:AK1"/>
    <mergeCell ref="A7:A8"/>
    <mergeCell ref="A9:A10"/>
    <mergeCell ref="A11:A12"/>
    <mergeCell ref="A5:A6"/>
    <mergeCell ref="C1:F1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3"/>
  <sheetViews>
    <sheetView zoomScale="70" zoomScaleNormal="70" workbookViewId="0">
      <pane xSplit="3" ySplit="2" topLeftCell="V48" activePane="bottomRight" state="frozen"/>
      <selection pane="topRight" activeCell="D1" sqref="D1"/>
      <selection pane="bottomLeft" activeCell="A3" sqref="A3"/>
      <selection pane="bottomRight" activeCell="AT3" sqref="AT3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25.28515625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9.425781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6" style="524" bestFit="1" customWidth="1"/>
    <col min="17" max="17" width="42.140625" style="524" bestFit="1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6.140625" style="524" bestFit="1" customWidth="1"/>
    <col min="28" max="28" width="27" style="524" customWidth="1"/>
    <col min="29" max="33" width="10.7109375" style="524" customWidth="1"/>
    <col min="34" max="34" width="31.28515625" style="524" customWidth="1"/>
    <col min="35" max="35" width="23.285156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2" width="10.7109375" style="524" customWidth="1"/>
    <col min="43" max="43" width="21.140625" style="524" customWidth="1"/>
    <col min="44" max="44" width="26.5703125" style="524" customWidth="1"/>
    <col min="45" max="45" width="31.140625" style="524" customWidth="1"/>
    <col min="46" max="46" width="26.5703125" style="524" customWidth="1"/>
    <col min="47" max="16384" width="8.85546875" style="524"/>
  </cols>
  <sheetData>
    <row r="1" spans="1:46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2" t="s">
        <v>206</v>
      </c>
      <c r="AR1" s="2252"/>
      <c r="AS1" s="2252"/>
      <c r="AT1" s="2253"/>
    </row>
    <row r="2" spans="1:46" ht="42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6" t="s">
        <v>199</v>
      </c>
      <c r="AI2" s="984" t="s">
        <v>200</v>
      </c>
      <c r="AJ2" s="984" t="s">
        <v>201</v>
      </c>
      <c r="AK2" s="984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6" t="s">
        <v>199</v>
      </c>
      <c r="AR2" s="984" t="s">
        <v>200</v>
      </c>
      <c r="AS2" s="984" t="s">
        <v>201</v>
      </c>
      <c r="AT2" s="984" t="s">
        <v>204</v>
      </c>
    </row>
    <row r="3" spans="1:46" ht="78" customHeight="1" x14ac:dyDescent="0.3">
      <c r="A3" s="2260">
        <v>45717</v>
      </c>
      <c r="B3" s="1200">
        <v>1</v>
      </c>
      <c r="C3" s="1201"/>
      <c r="D3" s="1202"/>
      <c r="E3" s="289">
        <v>20</v>
      </c>
      <c r="F3" s="1203"/>
      <c r="G3" s="1204"/>
      <c r="H3" s="1205"/>
      <c r="I3" s="1223" t="s">
        <v>328</v>
      </c>
      <c r="J3" s="1207"/>
      <c r="K3" s="1208"/>
      <c r="L3" s="1209"/>
      <c r="M3" s="1210"/>
      <c r="N3" s="1210"/>
      <c r="O3" s="1211"/>
      <c r="P3" s="1212"/>
      <c r="Q3" s="1213"/>
      <c r="R3" s="1213"/>
      <c r="S3" s="1211"/>
      <c r="T3" s="1208"/>
      <c r="U3" s="1209"/>
      <c r="V3" s="1210"/>
      <c r="W3" s="289">
        <v>46</v>
      </c>
      <c r="X3" s="1214"/>
      <c r="Y3" s="1384"/>
      <c r="Z3" s="1212"/>
      <c r="AA3" s="1206" t="s">
        <v>328</v>
      </c>
      <c r="AB3" s="1216"/>
      <c r="AC3" s="1208"/>
      <c r="AD3" s="1209"/>
      <c r="AE3" s="1210"/>
      <c r="AF3" s="289">
        <v>21</v>
      </c>
      <c r="AG3" s="1211"/>
      <c r="AH3" s="1212"/>
      <c r="AI3" s="1212"/>
      <c r="AJ3" s="407" t="s">
        <v>328</v>
      </c>
      <c r="AK3" s="1211"/>
      <c r="AL3" s="301"/>
      <c r="AM3" s="1209"/>
      <c r="AN3" s="1210"/>
      <c r="AO3" s="289"/>
      <c r="AP3" s="1211">
        <v>205</v>
      </c>
      <c r="AQ3" s="1212"/>
      <c r="AR3" s="1217"/>
      <c r="AS3" s="407"/>
      <c r="AT3" s="1211" t="s">
        <v>1008</v>
      </c>
    </row>
    <row r="4" spans="1:46" ht="69.75" customHeight="1" x14ac:dyDescent="0.3">
      <c r="A4" s="2261"/>
      <c r="B4" s="1218">
        <v>2</v>
      </c>
      <c r="C4" s="1219"/>
      <c r="D4" s="1220"/>
      <c r="E4" s="1220">
        <v>12</v>
      </c>
      <c r="F4" s="1221"/>
      <c r="G4" s="1222"/>
      <c r="H4" s="1205"/>
      <c r="I4" s="1223" t="s">
        <v>152</v>
      </c>
      <c r="J4" s="1224"/>
      <c r="K4" s="1208"/>
      <c r="L4" s="1225"/>
      <c r="M4" s="289"/>
      <c r="N4" s="289"/>
      <c r="O4" s="1214"/>
      <c r="P4" s="1226"/>
      <c r="Q4" s="1205"/>
      <c r="R4" s="263"/>
      <c r="S4" s="1214"/>
      <c r="T4" s="1208"/>
      <c r="U4" s="1225"/>
      <c r="V4" s="407"/>
      <c r="W4" s="289"/>
      <c r="X4" s="1214"/>
      <c r="Y4" s="1222"/>
      <c r="Z4" s="1206"/>
      <c r="AA4" s="1206"/>
      <c r="AB4" s="1227"/>
      <c r="AC4" s="1208"/>
      <c r="AD4" s="1225"/>
      <c r="AE4" s="289"/>
      <c r="AF4" s="289"/>
      <c r="AG4" s="1214"/>
      <c r="AH4" s="1226"/>
      <c r="AI4" s="1206"/>
      <c r="AJ4" s="289"/>
      <c r="AK4" s="1214"/>
      <c r="AL4" s="301"/>
      <c r="AM4" s="1225"/>
      <c r="AN4" s="289"/>
      <c r="AO4" s="289"/>
      <c r="AP4" s="1214"/>
      <c r="AQ4" s="1226"/>
      <c r="AR4" s="1206"/>
      <c r="AS4" s="289"/>
      <c r="AT4" s="1214"/>
    </row>
    <row r="5" spans="1:46" ht="60" customHeight="1" x14ac:dyDescent="0.3">
      <c r="A5" s="2260">
        <v>45718</v>
      </c>
      <c r="B5" s="1218">
        <v>1</v>
      </c>
      <c r="C5" s="1219"/>
      <c r="D5" s="1220"/>
      <c r="E5" s="1220">
        <v>30</v>
      </c>
      <c r="F5" s="1221"/>
      <c r="G5" s="1329"/>
      <c r="H5" s="1387"/>
      <c r="I5" s="1223" t="s">
        <v>1059</v>
      </c>
      <c r="J5" s="1224"/>
      <c r="K5" s="1208"/>
      <c r="L5" s="1225"/>
      <c r="M5" s="289"/>
      <c r="N5" s="289"/>
      <c r="O5" s="1214"/>
      <c r="P5" s="1226"/>
      <c r="Q5" s="289"/>
      <c r="R5" s="289"/>
      <c r="S5" s="1214"/>
      <c r="T5" s="1208"/>
      <c r="U5" s="1225"/>
      <c r="V5" s="289"/>
      <c r="W5" s="289"/>
      <c r="X5" s="1214"/>
      <c r="Y5" s="1384"/>
      <c r="Z5" s="1205"/>
      <c r="AA5" s="1228"/>
      <c r="AB5" s="1229"/>
      <c r="AC5" s="1208"/>
      <c r="AD5" s="1225"/>
      <c r="AE5" s="289"/>
      <c r="AF5" s="289"/>
      <c r="AG5" s="1214"/>
      <c r="AH5" s="1226"/>
      <c r="AI5" s="289"/>
      <c r="AJ5" s="1230"/>
      <c r="AK5" s="1214"/>
      <c r="AL5" s="301"/>
      <c r="AM5" s="1225"/>
      <c r="AN5" s="289"/>
      <c r="AO5" s="289"/>
      <c r="AP5" s="1214"/>
      <c r="AQ5" s="1226"/>
      <c r="AR5" s="1257"/>
      <c r="AS5" s="407"/>
      <c r="AT5" s="1231"/>
    </row>
    <row r="6" spans="1:46" ht="80.45" customHeight="1" x14ac:dyDescent="0.3">
      <c r="A6" s="2261"/>
      <c r="B6" s="1218">
        <v>2</v>
      </c>
      <c r="C6" s="1219"/>
      <c r="D6" s="1220"/>
      <c r="E6" s="1220">
        <v>56</v>
      </c>
      <c r="F6" s="1221"/>
      <c r="G6" s="1204"/>
      <c r="H6" s="1206"/>
      <c r="I6" s="1223" t="s">
        <v>328</v>
      </c>
      <c r="J6" s="1232"/>
      <c r="K6" s="1208"/>
      <c r="L6" s="1225"/>
      <c r="M6" s="289"/>
      <c r="N6" s="289"/>
      <c r="O6" s="1214"/>
      <c r="P6" s="1226"/>
      <c r="Q6" s="1205"/>
      <c r="R6" s="289"/>
      <c r="S6" s="1232"/>
      <c r="T6" s="1208"/>
      <c r="U6" s="1225"/>
      <c r="V6" s="289"/>
      <c r="W6" s="289">
        <v>21</v>
      </c>
      <c r="X6" s="1214"/>
      <c r="Y6" s="1384"/>
      <c r="Z6" s="1205"/>
      <c r="AA6" s="1206" t="s">
        <v>328</v>
      </c>
      <c r="AB6" s="1232"/>
      <c r="AC6" s="1208"/>
      <c r="AD6" s="1225"/>
      <c r="AE6" s="289"/>
      <c r="AF6" s="289">
        <v>25</v>
      </c>
      <c r="AG6" s="1214"/>
      <c r="AH6" s="1226"/>
      <c r="AI6" s="289"/>
      <c r="AJ6" s="1332" t="s">
        <v>1060</v>
      </c>
      <c r="AK6" s="1232"/>
      <c r="AL6" s="301"/>
      <c r="AM6" s="1225"/>
      <c r="AN6" s="289"/>
      <c r="AO6" s="289"/>
      <c r="AP6" s="1214"/>
      <c r="AQ6" s="1383"/>
      <c r="AR6" s="1348"/>
      <c r="AS6" s="1384"/>
      <c r="AT6" s="1232"/>
    </row>
    <row r="7" spans="1:46" ht="71.45" customHeight="1" x14ac:dyDescent="0.3">
      <c r="A7" s="2260">
        <v>45719</v>
      </c>
      <c r="B7" s="1218">
        <v>1</v>
      </c>
      <c r="C7" s="1219"/>
      <c r="D7" s="1220"/>
      <c r="E7" s="1220">
        <v>16</v>
      </c>
      <c r="F7" s="1221"/>
      <c r="G7" s="1204"/>
      <c r="H7" s="1206"/>
      <c r="I7" s="1223" t="s">
        <v>1061</v>
      </c>
      <c r="J7" s="1232"/>
      <c r="K7" s="1208"/>
      <c r="L7" s="1225"/>
      <c r="M7" s="1226"/>
      <c r="N7" s="289"/>
      <c r="O7" s="1214"/>
      <c r="P7" s="1226"/>
      <c r="Q7" s="1233"/>
      <c r="R7" s="289"/>
      <c r="S7" s="1231"/>
      <c r="T7" s="1208"/>
      <c r="U7" s="1225"/>
      <c r="V7" s="289"/>
      <c r="W7" s="289">
        <v>18</v>
      </c>
      <c r="X7" s="1214"/>
      <c r="Y7" s="1384"/>
      <c r="Z7" s="1205"/>
      <c r="AA7" s="1228" t="s">
        <v>1060</v>
      </c>
      <c r="AB7" s="1231"/>
      <c r="AC7" s="1208"/>
      <c r="AD7" s="1225"/>
      <c r="AE7" s="289"/>
      <c r="AF7" s="289">
        <v>25</v>
      </c>
      <c r="AG7" s="1214"/>
      <c r="AH7" s="1226"/>
      <c r="AI7" s="1233"/>
      <c r="AJ7" s="1332"/>
      <c r="AK7" s="1346"/>
      <c r="AL7" s="301"/>
      <c r="AM7" s="1225"/>
      <c r="AN7" s="289"/>
      <c r="AO7" s="289"/>
      <c r="AP7" s="1214"/>
      <c r="AQ7" s="1382"/>
      <c r="AR7" s="1334"/>
      <c r="AS7" s="1347"/>
      <c r="AT7" s="1234"/>
    </row>
    <row r="8" spans="1:46" ht="69.599999999999994" customHeight="1" x14ac:dyDescent="0.3">
      <c r="A8" s="2261"/>
      <c r="B8" s="1218">
        <v>2</v>
      </c>
      <c r="C8" s="1219">
        <v>668</v>
      </c>
      <c r="D8" s="1254"/>
      <c r="E8" s="1220"/>
      <c r="F8" s="1221"/>
      <c r="G8" s="1222" t="s">
        <v>45</v>
      </c>
      <c r="H8" s="1206"/>
      <c r="I8" s="1223"/>
      <c r="J8" s="1232"/>
      <c r="K8" s="1208"/>
      <c r="L8" s="1225"/>
      <c r="M8" s="289"/>
      <c r="N8" s="289"/>
      <c r="O8" s="1214"/>
      <c r="P8" s="1226"/>
      <c r="Q8" s="289"/>
      <c r="R8" s="407"/>
      <c r="S8" s="1231"/>
      <c r="T8" s="1208"/>
      <c r="U8" s="1333"/>
      <c r="V8" s="1334"/>
      <c r="W8" s="1226"/>
      <c r="X8" s="1214"/>
      <c r="Y8" s="1384"/>
      <c r="Z8" s="1383"/>
      <c r="AA8" s="1384"/>
      <c r="AB8" s="1232"/>
      <c r="AC8" s="1208"/>
      <c r="AD8" s="1225"/>
      <c r="AE8" s="289"/>
      <c r="AF8" s="289"/>
      <c r="AG8" s="1214"/>
      <c r="AH8" s="1226"/>
      <c r="AI8" s="407"/>
      <c r="AJ8" s="1332"/>
      <c r="AK8" s="1335"/>
      <c r="AL8" s="301"/>
      <c r="AM8" s="1225"/>
      <c r="AN8" s="289"/>
      <c r="AO8" s="289"/>
      <c r="AP8" s="1214"/>
      <c r="AQ8" s="1382"/>
      <c r="AR8" s="1349"/>
      <c r="AS8" s="1226"/>
      <c r="AT8" s="1232"/>
    </row>
    <row r="9" spans="1:46" ht="76.900000000000006" customHeight="1" x14ac:dyDescent="0.3">
      <c r="A9" s="2260">
        <v>45720</v>
      </c>
      <c r="B9" s="1218">
        <v>1</v>
      </c>
      <c r="C9" s="1301">
        <v>100</v>
      </c>
      <c r="D9" s="1328">
        <v>170</v>
      </c>
      <c r="E9" s="1325"/>
      <c r="F9" s="1221"/>
      <c r="G9" s="1222" t="s">
        <v>45</v>
      </c>
      <c r="H9" s="1205" t="s">
        <v>1062</v>
      </c>
      <c r="I9" s="1223"/>
      <c r="J9" s="1232"/>
      <c r="K9" s="1208"/>
      <c r="L9" s="1225"/>
      <c r="M9" s="289"/>
      <c r="N9" s="289"/>
      <c r="O9" s="1214"/>
      <c r="P9" s="1226"/>
      <c r="Q9" s="289"/>
      <c r="R9" s="407"/>
      <c r="S9" s="1232"/>
      <c r="T9" s="1208"/>
      <c r="U9" s="1333"/>
      <c r="V9" s="1226"/>
      <c r="W9" s="289"/>
      <c r="X9" s="1214"/>
      <c r="Y9" s="1384"/>
      <c r="Z9" s="289"/>
      <c r="AA9" s="1228"/>
      <c r="AB9" s="1232"/>
      <c r="AC9" s="1208"/>
      <c r="AD9" s="1225"/>
      <c r="AE9" s="289"/>
      <c r="AF9" s="289"/>
      <c r="AG9" s="1214"/>
      <c r="AH9" s="1226"/>
      <c r="AI9" s="289"/>
      <c r="AJ9" s="289"/>
      <c r="AK9" s="1232"/>
      <c r="AL9" s="301"/>
      <c r="AM9" s="1225"/>
      <c r="AN9" s="289"/>
      <c r="AO9" s="289"/>
      <c r="AP9" s="1214"/>
      <c r="AQ9" s="1382"/>
      <c r="AR9" s="1334"/>
      <c r="AS9" s="1226"/>
      <c r="AT9" s="1235"/>
    </row>
    <row r="10" spans="1:46" ht="67.150000000000006" customHeight="1" x14ac:dyDescent="0.3">
      <c r="A10" s="2261"/>
      <c r="B10" s="1218">
        <v>2</v>
      </c>
      <c r="C10" s="1301"/>
      <c r="D10" s="1326"/>
      <c r="E10" s="1325"/>
      <c r="F10" s="1221"/>
      <c r="G10" s="1385"/>
      <c r="H10" s="1237"/>
      <c r="I10" s="1387"/>
      <c r="J10" s="1232"/>
      <c r="K10" s="1208"/>
      <c r="L10" s="1225">
        <v>541</v>
      </c>
      <c r="M10" s="289"/>
      <c r="N10" s="289"/>
      <c r="O10" s="1214"/>
      <c r="P10" s="1226" t="s">
        <v>45</v>
      </c>
      <c r="Q10" s="289"/>
      <c r="R10" s="407"/>
      <c r="S10" s="1232"/>
      <c r="T10" s="1208"/>
      <c r="U10" s="1225">
        <v>625</v>
      </c>
      <c r="V10" s="289"/>
      <c r="W10" s="289"/>
      <c r="X10" s="1214"/>
      <c r="Y10" s="1394" t="s">
        <v>45</v>
      </c>
      <c r="Z10" s="1384"/>
      <c r="AA10" s="1208"/>
      <c r="AB10" s="1232"/>
      <c r="AC10" s="1208"/>
      <c r="AD10" s="1225"/>
      <c r="AE10" s="289"/>
      <c r="AF10" s="289">
        <v>14</v>
      </c>
      <c r="AG10" s="1214"/>
      <c r="AH10" s="1384"/>
      <c r="AI10" s="407"/>
      <c r="AJ10" s="1206" t="s">
        <v>1035</v>
      </c>
      <c r="AK10" s="1232"/>
      <c r="AL10" s="301"/>
      <c r="AM10" s="1225"/>
      <c r="AN10" s="289"/>
      <c r="AO10" s="289"/>
      <c r="AP10" s="1214"/>
      <c r="AQ10" s="1382"/>
      <c r="AR10" s="1350"/>
      <c r="AS10" s="1226"/>
      <c r="AT10" s="1232"/>
    </row>
    <row r="11" spans="1:46" ht="60" customHeight="1" x14ac:dyDescent="0.3">
      <c r="A11" s="2260">
        <v>45721</v>
      </c>
      <c r="B11" s="1218">
        <v>1</v>
      </c>
      <c r="C11" s="1301"/>
      <c r="D11" s="1327"/>
      <c r="E11" s="1325"/>
      <c r="F11" s="1221">
        <v>129</v>
      </c>
      <c r="G11" s="1239"/>
      <c r="H11" s="1237"/>
      <c r="I11" s="1387"/>
      <c r="J11" s="1224" t="s">
        <v>1063</v>
      </c>
      <c r="K11" s="1208"/>
      <c r="L11" s="1225"/>
      <c r="M11" s="289"/>
      <c r="N11" s="289"/>
      <c r="O11" s="1214"/>
      <c r="P11" s="1226"/>
      <c r="Q11" s="289"/>
      <c r="R11" s="407"/>
      <c r="S11" s="1214"/>
      <c r="T11" s="1208"/>
      <c r="U11" s="1225">
        <v>142</v>
      </c>
      <c r="V11" s="289"/>
      <c r="W11" s="289"/>
      <c r="X11" s="1214"/>
      <c r="Y11" s="1384" t="s">
        <v>45</v>
      </c>
      <c r="Z11" s="289"/>
      <c r="AA11" s="1228"/>
      <c r="AB11" s="1214"/>
      <c r="AC11" s="1208"/>
      <c r="AD11" s="1225"/>
      <c r="AE11" s="289"/>
      <c r="AF11" s="289"/>
      <c r="AG11" s="1214"/>
      <c r="AH11" s="1226"/>
      <c r="AI11" s="289"/>
      <c r="AJ11" s="1228"/>
      <c r="AK11" s="1214"/>
      <c r="AL11" s="301"/>
      <c r="AM11" s="1225"/>
      <c r="AN11" s="289"/>
      <c r="AO11" s="289"/>
      <c r="AP11" s="1214"/>
      <c r="AQ11" s="1226"/>
      <c r="AR11" s="263"/>
      <c r="AS11" s="289"/>
      <c r="AT11" s="1231"/>
    </row>
    <row r="12" spans="1:46" ht="55.15" customHeight="1" x14ac:dyDescent="0.3">
      <c r="A12" s="2261"/>
      <c r="B12" s="1218">
        <v>2</v>
      </c>
      <c r="C12" s="1219">
        <v>155</v>
      </c>
      <c r="D12" s="1305"/>
      <c r="E12" s="1220"/>
      <c r="F12" s="1221">
        <v>295</v>
      </c>
      <c r="G12" s="1222" t="s">
        <v>45</v>
      </c>
      <c r="H12" s="1205"/>
      <c r="I12" s="1387"/>
      <c r="J12" s="1224" t="s">
        <v>1063</v>
      </c>
      <c r="K12" s="1208"/>
      <c r="L12" s="1225"/>
      <c r="M12" s="289"/>
      <c r="N12" s="289"/>
      <c r="O12" s="1214"/>
      <c r="P12" s="1226"/>
      <c r="Q12" s="289"/>
      <c r="R12" s="407"/>
      <c r="S12" s="1232"/>
      <c r="T12" s="1208"/>
      <c r="U12" s="1225"/>
      <c r="V12" s="289">
        <v>20</v>
      </c>
      <c r="W12" s="289">
        <v>12</v>
      </c>
      <c r="X12" s="1214"/>
      <c r="Y12" s="1384"/>
      <c r="Z12" s="1206" t="s">
        <v>1064</v>
      </c>
      <c r="AA12" s="1228" t="s">
        <v>27</v>
      </c>
      <c r="AB12" s="1232"/>
      <c r="AC12" s="1208"/>
      <c r="AD12" s="1225"/>
      <c r="AE12" s="289"/>
      <c r="AF12" s="289"/>
      <c r="AG12" s="1214"/>
      <c r="AH12" s="1226"/>
      <c r="AI12" s="407"/>
      <c r="AJ12" s="407"/>
      <c r="AK12" s="1232"/>
      <c r="AL12" s="301"/>
      <c r="AM12" s="1225"/>
      <c r="AN12" s="289"/>
      <c r="AO12" s="289"/>
      <c r="AP12" s="1214"/>
      <c r="AQ12" s="1226"/>
      <c r="AR12" s="289"/>
      <c r="AS12" s="407"/>
      <c r="AT12" s="1232"/>
    </row>
    <row r="13" spans="1:46" ht="34.9" customHeight="1" x14ac:dyDescent="0.3">
      <c r="A13" s="2260">
        <v>45722</v>
      </c>
      <c r="B13" s="1218">
        <v>1</v>
      </c>
      <c r="C13" s="1219"/>
      <c r="D13" s="1220"/>
      <c r="E13" s="1220"/>
      <c r="F13" s="1221"/>
      <c r="G13" s="1222"/>
      <c r="H13" s="1205"/>
      <c r="I13" s="1223"/>
      <c r="J13" s="1232"/>
      <c r="K13" s="1208"/>
      <c r="L13" s="1225"/>
      <c r="M13" s="289"/>
      <c r="N13" s="289"/>
      <c r="O13" s="1221"/>
      <c r="P13" s="1226"/>
      <c r="Q13" s="289"/>
      <c r="R13" s="289"/>
      <c r="S13" s="1232"/>
      <c r="T13" s="1208"/>
      <c r="U13" s="1225"/>
      <c r="V13" s="289"/>
      <c r="W13" s="289"/>
      <c r="X13" s="1221"/>
      <c r="Y13" s="1384"/>
      <c r="Z13" s="407"/>
      <c r="AA13" s="1228"/>
      <c r="AB13" s="1232"/>
      <c r="AC13" s="1208"/>
      <c r="AD13" s="1225"/>
      <c r="AE13" s="289"/>
      <c r="AF13" s="289"/>
      <c r="AG13" s="1221"/>
      <c r="AH13" s="1226"/>
      <c r="AI13" s="289"/>
      <c r="AJ13" s="1228"/>
      <c r="AK13" s="1232"/>
      <c r="AL13" s="301"/>
      <c r="AM13" s="1225"/>
      <c r="AN13" s="289"/>
      <c r="AO13" s="289"/>
      <c r="AP13" s="1221"/>
      <c r="AQ13" s="1226"/>
      <c r="AR13" s="289"/>
      <c r="AS13" s="1206"/>
      <c r="AT13" s="1232"/>
    </row>
    <row r="14" spans="1:46" ht="49.15" customHeight="1" x14ac:dyDescent="0.3">
      <c r="A14" s="2261"/>
      <c r="B14" s="1218">
        <v>2</v>
      </c>
      <c r="C14" s="1219"/>
      <c r="D14" s="1220"/>
      <c r="E14" s="1220"/>
      <c r="F14" s="1221"/>
      <c r="G14" s="1222"/>
      <c r="H14" s="1206"/>
      <c r="I14" s="1223"/>
      <c r="J14" s="1232"/>
      <c r="K14" s="1208"/>
      <c r="L14" s="1225"/>
      <c r="M14" s="289"/>
      <c r="N14" s="289"/>
      <c r="O14" s="1221"/>
      <c r="P14" s="1384"/>
      <c r="Q14" s="289"/>
      <c r="R14" s="289"/>
      <c r="S14" s="1232"/>
      <c r="T14" s="1208"/>
      <c r="U14" s="1225"/>
      <c r="V14" s="289"/>
      <c r="W14" s="289"/>
      <c r="X14" s="1221"/>
      <c r="Y14" s="1384"/>
      <c r="Z14" s="407"/>
      <c r="AA14" s="1228"/>
      <c r="AB14" s="1232"/>
      <c r="AC14" s="1208"/>
      <c r="AD14" s="1225"/>
      <c r="AE14" s="289"/>
      <c r="AF14" s="289"/>
      <c r="AG14" s="1221"/>
      <c r="AH14" s="2262"/>
      <c r="AI14" s="2263"/>
      <c r="AJ14" s="2264"/>
      <c r="AK14" s="1232"/>
      <c r="AL14" s="301"/>
      <c r="AM14" s="1225"/>
      <c r="AN14" s="289"/>
      <c r="AO14" s="1344"/>
      <c r="AP14" s="1351"/>
      <c r="AQ14" s="1384"/>
      <c r="AR14" s="289"/>
      <c r="AS14" s="1228"/>
      <c r="AT14" s="1232"/>
    </row>
    <row r="15" spans="1:46" ht="48" customHeight="1" x14ac:dyDescent="0.3">
      <c r="A15" s="2260">
        <v>45723</v>
      </c>
      <c r="B15" s="1218">
        <v>1</v>
      </c>
      <c r="C15" s="1219"/>
      <c r="D15" s="1254"/>
      <c r="E15" s="1257"/>
      <c r="F15" s="1267"/>
      <c r="G15" s="1259"/>
      <c r="H15" s="1250"/>
      <c r="I15" s="1302"/>
      <c r="J15" s="1267"/>
      <c r="K15" s="1208"/>
      <c r="L15" s="1303"/>
      <c r="M15" s="1257"/>
      <c r="N15" s="1257"/>
      <c r="O15" s="1255"/>
      <c r="P15" s="1304"/>
      <c r="Q15" s="1250"/>
      <c r="R15" s="1206"/>
      <c r="S15" s="1232"/>
      <c r="T15" s="1208"/>
      <c r="U15" s="1225"/>
      <c r="V15" s="289"/>
      <c r="W15" s="289"/>
      <c r="X15" s="1221"/>
      <c r="Y15" s="1222"/>
      <c r="Z15" s="1206"/>
      <c r="AA15" s="1228"/>
      <c r="AB15" s="1232"/>
      <c r="AC15" s="1208"/>
      <c r="AD15" s="1225"/>
      <c r="AE15" s="289"/>
      <c r="AF15" s="1208"/>
      <c r="AG15" s="1221"/>
      <c r="AH15" s="1204"/>
      <c r="AI15" s="1206"/>
      <c r="AJ15" s="407"/>
      <c r="AK15" s="1232"/>
      <c r="AL15" s="301"/>
      <c r="AM15" s="1225"/>
      <c r="AN15" s="289"/>
      <c r="AO15" s="1352"/>
      <c r="AP15" s="1358"/>
      <c r="AQ15" s="1387"/>
      <c r="AR15" s="1206"/>
      <c r="AS15" s="1206"/>
      <c r="AT15" s="1232"/>
    </row>
    <row r="16" spans="1:46" ht="63" customHeight="1" x14ac:dyDescent="0.3">
      <c r="A16" s="2261"/>
      <c r="B16" s="1218">
        <v>2</v>
      </c>
      <c r="C16" s="1301"/>
      <c r="D16" s="1323"/>
      <c r="E16" s="1321">
        <v>28</v>
      </c>
      <c r="F16" s="1312">
        <v>15</v>
      </c>
      <c r="G16" s="1367"/>
      <c r="H16" s="1314"/>
      <c r="I16" s="1223" t="s">
        <v>328</v>
      </c>
      <c r="J16" s="1316" t="s">
        <v>1065</v>
      </c>
      <c r="K16" s="1317"/>
      <c r="L16" s="1318">
        <v>135</v>
      </c>
      <c r="M16" s="1319"/>
      <c r="N16" s="1319"/>
      <c r="O16" s="1312"/>
      <c r="P16" s="1367" t="s">
        <v>1066</v>
      </c>
      <c r="Q16" s="1320"/>
      <c r="R16" s="1241"/>
      <c r="S16" s="1232"/>
      <c r="T16" s="1208"/>
      <c r="U16" s="1225"/>
      <c r="V16" s="289"/>
      <c r="W16" s="289"/>
      <c r="X16" s="1221">
        <v>6</v>
      </c>
      <c r="Y16" s="1298"/>
      <c r="Z16" s="1237"/>
      <c r="AA16" s="1242"/>
      <c r="AB16" s="1232" t="s">
        <v>743</v>
      </c>
      <c r="AC16" s="1208"/>
      <c r="AD16" s="1225"/>
      <c r="AE16" s="289"/>
      <c r="AF16" s="289"/>
      <c r="AG16" s="1221"/>
      <c r="AH16" s="1243"/>
      <c r="AI16" s="1237"/>
      <c r="AJ16" s="1241"/>
      <c r="AK16" s="1232"/>
      <c r="AL16" s="301"/>
      <c r="AM16" s="1225"/>
      <c r="AN16" s="289"/>
      <c r="AO16" s="289"/>
      <c r="AP16" s="1221"/>
      <c r="AQ16" s="1357"/>
      <c r="AR16" s="1237"/>
      <c r="AS16" s="1241"/>
      <c r="AT16" s="1232"/>
    </row>
    <row r="17" spans="1:46" ht="66" customHeight="1" x14ac:dyDescent="0.3">
      <c r="A17" s="2260">
        <v>45724</v>
      </c>
      <c r="B17" s="1244">
        <v>1</v>
      </c>
      <c r="C17" s="1219"/>
      <c r="D17" s="1324"/>
      <c r="E17" s="1322"/>
      <c r="F17" s="1306"/>
      <c r="G17" s="1307"/>
      <c r="H17" s="1308"/>
      <c r="I17" s="1309"/>
      <c r="J17" s="1310"/>
      <c r="K17" s="1208"/>
      <c r="L17" s="1311"/>
      <c r="M17" s="263"/>
      <c r="N17" s="263"/>
      <c r="O17" s="1306"/>
      <c r="P17" s="1307"/>
      <c r="Q17" s="1308"/>
      <c r="R17" s="1206"/>
      <c r="S17" s="1232"/>
      <c r="T17" s="1208"/>
      <c r="U17" s="1225"/>
      <c r="V17" s="289"/>
      <c r="W17" s="289"/>
      <c r="X17" s="1221"/>
      <c r="Y17" s="1222"/>
      <c r="Z17" s="1205"/>
      <c r="AA17" s="1242"/>
      <c r="AB17" s="1232"/>
      <c r="AC17" s="1208"/>
      <c r="AD17" s="1225"/>
      <c r="AE17" s="289"/>
      <c r="AF17" s="289"/>
      <c r="AG17" s="1221"/>
      <c r="AH17" s="1204"/>
      <c r="AI17" s="1205"/>
      <c r="AJ17" s="1206"/>
      <c r="AK17" s="1232"/>
      <c r="AL17" s="301"/>
      <c r="AM17" s="1225"/>
      <c r="AN17" s="289"/>
      <c r="AO17" s="1344"/>
      <c r="AP17" s="1358"/>
      <c r="AQ17" s="1242"/>
      <c r="AR17" s="1206"/>
      <c r="AS17" s="1228"/>
      <c r="AT17" s="1232"/>
    </row>
    <row r="18" spans="1:46" ht="49.5" customHeight="1" x14ac:dyDescent="0.3">
      <c r="A18" s="2261"/>
      <c r="B18" s="1218">
        <v>2</v>
      </c>
      <c r="C18" s="1219"/>
      <c r="D18" s="1220"/>
      <c r="E18" s="1220">
        <v>18</v>
      </c>
      <c r="F18" s="1221"/>
      <c r="G18" s="1222"/>
      <c r="H18" s="1245"/>
      <c r="I18" s="1395" t="s">
        <v>325</v>
      </c>
      <c r="J18" s="1232"/>
      <c r="K18" s="1208"/>
      <c r="L18" s="1225"/>
      <c r="M18" s="289"/>
      <c r="N18" s="289"/>
      <c r="O18" s="1221"/>
      <c r="P18" s="1222"/>
      <c r="Q18" s="1206"/>
      <c r="R18" s="1223"/>
      <c r="S18" s="1232"/>
      <c r="T18" s="1208"/>
      <c r="U18" s="1225"/>
      <c r="V18" s="289"/>
      <c r="W18" s="1220">
        <v>10</v>
      </c>
      <c r="X18" s="1221"/>
      <c r="Y18" s="1222"/>
      <c r="Z18" s="1206"/>
      <c r="AA18" s="1228" t="s">
        <v>388</v>
      </c>
      <c r="AB18" s="1232"/>
      <c r="AC18" s="1208"/>
      <c r="AD18" s="1225">
        <v>34</v>
      </c>
      <c r="AE18" s="289"/>
      <c r="AF18" s="289"/>
      <c r="AG18" s="1221"/>
      <c r="AH18" s="1222" t="s">
        <v>1068</v>
      </c>
      <c r="AI18" s="1206"/>
      <c r="AJ18" s="1205"/>
      <c r="AK18" s="1232"/>
      <c r="AL18" s="301"/>
      <c r="AM18" s="1225"/>
      <c r="AN18" s="289"/>
      <c r="AO18" s="1344"/>
      <c r="AP18" s="1351"/>
      <c r="AQ18" s="1386"/>
      <c r="AR18" s="1237"/>
      <c r="AS18" s="1368"/>
      <c r="AT18" s="1232"/>
    </row>
    <row r="19" spans="1:46" ht="50.25" customHeight="1" x14ac:dyDescent="0.3">
      <c r="A19" s="2260">
        <v>45725</v>
      </c>
      <c r="B19" s="1218">
        <v>1</v>
      </c>
      <c r="C19" s="1208"/>
      <c r="D19" s="1220"/>
      <c r="E19" s="1223" t="s">
        <v>1067</v>
      </c>
      <c r="F19" s="1221"/>
      <c r="G19" s="1246"/>
      <c r="H19" s="289"/>
      <c r="I19" s="1387" t="s">
        <v>325</v>
      </c>
      <c r="J19" s="1232"/>
      <c r="K19" s="1208"/>
      <c r="L19" s="1225"/>
      <c r="M19" s="289"/>
      <c r="N19" s="289"/>
      <c r="O19" s="1221"/>
      <c r="P19" s="1225"/>
      <c r="Q19" s="289"/>
      <c r="R19" s="289"/>
      <c r="S19" s="1232"/>
      <c r="T19" s="1208"/>
      <c r="U19" s="1225"/>
      <c r="V19" s="289"/>
      <c r="W19" s="289"/>
      <c r="X19" s="1221"/>
      <c r="Y19" s="1225"/>
      <c r="Z19" s="407"/>
      <c r="AA19" s="1242"/>
      <c r="AB19" s="1232"/>
      <c r="AC19" s="1208"/>
      <c r="AD19" s="1225"/>
      <c r="AE19" s="289"/>
      <c r="AF19" s="289"/>
      <c r="AG19" s="1221"/>
      <c r="AH19" s="1225"/>
      <c r="AI19" s="289"/>
      <c r="AJ19" s="1228"/>
      <c r="AK19" s="1232"/>
      <c r="AL19" s="301"/>
      <c r="AM19" s="1225"/>
      <c r="AN19" s="289"/>
      <c r="AO19" s="289"/>
      <c r="AP19" s="1221"/>
      <c r="AQ19" s="1225"/>
      <c r="AR19" s="289"/>
      <c r="AS19" s="1206"/>
      <c r="AT19" s="1232"/>
    </row>
    <row r="20" spans="1:46" ht="54.75" customHeight="1" x14ac:dyDescent="0.3">
      <c r="A20" s="2261"/>
      <c r="B20" s="1218">
        <v>2</v>
      </c>
      <c r="C20" s="1219"/>
      <c r="D20" s="1220"/>
      <c r="E20" s="1220">
        <v>57</v>
      </c>
      <c r="F20" s="1221"/>
      <c r="G20" s="1246"/>
      <c r="H20" s="407"/>
      <c r="I20" s="1387" t="s">
        <v>152</v>
      </c>
      <c r="J20" s="1232"/>
      <c r="K20" s="1208"/>
      <c r="L20" s="1225"/>
      <c r="M20" s="289"/>
      <c r="N20" s="289"/>
      <c r="O20" s="1221"/>
      <c r="P20" s="1246"/>
      <c r="Q20" s="407"/>
      <c r="R20" s="1223"/>
      <c r="S20" s="1232"/>
      <c r="T20" s="1208"/>
      <c r="U20" s="1225"/>
      <c r="V20" s="289"/>
      <c r="W20" s="289">
        <v>50</v>
      </c>
      <c r="X20" s="1221"/>
      <c r="Y20" s="1246"/>
      <c r="Z20" s="407"/>
      <c r="AA20" s="1206" t="s">
        <v>152</v>
      </c>
      <c r="AB20" s="1232"/>
      <c r="AC20" s="1208"/>
      <c r="AD20" s="1225"/>
      <c r="AE20" s="289"/>
      <c r="AF20" s="289"/>
      <c r="AG20" s="1221"/>
      <c r="AH20" s="1246"/>
      <c r="AI20" s="407"/>
      <c r="AJ20" s="1223"/>
      <c r="AK20" s="1232"/>
      <c r="AL20" s="301"/>
      <c r="AM20" s="1225"/>
      <c r="AN20" s="289"/>
      <c r="AO20" s="289"/>
      <c r="AP20" s="1221"/>
      <c r="AQ20" s="1246"/>
      <c r="AR20" s="407"/>
      <c r="AS20" s="1223"/>
      <c r="AT20" s="1232"/>
    </row>
    <row r="21" spans="1:46" ht="39" customHeight="1" x14ac:dyDescent="0.3">
      <c r="A21" s="2260">
        <v>45726</v>
      </c>
      <c r="B21" s="1218">
        <v>1</v>
      </c>
      <c r="C21" s="1219"/>
      <c r="D21" s="1220"/>
      <c r="E21" s="1220">
        <v>9</v>
      </c>
      <c r="F21" s="1221"/>
      <c r="G21" s="1247"/>
      <c r="H21" s="1205"/>
      <c r="I21" s="1387" t="s">
        <v>325</v>
      </c>
      <c r="J21" s="1248"/>
      <c r="K21" s="1208"/>
      <c r="L21" s="1225"/>
      <c r="M21" s="289"/>
      <c r="N21" s="289"/>
      <c r="O21" s="1221"/>
      <c r="P21" s="1225"/>
      <c r="Q21" s="407"/>
      <c r="R21" s="289"/>
      <c r="S21" s="1248"/>
      <c r="T21" s="1208"/>
      <c r="U21" s="1225"/>
      <c r="V21" s="289"/>
      <c r="W21" s="289"/>
      <c r="X21" s="1221"/>
      <c r="Y21" s="1246"/>
      <c r="Z21" s="289"/>
      <c r="AA21" s="1242"/>
      <c r="AB21" s="1248"/>
      <c r="AC21" s="1208"/>
      <c r="AD21" s="1225"/>
      <c r="AE21" s="289"/>
      <c r="AF21" s="289"/>
      <c r="AG21" s="1221"/>
      <c r="AH21" s="1225"/>
      <c r="AI21" s="289"/>
      <c r="AJ21" s="1228"/>
      <c r="AK21" s="1248"/>
      <c r="AL21" s="301"/>
      <c r="AM21" s="1225"/>
      <c r="AN21" s="289"/>
      <c r="AO21" s="289"/>
      <c r="AP21" s="1221"/>
      <c r="AQ21" s="1225"/>
      <c r="AR21" s="407"/>
      <c r="AS21" s="1228"/>
      <c r="AT21" s="1248"/>
    </row>
    <row r="22" spans="1:46" ht="49.9" customHeight="1" x14ac:dyDescent="0.3">
      <c r="A22" s="2261"/>
      <c r="B22" s="1218">
        <v>2</v>
      </c>
      <c r="C22" s="1219"/>
      <c r="D22" s="1220"/>
      <c r="E22" s="1220">
        <v>81</v>
      </c>
      <c r="F22" s="1221"/>
      <c r="G22" s="1249"/>
      <c r="H22" s="1206"/>
      <c r="I22" s="1223" t="s">
        <v>328</v>
      </c>
      <c r="J22" s="1232"/>
      <c r="K22" s="1208"/>
      <c r="L22" s="1225"/>
      <c r="M22" s="289"/>
      <c r="N22" s="289"/>
      <c r="O22" s="1221"/>
      <c r="P22" s="1384"/>
      <c r="Q22" s="1206"/>
      <c r="R22" s="289"/>
      <c r="S22" s="1232"/>
      <c r="T22" s="1208"/>
      <c r="U22" s="1225"/>
      <c r="V22" s="289"/>
      <c r="W22" s="289">
        <v>33</v>
      </c>
      <c r="X22" s="1221"/>
      <c r="Y22" s="1246"/>
      <c r="Z22" s="1206"/>
      <c r="AA22" s="1228" t="s">
        <v>328</v>
      </c>
      <c r="AB22" s="1232"/>
      <c r="AC22" s="1208"/>
      <c r="AD22" s="1225"/>
      <c r="AE22" s="289"/>
      <c r="AF22" s="289"/>
      <c r="AG22" s="1221"/>
      <c r="AH22" s="1225"/>
      <c r="AI22" s="289"/>
      <c r="AJ22" s="1332"/>
      <c r="AK22" s="1335"/>
      <c r="AL22" s="301"/>
      <c r="AM22" s="1225"/>
      <c r="AN22" s="289"/>
      <c r="AO22" s="289"/>
      <c r="AP22" s="1221"/>
      <c r="AQ22" s="1225"/>
      <c r="AR22" s="1206"/>
      <c r="AS22" s="353"/>
      <c r="AT22" s="1232"/>
    </row>
    <row r="23" spans="1:46" ht="47.45" customHeight="1" x14ac:dyDescent="0.3">
      <c r="A23" s="2260">
        <v>45727</v>
      </c>
      <c r="B23" s="1244">
        <v>1</v>
      </c>
      <c r="C23" s="1219"/>
      <c r="D23" s="1220"/>
      <c r="E23" s="1220"/>
      <c r="F23" s="1221"/>
      <c r="G23" s="1204"/>
      <c r="H23" s="1205"/>
      <c r="I23" s="1387"/>
      <c r="J23" s="1232"/>
      <c r="K23" s="1208"/>
      <c r="L23" s="1225"/>
      <c r="M23" s="289"/>
      <c r="N23" s="289"/>
      <c r="O23" s="1221"/>
      <c r="P23" s="1204"/>
      <c r="Q23" s="1205"/>
      <c r="R23" s="1206"/>
      <c r="S23" s="1232"/>
      <c r="T23" s="1208"/>
      <c r="U23" s="1225"/>
      <c r="V23" s="289"/>
      <c r="W23" s="289"/>
      <c r="X23" s="1221"/>
      <c r="Y23" s="1246"/>
      <c r="Z23" s="1223"/>
      <c r="AA23" s="1242"/>
      <c r="AB23" s="1232"/>
      <c r="AC23" s="1208"/>
      <c r="AD23" s="1225"/>
      <c r="AE23" s="289"/>
      <c r="AF23" s="1226"/>
      <c r="AG23" s="1221"/>
      <c r="AH23" s="1225"/>
      <c r="AI23" s="1205"/>
      <c r="AJ23" s="1345"/>
      <c r="AK23" s="1335"/>
      <c r="AL23" s="301"/>
      <c r="AM23" s="1225"/>
      <c r="AN23" s="289"/>
      <c r="AO23" s="289"/>
      <c r="AP23" s="1221"/>
      <c r="AQ23" s="289"/>
      <c r="AR23" s="1205"/>
      <c r="AS23" s="1234"/>
      <c r="AT23" s="1232"/>
    </row>
    <row r="24" spans="1:46" ht="49.9" customHeight="1" x14ac:dyDescent="0.3">
      <c r="A24" s="2261"/>
      <c r="B24" s="1218">
        <v>2</v>
      </c>
      <c r="C24" s="1219"/>
      <c r="D24" s="1220"/>
      <c r="E24" s="1220">
        <v>16</v>
      </c>
      <c r="F24" s="1221"/>
      <c r="G24" s="1204"/>
      <c r="H24" s="1206"/>
      <c r="I24" s="1387" t="s">
        <v>328</v>
      </c>
      <c r="J24" s="1232"/>
      <c r="K24" s="1208"/>
      <c r="L24" s="1225"/>
      <c r="M24" s="289"/>
      <c r="N24" s="289"/>
      <c r="O24" s="1221"/>
      <c r="P24" s="1204"/>
      <c r="Q24" s="1205"/>
      <c r="R24" s="1206"/>
      <c r="S24" s="1232"/>
      <c r="T24" s="1300"/>
      <c r="U24" s="1226"/>
      <c r="V24" s="1299"/>
      <c r="W24" s="1242" t="s">
        <v>1023</v>
      </c>
      <c r="X24" s="1221"/>
      <c r="Y24" s="1223"/>
      <c r="Z24" s="1205"/>
      <c r="AA24" s="1228" t="s">
        <v>388</v>
      </c>
      <c r="AB24" s="1232"/>
      <c r="AC24" s="1208"/>
      <c r="AD24" s="1225"/>
      <c r="AE24" s="289"/>
      <c r="AF24" s="1226"/>
      <c r="AG24" s="1221"/>
      <c r="AH24" s="1223"/>
      <c r="AI24" s="1205"/>
      <c r="AJ24" s="1206"/>
      <c r="AK24" s="1232"/>
      <c r="AL24" s="301"/>
      <c r="AM24" s="1225"/>
      <c r="AN24" s="289"/>
      <c r="AO24" s="289">
        <v>8</v>
      </c>
      <c r="AP24" s="1221"/>
      <c r="AQ24" s="1205"/>
      <c r="AR24" s="1205"/>
      <c r="AS24" s="1232" t="s">
        <v>388</v>
      </c>
      <c r="AT24" s="1232"/>
    </row>
    <row r="25" spans="1:46" ht="53.45" customHeight="1" x14ac:dyDescent="0.3">
      <c r="A25" s="2260">
        <v>45728</v>
      </c>
      <c r="B25" s="1218">
        <v>1</v>
      </c>
      <c r="C25" s="1219"/>
      <c r="D25" s="1220"/>
      <c r="E25" s="1220">
        <v>36</v>
      </c>
      <c r="F25" s="1221"/>
      <c r="G25" s="1204"/>
      <c r="H25" s="1205"/>
      <c r="I25" s="1223" t="s">
        <v>325</v>
      </c>
      <c r="J25" s="1232"/>
      <c r="K25" s="1208"/>
      <c r="L25" s="1225"/>
      <c r="M25" s="289"/>
      <c r="N25" s="289"/>
      <c r="O25" s="1221"/>
      <c r="P25" s="1225"/>
      <c r="Q25" s="1205"/>
      <c r="R25" s="289"/>
      <c r="S25" s="1232"/>
      <c r="T25" s="1208"/>
      <c r="U25" s="1225"/>
      <c r="V25" s="289"/>
      <c r="W25" s="289">
        <v>42</v>
      </c>
      <c r="X25" s="1221"/>
      <c r="Y25" s="1246"/>
      <c r="Z25" s="407"/>
      <c r="AA25" s="1206" t="s">
        <v>328</v>
      </c>
      <c r="AB25" s="1232"/>
      <c r="AC25" s="1208"/>
      <c r="AD25" s="1225"/>
      <c r="AE25" s="289"/>
      <c r="AF25" s="289"/>
      <c r="AG25" s="1221"/>
      <c r="AH25" s="289"/>
      <c r="AI25" s="407"/>
      <c r="AJ25" s="1206"/>
      <c r="AK25" s="1232"/>
      <c r="AL25" s="301"/>
      <c r="AM25" s="1225"/>
      <c r="AN25" s="289"/>
      <c r="AO25" s="289"/>
      <c r="AP25" s="1221"/>
      <c r="AQ25" s="289"/>
      <c r="AR25" s="289"/>
      <c r="AS25" s="1206"/>
      <c r="AT25" s="1232"/>
    </row>
    <row r="26" spans="1:46" ht="42" customHeight="1" x14ac:dyDescent="0.3">
      <c r="A26" s="2261"/>
      <c r="B26" s="1218">
        <v>2</v>
      </c>
      <c r="C26" s="1219"/>
      <c r="D26" s="1220"/>
      <c r="E26" s="1220">
        <v>42</v>
      </c>
      <c r="F26" s="1221"/>
      <c r="G26" s="1204"/>
      <c r="H26" s="1206"/>
      <c r="I26" s="1223" t="s">
        <v>325</v>
      </c>
      <c r="J26" s="1232"/>
      <c r="K26" s="1208"/>
      <c r="L26" s="1225"/>
      <c r="M26" s="289"/>
      <c r="N26" s="289"/>
      <c r="O26" s="1221"/>
      <c r="P26" s="1204"/>
      <c r="Q26" s="1206"/>
      <c r="R26" s="1234"/>
      <c r="S26" s="1232"/>
      <c r="T26" s="1208"/>
      <c r="U26" s="1225"/>
      <c r="V26" s="1220"/>
      <c r="W26" s="289">
        <v>35</v>
      </c>
      <c r="X26" s="1221"/>
      <c r="Y26" s="1223"/>
      <c r="Z26" s="1206"/>
      <c r="AA26" s="1228" t="s">
        <v>1070</v>
      </c>
      <c r="AB26" s="1232"/>
      <c r="AC26" s="1208"/>
      <c r="AD26" s="1225"/>
      <c r="AE26" s="1220"/>
      <c r="AF26" s="289"/>
      <c r="AG26" s="1221"/>
      <c r="AH26" s="1223"/>
      <c r="AI26" s="1206"/>
      <c r="AJ26" s="1206"/>
      <c r="AK26" s="1232"/>
      <c r="AL26" s="301"/>
      <c r="AM26" s="1225"/>
      <c r="AN26" s="1220"/>
      <c r="AO26" s="289">
        <v>15</v>
      </c>
      <c r="AP26" s="1221"/>
      <c r="AQ26" s="1204"/>
      <c r="AR26" s="1206"/>
      <c r="AS26" s="1206" t="s">
        <v>388</v>
      </c>
      <c r="AT26" s="1232"/>
    </row>
    <row r="27" spans="1:46" ht="49.9" customHeight="1" x14ac:dyDescent="0.3">
      <c r="A27" s="2260">
        <v>45729</v>
      </c>
      <c r="B27" s="1244">
        <v>1</v>
      </c>
      <c r="C27" s="1219"/>
      <c r="D27" s="1220"/>
      <c r="E27" s="1220">
        <v>6</v>
      </c>
      <c r="F27" s="1221"/>
      <c r="G27" s="1204"/>
      <c r="H27" s="1205"/>
      <c r="I27" s="1387" t="s">
        <v>152</v>
      </c>
      <c r="J27" s="1232"/>
      <c r="K27" s="1208"/>
      <c r="L27" s="1225"/>
      <c r="M27" s="289"/>
      <c r="N27" s="289"/>
      <c r="O27" s="1221"/>
      <c r="P27" s="1204"/>
      <c r="Q27" s="1205"/>
      <c r="R27" s="1206"/>
      <c r="S27" s="1232"/>
      <c r="T27" s="1208"/>
      <c r="U27" s="1225"/>
      <c r="V27" s="289"/>
      <c r="W27" s="289">
        <v>17</v>
      </c>
      <c r="X27" s="1221"/>
      <c r="Y27" s="1204"/>
      <c r="Z27" s="1206"/>
      <c r="AA27" s="1242" t="s">
        <v>328</v>
      </c>
      <c r="AB27" s="1232"/>
      <c r="AC27" s="1208"/>
      <c r="AD27" s="1225"/>
      <c r="AE27" s="289"/>
      <c r="AF27" s="289"/>
      <c r="AG27" s="1221"/>
      <c r="AH27" s="1204"/>
      <c r="AI27" s="407"/>
      <c r="AJ27" s="1206"/>
      <c r="AK27" s="1232"/>
      <c r="AL27" s="301"/>
      <c r="AM27" s="1225"/>
      <c r="AN27" s="289"/>
      <c r="AO27" s="289"/>
      <c r="AP27" s="1221"/>
      <c r="AQ27" s="407"/>
      <c r="AR27" s="289"/>
      <c r="AS27" s="1206"/>
      <c r="AT27" s="1232"/>
    </row>
    <row r="28" spans="1:46" ht="72" customHeight="1" x14ac:dyDescent="0.3">
      <c r="A28" s="2261"/>
      <c r="B28" s="1218">
        <v>2</v>
      </c>
      <c r="C28" s="1219"/>
      <c r="D28" s="1220">
        <v>23</v>
      </c>
      <c r="E28" s="1220">
        <v>13</v>
      </c>
      <c r="F28" s="1221"/>
      <c r="G28" s="1206"/>
      <c r="H28" s="1206" t="s">
        <v>317</v>
      </c>
      <c r="I28" s="1234" t="s">
        <v>152</v>
      </c>
      <c r="J28" s="1232"/>
      <c r="K28" s="1208"/>
      <c r="L28" s="1225"/>
      <c r="M28" s="289">
        <v>20</v>
      </c>
      <c r="N28" s="289"/>
      <c r="O28" s="1221"/>
      <c r="P28" s="1206"/>
      <c r="Q28" s="1206" t="s">
        <v>317</v>
      </c>
      <c r="R28" s="1206"/>
      <c r="S28" s="1232"/>
      <c r="T28" s="1208"/>
      <c r="U28" s="1225"/>
      <c r="V28" s="289"/>
      <c r="W28" s="1208">
        <v>7</v>
      </c>
      <c r="X28" s="1221"/>
      <c r="Y28" s="1206"/>
      <c r="Z28" s="289"/>
      <c r="AA28" s="1228" t="s">
        <v>336</v>
      </c>
      <c r="AB28" s="1232"/>
      <c r="AC28" s="1208"/>
      <c r="AD28" s="1225"/>
      <c r="AE28" s="289"/>
      <c r="AF28" s="289"/>
      <c r="AG28" s="1221"/>
      <c r="AH28" s="1204"/>
      <c r="AI28" s="407"/>
      <c r="AJ28" s="1228"/>
      <c r="AK28" s="1232"/>
      <c r="AL28" s="301"/>
      <c r="AM28" s="1225"/>
      <c r="AN28" s="289"/>
      <c r="AO28" s="289"/>
      <c r="AP28" s="1221"/>
      <c r="AQ28" s="407"/>
      <c r="AR28" s="289"/>
      <c r="AS28" s="1206"/>
      <c r="AT28" s="1232"/>
    </row>
    <row r="29" spans="1:46" ht="66" customHeight="1" x14ac:dyDescent="0.3">
      <c r="A29" s="2260">
        <v>45730</v>
      </c>
      <c r="B29" s="1218">
        <v>1</v>
      </c>
      <c r="C29" s="1219"/>
      <c r="D29" s="1220"/>
      <c r="E29" s="1220"/>
      <c r="F29" s="1221"/>
      <c r="G29" s="1206"/>
      <c r="H29" s="1205"/>
      <c r="I29" s="1234"/>
      <c r="J29" s="1232"/>
      <c r="K29" s="1208"/>
      <c r="L29" s="1225"/>
      <c r="M29" s="289"/>
      <c r="N29" s="289"/>
      <c r="O29" s="1221"/>
      <c r="P29" s="1204"/>
      <c r="Q29" s="1206"/>
      <c r="R29" s="1206"/>
      <c r="S29" s="1232"/>
      <c r="T29" s="1208"/>
      <c r="U29" s="1225"/>
      <c r="V29" s="289"/>
      <c r="W29" s="289"/>
      <c r="X29" s="1221"/>
      <c r="Y29" s="1206"/>
      <c r="Z29" s="1205"/>
      <c r="AA29" s="1228"/>
      <c r="AB29" s="1232"/>
      <c r="AC29" s="1208"/>
      <c r="AD29" s="1225"/>
      <c r="AE29" s="289"/>
      <c r="AF29" s="289"/>
      <c r="AG29" s="1221"/>
      <c r="AH29" s="1204"/>
      <c r="AI29" s="1205"/>
      <c r="AJ29" s="289"/>
      <c r="AK29" s="1232"/>
      <c r="AL29" s="301"/>
      <c r="AM29" s="1225"/>
      <c r="AN29" s="289"/>
      <c r="AO29" s="289"/>
      <c r="AP29" s="289"/>
      <c r="AQ29" s="407"/>
      <c r="AR29" s="1205"/>
      <c r="AS29" s="353"/>
      <c r="AT29" s="1232"/>
    </row>
    <row r="30" spans="1:46" ht="39.6" customHeight="1" x14ac:dyDescent="0.3">
      <c r="A30" s="2261"/>
      <c r="B30" s="1244">
        <v>2</v>
      </c>
      <c r="C30" s="1219"/>
      <c r="D30" s="1220"/>
      <c r="E30" s="1220"/>
      <c r="F30" s="1221"/>
      <c r="G30" s="1206"/>
      <c r="H30" s="1205"/>
      <c r="I30" s="1228"/>
      <c r="J30" s="1232"/>
      <c r="K30" s="1208"/>
      <c r="L30" s="1225"/>
      <c r="M30" s="289"/>
      <c r="N30" s="289"/>
      <c r="O30" s="1221"/>
      <c r="P30" s="1204"/>
      <c r="Q30" s="1206"/>
      <c r="R30" s="1206"/>
      <c r="S30" s="1232"/>
      <c r="T30" s="1208"/>
      <c r="U30" s="1225"/>
      <c r="V30" s="289"/>
      <c r="W30" s="289"/>
      <c r="X30" s="1221"/>
      <c r="Y30" s="1206"/>
      <c r="Z30" s="1336"/>
      <c r="AA30" s="1337"/>
      <c r="AB30" s="1232"/>
      <c r="AC30" s="1208"/>
      <c r="AD30" s="1225"/>
      <c r="AE30" s="289"/>
      <c r="AF30" s="289"/>
      <c r="AG30" s="1221"/>
      <c r="AH30" s="1204"/>
      <c r="AI30" s="1206"/>
      <c r="AJ30" s="289"/>
      <c r="AK30" s="1232"/>
      <c r="AL30" s="301"/>
      <c r="AM30" s="1225"/>
      <c r="AN30" s="289"/>
      <c r="AO30" s="289"/>
      <c r="AP30" s="289"/>
      <c r="AQ30" s="1384"/>
      <c r="AR30" s="1205"/>
      <c r="AS30" s="353"/>
      <c r="AT30" s="1231"/>
    </row>
    <row r="31" spans="1:46" ht="39.6" customHeight="1" x14ac:dyDescent="0.3">
      <c r="A31" s="2260">
        <v>45731</v>
      </c>
      <c r="B31" s="1218">
        <v>1</v>
      </c>
      <c r="C31" s="1219"/>
      <c r="D31" s="1220"/>
      <c r="E31" s="1220"/>
      <c r="F31" s="1221"/>
      <c r="G31" s="1204"/>
      <c r="H31" s="1332"/>
      <c r="I31" s="1331"/>
      <c r="J31" s="1232"/>
      <c r="K31" s="1208"/>
      <c r="L31" s="1225"/>
      <c r="M31" s="289"/>
      <c r="N31" s="289"/>
      <c r="O31" s="1221"/>
      <c r="P31" s="1226"/>
      <c r="Q31" s="289"/>
      <c r="R31" s="289"/>
      <c r="S31" s="1232"/>
      <c r="T31" s="1208"/>
      <c r="U31" s="1225"/>
      <c r="V31" s="289"/>
      <c r="W31" s="289"/>
      <c r="X31" s="1221"/>
      <c r="Y31" s="1383"/>
      <c r="Z31" s="1338"/>
      <c r="AA31" s="1339"/>
      <c r="AB31" s="1335"/>
      <c r="AC31" s="1208"/>
      <c r="AD31" s="1225"/>
      <c r="AE31" s="289"/>
      <c r="AF31" s="289"/>
      <c r="AG31" s="1221"/>
      <c r="AH31" s="1204"/>
      <c r="AI31" s="289"/>
      <c r="AJ31" s="289"/>
      <c r="AK31" s="1232"/>
      <c r="AL31" s="301"/>
      <c r="AM31" s="1225"/>
      <c r="AN31" s="289"/>
      <c r="AO31" s="289"/>
      <c r="AP31" s="289"/>
      <c r="AQ31" s="1226"/>
      <c r="AR31" s="1205"/>
      <c r="AS31" s="289"/>
      <c r="AT31" s="1231"/>
    </row>
    <row r="32" spans="1:46" ht="63" customHeight="1" x14ac:dyDescent="0.3">
      <c r="A32" s="2261"/>
      <c r="B32" s="1218">
        <v>2</v>
      </c>
      <c r="C32" s="1330"/>
      <c r="D32" s="1325"/>
      <c r="E32" s="1299">
        <v>8</v>
      </c>
      <c r="F32" s="1325"/>
      <c r="G32" s="1204"/>
      <c r="H32" s="1332"/>
      <c r="I32" s="1331" t="s">
        <v>325</v>
      </c>
      <c r="J32" s="1232"/>
      <c r="K32" s="1208"/>
      <c r="L32" s="1225"/>
      <c r="M32" s="289"/>
      <c r="N32" s="289"/>
      <c r="O32" s="289"/>
      <c r="P32" s="1226"/>
      <c r="Q32" s="1332"/>
      <c r="R32" s="1226"/>
      <c r="S32" s="1232"/>
      <c r="T32" s="1208"/>
      <c r="U32" s="1225">
        <v>2.48</v>
      </c>
      <c r="V32" s="289"/>
      <c r="W32" s="1220"/>
      <c r="X32" s="289"/>
      <c r="Y32" s="1243" t="s">
        <v>1069</v>
      </c>
      <c r="Z32" s="1342"/>
      <c r="AA32" s="1341"/>
      <c r="AB32" s="1335"/>
      <c r="AC32" s="1208"/>
      <c r="AD32" s="1225"/>
      <c r="AE32" s="289"/>
      <c r="AF32" s="1220"/>
      <c r="AG32" s="289"/>
      <c r="AH32" s="1204"/>
      <c r="AI32" s="1332"/>
      <c r="AJ32" s="1331"/>
      <c r="AK32" s="1232"/>
      <c r="AL32" s="301"/>
      <c r="AM32" s="1225"/>
      <c r="AN32" s="289"/>
      <c r="AO32" s="289"/>
      <c r="AP32" s="289"/>
      <c r="AQ32" s="1226"/>
      <c r="AR32" s="1205"/>
      <c r="AS32" s="1387"/>
      <c r="AT32" s="1231"/>
    </row>
    <row r="33" spans="1:46" ht="43.15" customHeight="1" x14ac:dyDescent="0.3">
      <c r="A33" s="2260">
        <v>45732</v>
      </c>
      <c r="B33" s="1218">
        <v>1</v>
      </c>
      <c r="C33" s="1219"/>
      <c r="D33" s="1220">
        <v>17</v>
      </c>
      <c r="E33" s="1220"/>
      <c r="F33" s="1221"/>
      <c r="G33" s="1204"/>
      <c r="H33" s="1332" t="s">
        <v>317</v>
      </c>
      <c r="I33" s="1331"/>
      <c r="J33" s="1232"/>
      <c r="K33" s="1208"/>
      <c r="L33" s="1225"/>
      <c r="M33" s="289"/>
      <c r="N33" s="289"/>
      <c r="O33" s="1221"/>
      <c r="P33" s="1226"/>
      <c r="Q33" s="289"/>
      <c r="R33" s="289"/>
      <c r="S33" s="1232"/>
      <c r="T33" s="1208"/>
      <c r="U33" s="1225"/>
      <c r="V33" s="289"/>
      <c r="W33" s="289"/>
      <c r="X33" s="1221"/>
      <c r="Y33" s="1226"/>
      <c r="Z33" s="263"/>
      <c r="AA33" s="1341"/>
      <c r="AB33" s="1232"/>
      <c r="AC33" s="1208"/>
      <c r="AD33" s="1225"/>
      <c r="AE33" s="289"/>
      <c r="AF33" s="289"/>
      <c r="AG33" s="1221"/>
      <c r="AH33" s="1226"/>
      <c r="AI33" s="1343"/>
      <c r="AJ33" s="1331"/>
      <c r="AK33" s="1232"/>
      <c r="AL33" s="301"/>
      <c r="AM33" s="1225"/>
      <c r="AN33" s="289"/>
      <c r="AO33" s="289"/>
      <c r="AP33" s="289"/>
      <c r="AQ33" s="1226"/>
      <c r="AR33" s="1343"/>
      <c r="AS33" s="1226"/>
      <c r="AT33" s="1232"/>
    </row>
    <row r="34" spans="1:46" ht="67.900000000000006" customHeight="1" x14ac:dyDescent="0.3">
      <c r="A34" s="2261"/>
      <c r="B34" s="1244">
        <v>2</v>
      </c>
      <c r="C34" s="1220"/>
      <c r="D34" s="1220">
        <v>5</v>
      </c>
      <c r="E34" s="1220"/>
      <c r="F34" s="1221"/>
      <c r="G34" s="1222"/>
      <c r="H34" s="1206"/>
      <c r="I34" s="1228" t="s">
        <v>304</v>
      </c>
      <c r="J34" s="1232"/>
      <c r="K34" s="1208"/>
      <c r="L34" s="1225"/>
      <c r="M34" s="289"/>
      <c r="N34" s="289"/>
      <c r="O34" s="1221"/>
      <c r="P34" s="1226"/>
      <c r="Q34" s="1206"/>
      <c r="R34" s="289"/>
      <c r="S34" s="1232"/>
      <c r="T34" s="1208"/>
      <c r="U34" s="1225"/>
      <c r="V34" s="289">
        <v>41</v>
      </c>
      <c r="W34" s="289"/>
      <c r="X34" s="1221"/>
      <c r="Y34" s="407"/>
      <c r="Z34" s="407" t="s">
        <v>317</v>
      </c>
      <c r="AA34" s="1341"/>
      <c r="AB34" s="1232"/>
      <c r="AC34" s="1208"/>
      <c r="AD34" s="1225"/>
      <c r="AE34" s="289"/>
      <c r="AF34" s="289"/>
      <c r="AG34" s="1221"/>
      <c r="AH34" s="1226"/>
      <c r="AI34" s="289"/>
      <c r="AJ34" s="407"/>
      <c r="AK34" s="1232"/>
      <c r="AL34" s="301"/>
      <c r="AM34" s="1225"/>
      <c r="AN34" s="289"/>
      <c r="AO34" s="289"/>
      <c r="AP34" s="289"/>
      <c r="AQ34" s="1226"/>
      <c r="AR34" s="1343"/>
      <c r="AS34" s="1206"/>
      <c r="AT34" s="1232"/>
    </row>
    <row r="35" spans="1:46" ht="51" customHeight="1" x14ac:dyDescent="0.3">
      <c r="A35" s="2260">
        <v>45733</v>
      </c>
      <c r="B35" s="1218">
        <v>1</v>
      </c>
      <c r="C35" s="1220"/>
      <c r="D35" s="1220"/>
      <c r="E35" s="353">
        <v>21</v>
      </c>
      <c r="F35" s="1221"/>
      <c r="G35" s="1246"/>
      <c r="H35" s="1226"/>
      <c r="I35" s="1228" t="s">
        <v>328</v>
      </c>
      <c r="J35" s="1232"/>
      <c r="K35" s="1208"/>
      <c r="L35" s="1225"/>
      <c r="M35" s="289"/>
      <c r="N35" s="289"/>
      <c r="O35" s="1221"/>
      <c r="P35" s="1246"/>
      <c r="Q35" s="1206"/>
      <c r="R35" s="1206"/>
      <c r="S35" s="1232"/>
      <c r="T35" s="1208"/>
      <c r="U35" s="1225"/>
      <c r="V35" s="289"/>
      <c r="W35" s="353">
        <v>16</v>
      </c>
      <c r="X35" s="1221"/>
      <c r="Y35" s="1246"/>
      <c r="Z35" s="407"/>
      <c r="AA35" s="1228" t="s">
        <v>328</v>
      </c>
      <c r="AB35" s="1232"/>
      <c r="AC35" s="1208"/>
      <c r="AD35" s="1225"/>
      <c r="AE35" s="289"/>
      <c r="AF35" s="289">
        <v>7</v>
      </c>
      <c r="AG35" s="1221"/>
      <c r="AH35" s="1246"/>
      <c r="AI35" s="1344"/>
      <c r="AJ35" s="1387" t="s">
        <v>328</v>
      </c>
      <c r="AK35" s="1232"/>
      <c r="AL35" s="301"/>
      <c r="AM35" s="1225"/>
      <c r="AN35" s="289"/>
      <c r="AO35" s="289"/>
      <c r="AP35" s="289"/>
      <c r="AQ35" s="1226"/>
      <c r="AR35" s="1343"/>
      <c r="AS35" s="1383"/>
      <c r="AT35" s="1232"/>
    </row>
    <row r="36" spans="1:46" ht="46.9" customHeight="1" x14ac:dyDescent="0.3">
      <c r="A36" s="2261"/>
      <c r="B36" s="1218">
        <v>2</v>
      </c>
      <c r="C36" s="353"/>
      <c r="D36" s="289"/>
      <c r="E36" s="353"/>
      <c r="F36" s="1221"/>
      <c r="G36" s="1234"/>
      <c r="H36" s="1206"/>
      <c r="I36" s="1234"/>
      <c r="J36" s="1232"/>
      <c r="K36" s="1208"/>
      <c r="L36" s="1246"/>
      <c r="M36" s="289"/>
      <c r="N36" s="289"/>
      <c r="O36" s="1221"/>
      <c r="P36" s="1246"/>
      <c r="Q36" s="1206"/>
      <c r="R36" s="407"/>
      <c r="S36" s="1232"/>
      <c r="T36" s="1208"/>
      <c r="U36" s="1225"/>
      <c r="V36" s="289"/>
      <c r="W36" s="289">
        <v>5</v>
      </c>
      <c r="X36" s="1221"/>
      <c r="Y36" s="1246"/>
      <c r="Z36" s="1206"/>
      <c r="AA36" s="1228" t="s">
        <v>328</v>
      </c>
      <c r="AB36" s="1232"/>
      <c r="AC36" s="1208"/>
      <c r="AD36" s="1225"/>
      <c r="AE36" s="289"/>
      <c r="AF36" s="353">
        <v>10</v>
      </c>
      <c r="AG36" s="1221"/>
      <c r="AH36" s="1246"/>
      <c r="AI36" s="1343"/>
      <c r="AJ36" s="1331" t="s">
        <v>336</v>
      </c>
      <c r="AK36" s="1232"/>
      <c r="AL36" s="301"/>
      <c r="AM36" s="1225"/>
      <c r="AN36" s="289"/>
      <c r="AO36" s="289">
        <v>25</v>
      </c>
      <c r="AP36" s="289"/>
      <c r="AQ36" s="1226"/>
      <c r="AR36" s="1343"/>
      <c r="AS36" s="1384" t="s">
        <v>328</v>
      </c>
      <c r="AT36" s="1232"/>
    </row>
    <row r="37" spans="1:46" ht="59.45" customHeight="1" x14ac:dyDescent="0.3">
      <c r="A37" s="2260">
        <v>45734</v>
      </c>
      <c r="B37" s="1244">
        <v>1</v>
      </c>
      <c r="C37" s="353"/>
      <c r="D37" s="1220"/>
      <c r="E37" s="353">
        <v>10</v>
      </c>
      <c r="F37" s="1221"/>
      <c r="G37" s="1234"/>
      <c r="H37" s="1384"/>
      <c r="I37" s="1223" t="s">
        <v>325</v>
      </c>
      <c r="J37" s="1232"/>
      <c r="K37" s="1208"/>
      <c r="L37" s="1225"/>
      <c r="M37" s="289"/>
      <c r="N37" s="289"/>
      <c r="O37" s="1221"/>
      <c r="P37" s="1226"/>
      <c r="Q37" s="1206"/>
      <c r="R37" s="289"/>
      <c r="S37" s="1232"/>
      <c r="T37" s="1208"/>
      <c r="U37" s="1225"/>
      <c r="V37" s="289"/>
      <c r="W37" s="289">
        <v>7</v>
      </c>
      <c r="X37" s="1221"/>
      <c r="Y37" s="1226"/>
      <c r="Z37" s="407"/>
      <c r="AA37" s="1228" t="s">
        <v>336</v>
      </c>
      <c r="AB37" s="1232"/>
      <c r="AC37" s="1208"/>
      <c r="AD37" s="1225"/>
      <c r="AE37" s="289"/>
      <c r="AF37" s="289">
        <v>7</v>
      </c>
      <c r="AG37" s="1221"/>
      <c r="AH37" s="1384"/>
      <c r="AI37" s="289"/>
      <c r="AJ37" s="1228" t="s">
        <v>1060</v>
      </c>
      <c r="AK37" s="1232"/>
      <c r="AL37" s="301"/>
      <c r="AM37" s="1225"/>
      <c r="AN37" s="289"/>
      <c r="AO37" s="289"/>
      <c r="AP37" s="289"/>
      <c r="AQ37" s="1226"/>
      <c r="AR37" s="1343"/>
      <c r="AS37" s="1226"/>
      <c r="AT37" s="1232"/>
    </row>
    <row r="38" spans="1:46" ht="55.9" customHeight="1" x14ac:dyDescent="0.3">
      <c r="A38" s="2261"/>
      <c r="B38" s="1218">
        <v>2</v>
      </c>
      <c r="C38" s="353"/>
      <c r="D38" s="1220">
        <v>220</v>
      </c>
      <c r="E38" s="353">
        <v>37</v>
      </c>
      <c r="F38" s="1221"/>
      <c r="G38" s="1234"/>
      <c r="H38" s="1384" t="s">
        <v>1071</v>
      </c>
      <c r="I38" s="1223" t="s">
        <v>152</v>
      </c>
      <c r="J38" s="1232"/>
      <c r="K38" s="1208"/>
      <c r="L38" s="1225"/>
      <c r="M38" s="289">
        <v>218</v>
      </c>
      <c r="N38" s="289"/>
      <c r="O38" s="1221"/>
      <c r="P38" s="1384"/>
      <c r="Q38" s="1384" t="s">
        <v>1071</v>
      </c>
      <c r="R38" s="289"/>
      <c r="S38" s="1232"/>
      <c r="T38" s="1208"/>
      <c r="U38" s="1225"/>
      <c r="V38" s="289">
        <v>224</v>
      </c>
      <c r="W38" s="289">
        <v>30</v>
      </c>
      <c r="X38" s="1221"/>
      <c r="Y38" s="1384"/>
      <c r="Z38" s="407" t="s">
        <v>1071</v>
      </c>
      <c r="AA38" s="1228" t="s">
        <v>152</v>
      </c>
      <c r="AB38" s="1232"/>
      <c r="AC38" s="1208"/>
      <c r="AD38" s="1225"/>
      <c r="AE38" s="289">
        <v>180</v>
      </c>
      <c r="AF38" s="289"/>
      <c r="AG38" s="1221"/>
      <c r="AH38" s="1384"/>
      <c r="AI38" s="289" t="s">
        <v>1071</v>
      </c>
      <c r="AJ38" s="1228"/>
      <c r="AK38" s="1232"/>
      <c r="AL38" s="301"/>
      <c r="AM38" s="1225"/>
      <c r="AN38" s="289">
        <v>186</v>
      </c>
      <c r="AO38" s="289"/>
      <c r="AP38" s="289"/>
      <c r="AQ38" s="1226"/>
      <c r="AR38" s="1343" t="s">
        <v>1071</v>
      </c>
      <c r="AS38" s="1384"/>
      <c r="AT38" s="1232"/>
    </row>
    <row r="39" spans="1:46" ht="70.900000000000006" customHeight="1" x14ac:dyDescent="0.3">
      <c r="A39" s="2260">
        <v>45735</v>
      </c>
      <c r="B39" s="1218">
        <v>1</v>
      </c>
      <c r="C39" s="353"/>
      <c r="D39" s="1220">
        <v>5</v>
      </c>
      <c r="E39" s="1220">
        <v>22</v>
      </c>
      <c r="F39" s="1221"/>
      <c r="G39" s="1234"/>
      <c r="H39" s="1384" t="s">
        <v>866</v>
      </c>
      <c r="I39" s="1223" t="s">
        <v>328</v>
      </c>
      <c r="J39" s="1232"/>
      <c r="K39" s="1208"/>
      <c r="L39" s="1225"/>
      <c r="M39" s="289"/>
      <c r="N39" s="289"/>
      <c r="O39" s="1221"/>
      <c r="P39" s="1234"/>
      <c r="Q39" s="1206"/>
      <c r="R39" s="289"/>
      <c r="S39" s="1232"/>
      <c r="T39" s="1208"/>
      <c r="U39" s="1225"/>
      <c r="V39" s="289"/>
      <c r="W39" s="289">
        <v>13</v>
      </c>
      <c r="X39" s="1221"/>
      <c r="Y39" s="1226"/>
      <c r="Z39" s="1206"/>
      <c r="AA39" s="1228" t="s">
        <v>328</v>
      </c>
      <c r="AB39" s="1232"/>
      <c r="AC39" s="1208"/>
      <c r="AD39" s="1225"/>
      <c r="AE39" s="289"/>
      <c r="AF39" s="289"/>
      <c r="AG39" s="1221"/>
      <c r="AH39" s="1234"/>
      <c r="AI39" s="1205"/>
      <c r="AJ39" s="1228"/>
      <c r="AK39" s="1232"/>
      <c r="AL39" s="301"/>
      <c r="AM39" s="1225"/>
      <c r="AN39" s="289"/>
      <c r="AO39" s="289"/>
      <c r="AP39" s="289"/>
      <c r="AQ39" s="1226"/>
      <c r="AR39" s="1343"/>
      <c r="AS39" s="1331"/>
      <c r="AT39" s="1232"/>
    </row>
    <row r="40" spans="1:46" ht="72.599999999999994" customHeight="1" x14ac:dyDescent="0.3">
      <c r="A40" s="2261"/>
      <c r="B40" s="1218">
        <v>2</v>
      </c>
      <c r="C40" s="1220"/>
      <c r="D40" s="1220"/>
      <c r="E40" s="1220">
        <v>5</v>
      </c>
      <c r="F40" s="1221"/>
      <c r="G40" s="1234"/>
      <c r="H40" s="1384"/>
      <c r="I40" s="1223" t="s">
        <v>152</v>
      </c>
      <c r="J40" s="1232"/>
      <c r="K40" s="1208"/>
      <c r="L40" s="1225"/>
      <c r="M40" s="289"/>
      <c r="N40" s="289"/>
      <c r="O40" s="1221"/>
      <c r="P40" s="1204"/>
      <c r="Q40" s="1205"/>
      <c r="R40" s="1234"/>
      <c r="S40" s="1232"/>
      <c r="T40" s="1208"/>
      <c r="U40" s="1225"/>
      <c r="V40" s="289"/>
      <c r="W40" s="289">
        <v>12</v>
      </c>
      <c r="X40" s="1221"/>
      <c r="Y40" s="1384"/>
      <c r="Z40" s="289"/>
      <c r="AA40" s="1228" t="s">
        <v>328</v>
      </c>
      <c r="AB40" s="1232"/>
      <c r="AC40" s="1208"/>
      <c r="AD40" s="1225"/>
      <c r="AE40" s="289"/>
      <c r="AF40" s="289"/>
      <c r="AG40" s="1221"/>
      <c r="AH40" s="1246"/>
      <c r="AI40" s="1206"/>
      <c r="AJ40" s="1228"/>
      <c r="AK40" s="1232"/>
      <c r="AL40" s="301"/>
      <c r="AM40" s="1246"/>
      <c r="AN40" s="289"/>
      <c r="AO40" s="289"/>
      <c r="AP40" s="289"/>
      <c r="AQ40" s="1226"/>
      <c r="AR40" s="1343"/>
      <c r="AS40" s="1234"/>
      <c r="AT40" s="1232"/>
    </row>
    <row r="41" spans="1:46" ht="39.6" customHeight="1" x14ac:dyDescent="0.3">
      <c r="A41" s="2260">
        <v>45736</v>
      </c>
      <c r="B41" s="1218">
        <v>1</v>
      </c>
      <c r="C41" s="1219"/>
      <c r="D41" s="1220"/>
      <c r="E41" s="1220"/>
      <c r="F41" s="1221"/>
      <c r="G41" s="1204"/>
      <c r="H41" s="1206"/>
      <c r="I41" s="1223"/>
      <c r="J41" s="1232"/>
      <c r="K41" s="1208"/>
      <c r="L41" s="1225"/>
      <c r="M41" s="289"/>
      <c r="N41" s="289"/>
      <c r="O41" s="1221"/>
      <c r="P41" s="1226"/>
      <c r="Q41" s="289"/>
      <c r="R41" s="1234"/>
      <c r="S41" s="1232"/>
      <c r="T41" s="1208"/>
      <c r="U41" s="1225"/>
      <c r="V41" s="289"/>
      <c r="W41" s="289">
        <v>5</v>
      </c>
      <c r="X41" s="1221"/>
      <c r="Y41" s="1226"/>
      <c r="Z41" s="407"/>
      <c r="AA41" s="1228" t="s">
        <v>152</v>
      </c>
      <c r="AB41" s="1232"/>
      <c r="AC41" s="1208"/>
      <c r="AD41" s="1225"/>
      <c r="AE41" s="289"/>
      <c r="AF41" s="289"/>
      <c r="AG41" s="1221"/>
      <c r="AH41" s="1246"/>
      <c r="AI41" s="407"/>
      <c r="AJ41" s="289"/>
      <c r="AK41" s="1232"/>
      <c r="AL41" s="301"/>
      <c r="AM41" s="1225"/>
      <c r="AN41" s="289"/>
      <c r="AO41" s="289"/>
      <c r="AP41" s="289"/>
      <c r="AQ41" s="1226"/>
      <c r="AR41" s="1343"/>
      <c r="AS41" s="1234"/>
      <c r="AT41" s="1232"/>
    </row>
    <row r="42" spans="1:46" ht="52.9" customHeight="1" x14ac:dyDescent="0.3">
      <c r="A42" s="2261"/>
      <c r="B42" s="1218">
        <v>2</v>
      </c>
      <c r="C42" s="1220"/>
      <c r="D42" s="1220"/>
      <c r="E42" s="1220">
        <v>12</v>
      </c>
      <c r="F42" s="1221"/>
      <c r="G42" s="1204"/>
      <c r="H42" s="1206"/>
      <c r="I42" s="1234" t="s">
        <v>328</v>
      </c>
      <c r="J42" s="1232"/>
      <c r="K42" s="1208"/>
      <c r="L42" s="1225"/>
      <c r="M42" s="289"/>
      <c r="N42" s="289"/>
      <c r="O42" s="1221"/>
      <c r="P42" s="1226"/>
      <c r="Q42" s="407"/>
      <c r="R42" s="289"/>
      <c r="S42" s="1232"/>
      <c r="T42" s="1208"/>
      <c r="U42" s="1225"/>
      <c r="V42" s="289"/>
      <c r="W42" s="289"/>
      <c r="X42" s="1221"/>
      <c r="Y42" s="1384"/>
      <c r="Z42" s="289"/>
      <c r="AA42" s="1228"/>
      <c r="AB42" s="1232"/>
      <c r="AC42" s="1208"/>
      <c r="AD42" s="1225"/>
      <c r="AE42" s="289"/>
      <c r="AF42" s="289"/>
      <c r="AG42" s="1221"/>
      <c r="AH42" s="1226"/>
      <c r="AI42" s="407"/>
      <c r="AJ42" s="289"/>
      <c r="AK42" s="1232"/>
      <c r="AL42" s="301"/>
      <c r="AM42" s="1225"/>
      <c r="AN42" s="289"/>
      <c r="AO42" s="289"/>
      <c r="AP42" s="289"/>
      <c r="AQ42" s="1226"/>
      <c r="AR42" s="1343"/>
      <c r="AS42" s="289"/>
      <c r="AT42" s="1232"/>
    </row>
    <row r="43" spans="1:46" ht="65.45" customHeight="1" x14ac:dyDescent="0.3">
      <c r="A43" s="2260">
        <v>45737</v>
      </c>
      <c r="B43" s="1218">
        <v>1</v>
      </c>
      <c r="C43" s="1220"/>
      <c r="D43" s="1220"/>
      <c r="E43" s="1220"/>
      <c r="F43" s="1221"/>
      <c r="G43" s="1205"/>
      <c r="H43" s="1205"/>
      <c r="I43" s="1234"/>
      <c r="J43" s="1232"/>
      <c r="K43" s="1208"/>
      <c r="L43" s="1225"/>
      <c r="M43" s="289"/>
      <c r="N43" s="289"/>
      <c r="O43" s="1221"/>
      <c r="P43" s="1226"/>
      <c r="Q43" s="289"/>
      <c r="R43" s="289"/>
      <c r="S43" s="1232"/>
      <c r="T43" s="1208"/>
      <c r="U43" s="1225"/>
      <c r="V43" s="289"/>
      <c r="W43" s="289">
        <v>5</v>
      </c>
      <c r="X43" s="1221"/>
      <c r="Y43" s="1226"/>
      <c r="Z43" s="289"/>
      <c r="AA43" s="1228" t="s">
        <v>1060</v>
      </c>
      <c r="AB43" s="1232"/>
      <c r="AC43" s="1208"/>
      <c r="AD43" s="1225"/>
      <c r="AE43" s="289"/>
      <c r="AF43" s="289"/>
      <c r="AG43" s="1221"/>
      <c r="AH43" s="407"/>
      <c r="AI43" s="1206"/>
      <c r="AJ43" s="289"/>
      <c r="AK43" s="1232"/>
      <c r="AL43" s="301"/>
      <c r="AM43" s="1225"/>
      <c r="AN43" s="289"/>
      <c r="AO43" s="289"/>
      <c r="AP43" s="289"/>
      <c r="AQ43" s="407"/>
      <c r="AR43" s="1343"/>
      <c r="AS43" s="289"/>
      <c r="AT43" s="1232"/>
    </row>
    <row r="44" spans="1:46" ht="69" customHeight="1" x14ac:dyDescent="0.3">
      <c r="A44" s="2261"/>
      <c r="B44" s="1218">
        <v>2</v>
      </c>
      <c r="C44" s="1220"/>
      <c r="D44" s="1220"/>
      <c r="E44" s="1220">
        <v>16</v>
      </c>
      <c r="F44" s="1221"/>
      <c r="G44" s="1205"/>
      <c r="H44" s="1384"/>
      <c r="I44" s="1234" t="s">
        <v>328</v>
      </c>
      <c r="J44" s="1232"/>
      <c r="K44" s="1208"/>
      <c r="L44" s="1225"/>
      <c r="M44" s="289"/>
      <c r="N44" s="289"/>
      <c r="O44" s="1214"/>
      <c r="P44" s="1384"/>
      <c r="Q44" s="289"/>
      <c r="R44" s="407"/>
      <c r="S44" s="1232"/>
      <c r="T44" s="1208"/>
      <c r="U44" s="1225"/>
      <c r="V44" s="289"/>
      <c r="W44" s="1220">
        <v>20</v>
      </c>
      <c r="X44" s="1221"/>
      <c r="Y44" s="1205"/>
      <c r="Z44" s="1206"/>
      <c r="AA44" s="1228" t="s">
        <v>328</v>
      </c>
      <c r="AB44" s="1232"/>
      <c r="AC44" s="1208"/>
      <c r="AD44" s="1225"/>
      <c r="AE44" s="289"/>
      <c r="AF44" s="289"/>
      <c r="AG44" s="1214"/>
      <c r="AH44" s="1226"/>
      <c r="AI44" s="407"/>
      <c r="AJ44" s="1228"/>
      <c r="AK44" s="1232"/>
      <c r="AL44" s="301"/>
      <c r="AM44" s="1225"/>
      <c r="AN44" s="289"/>
      <c r="AO44" s="289"/>
      <c r="AP44" s="289"/>
      <c r="AQ44" s="1226"/>
      <c r="AR44" s="407"/>
      <c r="AS44" s="407"/>
      <c r="AT44" s="1232"/>
    </row>
    <row r="45" spans="1:46" ht="69" customHeight="1" x14ac:dyDescent="0.3">
      <c r="A45" s="2260">
        <v>45738</v>
      </c>
      <c r="B45" s="1218">
        <v>1</v>
      </c>
      <c r="C45" s="1220"/>
      <c r="D45" s="1220"/>
      <c r="E45" s="1220">
        <v>15</v>
      </c>
      <c r="F45" s="1221"/>
      <c r="G45" s="1205"/>
      <c r="H45" s="1205"/>
      <c r="I45" s="1234" t="s">
        <v>328</v>
      </c>
      <c r="J45" s="1232"/>
      <c r="K45" s="1208"/>
      <c r="L45" s="1225"/>
      <c r="M45" s="289"/>
      <c r="N45" s="289"/>
      <c r="O45" s="1214"/>
      <c r="P45" s="1226"/>
      <c r="Q45" s="407"/>
      <c r="R45" s="289"/>
      <c r="S45" s="1232"/>
      <c r="T45" s="1208"/>
      <c r="U45" s="1225"/>
      <c r="V45" s="407"/>
      <c r="W45" s="289">
        <v>13</v>
      </c>
      <c r="X45" s="1221"/>
      <c r="Y45" s="1226"/>
      <c r="Z45" s="407"/>
      <c r="AA45" s="1228" t="s">
        <v>336</v>
      </c>
      <c r="AB45" s="1232"/>
      <c r="AC45" s="1208"/>
      <c r="AD45" s="1225"/>
      <c r="AE45" s="289"/>
      <c r="AF45" s="289"/>
      <c r="AG45" s="1214"/>
      <c r="AH45" s="1226"/>
      <c r="AI45" s="407"/>
      <c r="AJ45" s="407"/>
      <c r="AK45" s="1232"/>
      <c r="AL45" s="301"/>
      <c r="AM45" s="1225"/>
      <c r="AN45" s="289"/>
      <c r="AO45" s="289"/>
      <c r="AP45" s="289"/>
      <c r="AQ45" s="1226"/>
      <c r="AR45" s="407"/>
      <c r="AS45" s="289"/>
      <c r="AT45" s="1232"/>
    </row>
    <row r="46" spans="1:46" ht="48.6" customHeight="1" x14ac:dyDescent="0.3">
      <c r="A46" s="2261"/>
      <c r="B46" s="1218">
        <v>2</v>
      </c>
      <c r="C46" s="1220"/>
      <c r="D46" s="1220"/>
      <c r="E46" s="1220">
        <v>10</v>
      </c>
      <c r="F46" s="1221"/>
      <c r="G46" s="1205"/>
      <c r="H46" s="1205"/>
      <c r="I46" s="1234" t="s">
        <v>328</v>
      </c>
      <c r="J46" s="1232"/>
      <c r="K46" s="1208"/>
      <c r="L46" s="1225"/>
      <c r="M46" s="289"/>
      <c r="N46" s="289"/>
      <c r="O46" s="1251"/>
      <c r="P46" s="1226"/>
      <c r="Q46" s="1206"/>
      <c r="R46" s="407"/>
      <c r="S46" s="1232"/>
      <c r="T46" s="1208"/>
      <c r="U46" s="1225"/>
      <c r="V46" s="289"/>
      <c r="W46" s="289">
        <v>10</v>
      </c>
      <c r="X46" s="1214"/>
      <c r="Y46" s="289"/>
      <c r="Z46" s="289"/>
      <c r="AA46" s="407" t="s">
        <v>328</v>
      </c>
      <c r="AB46" s="1232"/>
      <c r="AC46" s="1208"/>
      <c r="AD46" s="1225"/>
      <c r="AE46" s="289"/>
      <c r="AF46" s="289"/>
      <c r="AG46" s="1214"/>
      <c r="AH46" s="1384"/>
      <c r="AI46" s="407"/>
      <c r="AJ46" s="1228"/>
      <c r="AK46" s="1232"/>
      <c r="AL46" s="301"/>
      <c r="AM46" s="1225"/>
      <c r="AN46" s="289"/>
      <c r="AO46" s="289"/>
      <c r="AP46" s="289"/>
      <c r="AQ46" s="1226"/>
      <c r="AR46" s="1206"/>
      <c r="AS46" s="407"/>
      <c r="AT46" s="1232"/>
    </row>
    <row r="47" spans="1:46" ht="58.9" customHeight="1" x14ac:dyDescent="0.3">
      <c r="A47" s="2260">
        <v>45739</v>
      </c>
      <c r="B47" s="1218">
        <v>1</v>
      </c>
      <c r="C47" s="1220"/>
      <c r="D47" s="1220"/>
      <c r="E47" s="1220"/>
      <c r="F47" s="1221"/>
      <c r="G47" s="1205"/>
      <c r="H47" s="1206"/>
      <c r="I47" s="1234"/>
      <c r="J47" s="1224"/>
      <c r="K47" s="1208"/>
      <c r="L47" s="1225"/>
      <c r="M47" s="289"/>
      <c r="N47" s="289"/>
      <c r="O47" s="1214"/>
      <c r="P47" s="1226"/>
      <c r="Q47" s="289"/>
      <c r="R47" s="289"/>
      <c r="S47" s="1232"/>
      <c r="T47" s="1208"/>
      <c r="U47" s="1225"/>
      <c r="V47" s="289"/>
      <c r="W47" s="289"/>
      <c r="X47" s="1214"/>
      <c r="Y47" s="1205"/>
      <c r="Z47" s="407"/>
      <c r="AA47" s="407"/>
      <c r="AB47" s="1232"/>
      <c r="AC47" s="1208"/>
      <c r="AD47" s="1225"/>
      <c r="AE47" s="289"/>
      <c r="AF47" s="289"/>
      <c r="AG47" s="289"/>
      <c r="AH47" s="1384"/>
      <c r="AI47" s="1206"/>
      <c r="AJ47" s="1228"/>
      <c r="AK47" s="1258"/>
      <c r="AL47" s="301"/>
      <c r="AM47" s="1225"/>
      <c r="AN47" s="289"/>
      <c r="AO47" s="289"/>
      <c r="AP47" s="289"/>
      <c r="AQ47" s="1226"/>
      <c r="AR47" s="1206"/>
      <c r="AS47" s="407"/>
      <c r="AT47" s="1258"/>
    </row>
    <row r="48" spans="1:46" ht="34.9" customHeight="1" x14ac:dyDescent="0.3">
      <c r="A48" s="2261"/>
      <c r="B48" s="1218">
        <v>2</v>
      </c>
      <c r="C48" s="1220"/>
      <c r="D48" s="1220"/>
      <c r="E48" s="1220"/>
      <c r="F48" s="1221"/>
      <c r="G48" s="1206"/>
      <c r="H48" s="1206"/>
      <c r="I48" s="1234"/>
      <c r="J48" s="1232"/>
      <c r="K48" s="1208"/>
      <c r="L48" s="1225"/>
      <c r="M48" s="289"/>
      <c r="N48" s="289"/>
      <c r="O48" s="1221"/>
      <c r="P48" s="1206"/>
      <c r="Q48" s="1206"/>
      <c r="R48" s="1234"/>
      <c r="S48" s="1232"/>
      <c r="T48" s="1208"/>
      <c r="U48" s="1225"/>
      <c r="V48" s="289"/>
      <c r="W48" s="289"/>
      <c r="X48" s="1221"/>
      <c r="Y48" s="1206"/>
      <c r="Z48" s="1206"/>
      <c r="AA48" s="1234"/>
      <c r="AB48" s="1232"/>
      <c r="AC48" s="1208"/>
      <c r="AD48" s="1225"/>
      <c r="AE48" s="289"/>
      <c r="AF48" s="289"/>
      <c r="AG48" s="289"/>
      <c r="AH48" s="1384"/>
      <c r="AI48" s="1206"/>
      <c r="AJ48" s="1228"/>
      <c r="AK48" s="1258"/>
      <c r="AL48" s="301"/>
      <c r="AM48" s="1225"/>
      <c r="AN48" s="1344"/>
      <c r="AO48" s="1226"/>
      <c r="AP48" s="1344"/>
      <c r="AQ48" s="1351"/>
      <c r="AR48" s="1206"/>
      <c r="AS48" s="407"/>
      <c r="AT48" s="1258"/>
    </row>
    <row r="49" spans="1:46" ht="43.15" customHeight="1" x14ac:dyDescent="0.3">
      <c r="A49" s="2260">
        <v>45740</v>
      </c>
      <c r="B49" s="1218">
        <v>1</v>
      </c>
      <c r="C49" s="1220"/>
      <c r="D49" s="1220"/>
      <c r="E49" s="1220"/>
      <c r="F49" s="1221"/>
      <c r="G49" s="1206"/>
      <c r="H49" s="1205"/>
      <c r="I49" s="1234"/>
      <c r="J49" s="1232"/>
      <c r="K49" s="1208"/>
      <c r="L49" s="1225"/>
      <c r="M49" s="289"/>
      <c r="N49" s="289"/>
      <c r="O49" s="1221"/>
      <c r="P49" s="1206"/>
      <c r="Q49" s="1205"/>
      <c r="R49" s="1234"/>
      <c r="S49" s="1232"/>
      <c r="T49" s="1208"/>
      <c r="U49" s="1225"/>
      <c r="V49" s="289"/>
      <c r="W49" s="289"/>
      <c r="X49" s="1221"/>
      <c r="Y49" s="1206"/>
      <c r="Z49" s="407"/>
      <c r="AA49" s="407"/>
      <c r="AB49" s="1232"/>
      <c r="AC49" s="1208"/>
      <c r="AD49" s="1225"/>
      <c r="AE49" s="289"/>
      <c r="AF49" s="289"/>
      <c r="AG49" s="289"/>
      <c r="AH49" s="1384"/>
      <c r="AI49" s="1205"/>
      <c r="AJ49" s="1228"/>
      <c r="AK49" s="1258"/>
      <c r="AL49" s="301"/>
      <c r="AM49" s="1225"/>
      <c r="AN49" s="1344"/>
      <c r="AO49" s="1226"/>
      <c r="AP49" s="1344"/>
      <c r="AQ49" s="1242"/>
      <c r="AR49" s="1206"/>
      <c r="AS49" s="1234"/>
      <c r="AT49" s="1353"/>
    </row>
    <row r="50" spans="1:46" ht="51.6" customHeight="1" x14ac:dyDescent="0.3">
      <c r="A50" s="2261"/>
      <c r="B50" s="1218">
        <v>2</v>
      </c>
      <c r="C50" s="1220"/>
      <c r="D50" s="1220">
        <v>210</v>
      </c>
      <c r="E50" s="1220">
        <v>15</v>
      </c>
      <c r="F50" s="1221"/>
      <c r="G50" s="1205"/>
      <c r="H50" s="1205" t="s">
        <v>1072</v>
      </c>
      <c r="I50" s="1234" t="s">
        <v>152</v>
      </c>
      <c r="J50" s="1232"/>
      <c r="K50" s="1208"/>
      <c r="L50" s="1225"/>
      <c r="M50" s="289">
        <v>203</v>
      </c>
      <c r="N50" s="289"/>
      <c r="O50" s="1221"/>
      <c r="P50" s="1205"/>
      <c r="Q50" s="1205" t="s">
        <v>1072</v>
      </c>
      <c r="R50" s="1234"/>
      <c r="S50" s="1232"/>
      <c r="T50" s="1208"/>
      <c r="U50" s="1225"/>
      <c r="V50" s="289">
        <v>521</v>
      </c>
      <c r="W50" s="289"/>
      <c r="X50" s="1221"/>
      <c r="Y50" s="1205"/>
      <c r="Z50" s="1205" t="s">
        <v>1073</v>
      </c>
      <c r="AA50" s="1234"/>
      <c r="AB50" s="1232"/>
      <c r="AC50" s="1208"/>
      <c r="AD50" s="1225"/>
      <c r="AE50" s="289">
        <v>207</v>
      </c>
      <c r="AF50" s="289"/>
      <c r="AG50" s="289"/>
      <c r="AH50" s="1384"/>
      <c r="AI50" s="1205" t="s">
        <v>1072</v>
      </c>
      <c r="AJ50" s="1228"/>
      <c r="AK50" s="1258"/>
      <c r="AL50" s="301"/>
      <c r="AM50" s="1225"/>
      <c r="AN50" s="1344">
        <v>212</v>
      </c>
      <c r="AO50" s="289"/>
      <c r="AP50" s="1344"/>
      <c r="AQ50" s="1242"/>
      <c r="AR50" s="1206" t="s">
        <v>1072</v>
      </c>
      <c r="AS50" s="1234"/>
      <c r="AT50" s="1354"/>
    </row>
    <row r="51" spans="1:46" ht="34.9" customHeight="1" x14ac:dyDescent="0.3">
      <c r="A51" s="2260">
        <v>45741</v>
      </c>
      <c r="B51" s="1218">
        <v>1</v>
      </c>
      <c r="C51" s="1220"/>
      <c r="D51" s="1220"/>
      <c r="E51" s="1220"/>
      <c r="F51" s="1221"/>
      <c r="G51" s="1205"/>
      <c r="H51" s="1205"/>
      <c r="I51" s="1234"/>
      <c r="J51" s="1232"/>
      <c r="K51" s="1208"/>
      <c r="L51" s="1225"/>
      <c r="M51" s="289"/>
      <c r="N51" s="289"/>
      <c r="O51" s="1221"/>
      <c r="P51" s="1205"/>
      <c r="Q51" s="1205"/>
      <c r="R51" s="1234"/>
      <c r="S51" s="1232"/>
      <c r="T51" s="1208"/>
      <c r="U51" s="1225"/>
      <c r="V51" s="289"/>
      <c r="W51" s="289">
        <v>18</v>
      </c>
      <c r="X51" s="1221"/>
      <c r="Y51" s="1205"/>
      <c r="Z51" s="1205"/>
      <c r="AA51" s="1234"/>
      <c r="AB51" s="1232"/>
      <c r="AC51" s="1208"/>
      <c r="AD51" s="1225"/>
      <c r="AE51" s="289"/>
      <c r="AF51" s="289"/>
      <c r="AG51" s="1221"/>
      <c r="AH51" s="1205"/>
      <c r="AI51" s="1205"/>
      <c r="AJ51" s="1234"/>
      <c r="AK51" s="1232"/>
      <c r="AL51" s="301"/>
      <c r="AM51" s="1225"/>
      <c r="AN51" s="1344"/>
      <c r="AO51" s="1257"/>
      <c r="AP51" s="1344"/>
      <c r="AQ51" s="1242"/>
      <c r="AR51" s="1206"/>
      <c r="AS51" s="1234"/>
      <c r="AT51" s="1354"/>
    </row>
    <row r="52" spans="1:46" ht="49.15" customHeight="1" x14ac:dyDescent="0.3">
      <c r="A52" s="2261"/>
      <c r="B52" s="1218">
        <v>2</v>
      </c>
      <c r="C52" s="1220"/>
      <c r="D52" s="1220">
        <v>140</v>
      </c>
      <c r="E52" s="1220"/>
      <c r="F52" s="1221"/>
      <c r="G52" s="1206"/>
      <c r="H52" s="1206"/>
      <c r="I52" s="1234" t="s">
        <v>1075</v>
      </c>
      <c r="J52" s="1232"/>
      <c r="K52" s="1208"/>
      <c r="L52" s="1225"/>
      <c r="M52" s="289">
        <v>135</v>
      </c>
      <c r="N52" s="289"/>
      <c r="O52" s="1221"/>
      <c r="P52" s="1206"/>
      <c r="Q52" s="1206" t="s">
        <v>1075</v>
      </c>
      <c r="R52" s="1234"/>
      <c r="S52" s="1232"/>
      <c r="T52" s="1208"/>
      <c r="U52" s="1225"/>
      <c r="V52" s="289">
        <v>143</v>
      </c>
      <c r="W52" s="289"/>
      <c r="X52" s="1221"/>
      <c r="Y52" s="1206"/>
      <c r="Z52" s="1206" t="s">
        <v>1075</v>
      </c>
      <c r="AA52" s="1234" t="s">
        <v>328</v>
      </c>
      <c r="AB52" s="1232"/>
      <c r="AC52" s="1208"/>
      <c r="AD52" s="1225"/>
      <c r="AE52" s="289">
        <v>143</v>
      </c>
      <c r="AF52" s="289"/>
      <c r="AG52" s="1221"/>
      <c r="AH52" s="1206"/>
      <c r="AI52" s="1206" t="s">
        <v>1075</v>
      </c>
      <c r="AJ52" s="1234"/>
      <c r="AK52" s="1232"/>
      <c r="AL52" s="301"/>
      <c r="AM52" s="1225"/>
      <c r="AN52" s="353">
        <v>146</v>
      </c>
      <c r="AO52" s="1348">
        <v>14</v>
      </c>
      <c r="AP52" s="353"/>
      <c r="AQ52" s="1226"/>
      <c r="AR52" s="1206" t="s">
        <v>1075</v>
      </c>
      <c r="AS52" s="1234" t="s">
        <v>336</v>
      </c>
      <c r="AT52" s="1340"/>
    </row>
    <row r="53" spans="1:46" ht="48" customHeight="1" x14ac:dyDescent="0.3">
      <c r="A53" s="2260">
        <v>45742</v>
      </c>
      <c r="B53" s="1218">
        <v>1</v>
      </c>
      <c r="C53" s="1220"/>
      <c r="D53" s="1220"/>
      <c r="E53" s="1220">
        <v>46</v>
      </c>
      <c r="F53" s="1221"/>
      <c r="G53" s="1205"/>
      <c r="H53" s="1205"/>
      <c r="I53" s="1223" t="s">
        <v>328</v>
      </c>
      <c r="J53" s="1232"/>
      <c r="K53" s="1208"/>
      <c r="L53" s="1225"/>
      <c r="M53" s="289"/>
      <c r="N53" s="289"/>
      <c r="O53" s="1214"/>
      <c r="P53" s="1384"/>
      <c r="Q53" s="1206"/>
      <c r="R53" s="289"/>
      <c r="S53" s="1232"/>
      <c r="T53" s="1208"/>
      <c r="U53" s="1225"/>
      <c r="V53" s="289"/>
      <c r="W53" s="289"/>
      <c r="X53" s="1214"/>
      <c r="Y53" s="1384"/>
      <c r="Z53" s="289"/>
      <c r="AA53" s="1228"/>
      <c r="AB53" s="1214"/>
      <c r="AC53" s="1208"/>
      <c r="AD53" s="1225"/>
      <c r="AE53" s="407"/>
      <c r="AF53" s="289">
        <v>10</v>
      </c>
      <c r="AG53" s="1214"/>
      <c r="AH53" s="1226"/>
      <c r="AI53" s="289" t="s">
        <v>328</v>
      </c>
      <c r="AJ53" s="407"/>
      <c r="AK53" s="1214"/>
      <c r="AL53" s="301"/>
      <c r="AM53" s="1225"/>
      <c r="AN53" s="1235"/>
      <c r="AO53" s="1350"/>
      <c r="AP53" s="1235"/>
      <c r="AQ53" s="1384"/>
      <c r="AR53" s="1206"/>
      <c r="AS53" s="353"/>
      <c r="AT53" s="1355"/>
    </row>
    <row r="54" spans="1:46" ht="45.6" customHeight="1" x14ac:dyDescent="0.3">
      <c r="A54" s="2261"/>
      <c r="B54" s="1252">
        <v>2</v>
      </c>
      <c r="C54" s="1220"/>
      <c r="D54" s="1220"/>
      <c r="E54" s="1220"/>
      <c r="F54" s="1221"/>
      <c r="G54" s="1205"/>
      <c r="H54" s="1206"/>
      <c r="I54" s="1223"/>
      <c r="J54" s="1232"/>
      <c r="K54" s="1208"/>
      <c r="L54" s="1225"/>
      <c r="M54" s="289"/>
      <c r="N54" s="289"/>
      <c r="O54" s="1221"/>
      <c r="P54" s="1205"/>
      <c r="Q54" s="1206"/>
      <c r="R54" s="1205"/>
      <c r="S54" s="1232"/>
      <c r="T54" s="1208"/>
      <c r="U54" s="1225"/>
      <c r="V54" s="289"/>
      <c r="W54" s="289"/>
      <c r="X54" s="1221"/>
      <c r="Y54" s="1206"/>
      <c r="Z54" s="1206"/>
      <c r="AA54" s="1228"/>
      <c r="AB54" s="1232"/>
      <c r="AC54" s="1208"/>
      <c r="AD54" s="1225"/>
      <c r="AE54" s="289"/>
      <c r="AF54" s="289">
        <v>10</v>
      </c>
      <c r="AG54" s="1214"/>
      <c r="AH54" s="1226"/>
      <c r="AI54" s="1206" t="s">
        <v>328</v>
      </c>
      <c r="AJ54" s="289"/>
      <c r="AK54" s="1232"/>
      <c r="AL54" s="301"/>
      <c r="AM54" s="1225"/>
      <c r="AN54" s="1235"/>
      <c r="AO54" s="263"/>
      <c r="AP54" s="1235"/>
      <c r="AQ54" s="1384"/>
      <c r="AR54" s="1206"/>
      <c r="AS54" s="1234"/>
      <c r="AT54" s="1354"/>
    </row>
    <row r="55" spans="1:46" ht="39.6" customHeight="1" x14ac:dyDescent="0.3">
      <c r="A55" s="2260">
        <v>45743</v>
      </c>
      <c r="B55" s="1218">
        <v>1</v>
      </c>
      <c r="C55" s="1219"/>
      <c r="D55" s="1220"/>
      <c r="E55" s="1220">
        <v>32</v>
      </c>
      <c r="F55" s="1221"/>
      <c r="G55" s="1205"/>
      <c r="H55" s="1205"/>
      <c r="I55" s="1223" t="s">
        <v>328</v>
      </c>
      <c r="J55" s="1214"/>
      <c r="K55" s="1208"/>
      <c r="L55" s="1225"/>
      <c r="M55" s="289"/>
      <c r="N55" s="289"/>
      <c r="O55" s="1214"/>
      <c r="P55" s="1226"/>
      <c r="Q55" s="1206"/>
      <c r="R55" s="289"/>
      <c r="S55" s="1214"/>
      <c r="T55" s="1208"/>
      <c r="U55" s="1225"/>
      <c r="V55" s="289"/>
      <c r="W55" s="289">
        <v>30</v>
      </c>
      <c r="X55" s="1214"/>
      <c r="Y55" s="1226"/>
      <c r="Z55" s="1205"/>
      <c r="AA55" s="1228" t="s">
        <v>328</v>
      </c>
      <c r="AB55" s="1214"/>
      <c r="AC55" s="1208"/>
      <c r="AD55" s="1225"/>
      <c r="AE55" s="289"/>
      <c r="AF55" s="289">
        <v>10</v>
      </c>
      <c r="AG55" s="1214"/>
      <c r="AH55" s="1226"/>
      <c r="AI55" s="1206" t="s">
        <v>1074</v>
      </c>
      <c r="AJ55" s="407"/>
      <c r="AK55" s="1214"/>
      <c r="AL55" s="301"/>
      <c r="AM55" s="1225"/>
      <c r="AN55" s="1235"/>
      <c r="AO55" s="289"/>
      <c r="AP55" s="1235"/>
      <c r="AQ55" s="1226"/>
      <c r="AR55" s="1206"/>
      <c r="AS55" s="1234"/>
      <c r="AT55" s="1356"/>
    </row>
    <row r="56" spans="1:46" ht="52.5" customHeight="1" x14ac:dyDescent="0.3">
      <c r="A56" s="2261"/>
      <c r="B56" s="1252">
        <v>2</v>
      </c>
      <c r="C56" s="1219"/>
      <c r="D56" s="1220"/>
      <c r="E56" s="1220">
        <v>36</v>
      </c>
      <c r="F56" s="1221"/>
      <c r="G56" s="1206"/>
      <c r="H56" s="1206"/>
      <c r="I56" s="1223" t="s">
        <v>328</v>
      </c>
      <c r="J56" s="1232"/>
      <c r="K56" s="1208"/>
      <c r="L56" s="1225"/>
      <c r="M56" s="289"/>
      <c r="N56" s="289"/>
      <c r="O56" s="1221"/>
      <c r="P56" s="1206"/>
      <c r="Q56" s="1205"/>
      <c r="R56" s="1206"/>
      <c r="S56" s="1232"/>
      <c r="T56" s="1208"/>
      <c r="U56" s="1225"/>
      <c r="V56" s="289"/>
      <c r="W56" s="289">
        <v>15</v>
      </c>
      <c r="X56" s="1221"/>
      <c r="Y56" s="1384"/>
      <c r="Z56" s="1205"/>
      <c r="AA56" s="1228" t="s">
        <v>152</v>
      </c>
      <c r="AB56" s="1232"/>
      <c r="AC56" s="1208"/>
      <c r="AD56" s="1225"/>
      <c r="AE56" s="289"/>
      <c r="AF56" s="289">
        <v>8</v>
      </c>
      <c r="AG56" s="1221"/>
      <c r="AH56" s="1206"/>
      <c r="AI56" s="1205" t="s">
        <v>336</v>
      </c>
      <c r="AJ56" s="1206"/>
      <c r="AK56" s="1232"/>
      <c r="AL56" s="301"/>
      <c r="AM56" s="1225"/>
      <c r="AN56" s="1235"/>
      <c r="AO56" s="289"/>
      <c r="AP56" s="1235"/>
      <c r="AQ56" s="1206"/>
      <c r="AR56" s="1206"/>
      <c r="AS56" s="289"/>
      <c r="AT56" s="1310"/>
    </row>
    <row r="57" spans="1:46" ht="52.15" customHeight="1" x14ac:dyDescent="0.3">
      <c r="A57" s="2260">
        <v>45744</v>
      </c>
      <c r="B57" s="1218">
        <v>1</v>
      </c>
      <c r="C57" s="1219"/>
      <c r="D57" s="1220"/>
      <c r="E57" s="1220">
        <v>10</v>
      </c>
      <c r="F57" s="1221"/>
      <c r="G57" s="1206"/>
      <c r="H57" s="1206"/>
      <c r="I57" s="1234" t="s">
        <v>152</v>
      </c>
      <c r="J57" s="1232"/>
      <c r="K57" s="1208"/>
      <c r="L57" s="1225"/>
      <c r="M57" s="289"/>
      <c r="N57" s="289"/>
      <c r="O57" s="1221"/>
      <c r="P57" s="1206"/>
      <c r="Q57" s="1205"/>
      <c r="R57" s="1206"/>
      <c r="S57" s="1232"/>
      <c r="T57" s="1208"/>
      <c r="U57" s="1225"/>
      <c r="V57" s="289"/>
      <c r="W57" s="289"/>
      <c r="X57" s="1221"/>
      <c r="Y57" s="1206"/>
      <c r="Z57" s="1205"/>
      <c r="AA57" s="407"/>
      <c r="AB57" s="1232"/>
      <c r="AC57" s="1208"/>
      <c r="AD57" s="1225"/>
      <c r="AE57" s="289"/>
      <c r="AF57" s="289"/>
      <c r="AG57" s="1221"/>
      <c r="AH57" s="1206"/>
      <c r="AI57" s="1205"/>
      <c r="AJ57" s="1206"/>
      <c r="AK57" s="1232"/>
      <c r="AL57" s="301"/>
      <c r="AM57" s="1225"/>
      <c r="AN57" s="1235"/>
      <c r="AO57" s="289"/>
      <c r="AP57" s="1235"/>
      <c r="AQ57" s="1206"/>
      <c r="AR57" s="1206"/>
      <c r="AS57" s="289"/>
      <c r="AT57" s="1232"/>
    </row>
    <row r="58" spans="1:46" ht="45" customHeight="1" x14ac:dyDescent="0.3">
      <c r="A58" s="2261"/>
      <c r="B58" s="1252">
        <v>2</v>
      </c>
      <c r="C58" s="1219"/>
      <c r="D58" s="1220"/>
      <c r="E58" s="1220"/>
      <c r="F58" s="1221"/>
      <c r="G58" s="1206"/>
      <c r="H58" s="1206"/>
      <c r="I58" s="1223"/>
      <c r="J58" s="1232"/>
      <c r="K58" s="1208"/>
      <c r="L58" s="1225"/>
      <c r="M58" s="289"/>
      <c r="N58" s="289"/>
      <c r="O58" s="1221"/>
      <c r="P58" s="1206"/>
      <c r="Q58" s="1205"/>
      <c r="R58" s="1206"/>
      <c r="S58" s="1232"/>
      <c r="T58" s="1208"/>
      <c r="U58" s="1225"/>
      <c r="V58" s="289"/>
      <c r="W58" s="289"/>
      <c r="X58" s="1221"/>
      <c r="Y58" s="1206"/>
      <c r="Z58" s="1205"/>
      <c r="AA58" s="407"/>
      <c r="AB58" s="1232"/>
      <c r="AC58" s="1208"/>
      <c r="AD58" s="1225"/>
      <c r="AE58" s="289"/>
      <c r="AF58" s="289"/>
      <c r="AG58" s="289"/>
      <c r="AH58" s="1206"/>
      <c r="AI58" s="1205"/>
      <c r="AJ58" s="289"/>
      <c r="AK58" s="1232"/>
      <c r="AL58" s="301"/>
      <c r="AM58" s="1225"/>
      <c r="AN58" s="289"/>
      <c r="AO58" s="289"/>
      <c r="AP58" s="1225"/>
      <c r="AQ58" s="1206"/>
      <c r="AR58" s="1205"/>
      <c r="AS58" s="289"/>
      <c r="AT58" s="1232"/>
    </row>
    <row r="59" spans="1:46" ht="48" customHeight="1" x14ac:dyDescent="0.3">
      <c r="A59" s="2260">
        <v>45745</v>
      </c>
      <c r="B59" s="1218">
        <v>1</v>
      </c>
      <c r="C59" s="1219"/>
      <c r="D59" s="1220"/>
      <c r="E59" s="1220"/>
      <c r="F59" s="1221"/>
      <c r="G59" s="1206"/>
      <c r="H59" s="1205"/>
      <c r="I59" s="1223"/>
      <c r="J59" s="1232"/>
      <c r="K59" s="1208"/>
      <c r="L59" s="1225"/>
      <c r="M59" s="289"/>
      <c r="N59" s="289"/>
      <c r="O59" s="1214"/>
      <c r="P59" s="1226"/>
      <c r="Q59" s="407"/>
      <c r="R59" s="289"/>
      <c r="S59" s="1232"/>
      <c r="T59" s="1208"/>
      <c r="U59" s="1225"/>
      <c r="V59" s="289"/>
      <c r="W59" s="289"/>
      <c r="X59" s="1214"/>
      <c r="Y59" s="1206"/>
      <c r="Z59" s="1205"/>
      <c r="AA59" s="1223"/>
      <c r="AB59" s="1232"/>
      <c r="AC59" s="1208"/>
      <c r="AD59" s="1225"/>
      <c r="AE59" s="289"/>
      <c r="AF59" s="289"/>
      <c r="AG59" s="1214"/>
      <c r="AH59" s="1225"/>
      <c r="AI59" s="289"/>
      <c r="AJ59" s="1206"/>
      <c r="AK59" s="1232"/>
      <c r="AL59" s="301"/>
      <c r="AM59" s="1225"/>
      <c r="AN59" s="289"/>
      <c r="AO59" s="289"/>
      <c r="AP59" s="289"/>
      <c r="AQ59" s="1384"/>
      <c r="AR59" s="289"/>
      <c r="AS59" s="407"/>
      <c r="AT59" s="1232"/>
    </row>
    <row r="60" spans="1:46" ht="44.25" customHeight="1" x14ac:dyDescent="0.3">
      <c r="A60" s="2261"/>
      <c r="B60" s="1252">
        <v>2</v>
      </c>
      <c r="C60" s="1219"/>
      <c r="D60" s="1220"/>
      <c r="E60" s="1220">
        <v>3</v>
      </c>
      <c r="F60" s="1221"/>
      <c r="G60" s="1205"/>
      <c r="H60" s="1206"/>
      <c r="I60" s="1223" t="s">
        <v>328</v>
      </c>
      <c r="J60" s="1232"/>
      <c r="K60" s="1208"/>
      <c r="L60" s="1225"/>
      <c r="M60" s="289"/>
      <c r="N60" s="289"/>
      <c r="O60" s="1214"/>
      <c r="P60" s="1226"/>
      <c r="Q60" s="1206"/>
      <c r="R60" s="289"/>
      <c r="S60" s="1232"/>
      <c r="T60" s="1208"/>
      <c r="U60" s="1225"/>
      <c r="V60" s="289"/>
      <c r="W60" s="289">
        <v>8</v>
      </c>
      <c r="X60" s="1214"/>
      <c r="Y60" s="1384"/>
      <c r="Z60" s="1206"/>
      <c r="AA60" s="1223" t="s">
        <v>328</v>
      </c>
      <c r="AB60" s="1232"/>
      <c r="AC60" s="1208"/>
      <c r="AD60" s="1225"/>
      <c r="AE60" s="1225"/>
      <c r="AF60" s="1225"/>
      <c r="AG60" s="1225"/>
      <c r="AH60" s="1303"/>
      <c r="AI60" s="1250"/>
      <c r="AJ60" s="1260"/>
      <c r="AK60" s="1232"/>
      <c r="AL60" s="301"/>
      <c r="AM60" s="1225"/>
      <c r="AN60" s="289"/>
      <c r="AO60" s="289"/>
      <c r="AP60" s="289"/>
      <c r="AQ60" s="1226"/>
      <c r="AR60" s="1206"/>
      <c r="AS60" s="407"/>
      <c r="AT60" s="1232"/>
    </row>
    <row r="61" spans="1:46" ht="56.25" customHeight="1" x14ac:dyDescent="0.3">
      <c r="A61" s="2260">
        <v>45746</v>
      </c>
      <c r="B61" s="1218">
        <v>1</v>
      </c>
      <c r="C61" s="1253"/>
      <c r="D61" s="1254"/>
      <c r="E61" s="1220">
        <v>20</v>
      </c>
      <c r="F61" s="1255"/>
      <c r="G61" s="1205"/>
      <c r="H61" s="1250"/>
      <c r="I61" s="1223" t="s">
        <v>1060</v>
      </c>
      <c r="J61" s="1224"/>
      <c r="K61" s="1208"/>
      <c r="L61" s="1225"/>
      <c r="M61" s="1225"/>
      <c r="N61" s="289"/>
      <c r="O61" s="1214"/>
      <c r="P61" s="1256"/>
      <c r="Q61" s="1206"/>
      <c r="R61" s="1257"/>
      <c r="S61" s="1258"/>
      <c r="T61" s="1208"/>
      <c r="U61" s="1225"/>
      <c r="V61" s="289"/>
      <c r="W61" s="289">
        <v>24</v>
      </c>
      <c r="X61" s="1214"/>
      <c r="Y61" s="1384"/>
      <c r="Z61" s="407"/>
      <c r="AA61" s="1223" t="s">
        <v>1060</v>
      </c>
      <c r="AB61" s="1258"/>
      <c r="AC61" s="1208"/>
      <c r="AD61" s="1225"/>
      <c r="AE61" s="289"/>
      <c r="AF61" s="289"/>
      <c r="AG61" s="1214"/>
      <c r="AH61" s="1399"/>
      <c r="AI61" s="1400"/>
      <c r="AJ61" s="1396"/>
      <c r="AK61" s="1375"/>
      <c r="AL61" s="301"/>
      <c r="AM61" s="1225"/>
      <c r="AN61" s="289"/>
      <c r="AO61" s="289"/>
      <c r="AP61" s="289"/>
      <c r="AQ61" s="1384"/>
      <c r="AR61" s="289"/>
      <c r="AS61" s="407"/>
      <c r="AT61" s="1258"/>
    </row>
    <row r="62" spans="1:46" ht="53.25" customHeight="1" x14ac:dyDescent="0.3">
      <c r="A62" s="2261"/>
      <c r="B62" s="1252">
        <v>2</v>
      </c>
      <c r="C62" s="1253"/>
      <c r="D62" s="1254"/>
      <c r="E62" s="1254">
        <v>11</v>
      </c>
      <c r="F62" s="1255"/>
      <c r="G62" s="1259"/>
      <c r="H62" s="1250"/>
      <c r="I62" s="1223" t="s">
        <v>1060</v>
      </c>
      <c r="J62" s="1224"/>
      <c r="K62" s="1208"/>
      <c r="L62" s="1225"/>
      <c r="M62" s="289"/>
      <c r="N62" s="289"/>
      <c r="O62" s="1214"/>
      <c r="P62" s="1256"/>
      <c r="Q62" s="1260"/>
      <c r="R62" s="1257"/>
      <c r="S62" s="1258"/>
      <c r="T62" s="1208"/>
      <c r="U62" s="1225"/>
      <c r="V62" s="289"/>
      <c r="W62" s="289">
        <v>14</v>
      </c>
      <c r="X62" s="1214"/>
      <c r="Y62" s="1384"/>
      <c r="Z62" s="1260"/>
      <c r="AA62" s="1223" t="s">
        <v>1060</v>
      </c>
      <c r="AB62" s="1258"/>
      <c r="AC62" s="1208"/>
      <c r="AD62" s="1225"/>
      <c r="AE62" s="289"/>
      <c r="AF62" s="289">
        <v>12</v>
      </c>
      <c r="AG62" s="353"/>
      <c r="AH62" s="1399"/>
      <c r="AI62" s="1400" t="s">
        <v>1060</v>
      </c>
      <c r="AJ62" s="1396"/>
      <c r="AK62" s="1375"/>
      <c r="AL62" s="301"/>
      <c r="AM62" s="1225"/>
      <c r="AN62" s="289"/>
      <c r="AO62" s="289"/>
      <c r="AP62" s="289"/>
      <c r="AQ62" s="1226"/>
      <c r="AR62" s="289"/>
      <c r="AS62" s="407"/>
      <c r="AT62" s="1258"/>
    </row>
    <row r="63" spans="1:46" ht="35.25" customHeight="1" x14ac:dyDescent="0.3">
      <c r="A63" s="2268">
        <v>45747</v>
      </c>
      <c r="B63" s="1252">
        <v>1</v>
      </c>
      <c r="C63" s="1253"/>
      <c r="D63" s="1254"/>
      <c r="E63" s="1254">
        <v>38</v>
      </c>
      <c r="F63" s="1255"/>
      <c r="G63" s="1259"/>
      <c r="H63" s="1250"/>
      <c r="I63" s="1223" t="s">
        <v>328</v>
      </c>
      <c r="J63" s="1224"/>
      <c r="K63" s="1208"/>
      <c r="L63" s="1225"/>
      <c r="M63" s="289">
        <v>101</v>
      </c>
      <c r="N63" s="289"/>
      <c r="O63" s="1214"/>
      <c r="P63" s="1256"/>
      <c r="Q63" s="1260" t="s">
        <v>1076</v>
      </c>
      <c r="R63" s="1257"/>
      <c r="S63" s="1258"/>
      <c r="T63" s="1208"/>
      <c r="U63" s="1225"/>
      <c r="V63" s="289"/>
      <c r="W63" s="289">
        <v>30</v>
      </c>
      <c r="X63" s="1214"/>
      <c r="Y63" s="1383"/>
      <c r="Z63" s="1361"/>
      <c r="AA63" s="1223" t="s">
        <v>328</v>
      </c>
      <c r="AB63" s="1365"/>
      <c r="AC63" s="1208"/>
      <c r="AD63" s="1225"/>
      <c r="AE63" s="289"/>
      <c r="AF63" s="289"/>
      <c r="AG63" s="1214"/>
      <c r="AH63" s="1397"/>
      <c r="AI63" s="1397"/>
      <c r="AJ63" s="1398"/>
      <c r="AK63" s="1375"/>
      <c r="AL63" s="301"/>
      <c r="AM63" s="1225"/>
      <c r="AN63" s="289"/>
      <c r="AO63" s="289"/>
      <c r="AP63" s="289"/>
      <c r="AQ63" s="1226"/>
      <c r="AR63" s="289"/>
      <c r="AS63" s="407"/>
      <c r="AT63" s="1258"/>
    </row>
    <row r="64" spans="1:46" ht="64.150000000000006" hidden="1" customHeight="1" x14ac:dyDescent="0.3">
      <c r="A64" s="2269"/>
      <c r="B64" s="1218">
        <v>1</v>
      </c>
      <c r="C64" s="1261"/>
      <c r="D64" s="1262"/>
      <c r="E64" s="1262"/>
      <c r="F64" s="1263"/>
      <c r="G64" s="1264"/>
      <c r="H64" s="1265"/>
      <c r="I64" s="1223"/>
      <c r="J64" s="1224"/>
      <c r="K64" s="1208"/>
      <c r="L64" s="1225"/>
      <c r="M64" s="289"/>
      <c r="N64" s="289"/>
      <c r="O64" s="1221"/>
      <c r="P64" s="1264"/>
      <c r="Q64" s="1265"/>
      <c r="R64" s="1265"/>
      <c r="S64" s="1266"/>
      <c r="T64" s="1208"/>
      <c r="U64" s="1225"/>
      <c r="V64" s="289"/>
      <c r="W64" s="289"/>
      <c r="X64" s="1221"/>
      <c r="Y64" s="1243"/>
      <c r="Z64" s="1362"/>
      <c r="AA64" s="1223"/>
      <c r="AB64" s="1364"/>
      <c r="AC64" s="1208"/>
      <c r="AD64" s="1225"/>
      <c r="AE64" s="289"/>
      <c r="AF64" s="289"/>
      <c r="AG64" s="1221"/>
      <c r="AH64" s="1307"/>
      <c r="AI64" s="1308"/>
      <c r="AJ64" s="1377"/>
      <c r="AK64" s="1268"/>
      <c r="AL64" s="301"/>
      <c r="AM64" s="1225"/>
      <c r="AN64" s="289"/>
      <c r="AO64" s="289"/>
      <c r="AP64" s="289"/>
      <c r="AQ64" s="1204"/>
      <c r="AR64" s="1205"/>
      <c r="AS64" s="1205"/>
      <c r="AT64" s="1268"/>
    </row>
    <row r="65" spans="1:46" ht="36" customHeight="1" x14ac:dyDescent="0.3">
      <c r="A65" s="2260"/>
      <c r="B65" s="384">
        <v>2</v>
      </c>
      <c r="C65" s="1269"/>
      <c r="D65" s="1270"/>
      <c r="E65" s="1270">
        <v>8</v>
      </c>
      <c r="F65" s="1271"/>
      <c r="G65" s="1272"/>
      <c r="H65" s="1273"/>
      <c r="I65" s="1223" t="s">
        <v>328</v>
      </c>
      <c r="J65" s="1275"/>
      <c r="K65" s="1208"/>
      <c r="L65" s="1276"/>
      <c r="M65" s="1277"/>
      <c r="N65" s="1277"/>
      <c r="O65" s="1278"/>
      <c r="P65" s="1279"/>
      <c r="Q65" s="1280"/>
      <c r="R65" s="1280"/>
      <c r="S65" s="1281"/>
      <c r="T65" s="1208"/>
      <c r="U65" s="1276"/>
      <c r="V65" s="1277"/>
      <c r="W65" s="1277"/>
      <c r="X65" s="1278"/>
      <c r="Y65" s="1360"/>
      <c r="Z65" s="1363"/>
      <c r="AA65" s="1223"/>
      <c r="AB65" s="1359"/>
      <c r="AC65" s="1208"/>
      <c r="AD65" s="1276"/>
      <c r="AE65" s="1277"/>
      <c r="AF65" s="1277"/>
      <c r="AG65" s="1278"/>
      <c r="AH65" s="1226"/>
      <c r="AI65" s="1277"/>
      <c r="AJ65" s="1234"/>
      <c r="AK65" s="1284"/>
      <c r="AL65" s="301"/>
      <c r="AM65" s="1276"/>
      <c r="AN65" s="1277"/>
      <c r="AO65" s="1277">
        <v>5</v>
      </c>
      <c r="AP65" s="1277"/>
      <c r="AQ65" s="1282"/>
      <c r="AR65" s="1277"/>
      <c r="AS65" s="1277" t="s">
        <v>1060</v>
      </c>
      <c r="AT65" s="1284"/>
    </row>
    <row r="66" spans="1:46" ht="18.75" x14ac:dyDescent="0.3">
      <c r="A66" s="301" t="s">
        <v>225</v>
      </c>
      <c r="B66" s="419"/>
      <c r="C66" s="1285">
        <f>SUM(C3:C65)</f>
        <v>923</v>
      </c>
      <c r="D66" s="419">
        <f>SUM(D3:D65)</f>
        <v>790</v>
      </c>
      <c r="E66" s="1285">
        <f>SUM(E3:E65)</f>
        <v>815</v>
      </c>
      <c r="F66" s="419">
        <f>SUM(F3:F65)</f>
        <v>439</v>
      </c>
      <c r="G66" s="301"/>
      <c r="H66" s="301"/>
      <c r="I66" s="301"/>
      <c r="J66" s="301"/>
      <c r="K66" s="301"/>
      <c r="L66" s="419">
        <f>SUM(L3:L65)</f>
        <v>676</v>
      </c>
      <c r="M66" s="419">
        <f>SUM(M3:M65)</f>
        <v>677</v>
      </c>
      <c r="N66" s="419">
        <f>SUM(N3:N65)</f>
        <v>0</v>
      </c>
      <c r="O66" s="419">
        <f>SUM(O3:O65)</f>
        <v>0</v>
      </c>
      <c r="P66" s="301"/>
      <c r="Q66" s="301"/>
      <c r="R66" s="301"/>
      <c r="S66" s="301"/>
      <c r="T66" s="301"/>
      <c r="U66" s="419">
        <f>SUM(U3:U65)</f>
        <v>769.48</v>
      </c>
      <c r="V66" s="419">
        <f>SUM(V3:V65)</f>
        <v>949</v>
      </c>
      <c r="W66" s="419">
        <f>SUM(W3:W65)</f>
        <v>566</v>
      </c>
      <c r="X66" s="419">
        <f>SUM(X3:X65)</f>
        <v>6</v>
      </c>
      <c r="Y66" s="301"/>
      <c r="Z66" s="301"/>
      <c r="AA66" s="301"/>
      <c r="AB66" s="301"/>
      <c r="AC66" s="301"/>
      <c r="AD66" s="419">
        <f>SUM(AD3:AD65)</f>
        <v>34</v>
      </c>
      <c r="AE66" s="419">
        <f>SUM(AE3:AE65)</f>
        <v>530</v>
      </c>
      <c r="AF66" s="419">
        <f>SUM(AF3:AF65)</f>
        <v>159</v>
      </c>
      <c r="AG66" s="419">
        <f>SUM(AG3:AG65)</f>
        <v>0</v>
      </c>
      <c r="AH66" s="301"/>
      <c r="AI66" s="301"/>
      <c r="AJ66" s="301"/>
      <c r="AK66" s="301"/>
      <c r="AL66" s="301"/>
      <c r="AM66" s="419">
        <f>SUM(AM3:AM65)</f>
        <v>0</v>
      </c>
      <c r="AN66" s="419">
        <f>SUM(AN3:AN65)</f>
        <v>544</v>
      </c>
      <c r="AO66" s="419">
        <f>SUM(AO3:AO65)</f>
        <v>67</v>
      </c>
      <c r="AP66" s="419">
        <f>SUM(AP3:AP65)</f>
        <v>205</v>
      </c>
      <c r="AQ66" s="301"/>
      <c r="AR66" s="301"/>
      <c r="AS66" s="301"/>
      <c r="AT66" s="301"/>
    </row>
    <row r="74" spans="1:46" ht="15.75" thickBot="1" x14ac:dyDescent="0.3"/>
    <row r="75" spans="1:46" ht="19.5" thickBot="1" x14ac:dyDescent="0.35">
      <c r="B75" s="419"/>
      <c r="C75" s="2222" t="s">
        <v>199</v>
      </c>
      <c r="D75" s="2223"/>
      <c r="E75" s="2224" t="s">
        <v>200</v>
      </c>
      <c r="F75" s="2225"/>
      <c r="G75" s="2222" t="s">
        <v>201</v>
      </c>
      <c r="H75" s="2223"/>
      <c r="I75" s="2222" t="s">
        <v>204</v>
      </c>
      <c r="J75" s="2223"/>
    </row>
    <row r="76" spans="1:46" ht="19.5" thickBot="1" x14ac:dyDescent="0.35">
      <c r="B76" s="419"/>
      <c r="C76" s="662" t="s">
        <v>222</v>
      </c>
      <c r="D76" s="663" t="s">
        <v>223</v>
      </c>
      <c r="E76" s="664" t="s">
        <v>222</v>
      </c>
      <c r="F76" s="665" t="s">
        <v>223</v>
      </c>
      <c r="G76" s="662" t="s">
        <v>222</v>
      </c>
      <c r="H76" s="663" t="s">
        <v>223</v>
      </c>
      <c r="I76" s="662" t="s">
        <v>222</v>
      </c>
      <c r="J76" s="663" t="s">
        <v>223</v>
      </c>
    </row>
    <row r="77" spans="1:46" ht="18.75" x14ac:dyDescent="0.3">
      <c r="B77" s="651" t="s">
        <v>218</v>
      </c>
      <c r="C77" s="652">
        <f>C66</f>
        <v>923</v>
      </c>
      <c r="D77" s="653">
        <f>C77/60</f>
        <v>15.383333333333333</v>
      </c>
      <c r="E77" s="652">
        <f>D66</f>
        <v>790</v>
      </c>
      <c r="F77" s="654">
        <f>E77/60</f>
        <v>13.166666666666666</v>
      </c>
      <c r="G77" s="652">
        <f>E66</f>
        <v>815</v>
      </c>
      <c r="H77" s="653">
        <f>G77/60</f>
        <v>13.583333333333334</v>
      </c>
      <c r="I77" s="652">
        <f>F66</f>
        <v>439</v>
      </c>
      <c r="J77" s="653">
        <f>I77/60</f>
        <v>7.3166666666666664</v>
      </c>
    </row>
    <row r="78" spans="1:46" ht="18.75" x14ac:dyDescent="0.3">
      <c r="B78" s="651" t="s">
        <v>219</v>
      </c>
      <c r="C78" s="655">
        <f>L66</f>
        <v>676</v>
      </c>
      <c r="D78" s="656">
        <f>C78/60</f>
        <v>11.266666666666667</v>
      </c>
      <c r="E78" s="655">
        <f>M66</f>
        <v>677</v>
      </c>
      <c r="F78" s="657">
        <f>E78/60</f>
        <v>11.283333333333333</v>
      </c>
      <c r="G78" s="655">
        <f>N66</f>
        <v>0</v>
      </c>
      <c r="H78" s="656">
        <f>G78/60</f>
        <v>0</v>
      </c>
      <c r="I78" s="655">
        <f>O66</f>
        <v>0</v>
      </c>
      <c r="J78" s="656">
        <f>I78/60</f>
        <v>0</v>
      </c>
    </row>
    <row r="79" spans="1:46" ht="18.75" x14ac:dyDescent="0.3">
      <c r="B79" s="651" t="s">
        <v>220</v>
      </c>
      <c r="C79" s="655">
        <f>U66</f>
        <v>769.48</v>
      </c>
      <c r="D79" s="656">
        <f>C79/60</f>
        <v>12.824666666666667</v>
      </c>
      <c r="E79" s="655">
        <f>V66</f>
        <v>949</v>
      </c>
      <c r="F79" s="657">
        <f>E79/60</f>
        <v>15.816666666666666</v>
      </c>
      <c r="G79" s="655">
        <f>W66</f>
        <v>566</v>
      </c>
      <c r="H79" s="656">
        <f>G79/60</f>
        <v>9.4333333333333336</v>
      </c>
      <c r="I79" s="655">
        <f>X66</f>
        <v>6</v>
      </c>
      <c r="J79" s="656">
        <f>I79/60</f>
        <v>0.1</v>
      </c>
    </row>
    <row r="80" spans="1:46" ht="19.5" thickBot="1" x14ac:dyDescent="0.35">
      <c r="B80" s="651" t="s">
        <v>221</v>
      </c>
      <c r="C80" s="658">
        <f>AD66</f>
        <v>34</v>
      </c>
      <c r="D80" s="659">
        <f>C80/60</f>
        <v>0.56666666666666665</v>
      </c>
      <c r="E80" s="658">
        <f>AE66</f>
        <v>530</v>
      </c>
      <c r="F80" s="660">
        <f>E80/60</f>
        <v>8.8333333333333339</v>
      </c>
      <c r="G80" s="658">
        <f>AF66</f>
        <v>159</v>
      </c>
      <c r="H80" s="659">
        <f>G80/60</f>
        <v>2.65</v>
      </c>
      <c r="I80" s="658">
        <f>AG66</f>
        <v>0</v>
      </c>
      <c r="J80" s="659">
        <f>I80/60</f>
        <v>0</v>
      </c>
    </row>
    <row r="81" spans="2:10" ht="19.5" thickBot="1" x14ac:dyDescent="0.35">
      <c r="B81" s="651" t="s">
        <v>488</v>
      </c>
      <c r="C81" s="850">
        <f>AM66</f>
        <v>0</v>
      </c>
      <c r="D81" s="849">
        <f>C81/60</f>
        <v>0</v>
      </c>
      <c r="E81" s="850">
        <f>AN66</f>
        <v>544</v>
      </c>
      <c r="F81" s="851">
        <f>E81/60</f>
        <v>9.0666666666666664</v>
      </c>
      <c r="G81" s="850">
        <f>AO66</f>
        <v>67</v>
      </c>
      <c r="H81" s="849">
        <f>G81/60</f>
        <v>1.1166666666666667</v>
      </c>
      <c r="I81" s="850">
        <f>AP66</f>
        <v>205</v>
      </c>
      <c r="J81" s="849">
        <f>I81/60</f>
        <v>3.4166666666666665</v>
      </c>
    </row>
    <row r="82" spans="2:10" ht="19.5" thickBot="1" x14ac:dyDescent="0.35">
      <c r="B82" s="419"/>
      <c r="C82" s="301"/>
      <c r="D82" s="301"/>
      <c r="E82" s="301"/>
      <c r="F82" s="301"/>
      <c r="G82" s="301"/>
      <c r="H82" s="301"/>
      <c r="I82" s="301"/>
      <c r="J82" s="301"/>
    </row>
    <row r="83" spans="2:10" ht="19.5" thickBot="1" x14ac:dyDescent="0.35">
      <c r="B83" s="661" t="s">
        <v>217</v>
      </c>
      <c r="C83" s="666"/>
      <c r="D83" s="667">
        <f>SUM(D77:D81)</f>
        <v>40.041333333333334</v>
      </c>
      <c r="E83" s="666"/>
      <c r="F83" s="667">
        <f>SUM(F77:F81)</f>
        <v>58.166666666666671</v>
      </c>
      <c r="G83" s="666"/>
      <c r="H83" s="667">
        <f>SUM(H77:H81)</f>
        <v>26.783333333333331</v>
      </c>
      <c r="I83" s="666"/>
      <c r="J83" s="668">
        <f>AVERAGE(J77:J81)</f>
        <v>2.1666666666666665</v>
      </c>
    </row>
  </sheetData>
  <mergeCells count="46">
    <mergeCell ref="A63:A65"/>
    <mergeCell ref="C75:D75"/>
    <mergeCell ref="E75:F75"/>
    <mergeCell ref="G75:H75"/>
    <mergeCell ref="I75:J75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13:A14"/>
    <mergeCell ref="AH14:AJ14"/>
    <mergeCell ref="A39:A40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15:A16"/>
    <mergeCell ref="AM1:AP1"/>
    <mergeCell ref="AQ1:AT1"/>
    <mergeCell ref="A3:A4"/>
    <mergeCell ref="U1:X1"/>
    <mergeCell ref="Y1:AB1"/>
    <mergeCell ref="G1:J1"/>
    <mergeCell ref="L1:O1"/>
    <mergeCell ref="P1:S1"/>
    <mergeCell ref="AD1:AG1"/>
    <mergeCell ref="AH1:AK1"/>
    <mergeCell ref="A7:A8"/>
    <mergeCell ref="A9:A10"/>
    <mergeCell ref="A11:A12"/>
    <mergeCell ref="A5:A6"/>
    <mergeCell ref="C1:F1"/>
  </mergeCell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0"/>
  <sheetViews>
    <sheetView zoomScale="70" zoomScaleNormal="70" workbookViewId="0">
      <pane xSplit="3" ySplit="2" topLeftCell="AC3" activePane="bottomRight" state="frozen"/>
      <selection pane="topRight" activeCell="D1" sqref="D1"/>
      <selection pane="bottomLeft" activeCell="A3" sqref="A3"/>
      <selection pane="bottomRight" activeCell="AR8" sqref="AR8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2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36.425781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6" style="524" bestFit="1" customWidth="1"/>
    <col min="17" max="17" width="42.140625" style="524" bestFit="1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6.140625" style="524" bestFit="1" customWidth="1"/>
    <col min="28" max="28" width="27" style="524" customWidth="1"/>
    <col min="29" max="33" width="10.7109375" style="524" customWidth="1"/>
    <col min="34" max="34" width="31.28515625" style="524" customWidth="1"/>
    <col min="35" max="35" width="23.285156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2" width="10.7109375" style="524" customWidth="1"/>
    <col min="43" max="43" width="21.140625" style="524" customWidth="1"/>
    <col min="44" max="44" width="26.5703125" style="524" customWidth="1"/>
    <col min="45" max="45" width="31.140625" style="524" customWidth="1"/>
    <col min="46" max="46" width="26.5703125" style="524" customWidth="1"/>
    <col min="47" max="16384" width="8.85546875" style="524"/>
  </cols>
  <sheetData>
    <row r="1" spans="1:46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2" t="s">
        <v>206</v>
      </c>
      <c r="AR1" s="2252"/>
      <c r="AS1" s="2252"/>
      <c r="AT1" s="2253"/>
    </row>
    <row r="2" spans="1:46" ht="42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6" t="s">
        <v>199</v>
      </c>
      <c r="AI2" s="984" t="s">
        <v>200</v>
      </c>
      <c r="AJ2" s="984" t="s">
        <v>201</v>
      </c>
      <c r="AK2" s="984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6" t="s">
        <v>199</v>
      </c>
      <c r="AR2" s="984" t="s">
        <v>200</v>
      </c>
      <c r="AS2" s="984" t="s">
        <v>201</v>
      </c>
      <c r="AT2" s="984" t="s">
        <v>204</v>
      </c>
    </row>
    <row r="3" spans="1:46" ht="78" customHeight="1" x14ac:dyDescent="0.3">
      <c r="A3" s="2260">
        <v>45748</v>
      </c>
      <c r="B3" s="1200">
        <v>1</v>
      </c>
      <c r="C3" s="1201"/>
      <c r="D3" s="1202"/>
      <c r="E3" s="289">
        <v>84</v>
      </c>
      <c r="F3" s="1203"/>
      <c r="G3" s="1204"/>
      <c r="H3" s="1205"/>
      <c r="I3" s="1223" t="s">
        <v>152</v>
      </c>
      <c r="J3" s="1207"/>
      <c r="K3" s="1208"/>
      <c r="L3" s="1209"/>
      <c r="M3" s="1210"/>
      <c r="N3" s="1210"/>
      <c r="O3" s="1211"/>
      <c r="P3" s="1212"/>
      <c r="Q3" s="1213"/>
      <c r="R3" s="1213"/>
      <c r="S3" s="1211"/>
      <c r="T3" s="1208"/>
      <c r="U3" s="1209"/>
      <c r="V3" s="1210"/>
      <c r="W3" s="289">
        <v>20</v>
      </c>
      <c r="X3" s="1214"/>
      <c r="Y3" s="1390"/>
      <c r="Z3" s="1212"/>
      <c r="AA3" s="1206" t="s">
        <v>152</v>
      </c>
      <c r="AB3" s="1216"/>
      <c r="AC3" s="1208"/>
      <c r="AD3" s="1209"/>
      <c r="AE3" s="1210"/>
      <c r="AF3" s="289"/>
      <c r="AG3" s="1211"/>
      <c r="AH3" s="1212"/>
      <c r="AI3" s="1212"/>
      <c r="AJ3" s="407"/>
      <c r="AK3" s="1211"/>
      <c r="AL3" s="301"/>
      <c r="AM3" s="1209"/>
      <c r="AN3" s="1210"/>
      <c r="AO3" s="289"/>
      <c r="AP3" s="1211"/>
      <c r="AQ3" s="1212"/>
      <c r="AR3" s="1217"/>
      <c r="AS3" s="407"/>
      <c r="AT3" s="1211"/>
    </row>
    <row r="4" spans="1:46" ht="69.75" customHeight="1" x14ac:dyDescent="0.3">
      <c r="A4" s="2261"/>
      <c r="B4" s="1218">
        <v>2</v>
      </c>
      <c r="C4" s="1219"/>
      <c r="D4" s="1220">
        <v>7</v>
      </c>
      <c r="E4" s="1220">
        <v>42</v>
      </c>
      <c r="F4" s="1221"/>
      <c r="G4" s="1222"/>
      <c r="H4" s="1205"/>
      <c r="I4" s="1223" t="s">
        <v>152</v>
      </c>
      <c r="J4" s="1224"/>
      <c r="K4" s="1208"/>
      <c r="L4" s="1225"/>
      <c r="M4" s="289"/>
      <c r="N4" s="289"/>
      <c r="O4" s="1214"/>
      <c r="P4" s="1226"/>
      <c r="Q4" s="1205"/>
      <c r="R4" s="263"/>
      <c r="S4" s="1214"/>
      <c r="T4" s="1208"/>
      <c r="U4" s="1225"/>
      <c r="V4" s="407"/>
      <c r="W4" s="289">
        <v>6</v>
      </c>
      <c r="X4" s="1214"/>
      <c r="Y4" s="1222"/>
      <c r="Z4" s="1206"/>
      <c r="AA4" s="1206" t="s">
        <v>152</v>
      </c>
      <c r="AB4" s="1227"/>
      <c r="AC4" s="1208"/>
      <c r="AD4" s="1225"/>
      <c r="AE4" s="289"/>
      <c r="AF4" s="289"/>
      <c r="AG4" s="1214"/>
      <c r="AH4" s="1226"/>
      <c r="AI4" s="1206"/>
      <c r="AJ4" s="289"/>
      <c r="AK4" s="1214"/>
      <c r="AL4" s="301"/>
      <c r="AM4" s="1225"/>
      <c r="AN4" s="289"/>
      <c r="AO4" s="289"/>
      <c r="AP4" s="1214"/>
      <c r="AQ4" s="1226"/>
      <c r="AR4" s="1206"/>
      <c r="AS4" s="289"/>
      <c r="AT4" s="1214"/>
    </row>
    <row r="5" spans="1:46" ht="60" customHeight="1" x14ac:dyDescent="0.3">
      <c r="A5" s="2260">
        <v>45749</v>
      </c>
      <c r="B5" s="1218">
        <v>1</v>
      </c>
      <c r="C5" s="1219"/>
      <c r="D5" s="1220"/>
      <c r="E5" s="1220">
        <v>8</v>
      </c>
      <c r="F5" s="1221"/>
      <c r="G5" s="1329"/>
      <c r="H5" s="1393"/>
      <c r="I5" s="1223" t="s">
        <v>152</v>
      </c>
      <c r="J5" s="1224"/>
      <c r="K5" s="1208"/>
      <c r="L5" s="1225"/>
      <c r="M5" s="289"/>
      <c r="N5" s="289"/>
      <c r="O5" s="1214"/>
      <c r="P5" s="1226"/>
      <c r="Q5" s="289"/>
      <c r="R5" s="289"/>
      <c r="S5" s="1214"/>
      <c r="T5" s="1208"/>
      <c r="U5" s="1225"/>
      <c r="V5" s="289"/>
      <c r="W5" s="289">
        <v>8</v>
      </c>
      <c r="X5" s="1214"/>
      <c r="Y5" s="1390"/>
      <c r="Z5" s="1205"/>
      <c r="AA5" s="1228" t="s">
        <v>152</v>
      </c>
      <c r="AB5" s="1229"/>
      <c r="AC5" s="1208"/>
      <c r="AD5" s="1225"/>
      <c r="AE5" s="289"/>
      <c r="AF5" s="289"/>
      <c r="AG5" s="1214"/>
      <c r="AH5" s="1226"/>
      <c r="AI5" s="289"/>
      <c r="AJ5" s="1230"/>
      <c r="AK5" s="1214"/>
      <c r="AL5" s="301"/>
      <c r="AM5" s="1225"/>
      <c r="AN5" s="289"/>
      <c r="AO5" s="289"/>
      <c r="AP5" s="1214"/>
      <c r="AQ5" s="1226"/>
      <c r="AR5" s="1257"/>
      <c r="AS5" s="407"/>
      <c r="AT5" s="1231"/>
    </row>
    <row r="6" spans="1:46" ht="80.45" customHeight="1" x14ac:dyDescent="0.3">
      <c r="A6" s="2261"/>
      <c r="B6" s="1218">
        <v>2</v>
      </c>
      <c r="C6" s="1219">
        <v>20</v>
      </c>
      <c r="D6" s="1220"/>
      <c r="E6" s="1220">
        <v>29</v>
      </c>
      <c r="F6" s="1221"/>
      <c r="G6" s="1204" t="s">
        <v>743</v>
      </c>
      <c r="H6" s="1206"/>
      <c r="I6" s="1223" t="s">
        <v>152</v>
      </c>
      <c r="J6" s="1232"/>
      <c r="K6" s="1208"/>
      <c r="L6" s="1225"/>
      <c r="M6" s="289"/>
      <c r="N6" s="289"/>
      <c r="O6" s="1214"/>
      <c r="P6" s="1226"/>
      <c r="Q6" s="1205"/>
      <c r="R6" s="289"/>
      <c r="S6" s="1232"/>
      <c r="T6" s="1208"/>
      <c r="U6" s="1225"/>
      <c r="V6" s="289"/>
      <c r="W6" s="289">
        <v>32</v>
      </c>
      <c r="X6" s="1214"/>
      <c r="Y6" s="1390"/>
      <c r="Z6" s="1205"/>
      <c r="AA6" s="1206" t="s">
        <v>1078</v>
      </c>
      <c r="AB6" s="1232"/>
      <c r="AC6" s="1208"/>
      <c r="AD6" s="1225"/>
      <c r="AE6" s="289"/>
      <c r="AF6" s="289"/>
      <c r="AG6" s="1214"/>
      <c r="AH6" s="1226"/>
      <c r="AI6" s="289"/>
      <c r="AJ6" s="1332"/>
      <c r="AK6" s="1232"/>
      <c r="AL6" s="301"/>
      <c r="AM6" s="1225"/>
      <c r="AN6" s="289"/>
      <c r="AO6" s="289"/>
      <c r="AP6" s="1214"/>
      <c r="AQ6" s="1389"/>
      <c r="AR6" s="1348"/>
      <c r="AS6" s="1390"/>
      <c r="AT6" s="1232"/>
    </row>
    <row r="7" spans="1:46" ht="71.45" customHeight="1" x14ac:dyDescent="0.3">
      <c r="A7" s="2260">
        <v>45750</v>
      </c>
      <c r="B7" s="1218">
        <v>1</v>
      </c>
      <c r="C7" s="1219"/>
      <c r="D7" s="1220"/>
      <c r="E7" s="1220">
        <v>22</v>
      </c>
      <c r="F7" s="1221"/>
      <c r="G7" s="1204"/>
      <c r="H7" s="1206"/>
      <c r="I7" s="1223" t="s">
        <v>152</v>
      </c>
      <c r="J7" s="1232"/>
      <c r="K7" s="1208"/>
      <c r="L7" s="1225"/>
      <c r="M7" s="1226"/>
      <c r="N7" s="289"/>
      <c r="O7" s="1214"/>
      <c r="P7" s="1226"/>
      <c r="Q7" s="1233"/>
      <c r="R7" s="289"/>
      <c r="S7" s="1231"/>
      <c r="T7" s="1208"/>
      <c r="U7" s="1225">
        <v>132</v>
      </c>
      <c r="V7" s="289"/>
      <c r="W7" s="289">
        <v>10</v>
      </c>
      <c r="X7" s="1214"/>
      <c r="Y7" s="1390" t="s">
        <v>1077</v>
      </c>
      <c r="Z7" s="1205"/>
      <c r="AA7" s="1228" t="s">
        <v>152</v>
      </c>
      <c r="AB7" s="1231"/>
      <c r="AC7" s="1208"/>
      <c r="AD7" s="1225"/>
      <c r="AE7" s="289"/>
      <c r="AF7" s="289"/>
      <c r="AG7" s="1214"/>
      <c r="AH7" s="1226"/>
      <c r="AI7" s="1233"/>
      <c r="AJ7" s="1332"/>
      <c r="AK7" s="1346"/>
      <c r="AL7" s="301"/>
      <c r="AM7" s="1225"/>
      <c r="AN7" s="289"/>
      <c r="AO7" s="289">
        <v>5</v>
      </c>
      <c r="AP7" s="1214"/>
      <c r="AQ7" s="1388"/>
      <c r="AR7" s="1334"/>
      <c r="AS7" s="1347" t="s">
        <v>325</v>
      </c>
      <c r="AT7" s="1234"/>
    </row>
    <row r="8" spans="1:46" ht="69.599999999999994" customHeight="1" x14ac:dyDescent="0.3">
      <c r="A8" s="2261"/>
      <c r="B8" s="1218">
        <v>2</v>
      </c>
      <c r="C8" s="1219"/>
      <c r="D8" s="1254"/>
      <c r="E8" s="1220">
        <v>53</v>
      </c>
      <c r="F8" s="1221"/>
      <c r="G8" s="1222"/>
      <c r="H8" s="1206"/>
      <c r="I8" s="1223" t="s">
        <v>152</v>
      </c>
      <c r="J8" s="1232"/>
      <c r="K8" s="1208"/>
      <c r="L8" s="1225"/>
      <c r="M8" s="289"/>
      <c r="N8" s="289"/>
      <c r="O8" s="1214"/>
      <c r="P8" s="1226"/>
      <c r="Q8" s="289"/>
      <c r="R8" s="407"/>
      <c r="S8" s="1231"/>
      <c r="T8" s="1208"/>
      <c r="U8" s="1333">
        <v>720</v>
      </c>
      <c r="V8" s="1334"/>
      <c r="W8" s="1226"/>
      <c r="X8" s="1214"/>
      <c r="Y8" s="1390" t="s">
        <v>1077</v>
      </c>
      <c r="Z8" s="1389"/>
      <c r="AA8" s="1390"/>
      <c r="AB8" s="1232"/>
      <c r="AC8" s="1208"/>
      <c r="AD8" s="1225"/>
      <c r="AE8" s="289"/>
      <c r="AF8" s="289"/>
      <c r="AG8" s="1214"/>
      <c r="AH8" s="1226"/>
      <c r="AI8" s="407"/>
      <c r="AJ8" s="1332"/>
      <c r="AK8" s="1335"/>
      <c r="AL8" s="301"/>
      <c r="AM8" s="1225"/>
      <c r="AN8" s="289">
        <v>6</v>
      </c>
      <c r="AO8" s="289">
        <v>15</v>
      </c>
      <c r="AP8" s="1214"/>
      <c r="AQ8" s="1388"/>
      <c r="AR8" s="1349" t="s">
        <v>317</v>
      </c>
      <c r="AS8" s="1226" t="s">
        <v>388</v>
      </c>
      <c r="AT8" s="1232"/>
    </row>
    <row r="9" spans="1:46" ht="76.900000000000006" customHeight="1" x14ac:dyDescent="0.3">
      <c r="A9" s="2260">
        <v>45751</v>
      </c>
      <c r="B9" s="1218">
        <v>1</v>
      </c>
      <c r="C9" s="1301"/>
      <c r="D9" s="1328"/>
      <c r="E9" s="1325">
        <v>15</v>
      </c>
      <c r="F9" s="1221"/>
      <c r="G9" s="1222"/>
      <c r="H9" s="1205"/>
      <c r="I9" s="1223" t="s">
        <v>152</v>
      </c>
      <c r="J9" s="1232"/>
      <c r="K9" s="1208"/>
      <c r="L9" s="1225"/>
      <c r="M9" s="289"/>
      <c r="N9" s="289"/>
      <c r="O9" s="1214"/>
      <c r="P9" s="1226"/>
      <c r="Q9" s="289"/>
      <c r="R9" s="407"/>
      <c r="S9" s="1232"/>
      <c r="T9" s="1208"/>
      <c r="U9" s="1333">
        <v>720</v>
      </c>
      <c r="V9" s="1226"/>
      <c r="W9" s="289"/>
      <c r="X9" s="1214"/>
      <c r="Y9" s="1390" t="s">
        <v>1077</v>
      </c>
      <c r="Z9" s="289"/>
      <c r="AA9" s="1228"/>
      <c r="AB9" s="1232"/>
      <c r="AC9" s="1208"/>
      <c r="AD9" s="1225"/>
      <c r="AE9" s="289"/>
      <c r="AF9" s="289"/>
      <c r="AG9" s="1214"/>
      <c r="AH9" s="1226"/>
      <c r="AI9" s="289"/>
      <c r="AJ9" s="289"/>
      <c r="AK9" s="1232"/>
      <c r="AL9" s="301"/>
      <c r="AM9" s="1225"/>
      <c r="AN9" s="289"/>
      <c r="AO9" s="289"/>
      <c r="AP9" s="1214"/>
      <c r="AQ9" s="1388"/>
      <c r="AR9" s="1334"/>
      <c r="AS9" s="1226"/>
      <c r="AT9" s="1235"/>
    </row>
    <row r="10" spans="1:46" ht="67.150000000000006" customHeight="1" x14ac:dyDescent="0.3">
      <c r="A10" s="2261"/>
      <c r="B10" s="1218">
        <v>2</v>
      </c>
      <c r="C10" s="1301"/>
      <c r="D10" s="1326">
        <v>105</v>
      </c>
      <c r="E10" s="1325">
        <v>20</v>
      </c>
      <c r="F10" s="1221"/>
      <c r="G10" s="1391"/>
      <c r="H10" s="1237" t="s">
        <v>1079</v>
      </c>
      <c r="I10" s="1393" t="s">
        <v>152</v>
      </c>
      <c r="J10" s="1232"/>
      <c r="K10" s="1208"/>
      <c r="L10" s="1225"/>
      <c r="M10" s="289">
        <v>121</v>
      </c>
      <c r="N10" s="289"/>
      <c r="O10" s="1214"/>
      <c r="P10" s="1226"/>
      <c r="Q10" s="289" t="s">
        <v>1079</v>
      </c>
      <c r="R10" s="407"/>
      <c r="S10" s="1232"/>
      <c r="T10" s="1208"/>
      <c r="U10" s="1225">
        <v>720</v>
      </c>
      <c r="V10" s="289"/>
      <c r="W10" s="289"/>
      <c r="X10" s="1214"/>
      <c r="Y10" s="1390" t="s">
        <v>1077</v>
      </c>
      <c r="Z10" s="1390"/>
      <c r="AA10" s="1208"/>
      <c r="AB10" s="1232"/>
      <c r="AC10" s="1208"/>
      <c r="AD10" s="1225"/>
      <c r="AE10" s="289">
        <v>155</v>
      </c>
      <c r="AF10" s="289"/>
      <c r="AG10" s="1214"/>
      <c r="AH10" s="1390"/>
      <c r="AI10" s="407" t="s">
        <v>1079</v>
      </c>
      <c r="AJ10" s="1206"/>
      <c r="AK10" s="1232"/>
      <c r="AL10" s="301"/>
      <c r="AM10" s="1225">
        <v>585</v>
      </c>
      <c r="AN10" s="289"/>
      <c r="AO10" s="289"/>
      <c r="AP10" s="1214"/>
      <c r="AQ10" s="1388" t="s">
        <v>1080</v>
      </c>
      <c r="AR10" s="1350"/>
      <c r="AS10" s="1226"/>
      <c r="AT10" s="1232"/>
    </row>
    <row r="11" spans="1:46" ht="60" customHeight="1" x14ac:dyDescent="0.3">
      <c r="A11" s="2260">
        <v>45752</v>
      </c>
      <c r="B11" s="1218">
        <v>1</v>
      </c>
      <c r="C11" s="1301"/>
      <c r="D11" s="1327"/>
      <c r="E11" s="1325"/>
      <c r="F11" s="1221"/>
      <c r="G11" s="1239"/>
      <c r="H11" s="1237"/>
      <c r="I11" s="1393"/>
      <c r="J11" s="1224"/>
      <c r="K11" s="1208"/>
      <c r="L11" s="1225"/>
      <c r="M11" s="289"/>
      <c r="N11" s="289"/>
      <c r="O11" s="1214"/>
      <c r="P11" s="1226"/>
      <c r="Q11" s="289"/>
      <c r="R11" s="407"/>
      <c r="S11" s="1214"/>
      <c r="T11" s="1208"/>
      <c r="U11" s="1225">
        <v>720</v>
      </c>
      <c r="V11" s="289"/>
      <c r="W11" s="289"/>
      <c r="X11" s="1214"/>
      <c r="Y11" s="1390" t="s">
        <v>1077</v>
      </c>
      <c r="Z11" s="289"/>
      <c r="AA11" s="1228"/>
      <c r="AB11" s="1214"/>
      <c r="AC11" s="1208"/>
      <c r="AD11" s="1225"/>
      <c r="AE11" s="289"/>
      <c r="AF11" s="289"/>
      <c r="AG11" s="1214"/>
      <c r="AH11" s="1226"/>
      <c r="AI11" s="289"/>
      <c r="AJ11" s="1228"/>
      <c r="AK11" s="1214"/>
      <c r="AL11" s="301"/>
      <c r="AM11" s="1225"/>
      <c r="AN11" s="289"/>
      <c r="AO11" s="289"/>
      <c r="AP11" s="1214"/>
      <c r="AQ11" s="1226"/>
      <c r="AR11" s="263"/>
      <c r="AS11" s="289"/>
      <c r="AT11" s="1231"/>
    </row>
    <row r="12" spans="1:46" ht="55.15" customHeight="1" x14ac:dyDescent="0.3">
      <c r="A12" s="2261"/>
      <c r="B12" s="1218">
        <v>2</v>
      </c>
      <c r="C12" s="1219"/>
      <c r="D12" s="1305"/>
      <c r="E12" s="1220">
        <v>11</v>
      </c>
      <c r="F12" s="1221"/>
      <c r="G12" s="1222"/>
      <c r="H12" s="1205"/>
      <c r="I12" s="1393" t="s">
        <v>152</v>
      </c>
      <c r="J12" s="1232"/>
      <c r="K12" s="1208"/>
      <c r="L12" s="1225"/>
      <c r="M12" s="289"/>
      <c r="N12" s="289"/>
      <c r="O12" s="1214"/>
      <c r="P12" s="1226"/>
      <c r="Q12" s="289"/>
      <c r="R12" s="407"/>
      <c r="S12" s="1232"/>
      <c r="T12" s="1208"/>
      <c r="U12" s="1225">
        <v>84</v>
      </c>
      <c r="V12" s="289"/>
      <c r="W12" s="289"/>
      <c r="X12" s="1214"/>
      <c r="Y12" s="1390" t="s">
        <v>1077</v>
      </c>
      <c r="Z12" s="1206"/>
      <c r="AA12" s="1228"/>
      <c r="AB12" s="1232"/>
      <c r="AC12" s="1208"/>
      <c r="AD12" s="1225">
        <v>105</v>
      </c>
      <c r="AE12" s="289"/>
      <c r="AF12" s="289"/>
      <c r="AG12" s="1214"/>
      <c r="AH12" s="1226" t="s">
        <v>583</v>
      </c>
      <c r="AI12" s="407"/>
      <c r="AJ12" s="407"/>
      <c r="AK12" s="1232"/>
      <c r="AL12" s="301"/>
      <c r="AM12" s="1225"/>
      <c r="AN12" s="289"/>
      <c r="AO12" s="289"/>
      <c r="AP12" s="1214"/>
      <c r="AQ12" s="1226"/>
      <c r="AR12" s="289"/>
      <c r="AS12" s="407"/>
      <c r="AT12" s="1232"/>
    </row>
    <row r="13" spans="1:46" ht="34.9" customHeight="1" x14ac:dyDescent="0.3">
      <c r="A13" s="2260">
        <v>45753</v>
      </c>
      <c r="B13" s="1218">
        <v>1</v>
      </c>
      <c r="C13" s="1219"/>
      <c r="D13" s="1220"/>
      <c r="E13" s="1220"/>
      <c r="F13" s="1221"/>
      <c r="G13" s="1222"/>
      <c r="H13" s="1205"/>
      <c r="I13" s="1223"/>
      <c r="J13" s="1232"/>
      <c r="K13" s="1208"/>
      <c r="L13" s="1225"/>
      <c r="M13" s="289"/>
      <c r="N13" s="289"/>
      <c r="O13" s="1221"/>
      <c r="P13" s="1226"/>
      <c r="Q13" s="289"/>
      <c r="R13" s="289"/>
      <c r="S13" s="1232"/>
      <c r="T13" s="1208"/>
      <c r="U13" s="1225"/>
      <c r="V13" s="289"/>
      <c r="W13" s="289">
        <v>8</v>
      </c>
      <c r="X13" s="1221"/>
      <c r="Y13" s="1390"/>
      <c r="Z13" s="407"/>
      <c r="AA13" s="1228" t="s">
        <v>1081</v>
      </c>
      <c r="AB13" s="1232"/>
      <c r="AC13" s="1208"/>
      <c r="AD13" s="1225"/>
      <c r="AE13" s="289"/>
      <c r="AF13" s="289"/>
      <c r="AG13" s="1221"/>
      <c r="AH13" s="1226"/>
      <c r="AI13" s="289"/>
      <c r="AJ13" s="1228"/>
      <c r="AK13" s="1232"/>
      <c r="AL13" s="301"/>
      <c r="AM13" s="1225"/>
      <c r="AN13" s="289"/>
      <c r="AO13" s="289"/>
      <c r="AP13" s="1221"/>
      <c r="AQ13" s="1226"/>
      <c r="AR13" s="289"/>
      <c r="AS13" s="1206"/>
      <c r="AT13" s="1232"/>
    </row>
    <row r="14" spans="1:46" ht="49.15" customHeight="1" x14ac:dyDescent="0.3">
      <c r="A14" s="2261"/>
      <c r="B14" s="1218">
        <v>2</v>
      </c>
      <c r="C14" s="1219">
        <v>583</v>
      </c>
      <c r="D14" s="1220"/>
      <c r="E14" s="1220"/>
      <c r="F14" s="1221"/>
      <c r="G14" s="1222" t="s">
        <v>583</v>
      </c>
      <c r="H14" s="1206"/>
      <c r="I14" s="1223"/>
      <c r="J14" s="1232"/>
      <c r="K14" s="1208"/>
      <c r="L14" s="1225"/>
      <c r="M14" s="289"/>
      <c r="N14" s="289"/>
      <c r="O14" s="1221"/>
      <c r="P14" s="1390"/>
      <c r="Q14" s="289"/>
      <c r="R14" s="289"/>
      <c r="S14" s="1232"/>
      <c r="T14" s="1208"/>
      <c r="U14" s="1225"/>
      <c r="V14" s="289"/>
      <c r="W14" s="289">
        <v>5</v>
      </c>
      <c r="X14" s="1221"/>
      <c r="Y14" s="1390"/>
      <c r="Z14" s="407"/>
      <c r="AA14" s="1228" t="s">
        <v>1081</v>
      </c>
      <c r="AB14" s="1232"/>
      <c r="AC14" s="1208"/>
      <c r="AD14" s="1225"/>
      <c r="AE14" s="289"/>
      <c r="AF14" s="289"/>
      <c r="AG14" s="1221"/>
      <c r="AH14" s="2262"/>
      <c r="AI14" s="2263"/>
      <c r="AJ14" s="2264"/>
      <c r="AK14" s="1232"/>
      <c r="AL14" s="301"/>
      <c r="AM14" s="1225"/>
      <c r="AN14" s="289"/>
      <c r="AO14" s="1344"/>
      <c r="AP14" s="1351"/>
      <c r="AQ14" s="1390"/>
      <c r="AR14" s="289"/>
      <c r="AS14" s="1228"/>
      <c r="AT14" s="1232"/>
    </row>
    <row r="15" spans="1:46" ht="48" customHeight="1" x14ac:dyDescent="0.3">
      <c r="A15" s="2260">
        <v>45754</v>
      </c>
      <c r="B15" s="1218">
        <v>1</v>
      </c>
      <c r="C15" s="1219"/>
      <c r="D15" s="1254"/>
      <c r="E15" s="1257"/>
      <c r="F15" s="1267"/>
      <c r="G15" s="1259"/>
      <c r="H15" s="1250"/>
      <c r="I15" s="1302"/>
      <c r="J15" s="1267"/>
      <c r="K15" s="1208"/>
      <c r="L15" s="1303"/>
      <c r="M15" s="1257"/>
      <c r="N15" s="1257"/>
      <c r="O15" s="1255"/>
      <c r="P15" s="1304"/>
      <c r="Q15" s="1250"/>
      <c r="R15" s="1206"/>
      <c r="S15" s="1232"/>
      <c r="T15" s="1208"/>
      <c r="U15" s="1225"/>
      <c r="V15" s="289"/>
      <c r="W15" s="289"/>
      <c r="X15" s="1221"/>
      <c r="Y15" s="1222"/>
      <c r="Z15" s="1206"/>
      <c r="AA15" s="1228"/>
      <c r="AB15" s="1232"/>
      <c r="AC15" s="1208"/>
      <c r="AD15" s="1225"/>
      <c r="AE15" s="289"/>
      <c r="AF15" s="1208"/>
      <c r="AG15" s="1221"/>
      <c r="AH15" s="1204"/>
      <c r="AI15" s="1206"/>
      <c r="AJ15" s="407"/>
      <c r="AK15" s="1232"/>
      <c r="AL15" s="301"/>
      <c r="AM15" s="1225"/>
      <c r="AN15" s="289"/>
      <c r="AO15" s="1352"/>
      <c r="AP15" s="1358"/>
      <c r="AQ15" s="1393"/>
      <c r="AR15" s="1206"/>
      <c r="AS15" s="1206"/>
      <c r="AT15" s="1232"/>
    </row>
    <row r="16" spans="1:46" ht="63" customHeight="1" x14ac:dyDescent="0.3">
      <c r="A16" s="2261"/>
      <c r="B16" s="1218">
        <v>2</v>
      </c>
      <c r="C16" s="1301"/>
      <c r="D16" s="1323"/>
      <c r="E16" s="1321"/>
      <c r="F16" s="1312"/>
      <c r="G16" s="1367"/>
      <c r="H16" s="1314"/>
      <c r="I16" s="1315"/>
      <c r="J16" s="1316"/>
      <c r="K16" s="1317"/>
      <c r="L16" s="1318"/>
      <c r="M16" s="1319"/>
      <c r="N16" s="1319"/>
      <c r="O16" s="1312"/>
      <c r="P16" s="1313"/>
      <c r="Q16" s="1320"/>
      <c r="R16" s="1241"/>
      <c r="S16" s="1232"/>
      <c r="T16" s="1208"/>
      <c r="U16" s="1225"/>
      <c r="V16" s="289"/>
      <c r="W16" s="289">
        <v>7</v>
      </c>
      <c r="X16" s="1221"/>
      <c r="Y16" s="1298"/>
      <c r="Z16" s="1237"/>
      <c r="AA16" s="1242" t="s">
        <v>1081</v>
      </c>
      <c r="AB16" s="1232"/>
      <c r="AC16" s="1208"/>
      <c r="AD16" s="1225"/>
      <c r="AE16" s="289"/>
      <c r="AF16" s="289"/>
      <c r="AG16" s="1221"/>
      <c r="AH16" s="1243"/>
      <c r="AI16" s="1237"/>
      <c r="AJ16" s="1241"/>
      <c r="AK16" s="1232"/>
      <c r="AL16" s="301"/>
      <c r="AM16" s="1225"/>
      <c r="AN16" s="289">
        <v>2</v>
      </c>
      <c r="AO16" s="289">
        <v>17</v>
      </c>
      <c r="AP16" s="1221"/>
      <c r="AQ16" s="1357"/>
      <c r="AR16" s="1237" t="s">
        <v>922</v>
      </c>
      <c r="AS16" s="1241" t="s">
        <v>388</v>
      </c>
      <c r="AT16" s="1232"/>
    </row>
    <row r="17" spans="1:46" ht="66" customHeight="1" x14ac:dyDescent="0.3">
      <c r="A17" s="2260">
        <v>45755</v>
      </c>
      <c r="B17" s="1244">
        <v>1</v>
      </c>
      <c r="C17" s="1219"/>
      <c r="D17" s="1324"/>
      <c r="E17" s="1322"/>
      <c r="F17" s="1306"/>
      <c r="G17" s="1307"/>
      <c r="H17" s="1308"/>
      <c r="I17" s="1309"/>
      <c r="J17" s="1310"/>
      <c r="K17" s="1208"/>
      <c r="L17" s="1311"/>
      <c r="M17" s="263"/>
      <c r="N17" s="263"/>
      <c r="O17" s="1306"/>
      <c r="P17" s="1307"/>
      <c r="Q17" s="1308"/>
      <c r="R17" s="1206"/>
      <c r="S17" s="1232"/>
      <c r="T17" s="1208"/>
      <c r="U17" s="1225"/>
      <c r="V17" s="289"/>
      <c r="W17" s="289">
        <v>9</v>
      </c>
      <c r="X17" s="1221"/>
      <c r="Y17" s="1222"/>
      <c r="Z17" s="1205"/>
      <c r="AA17" s="1242" t="s">
        <v>1081</v>
      </c>
      <c r="AB17" s="1232"/>
      <c r="AC17" s="1208"/>
      <c r="AD17" s="1225"/>
      <c r="AE17" s="289"/>
      <c r="AF17" s="289"/>
      <c r="AG17" s="1221"/>
      <c r="AH17" s="1204"/>
      <c r="AI17" s="1205"/>
      <c r="AJ17" s="1206"/>
      <c r="AK17" s="1232"/>
      <c r="AL17" s="301"/>
      <c r="AM17" s="1225"/>
      <c r="AN17" s="289"/>
      <c r="AO17" s="1344"/>
      <c r="AP17" s="1358"/>
      <c r="AQ17" s="1242"/>
      <c r="AR17" s="1206"/>
      <c r="AS17" s="1228"/>
      <c r="AT17" s="1232"/>
    </row>
    <row r="18" spans="1:46" ht="49.5" customHeight="1" x14ac:dyDescent="0.3">
      <c r="A18" s="2261"/>
      <c r="B18" s="1218">
        <v>2</v>
      </c>
      <c r="C18" s="1219"/>
      <c r="D18" s="1220"/>
      <c r="E18" s="1220"/>
      <c r="F18" s="1221"/>
      <c r="G18" s="1222"/>
      <c r="H18" s="1245"/>
      <c r="I18" s="1223"/>
      <c r="J18" s="1232"/>
      <c r="K18" s="1208"/>
      <c r="L18" s="1225"/>
      <c r="M18" s="289"/>
      <c r="N18" s="289"/>
      <c r="O18" s="1221"/>
      <c r="P18" s="1222"/>
      <c r="Q18" s="1206"/>
      <c r="R18" s="1223"/>
      <c r="S18" s="1232"/>
      <c r="T18" s="1208"/>
      <c r="U18" s="1225"/>
      <c r="V18" s="289"/>
      <c r="W18" s="1220"/>
      <c r="X18" s="1221"/>
      <c r="Y18" s="1222"/>
      <c r="Z18" s="1206"/>
      <c r="AA18" s="1228"/>
      <c r="AB18" s="1232"/>
      <c r="AC18" s="1208"/>
      <c r="AD18" s="1225"/>
      <c r="AE18" s="289"/>
      <c r="AF18" s="289"/>
      <c r="AG18" s="1221"/>
      <c r="AH18" s="1222"/>
      <c r="AI18" s="1206"/>
      <c r="AJ18" s="1205"/>
      <c r="AK18" s="1232"/>
      <c r="AL18" s="301"/>
      <c r="AM18" s="1225"/>
      <c r="AN18" s="289"/>
      <c r="AO18" s="1344"/>
      <c r="AP18" s="1351"/>
      <c r="AQ18" s="1392"/>
      <c r="AR18" s="1237"/>
      <c r="AS18" s="1368"/>
      <c r="AT18" s="1232"/>
    </row>
    <row r="19" spans="1:46" ht="33.6" customHeight="1" x14ac:dyDescent="0.3">
      <c r="A19" s="2260">
        <v>45756</v>
      </c>
      <c r="B19" s="1218">
        <v>1</v>
      </c>
      <c r="C19" s="1208"/>
      <c r="D19" s="1220"/>
      <c r="E19" s="1220"/>
      <c r="F19" s="1221"/>
      <c r="G19" s="1246"/>
      <c r="H19" s="289"/>
      <c r="I19" s="1393"/>
      <c r="J19" s="1232"/>
      <c r="K19" s="1208"/>
      <c r="L19" s="1225"/>
      <c r="M19" s="289"/>
      <c r="N19" s="289"/>
      <c r="O19" s="1221"/>
      <c r="P19" s="1225"/>
      <c r="Q19" s="289"/>
      <c r="R19" s="289"/>
      <c r="S19" s="1232"/>
      <c r="T19" s="1208"/>
      <c r="U19" s="1225"/>
      <c r="V19" s="289"/>
      <c r="W19" s="289">
        <v>26</v>
      </c>
      <c r="X19" s="1221"/>
      <c r="Y19" s="1225"/>
      <c r="Z19" s="407"/>
      <c r="AA19" s="1242" t="s">
        <v>1081</v>
      </c>
      <c r="AB19" s="1232"/>
      <c r="AC19" s="1208"/>
      <c r="AD19" s="1225"/>
      <c r="AE19" s="289"/>
      <c r="AF19" s="289"/>
      <c r="AG19" s="1221"/>
      <c r="AH19" s="1225"/>
      <c r="AI19" s="289"/>
      <c r="AJ19" s="1228"/>
      <c r="AK19" s="1232"/>
      <c r="AL19" s="301"/>
      <c r="AM19" s="1225"/>
      <c r="AN19" s="289"/>
      <c r="AO19" s="289"/>
      <c r="AP19" s="1221"/>
      <c r="AQ19" s="1225"/>
      <c r="AR19" s="289"/>
      <c r="AS19" s="1206"/>
      <c r="AT19" s="1232"/>
    </row>
    <row r="20" spans="1:46" ht="44.45" customHeight="1" x14ac:dyDescent="0.3">
      <c r="A20" s="2261"/>
      <c r="B20" s="1218">
        <v>2</v>
      </c>
      <c r="C20" s="1219"/>
      <c r="D20" s="1220"/>
      <c r="E20" s="1220"/>
      <c r="F20" s="1221"/>
      <c r="G20" s="1246"/>
      <c r="H20" s="407"/>
      <c r="I20" s="1393"/>
      <c r="J20" s="1232"/>
      <c r="K20" s="1208"/>
      <c r="L20" s="1225">
        <v>50</v>
      </c>
      <c r="M20" s="289"/>
      <c r="N20" s="289"/>
      <c r="O20" s="1221"/>
      <c r="P20" s="1246" t="s">
        <v>1082</v>
      </c>
      <c r="Q20" s="407"/>
      <c r="R20" s="1223"/>
      <c r="S20" s="1232"/>
      <c r="T20" s="1208"/>
      <c r="U20" s="1225"/>
      <c r="V20" s="289"/>
      <c r="W20" s="289">
        <v>8</v>
      </c>
      <c r="X20" s="1221"/>
      <c r="Y20" s="1246"/>
      <c r="Z20" s="407"/>
      <c r="AA20" s="1206" t="s">
        <v>1081</v>
      </c>
      <c r="AB20" s="1232"/>
      <c r="AC20" s="1208"/>
      <c r="AD20" s="1225"/>
      <c r="AE20" s="289"/>
      <c r="AF20" s="289"/>
      <c r="AG20" s="1221"/>
      <c r="AH20" s="1246"/>
      <c r="AI20" s="407"/>
      <c r="AJ20" s="1223"/>
      <c r="AK20" s="1232"/>
      <c r="AL20" s="301"/>
      <c r="AM20" s="1225"/>
      <c r="AN20" s="289"/>
      <c r="AO20" s="289"/>
      <c r="AP20" s="1221"/>
      <c r="AQ20" s="1246"/>
      <c r="AR20" s="407"/>
      <c r="AS20" s="1223"/>
      <c r="AT20" s="1232"/>
    </row>
    <row r="21" spans="1:46" ht="39" customHeight="1" x14ac:dyDescent="0.3">
      <c r="A21" s="2260">
        <v>45757</v>
      </c>
      <c r="B21" s="1218">
        <v>1</v>
      </c>
      <c r="C21" s="1219"/>
      <c r="D21" s="1220"/>
      <c r="E21" s="1220"/>
      <c r="F21" s="1221"/>
      <c r="G21" s="1247"/>
      <c r="H21" s="1205"/>
      <c r="I21" s="1393"/>
      <c r="J21" s="1248"/>
      <c r="K21" s="1208"/>
      <c r="L21" s="1225"/>
      <c r="M21" s="289"/>
      <c r="N21" s="289"/>
      <c r="O21" s="1221"/>
      <c r="P21" s="1225"/>
      <c r="Q21" s="407"/>
      <c r="R21" s="289"/>
      <c r="S21" s="1248"/>
      <c r="T21" s="1208"/>
      <c r="U21" s="1225"/>
      <c r="V21" s="289"/>
      <c r="W21" s="289">
        <v>13</v>
      </c>
      <c r="X21" s="1221"/>
      <c r="Y21" s="1246"/>
      <c r="Z21" s="289"/>
      <c r="AA21" s="1206" t="s">
        <v>1081</v>
      </c>
      <c r="AB21" s="1248"/>
      <c r="AC21" s="1208"/>
      <c r="AD21" s="1225"/>
      <c r="AE21" s="289"/>
      <c r="AF21" s="289"/>
      <c r="AG21" s="1221"/>
      <c r="AH21" s="1225"/>
      <c r="AI21" s="289"/>
      <c r="AJ21" s="1228"/>
      <c r="AK21" s="1248"/>
      <c r="AL21" s="301"/>
      <c r="AM21" s="1225"/>
      <c r="AN21" s="289"/>
      <c r="AO21" s="289"/>
      <c r="AP21" s="1221"/>
      <c r="AQ21" s="1225"/>
      <c r="AR21" s="407"/>
      <c r="AS21" s="1228"/>
      <c r="AT21" s="1248"/>
    </row>
    <row r="22" spans="1:46" ht="49.9" customHeight="1" x14ac:dyDescent="0.3">
      <c r="A22" s="2261"/>
      <c r="B22" s="1218">
        <v>2</v>
      </c>
      <c r="C22" s="1219"/>
      <c r="D22" s="1220"/>
      <c r="E22" s="1220"/>
      <c r="F22" s="1221"/>
      <c r="G22" s="1249"/>
      <c r="H22" s="1206"/>
      <c r="I22" s="1223"/>
      <c r="J22" s="1232"/>
      <c r="K22" s="1208"/>
      <c r="L22" s="1225"/>
      <c r="M22" s="289"/>
      <c r="N22" s="289"/>
      <c r="O22" s="1221"/>
      <c r="P22" s="1390"/>
      <c r="Q22" s="1206"/>
      <c r="R22" s="289"/>
      <c r="S22" s="1232"/>
      <c r="T22" s="1208"/>
      <c r="U22" s="1225"/>
      <c r="V22" s="289"/>
      <c r="W22" s="289"/>
      <c r="X22" s="1221"/>
      <c r="Y22" s="1246"/>
      <c r="Z22" s="1206"/>
      <c r="AA22" s="1228"/>
      <c r="AB22" s="1232"/>
      <c r="AC22" s="1208"/>
      <c r="AD22" s="1225"/>
      <c r="AE22" s="289"/>
      <c r="AF22" s="289"/>
      <c r="AG22" s="1221"/>
      <c r="AH22" s="1225"/>
      <c r="AI22" s="289"/>
      <c r="AJ22" s="1332"/>
      <c r="AK22" s="1335"/>
      <c r="AL22" s="301"/>
      <c r="AM22" s="1225"/>
      <c r="AN22" s="289"/>
      <c r="AO22" s="289"/>
      <c r="AP22" s="1221"/>
      <c r="AQ22" s="1225"/>
      <c r="AR22" s="1206"/>
      <c r="AS22" s="353"/>
      <c r="AT22" s="1232"/>
    </row>
    <row r="23" spans="1:46" ht="47.45" customHeight="1" x14ac:dyDescent="0.3">
      <c r="A23" s="2260">
        <v>45758</v>
      </c>
      <c r="B23" s="1244">
        <v>1</v>
      </c>
      <c r="C23" s="1219"/>
      <c r="D23" s="1220"/>
      <c r="E23" s="1220"/>
      <c r="F23" s="1221"/>
      <c r="G23" s="1204"/>
      <c r="H23" s="1205"/>
      <c r="I23" s="1393"/>
      <c r="J23" s="1232"/>
      <c r="K23" s="1208"/>
      <c r="L23" s="1225"/>
      <c r="M23" s="289"/>
      <c r="N23" s="289"/>
      <c r="O23" s="1221"/>
      <c r="P23" s="1204"/>
      <c r="Q23" s="1205"/>
      <c r="R23" s="1206"/>
      <c r="S23" s="1232"/>
      <c r="T23" s="1208"/>
      <c r="U23" s="1225"/>
      <c r="V23" s="289"/>
      <c r="W23" s="289"/>
      <c r="X23" s="1221"/>
      <c r="Y23" s="1246"/>
      <c r="Z23" s="1223"/>
      <c r="AA23" s="1242"/>
      <c r="AB23" s="1232"/>
      <c r="AC23" s="1208"/>
      <c r="AD23" s="1225"/>
      <c r="AE23" s="289"/>
      <c r="AF23" s="1226"/>
      <c r="AG23" s="1221"/>
      <c r="AH23" s="1225"/>
      <c r="AI23" s="1205"/>
      <c r="AJ23" s="1345"/>
      <c r="AK23" s="1335"/>
      <c r="AL23" s="301"/>
      <c r="AM23" s="1225"/>
      <c r="AN23" s="289"/>
      <c r="AO23" s="289"/>
      <c r="AP23" s="1221"/>
      <c r="AQ23" s="289"/>
      <c r="AR23" s="1205"/>
      <c r="AS23" s="1234"/>
      <c r="AT23" s="1232"/>
    </row>
    <row r="24" spans="1:46" ht="49.9" customHeight="1" x14ac:dyDescent="0.3">
      <c r="A24" s="2261"/>
      <c r="B24" s="1218">
        <v>2</v>
      </c>
      <c r="C24" s="1219"/>
      <c r="D24" s="1220"/>
      <c r="E24" s="1220"/>
      <c r="F24" s="1221"/>
      <c r="G24" s="1204"/>
      <c r="H24" s="1206"/>
      <c r="I24" s="1393"/>
      <c r="J24" s="1232"/>
      <c r="K24" s="1208"/>
      <c r="L24" s="1225"/>
      <c r="M24" s="289"/>
      <c r="N24" s="289"/>
      <c r="O24" s="1221"/>
      <c r="P24" s="1204"/>
      <c r="Q24" s="1205"/>
      <c r="R24" s="1206"/>
      <c r="S24" s="1232"/>
      <c r="T24" s="1300"/>
      <c r="U24" s="1226">
        <v>36</v>
      </c>
      <c r="V24" s="1299"/>
      <c r="W24" s="1242"/>
      <c r="X24" s="1221"/>
      <c r="Y24" s="1223"/>
      <c r="Z24" s="1205"/>
      <c r="AA24" s="1228"/>
      <c r="AB24" s="1232" t="s">
        <v>1035</v>
      </c>
      <c r="AC24" s="1208"/>
      <c r="AD24" s="1225"/>
      <c r="AE24" s="289"/>
      <c r="AF24" s="1226"/>
      <c r="AG24" s="1221"/>
      <c r="AH24" s="1223"/>
      <c r="AI24" s="1205"/>
      <c r="AJ24" s="1206"/>
      <c r="AK24" s="1232"/>
      <c r="AL24" s="301"/>
      <c r="AM24" s="1225"/>
      <c r="AN24" s="289"/>
      <c r="AO24" s="289"/>
      <c r="AP24" s="1221"/>
      <c r="AQ24" s="1205"/>
      <c r="AR24" s="1205"/>
      <c r="AS24" s="1232"/>
      <c r="AT24" s="1232"/>
    </row>
    <row r="25" spans="1:46" ht="53.45" customHeight="1" x14ac:dyDescent="0.3">
      <c r="A25" s="2260">
        <v>45759</v>
      </c>
      <c r="B25" s="1218">
        <v>1</v>
      </c>
      <c r="C25" s="1219"/>
      <c r="D25" s="1220"/>
      <c r="E25" s="1220"/>
      <c r="F25" s="1221"/>
      <c r="G25" s="1204"/>
      <c r="H25" s="1205"/>
      <c r="I25" s="1223"/>
      <c r="J25" s="1232"/>
      <c r="K25" s="1208"/>
      <c r="L25" s="1225"/>
      <c r="M25" s="289"/>
      <c r="N25" s="289"/>
      <c r="O25" s="1221"/>
      <c r="P25" s="1225"/>
      <c r="Q25" s="1205"/>
      <c r="R25" s="289"/>
      <c r="S25" s="1232"/>
      <c r="T25" s="1208"/>
      <c r="U25" s="1225"/>
      <c r="V25" s="289"/>
      <c r="W25" s="289"/>
      <c r="X25" s="1221"/>
      <c r="Y25" s="1246"/>
      <c r="Z25" s="407"/>
      <c r="AA25" s="1206"/>
      <c r="AB25" s="1232"/>
      <c r="AC25" s="1208"/>
      <c r="AD25" s="1225"/>
      <c r="AE25" s="289"/>
      <c r="AF25" s="289"/>
      <c r="AG25" s="1221"/>
      <c r="AH25" s="289"/>
      <c r="AI25" s="407"/>
      <c r="AJ25" s="1206"/>
      <c r="AK25" s="1232"/>
      <c r="AL25" s="301"/>
      <c r="AM25" s="1225"/>
      <c r="AN25" s="289"/>
      <c r="AO25" s="289"/>
      <c r="AP25" s="1221"/>
      <c r="AQ25" s="289"/>
      <c r="AR25" s="289"/>
      <c r="AS25" s="1206"/>
      <c r="AT25" s="1232"/>
    </row>
    <row r="26" spans="1:46" ht="42" customHeight="1" x14ac:dyDescent="0.3">
      <c r="A26" s="2261"/>
      <c r="B26" s="1218">
        <v>2</v>
      </c>
      <c r="C26" s="1219"/>
      <c r="D26" s="1220"/>
      <c r="E26" s="1220"/>
      <c r="F26" s="1221"/>
      <c r="G26" s="1204"/>
      <c r="H26" s="1206"/>
      <c r="I26" s="1223"/>
      <c r="J26" s="1232"/>
      <c r="K26" s="1208"/>
      <c r="L26" s="1225">
        <v>43</v>
      </c>
      <c r="M26" s="289"/>
      <c r="N26" s="289"/>
      <c r="O26" s="1221"/>
      <c r="P26" s="1204" t="s">
        <v>1086</v>
      </c>
      <c r="Q26" s="1206"/>
      <c r="R26" s="1234"/>
      <c r="S26" s="1232"/>
      <c r="T26" s="1208"/>
      <c r="U26" s="1225"/>
      <c r="V26" s="1220"/>
      <c r="W26" s="289"/>
      <c r="X26" s="1221"/>
      <c r="Y26" s="1223"/>
      <c r="Z26" s="1206"/>
      <c r="AA26" s="1228"/>
      <c r="AB26" s="1232"/>
      <c r="AC26" s="1208"/>
      <c r="AD26" s="1225"/>
      <c r="AE26" s="1220"/>
      <c r="AF26" s="289"/>
      <c r="AG26" s="1221"/>
      <c r="AH26" s="1223"/>
      <c r="AI26" s="1206"/>
      <c r="AJ26" s="1206"/>
      <c r="AK26" s="1232"/>
      <c r="AL26" s="301"/>
      <c r="AM26" s="1225"/>
      <c r="AN26" s="1220"/>
      <c r="AO26" s="289"/>
      <c r="AP26" s="1221"/>
      <c r="AQ26" s="1204"/>
      <c r="AR26" s="1206"/>
      <c r="AS26" s="1206"/>
      <c r="AT26" s="1232"/>
    </row>
    <row r="27" spans="1:46" ht="49.9" customHeight="1" x14ac:dyDescent="0.3">
      <c r="A27" s="2260">
        <v>45760</v>
      </c>
      <c r="B27" s="1244">
        <v>1</v>
      </c>
      <c r="C27" s="1219"/>
      <c r="D27" s="1220"/>
      <c r="E27" s="1220"/>
      <c r="F27" s="1221"/>
      <c r="G27" s="1204"/>
      <c r="H27" s="1205"/>
      <c r="I27" s="1393"/>
      <c r="J27" s="1232"/>
      <c r="K27" s="1208"/>
      <c r="L27" s="1225"/>
      <c r="M27" s="289"/>
      <c r="N27" s="289"/>
      <c r="O27" s="1221"/>
      <c r="P27" s="1204"/>
      <c r="Q27" s="1205"/>
      <c r="R27" s="1206"/>
      <c r="S27" s="1232"/>
      <c r="T27" s="1208"/>
      <c r="U27" s="1225"/>
      <c r="V27" s="289"/>
      <c r="W27" s="289"/>
      <c r="X27" s="1221"/>
      <c r="Y27" s="1204"/>
      <c r="Z27" s="1206"/>
      <c r="AA27" s="1242"/>
      <c r="AB27" s="1232"/>
      <c r="AC27" s="1208"/>
      <c r="AD27" s="1225"/>
      <c r="AE27" s="289"/>
      <c r="AF27" s="289"/>
      <c r="AG27" s="1221"/>
      <c r="AH27" s="1204"/>
      <c r="AI27" s="407"/>
      <c r="AJ27" s="1206"/>
      <c r="AK27" s="1232"/>
      <c r="AL27" s="301"/>
      <c r="AM27" s="1225"/>
      <c r="AN27" s="289"/>
      <c r="AO27" s="289"/>
      <c r="AP27" s="1221"/>
      <c r="AQ27" s="407"/>
      <c r="AR27" s="289"/>
      <c r="AS27" s="1206"/>
      <c r="AT27" s="1232"/>
    </row>
    <row r="28" spans="1:46" ht="72" customHeight="1" x14ac:dyDescent="0.3">
      <c r="A28" s="2261"/>
      <c r="B28" s="1218">
        <v>2</v>
      </c>
      <c r="C28" s="1219"/>
      <c r="D28" s="1220"/>
      <c r="E28" s="1220"/>
      <c r="F28" s="1221"/>
      <c r="G28" s="1206"/>
      <c r="H28" s="1206"/>
      <c r="I28" s="1234"/>
      <c r="J28" s="1232"/>
      <c r="K28" s="1208"/>
      <c r="L28" s="1225"/>
      <c r="M28" s="289">
        <v>97</v>
      </c>
      <c r="N28" s="289"/>
      <c r="O28" s="1221"/>
      <c r="P28" s="1206"/>
      <c r="Q28" s="1206" t="s">
        <v>664</v>
      </c>
      <c r="R28" s="1206"/>
      <c r="S28" s="1232"/>
      <c r="T28" s="1208"/>
      <c r="U28" s="1225"/>
      <c r="V28" s="289"/>
      <c r="W28" s="1208">
        <v>10</v>
      </c>
      <c r="X28" s="1221"/>
      <c r="Y28" s="1206"/>
      <c r="Z28" s="289"/>
      <c r="AA28" s="1228" t="s">
        <v>1085</v>
      </c>
      <c r="AB28" s="1232"/>
      <c r="AC28" s="1208"/>
      <c r="AD28" s="1225"/>
      <c r="AE28" s="289"/>
      <c r="AF28" s="289"/>
      <c r="AG28" s="1221"/>
      <c r="AH28" s="1204"/>
      <c r="AI28" s="407"/>
      <c r="AJ28" s="1228"/>
      <c r="AK28" s="1232"/>
      <c r="AL28" s="301"/>
      <c r="AM28" s="1225"/>
      <c r="AN28" s="289"/>
      <c r="AO28" s="289"/>
      <c r="AP28" s="1221"/>
      <c r="AQ28" s="407"/>
      <c r="AR28" s="289"/>
      <c r="AS28" s="1206"/>
      <c r="AT28" s="1232"/>
    </row>
    <row r="29" spans="1:46" ht="66" customHeight="1" x14ac:dyDescent="0.3">
      <c r="A29" s="2260">
        <v>45761</v>
      </c>
      <c r="B29" s="1218">
        <v>1</v>
      </c>
      <c r="C29" s="1219"/>
      <c r="D29" s="1220"/>
      <c r="E29" s="1220"/>
      <c r="F29" s="1221"/>
      <c r="G29" s="1206"/>
      <c r="H29" s="1205"/>
      <c r="I29" s="1234"/>
      <c r="J29" s="1232"/>
      <c r="K29" s="1208"/>
      <c r="L29" s="1225"/>
      <c r="M29" s="289"/>
      <c r="N29" s="289"/>
      <c r="O29" s="1221"/>
      <c r="P29" s="1204"/>
      <c r="Q29" s="1206"/>
      <c r="R29" s="1206"/>
      <c r="S29" s="1232"/>
      <c r="T29" s="1208"/>
      <c r="U29" s="1225"/>
      <c r="V29" s="289"/>
      <c r="W29" s="289"/>
      <c r="X29" s="1221"/>
      <c r="Y29" s="1206"/>
      <c r="Z29" s="1205"/>
      <c r="AA29" s="1228"/>
      <c r="AB29" s="1232"/>
      <c r="AC29" s="1208"/>
      <c r="AD29" s="1225"/>
      <c r="AE29" s="289"/>
      <c r="AF29" s="289"/>
      <c r="AG29" s="1221"/>
      <c r="AH29" s="1204"/>
      <c r="AI29" s="1205"/>
      <c r="AJ29" s="289"/>
      <c r="AK29" s="1232"/>
      <c r="AL29" s="301"/>
      <c r="AM29" s="1225"/>
      <c r="AN29" s="289"/>
      <c r="AO29" s="289"/>
      <c r="AP29" s="289"/>
      <c r="AQ29" s="407"/>
      <c r="AR29" s="1205"/>
      <c r="AS29" s="353"/>
      <c r="AT29" s="1232"/>
    </row>
    <row r="30" spans="1:46" ht="39.6" customHeight="1" x14ac:dyDescent="0.3">
      <c r="A30" s="2261"/>
      <c r="B30" s="1244">
        <v>2</v>
      </c>
      <c r="C30" s="1219"/>
      <c r="D30" s="1220"/>
      <c r="E30" s="1220"/>
      <c r="F30" s="1221"/>
      <c r="G30" s="1206"/>
      <c r="H30" s="1205"/>
      <c r="I30" s="1228"/>
      <c r="J30" s="1232"/>
      <c r="K30" s="1208"/>
      <c r="L30" s="1225"/>
      <c r="M30" s="289"/>
      <c r="N30" s="289"/>
      <c r="O30" s="1221"/>
      <c r="P30" s="1204"/>
      <c r="Q30" s="1206"/>
      <c r="R30" s="1206"/>
      <c r="S30" s="1232"/>
      <c r="T30" s="1208"/>
      <c r="U30" s="1225"/>
      <c r="V30" s="289"/>
      <c r="W30" s="289">
        <v>18</v>
      </c>
      <c r="X30" s="1221"/>
      <c r="Y30" s="1206"/>
      <c r="Z30" s="1336"/>
      <c r="AA30" s="1339" t="s">
        <v>27</v>
      </c>
      <c r="AB30" s="1232"/>
      <c r="AC30" s="1208"/>
      <c r="AD30" s="1225">
        <v>58</v>
      </c>
      <c r="AE30" s="289"/>
      <c r="AF30" s="289"/>
      <c r="AG30" s="1221"/>
      <c r="AH30" s="1204" t="s">
        <v>1084</v>
      </c>
      <c r="AI30" s="1206"/>
      <c r="AJ30" s="289"/>
      <c r="AK30" s="1232"/>
      <c r="AL30" s="301"/>
      <c r="AM30" s="1225">
        <v>210</v>
      </c>
      <c r="AN30" s="289"/>
      <c r="AO30" s="289"/>
      <c r="AP30" s="289"/>
      <c r="AQ30" s="1390" t="s">
        <v>513</v>
      </c>
      <c r="AR30" s="1205"/>
      <c r="AS30" s="353"/>
      <c r="AT30" s="1231"/>
    </row>
    <row r="31" spans="1:46" ht="39.6" customHeight="1" x14ac:dyDescent="0.3">
      <c r="A31" s="2260">
        <v>45762</v>
      </c>
      <c r="B31" s="1218">
        <v>1</v>
      </c>
      <c r="C31" s="1219"/>
      <c r="D31" s="1220"/>
      <c r="E31" s="1220"/>
      <c r="F31" s="1221"/>
      <c r="G31" s="1204"/>
      <c r="H31" s="1332"/>
      <c r="I31" s="1331"/>
      <c r="J31" s="1232"/>
      <c r="K31" s="1208"/>
      <c r="L31" s="1225"/>
      <c r="M31" s="289"/>
      <c r="N31" s="289"/>
      <c r="O31" s="1221"/>
      <c r="P31" s="1226"/>
      <c r="Q31" s="289"/>
      <c r="R31" s="289"/>
      <c r="S31" s="1232"/>
      <c r="T31" s="1208"/>
      <c r="U31" s="1225"/>
      <c r="V31" s="289"/>
      <c r="W31" s="289">
        <v>19</v>
      </c>
      <c r="X31" s="1221"/>
      <c r="Y31" s="1389"/>
      <c r="Z31" s="1338"/>
      <c r="AA31" s="1339" t="s">
        <v>27</v>
      </c>
      <c r="AB31" s="1335"/>
      <c r="AC31" s="1208"/>
      <c r="AD31" s="1225"/>
      <c r="AE31" s="289"/>
      <c r="AF31" s="289"/>
      <c r="AG31" s="1221"/>
      <c r="AH31" s="1204"/>
      <c r="AI31" s="289"/>
      <c r="AJ31" s="289"/>
      <c r="AK31" s="1232"/>
      <c r="AL31" s="301"/>
      <c r="AM31" s="1225"/>
      <c r="AN31" s="289"/>
      <c r="AO31" s="289"/>
      <c r="AP31" s="289"/>
      <c r="AQ31" s="1226"/>
      <c r="AR31" s="1205"/>
      <c r="AS31" s="289"/>
      <c r="AT31" s="1231"/>
    </row>
    <row r="32" spans="1:46" ht="63" customHeight="1" x14ac:dyDescent="0.3">
      <c r="A32" s="2261"/>
      <c r="B32" s="1218">
        <v>2</v>
      </c>
      <c r="C32" s="1330"/>
      <c r="D32" s="1325"/>
      <c r="E32" s="1299"/>
      <c r="F32" s="1325"/>
      <c r="G32" s="1204"/>
      <c r="H32" s="1332"/>
      <c r="I32" s="1331"/>
      <c r="J32" s="1232"/>
      <c r="K32" s="1208"/>
      <c r="L32" s="1225"/>
      <c r="M32" s="289"/>
      <c r="N32" s="289"/>
      <c r="O32" s="289"/>
      <c r="P32" s="1226"/>
      <c r="Q32" s="1332"/>
      <c r="R32" s="1226"/>
      <c r="S32" s="1232"/>
      <c r="T32" s="1208"/>
      <c r="U32" s="1225"/>
      <c r="V32" s="289"/>
      <c r="W32" s="1220">
        <v>21</v>
      </c>
      <c r="X32" s="289"/>
      <c r="Y32" s="1243"/>
      <c r="Z32" s="1342"/>
      <c r="AA32" s="1341" t="s">
        <v>1083</v>
      </c>
      <c r="AB32" s="1335"/>
      <c r="AC32" s="1208"/>
      <c r="AD32" s="1225"/>
      <c r="AE32" s="289"/>
      <c r="AF32" s="1220"/>
      <c r="AG32" s="289"/>
      <c r="AH32" s="1204"/>
      <c r="AI32" s="1332"/>
      <c r="AJ32" s="1331"/>
      <c r="AK32" s="1232"/>
      <c r="AL32" s="301"/>
      <c r="AM32" s="1225"/>
      <c r="AN32" s="289"/>
      <c r="AO32" s="289"/>
      <c r="AP32" s="289"/>
      <c r="AQ32" s="1226"/>
      <c r="AR32" s="1205"/>
      <c r="AS32" s="1393"/>
      <c r="AT32" s="1231"/>
    </row>
    <row r="33" spans="1:46" ht="43.15" customHeight="1" x14ac:dyDescent="0.3">
      <c r="A33" s="2260">
        <v>45763</v>
      </c>
      <c r="B33" s="1218">
        <v>1</v>
      </c>
      <c r="C33" s="1219"/>
      <c r="D33" s="1220"/>
      <c r="E33" s="1220"/>
      <c r="F33" s="1221"/>
      <c r="G33" s="1204"/>
      <c r="H33" s="1332"/>
      <c r="I33" s="1331"/>
      <c r="J33" s="1232"/>
      <c r="K33" s="1208"/>
      <c r="L33" s="1225"/>
      <c r="M33" s="289"/>
      <c r="N33" s="289"/>
      <c r="O33" s="1221"/>
      <c r="P33" s="1226"/>
      <c r="Q33" s="289"/>
      <c r="R33" s="289"/>
      <c r="S33" s="1232"/>
      <c r="T33" s="1208"/>
      <c r="U33" s="1225"/>
      <c r="V33" s="289"/>
      <c r="W33" s="289"/>
      <c r="X33" s="1221"/>
      <c r="Y33" s="1226"/>
      <c r="Z33" s="263"/>
      <c r="AA33" s="1341"/>
      <c r="AB33" s="1232"/>
      <c r="AC33" s="1208"/>
      <c r="AD33" s="1225"/>
      <c r="AE33" s="289"/>
      <c r="AF33" s="289"/>
      <c r="AG33" s="1221"/>
      <c r="AH33" s="1226"/>
      <c r="AI33" s="1343"/>
      <c r="AJ33" s="1331"/>
      <c r="AK33" s="1232"/>
      <c r="AL33" s="301"/>
      <c r="AM33" s="1225"/>
      <c r="AN33" s="289"/>
      <c r="AO33" s="289"/>
      <c r="AP33" s="289"/>
      <c r="AQ33" s="1226"/>
      <c r="AR33" s="1343"/>
      <c r="AS33" s="1226"/>
      <c r="AT33" s="1232"/>
    </row>
    <row r="34" spans="1:46" ht="67.900000000000006" customHeight="1" x14ac:dyDescent="0.3">
      <c r="A34" s="2261"/>
      <c r="B34" s="1244">
        <v>2</v>
      </c>
      <c r="C34" s="1220"/>
      <c r="D34" s="1220"/>
      <c r="E34" s="1220"/>
      <c r="F34" s="1221"/>
      <c r="G34" s="1222"/>
      <c r="H34" s="1206"/>
      <c r="I34" s="1228"/>
      <c r="J34" s="1232"/>
      <c r="K34" s="1208"/>
      <c r="L34" s="1225"/>
      <c r="M34" s="289"/>
      <c r="N34" s="289"/>
      <c r="O34" s="1221"/>
      <c r="P34" s="1226"/>
      <c r="Q34" s="1206"/>
      <c r="R34" s="289"/>
      <c r="S34" s="1232"/>
      <c r="T34" s="1208"/>
      <c r="U34" s="1225"/>
      <c r="V34" s="289"/>
      <c r="W34" s="289"/>
      <c r="X34" s="1221"/>
      <c r="Y34" s="407"/>
      <c r="Z34" s="407"/>
      <c r="AA34" s="1341"/>
      <c r="AB34" s="1232"/>
      <c r="AC34" s="1208"/>
      <c r="AD34" s="1225"/>
      <c r="AE34" s="289"/>
      <c r="AF34" s="289"/>
      <c r="AG34" s="1221"/>
      <c r="AH34" s="1226"/>
      <c r="AI34" s="289"/>
      <c r="AJ34" s="407"/>
      <c r="AK34" s="1232"/>
      <c r="AL34" s="301"/>
      <c r="AM34" s="1225"/>
      <c r="AN34" s="289"/>
      <c r="AO34" s="289"/>
      <c r="AP34" s="289"/>
      <c r="AQ34" s="1226"/>
      <c r="AR34" s="1343"/>
      <c r="AS34" s="1206"/>
      <c r="AT34" s="1232"/>
    </row>
    <row r="35" spans="1:46" ht="51" customHeight="1" x14ac:dyDescent="0.3">
      <c r="A35" s="2260">
        <v>45764</v>
      </c>
      <c r="B35" s="1218">
        <v>1</v>
      </c>
      <c r="C35" s="1220"/>
      <c r="D35" s="1220"/>
      <c r="E35" s="353"/>
      <c r="F35" s="1221"/>
      <c r="G35" s="1246"/>
      <c r="H35" s="1226"/>
      <c r="I35" s="1228"/>
      <c r="J35" s="1232"/>
      <c r="K35" s="1208"/>
      <c r="L35" s="1225"/>
      <c r="M35" s="289"/>
      <c r="N35" s="289"/>
      <c r="O35" s="1221"/>
      <c r="P35" s="1246"/>
      <c r="Q35" s="1206"/>
      <c r="R35" s="1206"/>
      <c r="S35" s="1232"/>
      <c r="T35" s="1208"/>
      <c r="U35" s="1225"/>
      <c r="V35" s="289"/>
      <c r="W35" s="353"/>
      <c r="X35" s="1221"/>
      <c r="Y35" s="1246"/>
      <c r="Z35" s="407"/>
      <c r="AA35" s="1228"/>
      <c r="AB35" s="1232"/>
      <c r="AC35" s="1208"/>
      <c r="AD35" s="1225"/>
      <c r="AE35" s="289"/>
      <c r="AF35" s="289"/>
      <c r="AG35" s="1221"/>
      <c r="AH35" s="1246"/>
      <c r="AI35" s="1344"/>
      <c r="AJ35" s="1393"/>
      <c r="AK35" s="1232"/>
      <c r="AL35" s="301"/>
      <c r="AM35" s="1225"/>
      <c r="AN35" s="289"/>
      <c r="AO35" s="289"/>
      <c r="AP35" s="289"/>
      <c r="AQ35" s="1226"/>
      <c r="AR35" s="1343"/>
      <c r="AS35" s="1389"/>
      <c r="AT35" s="1232"/>
    </row>
    <row r="36" spans="1:46" ht="46.9" customHeight="1" x14ac:dyDescent="0.3">
      <c r="A36" s="2261"/>
      <c r="B36" s="1218">
        <v>2</v>
      </c>
      <c r="C36" s="353"/>
      <c r="D36" s="289"/>
      <c r="E36" s="353">
        <v>10</v>
      </c>
      <c r="F36" s="1221"/>
      <c r="G36" s="1234"/>
      <c r="H36" s="1206"/>
      <c r="I36" s="1234" t="s">
        <v>27</v>
      </c>
      <c r="J36" s="1232"/>
      <c r="K36" s="1208"/>
      <c r="L36" s="1246"/>
      <c r="M36" s="289"/>
      <c r="N36" s="289"/>
      <c r="O36" s="1221"/>
      <c r="P36" s="1246"/>
      <c r="Q36" s="1206"/>
      <c r="R36" s="407"/>
      <c r="S36" s="1232"/>
      <c r="T36" s="1208"/>
      <c r="U36" s="1225"/>
      <c r="V36" s="289"/>
      <c r="W36" s="289"/>
      <c r="X36" s="1221"/>
      <c r="Y36" s="1246"/>
      <c r="Z36" s="1206"/>
      <c r="AA36" s="1228"/>
      <c r="AB36" s="1232"/>
      <c r="AC36" s="1208"/>
      <c r="AD36" s="1225"/>
      <c r="AE36" s="289"/>
      <c r="AF36" s="353"/>
      <c r="AG36" s="1221"/>
      <c r="AH36" s="1246"/>
      <c r="AI36" s="1343"/>
      <c r="AJ36" s="1331"/>
      <c r="AK36" s="1232"/>
      <c r="AL36" s="301"/>
      <c r="AM36" s="1225"/>
      <c r="AN36" s="289"/>
      <c r="AO36" s="289"/>
      <c r="AP36" s="289"/>
      <c r="AQ36" s="1226"/>
      <c r="AR36" s="1343"/>
      <c r="AS36" s="1390"/>
      <c r="AT36" s="1232"/>
    </row>
    <row r="37" spans="1:46" ht="59.45" customHeight="1" x14ac:dyDescent="0.3">
      <c r="A37" s="2260">
        <v>45765</v>
      </c>
      <c r="B37" s="1244">
        <v>1</v>
      </c>
      <c r="C37" s="353"/>
      <c r="D37" s="1220"/>
      <c r="E37" s="353"/>
      <c r="F37" s="1221"/>
      <c r="G37" s="1234"/>
      <c r="H37" s="1390"/>
      <c r="I37" s="1223"/>
      <c r="J37" s="1232"/>
      <c r="K37" s="1208"/>
      <c r="L37" s="1225"/>
      <c r="M37" s="289"/>
      <c r="N37" s="289"/>
      <c r="O37" s="1221"/>
      <c r="P37" s="1226"/>
      <c r="Q37" s="1206"/>
      <c r="R37" s="289"/>
      <c r="S37" s="1232"/>
      <c r="T37" s="1208"/>
      <c r="U37" s="1225"/>
      <c r="V37" s="289"/>
      <c r="W37" s="289">
        <v>19</v>
      </c>
      <c r="X37" s="1221"/>
      <c r="Y37" s="1226"/>
      <c r="Z37" s="407"/>
      <c r="AA37" s="1228" t="s">
        <v>27</v>
      </c>
      <c r="AB37" s="1232"/>
      <c r="AC37" s="1208"/>
      <c r="AD37" s="1225"/>
      <c r="AE37" s="289"/>
      <c r="AF37" s="289"/>
      <c r="AG37" s="1221"/>
      <c r="AH37" s="1390"/>
      <c r="AI37" s="289"/>
      <c r="AJ37" s="1228"/>
      <c r="AK37" s="1232"/>
      <c r="AL37" s="301"/>
      <c r="AM37" s="1225"/>
      <c r="AN37" s="289"/>
      <c r="AO37" s="289"/>
      <c r="AP37" s="289"/>
      <c r="AQ37" s="1226"/>
      <c r="AR37" s="1343"/>
      <c r="AS37" s="1226"/>
      <c r="AT37" s="1232"/>
    </row>
    <row r="38" spans="1:46" ht="55.9" customHeight="1" x14ac:dyDescent="0.3">
      <c r="A38" s="2261"/>
      <c r="B38" s="1218">
        <v>2</v>
      </c>
      <c r="C38" s="353">
        <v>284</v>
      </c>
      <c r="D38" s="1220"/>
      <c r="E38" s="353"/>
      <c r="F38" s="1221"/>
      <c r="G38" s="1234" t="s">
        <v>1077</v>
      </c>
      <c r="H38" s="1390"/>
      <c r="I38" s="1223"/>
      <c r="J38" s="1232"/>
      <c r="K38" s="1208"/>
      <c r="L38" s="1225"/>
      <c r="M38" s="289"/>
      <c r="N38" s="289"/>
      <c r="O38" s="1221">
        <v>13</v>
      </c>
      <c r="P38" s="1390"/>
      <c r="Q38" s="1390"/>
      <c r="R38" s="289"/>
      <c r="S38" s="1232" t="s">
        <v>317</v>
      </c>
      <c r="T38" s="1208"/>
      <c r="U38" s="1225">
        <v>245</v>
      </c>
      <c r="V38" s="289"/>
      <c r="W38" s="289"/>
      <c r="X38" s="1221"/>
      <c r="Y38" s="1390" t="s">
        <v>1077</v>
      </c>
      <c r="Z38" s="407"/>
      <c r="AA38" s="1228"/>
      <c r="AB38" s="1232"/>
      <c r="AC38" s="1208"/>
      <c r="AD38" s="1225"/>
      <c r="AE38" s="289"/>
      <c r="AF38" s="289"/>
      <c r="AG38" s="1221"/>
      <c r="AH38" s="1390"/>
      <c r="AI38" s="289"/>
      <c r="AJ38" s="1228"/>
      <c r="AK38" s="1232"/>
      <c r="AL38" s="301"/>
      <c r="AM38" s="1225"/>
      <c r="AN38" s="289"/>
      <c r="AO38" s="289"/>
      <c r="AP38" s="289"/>
      <c r="AQ38" s="1226"/>
      <c r="AR38" s="1343"/>
      <c r="AS38" s="1390"/>
      <c r="AT38" s="1232"/>
    </row>
    <row r="39" spans="1:46" ht="70.900000000000006" customHeight="1" x14ac:dyDescent="0.3">
      <c r="A39" s="2260">
        <v>45766</v>
      </c>
      <c r="B39" s="1218">
        <v>1</v>
      </c>
      <c r="C39" s="353"/>
      <c r="D39" s="1220"/>
      <c r="E39" s="1220"/>
      <c r="F39" s="1221"/>
      <c r="G39" s="1234"/>
      <c r="H39" s="1390"/>
      <c r="I39" s="1223"/>
      <c r="J39" s="1232"/>
      <c r="K39" s="1208"/>
      <c r="L39" s="1225"/>
      <c r="M39" s="289"/>
      <c r="N39" s="289"/>
      <c r="O39" s="1221"/>
      <c r="P39" s="1234"/>
      <c r="Q39" s="1206"/>
      <c r="R39" s="289"/>
      <c r="S39" s="1232"/>
      <c r="T39" s="1208"/>
      <c r="U39" s="1225"/>
      <c r="V39" s="289"/>
      <c r="W39" s="289">
        <v>10</v>
      </c>
      <c r="X39" s="1221"/>
      <c r="Y39" s="1226"/>
      <c r="Z39" s="1206"/>
      <c r="AA39" s="1228" t="s">
        <v>27</v>
      </c>
      <c r="AB39" s="1232"/>
      <c r="AC39" s="1208"/>
      <c r="AD39" s="1225"/>
      <c r="AE39" s="289"/>
      <c r="AF39" s="289"/>
      <c r="AG39" s="1221"/>
      <c r="AH39" s="1234"/>
      <c r="AI39" s="1205"/>
      <c r="AJ39" s="1228"/>
      <c r="AK39" s="1232"/>
      <c r="AL39" s="301"/>
      <c r="AM39" s="1225"/>
      <c r="AN39" s="289"/>
      <c r="AO39" s="289"/>
      <c r="AP39" s="289">
        <v>25</v>
      </c>
      <c r="AQ39" s="1226"/>
      <c r="AR39" s="1343"/>
      <c r="AS39" s="1331"/>
      <c r="AT39" s="1232" t="s">
        <v>331</v>
      </c>
    </row>
    <row r="40" spans="1:46" ht="72.599999999999994" customHeight="1" x14ac:dyDescent="0.3">
      <c r="A40" s="2261"/>
      <c r="B40" s="1218">
        <v>2</v>
      </c>
      <c r="C40" s="1220"/>
      <c r="D40" s="1220"/>
      <c r="E40" s="1220"/>
      <c r="F40" s="1221"/>
      <c r="G40" s="1234"/>
      <c r="H40" s="1390"/>
      <c r="I40" s="1223"/>
      <c r="J40" s="1232"/>
      <c r="K40" s="1208"/>
      <c r="L40" s="1225"/>
      <c r="M40" s="289">
        <v>39</v>
      </c>
      <c r="N40" s="289"/>
      <c r="O40" s="1221"/>
      <c r="P40" s="1204"/>
      <c r="Q40" s="1205" t="s">
        <v>1087</v>
      </c>
      <c r="R40" s="1234"/>
      <c r="S40" s="1232"/>
      <c r="T40" s="1208"/>
      <c r="U40" s="1225"/>
      <c r="V40" s="289"/>
      <c r="W40" s="289"/>
      <c r="X40" s="1221"/>
      <c r="Y40" s="1390"/>
      <c r="Z40" s="289"/>
      <c r="AA40" s="1228"/>
      <c r="AB40" s="1232"/>
      <c r="AC40" s="1208"/>
      <c r="AD40" s="1225"/>
      <c r="AE40" s="289"/>
      <c r="AF40" s="289"/>
      <c r="AG40" s="1221"/>
      <c r="AH40" s="1246"/>
      <c r="AI40" s="1206"/>
      <c r="AJ40" s="1228"/>
      <c r="AK40" s="1232"/>
      <c r="AL40" s="301"/>
      <c r="AM40" s="1246"/>
      <c r="AN40" s="289"/>
      <c r="AO40" s="289"/>
      <c r="AP40" s="289"/>
      <c r="AQ40" s="1226"/>
      <c r="AR40" s="1343"/>
      <c r="AS40" s="1234"/>
      <c r="AT40" s="1232"/>
    </row>
    <row r="41" spans="1:46" ht="39.6" customHeight="1" x14ac:dyDescent="0.3">
      <c r="A41" s="2260">
        <v>45767</v>
      </c>
      <c r="B41" s="1218">
        <v>1</v>
      </c>
      <c r="C41" s="1219"/>
      <c r="D41" s="1220"/>
      <c r="E41" s="1220"/>
      <c r="F41" s="1221"/>
      <c r="G41" s="1204"/>
      <c r="H41" s="1206"/>
      <c r="I41" s="1223"/>
      <c r="J41" s="1232"/>
      <c r="K41" s="1208"/>
      <c r="L41" s="1225"/>
      <c r="M41" s="289"/>
      <c r="N41" s="289"/>
      <c r="O41" s="1221"/>
      <c r="P41" s="1226"/>
      <c r="Q41" s="289"/>
      <c r="R41" s="1234"/>
      <c r="S41" s="1232"/>
      <c r="T41" s="1208"/>
      <c r="U41" s="1225"/>
      <c r="V41" s="289"/>
      <c r="W41" s="289">
        <v>25</v>
      </c>
      <c r="X41" s="1221"/>
      <c r="Y41" s="1226"/>
      <c r="Z41" s="407"/>
      <c r="AA41" s="1228" t="s">
        <v>27</v>
      </c>
      <c r="AB41" s="1232"/>
      <c r="AC41" s="1208"/>
      <c r="AD41" s="1225"/>
      <c r="AE41" s="289"/>
      <c r="AF41" s="289"/>
      <c r="AG41" s="1221"/>
      <c r="AH41" s="1246"/>
      <c r="AI41" s="407"/>
      <c r="AJ41" s="289"/>
      <c r="AK41" s="1232"/>
      <c r="AL41" s="301"/>
      <c r="AM41" s="1225"/>
      <c r="AN41" s="289"/>
      <c r="AO41" s="289"/>
      <c r="AP41" s="289"/>
      <c r="AQ41" s="1226"/>
      <c r="AR41" s="1343"/>
      <c r="AS41" s="1234"/>
      <c r="AT41" s="1232"/>
    </row>
    <row r="42" spans="1:46" ht="52.9" customHeight="1" x14ac:dyDescent="0.3">
      <c r="A42" s="2261"/>
      <c r="B42" s="1218">
        <v>2</v>
      </c>
      <c r="C42" s="1220"/>
      <c r="D42" s="1220"/>
      <c r="E42" s="1220"/>
      <c r="F42" s="1221"/>
      <c r="G42" s="1204"/>
      <c r="H42" s="1206"/>
      <c r="I42" s="1234"/>
      <c r="J42" s="1232"/>
      <c r="K42" s="1208"/>
      <c r="L42" s="1225"/>
      <c r="M42" s="289"/>
      <c r="N42" s="289"/>
      <c r="O42" s="1221"/>
      <c r="P42" s="1226"/>
      <c r="Q42" s="407"/>
      <c r="R42" s="289"/>
      <c r="S42" s="1232"/>
      <c r="T42" s="1208"/>
      <c r="U42" s="1225"/>
      <c r="V42" s="289"/>
      <c r="W42" s="289"/>
      <c r="X42" s="1221"/>
      <c r="Y42" s="1390"/>
      <c r="Z42" s="289"/>
      <c r="AA42" s="1228"/>
      <c r="AB42" s="1232"/>
      <c r="AC42" s="1208"/>
      <c r="AD42" s="1225"/>
      <c r="AE42" s="289"/>
      <c r="AF42" s="289"/>
      <c r="AG42" s="1221"/>
      <c r="AH42" s="1226"/>
      <c r="AI42" s="407"/>
      <c r="AJ42" s="289"/>
      <c r="AK42" s="1232"/>
      <c r="AL42" s="301"/>
      <c r="AM42" s="1225"/>
      <c r="AN42" s="289"/>
      <c r="AO42" s="289"/>
      <c r="AP42" s="289"/>
      <c r="AQ42" s="1226"/>
      <c r="AR42" s="1343"/>
      <c r="AS42" s="289"/>
      <c r="AT42" s="1232"/>
    </row>
    <row r="43" spans="1:46" ht="65.45" customHeight="1" x14ac:dyDescent="0.3">
      <c r="A43" s="2260">
        <v>45768</v>
      </c>
      <c r="B43" s="1218">
        <v>1</v>
      </c>
      <c r="C43" s="1220"/>
      <c r="D43" s="1220"/>
      <c r="E43" s="1220"/>
      <c r="F43" s="1221"/>
      <c r="G43" s="1205"/>
      <c r="H43" s="1205"/>
      <c r="I43" s="1234"/>
      <c r="J43" s="1232"/>
      <c r="K43" s="1208"/>
      <c r="L43" s="1225"/>
      <c r="M43" s="289"/>
      <c r="N43" s="289"/>
      <c r="O43" s="1221"/>
      <c r="P43" s="1226"/>
      <c r="Q43" s="289"/>
      <c r="R43" s="289"/>
      <c r="S43" s="1232"/>
      <c r="T43" s="1208"/>
      <c r="U43" s="1225"/>
      <c r="V43" s="289"/>
      <c r="W43" s="289"/>
      <c r="X43" s="1221"/>
      <c r="Y43" s="1226"/>
      <c r="Z43" s="289"/>
      <c r="AA43" s="1228"/>
      <c r="AB43" s="1232"/>
      <c r="AC43" s="1208"/>
      <c r="AD43" s="1225"/>
      <c r="AE43" s="289"/>
      <c r="AF43" s="289"/>
      <c r="AG43" s="1221"/>
      <c r="AH43" s="407"/>
      <c r="AI43" s="1206"/>
      <c r="AJ43" s="289"/>
      <c r="AK43" s="1232"/>
      <c r="AL43" s="301"/>
      <c r="AM43" s="1225"/>
      <c r="AN43" s="289"/>
      <c r="AO43" s="289"/>
      <c r="AP43" s="289"/>
      <c r="AQ43" s="407"/>
      <c r="AR43" s="1343"/>
      <c r="AS43" s="289"/>
      <c r="AT43" s="1232"/>
    </row>
    <row r="44" spans="1:46" ht="69" customHeight="1" x14ac:dyDescent="0.3">
      <c r="A44" s="2261"/>
      <c r="B44" s="1218">
        <v>2</v>
      </c>
      <c r="C44" s="1220"/>
      <c r="D44" s="1220"/>
      <c r="E44" s="1220"/>
      <c r="F44" s="1221"/>
      <c r="G44" s="1205"/>
      <c r="H44" s="1390"/>
      <c r="I44" s="1234"/>
      <c r="J44" s="1232"/>
      <c r="K44" s="1208"/>
      <c r="L44" s="1225"/>
      <c r="M44" s="289"/>
      <c r="N44" s="289"/>
      <c r="O44" s="1214"/>
      <c r="P44" s="1390"/>
      <c r="Q44" s="289"/>
      <c r="R44" s="407"/>
      <c r="S44" s="1232"/>
      <c r="T44" s="1208"/>
      <c r="U44" s="1225"/>
      <c r="V44" s="289"/>
      <c r="W44" s="1220"/>
      <c r="X44" s="1221"/>
      <c r="Y44" s="1205"/>
      <c r="Z44" s="1206"/>
      <c r="AA44" s="1228"/>
      <c r="AB44" s="1232"/>
      <c r="AC44" s="1208"/>
      <c r="AD44" s="1225"/>
      <c r="AE44" s="289">
        <v>52</v>
      </c>
      <c r="AF44" s="289"/>
      <c r="AG44" s="1214"/>
      <c r="AH44" s="1226" t="s">
        <v>1088</v>
      </c>
      <c r="AI44" s="407"/>
      <c r="AJ44" s="1228"/>
      <c r="AK44" s="1232"/>
      <c r="AL44" s="301"/>
      <c r="AM44" s="1225"/>
      <c r="AN44" s="289"/>
      <c r="AO44" s="289"/>
      <c r="AP44" s="289"/>
      <c r="AQ44" s="1226"/>
      <c r="AR44" s="407"/>
      <c r="AS44" s="407"/>
      <c r="AT44" s="1232"/>
    </row>
    <row r="45" spans="1:46" ht="69" customHeight="1" x14ac:dyDescent="0.3">
      <c r="A45" s="2260">
        <v>45769</v>
      </c>
      <c r="B45" s="1218">
        <v>1</v>
      </c>
      <c r="C45" s="1220"/>
      <c r="D45" s="1220"/>
      <c r="E45" s="1220"/>
      <c r="F45" s="1221">
        <v>89</v>
      </c>
      <c r="G45" s="1205"/>
      <c r="H45" s="1205"/>
      <c r="I45" s="1234"/>
      <c r="J45" s="1232" t="s">
        <v>975</v>
      </c>
      <c r="K45" s="1208"/>
      <c r="L45" s="1225"/>
      <c r="M45" s="289"/>
      <c r="N45" s="289"/>
      <c r="O45" s="1214">
        <v>94</v>
      </c>
      <c r="P45" s="1226"/>
      <c r="Q45" s="407"/>
      <c r="R45" s="289"/>
      <c r="S45" s="1232" t="s">
        <v>975</v>
      </c>
      <c r="T45" s="1208"/>
      <c r="U45" s="1225"/>
      <c r="V45" s="407"/>
      <c r="W45" s="289">
        <v>23</v>
      </c>
      <c r="X45" s="1221">
        <v>85</v>
      </c>
      <c r="Y45" s="1226"/>
      <c r="Z45" s="407"/>
      <c r="AA45" s="1228" t="s">
        <v>1083</v>
      </c>
      <c r="AB45" s="1232" t="s">
        <v>975</v>
      </c>
      <c r="AC45" s="1208"/>
      <c r="AD45" s="1225"/>
      <c r="AE45" s="289"/>
      <c r="AF45" s="289"/>
      <c r="AG45" s="1214">
        <v>82</v>
      </c>
      <c r="AH45" s="1226"/>
      <c r="AI45" s="407"/>
      <c r="AJ45" s="407"/>
      <c r="AK45" s="1232" t="s">
        <v>975</v>
      </c>
      <c r="AL45" s="301"/>
      <c r="AM45" s="1225"/>
      <c r="AN45" s="289"/>
      <c r="AO45" s="289"/>
      <c r="AP45" s="289">
        <v>80</v>
      </c>
      <c r="AQ45" s="1226"/>
      <c r="AR45" s="407"/>
      <c r="AS45" s="289"/>
      <c r="AT45" s="1232" t="s">
        <v>975</v>
      </c>
    </row>
    <row r="46" spans="1:46" ht="48.6" customHeight="1" x14ac:dyDescent="0.3">
      <c r="A46" s="2261"/>
      <c r="B46" s="1218">
        <v>2</v>
      </c>
      <c r="C46" s="1220"/>
      <c r="D46" s="1220"/>
      <c r="E46" s="1220">
        <v>13</v>
      </c>
      <c r="F46" s="1221"/>
      <c r="G46" s="1205"/>
      <c r="H46" s="1205"/>
      <c r="I46" s="1234" t="s">
        <v>27</v>
      </c>
      <c r="J46" s="1232"/>
      <c r="K46" s="1208"/>
      <c r="L46" s="1225"/>
      <c r="M46" s="289"/>
      <c r="N46" s="289"/>
      <c r="O46" s="1251"/>
      <c r="P46" s="1226"/>
      <c r="Q46" s="1206"/>
      <c r="R46" s="407"/>
      <c r="S46" s="1232"/>
      <c r="T46" s="1208"/>
      <c r="U46" s="1225"/>
      <c r="V46" s="289"/>
      <c r="W46" s="289"/>
      <c r="X46" s="1214"/>
      <c r="Y46" s="289"/>
      <c r="Z46" s="289"/>
      <c r="AA46" s="407"/>
      <c r="AB46" s="1232"/>
      <c r="AC46" s="1208"/>
      <c r="AD46" s="1225"/>
      <c r="AE46" s="289"/>
      <c r="AF46" s="289"/>
      <c r="AG46" s="1214"/>
      <c r="AH46" s="1390"/>
      <c r="AI46" s="407"/>
      <c r="AJ46" s="1228"/>
      <c r="AK46" s="1232"/>
      <c r="AL46" s="301"/>
      <c r="AM46" s="1225"/>
      <c r="AN46" s="289"/>
      <c r="AO46" s="289"/>
      <c r="AP46" s="289"/>
      <c r="AQ46" s="1226"/>
      <c r="AR46" s="1206"/>
      <c r="AS46" s="407"/>
      <c r="AT46" s="1232"/>
    </row>
    <row r="47" spans="1:46" ht="58.9" customHeight="1" x14ac:dyDescent="0.3">
      <c r="A47" s="2260">
        <v>45770</v>
      </c>
      <c r="B47" s="1218">
        <v>1</v>
      </c>
      <c r="C47" s="1220"/>
      <c r="D47" s="1220"/>
      <c r="E47" s="1220">
        <v>10</v>
      </c>
      <c r="F47" s="1221"/>
      <c r="G47" s="1205"/>
      <c r="H47" s="1206"/>
      <c r="I47" s="1234" t="s">
        <v>27</v>
      </c>
      <c r="J47" s="1224"/>
      <c r="K47" s="1208"/>
      <c r="L47" s="1225"/>
      <c r="M47" s="289"/>
      <c r="N47" s="289"/>
      <c r="O47" s="1214">
        <v>14</v>
      </c>
      <c r="P47" s="1226"/>
      <c r="Q47" s="289"/>
      <c r="R47" s="289"/>
      <c r="S47" s="1232" t="s">
        <v>1089</v>
      </c>
      <c r="T47" s="1208"/>
      <c r="U47" s="1225"/>
      <c r="V47" s="289"/>
      <c r="W47" s="289"/>
      <c r="X47" s="1214"/>
      <c r="Y47" s="1205"/>
      <c r="Z47" s="407"/>
      <c r="AA47" s="407"/>
      <c r="AB47" s="1232"/>
      <c r="AC47" s="1208"/>
      <c r="AD47" s="1225"/>
      <c r="AE47" s="289"/>
      <c r="AF47" s="289"/>
      <c r="AG47" s="289">
        <v>12</v>
      </c>
      <c r="AH47" s="1390"/>
      <c r="AI47" s="1206"/>
      <c r="AJ47" s="1228"/>
      <c r="AK47" s="1258" t="s">
        <v>1055</v>
      </c>
      <c r="AL47" s="301"/>
      <c r="AM47" s="1225"/>
      <c r="AN47" s="289"/>
      <c r="AO47" s="289"/>
      <c r="AP47" s="289"/>
      <c r="AQ47" s="1226"/>
      <c r="AR47" s="1206"/>
      <c r="AS47" s="407"/>
      <c r="AT47" s="1258"/>
    </row>
    <row r="48" spans="1:46" ht="34.9" customHeight="1" x14ac:dyDescent="0.3">
      <c r="A48" s="2261"/>
      <c r="B48" s="1218">
        <v>2</v>
      </c>
      <c r="C48" s="1220"/>
      <c r="D48" s="1220"/>
      <c r="E48" s="1220"/>
      <c r="F48" s="1221"/>
      <c r="G48" s="1206"/>
      <c r="H48" s="1206"/>
      <c r="I48" s="1234"/>
      <c r="J48" s="1232"/>
      <c r="K48" s="1208"/>
      <c r="L48" s="1225"/>
      <c r="M48" s="289"/>
      <c r="N48" s="289"/>
      <c r="O48" s="1221"/>
      <c r="P48" s="1206"/>
      <c r="Q48" s="1206"/>
      <c r="R48" s="1234"/>
      <c r="S48" s="1232"/>
      <c r="T48" s="1208"/>
      <c r="U48" s="1225"/>
      <c r="V48" s="289"/>
      <c r="W48" s="289">
        <v>22</v>
      </c>
      <c r="X48" s="1221"/>
      <c r="Y48" s="1206"/>
      <c r="Z48" s="1206"/>
      <c r="AA48" s="1234" t="s">
        <v>27</v>
      </c>
      <c r="AB48" s="1232"/>
      <c r="AC48" s="1208"/>
      <c r="AD48" s="1225"/>
      <c r="AE48" s="289"/>
      <c r="AF48" s="289"/>
      <c r="AG48" s="289">
        <v>10</v>
      </c>
      <c r="AH48" s="1390"/>
      <c r="AI48" s="1206"/>
      <c r="AJ48" s="1228"/>
      <c r="AK48" s="1258" t="s">
        <v>1055</v>
      </c>
      <c r="AL48" s="301"/>
      <c r="AM48" s="1225"/>
      <c r="AN48" s="1344"/>
      <c r="AO48" s="1226"/>
      <c r="AP48" s="1344"/>
      <c r="AQ48" s="1351"/>
      <c r="AR48" s="1206"/>
      <c r="AS48" s="407"/>
      <c r="AT48" s="1258"/>
    </row>
    <row r="49" spans="1:46" ht="43.15" customHeight="1" x14ac:dyDescent="0.3">
      <c r="A49" s="2260">
        <v>45771</v>
      </c>
      <c r="B49" s="1218">
        <v>1</v>
      </c>
      <c r="C49" s="1220"/>
      <c r="D49" s="1220"/>
      <c r="E49" s="1220"/>
      <c r="F49" s="1221"/>
      <c r="G49" s="1206"/>
      <c r="H49" s="1205"/>
      <c r="I49" s="1234"/>
      <c r="J49" s="1232"/>
      <c r="K49" s="1208"/>
      <c r="L49" s="1225"/>
      <c r="M49" s="289"/>
      <c r="N49" s="289"/>
      <c r="O49" s="1221"/>
      <c r="P49" s="1206"/>
      <c r="Q49" s="1205"/>
      <c r="R49" s="1234"/>
      <c r="S49" s="1232"/>
      <c r="T49" s="1208"/>
      <c r="U49" s="1225"/>
      <c r="V49" s="289"/>
      <c r="W49" s="289"/>
      <c r="X49" s="1221"/>
      <c r="Y49" s="1206"/>
      <c r="Z49" s="407"/>
      <c r="AA49" s="407"/>
      <c r="AB49" s="1232"/>
      <c r="AC49" s="1208"/>
      <c r="AD49" s="1225"/>
      <c r="AE49" s="289"/>
      <c r="AF49" s="289"/>
      <c r="AG49" s="289"/>
      <c r="AH49" s="1390"/>
      <c r="AI49" s="1205"/>
      <c r="AJ49" s="1228"/>
      <c r="AK49" s="1258"/>
      <c r="AL49" s="301"/>
      <c r="AM49" s="1225"/>
      <c r="AN49" s="1344"/>
      <c r="AO49" s="1226"/>
      <c r="AP49" s="1344"/>
      <c r="AQ49" s="1242"/>
      <c r="AR49" s="1206"/>
      <c r="AS49" s="1234"/>
      <c r="AT49" s="1353"/>
    </row>
    <row r="50" spans="1:46" ht="51.6" customHeight="1" x14ac:dyDescent="0.3">
      <c r="A50" s="2261"/>
      <c r="B50" s="1218">
        <v>2</v>
      </c>
      <c r="C50" s="1220"/>
      <c r="D50" s="1220"/>
      <c r="E50" s="1220"/>
      <c r="F50" s="1221"/>
      <c r="G50" s="1205"/>
      <c r="H50" s="1205"/>
      <c r="I50" s="1234"/>
      <c r="J50" s="1232"/>
      <c r="K50" s="1208"/>
      <c r="L50" s="1225"/>
      <c r="M50" s="289"/>
      <c r="N50" s="289"/>
      <c r="O50" s="1221"/>
      <c r="P50" s="1205"/>
      <c r="Q50" s="1205"/>
      <c r="R50" s="1234"/>
      <c r="S50" s="1232"/>
      <c r="T50" s="1208"/>
      <c r="U50" s="1225"/>
      <c r="V50" s="289"/>
      <c r="W50" s="289">
        <v>28</v>
      </c>
      <c r="X50" s="1221"/>
      <c r="Y50" s="1205"/>
      <c r="Z50" s="1205"/>
      <c r="AA50" s="1234" t="s">
        <v>1092</v>
      </c>
      <c r="AB50" s="1232"/>
      <c r="AC50" s="1208"/>
      <c r="AD50" s="1225"/>
      <c r="AE50" s="289"/>
      <c r="AF50" s="289"/>
      <c r="AG50" s="289"/>
      <c r="AH50" s="1390"/>
      <c r="AI50" s="1205"/>
      <c r="AJ50" s="1228"/>
      <c r="AK50" s="1258"/>
      <c r="AL50" s="301"/>
      <c r="AM50" s="1225"/>
      <c r="AN50" s="1344"/>
      <c r="AO50" s="289"/>
      <c r="AP50" s="1344"/>
      <c r="AQ50" s="1242"/>
      <c r="AR50" s="1206"/>
      <c r="AS50" s="1234"/>
      <c r="AT50" s="1354"/>
    </row>
    <row r="51" spans="1:46" ht="34.9" customHeight="1" x14ac:dyDescent="0.3">
      <c r="A51" s="2260">
        <v>45772</v>
      </c>
      <c r="B51" s="1218">
        <v>1</v>
      </c>
      <c r="C51" s="1220"/>
      <c r="D51" s="1220"/>
      <c r="E51" s="1220"/>
      <c r="F51" s="1221">
        <v>46</v>
      </c>
      <c r="G51" s="1205"/>
      <c r="H51" s="1205"/>
      <c r="I51" s="1234"/>
      <c r="J51" s="1232" t="s">
        <v>975</v>
      </c>
      <c r="K51" s="1208"/>
      <c r="L51" s="1225"/>
      <c r="M51" s="289"/>
      <c r="N51" s="289"/>
      <c r="O51" s="1221">
        <v>50</v>
      </c>
      <c r="P51" s="1205"/>
      <c r="Q51" s="1205"/>
      <c r="R51" s="1234"/>
      <c r="S51" s="1232" t="s">
        <v>975</v>
      </c>
      <c r="T51" s="1208"/>
      <c r="U51" s="1225"/>
      <c r="V51" s="289"/>
      <c r="W51" s="289"/>
      <c r="X51" s="1221">
        <v>52</v>
      </c>
      <c r="Y51" s="1205"/>
      <c r="Z51" s="1205"/>
      <c r="AA51" s="1234"/>
      <c r="AB51" s="1232" t="s">
        <v>975</v>
      </c>
      <c r="AC51" s="1208"/>
      <c r="AD51" s="1225"/>
      <c r="AE51" s="289"/>
      <c r="AF51" s="289"/>
      <c r="AG51" s="1221">
        <v>56</v>
      </c>
      <c r="AH51" s="1205"/>
      <c r="AI51" s="1205"/>
      <c r="AJ51" s="1234"/>
      <c r="AK51" s="1232" t="s">
        <v>975</v>
      </c>
      <c r="AL51" s="301"/>
      <c r="AM51" s="1225"/>
      <c r="AN51" s="1344"/>
      <c r="AO51" s="1257"/>
      <c r="AP51" s="1344">
        <v>65</v>
      </c>
      <c r="AQ51" s="1242"/>
      <c r="AR51" s="1206"/>
      <c r="AS51" s="1234"/>
      <c r="AT51" s="1354" t="s">
        <v>975</v>
      </c>
    </row>
    <row r="52" spans="1:46" ht="49.15" customHeight="1" x14ac:dyDescent="0.3">
      <c r="A52" s="2261"/>
      <c r="B52" s="1218">
        <v>2</v>
      </c>
      <c r="C52" s="1220"/>
      <c r="D52" s="1220"/>
      <c r="E52" s="1220"/>
      <c r="F52" s="1221"/>
      <c r="G52" s="1206"/>
      <c r="H52" s="1206"/>
      <c r="I52" s="1234"/>
      <c r="J52" s="1232"/>
      <c r="K52" s="1208"/>
      <c r="L52" s="1225"/>
      <c r="M52" s="289"/>
      <c r="N52" s="289"/>
      <c r="O52" s="1221"/>
      <c r="P52" s="1206"/>
      <c r="Q52" s="1206"/>
      <c r="R52" s="1234"/>
      <c r="S52" s="1232"/>
      <c r="T52" s="1208"/>
      <c r="U52" s="1225"/>
      <c r="V52" s="289">
        <v>18</v>
      </c>
      <c r="W52" s="289">
        <v>10</v>
      </c>
      <c r="X52" s="1221"/>
      <c r="Y52" s="1206"/>
      <c r="Z52" s="1206" t="s">
        <v>1090</v>
      </c>
      <c r="AA52" s="1234" t="s">
        <v>1091</v>
      </c>
      <c r="AB52" s="1232"/>
      <c r="AC52" s="1208"/>
      <c r="AD52" s="1225"/>
      <c r="AE52" s="289"/>
      <c r="AF52" s="289"/>
      <c r="AG52" s="1221">
        <v>10</v>
      </c>
      <c r="AH52" s="1206"/>
      <c r="AI52" s="1206"/>
      <c r="AJ52" s="1234"/>
      <c r="AK52" s="1232" t="s">
        <v>165</v>
      </c>
      <c r="AL52" s="301"/>
      <c r="AM52" s="1225"/>
      <c r="AN52" s="353"/>
      <c r="AO52" s="1348"/>
      <c r="AP52" s="353"/>
      <c r="AQ52" s="1226"/>
      <c r="AR52" s="1206"/>
      <c r="AS52" s="1234"/>
      <c r="AT52" s="1340"/>
    </row>
    <row r="53" spans="1:46" ht="48" customHeight="1" x14ac:dyDescent="0.3">
      <c r="A53" s="2260">
        <v>45773</v>
      </c>
      <c r="B53" s="1218">
        <v>1</v>
      </c>
      <c r="C53" s="1220"/>
      <c r="D53" s="1220"/>
      <c r="E53" s="1220"/>
      <c r="F53" s="1221"/>
      <c r="G53" s="1205"/>
      <c r="H53" s="1205"/>
      <c r="I53" s="1223"/>
      <c r="J53" s="1232"/>
      <c r="K53" s="1208"/>
      <c r="L53" s="1225">
        <v>106</v>
      </c>
      <c r="M53" s="289"/>
      <c r="N53" s="289"/>
      <c r="O53" s="1214"/>
      <c r="P53" s="1206" t="s">
        <v>1093</v>
      </c>
      <c r="Q53" s="1206"/>
      <c r="R53" s="289"/>
      <c r="S53" s="1232"/>
      <c r="T53" s="1208"/>
      <c r="U53" s="1225"/>
      <c r="V53" s="289"/>
      <c r="W53" s="289"/>
      <c r="X53" s="1214"/>
      <c r="Y53" s="1390"/>
      <c r="Z53" s="289"/>
      <c r="AA53" s="1228"/>
      <c r="AB53" s="1214"/>
      <c r="AC53" s="1208"/>
      <c r="AD53" s="1225"/>
      <c r="AE53" s="407"/>
      <c r="AF53" s="289"/>
      <c r="AG53" s="1214"/>
      <c r="AH53" s="1226"/>
      <c r="AI53" s="289"/>
      <c r="AJ53" s="407"/>
      <c r="AK53" s="1214"/>
      <c r="AL53" s="301"/>
      <c r="AM53" s="1225"/>
      <c r="AN53" s="1235"/>
      <c r="AO53" s="1350"/>
      <c r="AP53" s="1235"/>
      <c r="AQ53" s="1390"/>
      <c r="AR53" s="1206"/>
      <c r="AS53" s="353"/>
      <c r="AT53" s="1355"/>
    </row>
    <row r="54" spans="1:46" ht="45.6" customHeight="1" x14ac:dyDescent="0.3">
      <c r="A54" s="2261"/>
      <c r="B54" s="1252">
        <v>2</v>
      </c>
      <c r="C54" s="1220"/>
      <c r="D54" s="1220"/>
      <c r="E54" s="1220">
        <v>10</v>
      </c>
      <c r="F54" s="1221"/>
      <c r="G54" s="1205"/>
      <c r="H54" s="1206"/>
      <c r="I54" s="1223" t="s">
        <v>27</v>
      </c>
      <c r="J54" s="1232"/>
      <c r="K54" s="1208"/>
      <c r="L54" s="1225">
        <v>85</v>
      </c>
      <c r="M54" s="289"/>
      <c r="N54" s="289"/>
      <c r="O54" s="1221"/>
      <c r="P54" s="1206" t="s">
        <v>1093</v>
      </c>
      <c r="Q54" s="1206"/>
      <c r="R54" s="1205"/>
      <c r="S54" s="1232"/>
      <c r="T54" s="1208"/>
      <c r="U54" s="1225"/>
      <c r="V54" s="289"/>
      <c r="W54" s="289"/>
      <c r="X54" s="1221"/>
      <c r="Y54" s="1206"/>
      <c r="Z54" s="1206"/>
      <c r="AA54" s="1228"/>
      <c r="AB54" s="1232"/>
      <c r="AC54" s="1208"/>
      <c r="AD54" s="1225"/>
      <c r="AE54" s="289"/>
      <c r="AF54" s="289"/>
      <c r="AG54" s="1214"/>
      <c r="AH54" s="1226"/>
      <c r="AI54" s="1206"/>
      <c r="AJ54" s="289"/>
      <c r="AK54" s="1232"/>
      <c r="AL54" s="301"/>
      <c r="AM54" s="1225"/>
      <c r="AN54" s="1235"/>
      <c r="AO54" s="263"/>
      <c r="AP54" s="1235"/>
      <c r="AQ54" s="1390"/>
      <c r="AR54" s="1206"/>
      <c r="AS54" s="1234"/>
      <c r="AT54" s="1354"/>
    </row>
    <row r="55" spans="1:46" ht="39.6" customHeight="1" x14ac:dyDescent="0.3">
      <c r="A55" s="2260">
        <v>45774</v>
      </c>
      <c r="B55" s="1218">
        <v>1</v>
      </c>
      <c r="C55" s="1219"/>
      <c r="D55" s="1220"/>
      <c r="E55" s="1220"/>
      <c r="F55" s="1221"/>
      <c r="G55" s="1205"/>
      <c r="H55" s="1205"/>
      <c r="I55" s="1223"/>
      <c r="J55" s="1214"/>
      <c r="K55" s="1208"/>
      <c r="L55" s="1225"/>
      <c r="M55" s="289"/>
      <c r="N55" s="289"/>
      <c r="O55" s="1214"/>
      <c r="P55" s="1226"/>
      <c r="Q55" s="1206"/>
      <c r="R55" s="289"/>
      <c r="S55" s="1214"/>
      <c r="T55" s="1208"/>
      <c r="U55" s="1225"/>
      <c r="V55" s="289"/>
      <c r="W55" s="289"/>
      <c r="X55" s="1214"/>
      <c r="Y55" s="1226"/>
      <c r="Z55" s="1205"/>
      <c r="AA55" s="1228"/>
      <c r="AB55" s="1214"/>
      <c r="AC55" s="1208"/>
      <c r="AD55" s="1225"/>
      <c r="AE55" s="289"/>
      <c r="AF55" s="289"/>
      <c r="AG55" s="1214"/>
      <c r="AH55" s="1226"/>
      <c r="AI55" s="1206"/>
      <c r="AJ55" s="407"/>
      <c r="AK55" s="1214"/>
      <c r="AL55" s="301"/>
      <c r="AM55" s="1225"/>
      <c r="AN55" s="1235"/>
      <c r="AO55" s="289"/>
      <c r="AP55" s="1235"/>
      <c r="AQ55" s="1226"/>
      <c r="AR55" s="1206"/>
      <c r="AS55" s="1234"/>
      <c r="AT55" s="1356"/>
    </row>
    <row r="56" spans="1:46" ht="52.5" customHeight="1" x14ac:dyDescent="0.3">
      <c r="A56" s="2261"/>
      <c r="B56" s="1252">
        <v>2</v>
      </c>
      <c r="C56" s="1219"/>
      <c r="D56" s="1220"/>
      <c r="E56" s="1220"/>
      <c r="F56" s="1221"/>
      <c r="G56" s="1206"/>
      <c r="H56" s="1206"/>
      <c r="I56" s="1223"/>
      <c r="J56" s="1232"/>
      <c r="K56" s="1208"/>
      <c r="L56" s="1225">
        <v>10</v>
      </c>
      <c r="M56" s="289">
        <v>204</v>
      </c>
      <c r="N56" s="289"/>
      <c r="O56" s="1221"/>
      <c r="P56" s="1206" t="s">
        <v>1093</v>
      </c>
      <c r="Q56" s="1205" t="s">
        <v>237</v>
      </c>
      <c r="R56" s="1206"/>
      <c r="S56" s="1232"/>
      <c r="T56" s="1208"/>
      <c r="U56" s="1225"/>
      <c r="V56" s="289"/>
      <c r="W56" s="289"/>
      <c r="X56" s="1221"/>
      <c r="Y56" s="1390"/>
      <c r="Z56" s="1205"/>
      <c r="AA56" s="1228"/>
      <c r="AB56" s="1232"/>
      <c r="AC56" s="1208"/>
      <c r="AD56" s="1225"/>
      <c r="AE56" s="289"/>
      <c r="AF56" s="289"/>
      <c r="AG56" s="1221"/>
      <c r="AH56" s="1206"/>
      <c r="AI56" s="1205"/>
      <c r="AJ56" s="1206"/>
      <c r="AK56" s="1232"/>
      <c r="AL56" s="301"/>
      <c r="AM56" s="1225"/>
      <c r="AN56" s="1235"/>
      <c r="AO56" s="289"/>
      <c r="AP56" s="1235"/>
      <c r="AQ56" s="1206"/>
      <c r="AR56" s="1206"/>
      <c r="AS56" s="289"/>
      <c r="AT56" s="1310"/>
    </row>
    <row r="57" spans="1:46" ht="52.15" customHeight="1" x14ac:dyDescent="0.3">
      <c r="A57" s="2260">
        <v>45775</v>
      </c>
      <c r="B57" s="1218">
        <v>1</v>
      </c>
      <c r="C57" s="1219"/>
      <c r="D57" s="1220"/>
      <c r="E57" s="1220"/>
      <c r="F57" s="1221"/>
      <c r="G57" s="1206"/>
      <c r="H57" s="1206"/>
      <c r="I57" s="1234"/>
      <c r="J57" s="1232"/>
      <c r="K57" s="1208"/>
      <c r="L57" s="1225"/>
      <c r="M57" s="289"/>
      <c r="N57" s="289"/>
      <c r="O57" s="1221"/>
      <c r="P57" s="1206"/>
      <c r="Q57" s="1205"/>
      <c r="R57" s="1206"/>
      <c r="S57" s="1232"/>
      <c r="T57" s="1208"/>
      <c r="U57" s="1225"/>
      <c r="V57" s="289"/>
      <c r="W57" s="289"/>
      <c r="X57" s="1221"/>
      <c r="Y57" s="1206"/>
      <c r="Z57" s="1205"/>
      <c r="AA57" s="407"/>
      <c r="AB57" s="1232"/>
      <c r="AC57" s="1208"/>
      <c r="AD57" s="1225"/>
      <c r="AE57" s="289"/>
      <c r="AF57" s="289"/>
      <c r="AG57" s="1221"/>
      <c r="AH57" s="1206"/>
      <c r="AI57" s="1205"/>
      <c r="AJ57" s="1206"/>
      <c r="AK57" s="1232"/>
      <c r="AL57" s="301"/>
      <c r="AM57" s="1225"/>
      <c r="AN57" s="1235"/>
      <c r="AO57" s="289"/>
      <c r="AP57" s="1235"/>
      <c r="AQ57" s="1206"/>
      <c r="AR57" s="1206"/>
      <c r="AS57" s="289"/>
      <c r="AT57" s="1232"/>
    </row>
    <row r="58" spans="1:46" ht="45" customHeight="1" x14ac:dyDescent="0.3">
      <c r="A58" s="2261"/>
      <c r="B58" s="1252">
        <v>2</v>
      </c>
      <c r="C58" s="1219"/>
      <c r="D58" s="1220"/>
      <c r="E58" s="1220"/>
      <c r="F58" s="1221"/>
      <c r="G58" s="1206"/>
      <c r="H58" s="1206"/>
      <c r="I58" s="1223"/>
      <c r="J58" s="1232"/>
      <c r="K58" s="1208"/>
      <c r="L58" s="1225"/>
      <c r="M58" s="289"/>
      <c r="N58" s="289"/>
      <c r="O58" s="1221"/>
      <c r="P58" s="1206"/>
      <c r="Q58" s="1205"/>
      <c r="R58" s="1206"/>
      <c r="S58" s="1232"/>
      <c r="T58" s="1208"/>
      <c r="U58" s="1225"/>
      <c r="V58" s="289"/>
      <c r="W58" s="289">
        <v>10</v>
      </c>
      <c r="X58" s="1221"/>
      <c r="Y58" s="1206"/>
      <c r="Z58" s="1205"/>
      <c r="AA58" s="407" t="s">
        <v>27</v>
      </c>
      <c r="AB58" s="1232"/>
      <c r="AC58" s="1208"/>
      <c r="AD58" s="1225"/>
      <c r="AE58" s="289"/>
      <c r="AF58" s="289"/>
      <c r="AG58" s="289"/>
      <c r="AH58" s="1206"/>
      <c r="AI58" s="1205"/>
      <c r="AJ58" s="289"/>
      <c r="AK58" s="1232"/>
      <c r="AL58" s="301"/>
      <c r="AM58" s="1225"/>
      <c r="AN58" s="289"/>
      <c r="AO58" s="289"/>
      <c r="AP58" s="1225"/>
      <c r="AQ58" s="1206"/>
      <c r="AR58" s="1205"/>
      <c r="AS58" s="289"/>
      <c r="AT58" s="1232"/>
    </row>
    <row r="59" spans="1:46" ht="48" customHeight="1" x14ac:dyDescent="0.3">
      <c r="A59" s="2260">
        <v>45776</v>
      </c>
      <c r="B59" s="1218">
        <v>1</v>
      </c>
      <c r="C59" s="1219"/>
      <c r="D59" s="1220"/>
      <c r="E59" s="1220"/>
      <c r="F59" s="1221"/>
      <c r="G59" s="1206"/>
      <c r="H59" s="1205"/>
      <c r="I59" s="1223"/>
      <c r="J59" s="1232"/>
      <c r="K59" s="1208"/>
      <c r="L59" s="1225"/>
      <c r="M59" s="289"/>
      <c r="N59" s="289"/>
      <c r="O59" s="1214"/>
      <c r="P59" s="1226"/>
      <c r="Q59" s="407"/>
      <c r="R59" s="289"/>
      <c r="S59" s="1232"/>
      <c r="T59" s="1208"/>
      <c r="U59" s="1225"/>
      <c r="V59" s="289"/>
      <c r="W59" s="289"/>
      <c r="X59" s="1214"/>
      <c r="Y59" s="1206"/>
      <c r="Z59" s="1205"/>
      <c r="AA59" s="1223"/>
      <c r="AB59" s="1232"/>
      <c r="AC59" s="1208"/>
      <c r="AD59" s="1225"/>
      <c r="AE59" s="289"/>
      <c r="AF59" s="289"/>
      <c r="AG59" s="1214"/>
      <c r="AH59" s="1225"/>
      <c r="AI59" s="289"/>
      <c r="AJ59" s="1206"/>
      <c r="AK59" s="1232"/>
      <c r="AL59" s="301"/>
      <c r="AM59" s="1225"/>
      <c r="AN59" s="289"/>
      <c r="AO59" s="289"/>
      <c r="AP59" s="289"/>
      <c r="AQ59" s="1390"/>
      <c r="AR59" s="289"/>
      <c r="AS59" s="407"/>
      <c r="AT59" s="1232"/>
    </row>
    <row r="60" spans="1:46" ht="44.25" customHeight="1" x14ac:dyDescent="0.3">
      <c r="A60" s="2261"/>
      <c r="B60" s="1252">
        <v>2</v>
      </c>
      <c r="C60" s="1219"/>
      <c r="D60" s="1220"/>
      <c r="E60" s="1220"/>
      <c r="F60" s="1221"/>
      <c r="G60" s="1205"/>
      <c r="H60" s="1206"/>
      <c r="I60" s="1223"/>
      <c r="J60" s="1232"/>
      <c r="K60" s="1208"/>
      <c r="L60" s="1225"/>
      <c r="M60" s="289"/>
      <c r="N60" s="289"/>
      <c r="O60" s="1214"/>
      <c r="P60" s="1226"/>
      <c r="Q60" s="1206"/>
      <c r="R60" s="289"/>
      <c r="S60" s="1232"/>
      <c r="T60" s="1208"/>
      <c r="U60" s="1225"/>
      <c r="V60" s="289"/>
      <c r="W60" s="289">
        <v>16</v>
      </c>
      <c r="X60" s="1214"/>
      <c r="Y60" s="1390"/>
      <c r="Z60" s="1206"/>
      <c r="AA60" s="1223" t="s">
        <v>27</v>
      </c>
      <c r="AB60" s="1232"/>
      <c r="AC60" s="1208"/>
      <c r="AD60" s="1225"/>
      <c r="AE60" s="1225"/>
      <c r="AF60" s="1225"/>
      <c r="AG60" s="1225"/>
      <c r="AH60" s="1225"/>
      <c r="AI60" s="1206"/>
      <c r="AJ60" s="407"/>
      <c r="AK60" s="1232"/>
      <c r="AL60" s="301"/>
      <c r="AM60" s="1225"/>
      <c r="AN60" s="289"/>
      <c r="AO60" s="289"/>
      <c r="AP60" s="289"/>
      <c r="AQ60" s="1226"/>
      <c r="AR60" s="1206"/>
      <c r="AS60" s="407"/>
      <c r="AT60" s="1232"/>
    </row>
    <row r="61" spans="1:46" ht="56.25" customHeight="1" x14ac:dyDescent="0.3">
      <c r="A61" s="2260">
        <v>45777</v>
      </c>
      <c r="B61" s="1218">
        <v>1</v>
      </c>
      <c r="C61" s="1253"/>
      <c r="D61" s="1254"/>
      <c r="E61" s="1220"/>
      <c r="F61" s="1255"/>
      <c r="G61" s="1205"/>
      <c r="H61" s="1250"/>
      <c r="I61" s="1223"/>
      <c r="J61" s="1224"/>
      <c r="K61" s="1208"/>
      <c r="L61" s="1225"/>
      <c r="M61" s="1225"/>
      <c r="N61" s="289"/>
      <c r="O61" s="1214"/>
      <c r="P61" s="1256"/>
      <c r="Q61" s="1206"/>
      <c r="R61" s="1257"/>
      <c r="S61" s="1258"/>
      <c r="T61" s="1208"/>
      <c r="U61" s="1225"/>
      <c r="V61" s="289"/>
      <c r="W61" s="289"/>
      <c r="X61" s="1214"/>
      <c r="Y61" s="1390"/>
      <c r="Z61" s="407"/>
      <c r="AA61" s="1223"/>
      <c r="AB61" s="1258"/>
      <c r="AC61" s="1208"/>
      <c r="AD61" s="1225"/>
      <c r="AE61" s="289"/>
      <c r="AF61" s="289"/>
      <c r="AG61" s="1214"/>
      <c r="AH61" s="1256"/>
      <c r="AI61" s="1260"/>
      <c r="AJ61" s="1260"/>
      <c r="AK61" s="1258"/>
      <c r="AL61" s="301"/>
      <c r="AM61" s="1225"/>
      <c r="AN61" s="289"/>
      <c r="AO61" s="289"/>
      <c r="AP61" s="289"/>
      <c r="AQ61" s="1390"/>
      <c r="AR61" s="289"/>
      <c r="AS61" s="407"/>
      <c r="AT61" s="1258"/>
    </row>
    <row r="62" spans="1:46" ht="53.25" customHeight="1" x14ac:dyDescent="0.3">
      <c r="A62" s="2261"/>
      <c r="B62" s="1252">
        <v>2</v>
      </c>
      <c r="C62" s="1253"/>
      <c r="D62" s="1254"/>
      <c r="E62" s="1254"/>
      <c r="F62" s="1255">
        <v>237</v>
      </c>
      <c r="G62" s="1259"/>
      <c r="H62" s="1250"/>
      <c r="I62" s="1223"/>
      <c r="J62" s="1232" t="s">
        <v>975</v>
      </c>
      <c r="K62" s="1208"/>
      <c r="L62" s="1225"/>
      <c r="M62" s="289"/>
      <c r="N62" s="289"/>
      <c r="O62" s="1214">
        <v>232</v>
      </c>
      <c r="P62" s="1256"/>
      <c r="Q62" s="1260"/>
      <c r="R62" s="1257"/>
      <c r="S62" s="1232" t="s">
        <v>975</v>
      </c>
      <c r="T62" s="1208"/>
      <c r="U62" s="1225"/>
      <c r="V62" s="289"/>
      <c r="W62" s="289"/>
      <c r="X62" s="1214">
        <v>239</v>
      </c>
      <c r="Y62" s="1390"/>
      <c r="Z62" s="1260"/>
      <c r="AA62" s="1223"/>
      <c r="AB62" s="1232" t="s">
        <v>975</v>
      </c>
      <c r="AC62" s="1208"/>
      <c r="AD62" s="1225"/>
      <c r="AE62" s="289"/>
      <c r="AF62" s="289"/>
      <c r="AG62" s="353">
        <v>233</v>
      </c>
      <c r="AH62" s="2270"/>
      <c r="AI62" s="2271"/>
      <c r="AJ62" s="2272"/>
      <c r="AK62" s="1232" t="s">
        <v>975</v>
      </c>
      <c r="AL62" s="301"/>
      <c r="AM62" s="1225"/>
      <c r="AN62" s="289"/>
      <c r="AO62" s="289"/>
      <c r="AP62" s="289">
        <v>255</v>
      </c>
      <c r="AQ62" s="1226"/>
      <c r="AR62" s="289"/>
      <c r="AS62" s="407"/>
      <c r="AT62" s="1232" t="s">
        <v>975</v>
      </c>
    </row>
    <row r="63" spans="1:46" ht="18.75" x14ac:dyDescent="0.3">
      <c r="A63" s="301" t="s">
        <v>225</v>
      </c>
      <c r="B63" s="419"/>
      <c r="C63" s="1285">
        <f>SUM(C3:C62)</f>
        <v>887</v>
      </c>
      <c r="D63" s="419">
        <f>SUM(D3:D62)</f>
        <v>112</v>
      </c>
      <c r="E63" s="1285">
        <f>SUM(E3:E62)</f>
        <v>327</v>
      </c>
      <c r="F63" s="419">
        <f>SUM(F3:F62)</f>
        <v>372</v>
      </c>
      <c r="G63" s="301"/>
      <c r="H63" s="301"/>
      <c r="I63" s="301"/>
      <c r="J63" s="301"/>
      <c r="K63" s="301"/>
      <c r="L63" s="419">
        <f>SUM(L3:L62)</f>
        <v>294</v>
      </c>
      <c r="M63" s="419">
        <f>SUM(M3:M62)</f>
        <v>461</v>
      </c>
      <c r="N63" s="419">
        <f>SUM(N3:N62)</f>
        <v>0</v>
      </c>
      <c r="O63" s="419">
        <f>SUM(O3:O62)</f>
        <v>403</v>
      </c>
      <c r="P63" s="301"/>
      <c r="Q63" s="301"/>
      <c r="R63" s="301"/>
      <c r="S63" s="301"/>
      <c r="T63" s="301"/>
      <c r="U63" s="419">
        <f>SUM(U3:U62)</f>
        <v>3377</v>
      </c>
      <c r="V63" s="419">
        <f>SUM(V3:V62)</f>
        <v>18</v>
      </c>
      <c r="W63" s="419">
        <f>SUM(W3:W62)</f>
        <v>383</v>
      </c>
      <c r="X63" s="419">
        <f>SUM(X3:X62)</f>
        <v>376</v>
      </c>
      <c r="Y63" s="301"/>
      <c r="Z63" s="301"/>
      <c r="AA63" s="301"/>
      <c r="AB63" s="301"/>
      <c r="AC63" s="301"/>
      <c r="AD63" s="419">
        <f>SUM(AD3:AD62)</f>
        <v>163</v>
      </c>
      <c r="AE63" s="419">
        <f>SUM(AE3:AE62)</f>
        <v>207</v>
      </c>
      <c r="AF63" s="419">
        <f>SUM(AF3:AF62)</f>
        <v>0</v>
      </c>
      <c r="AG63" s="419">
        <f>SUM(AG3:AG62)</f>
        <v>403</v>
      </c>
      <c r="AH63" s="301"/>
      <c r="AI63" s="301"/>
      <c r="AJ63" s="301"/>
      <c r="AK63" s="301"/>
      <c r="AL63" s="301"/>
      <c r="AM63" s="419">
        <f>SUM(AM3:AM62)</f>
        <v>795</v>
      </c>
      <c r="AN63" s="419">
        <f>SUM(AN3:AN62)</f>
        <v>8</v>
      </c>
      <c r="AO63" s="419">
        <f>SUM(AO3:AO62)</f>
        <v>37</v>
      </c>
      <c r="AP63" s="419">
        <f>SUM(AP3:AP62)</f>
        <v>425</v>
      </c>
      <c r="AQ63" s="301"/>
      <c r="AR63" s="301"/>
      <c r="AS63" s="301"/>
      <c r="AT63" s="301"/>
    </row>
    <row r="71" spans="2:10" ht="15.75" thickBot="1" x14ac:dyDescent="0.3"/>
    <row r="72" spans="2:10" ht="19.5" thickBot="1" x14ac:dyDescent="0.35">
      <c r="B72" s="419"/>
      <c r="C72" s="2222" t="s">
        <v>199</v>
      </c>
      <c r="D72" s="2223"/>
      <c r="E72" s="2224" t="s">
        <v>200</v>
      </c>
      <c r="F72" s="2225"/>
      <c r="G72" s="2222" t="s">
        <v>201</v>
      </c>
      <c r="H72" s="2223"/>
      <c r="I72" s="2222" t="s">
        <v>204</v>
      </c>
      <c r="J72" s="2223"/>
    </row>
    <row r="73" spans="2:10" ht="19.5" thickBot="1" x14ac:dyDescent="0.35">
      <c r="B73" s="419"/>
      <c r="C73" s="662" t="s">
        <v>222</v>
      </c>
      <c r="D73" s="663" t="s">
        <v>223</v>
      </c>
      <c r="E73" s="664" t="s">
        <v>222</v>
      </c>
      <c r="F73" s="665" t="s">
        <v>223</v>
      </c>
      <c r="G73" s="662" t="s">
        <v>222</v>
      </c>
      <c r="H73" s="663" t="s">
        <v>223</v>
      </c>
      <c r="I73" s="662" t="s">
        <v>222</v>
      </c>
      <c r="J73" s="663" t="s">
        <v>223</v>
      </c>
    </row>
    <row r="74" spans="2:10" ht="18.75" x14ac:dyDescent="0.3">
      <c r="B74" s="651" t="s">
        <v>218</v>
      </c>
      <c r="C74" s="652">
        <f>C63</f>
        <v>887</v>
      </c>
      <c r="D74" s="653">
        <f>C74/60</f>
        <v>14.783333333333333</v>
      </c>
      <c r="E74" s="652">
        <f>D63</f>
        <v>112</v>
      </c>
      <c r="F74" s="654">
        <f>E74/60</f>
        <v>1.8666666666666667</v>
      </c>
      <c r="G74" s="652">
        <f>E63</f>
        <v>327</v>
      </c>
      <c r="H74" s="653">
        <f>G74/60</f>
        <v>5.45</v>
      </c>
      <c r="I74" s="652">
        <f>F63</f>
        <v>372</v>
      </c>
      <c r="J74" s="653">
        <f>I74/60</f>
        <v>6.2</v>
      </c>
    </row>
    <row r="75" spans="2:10" ht="18.75" x14ac:dyDescent="0.3">
      <c r="B75" s="651" t="s">
        <v>219</v>
      </c>
      <c r="C75" s="655">
        <f>L63</f>
        <v>294</v>
      </c>
      <c r="D75" s="656">
        <f>C75/60</f>
        <v>4.9000000000000004</v>
      </c>
      <c r="E75" s="655">
        <f>M63</f>
        <v>461</v>
      </c>
      <c r="F75" s="657">
        <f>E75/60</f>
        <v>7.6833333333333336</v>
      </c>
      <c r="G75" s="655">
        <f>N63</f>
        <v>0</v>
      </c>
      <c r="H75" s="656">
        <f>G75/60</f>
        <v>0</v>
      </c>
      <c r="I75" s="655">
        <f>O63</f>
        <v>403</v>
      </c>
      <c r="J75" s="656">
        <f>I75/60</f>
        <v>6.7166666666666668</v>
      </c>
    </row>
    <row r="76" spans="2:10" ht="18.75" x14ac:dyDescent="0.3">
      <c r="B76" s="651" t="s">
        <v>220</v>
      </c>
      <c r="C76" s="655">
        <f>U63</f>
        <v>3377</v>
      </c>
      <c r="D76" s="656">
        <f>C76/60</f>
        <v>56.283333333333331</v>
      </c>
      <c r="E76" s="655">
        <f>V63</f>
        <v>18</v>
      </c>
      <c r="F76" s="657">
        <f>E76/60</f>
        <v>0.3</v>
      </c>
      <c r="G76" s="655">
        <f>W63</f>
        <v>383</v>
      </c>
      <c r="H76" s="656">
        <f>G76/60</f>
        <v>6.3833333333333337</v>
      </c>
      <c r="I76" s="655">
        <f>X63</f>
        <v>376</v>
      </c>
      <c r="J76" s="656">
        <f>I76/60</f>
        <v>6.2666666666666666</v>
      </c>
    </row>
    <row r="77" spans="2:10" ht="19.5" thickBot="1" x14ac:dyDescent="0.35">
      <c r="B77" s="651" t="s">
        <v>221</v>
      </c>
      <c r="C77" s="658">
        <f>AD63</f>
        <v>163</v>
      </c>
      <c r="D77" s="659">
        <f>C77/60</f>
        <v>2.7166666666666668</v>
      </c>
      <c r="E77" s="658">
        <f>AE63</f>
        <v>207</v>
      </c>
      <c r="F77" s="660">
        <f>E77/60</f>
        <v>3.45</v>
      </c>
      <c r="G77" s="658">
        <f>AF63</f>
        <v>0</v>
      </c>
      <c r="H77" s="659">
        <f>G77/60</f>
        <v>0</v>
      </c>
      <c r="I77" s="658">
        <f>AG63</f>
        <v>403</v>
      </c>
      <c r="J77" s="659">
        <f>I77/60</f>
        <v>6.7166666666666668</v>
      </c>
    </row>
    <row r="78" spans="2:10" ht="19.5" thickBot="1" x14ac:dyDescent="0.35">
      <c r="B78" s="651" t="s">
        <v>488</v>
      </c>
      <c r="C78" s="850">
        <f>AM63</f>
        <v>795</v>
      </c>
      <c r="D78" s="849">
        <f>C78/60</f>
        <v>13.25</v>
      </c>
      <c r="E78" s="850">
        <f>AN63</f>
        <v>8</v>
      </c>
      <c r="F78" s="851">
        <f>E78/60</f>
        <v>0.13333333333333333</v>
      </c>
      <c r="G78" s="850">
        <f>AO63</f>
        <v>37</v>
      </c>
      <c r="H78" s="849">
        <f>G78/60</f>
        <v>0.6166666666666667</v>
      </c>
      <c r="I78" s="850">
        <f>AP63</f>
        <v>425</v>
      </c>
      <c r="J78" s="849">
        <f>I78/60</f>
        <v>7.083333333333333</v>
      </c>
    </row>
    <row r="79" spans="2:10" ht="19.5" thickBot="1" x14ac:dyDescent="0.35">
      <c r="B79" s="419"/>
      <c r="C79" s="301"/>
      <c r="D79" s="301"/>
      <c r="E79" s="301"/>
      <c r="F79" s="301"/>
      <c r="G79" s="301"/>
      <c r="H79" s="301"/>
      <c r="I79" s="301"/>
      <c r="J79" s="301"/>
    </row>
    <row r="80" spans="2:10" ht="19.5" thickBot="1" x14ac:dyDescent="0.35">
      <c r="B80" s="661" t="s">
        <v>217</v>
      </c>
      <c r="C80" s="666"/>
      <c r="D80" s="667">
        <f>SUM(D74:D78)</f>
        <v>91.933333333333337</v>
      </c>
      <c r="E80" s="666"/>
      <c r="F80" s="667">
        <f>SUM(F74:F78)</f>
        <v>13.433333333333334</v>
      </c>
      <c r="G80" s="666"/>
      <c r="H80" s="667">
        <f>SUM(H74:H78)</f>
        <v>12.450000000000001</v>
      </c>
      <c r="I80" s="666"/>
      <c r="J80" s="668">
        <f>AVERAGE(J74:J78)</f>
        <v>6.5966666666666667</v>
      </c>
    </row>
  </sheetData>
  <mergeCells count="46">
    <mergeCell ref="C72:D72"/>
    <mergeCell ref="E72:F72"/>
    <mergeCell ref="G72:H72"/>
    <mergeCell ref="I72:J72"/>
    <mergeCell ref="A53:A54"/>
    <mergeCell ref="A55:A56"/>
    <mergeCell ref="A57:A58"/>
    <mergeCell ref="A59:A60"/>
    <mergeCell ref="A61:A62"/>
    <mergeCell ref="AH62:AJ62"/>
    <mergeCell ref="A41:A42"/>
    <mergeCell ref="A43:A44"/>
    <mergeCell ref="A45:A46"/>
    <mergeCell ref="A47:A48"/>
    <mergeCell ref="A49:A50"/>
    <mergeCell ref="A51:A52"/>
    <mergeCell ref="A13:A14"/>
    <mergeCell ref="AH14:AJ14"/>
    <mergeCell ref="A39:A40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15:A16"/>
    <mergeCell ref="AM1:AP1"/>
    <mergeCell ref="AQ1:AT1"/>
    <mergeCell ref="A3:A4"/>
    <mergeCell ref="U1:X1"/>
    <mergeCell ref="Y1:AB1"/>
    <mergeCell ref="G1:J1"/>
    <mergeCell ref="L1:O1"/>
    <mergeCell ref="P1:S1"/>
    <mergeCell ref="AD1:AG1"/>
    <mergeCell ref="AH1:AK1"/>
    <mergeCell ref="A7:A8"/>
    <mergeCell ref="A9:A10"/>
    <mergeCell ref="A11:A12"/>
    <mergeCell ref="A5:A6"/>
    <mergeCell ref="C1:F1"/>
  </mergeCell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17"/>
  <sheetViews>
    <sheetView topLeftCell="R1" zoomScale="44" zoomScaleNormal="44" workbookViewId="0">
      <selection activeCell="AR19" sqref="AR19"/>
    </sheetView>
  </sheetViews>
  <sheetFormatPr defaultRowHeight="15" x14ac:dyDescent="0.25"/>
  <cols>
    <col min="1" max="1" width="19.28515625" customWidth="1"/>
    <col min="3" max="4" width="11.28515625" customWidth="1"/>
    <col min="5" max="5" width="11" customWidth="1"/>
    <col min="6" max="6" width="11.5703125" customWidth="1"/>
    <col min="7" max="9" width="31.28515625" customWidth="1"/>
    <col min="10" max="10" width="31" customWidth="1"/>
    <col min="12" max="15" width="11" customWidth="1"/>
    <col min="16" max="17" width="31.5703125" customWidth="1"/>
    <col min="18" max="18" width="31.140625" customWidth="1"/>
    <col min="19" max="19" width="31.5703125" customWidth="1"/>
    <col min="21" max="21" width="11" customWidth="1"/>
    <col min="22" max="22" width="11.140625" customWidth="1"/>
    <col min="23" max="24" width="11" customWidth="1"/>
    <col min="25" max="25" width="31" customWidth="1"/>
    <col min="26" max="28" width="31.5703125" customWidth="1"/>
    <col min="30" max="30" width="11" customWidth="1"/>
    <col min="31" max="31" width="10.7109375" customWidth="1"/>
    <col min="32" max="32" width="11" customWidth="1"/>
    <col min="33" max="33" width="11.140625" customWidth="1"/>
    <col min="34" max="34" width="30.7109375" customWidth="1"/>
    <col min="35" max="35" width="31.5703125" customWidth="1"/>
    <col min="36" max="36" width="31.42578125" customWidth="1"/>
    <col min="37" max="37" width="31" customWidth="1"/>
    <col min="39" max="39" width="11.140625" customWidth="1"/>
    <col min="40" max="40" width="11.42578125" customWidth="1"/>
    <col min="41" max="41" width="11" customWidth="1"/>
    <col min="42" max="42" width="11.140625" customWidth="1"/>
    <col min="43" max="43" width="31" customWidth="1"/>
    <col min="44" max="44" width="30.85546875" customWidth="1"/>
    <col min="45" max="45" width="31" customWidth="1"/>
    <col min="46" max="46" width="26.42578125" customWidth="1"/>
  </cols>
  <sheetData>
    <row r="1" spans="1:46" ht="31.5" customHeight="1" x14ac:dyDescent="0.25">
      <c r="A1" s="524"/>
      <c r="B1" s="525"/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2" t="s">
        <v>206</v>
      </c>
      <c r="AR1" s="2252"/>
      <c r="AS1" s="2252"/>
      <c r="AT1" s="2253"/>
    </row>
    <row r="2" spans="1:46" ht="25.5" customHeight="1" x14ac:dyDescent="0.25">
      <c r="A2" s="1554" t="s">
        <v>0</v>
      </c>
      <c r="B2" s="1555" t="s">
        <v>198</v>
      </c>
      <c r="C2" s="1556" t="s">
        <v>199</v>
      </c>
      <c r="D2" s="1554" t="s">
        <v>200</v>
      </c>
      <c r="E2" s="1554" t="s">
        <v>201</v>
      </c>
      <c r="F2" s="1554" t="s">
        <v>204</v>
      </c>
      <c r="G2" s="1557" t="s">
        <v>199</v>
      </c>
      <c r="H2" s="1557" t="s">
        <v>200</v>
      </c>
      <c r="I2" s="1557" t="s">
        <v>201</v>
      </c>
      <c r="J2" s="1557" t="s">
        <v>204</v>
      </c>
      <c r="K2" s="1558" t="s">
        <v>269</v>
      </c>
      <c r="L2" s="1554" t="s">
        <v>199</v>
      </c>
      <c r="M2" s="1554" t="s">
        <v>200</v>
      </c>
      <c r="N2" s="1554" t="s">
        <v>201</v>
      </c>
      <c r="O2" s="1554" t="s">
        <v>204</v>
      </c>
      <c r="P2" s="1559" t="s">
        <v>199</v>
      </c>
      <c r="Q2" s="1554" t="s">
        <v>200</v>
      </c>
      <c r="R2" s="1554" t="s">
        <v>201</v>
      </c>
      <c r="S2" s="1554" t="s">
        <v>204</v>
      </c>
      <c r="T2" s="1558"/>
      <c r="U2" s="1554" t="s">
        <v>199</v>
      </c>
      <c r="V2" s="1554" t="s">
        <v>200</v>
      </c>
      <c r="W2" s="1554" t="s">
        <v>201</v>
      </c>
      <c r="X2" s="1554" t="s">
        <v>204</v>
      </c>
      <c r="Y2" s="1560" t="s">
        <v>199</v>
      </c>
      <c r="Z2" s="1554" t="s">
        <v>200</v>
      </c>
      <c r="AA2" s="1554" t="s">
        <v>201</v>
      </c>
      <c r="AB2" s="1554" t="s">
        <v>204</v>
      </c>
      <c r="AC2" s="1558"/>
      <c r="AD2" s="1554" t="s">
        <v>199</v>
      </c>
      <c r="AE2" s="1554" t="s">
        <v>200</v>
      </c>
      <c r="AF2" s="1554" t="s">
        <v>201</v>
      </c>
      <c r="AG2" s="1554" t="s">
        <v>204</v>
      </c>
      <c r="AH2" s="1559" t="s">
        <v>199</v>
      </c>
      <c r="AI2" s="1554" t="s">
        <v>200</v>
      </c>
      <c r="AJ2" s="1554" t="s">
        <v>201</v>
      </c>
      <c r="AK2" s="1554" t="s">
        <v>204</v>
      </c>
      <c r="AL2" s="1558"/>
      <c r="AM2" s="1554" t="s">
        <v>199</v>
      </c>
      <c r="AN2" s="1554" t="s">
        <v>200</v>
      </c>
      <c r="AO2" s="1554" t="s">
        <v>201</v>
      </c>
      <c r="AP2" s="1554" t="s">
        <v>204</v>
      </c>
      <c r="AQ2" s="1559" t="s">
        <v>199</v>
      </c>
      <c r="AR2" s="1554" t="s">
        <v>200</v>
      </c>
      <c r="AS2" s="1554" t="s">
        <v>201</v>
      </c>
      <c r="AT2" s="1554" t="s">
        <v>204</v>
      </c>
    </row>
    <row r="3" spans="1:46" ht="46.5" customHeight="1" x14ac:dyDescent="0.3">
      <c r="A3" s="2273">
        <v>45778</v>
      </c>
      <c r="B3" s="1496">
        <v>1</v>
      </c>
      <c r="C3" s="1499"/>
      <c r="D3" s="1500"/>
      <c r="E3" s="1408"/>
      <c r="F3" s="1501"/>
      <c r="G3" s="1418"/>
      <c r="H3" s="1410"/>
      <c r="I3" s="1404"/>
      <c r="J3" s="1502"/>
      <c r="K3" s="1406"/>
      <c r="L3" s="1503"/>
      <c r="M3" s="1504"/>
      <c r="N3" s="1504"/>
      <c r="O3" s="1505"/>
      <c r="P3" s="1506"/>
      <c r="Q3" s="1507"/>
      <c r="R3" s="1507"/>
      <c r="S3" s="1505"/>
      <c r="T3" s="1406"/>
      <c r="U3" s="1503"/>
      <c r="V3" s="1504"/>
      <c r="W3" s="1408">
        <v>20</v>
      </c>
      <c r="X3" s="1251"/>
      <c r="Y3" s="1438"/>
      <c r="Z3" s="1506"/>
      <c r="AA3" s="1233"/>
      <c r="AB3" s="1508"/>
      <c r="AC3" s="1406"/>
      <c r="AD3" s="1503"/>
      <c r="AE3" s="1504"/>
      <c r="AF3" s="1408"/>
      <c r="AG3" s="1505"/>
      <c r="AH3" s="1506"/>
      <c r="AI3" s="1506"/>
      <c r="AJ3" s="1416"/>
      <c r="AK3" s="1505"/>
      <c r="AL3" s="1414"/>
      <c r="AM3" s="1503"/>
      <c r="AN3" s="1504"/>
      <c r="AO3" s="1408"/>
      <c r="AP3" s="1505"/>
      <c r="AQ3" s="1506"/>
      <c r="AR3" s="1509"/>
      <c r="AS3" s="1416"/>
      <c r="AT3" s="1505"/>
    </row>
    <row r="4" spans="1:46" ht="65.25" customHeight="1" x14ac:dyDescent="0.3">
      <c r="A4" s="2274"/>
      <c r="B4" s="1497">
        <v>2</v>
      </c>
      <c r="C4" s="1510"/>
      <c r="D4" s="1401"/>
      <c r="E4" s="1401"/>
      <c r="F4" s="1402"/>
      <c r="G4" s="1426"/>
      <c r="H4" s="1410"/>
      <c r="I4" s="1404"/>
      <c r="J4" s="1405"/>
      <c r="K4" s="1406"/>
      <c r="L4" s="1407"/>
      <c r="M4" s="1408"/>
      <c r="N4" s="1408"/>
      <c r="O4" s="1251"/>
      <c r="P4" s="1409"/>
      <c r="Q4" s="1410"/>
      <c r="R4" s="1436"/>
      <c r="S4" s="1251"/>
      <c r="T4" s="1406"/>
      <c r="U4" s="1407"/>
      <c r="V4" s="1416"/>
      <c r="W4" s="1408">
        <v>6</v>
      </c>
      <c r="X4" s="1251"/>
      <c r="Y4" s="1426"/>
      <c r="Z4" s="1233"/>
      <c r="AA4" s="1233"/>
      <c r="AB4" s="1511"/>
      <c r="AC4" s="1406"/>
      <c r="AD4" s="1407">
        <v>10</v>
      </c>
      <c r="AE4" s="1408"/>
      <c r="AF4" s="1408"/>
      <c r="AG4" s="1251"/>
      <c r="AH4" s="1409" t="s">
        <v>842</v>
      </c>
      <c r="AI4" s="1233"/>
      <c r="AJ4" s="1408"/>
      <c r="AK4" s="1251"/>
      <c r="AL4" s="1414"/>
      <c r="AM4" s="1407"/>
      <c r="AN4" s="1408"/>
      <c r="AO4" s="1408"/>
      <c r="AP4" s="1251"/>
      <c r="AQ4" s="1409"/>
      <c r="AR4" s="1233"/>
      <c r="AS4" s="1408"/>
      <c r="AT4" s="1251"/>
    </row>
    <row r="5" spans="1:46" ht="48" customHeight="1" x14ac:dyDescent="0.3">
      <c r="A5" s="2273">
        <v>45779</v>
      </c>
      <c r="B5" s="1497">
        <v>1</v>
      </c>
      <c r="C5" s="1510"/>
      <c r="D5" s="1401"/>
      <c r="E5" s="1401">
        <v>8</v>
      </c>
      <c r="F5" s="1402"/>
      <c r="G5" s="1403"/>
      <c r="H5" s="1347" t="s">
        <v>152</v>
      </c>
      <c r="I5" s="1404"/>
      <c r="J5" s="1405"/>
      <c r="K5" s="1406"/>
      <c r="L5" s="1407"/>
      <c r="M5" s="1408"/>
      <c r="N5" s="1408"/>
      <c r="O5" s="1251"/>
      <c r="P5" s="1409"/>
      <c r="Q5" s="1408"/>
      <c r="R5" s="1408"/>
      <c r="S5" s="1251"/>
      <c r="T5" s="1406"/>
      <c r="U5" s="1407"/>
      <c r="V5" s="1408"/>
      <c r="W5" s="1408">
        <v>28</v>
      </c>
      <c r="X5" s="1251"/>
      <c r="Y5" s="1438"/>
      <c r="Z5" s="1410"/>
      <c r="AA5" s="1411" t="s">
        <v>152</v>
      </c>
      <c r="AB5" s="1412"/>
      <c r="AC5" s="1406"/>
      <c r="AD5" s="1407"/>
      <c r="AE5" s="1408"/>
      <c r="AF5" s="1408"/>
      <c r="AG5" s="1251"/>
      <c r="AH5" s="1409"/>
      <c r="AI5" s="1408"/>
      <c r="AJ5" s="1413"/>
      <c r="AK5" s="1251"/>
      <c r="AL5" s="1414"/>
      <c r="AM5" s="1407"/>
      <c r="AN5" s="1408"/>
      <c r="AO5" s="1408"/>
      <c r="AP5" s="1251"/>
      <c r="AQ5" s="1409"/>
      <c r="AR5" s="1415"/>
      <c r="AS5" s="1416"/>
      <c r="AT5" s="1417"/>
    </row>
    <row r="6" spans="1:46" ht="66" customHeight="1" x14ac:dyDescent="0.3">
      <c r="A6" s="2274"/>
      <c r="B6" s="1497">
        <v>2</v>
      </c>
      <c r="C6" s="1510"/>
      <c r="D6" s="1401"/>
      <c r="E6" s="1401">
        <v>10</v>
      </c>
      <c r="F6" s="1402"/>
      <c r="G6" s="1418"/>
      <c r="H6" s="1233" t="s">
        <v>152</v>
      </c>
      <c r="I6" s="1404"/>
      <c r="J6" s="1419"/>
      <c r="K6" s="1406"/>
      <c r="L6" s="1407"/>
      <c r="M6" s="1408"/>
      <c r="N6" s="1408"/>
      <c r="O6" s="1251"/>
      <c r="P6" s="1409"/>
      <c r="Q6" s="1410"/>
      <c r="R6" s="1408"/>
      <c r="S6" s="1419"/>
      <c r="T6" s="1406"/>
      <c r="U6" s="1407"/>
      <c r="V6" s="1408">
        <v>51</v>
      </c>
      <c r="W6" s="1408">
        <v>10</v>
      </c>
      <c r="X6" s="1251"/>
      <c r="Y6" s="1438"/>
      <c r="Z6" s="1410" t="s">
        <v>1094</v>
      </c>
      <c r="AA6" s="1233" t="s">
        <v>1078</v>
      </c>
      <c r="AB6" s="1419"/>
      <c r="AC6" s="1406"/>
      <c r="AD6" s="1407"/>
      <c r="AE6" s="1408"/>
      <c r="AF6" s="1408"/>
      <c r="AG6" s="1251"/>
      <c r="AH6" s="1409"/>
      <c r="AI6" s="1408"/>
      <c r="AJ6" s="1420"/>
      <c r="AK6" s="1419"/>
      <c r="AL6" s="1414"/>
      <c r="AM6" s="1407"/>
      <c r="AN6" s="1408"/>
      <c r="AO6" s="1408"/>
      <c r="AP6" s="1251"/>
      <c r="AQ6" s="1437"/>
      <c r="AR6" s="1421"/>
      <c r="AS6" s="1438"/>
      <c r="AT6" s="1419"/>
    </row>
    <row r="7" spans="1:46" ht="52.5" customHeight="1" x14ac:dyDescent="0.3">
      <c r="A7" s="2273">
        <v>45780</v>
      </c>
      <c r="B7" s="1497">
        <v>1</v>
      </c>
      <c r="C7" s="1510"/>
      <c r="D7" s="1401"/>
      <c r="E7" s="1401"/>
      <c r="F7" s="1402"/>
      <c r="G7" s="1418"/>
      <c r="H7" s="1233"/>
      <c r="I7" s="1404"/>
      <c r="J7" s="1419"/>
      <c r="K7" s="1406"/>
      <c r="L7" s="1407"/>
      <c r="M7" s="1409"/>
      <c r="N7" s="1408"/>
      <c r="O7" s="1251"/>
      <c r="P7" s="1409"/>
      <c r="Q7" s="1233"/>
      <c r="R7" s="1408"/>
      <c r="S7" s="1417"/>
      <c r="T7" s="1406"/>
      <c r="U7" s="1407"/>
      <c r="V7" s="1408"/>
      <c r="W7" s="1408">
        <v>17</v>
      </c>
      <c r="X7" s="1251"/>
      <c r="Y7" s="1438"/>
      <c r="Z7" s="1410"/>
      <c r="AA7" s="1411" t="s">
        <v>152</v>
      </c>
      <c r="AB7" s="1417"/>
      <c r="AC7" s="1406"/>
      <c r="AD7" s="1407">
        <v>163</v>
      </c>
      <c r="AE7" s="1408"/>
      <c r="AF7" s="1408"/>
      <c r="AG7" s="1251"/>
      <c r="AH7" s="1409" t="s">
        <v>1077</v>
      </c>
      <c r="AI7" s="1233"/>
      <c r="AJ7" s="1420"/>
      <c r="AK7" s="1422"/>
      <c r="AL7" s="1414"/>
      <c r="AM7" s="1407"/>
      <c r="AN7" s="1408"/>
      <c r="AO7" s="1408"/>
      <c r="AP7" s="1251"/>
      <c r="AQ7" s="1423"/>
      <c r="AR7" s="1424"/>
      <c r="AS7" s="1347"/>
      <c r="AT7" s="1425"/>
    </row>
    <row r="8" spans="1:46" ht="66" customHeight="1" x14ac:dyDescent="0.3">
      <c r="A8" s="2274"/>
      <c r="B8" s="1497">
        <v>2</v>
      </c>
      <c r="C8" s="1510"/>
      <c r="D8" s="1495"/>
      <c r="E8" s="1401"/>
      <c r="F8" s="1402"/>
      <c r="G8" s="1426"/>
      <c r="H8" s="1233"/>
      <c r="I8" s="1404"/>
      <c r="J8" s="1419"/>
      <c r="K8" s="1406"/>
      <c r="L8" s="1407"/>
      <c r="M8" s="1408"/>
      <c r="N8" s="1408"/>
      <c r="O8" s="1251"/>
      <c r="P8" s="1409"/>
      <c r="Q8" s="1408"/>
      <c r="R8" s="1416"/>
      <c r="S8" s="1417"/>
      <c r="T8" s="1406"/>
      <c r="U8" s="1427"/>
      <c r="V8" s="1424"/>
      <c r="W8" s="1409">
        <v>12</v>
      </c>
      <c r="X8" s="1251"/>
      <c r="Y8" s="1438"/>
      <c r="Z8" s="1437"/>
      <c r="AA8" s="1438" t="s">
        <v>152</v>
      </c>
      <c r="AB8" s="1419"/>
      <c r="AC8" s="1406"/>
      <c r="AD8" s="1407">
        <v>720</v>
      </c>
      <c r="AE8" s="1408"/>
      <c r="AF8" s="1408"/>
      <c r="AG8" s="1251"/>
      <c r="AH8" s="1409" t="s">
        <v>1077</v>
      </c>
      <c r="AI8" s="1416"/>
      <c r="AJ8" s="1420"/>
      <c r="AK8" s="1428"/>
      <c r="AL8" s="1414"/>
      <c r="AM8" s="1407"/>
      <c r="AN8" s="1408"/>
      <c r="AO8" s="1408"/>
      <c r="AP8" s="1251"/>
      <c r="AQ8" s="1423"/>
      <c r="AR8" s="1429"/>
      <c r="AS8" s="1409"/>
      <c r="AT8" s="1419"/>
    </row>
    <row r="9" spans="1:46" ht="51.75" customHeight="1" x14ac:dyDescent="0.3">
      <c r="A9" s="2273">
        <v>45781</v>
      </c>
      <c r="B9" s="1497">
        <v>1</v>
      </c>
      <c r="C9" s="1512"/>
      <c r="D9" s="1513"/>
      <c r="E9" s="1430"/>
      <c r="F9" s="1402"/>
      <c r="G9" s="1426"/>
      <c r="H9" s="1410"/>
      <c r="I9" s="1404"/>
      <c r="J9" s="1419"/>
      <c r="K9" s="1406"/>
      <c r="L9" s="1407"/>
      <c r="M9" s="1408"/>
      <c r="N9" s="1408"/>
      <c r="O9" s="1251"/>
      <c r="P9" s="1409"/>
      <c r="Q9" s="1408"/>
      <c r="R9" s="1416"/>
      <c r="S9" s="1419"/>
      <c r="T9" s="1406"/>
      <c r="U9" s="1427"/>
      <c r="V9" s="1409"/>
      <c r="W9" s="1408"/>
      <c r="X9" s="1251"/>
      <c r="Y9" s="1438"/>
      <c r="Z9" s="1408"/>
      <c r="AA9" s="1411"/>
      <c r="AB9" s="1419"/>
      <c r="AC9" s="1406"/>
      <c r="AD9" s="1407">
        <v>720</v>
      </c>
      <c r="AE9" s="1408"/>
      <c r="AF9" s="1408"/>
      <c r="AG9" s="1251"/>
      <c r="AH9" s="1409" t="s">
        <v>1077</v>
      </c>
      <c r="AI9" s="1408"/>
      <c r="AJ9" s="1408"/>
      <c r="AK9" s="1419"/>
      <c r="AL9" s="1414"/>
      <c r="AM9" s="1407"/>
      <c r="AN9" s="1408"/>
      <c r="AO9" s="1408"/>
      <c r="AP9" s="1251"/>
      <c r="AQ9" s="1423"/>
      <c r="AR9" s="1424"/>
      <c r="AS9" s="1409"/>
      <c r="AT9" s="1431"/>
    </row>
    <row r="10" spans="1:46" ht="66" customHeight="1" x14ac:dyDescent="0.3">
      <c r="A10" s="2274"/>
      <c r="B10" s="1497">
        <v>2</v>
      </c>
      <c r="C10" s="1512"/>
      <c r="D10" s="1514"/>
      <c r="E10" s="1430"/>
      <c r="F10" s="1402"/>
      <c r="G10" s="1432"/>
      <c r="H10" s="1433"/>
      <c r="I10" s="1347"/>
      <c r="J10" s="1419"/>
      <c r="K10" s="1406"/>
      <c r="L10" s="1407"/>
      <c r="M10" s="1408"/>
      <c r="N10" s="1408"/>
      <c r="O10" s="1251"/>
      <c r="P10" s="1409"/>
      <c r="Q10" s="1408"/>
      <c r="R10" s="1416"/>
      <c r="S10" s="1419"/>
      <c r="T10" s="1406"/>
      <c r="U10" s="1407"/>
      <c r="V10" s="1408"/>
      <c r="W10" s="1408"/>
      <c r="X10" s="1251"/>
      <c r="Y10" s="1438"/>
      <c r="Z10" s="1438"/>
      <c r="AA10" s="1406"/>
      <c r="AB10" s="1419"/>
      <c r="AC10" s="1406"/>
      <c r="AD10" s="1407">
        <v>720</v>
      </c>
      <c r="AE10" s="1408"/>
      <c r="AF10" s="1408"/>
      <c r="AG10" s="1251"/>
      <c r="AH10" s="1438" t="s">
        <v>1077</v>
      </c>
      <c r="AI10" s="1416"/>
      <c r="AJ10" s="1233"/>
      <c r="AK10" s="1419"/>
      <c r="AL10" s="1414"/>
      <c r="AM10" s="1407">
        <v>6</v>
      </c>
      <c r="AN10" s="1408"/>
      <c r="AO10" s="1408"/>
      <c r="AP10" s="1251"/>
      <c r="AQ10" s="1423" t="s">
        <v>315</v>
      </c>
      <c r="AR10" s="1434"/>
      <c r="AS10" s="1409"/>
      <c r="AT10" s="1419"/>
    </row>
    <row r="11" spans="1:46" ht="52.5" customHeight="1" x14ac:dyDescent="0.3">
      <c r="A11" s="2273">
        <v>45782</v>
      </c>
      <c r="B11" s="1497">
        <v>1</v>
      </c>
      <c r="C11" s="1512"/>
      <c r="D11" s="1515"/>
      <c r="E11" s="1430"/>
      <c r="F11" s="1402"/>
      <c r="G11" s="1435"/>
      <c r="H11" s="1433"/>
      <c r="I11" s="1347"/>
      <c r="J11" s="1405"/>
      <c r="K11" s="1406"/>
      <c r="L11" s="1407"/>
      <c r="M11" s="1408"/>
      <c r="N11" s="1408"/>
      <c r="O11" s="1251"/>
      <c r="P11" s="1409"/>
      <c r="Q11" s="1408"/>
      <c r="R11" s="1416"/>
      <c r="S11" s="1251"/>
      <c r="T11" s="1406"/>
      <c r="U11" s="1407"/>
      <c r="V11" s="1408"/>
      <c r="W11" s="1408"/>
      <c r="X11" s="1251"/>
      <c r="Y11" s="1438"/>
      <c r="Z11" s="1408"/>
      <c r="AA11" s="1411"/>
      <c r="AB11" s="1251"/>
      <c r="AC11" s="1406"/>
      <c r="AD11" s="1407">
        <v>720</v>
      </c>
      <c r="AE11" s="1408"/>
      <c r="AF11" s="1408"/>
      <c r="AG11" s="1251"/>
      <c r="AH11" s="1409" t="s">
        <v>1077</v>
      </c>
      <c r="AI11" s="1408"/>
      <c r="AJ11" s="1411"/>
      <c r="AK11" s="1251"/>
      <c r="AL11" s="1414"/>
      <c r="AM11" s="1407"/>
      <c r="AN11" s="1408"/>
      <c r="AO11" s="1408"/>
      <c r="AP11" s="1251"/>
      <c r="AQ11" s="1409"/>
      <c r="AR11" s="1436"/>
      <c r="AS11" s="1408"/>
      <c r="AT11" s="1417"/>
    </row>
    <row r="12" spans="1:46" ht="65.25" customHeight="1" x14ac:dyDescent="0.3">
      <c r="A12" s="2274"/>
      <c r="B12" s="1497">
        <v>2</v>
      </c>
      <c r="C12" s="1510"/>
      <c r="D12" s="1516"/>
      <c r="E12" s="1401"/>
      <c r="F12" s="1402"/>
      <c r="G12" s="1426"/>
      <c r="H12" s="1410"/>
      <c r="I12" s="1347"/>
      <c r="J12" s="1419"/>
      <c r="K12" s="1406"/>
      <c r="L12" s="1407"/>
      <c r="M12" s="1408"/>
      <c r="N12" s="1408"/>
      <c r="O12" s="1251"/>
      <c r="P12" s="1409"/>
      <c r="Q12" s="1408"/>
      <c r="R12" s="1416"/>
      <c r="S12" s="1419"/>
      <c r="T12" s="1406"/>
      <c r="U12" s="1407"/>
      <c r="V12" s="1408"/>
      <c r="W12" s="1408"/>
      <c r="X12" s="1251"/>
      <c r="Y12" s="1438"/>
      <c r="Z12" s="1233"/>
      <c r="AA12" s="1411"/>
      <c r="AB12" s="1419"/>
      <c r="AC12" s="1406"/>
      <c r="AD12" s="1407">
        <v>436</v>
      </c>
      <c r="AE12" s="1408"/>
      <c r="AF12" s="1408">
        <v>30</v>
      </c>
      <c r="AG12" s="1251"/>
      <c r="AH12" s="1409" t="s">
        <v>1077</v>
      </c>
      <c r="AI12" s="1416"/>
      <c r="AJ12" s="1416" t="s">
        <v>1095</v>
      </c>
      <c r="AK12" s="1419"/>
      <c r="AL12" s="1414"/>
      <c r="AM12" s="1407"/>
      <c r="AN12" s="1408"/>
      <c r="AO12" s="1408"/>
      <c r="AP12" s="1251"/>
      <c r="AQ12" s="1409"/>
      <c r="AR12" s="1408"/>
      <c r="AS12" s="1416"/>
      <c r="AT12" s="1419"/>
    </row>
    <row r="13" spans="1:46" ht="41.25" customHeight="1" x14ac:dyDescent="0.3">
      <c r="A13" s="2273">
        <v>45783</v>
      </c>
      <c r="B13" s="1497">
        <v>1</v>
      </c>
      <c r="C13" s="1510"/>
      <c r="D13" s="1401"/>
      <c r="E13" s="1401"/>
      <c r="F13" s="1402"/>
      <c r="G13" s="1426"/>
      <c r="H13" s="1410"/>
      <c r="I13" s="1404"/>
      <c r="J13" s="1419"/>
      <c r="K13" s="1406"/>
      <c r="L13" s="1407"/>
      <c r="M13" s="1408"/>
      <c r="N13" s="1408"/>
      <c r="O13" s="1402"/>
      <c r="P13" s="1409"/>
      <c r="Q13" s="1408"/>
      <c r="R13" s="1408"/>
      <c r="S13" s="1419"/>
      <c r="T13" s="1406"/>
      <c r="U13" s="1407"/>
      <c r="V13" s="1408"/>
      <c r="W13" s="1408"/>
      <c r="X13" s="1402"/>
      <c r="Y13" s="1438"/>
      <c r="Z13" s="1416"/>
      <c r="AA13" s="1411"/>
      <c r="AB13" s="1419"/>
      <c r="AC13" s="1406"/>
      <c r="AD13" s="1407"/>
      <c r="AE13" s="1408"/>
      <c r="AF13" s="1408"/>
      <c r="AG13" s="1402"/>
      <c r="AH13" s="1409"/>
      <c r="AI13" s="1408"/>
      <c r="AJ13" s="1411"/>
      <c r="AK13" s="1419"/>
      <c r="AL13" s="1414"/>
      <c r="AM13" s="1407"/>
      <c r="AN13" s="1408"/>
      <c r="AO13" s="1408"/>
      <c r="AP13" s="1402"/>
      <c r="AQ13" s="1409"/>
      <c r="AR13" s="1408"/>
      <c r="AS13" s="1233"/>
      <c r="AT13" s="1419"/>
    </row>
    <row r="14" spans="1:46" ht="51" customHeight="1" x14ac:dyDescent="0.3">
      <c r="A14" s="2274"/>
      <c r="B14" s="1497">
        <v>2</v>
      </c>
      <c r="C14" s="1510">
        <v>271</v>
      </c>
      <c r="D14" s="1401"/>
      <c r="E14" s="1401"/>
      <c r="F14" s="1402"/>
      <c r="G14" s="1426" t="s">
        <v>583</v>
      </c>
      <c r="H14" s="1233"/>
      <c r="I14" s="1404"/>
      <c r="J14" s="1419"/>
      <c r="K14" s="1406"/>
      <c r="L14" s="1407"/>
      <c r="M14" s="1408"/>
      <c r="N14" s="1408"/>
      <c r="O14" s="1402"/>
      <c r="P14" s="1438"/>
      <c r="Q14" s="1408"/>
      <c r="R14" s="1408"/>
      <c r="S14" s="1419"/>
      <c r="T14" s="1406"/>
      <c r="U14" s="1407"/>
      <c r="V14" s="1408"/>
      <c r="W14" s="1408"/>
      <c r="X14" s="1402"/>
      <c r="Y14" s="1438"/>
      <c r="Z14" s="1416"/>
      <c r="AA14" s="1411"/>
      <c r="AB14" s="1419"/>
      <c r="AC14" s="1406"/>
      <c r="AD14" s="1407">
        <v>87</v>
      </c>
      <c r="AE14" s="1408"/>
      <c r="AF14" s="1408"/>
      <c r="AG14" s="1402"/>
      <c r="AH14" s="2275" t="s">
        <v>1035</v>
      </c>
      <c r="AI14" s="2276"/>
      <c r="AJ14" s="2277"/>
      <c r="AK14" s="1419"/>
      <c r="AL14" s="1414"/>
      <c r="AM14" s="1407"/>
      <c r="AN14" s="1408"/>
      <c r="AO14" s="1439"/>
      <c r="AP14" s="1440"/>
      <c r="AQ14" s="1438"/>
      <c r="AR14" s="1408"/>
      <c r="AS14" s="1411"/>
      <c r="AT14" s="1419"/>
    </row>
    <row r="15" spans="1:46" ht="57" customHeight="1" x14ac:dyDescent="0.3">
      <c r="A15" s="2273">
        <v>45784</v>
      </c>
      <c r="B15" s="1497">
        <v>1</v>
      </c>
      <c r="C15" s="1510"/>
      <c r="D15" s="1495"/>
      <c r="E15" s="1415"/>
      <c r="F15" s="1441"/>
      <c r="G15" s="1442"/>
      <c r="H15" s="1443"/>
      <c r="I15" s="1444"/>
      <c r="J15" s="1441"/>
      <c r="K15" s="1406"/>
      <c r="L15" s="1445"/>
      <c r="M15" s="1415"/>
      <c r="N15" s="1415"/>
      <c r="O15" s="1446"/>
      <c r="P15" s="1447"/>
      <c r="Q15" s="1443"/>
      <c r="R15" s="1233"/>
      <c r="S15" s="1419"/>
      <c r="T15" s="1406"/>
      <c r="U15" s="1407"/>
      <c r="V15" s="1408"/>
      <c r="W15" s="1408">
        <v>5</v>
      </c>
      <c r="X15" s="1402"/>
      <c r="Y15" s="1426"/>
      <c r="Z15" s="1233"/>
      <c r="AA15" s="1411" t="s">
        <v>388</v>
      </c>
      <c r="AB15" s="1419"/>
      <c r="AC15" s="1406"/>
      <c r="AD15" s="1407"/>
      <c r="AE15" s="1408"/>
      <c r="AF15" s="1406"/>
      <c r="AG15" s="1402"/>
      <c r="AH15" s="1418"/>
      <c r="AI15" s="1233"/>
      <c r="AJ15" s="1416"/>
      <c r="AK15" s="1419"/>
      <c r="AL15" s="1414"/>
      <c r="AM15" s="1407"/>
      <c r="AN15" s="1408"/>
      <c r="AO15" s="1448"/>
      <c r="AP15" s="1449"/>
      <c r="AQ15" s="1347"/>
      <c r="AR15" s="1233"/>
      <c r="AS15" s="1233"/>
      <c r="AT15" s="1419"/>
    </row>
    <row r="16" spans="1:46" ht="63.75" customHeight="1" x14ac:dyDescent="0.3">
      <c r="A16" s="2274"/>
      <c r="B16" s="1497">
        <v>2</v>
      </c>
      <c r="C16" s="1512"/>
      <c r="D16" s="1517"/>
      <c r="E16" s="1450"/>
      <c r="F16" s="1451"/>
      <c r="G16" s="1452"/>
      <c r="H16" s="1453"/>
      <c r="I16" s="1454"/>
      <c r="J16" s="1455"/>
      <c r="K16" s="1456"/>
      <c r="L16" s="1457">
        <v>102</v>
      </c>
      <c r="M16" s="1458"/>
      <c r="N16" s="1458"/>
      <c r="O16" s="1451"/>
      <c r="P16" s="1459" t="s">
        <v>113</v>
      </c>
      <c r="Q16" s="1460"/>
      <c r="R16" s="1461"/>
      <c r="S16" s="1419"/>
      <c r="T16" s="1406"/>
      <c r="U16" s="1407"/>
      <c r="V16" s="1408"/>
      <c r="W16" s="1408"/>
      <c r="X16" s="1402"/>
      <c r="Y16" s="1462"/>
      <c r="Z16" s="1433"/>
      <c r="AA16" s="1463"/>
      <c r="AB16" s="1419"/>
      <c r="AC16" s="1406"/>
      <c r="AD16" s="1407"/>
      <c r="AE16" s="1408"/>
      <c r="AF16" s="1408"/>
      <c r="AG16" s="1402"/>
      <c r="AH16" s="1464"/>
      <c r="AI16" s="1433"/>
      <c r="AJ16" s="1461"/>
      <c r="AK16" s="1419"/>
      <c r="AL16" s="1414"/>
      <c r="AM16" s="1407">
        <v>363</v>
      </c>
      <c r="AN16" s="1408"/>
      <c r="AO16" s="1408"/>
      <c r="AP16" s="1402"/>
      <c r="AQ16" s="1465" t="s">
        <v>1077</v>
      </c>
      <c r="AR16" s="1433"/>
      <c r="AS16" s="1461"/>
      <c r="AT16" s="1419"/>
    </row>
    <row r="17" spans="1:46" ht="41.25" customHeight="1" x14ac:dyDescent="0.3">
      <c r="A17" s="2273">
        <v>45785</v>
      </c>
      <c r="B17" s="1498">
        <v>1</v>
      </c>
      <c r="C17" s="1510"/>
      <c r="D17" s="1518"/>
      <c r="E17" s="1466"/>
      <c r="F17" s="1467"/>
      <c r="G17" s="1468"/>
      <c r="H17" s="1469"/>
      <c r="I17" s="1470"/>
      <c r="J17" s="1471"/>
      <c r="K17" s="1406"/>
      <c r="L17" s="1472"/>
      <c r="M17" s="1436"/>
      <c r="N17" s="1436"/>
      <c r="O17" s="1467"/>
      <c r="P17" s="1468"/>
      <c r="Q17" s="1469"/>
      <c r="R17" s="1233"/>
      <c r="S17" s="1419"/>
      <c r="T17" s="1406"/>
      <c r="U17" s="1407"/>
      <c r="V17" s="1408"/>
      <c r="W17" s="1408"/>
      <c r="X17" s="1402"/>
      <c r="Y17" s="1426"/>
      <c r="Z17" s="1410"/>
      <c r="AA17" s="1463"/>
      <c r="AB17" s="1419"/>
      <c r="AC17" s="1406"/>
      <c r="AD17" s="1407"/>
      <c r="AE17" s="1408"/>
      <c r="AF17" s="1408"/>
      <c r="AG17" s="1402"/>
      <c r="AH17" s="1418"/>
      <c r="AI17" s="1410"/>
      <c r="AJ17" s="1233"/>
      <c r="AK17" s="1419"/>
      <c r="AL17" s="1414"/>
      <c r="AM17" s="1407"/>
      <c r="AN17" s="1408"/>
      <c r="AO17" s="1439"/>
      <c r="AP17" s="1449"/>
      <c r="AQ17" s="1463"/>
      <c r="AR17" s="1233"/>
      <c r="AS17" s="1411"/>
      <c r="AT17" s="1419"/>
    </row>
    <row r="18" spans="1:46" ht="64.5" customHeight="1" x14ac:dyDescent="0.3">
      <c r="A18" s="2274"/>
      <c r="B18" s="1497">
        <v>2</v>
      </c>
      <c r="C18" s="1510"/>
      <c r="D18" s="1401"/>
      <c r="E18" s="1401">
        <v>6</v>
      </c>
      <c r="F18" s="1402"/>
      <c r="G18" s="1426"/>
      <c r="H18" s="1473"/>
      <c r="I18" s="1404" t="s">
        <v>388</v>
      </c>
      <c r="J18" s="1419"/>
      <c r="K18" s="1406"/>
      <c r="L18" s="1407"/>
      <c r="M18" s="1408"/>
      <c r="N18" s="1408"/>
      <c r="O18" s="1402"/>
      <c r="P18" s="1426"/>
      <c r="Q18" s="1233"/>
      <c r="R18" s="1404"/>
      <c r="S18" s="1419"/>
      <c r="T18" s="1406"/>
      <c r="U18" s="1407"/>
      <c r="V18" s="1408">
        <v>15</v>
      </c>
      <c r="W18" s="1401"/>
      <c r="X18" s="1402"/>
      <c r="Y18" s="1426"/>
      <c r="Z18" s="1233" t="s">
        <v>276</v>
      </c>
      <c r="AA18" s="1411"/>
      <c r="AB18" s="1419"/>
      <c r="AC18" s="1406"/>
      <c r="AD18" s="1407"/>
      <c r="AE18" s="1408"/>
      <c r="AF18" s="1408"/>
      <c r="AG18" s="1402"/>
      <c r="AH18" s="1426"/>
      <c r="AI18" s="1233"/>
      <c r="AJ18" s="1410"/>
      <c r="AK18" s="1419"/>
      <c r="AL18" s="1414"/>
      <c r="AM18" s="1407"/>
      <c r="AN18" s="1408"/>
      <c r="AO18" s="1439"/>
      <c r="AP18" s="1440"/>
      <c r="AQ18" s="1474"/>
      <c r="AR18" s="1433"/>
      <c r="AS18" s="1475"/>
      <c r="AT18" s="1419"/>
    </row>
    <row r="19" spans="1:46" ht="50.25" customHeight="1" x14ac:dyDescent="0.3">
      <c r="A19" s="2273">
        <v>45786</v>
      </c>
      <c r="B19" s="1497">
        <v>1</v>
      </c>
      <c r="C19" s="1406"/>
      <c r="D19" s="1401">
        <v>62</v>
      </c>
      <c r="E19" s="1401"/>
      <c r="F19" s="1402"/>
      <c r="G19" s="1476"/>
      <c r="H19" s="1419" t="s">
        <v>1071</v>
      </c>
      <c r="I19" s="1347"/>
      <c r="J19" s="1419"/>
      <c r="K19" s="1406"/>
      <c r="L19" s="1407"/>
      <c r="M19" s="1408">
        <v>61</v>
      </c>
      <c r="N19" s="1408"/>
      <c r="O19" s="1402"/>
      <c r="P19" s="1407"/>
      <c r="Q19" s="1419" t="s">
        <v>1071</v>
      </c>
      <c r="R19" s="1408"/>
      <c r="S19" s="1419"/>
      <c r="T19" s="1406"/>
      <c r="U19" s="1407"/>
      <c r="V19" s="1408">
        <v>65</v>
      </c>
      <c r="W19" s="1408"/>
      <c r="X19" s="1402"/>
      <c r="Y19" s="1407"/>
      <c r="Z19" s="1416" t="s">
        <v>1071</v>
      </c>
      <c r="AA19" s="1463"/>
      <c r="AB19" s="1419"/>
      <c r="AC19" s="1406"/>
      <c r="AD19" s="1407">
        <v>37</v>
      </c>
      <c r="AE19" s="1408">
        <v>67</v>
      </c>
      <c r="AF19" s="1408"/>
      <c r="AG19" s="1402"/>
      <c r="AH19" s="1407" t="s">
        <v>997</v>
      </c>
      <c r="AI19" s="1416" t="s">
        <v>1071</v>
      </c>
      <c r="AJ19" s="1411"/>
      <c r="AK19" s="1419"/>
      <c r="AL19" s="1414"/>
      <c r="AM19" s="1407"/>
      <c r="AN19" s="1408">
        <v>67</v>
      </c>
      <c r="AO19" s="1408"/>
      <c r="AP19" s="1402"/>
      <c r="AQ19" s="1407"/>
      <c r="AR19" s="1416" t="s">
        <v>1071</v>
      </c>
      <c r="AS19" s="1233"/>
      <c r="AT19" s="1419"/>
    </row>
    <row r="20" spans="1:46" ht="65.25" customHeight="1" x14ac:dyDescent="0.3">
      <c r="A20" s="2274"/>
      <c r="B20" s="1497">
        <v>2</v>
      </c>
      <c r="C20" s="1510"/>
      <c r="D20" s="1401"/>
      <c r="E20" s="1401"/>
      <c r="F20" s="1402"/>
      <c r="G20" s="1476"/>
      <c r="H20" s="1416"/>
      <c r="I20" s="1347"/>
      <c r="J20" s="1419"/>
      <c r="K20" s="1406"/>
      <c r="L20" s="1407">
        <v>551</v>
      </c>
      <c r="M20" s="1408"/>
      <c r="N20" s="1408"/>
      <c r="O20" s="1402"/>
      <c r="P20" s="1476" t="s">
        <v>1096</v>
      </c>
      <c r="Q20" s="1416"/>
      <c r="R20" s="1404"/>
      <c r="S20" s="1419"/>
      <c r="T20" s="1406"/>
      <c r="U20" s="1407"/>
      <c r="V20" s="1408">
        <v>13</v>
      </c>
      <c r="W20" s="1408">
        <v>18</v>
      </c>
      <c r="X20" s="1402"/>
      <c r="Y20" s="1476"/>
      <c r="Z20" s="1416" t="s">
        <v>1098</v>
      </c>
      <c r="AA20" s="1233" t="s">
        <v>1097</v>
      </c>
      <c r="AB20" s="1419"/>
      <c r="AC20" s="1406"/>
      <c r="AD20" s="1407"/>
      <c r="AE20" s="1408"/>
      <c r="AF20" s="1408"/>
      <c r="AG20" s="1402"/>
      <c r="AH20" s="1476"/>
      <c r="AI20" s="1416"/>
      <c r="AJ20" s="1404"/>
      <c r="AK20" s="1419"/>
      <c r="AL20" s="1414"/>
      <c r="AM20" s="1407"/>
      <c r="AN20" s="1408"/>
      <c r="AO20" s="1408"/>
      <c r="AP20" s="1402"/>
      <c r="AQ20" s="1476"/>
      <c r="AR20" s="1416"/>
      <c r="AS20" s="1404"/>
      <c r="AT20" s="1419"/>
    </row>
    <row r="21" spans="1:46" ht="43.5" customHeight="1" x14ac:dyDescent="0.3">
      <c r="A21" s="2273">
        <v>45787</v>
      </c>
      <c r="B21" s="1497">
        <v>1</v>
      </c>
      <c r="C21" s="1510"/>
      <c r="D21" s="1401"/>
      <c r="E21" s="1401"/>
      <c r="F21" s="1402"/>
      <c r="G21" s="1477"/>
      <c r="H21" s="1410"/>
      <c r="I21" s="1347"/>
      <c r="J21" s="1478"/>
      <c r="K21" s="1406"/>
      <c r="L21" s="1407">
        <v>42</v>
      </c>
      <c r="M21" s="1408"/>
      <c r="N21" s="1408"/>
      <c r="O21" s="1402"/>
      <c r="P21" s="1407" t="s">
        <v>1100</v>
      </c>
      <c r="Q21" s="1416"/>
      <c r="R21" s="1408"/>
      <c r="S21" s="1478"/>
      <c r="T21" s="1406"/>
      <c r="U21" s="1407"/>
      <c r="V21" s="1408">
        <v>210</v>
      </c>
      <c r="W21" s="1408"/>
      <c r="X21" s="1402"/>
      <c r="Y21" s="1476"/>
      <c r="Z21" s="1408" t="s">
        <v>1099</v>
      </c>
      <c r="AA21" s="1233"/>
      <c r="AB21" s="1478"/>
      <c r="AC21" s="1406"/>
      <c r="AD21" s="1407"/>
      <c r="AE21" s="1408"/>
      <c r="AF21" s="1408"/>
      <c r="AG21" s="1402"/>
      <c r="AH21" s="1407"/>
      <c r="AI21" s="1408"/>
      <c r="AJ21" s="1411"/>
      <c r="AK21" s="1478"/>
      <c r="AL21" s="1414"/>
      <c r="AM21" s="1407"/>
      <c r="AN21" s="1408"/>
      <c r="AO21" s="1408"/>
      <c r="AP21" s="1402"/>
      <c r="AQ21" s="1407"/>
      <c r="AR21" s="1416"/>
      <c r="AS21" s="1411"/>
      <c r="AT21" s="1478"/>
    </row>
    <row r="22" spans="1:46" ht="66" customHeight="1" x14ac:dyDescent="0.3">
      <c r="A22" s="2274"/>
      <c r="B22" s="1497">
        <v>2</v>
      </c>
      <c r="C22" s="1510"/>
      <c r="D22" s="1401"/>
      <c r="E22" s="1401"/>
      <c r="F22" s="1402">
        <v>10</v>
      </c>
      <c r="G22" s="1479"/>
      <c r="H22" s="1233"/>
      <c r="I22" s="1404"/>
      <c r="J22" s="1419" t="s">
        <v>1101</v>
      </c>
      <c r="K22" s="1406"/>
      <c r="L22" s="1407"/>
      <c r="M22" s="1408"/>
      <c r="N22" s="1408"/>
      <c r="O22" s="1402"/>
      <c r="P22" s="1438"/>
      <c r="Q22" s="1233"/>
      <c r="R22" s="1408"/>
      <c r="S22" s="1419"/>
      <c r="T22" s="1406"/>
      <c r="U22" s="1407"/>
      <c r="V22" s="1408"/>
      <c r="W22" s="1408"/>
      <c r="X22" s="1402">
        <v>10</v>
      </c>
      <c r="Y22" s="1476"/>
      <c r="Z22" s="1233"/>
      <c r="AA22" s="1411"/>
      <c r="AB22" s="1419" t="s">
        <v>1101</v>
      </c>
      <c r="AC22" s="1406"/>
      <c r="AD22" s="1407"/>
      <c r="AE22" s="1408"/>
      <c r="AF22" s="1408"/>
      <c r="AG22" s="1402"/>
      <c r="AH22" s="1407"/>
      <c r="AI22" s="1408"/>
      <c r="AJ22" s="1420"/>
      <c r="AK22" s="1428"/>
      <c r="AL22" s="1414"/>
      <c r="AM22" s="1407"/>
      <c r="AN22" s="1408"/>
      <c r="AO22" s="1408"/>
      <c r="AP22" s="1402"/>
      <c r="AQ22" s="1407"/>
      <c r="AR22" s="1233"/>
      <c r="AS22" s="1480"/>
      <c r="AT22" s="1419"/>
    </row>
    <row r="23" spans="1:46" ht="51.75" customHeight="1" x14ac:dyDescent="0.3">
      <c r="A23" s="2273">
        <v>45788</v>
      </c>
      <c r="B23" s="1498">
        <v>1</v>
      </c>
      <c r="C23" s="1521"/>
      <c r="D23" s="1522"/>
      <c r="E23" s="1522"/>
      <c r="F23" s="1523"/>
      <c r="G23" s="1524"/>
      <c r="H23" s="1525"/>
      <c r="I23" s="1535"/>
      <c r="J23" s="1527"/>
      <c r="K23" s="1528"/>
      <c r="L23" s="1529"/>
      <c r="M23" s="1530"/>
      <c r="N23" s="1530"/>
      <c r="O23" s="1523"/>
      <c r="P23" s="1524"/>
      <c r="Q23" s="1525"/>
      <c r="R23" s="1533"/>
      <c r="S23" s="1527"/>
      <c r="T23" s="1528"/>
      <c r="U23" s="1529"/>
      <c r="V23" s="1530"/>
      <c r="W23" s="1530"/>
      <c r="X23" s="1523"/>
      <c r="Y23" s="1531"/>
      <c r="Z23" s="1526"/>
      <c r="AA23" s="1536"/>
      <c r="AB23" s="1527"/>
      <c r="AC23" s="1528"/>
      <c r="AD23" s="1529"/>
      <c r="AE23" s="1530"/>
      <c r="AF23" s="1537"/>
      <c r="AG23" s="1523"/>
      <c r="AH23" s="1529"/>
      <c r="AI23" s="1525"/>
      <c r="AJ23" s="1538"/>
      <c r="AK23" s="1539"/>
      <c r="AL23" s="1534"/>
      <c r="AM23" s="1529"/>
      <c r="AN23" s="1530"/>
      <c r="AO23" s="1530"/>
      <c r="AP23" s="1523"/>
      <c r="AQ23" s="1530"/>
      <c r="AR23" s="1525"/>
      <c r="AS23" s="1540"/>
      <c r="AT23" s="1527"/>
    </row>
    <row r="24" spans="1:46" ht="66.75" customHeight="1" x14ac:dyDescent="0.3">
      <c r="A24" s="2274"/>
      <c r="B24" s="1497">
        <v>2</v>
      </c>
      <c r="C24" s="1510"/>
      <c r="D24" s="1401"/>
      <c r="E24" s="1401"/>
      <c r="F24" s="1402"/>
      <c r="G24" s="1418"/>
      <c r="H24" s="1233"/>
      <c r="I24" s="1347"/>
      <c r="J24" s="1419"/>
      <c r="K24" s="1406"/>
      <c r="L24" s="1407"/>
      <c r="M24" s="1408"/>
      <c r="N24" s="1408"/>
      <c r="O24" s="1402"/>
      <c r="P24" s="1418"/>
      <c r="Q24" s="1410"/>
      <c r="R24" s="1233"/>
      <c r="S24" s="1419"/>
      <c r="T24" s="1481"/>
      <c r="U24" s="1409"/>
      <c r="V24" s="1482"/>
      <c r="W24" s="1463" t="s">
        <v>1102</v>
      </c>
      <c r="X24" s="1402"/>
      <c r="Y24" s="1404"/>
      <c r="Z24" s="1410"/>
      <c r="AA24" s="1411" t="s">
        <v>1103</v>
      </c>
      <c r="AB24" s="1419"/>
      <c r="AC24" s="1406"/>
      <c r="AD24" s="1407"/>
      <c r="AE24" s="1408"/>
      <c r="AF24" s="1409"/>
      <c r="AG24" s="1402"/>
      <c r="AH24" s="1404"/>
      <c r="AI24" s="1410"/>
      <c r="AJ24" s="1233"/>
      <c r="AK24" s="1419"/>
      <c r="AL24" s="1414"/>
      <c r="AM24" s="1407"/>
      <c r="AN24" s="1408"/>
      <c r="AO24" s="1408"/>
      <c r="AP24" s="1402"/>
      <c r="AQ24" s="1410"/>
      <c r="AR24" s="1410"/>
      <c r="AS24" s="1419"/>
      <c r="AT24" s="1419"/>
    </row>
    <row r="25" spans="1:46" ht="43.5" customHeight="1" x14ac:dyDescent="0.3">
      <c r="A25" s="2273">
        <v>45789</v>
      </c>
      <c r="B25" s="1497">
        <v>1</v>
      </c>
      <c r="C25" s="1521"/>
      <c r="D25" s="1522"/>
      <c r="E25" s="1522"/>
      <c r="F25" s="1523"/>
      <c r="G25" s="1524"/>
      <c r="H25" s="1525"/>
      <c r="I25" s="1526"/>
      <c r="J25" s="1527"/>
      <c r="K25" s="1528"/>
      <c r="L25" s="1529"/>
      <c r="M25" s="1530"/>
      <c r="N25" s="1530"/>
      <c r="O25" s="1523"/>
      <c r="P25" s="1529"/>
      <c r="Q25" s="1525"/>
      <c r="R25" s="1530"/>
      <c r="S25" s="1527"/>
      <c r="T25" s="1528"/>
      <c r="U25" s="1529"/>
      <c r="V25" s="1530"/>
      <c r="W25" s="1530"/>
      <c r="X25" s="1523"/>
      <c r="Y25" s="1531"/>
      <c r="Z25" s="1532"/>
      <c r="AA25" s="1533"/>
      <c r="AB25" s="1527"/>
      <c r="AC25" s="1528"/>
      <c r="AD25" s="1529"/>
      <c r="AE25" s="1530"/>
      <c r="AF25" s="1530"/>
      <c r="AG25" s="1523"/>
      <c r="AH25" s="1530"/>
      <c r="AI25" s="1532"/>
      <c r="AJ25" s="1533"/>
      <c r="AK25" s="1527"/>
      <c r="AL25" s="1534"/>
      <c r="AM25" s="1529"/>
      <c r="AN25" s="1530"/>
      <c r="AO25" s="1530"/>
      <c r="AP25" s="1523"/>
      <c r="AQ25" s="1530"/>
      <c r="AR25" s="1530"/>
      <c r="AS25" s="1533"/>
      <c r="AT25" s="1527"/>
    </row>
    <row r="26" spans="1:46" ht="64.5" customHeight="1" x14ac:dyDescent="0.3">
      <c r="A26" s="2274"/>
      <c r="B26" s="1497">
        <v>2</v>
      </c>
      <c r="C26" s="1510"/>
      <c r="D26" s="1401"/>
      <c r="E26" s="1401"/>
      <c r="F26" s="1402"/>
      <c r="G26" s="1418"/>
      <c r="H26" s="1233"/>
      <c r="I26" s="1404"/>
      <c r="J26" s="1419"/>
      <c r="K26" s="1406"/>
      <c r="L26" s="1407"/>
      <c r="M26" s="1408"/>
      <c r="N26" s="1408"/>
      <c r="O26" s="1402"/>
      <c r="P26" s="1418"/>
      <c r="Q26" s="1233"/>
      <c r="R26" s="1425"/>
      <c r="S26" s="1419"/>
      <c r="T26" s="1406"/>
      <c r="U26" s="1407"/>
      <c r="V26" s="1401"/>
      <c r="W26" s="1408">
        <v>23</v>
      </c>
      <c r="X26" s="1402"/>
      <c r="Y26" s="1404"/>
      <c r="Z26" s="1233"/>
      <c r="AA26" s="1411" t="s">
        <v>1103</v>
      </c>
      <c r="AB26" s="1419"/>
      <c r="AC26" s="1406"/>
      <c r="AD26" s="1407"/>
      <c r="AE26" s="1401"/>
      <c r="AF26" s="1408"/>
      <c r="AG26" s="1402"/>
      <c r="AH26" s="1404"/>
      <c r="AI26" s="1233"/>
      <c r="AJ26" s="1233"/>
      <c r="AK26" s="1419"/>
      <c r="AL26" s="1414"/>
      <c r="AM26" s="1407"/>
      <c r="AN26" s="1401"/>
      <c r="AO26" s="1408"/>
      <c r="AP26" s="1402"/>
      <c r="AQ26" s="1418"/>
      <c r="AR26" s="1233"/>
      <c r="AS26" s="1233"/>
      <c r="AT26" s="1419"/>
    </row>
    <row r="27" spans="1:46" ht="42" customHeight="1" x14ac:dyDescent="0.3">
      <c r="A27" s="2273">
        <v>45790</v>
      </c>
      <c r="B27" s="1498">
        <v>1</v>
      </c>
      <c r="C27" s="1521"/>
      <c r="D27" s="1522"/>
      <c r="E27" s="1522"/>
      <c r="F27" s="1523"/>
      <c r="G27" s="1524"/>
      <c r="H27" s="1525"/>
      <c r="I27" s="1535"/>
      <c r="J27" s="1527"/>
      <c r="K27" s="1528"/>
      <c r="L27" s="1529"/>
      <c r="M27" s="1530"/>
      <c r="N27" s="1530"/>
      <c r="O27" s="1523"/>
      <c r="P27" s="1524"/>
      <c r="Q27" s="1525"/>
      <c r="R27" s="1533"/>
      <c r="S27" s="1527"/>
      <c r="T27" s="1528"/>
      <c r="U27" s="1529"/>
      <c r="V27" s="1530"/>
      <c r="W27" s="1530"/>
      <c r="X27" s="1523"/>
      <c r="Y27" s="1524"/>
      <c r="Z27" s="1533"/>
      <c r="AA27" s="1536"/>
      <c r="AB27" s="1527"/>
      <c r="AC27" s="1528"/>
      <c r="AD27" s="1529"/>
      <c r="AE27" s="1530"/>
      <c r="AF27" s="1530"/>
      <c r="AG27" s="1523"/>
      <c r="AH27" s="1524"/>
      <c r="AI27" s="1532"/>
      <c r="AJ27" s="1533"/>
      <c r="AK27" s="1527"/>
      <c r="AL27" s="1534"/>
      <c r="AM27" s="1529"/>
      <c r="AN27" s="1530"/>
      <c r="AO27" s="1530"/>
      <c r="AP27" s="1523"/>
      <c r="AQ27" s="1532"/>
      <c r="AR27" s="1530"/>
      <c r="AS27" s="1533"/>
      <c r="AT27" s="1527"/>
    </row>
    <row r="28" spans="1:46" ht="66" customHeight="1" x14ac:dyDescent="0.3">
      <c r="A28" s="2274"/>
      <c r="B28" s="1498">
        <v>2</v>
      </c>
      <c r="C28" s="1521"/>
      <c r="D28" s="1522"/>
      <c r="E28" s="1522"/>
      <c r="F28" s="1523"/>
      <c r="G28" s="1533"/>
      <c r="H28" s="1533"/>
      <c r="I28" s="1540"/>
      <c r="J28" s="1527"/>
      <c r="K28" s="1528"/>
      <c r="L28" s="1529"/>
      <c r="M28" s="1530"/>
      <c r="N28" s="1530"/>
      <c r="O28" s="1523"/>
      <c r="P28" s="1533"/>
      <c r="Q28" s="1533"/>
      <c r="R28" s="1533"/>
      <c r="S28" s="1527"/>
      <c r="T28" s="1528"/>
      <c r="U28" s="1529"/>
      <c r="V28" s="1530"/>
      <c r="W28" s="1528"/>
      <c r="X28" s="1523"/>
      <c r="Y28" s="1533"/>
      <c r="Z28" s="1530"/>
      <c r="AA28" s="1541"/>
      <c r="AB28" s="1527"/>
      <c r="AC28" s="1528"/>
      <c r="AD28" s="1529"/>
      <c r="AE28" s="1530"/>
      <c r="AF28" s="1530"/>
      <c r="AG28" s="1523"/>
      <c r="AH28" s="1524"/>
      <c r="AI28" s="1532"/>
      <c r="AJ28" s="1541"/>
      <c r="AK28" s="1527"/>
      <c r="AL28" s="1534"/>
      <c r="AM28" s="1529"/>
      <c r="AN28" s="1530"/>
      <c r="AO28" s="1530"/>
      <c r="AP28" s="1523"/>
      <c r="AQ28" s="1532"/>
      <c r="AR28" s="1530"/>
      <c r="AS28" s="1533"/>
      <c r="AT28" s="1527"/>
    </row>
    <row r="29" spans="1:46" ht="45" customHeight="1" x14ac:dyDescent="0.3">
      <c r="A29" s="2273">
        <v>45791</v>
      </c>
      <c r="B29" s="1497">
        <v>1</v>
      </c>
      <c r="C29" s="1521"/>
      <c r="D29" s="1522"/>
      <c r="E29" s="1522"/>
      <c r="F29" s="1523"/>
      <c r="G29" s="1533"/>
      <c r="H29" s="1525"/>
      <c r="I29" s="1540"/>
      <c r="J29" s="1527"/>
      <c r="K29" s="1528"/>
      <c r="L29" s="1529"/>
      <c r="M29" s="1530"/>
      <c r="N29" s="1530"/>
      <c r="O29" s="1523"/>
      <c r="P29" s="1524"/>
      <c r="Q29" s="1533"/>
      <c r="R29" s="1533"/>
      <c r="S29" s="1527"/>
      <c r="T29" s="1528"/>
      <c r="U29" s="1529"/>
      <c r="V29" s="1530"/>
      <c r="W29" s="1530"/>
      <c r="X29" s="1523"/>
      <c r="Y29" s="1533"/>
      <c r="Z29" s="1525"/>
      <c r="AA29" s="1541"/>
      <c r="AB29" s="1527"/>
      <c r="AC29" s="1528"/>
      <c r="AD29" s="1529"/>
      <c r="AE29" s="1530"/>
      <c r="AF29" s="1530"/>
      <c r="AG29" s="1523"/>
      <c r="AH29" s="1524"/>
      <c r="AI29" s="1525"/>
      <c r="AJ29" s="1530"/>
      <c r="AK29" s="1527"/>
      <c r="AL29" s="1534"/>
      <c r="AM29" s="1529"/>
      <c r="AN29" s="1530"/>
      <c r="AO29" s="1530"/>
      <c r="AP29" s="1530"/>
      <c r="AQ29" s="1532"/>
      <c r="AR29" s="1525"/>
      <c r="AS29" s="1542"/>
      <c r="AT29" s="1527"/>
    </row>
    <row r="30" spans="1:46" ht="43.5" customHeight="1" x14ac:dyDescent="0.3">
      <c r="A30" s="2274"/>
      <c r="B30" s="1498">
        <v>2</v>
      </c>
      <c r="C30" s="1521"/>
      <c r="D30" s="1522"/>
      <c r="E30" s="1522"/>
      <c r="F30" s="1523"/>
      <c r="G30" s="1533"/>
      <c r="H30" s="1525"/>
      <c r="I30" s="1541"/>
      <c r="J30" s="1527"/>
      <c r="K30" s="1528"/>
      <c r="L30" s="1529"/>
      <c r="M30" s="1530"/>
      <c r="N30" s="1530"/>
      <c r="O30" s="1523"/>
      <c r="P30" s="1524"/>
      <c r="Q30" s="1533"/>
      <c r="R30" s="1533"/>
      <c r="S30" s="1527"/>
      <c r="T30" s="1528"/>
      <c r="U30" s="1529"/>
      <c r="V30" s="1530"/>
      <c r="W30" s="1530"/>
      <c r="X30" s="1523"/>
      <c r="Y30" s="1533"/>
      <c r="Z30" s="1543"/>
      <c r="AA30" s="1544"/>
      <c r="AB30" s="1527"/>
      <c r="AC30" s="1528"/>
      <c r="AD30" s="1529"/>
      <c r="AE30" s="1530"/>
      <c r="AF30" s="1530"/>
      <c r="AG30" s="1523"/>
      <c r="AH30" s="1524"/>
      <c r="AI30" s="1533"/>
      <c r="AJ30" s="1530"/>
      <c r="AK30" s="1527"/>
      <c r="AL30" s="1534"/>
      <c r="AM30" s="1529"/>
      <c r="AN30" s="1530"/>
      <c r="AO30" s="1530"/>
      <c r="AP30" s="1530"/>
      <c r="AQ30" s="1545"/>
      <c r="AR30" s="1525"/>
      <c r="AS30" s="1542"/>
      <c r="AT30" s="1546"/>
    </row>
    <row r="31" spans="1:46" ht="48" customHeight="1" x14ac:dyDescent="0.25">
      <c r="A31" s="2273">
        <v>45792</v>
      </c>
      <c r="B31" s="1218">
        <v>1</v>
      </c>
      <c r="C31" s="1521"/>
      <c r="D31" s="1522"/>
      <c r="E31" s="1522"/>
      <c r="F31" s="1523"/>
      <c r="G31" s="1524"/>
      <c r="H31" s="1547"/>
      <c r="I31" s="1548"/>
      <c r="J31" s="1527"/>
      <c r="K31" s="1528"/>
      <c r="L31" s="1529"/>
      <c r="M31" s="1530"/>
      <c r="N31" s="1530"/>
      <c r="O31" s="1523"/>
      <c r="P31" s="1537"/>
      <c r="Q31" s="1530"/>
      <c r="R31" s="1530"/>
      <c r="S31" s="1527"/>
      <c r="T31" s="1528"/>
      <c r="U31" s="1529"/>
      <c r="V31" s="1530"/>
      <c r="W31" s="1530"/>
      <c r="X31" s="1523"/>
      <c r="Y31" s="1549"/>
      <c r="Z31" s="1550"/>
      <c r="AA31" s="1544"/>
      <c r="AB31" s="1539"/>
      <c r="AC31" s="1528"/>
      <c r="AD31" s="1529"/>
      <c r="AE31" s="1530"/>
      <c r="AF31" s="1530"/>
      <c r="AG31" s="1523"/>
      <c r="AH31" s="1524"/>
      <c r="AI31" s="1530"/>
      <c r="AJ31" s="1530"/>
      <c r="AK31" s="1521"/>
      <c r="AL31" s="1522"/>
      <c r="AM31" s="1522"/>
      <c r="AN31" s="1523"/>
      <c r="AO31" s="1524"/>
      <c r="AP31" s="1547"/>
      <c r="AQ31" s="1548"/>
      <c r="AR31" s="1527"/>
      <c r="AS31" s="1528"/>
      <c r="AT31" s="1529"/>
    </row>
    <row r="32" spans="1:46" ht="44.25" customHeight="1" x14ac:dyDescent="0.3">
      <c r="A32" s="2274"/>
      <c r="B32" s="1218">
        <v>2</v>
      </c>
      <c r="C32" s="1519"/>
      <c r="D32" s="1430"/>
      <c r="E32" s="1482"/>
      <c r="F32" s="1430"/>
      <c r="G32" s="1418"/>
      <c r="H32" s="1420"/>
      <c r="I32" s="1483"/>
      <c r="J32" s="1419"/>
      <c r="K32" s="1406"/>
      <c r="L32" s="1407"/>
      <c r="M32" s="1408"/>
      <c r="N32" s="1408"/>
      <c r="O32" s="1408"/>
      <c r="P32" s="1409"/>
      <c r="Q32" s="1420"/>
      <c r="R32" s="1409"/>
      <c r="S32" s="1419"/>
      <c r="T32" s="1406"/>
      <c r="U32" s="1407"/>
      <c r="V32" s="1408"/>
      <c r="W32" s="1401">
        <v>19</v>
      </c>
      <c r="X32" s="1408"/>
      <c r="Y32" s="1464"/>
      <c r="Z32" s="1484"/>
      <c r="AA32" s="1485" t="s">
        <v>1103</v>
      </c>
      <c r="AB32" s="1428"/>
      <c r="AC32" s="1406"/>
      <c r="AD32" s="1407"/>
      <c r="AE32" s="1408"/>
      <c r="AF32" s="1401"/>
      <c r="AG32" s="1408"/>
      <c r="AH32" s="1418"/>
      <c r="AI32" s="1420"/>
      <c r="AJ32" s="1483"/>
      <c r="AK32" s="1419"/>
      <c r="AL32" s="1414"/>
      <c r="AM32" s="1407"/>
      <c r="AN32" s="1408"/>
      <c r="AO32" s="1408"/>
      <c r="AP32" s="1408"/>
      <c r="AQ32" s="1409"/>
      <c r="AR32" s="1410"/>
      <c r="AS32" s="1347"/>
      <c r="AT32" s="1417"/>
    </row>
    <row r="33" spans="1:46" ht="49.5" customHeight="1" x14ac:dyDescent="0.3">
      <c r="A33" s="2273">
        <v>45793</v>
      </c>
      <c r="B33" s="1218">
        <v>1</v>
      </c>
      <c r="C33" s="1521"/>
      <c r="D33" s="1522"/>
      <c r="E33" s="1522"/>
      <c r="F33" s="1523"/>
      <c r="G33" s="1524"/>
      <c r="H33" s="1547"/>
      <c r="I33" s="1548"/>
      <c r="J33" s="1527"/>
      <c r="K33" s="1528"/>
      <c r="L33" s="1529"/>
      <c r="M33" s="1530"/>
      <c r="N33" s="1530"/>
      <c r="O33" s="1523"/>
      <c r="P33" s="1537"/>
      <c r="Q33" s="1530"/>
      <c r="R33" s="1530"/>
      <c r="S33" s="1527"/>
      <c r="T33" s="1528"/>
      <c r="U33" s="1529"/>
      <c r="V33" s="1530"/>
      <c r="W33" s="1530"/>
      <c r="X33" s="1523"/>
      <c r="Y33" s="1537"/>
      <c r="Z33" s="1551"/>
      <c r="AA33" s="1552"/>
      <c r="AB33" s="1527"/>
      <c r="AC33" s="1528"/>
      <c r="AD33" s="1529"/>
      <c r="AE33" s="1530"/>
      <c r="AF33" s="1530"/>
      <c r="AG33" s="1523"/>
      <c r="AH33" s="1537"/>
      <c r="AI33" s="1553"/>
      <c r="AJ33" s="1548"/>
      <c r="AK33" s="1527"/>
      <c r="AL33" s="1534"/>
      <c r="AM33" s="1529"/>
      <c r="AN33" s="1530"/>
      <c r="AO33" s="1530"/>
      <c r="AP33" s="1530"/>
      <c r="AQ33" s="1537"/>
      <c r="AR33" s="1553"/>
      <c r="AS33" s="1537"/>
      <c r="AT33" s="1527"/>
    </row>
    <row r="34" spans="1:46" ht="43.5" customHeight="1" x14ac:dyDescent="0.3">
      <c r="A34" s="2274"/>
      <c r="B34" s="1244">
        <v>2</v>
      </c>
      <c r="C34" s="1401"/>
      <c r="D34" s="1401"/>
      <c r="E34" s="1401"/>
      <c r="F34" s="1402"/>
      <c r="G34" s="1426"/>
      <c r="H34" s="1233"/>
      <c r="I34" s="1411"/>
      <c r="J34" s="1419"/>
      <c r="K34" s="1406"/>
      <c r="L34" s="1407"/>
      <c r="M34" s="1408"/>
      <c r="N34" s="1408"/>
      <c r="O34" s="1402"/>
      <c r="P34" s="1409"/>
      <c r="Q34" s="1233"/>
      <c r="R34" s="1408"/>
      <c r="S34" s="1419"/>
      <c r="T34" s="1406"/>
      <c r="U34" s="1407"/>
      <c r="V34" s="1408"/>
      <c r="W34" s="1408">
        <v>48</v>
      </c>
      <c r="X34" s="1402"/>
      <c r="Y34" s="1416"/>
      <c r="Z34" s="1416"/>
      <c r="AA34" s="1485" t="s">
        <v>1103</v>
      </c>
      <c r="AB34" s="1419"/>
      <c r="AC34" s="1406"/>
      <c r="AD34" s="1407"/>
      <c r="AE34" s="1408"/>
      <c r="AF34" s="1408"/>
      <c r="AG34" s="1402"/>
      <c r="AH34" s="1409"/>
      <c r="AI34" s="1408"/>
      <c r="AJ34" s="1416"/>
      <c r="AK34" s="1419"/>
      <c r="AL34" s="1414"/>
      <c r="AM34" s="1407"/>
      <c r="AN34" s="1408"/>
      <c r="AO34" s="1408"/>
      <c r="AP34" s="1408"/>
      <c r="AQ34" s="1409"/>
      <c r="AR34" s="1486"/>
      <c r="AS34" s="1233"/>
      <c r="AT34" s="1419"/>
    </row>
    <row r="35" spans="1:46" ht="40.5" customHeight="1" x14ac:dyDescent="0.3">
      <c r="A35" s="2273">
        <v>45794</v>
      </c>
      <c r="B35" s="1218">
        <v>1</v>
      </c>
      <c r="C35" s="1401"/>
      <c r="D35" s="1401"/>
      <c r="E35" s="1480"/>
      <c r="F35" s="1402"/>
      <c r="G35" s="1476"/>
      <c r="H35" s="1409"/>
      <c r="I35" s="1411"/>
      <c r="J35" s="1419"/>
      <c r="K35" s="1406"/>
      <c r="L35" s="1407"/>
      <c r="M35" s="1408"/>
      <c r="N35" s="1408"/>
      <c r="O35" s="1402"/>
      <c r="P35" s="1476"/>
      <c r="Q35" s="1233"/>
      <c r="R35" s="1233"/>
      <c r="S35" s="1419"/>
      <c r="T35" s="1406"/>
      <c r="U35" s="1407"/>
      <c r="V35" s="1408"/>
      <c r="W35" s="1480">
        <v>11</v>
      </c>
      <c r="X35" s="1402"/>
      <c r="Y35" s="1476"/>
      <c r="Z35" s="1416"/>
      <c r="AA35" s="1411" t="s">
        <v>1103</v>
      </c>
      <c r="AB35" s="1419"/>
      <c r="AC35" s="1406"/>
      <c r="AD35" s="1407"/>
      <c r="AE35" s="1408"/>
      <c r="AF35" s="1408"/>
      <c r="AG35" s="1402"/>
      <c r="AH35" s="1476"/>
      <c r="AI35" s="1439"/>
      <c r="AJ35" s="1347"/>
      <c r="AK35" s="1419"/>
      <c r="AL35" s="1414"/>
      <c r="AM35" s="1407"/>
      <c r="AN35" s="1408"/>
      <c r="AO35" s="1408"/>
      <c r="AP35" s="1408"/>
      <c r="AQ35" s="1409"/>
      <c r="AR35" s="1486"/>
      <c r="AS35" s="1437"/>
      <c r="AT35" s="1419"/>
    </row>
    <row r="36" spans="1:46" ht="65.25" customHeight="1" x14ac:dyDescent="0.3">
      <c r="A36" s="2274"/>
      <c r="B36" s="1218">
        <v>2</v>
      </c>
      <c r="C36" s="1480"/>
      <c r="D36" s="1408">
        <v>39</v>
      </c>
      <c r="E36" s="1480">
        <v>15</v>
      </c>
      <c r="F36" s="1402"/>
      <c r="G36" s="1425"/>
      <c r="H36" s="1233" t="s">
        <v>1104</v>
      </c>
      <c r="I36" s="1425" t="s">
        <v>1097</v>
      </c>
      <c r="J36" s="1419"/>
      <c r="K36" s="1406"/>
      <c r="L36" s="1476">
        <v>60</v>
      </c>
      <c r="M36" s="1408"/>
      <c r="N36" s="1408"/>
      <c r="O36" s="1402"/>
      <c r="P36" s="1476" t="s">
        <v>1093</v>
      </c>
      <c r="Q36" s="1233"/>
      <c r="R36" s="1416"/>
      <c r="S36" s="1419"/>
      <c r="T36" s="1406"/>
      <c r="U36" s="1407"/>
      <c r="V36" s="1408"/>
      <c r="W36" s="1408">
        <v>69</v>
      </c>
      <c r="X36" s="1402"/>
      <c r="Y36" s="1476"/>
      <c r="Z36" s="1233"/>
      <c r="AA36" s="1411" t="s">
        <v>1103</v>
      </c>
      <c r="AB36" s="1419"/>
      <c r="AC36" s="1406"/>
      <c r="AD36" s="1407"/>
      <c r="AE36" s="1408"/>
      <c r="AF36" s="1480"/>
      <c r="AG36" s="1402"/>
      <c r="AH36" s="1476"/>
      <c r="AI36" s="1486"/>
      <c r="AJ36" s="1483"/>
      <c r="AK36" s="1419"/>
      <c r="AL36" s="1414"/>
      <c r="AM36" s="1407"/>
      <c r="AN36" s="1408"/>
      <c r="AO36" s="1408"/>
      <c r="AP36" s="1408"/>
      <c r="AQ36" s="1409"/>
      <c r="AR36" s="1486"/>
      <c r="AS36" s="1438"/>
      <c r="AT36" s="1419"/>
    </row>
    <row r="37" spans="1:46" ht="50.25" customHeight="1" x14ac:dyDescent="0.3">
      <c r="A37" s="2273">
        <v>45795</v>
      </c>
      <c r="B37" s="1244">
        <v>1</v>
      </c>
      <c r="C37" s="1480"/>
      <c r="D37" s="1401"/>
      <c r="E37" s="1480"/>
      <c r="F37" s="1402">
        <v>68</v>
      </c>
      <c r="G37" s="1425"/>
      <c r="H37" s="1438"/>
      <c r="I37" s="1404"/>
      <c r="J37" s="1419" t="s">
        <v>1071</v>
      </c>
      <c r="K37" s="1406"/>
      <c r="L37" s="1407"/>
      <c r="M37" s="1408"/>
      <c r="N37" s="1408"/>
      <c r="O37" s="1402">
        <v>68</v>
      </c>
      <c r="P37" s="1409"/>
      <c r="Q37" s="1233"/>
      <c r="R37" s="1408"/>
      <c r="S37" s="1419" t="s">
        <v>1071</v>
      </c>
      <c r="T37" s="1406"/>
      <c r="U37" s="1407"/>
      <c r="V37" s="1408"/>
      <c r="W37" s="1408">
        <v>16</v>
      </c>
      <c r="X37" s="1402">
        <v>68</v>
      </c>
      <c r="Y37" s="1409"/>
      <c r="Z37" s="1416"/>
      <c r="AA37" s="1411" t="s">
        <v>1103</v>
      </c>
      <c r="AB37" s="1419" t="s">
        <v>1071</v>
      </c>
      <c r="AC37" s="1406"/>
      <c r="AD37" s="1407"/>
      <c r="AE37" s="1408"/>
      <c r="AF37" s="1408"/>
      <c r="AG37" s="1402">
        <v>68</v>
      </c>
      <c r="AH37" s="1438"/>
      <c r="AI37" s="1408"/>
      <c r="AJ37" s="1411"/>
      <c r="AK37" s="1419" t="s">
        <v>1071</v>
      </c>
      <c r="AL37" s="1414"/>
      <c r="AM37" s="1407"/>
      <c r="AN37" s="1408"/>
      <c r="AO37" s="1408"/>
      <c r="AP37" s="1408">
        <v>68</v>
      </c>
      <c r="AQ37" s="1409"/>
      <c r="AR37" s="1486"/>
      <c r="AS37" s="1409"/>
      <c r="AT37" s="1419" t="s">
        <v>1071</v>
      </c>
    </row>
    <row r="38" spans="1:46" ht="66" customHeight="1" x14ac:dyDescent="0.3">
      <c r="A38" s="2274"/>
      <c r="B38" s="1218">
        <v>2</v>
      </c>
      <c r="C38" s="1480"/>
      <c r="D38" s="1401"/>
      <c r="E38" s="1480">
        <v>55</v>
      </c>
      <c r="F38" s="1402">
        <v>91</v>
      </c>
      <c r="G38" s="1425"/>
      <c r="H38" s="1438"/>
      <c r="I38" s="1404" t="s">
        <v>1103</v>
      </c>
      <c r="J38" s="1419" t="s">
        <v>1071</v>
      </c>
      <c r="K38" s="1406"/>
      <c r="L38" s="1407"/>
      <c r="M38" s="1408"/>
      <c r="N38" s="1408"/>
      <c r="O38" s="1402">
        <v>135</v>
      </c>
      <c r="P38" s="1438"/>
      <c r="Q38" s="1438"/>
      <c r="R38" s="1408"/>
      <c r="S38" s="1419" t="s">
        <v>1071</v>
      </c>
      <c r="T38" s="1406"/>
      <c r="U38" s="1407"/>
      <c r="V38" s="1408"/>
      <c r="W38" s="1408">
        <v>22</v>
      </c>
      <c r="X38" s="1402">
        <v>150</v>
      </c>
      <c r="Y38" s="1438"/>
      <c r="Z38" s="1416"/>
      <c r="AA38" s="1411" t="s">
        <v>1103</v>
      </c>
      <c r="AB38" s="1419" t="s">
        <v>1071</v>
      </c>
      <c r="AC38" s="1406"/>
      <c r="AD38" s="1407"/>
      <c r="AE38" s="1408"/>
      <c r="AF38" s="1408"/>
      <c r="AG38" s="1402">
        <v>107</v>
      </c>
      <c r="AH38" s="1438"/>
      <c r="AI38" s="1408"/>
      <c r="AJ38" s="1411"/>
      <c r="AK38" s="1419" t="s">
        <v>1071</v>
      </c>
      <c r="AL38" s="1414"/>
      <c r="AM38" s="1407"/>
      <c r="AN38" s="1408"/>
      <c r="AO38" s="1408"/>
      <c r="AP38" s="1408">
        <v>95</v>
      </c>
      <c r="AQ38" s="1409"/>
      <c r="AR38" s="1486"/>
      <c r="AS38" s="1438"/>
      <c r="AT38" s="1419" t="s">
        <v>1071</v>
      </c>
    </row>
    <row r="39" spans="1:46" ht="41.25" customHeight="1" x14ac:dyDescent="0.3">
      <c r="A39" s="2273">
        <v>45796</v>
      </c>
      <c r="B39" s="1218">
        <v>1</v>
      </c>
      <c r="C39" s="1480"/>
      <c r="D39" s="1401"/>
      <c r="E39" s="1401"/>
      <c r="F39" s="1402"/>
      <c r="G39" s="1425"/>
      <c r="H39" s="1438"/>
      <c r="I39" s="1404"/>
      <c r="J39" s="1419"/>
      <c r="K39" s="1406"/>
      <c r="L39" s="1407"/>
      <c r="M39" s="1408"/>
      <c r="N39" s="1408"/>
      <c r="O39" s="1402"/>
      <c r="P39" s="1425"/>
      <c r="Q39" s="1233"/>
      <c r="R39" s="1408"/>
      <c r="S39" s="1419"/>
      <c r="T39" s="1406"/>
      <c r="U39" s="1407"/>
      <c r="V39" s="1408"/>
      <c r="W39" s="1408">
        <v>20</v>
      </c>
      <c r="X39" s="1402"/>
      <c r="Y39" s="1409"/>
      <c r="Z39" s="1233"/>
      <c r="AA39" s="1411" t="s">
        <v>1103</v>
      </c>
      <c r="AB39" s="1419"/>
      <c r="AC39" s="1406"/>
      <c r="AD39" s="1407"/>
      <c r="AE39" s="1408"/>
      <c r="AF39" s="1408"/>
      <c r="AG39" s="1402"/>
      <c r="AH39" s="1425"/>
      <c r="AI39" s="1410"/>
      <c r="AJ39" s="1411"/>
      <c r="AK39" s="1419"/>
      <c r="AL39" s="1414"/>
      <c r="AM39" s="1407"/>
      <c r="AN39" s="1408"/>
      <c r="AO39" s="1408"/>
      <c r="AP39" s="1408"/>
      <c r="AQ39" s="1409"/>
      <c r="AR39" s="1486"/>
      <c r="AS39" s="1483"/>
      <c r="AT39" s="1419"/>
    </row>
    <row r="40" spans="1:46" ht="49.5" customHeight="1" x14ac:dyDescent="0.3">
      <c r="A40" s="2274"/>
      <c r="B40" s="1218">
        <v>2</v>
      </c>
      <c r="C40" s="1401"/>
      <c r="D40" s="1401"/>
      <c r="E40" s="1401"/>
      <c r="F40" s="1402"/>
      <c r="G40" s="1425"/>
      <c r="H40" s="1438"/>
      <c r="I40" s="1404"/>
      <c r="J40" s="1419"/>
      <c r="K40" s="1406"/>
      <c r="L40" s="1407">
        <v>203</v>
      </c>
      <c r="M40" s="1408"/>
      <c r="N40" s="1408"/>
      <c r="O40" s="1402"/>
      <c r="P40" s="1418" t="s">
        <v>1105</v>
      </c>
      <c r="Q40" s="1410"/>
      <c r="R40" s="1425"/>
      <c r="S40" s="1419"/>
      <c r="T40" s="1406"/>
      <c r="U40" s="1407"/>
      <c r="V40" s="1408"/>
      <c r="W40" s="1408"/>
      <c r="X40" s="1402"/>
      <c r="Y40" s="1438"/>
      <c r="Z40" s="1408"/>
      <c r="AA40" s="1411"/>
      <c r="AB40" s="1419"/>
      <c r="AC40" s="1406"/>
      <c r="AD40" s="1407"/>
      <c r="AE40" s="1408"/>
      <c r="AF40" s="1408"/>
      <c r="AG40" s="1402"/>
      <c r="AH40" s="1476"/>
      <c r="AI40" s="1233"/>
      <c r="AJ40" s="1411"/>
      <c r="AK40" s="1419"/>
      <c r="AL40" s="1414"/>
      <c r="AM40" s="1476"/>
      <c r="AN40" s="1408"/>
      <c r="AO40" s="1408"/>
      <c r="AP40" s="1408"/>
      <c r="AQ40" s="1409"/>
      <c r="AR40" s="1486"/>
      <c r="AS40" s="1425"/>
      <c r="AT40" s="1419"/>
    </row>
    <row r="41" spans="1:46" ht="49.5" customHeight="1" x14ac:dyDescent="0.3">
      <c r="A41" s="2273">
        <v>45797</v>
      </c>
      <c r="B41" s="1218">
        <v>1</v>
      </c>
      <c r="C41" s="1521"/>
      <c r="D41" s="1522"/>
      <c r="E41" s="1522"/>
      <c r="F41" s="1523"/>
      <c r="G41" s="1524"/>
      <c r="H41" s="1533"/>
      <c r="I41" s="1526"/>
      <c r="J41" s="1527"/>
      <c r="K41" s="1528"/>
      <c r="L41" s="1529"/>
      <c r="M41" s="1530"/>
      <c r="N41" s="1530"/>
      <c r="O41" s="1523"/>
      <c r="P41" s="1537"/>
      <c r="Q41" s="1530"/>
      <c r="R41" s="1540"/>
      <c r="S41" s="1527"/>
      <c r="T41" s="1528"/>
      <c r="U41" s="1529"/>
      <c r="V41" s="1530"/>
      <c r="W41" s="1530"/>
      <c r="X41" s="1523"/>
      <c r="Y41" s="1537"/>
      <c r="Z41" s="1532"/>
      <c r="AA41" s="1541"/>
      <c r="AB41" s="1527"/>
      <c r="AC41" s="1528"/>
      <c r="AD41" s="1529"/>
      <c r="AE41" s="1530"/>
      <c r="AF41" s="1530"/>
      <c r="AG41" s="1523"/>
      <c r="AH41" s="1531"/>
      <c r="AI41" s="1532"/>
      <c r="AJ41" s="1530"/>
      <c r="AK41" s="1527"/>
      <c r="AL41" s="1534"/>
      <c r="AM41" s="1529"/>
      <c r="AN41" s="1530"/>
      <c r="AO41" s="1530"/>
      <c r="AP41" s="1530"/>
      <c r="AQ41" s="1537"/>
      <c r="AR41" s="1553"/>
      <c r="AS41" s="1540"/>
      <c r="AT41" s="1527"/>
    </row>
    <row r="42" spans="1:46" ht="66" customHeight="1" x14ac:dyDescent="0.3">
      <c r="A42" s="2274"/>
      <c r="B42" s="1218">
        <v>2</v>
      </c>
      <c r="C42" s="1401"/>
      <c r="D42" s="1401"/>
      <c r="E42" s="1401"/>
      <c r="F42" s="1402">
        <v>146</v>
      </c>
      <c r="G42" s="1418"/>
      <c r="H42" s="1233"/>
      <c r="I42" s="1425"/>
      <c r="J42" s="1419" t="s">
        <v>1071</v>
      </c>
      <c r="K42" s="1406"/>
      <c r="L42" s="1407"/>
      <c r="M42" s="1408"/>
      <c r="N42" s="1408"/>
      <c r="O42" s="1402">
        <v>128</v>
      </c>
      <c r="P42" s="1409"/>
      <c r="Q42" s="1416"/>
      <c r="R42" s="1408"/>
      <c r="S42" s="1419" t="s">
        <v>1071</v>
      </c>
      <c r="T42" s="1406"/>
      <c r="U42" s="1407"/>
      <c r="V42" s="1408"/>
      <c r="W42" s="1408"/>
      <c r="X42" s="1402">
        <v>138</v>
      </c>
      <c r="Y42" s="1438"/>
      <c r="Z42" s="1408"/>
      <c r="AA42" s="1411"/>
      <c r="AB42" s="1419" t="s">
        <v>1071</v>
      </c>
      <c r="AC42" s="1406"/>
      <c r="AD42" s="1407"/>
      <c r="AE42" s="1408"/>
      <c r="AF42" s="1408"/>
      <c r="AG42" s="1402">
        <v>149</v>
      </c>
      <c r="AH42" s="1409"/>
      <c r="AI42" s="1416"/>
      <c r="AJ42" s="1408"/>
      <c r="AK42" s="1419" t="s">
        <v>1071</v>
      </c>
      <c r="AL42" s="1414"/>
      <c r="AM42" s="1407"/>
      <c r="AN42" s="1408"/>
      <c r="AO42" s="1408"/>
      <c r="AP42" s="1408">
        <v>151</v>
      </c>
      <c r="AQ42" s="1409"/>
      <c r="AR42" s="1486"/>
      <c r="AS42" s="1408"/>
      <c r="AT42" s="1419" t="s">
        <v>1071</v>
      </c>
    </row>
    <row r="43" spans="1:46" ht="50.25" customHeight="1" x14ac:dyDescent="0.3">
      <c r="A43" s="2273">
        <v>45798</v>
      </c>
      <c r="B43" s="1218">
        <v>1</v>
      </c>
      <c r="C43" s="1522"/>
      <c r="D43" s="1522"/>
      <c r="E43" s="1522"/>
      <c r="F43" s="1523"/>
      <c r="G43" s="1525"/>
      <c r="H43" s="1525"/>
      <c r="I43" s="1540"/>
      <c r="J43" s="1527"/>
      <c r="K43" s="1528"/>
      <c r="L43" s="1529"/>
      <c r="M43" s="1530"/>
      <c r="N43" s="1530"/>
      <c r="O43" s="1523"/>
      <c r="P43" s="1537"/>
      <c r="Q43" s="1530"/>
      <c r="R43" s="1530"/>
      <c r="S43" s="1527"/>
      <c r="T43" s="1528"/>
      <c r="U43" s="1529"/>
      <c r="V43" s="1530"/>
      <c r="W43" s="1530"/>
      <c r="X43" s="1523"/>
      <c r="Y43" s="1537"/>
      <c r="Z43" s="1530"/>
      <c r="AA43" s="1541"/>
      <c r="AB43" s="1527"/>
      <c r="AC43" s="1528"/>
      <c r="AD43" s="1529"/>
      <c r="AE43" s="1530"/>
      <c r="AF43" s="1530"/>
      <c r="AG43" s="1523"/>
      <c r="AH43" s="1532"/>
      <c r="AI43" s="1533"/>
      <c r="AJ43" s="1530"/>
      <c r="AK43" s="1527"/>
      <c r="AL43" s="1534"/>
      <c r="AM43" s="1529"/>
      <c r="AN43" s="1530"/>
      <c r="AO43" s="1530"/>
      <c r="AP43" s="1530"/>
      <c r="AQ43" s="1532"/>
      <c r="AR43" s="1553"/>
      <c r="AS43" s="1530"/>
      <c r="AT43" s="1527"/>
    </row>
    <row r="44" spans="1:46" ht="66" customHeight="1" x14ac:dyDescent="0.3">
      <c r="A44" s="2274"/>
      <c r="B44" s="1218">
        <v>2</v>
      </c>
      <c r="C44" s="1522"/>
      <c r="D44" s="1522"/>
      <c r="E44" s="1522"/>
      <c r="F44" s="1523"/>
      <c r="G44" s="1525"/>
      <c r="H44" s="1545"/>
      <c r="I44" s="1540"/>
      <c r="J44" s="1527"/>
      <c r="K44" s="1528"/>
      <c r="L44" s="1529"/>
      <c r="M44" s="1530"/>
      <c r="N44" s="1530"/>
      <c r="O44" s="1562"/>
      <c r="P44" s="1545"/>
      <c r="Q44" s="1530"/>
      <c r="R44" s="1532"/>
      <c r="S44" s="1527"/>
      <c r="T44" s="1528"/>
      <c r="U44" s="1529"/>
      <c r="V44" s="1530"/>
      <c r="W44" s="1522"/>
      <c r="X44" s="1523"/>
      <c r="Y44" s="1525"/>
      <c r="Z44" s="1533"/>
      <c r="AA44" s="1541"/>
      <c r="AB44" s="1527"/>
      <c r="AC44" s="1528"/>
      <c r="AD44" s="1529"/>
      <c r="AE44" s="1530"/>
      <c r="AF44" s="1530"/>
      <c r="AG44" s="1562"/>
      <c r="AH44" s="1537"/>
      <c r="AI44" s="1532"/>
      <c r="AJ44" s="1541"/>
      <c r="AK44" s="1527"/>
      <c r="AL44" s="1534"/>
      <c r="AM44" s="1529"/>
      <c r="AN44" s="1530"/>
      <c r="AO44" s="1530"/>
      <c r="AP44" s="1530"/>
      <c r="AQ44" s="1537"/>
      <c r="AR44" s="1532"/>
      <c r="AS44" s="1532"/>
      <c r="AT44" s="1527"/>
    </row>
    <row r="45" spans="1:46" ht="41.25" customHeight="1" x14ac:dyDescent="0.3">
      <c r="A45" s="2273">
        <v>45799</v>
      </c>
      <c r="B45" s="1218">
        <v>1</v>
      </c>
      <c r="C45" s="1522"/>
      <c r="D45" s="1522"/>
      <c r="E45" s="1522"/>
      <c r="F45" s="1523"/>
      <c r="G45" s="1525"/>
      <c r="H45" s="1525"/>
      <c r="I45" s="1540"/>
      <c r="J45" s="1527"/>
      <c r="K45" s="1528"/>
      <c r="L45" s="1529"/>
      <c r="M45" s="1530"/>
      <c r="N45" s="1530"/>
      <c r="O45" s="1562"/>
      <c r="P45" s="1537"/>
      <c r="Q45" s="1532"/>
      <c r="R45" s="1530"/>
      <c r="S45" s="1527"/>
      <c r="T45" s="1528"/>
      <c r="U45" s="1529"/>
      <c r="V45" s="1532"/>
      <c r="W45" s="1530"/>
      <c r="X45" s="1523"/>
      <c r="Y45" s="1537"/>
      <c r="Z45" s="1532"/>
      <c r="AA45" s="1541"/>
      <c r="AB45" s="1527"/>
      <c r="AC45" s="1528"/>
      <c r="AD45" s="1529"/>
      <c r="AE45" s="1530"/>
      <c r="AF45" s="1530"/>
      <c r="AG45" s="1562"/>
      <c r="AH45" s="1537"/>
      <c r="AI45" s="1532"/>
      <c r="AJ45" s="1532"/>
      <c r="AK45" s="1527"/>
      <c r="AL45" s="1534"/>
      <c r="AM45" s="1529"/>
      <c r="AN45" s="1530"/>
      <c r="AO45" s="1530"/>
      <c r="AP45" s="1530"/>
      <c r="AQ45" s="1537"/>
      <c r="AR45" s="1532"/>
      <c r="AS45" s="1530"/>
      <c r="AT45" s="1527"/>
    </row>
    <row r="46" spans="1:46" ht="46.5" customHeight="1" x14ac:dyDescent="0.3">
      <c r="A46" s="2274"/>
      <c r="B46" s="1218">
        <v>2</v>
      </c>
      <c r="C46" s="1522"/>
      <c r="D46" s="1522"/>
      <c r="E46" s="1522"/>
      <c r="F46" s="1523"/>
      <c r="G46" s="1525"/>
      <c r="H46" s="1525"/>
      <c r="I46" s="1540"/>
      <c r="J46" s="1527"/>
      <c r="K46" s="1528"/>
      <c r="L46" s="1529"/>
      <c r="M46" s="1530"/>
      <c r="N46" s="1530"/>
      <c r="O46" s="1562"/>
      <c r="P46" s="1537"/>
      <c r="Q46" s="1533"/>
      <c r="R46" s="1532"/>
      <c r="S46" s="1527"/>
      <c r="T46" s="1528"/>
      <c r="U46" s="1529"/>
      <c r="V46" s="1530"/>
      <c r="W46" s="1530"/>
      <c r="X46" s="1562"/>
      <c r="Y46" s="1530"/>
      <c r="Z46" s="1530"/>
      <c r="AA46" s="1532"/>
      <c r="AB46" s="1527"/>
      <c r="AC46" s="1528"/>
      <c r="AD46" s="1529"/>
      <c r="AE46" s="1530"/>
      <c r="AF46" s="1530"/>
      <c r="AG46" s="1562"/>
      <c r="AH46" s="1545"/>
      <c r="AI46" s="1532"/>
      <c r="AJ46" s="1541"/>
      <c r="AK46" s="1527"/>
      <c r="AL46" s="1534"/>
      <c r="AM46" s="1529"/>
      <c r="AN46" s="1530"/>
      <c r="AO46" s="1530"/>
      <c r="AP46" s="1530"/>
      <c r="AQ46" s="1537"/>
      <c r="AR46" s="1533"/>
      <c r="AS46" s="1532"/>
      <c r="AT46" s="1527"/>
    </row>
    <row r="47" spans="1:46" ht="64.5" customHeight="1" x14ac:dyDescent="0.3">
      <c r="A47" s="2273">
        <v>45800</v>
      </c>
      <c r="B47" s="1218">
        <v>1</v>
      </c>
      <c r="C47" s="1522"/>
      <c r="D47" s="1522"/>
      <c r="E47" s="1522"/>
      <c r="F47" s="1523"/>
      <c r="G47" s="1525"/>
      <c r="H47" s="1533"/>
      <c r="I47" s="1540"/>
      <c r="J47" s="1561"/>
      <c r="K47" s="1528"/>
      <c r="L47" s="1529"/>
      <c r="M47" s="1530"/>
      <c r="N47" s="1530"/>
      <c r="O47" s="1562"/>
      <c r="P47" s="1537"/>
      <c r="Q47" s="1530"/>
      <c r="R47" s="1530"/>
      <c r="S47" s="1527"/>
      <c r="T47" s="1528"/>
      <c r="U47" s="1529"/>
      <c r="V47" s="1530"/>
      <c r="W47" s="1530"/>
      <c r="X47" s="1562"/>
      <c r="Y47" s="1525"/>
      <c r="Z47" s="1532"/>
      <c r="AA47" s="1532"/>
      <c r="AB47" s="1527"/>
      <c r="AC47" s="1528"/>
      <c r="AD47" s="1529"/>
      <c r="AE47" s="1530"/>
      <c r="AF47" s="1530"/>
      <c r="AG47" s="1530"/>
      <c r="AH47" s="1545"/>
      <c r="AI47" s="1533"/>
      <c r="AJ47" s="1541"/>
      <c r="AK47" s="1563"/>
      <c r="AL47" s="1534"/>
      <c r="AM47" s="1529"/>
      <c r="AN47" s="1530"/>
      <c r="AO47" s="1530"/>
      <c r="AP47" s="1530"/>
      <c r="AQ47" s="1537"/>
      <c r="AR47" s="1533"/>
      <c r="AS47" s="1532"/>
      <c r="AT47" s="1563"/>
    </row>
    <row r="48" spans="1:46" ht="65.25" customHeight="1" x14ac:dyDescent="0.3">
      <c r="A48" s="2274"/>
      <c r="B48" s="1218">
        <v>2</v>
      </c>
      <c r="C48" s="1401"/>
      <c r="D48" s="1401"/>
      <c r="E48" s="1401"/>
      <c r="F48" s="1402"/>
      <c r="G48" s="1233"/>
      <c r="H48" s="1233"/>
      <c r="I48" s="1425"/>
      <c r="J48" s="1419"/>
      <c r="K48" s="1406"/>
      <c r="L48" s="1407"/>
      <c r="M48" s="1408"/>
      <c r="N48" s="1408"/>
      <c r="O48" s="1402"/>
      <c r="P48" s="1233"/>
      <c r="Q48" s="1233"/>
      <c r="R48" s="1425"/>
      <c r="S48" s="1419"/>
      <c r="T48" s="1406"/>
      <c r="U48" s="1407"/>
      <c r="V48" s="1408"/>
      <c r="W48" s="1408"/>
      <c r="X48" s="1402"/>
      <c r="Y48" s="1233"/>
      <c r="Z48" s="1233"/>
      <c r="AA48" s="1425"/>
      <c r="AB48" s="1419"/>
      <c r="AC48" s="1406"/>
      <c r="AD48" s="1407"/>
      <c r="AE48" s="1408"/>
      <c r="AF48" s="1408"/>
      <c r="AG48" s="1408"/>
      <c r="AH48" s="1438"/>
      <c r="AI48" s="1233"/>
      <c r="AJ48" s="1411"/>
      <c r="AK48" s="1487"/>
      <c r="AL48" s="1414"/>
      <c r="AM48" s="1407"/>
      <c r="AN48" s="1439"/>
      <c r="AO48" s="1409"/>
      <c r="AP48" s="1439"/>
      <c r="AQ48" s="1440"/>
      <c r="AR48" s="1233"/>
      <c r="AS48" s="1416"/>
      <c r="AT48" s="1487"/>
    </row>
    <row r="49" spans="1:46" ht="57" customHeight="1" x14ac:dyDescent="0.3">
      <c r="A49" s="2273">
        <v>45801</v>
      </c>
      <c r="B49" s="1218">
        <v>1</v>
      </c>
      <c r="C49" s="1401">
        <v>20</v>
      </c>
      <c r="D49" s="1401"/>
      <c r="E49" s="1401">
        <v>6</v>
      </c>
      <c r="F49" s="1402"/>
      <c r="G49" s="1233" t="s">
        <v>113</v>
      </c>
      <c r="H49" s="1410"/>
      <c r="I49" s="1425" t="s">
        <v>152</v>
      </c>
      <c r="J49" s="1419"/>
      <c r="K49" s="1406"/>
      <c r="L49" s="1407"/>
      <c r="M49" s="1408"/>
      <c r="N49" s="1408"/>
      <c r="O49" s="1402"/>
      <c r="P49" s="1233"/>
      <c r="Q49" s="1410"/>
      <c r="R49" s="1425"/>
      <c r="S49" s="1419"/>
      <c r="T49" s="1406"/>
      <c r="U49" s="1407"/>
      <c r="V49" s="1408"/>
      <c r="W49" s="1408"/>
      <c r="X49" s="1402"/>
      <c r="Y49" s="1233"/>
      <c r="Z49" s="1416"/>
      <c r="AA49" s="1416"/>
      <c r="AB49" s="1419"/>
      <c r="AC49" s="1406"/>
      <c r="AD49" s="1407"/>
      <c r="AE49" s="1408"/>
      <c r="AF49" s="1408"/>
      <c r="AG49" s="1408"/>
      <c r="AH49" s="1438"/>
      <c r="AI49" s="1410"/>
      <c r="AJ49" s="1411"/>
      <c r="AK49" s="1487"/>
      <c r="AL49" s="1414"/>
      <c r="AM49" s="1407"/>
      <c r="AN49" s="1439"/>
      <c r="AO49" s="1409"/>
      <c r="AP49" s="1439"/>
      <c r="AQ49" s="1463"/>
      <c r="AR49" s="1233"/>
      <c r="AS49" s="1425"/>
      <c r="AT49" s="1488"/>
    </row>
    <row r="50" spans="1:46" ht="66.75" customHeight="1" x14ac:dyDescent="0.3">
      <c r="A50" s="2274"/>
      <c r="B50" s="1218">
        <v>2</v>
      </c>
      <c r="C50" s="1401"/>
      <c r="D50" s="1401"/>
      <c r="E50" s="1401">
        <v>7</v>
      </c>
      <c r="F50" s="1402"/>
      <c r="G50" s="1410"/>
      <c r="H50" s="1410"/>
      <c r="I50" s="1425" t="s">
        <v>152</v>
      </c>
      <c r="J50" s="1419"/>
      <c r="K50" s="1406"/>
      <c r="L50" s="1407"/>
      <c r="M50" s="1408"/>
      <c r="N50" s="1408"/>
      <c r="O50" s="1402"/>
      <c r="P50" s="1410"/>
      <c r="Q50" s="1410"/>
      <c r="R50" s="1425"/>
      <c r="S50" s="1419"/>
      <c r="T50" s="1406"/>
      <c r="U50" s="1407"/>
      <c r="V50" s="1408"/>
      <c r="W50" s="1408">
        <v>4</v>
      </c>
      <c r="X50" s="1402"/>
      <c r="Y50" s="1410"/>
      <c r="Z50" s="1410"/>
      <c r="AA50" s="1425" t="s">
        <v>578</v>
      </c>
      <c r="AB50" s="1419"/>
      <c r="AC50" s="1406"/>
      <c r="AD50" s="1407"/>
      <c r="AE50" s="1408"/>
      <c r="AF50" s="1408">
        <v>5</v>
      </c>
      <c r="AG50" s="1408"/>
      <c r="AH50" s="1438"/>
      <c r="AI50" s="1410"/>
      <c r="AJ50" s="1411" t="s">
        <v>520</v>
      </c>
      <c r="AK50" s="1487"/>
      <c r="AL50" s="1414"/>
      <c r="AM50" s="1407"/>
      <c r="AN50" s="1439"/>
      <c r="AO50" s="1408"/>
      <c r="AP50" s="1439"/>
      <c r="AQ50" s="1463"/>
      <c r="AR50" s="1233"/>
      <c r="AS50" s="1425"/>
      <c r="AT50" s="1489"/>
    </row>
    <row r="51" spans="1:46" ht="56.25" customHeight="1" x14ac:dyDescent="0.3">
      <c r="A51" s="2273">
        <v>45802</v>
      </c>
      <c r="B51" s="1218">
        <v>1</v>
      </c>
      <c r="C51" s="1401"/>
      <c r="D51" s="1401"/>
      <c r="E51" s="1401">
        <v>5</v>
      </c>
      <c r="F51" s="1402"/>
      <c r="G51" s="1410"/>
      <c r="H51" s="1410"/>
      <c r="I51" s="1425" t="s">
        <v>1106</v>
      </c>
      <c r="J51" s="1419"/>
      <c r="K51" s="1406"/>
      <c r="L51" s="1407"/>
      <c r="M51" s="1408"/>
      <c r="N51" s="1408"/>
      <c r="O51" s="1402"/>
      <c r="P51" s="1410"/>
      <c r="Q51" s="1410"/>
      <c r="R51" s="1425"/>
      <c r="S51" s="1419"/>
      <c r="T51" s="1406"/>
      <c r="U51" s="1407"/>
      <c r="V51" s="1408"/>
      <c r="W51" s="1408"/>
      <c r="X51" s="1402"/>
      <c r="Y51" s="1410"/>
      <c r="Z51" s="1410"/>
      <c r="AA51" s="1425"/>
      <c r="AB51" s="1419"/>
      <c r="AC51" s="1406"/>
      <c r="AD51" s="1407"/>
      <c r="AE51" s="1408"/>
      <c r="AF51" s="1408"/>
      <c r="AG51" s="1402"/>
      <c r="AH51" s="1410"/>
      <c r="AI51" s="1410"/>
      <c r="AJ51" s="1425"/>
      <c r="AK51" s="1419"/>
      <c r="AL51" s="1414"/>
      <c r="AM51" s="1407"/>
      <c r="AN51" s="1439"/>
      <c r="AO51" s="1415"/>
      <c r="AP51" s="1439"/>
      <c r="AQ51" s="1463"/>
      <c r="AR51" s="1233"/>
      <c r="AS51" s="1425"/>
      <c r="AT51" s="1489"/>
    </row>
    <row r="52" spans="1:46" ht="66.75" customHeight="1" x14ac:dyDescent="0.3">
      <c r="A52" s="2274"/>
      <c r="B52" s="1218">
        <v>2</v>
      </c>
      <c r="C52" s="1401"/>
      <c r="D52" s="1401"/>
      <c r="E52" s="1401">
        <v>5</v>
      </c>
      <c r="F52" s="1402"/>
      <c r="G52" s="1233"/>
      <c r="H52" s="1233"/>
      <c r="I52" s="1425" t="s">
        <v>152</v>
      </c>
      <c r="J52" s="1419"/>
      <c r="K52" s="1406"/>
      <c r="L52" s="1407"/>
      <c r="M52" s="1408"/>
      <c r="N52" s="1408"/>
      <c r="O52" s="1402"/>
      <c r="P52" s="1233"/>
      <c r="Q52" s="1233"/>
      <c r="R52" s="1425"/>
      <c r="S52" s="1419"/>
      <c r="T52" s="1406"/>
      <c r="U52" s="1407"/>
      <c r="V52" s="1408"/>
      <c r="W52" s="1408">
        <v>4</v>
      </c>
      <c r="X52" s="1402"/>
      <c r="Y52" s="1233"/>
      <c r="Z52" s="1233"/>
      <c r="AA52" s="1425" t="s">
        <v>578</v>
      </c>
      <c r="AB52" s="1419"/>
      <c r="AC52" s="1406"/>
      <c r="AD52" s="1407"/>
      <c r="AE52" s="1408"/>
      <c r="AF52" s="1408"/>
      <c r="AG52" s="1402"/>
      <c r="AH52" s="1233"/>
      <c r="AI52" s="1233"/>
      <c r="AJ52" s="1425"/>
      <c r="AK52" s="1419"/>
      <c r="AL52" s="1414"/>
      <c r="AM52" s="1407"/>
      <c r="AN52" s="1480"/>
      <c r="AO52" s="1421"/>
      <c r="AP52" s="1480"/>
      <c r="AQ52" s="1409"/>
      <c r="AR52" s="1233"/>
      <c r="AS52" s="1425"/>
      <c r="AT52" s="1490"/>
    </row>
    <row r="53" spans="1:46" ht="60" customHeight="1" x14ac:dyDescent="0.3">
      <c r="A53" s="2273">
        <v>45803</v>
      </c>
      <c r="B53" s="1218">
        <v>1</v>
      </c>
      <c r="C53" s="1401"/>
      <c r="D53" s="1401"/>
      <c r="E53" s="1401">
        <v>5</v>
      </c>
      <c r="F53" s="1402"/>
      <c r="G53" s="1410"/>
      <c r="H53" s="1410"/>
      <c r="I53" s="1404" t="s">
        <v>1106</v>
      </c>
      <c r="J53" s="1419"/>
      <c r="K53" s="1406"/>
      <c r="L53" s="1407"/>
      <c r="M53" s="1408"/>
      <c r="N53" s="1408"/>
      <c r="O53" s="1251"/>
      <c r="P53" s="1233"/>
      <c r="Q53" s="1233"/>
      <c r="R53" s="1408"/>
      <c r="S53" s="1419"/>
      <c r="T53" s="1406"/>
      <c r="U53" s="1407"/>
      <c r="V53" s="1408"/>
      <c r="W53" s="1408">
        <v>15</v>
      </c>
      <c r="X53" s="1251"/>
      <c r="Y53" s="1438"/>
      <c r="Z53" s="1408"/>
      <c r="AA53" s="1411" t="s">
        <v>1106</v>
      </c>
      <c r="AB53" s="1251"/>
      <c r="AC53" s="1406"/>
      <c r="AD53" s="1407"/>
      <c r="AE53" s="1416"/>
      <c r="AF53" s="1408"/>
      <c r="AG53" s="1251"/>
      <c r="AH53" s="1409"/>
      <c r="AI53" s="1408"/>
      <c r="AJ53" s="1494"/>
      <c r="AK53" s="1251"/>
      <c r="AL53" s="1414"/>
      <c r="AM53" s="1407"/>
      <c r="AN53" s="1431"/>
      <c r="AO53" s="1434"/>
      <c r="AP53" s="1431"/>
      <c r="AQ53" s="1438"/>
      <c r="AR53" s="1233"/>
      <c r="AS53" s="1480"/>
      <c r="AT53" s="1491"/>
    </row>
    <row r="54" spans="1:46" ht="66.75" customHeight="1" x14ac:dyDescent="0.3">
      <c r="A54" s="2274"/>
      <c r="B54" s="1252">
        <v>2</v>
      </c>
      <c r="C54" s="1401"/>
      <c r="D54" s="1401"/>
      <c r="E54" s="1401">
        <v>31</v>
      </c>
      <c r="F54" s="1402"/>
      <c r="G54" s="1410"/>
      <c r="H54" s="1233"/>
      <c r="I54" s="1404" t="s">
        <v>152</v>
      </c>
      <c r="J54" s="1419"/>
      <c r="K54" s="1406"/>
      <c r="L54" s="1407"/>
      <c r="M54" s="1408"/>
      <c r="N54" s="1408"/>
      <c r="O54" s="1402"/>
      <c r="P54" s="1233"/>
      <c r="Q54" s="1233"/>
      <c r="R54" s="1410"/>
      <c r="S54" s="1419"/>
      <c r="T54" s="1406"/>
      <c r="U54" s="1407">
        <v>617</v>
      </c>
      <c r="V54" s="1408"/>
      <c r="W54" s="1408"/>
      <c r="X54" s="1402"/>
      <c r="Y54" s="1233" t="s">
        <v>1077</v>
      </c>
      <c r="Z54" s="1233"/>
      <c r="AA54" s="1411"/>
      <c r="AB54" s="1419"/>
      <c r="AC54" s="1406"/>
      <c r="AD54" s="1407"/>
      <c r="AE54" s="1408"/>
      <c r="AF54" s="1408">
        <v>70</v>
      </c>
      <c r="AG54" s="1251"/>
      <c r="AH54" s="1409"/>
      <c r="AI54" s="1419"/>
      <c r="AJ54" s="1570" t="s">
        <v>570</v>
      </c>
      <c r="AK54" s="1428"/>
      <c r="AL54" s="1414"/>
      <c r="AM54" s="1407"/>
      <c r="AN54" s="1431"/>
      <c r="AO54" s="1436">
        <v>5</v>
      </c>
      <c r="AP54" s="1431"/>
      <c r="AQ54" s="1438"/>
      <c r="AR54" s="1233"/>
      <c r="AS54" s="1425" t="s">
        <v>1106</v>
      </c>
      <c r="AT54" s="1489"/>
    </row>
    <row r="55" spans="1:46" ht="51.75" customHeight="1" x14ac:dyDescent="0.3">
      <c r="A55" s="2273">
        <v>45804</v>
      </c>
      <c r="B55" s="1218">
        <v>1</v>
      </c>
      <c r="C55" s="1510"/>
      <c r="D55" s="1401"/>
      <c r="E55" s="1401"/>
      <c r="F55" s="1402"/>
      <c r="G55" s="1410"/>
      <c r="H55" s="1410"/>
      <c r="I55" s="1404"/>
      <c r="J55" s="1251"/>
      <c r="K55" s="1406"/>
      <c r="L55" s="1407">
        <v>15</v>
      </c>
      <c r="M55" s="1408">
        <v>106</v>
      </c>
      <c r="N55" s="1408"/>
      <c r="O55" s="1251"/>
      <c r="P55" s="1409" t="s">
        <v>1107</v>
      </c>
      <c r="Q55" s="1233" t="s">
        <v>1108</v>
      </c>
      <c r="R55" s="1408"/>
      <c r="S55" s="1251"/>
      <c r="T55" s="1406"/>
      <c r="U55" s="1407"/>
      <c r="V55" s="1408"/>
      <c r="W55" s="1408">
        <v>5</v>
      </c>
      <c r="X55" s="1251"/>
      <c r="Y55" s="1409"/>
      <c r="Z55" s="1410"/>
      <c r="AA55" s="1411" t="s">
        <v>1106</v>
      </c>
      <c r="AB55" s="1251"/>
      <c r="AC55" s="1406"/>
      <c r="AD55" s="1407"/>
      <c r="AE55" s="1408"/>
      <c r="AF55" s="1408"/>
      <c r="AG55" s="1251"/>
      <c r="AH55" s="1409"/>
      <c r="AI55" s="1233"/>
      <c r="AJ55" s="1411"/>
      <c r="AK55" s="1251"/>
      <c r="AL55" s="1414"/>
      <c r="AM55" s="1407"/>
      <c r="AN55" s="1431"/>
      <c r="AO55" s="1408"/>
      <c r="AP55" s="1431"/>
      <c r="AQ55" s="1409"/>
      <c r="AR55" s="1233"/>
      <c r="AS55" s="1425"/>
      <c r="AT55" s="1492"/>
    </row>
    <row r="56" spans="1:46" ht="66.75" customHeight="1" x14ac:dyDescent="0.3">
      <c r="A56" s="2274"/>
      <c r="B56" s="1252">
        <v>2</v>
      </c>
      <c r="C56" s="1510"/>
      <c r="D56" s="1401"/>
      <c r="E56" s="1401"/>
      <c r="F56" s="1402"/>
      <c r="G56" s="1233"/>
      <c r="H56" s="1233"/>
      <c r="I56" s="1404"/>
      <c r="J56" s="1419"/>
      <c r="K56" s="1406"/>
      <c r="L56" s="1407"/>
      <c r="M56" s="1408"/>
      <c r="N56" s="1408"/>
      <c r="O56" s="1402"/>
      <c r="P56" s="1233"/>
      <c r="Q56" s="1410"/>
      <c r="R56" s="1233"/>
      <c r="S56" s="1419"/>
      <c r="T56" s="1406"/>
      <c r="U56" s="1407"/>
      <c r="V56" s="1408"/>
      <c r="W56" s="1408">
        <v>4</v>
      </c>
      <c r="X56" s="1402"/>
      <c r="Y56" s="1438"/>
      <c r="Z56" s="1410"/>
      <c r="AA56" s="1411" t="s">
        <v>578</v>
      </c>
      <c r="AB56" s="1419"/>
      <c r="AC56" s="1406"/>
      <c r="AD56" s="1407"/>
      <c r="AE56" s="1408"/>
      <c r="AF56" s="1408"/>
      <c r="AG56" s="1402"/>
      <c r="AH56" s="1233"/>
      <c r="AI56" s="1410"/>
      <c r="AJ56" s="1233"/>
      <c r="AK56" s="1419"/>
      <c r="AL56" s="1414"/>
      <c r="AM56" s="1407"/>
      <c r="AN56" s="1431"/>
      <c r="AO56" s="1408"/>
      <c r="AP56" s="1431"/>
      <c r="AQ56" s="1233"/>
      <c r="AR56" s="1233"/>
      <c r="AS56" s="1408"/>
      <c r="AT56" s="1471"/>
    </row>
    <row r="57" spans="1:46" ht="51.75" customHeight="1" x14ac:dyDescent="0.3">
      <c r="A57" s="2273">
        <v>45805</v>
      </c>
      <c r="B57" s="1218">
        <v>1</v>
      </c>
      <c r="C57" s="1510"/>
      <c r="D57" s="1401"/>
      <c r="E57" s="1401"/>
      <c r="F57" s="1402"/>
      <c r="G57" s="1233"/>
      <c r="H57" s="1233"/>
      <c r="I57" s="1425"/>
      <c r="J57" s="1419"/>
      <c r="K57" s="1406"/>
      <c r="L57" s="1407"/>
      <c r="M57" s="1408"/>
      <c r="N57" s="1408"/>
      <c r="O57" s="1402"/>
      <c r="P57" s="1233"/>
      <c r="Q57" s="1410"/>
      <c r="R57" s="1233"/>
      <c r="S57" s="1419"/>
      <c r="T57" s="1406"/>
      <c r="U57" s="1407"/>
      <c r="V57" s="1408"/>
      <c r="W57" s="1408"/>
      <c r="X57" s="1402"/>
      <c r="Y57" s="1233"/>
      <c r="Z57" s="1410"/>
      <c r="AA57" s="1416"/>
      <c r="AB57" s="1419"/>
      <c r="AC57" s="1406"/>
      <c r="AD57" s="1407"/>
      <c r="AE57" s="1408"/>
      <c r="AF57" s="1408">
        <v>25</v>
      </c>
      <c r="AG57" s="1402"/>
      <c r="AH57" s="1233"/>
      <c r="AI57" s="1410"/>
      <c r="AJ57" s="1233" t="s">
        <v>152</v>
      </c>
      <c r="AK57" s="1419"/>
      <c r="AL57" s="1414"/>
      <c r="AM57" s="1407"/>
      <c r="AN57" s="1431"/>
      <c r="AO57" s="1408">
        <v>7</v>
      </c>
      <c r="AP57" s="1431"/>
      <c r="AQ57" s="1233"/>
      <c r="AR57" s="1233"/>
      <c r="AS57" s="1408" t="s">
        <v>1106</v>
      </c>
      <c r="AT57" s="1419"/>
    </row>
    <row r="58" spans="1:46" ht="66.75" customHeight="1" x14ac:dyDescent="0.3">
      <c r="A58" s="2274"/>
      <c r="B58" s="1252">
        <v>2</v>
      </c>
      <c r="C58" s="1510"/>
      <c r="D58" s="1401"/>
      <c r="E58" s="1401">
        <v>6</v>
      </c>
      <c r="F58" s="1402"/>
      <c r="G58" s="1233"/>
      <c r="H58" s="1233"/>
      <c r="I58" s="1404" t="s">
        <v>1106</v>
      </c>
      <c r="J58" s="1419"/>
      <c r="K58" s="1406"/>
      <c r="L58" s="1407"/>
      <c r="M58" s="1408"/>
      <c r="N58" s="1408"/>
      <c r="O58" s="1402"/>
      <c r="P58" s="1233"/>
      <c r="Q58" s="1410"/>
      <c r="R58" s="1233"/>
      <c r="S58" s="1419"/>
      <c r="T58" s="1406"/>
      <c r="U58" s="1407"/>
      <c r="V58" s="1408"/>
      <c r="W58" s="1408"/>
      <c r="X58" s="1402"/>
      <c r="Y58" s="1233"/>
      <c r="Z58" s="1410"/>
      <c r="AA58" s="1416"/>
      <c r="AB58" s="1419"/>
      <c r="AC58" s="1406"/>
      <c r="AD58" s="1407"/>
      <c r="AE58" s="1408"/>
      <c r="AF58" s="1408"/>
      <c r="AG58" s="1408"/>
      <c r="AH58" s="1233"/>
      <c r="AI58" s="1410"/>
      <c r="AJ58" s="1408"/>
      <c r="AK58" s="1419"/>
      <c r="AL58" s="1414"/>
      <c r="AM58" s="1407"/>
      <c r="AN58" s="1408"/>
      <c r="AO58" s="1408"/>
      <c r="AP58" s="1407"/>
      <c r="AQ58" s="1233"/>
      <c r="AR58" s="1410"/>
      <c r="AS58" s="1408"/>
      <c r="AT58" s="1419"/>
    </row>
    <row r="59" spans="1:46" ht="49.5" customHeight="1" x14ac:dyDescent="0.3">
      <c r="A59" s="2273">
        <v>45806</v>
      </c>
      <c r="B59" s="1218">
        <v>1</v>
      </c>
      <c r="C59" s="1510"/>
      <c r="D59" s="1401"/>
      <c r="E59" s="1401"/>
      <c r="F59" s="1402"/>
      <c r="G59" s="1233"/>
      <c r="H59" s="1410"/>
      <c r="I59" s="1404"/>
      <c r="J59" s="1419"/>
      <c r="K59" s="1406"/>
      <c r="L59" s="1407"/>
      <c r="M59" s="1408"/>
      <c r="N59" s="1408"/>
      <c r="O59" s="1251"/>
      <c r="P59" s="1409"/>
      <c r="Q59" s="1416"/>
      <c r="R59" s="1408"/>
      <c r="S59" s="1419"/>
      <c r="T59" s="1406"/>
      <c r="U59" s="1407"/>
      <c r="V59" s="1408"/>
      <c r="W59" s="1408">
        <v>5</v>
      </c>
      <c r="X59" s="1251"/>
      <c r="Y59" s="1233"/>
      <c r="Z59" s="1410"/>
      <c r="AA59" s="1404" t="s">
        <v>578</v>
      </c>
      <c r="AB59" s="1419"/>
      <c r="AC59" s="1406"/>
      <c r="AD59" s="1407"/>
      <c r="AE59" s="1408"/>
      <c r="AF59" s="1408"/>
      <c r="AG59" s="1251"/>
      <c r="AH59" s="1407"/>
      <c r="AI59" s="1408"/>
      <c r="AJ59" s="1233"/>
      <c r="AK59" s="1419"/>
      <c r="AL59" s="1414"/>
      <c r="AM59" s="1407"/>
      <c r="AN59" s="1408"/>
      <c r="AO59" s="1408"/>
      <c r="AP59" s="1408"/>
      <c r="AQ59" s="1438"/>
      <c r="AR59" s="1408"/>
      <c r="AS59" s="1416"/>
      <c r="AT59" s="1419"/>
    </row>
    <row r="60" spans="1:46" ht="66.75" customHeight="1" x14ac:dyDescent="0.3">
      <c r="A60" s="2274"/>
      <c r="B60" s="1567">
        <v>2</v>
      </c>
      <c r="C60" s="1510"/>
      <c r="D60" s="1401"/>
      <c r="E60" s="1401"/>
      <c r="F60" s="1402"/>
      <c r="G60" s="1410"/>
      <c r="H60" s="1233"/>
      <c r="I60" s="1404"/>
      <c r="J60" s="1419"/>
      <c r="K60" s="1406"/>
      <c r="L60" s="1407"/>
      <c r="M60" s="1408"/>
      <c r="N60" s="1408"/>
      <c r="O60" s="1251"/>
      <c r="P60" s="1409"/>
      <c r="Q60" s="1233"/>
      <c r="R60" s="1408"/>
      <c r="S60" s="1419"/>
      <c r="T60" s="1406"/>
      <c r="U60" s="1407"/>
      <c r="V60" s="1408"/>
      <c r="W60" s="1408">
        <v>5</v>
      </c>
      <c r="X60" s="1251"/>
      <c r="Y60" s="1438"/>
      <c r="Z60" s="1233"/>
      <c r="AA60" s="1404" t="s">
        <v>578</v>
      </c>
      <c r="AB60" s="1419"/>
      <c r="AC60" s="1406"/>
      <c r="AD60" s="1407"/>
      <c r="AE60" s="1407"/>
      <c r="AF60" s="1407"/>
      <c r="AG60" s="1407"/>
      <c r="AH60" s="1407"/>
      <c r="AI60" s="1233"/>
      <c r="AJ60" s="1416"/>
      <c r="AK60" s="1419"/>
      <c r="AL60" s="1414"/>
      <c r="AM60" s="1407"/>
      <c r="AN60" s="1408"/>
      <c r="AO60" s="1408"/>
      <c r="AP60" s="1408"/>
      <c r="AQ60" s="1409"/>
      <c r="AR60" s="1233"/>
      <c r="AS60" s="1416"/>
      <c r="AT60" s="1419"/>
    </row>
    <row r="61" spans="1:46" ht="66.75" customHeight="1" x14ac:dyDescent="0.3">
      <c r="A61" s="1572"/>
      <c r="B61" s="1567">
        <v>1</v>
      </c>
      <c r="C61" s="1520"/>
      <c r="D61" s="1495"/>
      <c r="E61" s="1401"/>
      <c r="F61" s="1446"/>
      <c r="G61" s="1410"/>
      <c r="H61" s="1443"/>
      <c r="I61" s="1404"/>
      <c r="J61" s="1419"/>
      <c r="K61" s="1406"/>
      <c r="L61" s="1407"/>
      <c r="M61" s="1409"/>
      <c r="N61" s="1408"/>
      <c r="O61" s="1251"/>
      <c r="P61" s="1493"/>
      <c r="Q61" s="1233"/>
      <c r="R61" s="1415"/>
      <c r="S61" s="1441"/>
      <c r="T61" s="1406"/>
      <c r="U61" s="1407"/>
      <c r="V61" s="1408"/>
      <c r="W61" s="1408"/>
      <c r="X61" s="1251"/>
      <c r="Y61" s="1564"/>
      <c r="Z61" s="1233"/>
      <c r="AA61" s="1404"/>
      <c r="AB61" s="1441"/>
      <c r="AC61" s="1406"/>
      <c r="AD61" s="1407"/>
      <c r="AE61" s="1409"/>
      <c r="AF61" s="1409"/>
      <c r="AG61" s="1423"/>
      <c r="AH61" s="1493"/>
      <c r="AI61" s="1443"/>
      <c r="AJ61" s="1494"/>
      <c r="AK61" s="1441"/>
      <c r="AL61" s="1414"/>
      <c r="AM61" s="1407"/>
      <c r="AN61" s="1408"/>
      <c r="AO61" s="1408"/>
      <c r="AP61" s="1408"/>
      <c r="AQ61" s="1409"/>
      <c r="AR61" s="1233"/>
      <c r="AS61" s="1416"/>
      <c r="AT61" s="1441"/>
    </row>
    <row r="62" spans="1:46" ht="66.75" customHeight="1" x14ac:dyDescent="0.3">
      <c r="A62" s="1572"/>
      <c r="B62" s="1567">
        <v>2</v>
      </c>
      <c r="C62" s="1520"/>
      <c r="D62" s="1495">
        <v>162</v>
      </c>
      <c r="E62" s="1401">
        <v>17</v>
      </c>
      <c r="F62" s="1446"/>
      <c r="G62" s="1410"/>
      <c r="H62" s="1443" t="s">
        <v>1111</v>
      </c>
      <c r="I62" s="1404" t="s">
        <v>1106</v>
      </c>
      <c r="J62" s="1419"/>
      <c r="K62" s="1406"/>
      <c r="L62" s="1407"/>
      <c r="M62" s="1409">
        <v>131</v>
      </c>
      <c r="N62" s="1408"/>
      <c r="O62" s="1251"/>
      <c r="P62" s="1493"/>
      <c r="Q62" s="1233" t="s">
        <v>1109</v>
      </c>
      <c r="R62" s="1415"/>
      <c r="S62" s="1441"/>
      <c r="T62" s="1406"/>
      <c r="U62" s="1407"/>
      <c r="V62" s="1408">
        <v>149</v>
      </c>
      <c r="W62" s="1408"/>
      <c r="X62" s="1251"/>
      <c r="Y62" s="1564"/>
      <c r="Z62" s="1233" t="s">
        <v>1110</v>
      </c>
      <c r="AA62" s="1404"/>
      <c r="AB62" s="1441"/>
      <c r="AC62" s="1406"/>
      <c r="AD62" s="1407"/>
      <c r="AE62" s="1409"/>
      <c r="AF62" s="1409">
        <v>145</v>
      </c>
      <c r="AG62" s="1423"/>
      <c r="AH62" s="1493"/>
      <c r="AI62" s="1443" t="s">
        <v>1109</v>
      </c>
      <c r="AJ62" s="1494"/>
      <c r="AK62" s="1441"/>
      <c r="AL62" s="1414"/>
      <c r="AM62" s="1407"/>
      <c r="AN62" s="1408">
        <v>137</v>
      </c>
      <c r="AO62" s="1408"/>
      <c r="AP62" s="1408"/>
      <c r="AQ62" s="1409"/>
      <c r="AR62" s="1233" t="s">
        <v>1109</v>
      </c>
      <c r="AS62" s="1416"/>
      <c r="AT62" s="1441"/>
    </row>
    <row r="63" spans="1:46" ht="51" customHeight="1" x14ac:dyDescent="0.3">
      <c r="A63" s="2273">
        <v>45808</v>
      </c>
      <c r="B63" s="1218">
        <v>1</v>
      </c>
      <c r="C63" s="1573"/>
      <c r="D63" s="1574"/>
      <c r="E63" s="1575"/>
      <c r="F63" s="1576"/>
      <c r="G63" s="1577"/>
      <c r="H63" s="1578"/>
      <c r="I63" s="1579"/>
      <c r="J63" s="1580"/>
      <c r="K63" s="1581"/>
      <c r="L63" s="1582"/>
      <c r="M63" s="1582"/>
      <c r="N63" s="1583"/>
      <c r="O63" s="1584"/>
      <c r="P63" s="1585"/>
      <c r="Q63" s="1586"/>
      <c r="R63" s="1587"/>
      <c r="S63" s="1588"/>
      <c r="T63" s="1581"/>
      <c r="U63" s="1582"/>
      <c r="V63" s="1583"/>
      <c r="W63" s="1583"/>
      <c r="X63" s="1584"/>
      <c r="Y63" s="1589"/>
      <c r="Z63" s="1590"/>
      <c r="AA63" s="1579"/>
      <c r="AB63" s="1588"/>
      <c r="AC63" s="1581"/>
      <c r="AD63" s="1582"/>
      <c r="AE63" s="1583"/>
      <c r="AF63" s="1583"/>
      <c r="AG63" s="1584"/>
      <c r="AH63" s="1585"/>
      <c r="AI63" s="1591"/>
      <c r="AJ63" s="1591"/>
      <c r="AK63" s="1588"/>
      <c r="AL63" s="1592"/>
      <c r="AM63" s="1582"/>
      <c r="AN63" s="1583"/>
      <c r="AO63" s="1583"/>
      <c r="AP63" s="1583"/>
      <c r="AQ63" s="1589"/>
      <c r="AR63" s="1583"/>
      <c r="AS63" s="1590"/>
      <c r="AT63" s="1588"/>
    </row>
    <row r="64" spans="1:46" ht="66.75" customHeight="1" x14ac:dyDescent="0.3">
      <c r="A64" s="2274"/>
      <c r="B64" s="1252">
        <v>2</v>
      </c>
      <c r="C64" s="1520"/>
      <c r="D64" s="1495"/>
      <c r="E64" s="1495"/>
      <c r="F64" s="1446"/>
      <c r="G64" s="1442"/>
      <c r="H64" s="1443"/>
      <c r="I64" s="1404"/>
      <c r="J64" s="1419"/>
      <c r="K64" s="1406"/>
      <c r="L64" s="1407"/>
      <c r="M64" s="1408"/>
      <c r="N64" s="1408"/>
      <c r="O64" s="1251"/>
      <c r="P64" s="1493"/>
      <c r="Q64" s="1494"/>
      <c r="R64" s="1415"/>
      <c r="S64" s="1419"/>
      <c r="T64" s="1406"/>
      <c r="U64" s="1407"/>
      <c r="V64" s="1408"/>
      <c r="W64" s="1408"/>
      <c r="X64" s="1251"/>
      <c r="Y64" s="1438"/>
      <c r="Z64" s="1494"/>
      <c r="AA64" s="1404"/>
      <c r="AB64" s="1419"/>
      <c r="AC64" s="1406"/>
      <c r="AD64" s="1407"/>
      <c r="AE64" s="1408"/>
      <c r="AF64" s="1408"/>
      <c r="AG64" s="1569">
        <v>4</v>
      </c>
      <c r="AH64" s="1569"/>
      <c r="AI64" s="1571"/>
      <c r="AJ64" t="s">
        <v>570</v>
      </c>
      <c r="AK64" s="1419"/>
      <c r="AL64" s="1414"/>
      <c r="AM64" s="1407"/>
      <c r="AN64" s="1408"/>
      <c r="AO64" s="1408"/>
      <c r="AP64" s="1408"/>
      <c r="AQ64" s="1409"/>
      <c r="AR64" s="1408"/>
      <c r="AS64" s="1416"/>
      <c r="AT64" s="1419"/>
    </row>
    <row r="65" spans="1:46" ht="18.75" x14ac:dyDescent="0.3">
      <c r="A65" s="301" t="s">
        <v>225</v>
      </c>
      <c r="B65" s="419"/>
      <c r="C65" s="1285">
        <f>SUM(C3:C64)</f>
        <v>291</v>
      </c>
      <c r="D65" s="419">
        <f>SUM(D3:D64)</f>
        <v>263</v>
      </c>
      <c r="E65" s="1285">
        <f>SUM(E3:E64)</f>
        <v>176</v>
      </c>
      <c r="F65" s="419">
        <f>SUM(F3:F64)</f>
        <v>315</v>
      </c>
      <c r="G65" s="301"/>
      <c r="H65" s="301"/>
      <c r="I65" s="301"/>
      <c r="J65" s="301"/>
      <c r="K65" s="301"/>
      <c r="L65" s="419">
        <f>SUM(L3:L64)</f>
        <v>973</v>
      </c>
      <c r="M65" s="419">
        <f>SUM(M3:M64)</f>
        <v>298</v>
      </c>
      <c r="N65" s="419">
        <f>SUM(N3:N64)</f>
        <v>0</v>
      </c>
      <c r="O65" s="419">
        <f>SUM(O3:O64)</f>
        <v>331</v>
      </c>
      <c r="P65" s="301"/>
      <c r="Q65" s="301"/>
      <c r="R65" s="301"/>
      <c r="S65" s="301"/>
      <c r="T65" s="301"/>
      <c r="U65" s="419">
        <f>SUM(U3:U64)</f>
        <v>617</v>
      </c>
      <c r="V65" s="419">
        <f>SUM(V3:V64)</f>
        <v>503</v>
      </c>
      <c r="W65" s="419">
        <f>SUM(W3:W64)</f>
        <v>386</v>
      </c>
      <c r="X65" s="419">
        <f>SUM(X3:X64)</f>
        <v>366</v>
      </c>
      <c r="Y65" s="301"/>
      <c r="Z65" s="301"/>
      <c r="AA65" s="301"/>
      <c r="AB65" s="301"/>
      <c r="AC65" s="301"/>
      <c r="AD65" s="419">
        <f>SUM(AD3:AD64)</f>
        <v>3613</v>
      </c>
      <c r="AE65" s="419">
        <f>SUM(AE3:AE64)</f>
        <v>67</v>
      </c>
      <c r="AF65" s="419">
        <f>SUM(AF3:AF64)</f>
        <v>275</v>
      </c>
      <c r="AG65" s="419">
        <f>SUM(AG3:AG64)</f>
        <v>328</v>
      </c>
      <c r="AH65" s="301"/>
      <c r="AI65" s="1568"/>
      <c r="AJ65" s="301"/>
      <c r="AK65" s="301"/>
      <c r="AL65" s="301"/>
      <c r="AM65" s="419">
        <f>SUM(AM3:AM64)</f>
        <v>369</v>
      </c>
      <c r="AN65" s="419">
        <f>SUM(AN3:AN64)</f>
        <v>204</v>
      </c>
      <c r="AO65" s="419">
        <f>SUM(AO3:AO64)</f>
        <v>12</v>
      </c>
      <c r="AP65" s="419">
        <f>SUM(AP3:AP64)</f>
        <v>314</v>
      </c>
      <c r="AQ65" s="301"/>
      <c r="AR65" s="301"/>
      <c r="AS65" s="301"/>
      <c r="AT65" s="301"/>
    </row>
    <row r="66" spans="1:46" x14ac:dyDescent="0.25">
      <c r="A66" s="524"/>
      <c r="B66" s="525"/>
      <c r="C66" s="524"/>
      <c r="D66" s="524"/>
      <c r="E66" s="524"/>
      <c r="F66" s="524"/>
      <c r="G66" s="524"/>
      <c r="H66" s="524"/>
      <c r="I66" s="524"/>
      <c r="J66" s="524"/>
      <c r="K66" s="524"/>
      <c r="L66" s="524"/>
      <c r="M66" s="524"/>
      <c r="N66" s="524"/>
      <c r="O66" s="524"/>
      <c r="P66" s="524"/>
      <c r="Q66" s="524"/>
      <c r="R66" s="524"/>
      <c r="S66" s="524"/>
      <c r="T66" s="524"/>
      <c r="U66" s="524"/>
      <c r="V66" s="524"/>
      <c r="W66" s="524"/>
      <c r="X66" s="524"/>
      <c r="Y66" s="524"/>
      <c r="Z66" s="524"/>
      <c r="AA66" s="524"/>
      <c r="AB66" s="524"/>
      <c r="AC66" s="524"/>
      <c r="AD66" s="524"/>
      <c r="AE66" s="524"/>
      <c r="AF66" s="524"/>
      <c r="AG66" s="524"/>
      <c r="AH66" s="524"/>
      <c r="AI66" s="524"/>
      <c r="AJ66" s="524"/>
      <c r="AK66" s="524"/>
      <c r="AL66" s="524"/>
      <c r="AM66" s="524"/>
      <c r="AN66" s="524"/>
      <c r="AO66" s="524"/>
      <c r="AP66" s="524"/>
      <c r="AQ66" s="524"/>
      <c r="AR66" s="524"/>
      <c r="AS66" s="524"/>
      <c r="AT66" s="524"/>
    </row>
    <row r="67" spans="1:46" x14ac:dyDescent="0.25">
      <c r="A67" s="524"/>
      <c r="B67" s="525"/>
      <c r="C67" s="524"/>
      <c r="D67" s="524"/>
      <c r="E67" s="524"/>
      <c r="F67" s="524"/>
      <c r="G67" s="524"/>
      <c r="H67" s="524"/>
      <c r="I67" s="524"/>
      <c r="J67" s="524"/>
      <c r="K67" s="524"/>
      <c r="L67" s="524"/>
      <c r="M67" s="524"/>
      <c r="N67" s="524"/>
      <c r="O67" s="524"/>
      <c r="P67" s="524"/>
      <c r="Q67" s="524"/>
      <c r="R67" s="524"/>
      <c r="S67" s="524"/>
      <c r="T67" s="524"/>
      <c r="U67" s="524"/>
      <c r="V67" s="524"/>
      <c r="W67" s="524"/>
      <c r="X67" s="524"/>
      <c r="Y67" s="524"/>
      <c r="Z67" s="524"/>
      <c r="AA67" s="524"/>
      <c r="AB67" s="524"/>
      <c r="AC67" s="524"/>
      <c r="AD67" s="524"/>
      <c r="AE67" s="524"/>
      <c r="AF67" s="524"/>
      <c r="AG67" s="524"/>
      <c r="AH67" s="524"/>
      <c r="AI67" s="524"/>
      <c r="AJ67" s="524"/>
      <c r="AK67" s="524"/>
      <c r="AL67" s="524"/>
      <c r="AM67" s="524"/>
      <c r="AN67" s="524"/>
      <c r="AO67" s="524"/>
      <c r="AP67" s="524"/>
      <c r="AQ67" s="524"/>
      <c r="AR67" s="524"/>
      <c r="AS67" s="524"/>
      <c r="AT67" s="524"/>
    </row>
    <row r="68" spans="1:46" x14ac:dyDescent="0.25">
      <c r="A68" s="524"/>
      <c r="B68" s="525"/>
      <c r="C68" s="524"/>
      <c r="D68" s="524"/>
      <c r="E68" s="524"/>
      <c r="F68" s="524"/>
      <c r="G68" s="524"/>
      <c r="H68" s="524"/>
      <c r="I68" s="524"/>
      <c r="J68" s="524"/>
      <c r="K68" s="524"/>
      <c r="L68" s="524"/>
      <c r="M68" s="524"/>
      <c r="N68" s="524"/>
      <c r="O68" s="524"/>
      <c r="P68" s="524"/>
      <c r="Q68" s="524"/>
      <c r="R68" s="524"/>
      <c r="S68" s="524"/>
      <c r="T68" s="524"/>
      <c r="U68" s="524"/>
      <c r="V68" s="524"/>
      <c r="W68" s="524"/>
      <c r="X68" s="524"/>
      <c r="Y68" s="524"/>
      <c r="Z68" s="524"/>
      <c r="AA68" s="524"/>
      <c r="AB68" s="524"/>
      <c r="AC68" s="524"/>
      <c r="AD68" s="524"/>
      <c r="AE68" s="524"/>
      <c r="AF68" s="524"/>
      <c r="AG68" s="524"/>
      <c r="AH68" s="524"/>
      <c r="AI68" s="524"/>
      <c r="AJ68" s="524"/>
      <c r="AK68" s="524"/>
      <c r="AL68" s="524"/>
      <c r="AM68" s="524"/>
      <c r="AN68" s="524"/>
      <c r="AO68" s="524"/>
      <c r="AP68" s="524"/>
      <c r="AQ68" s="524"/>
      <c r="AR68" s="524"/>
      <c r="AS68" s="524"/>
      <c r="AT68" s="524"/>
    </row>
    <row r="69" spans="1:46" x14ac:dyDescent="0.25">
      <c r="A69" s="524"/>
      <c r="B69" s="525"/>
      <c r="C69" s="524"/>
      <c r="D69" s="524"/>
      <c r="E69" s="524"/>
      <c r="F69" s="524"/>
      <c r="G69" s="524"/>
      <c r="H69" s="524"/>
      <c r="I69" s="524"/>
      <c r="J69" s="524"/>
      <c r="K69" s="524"/>
      <c r="L69" s="524"/>
      <c r="M69" s="524"/>
      <c r="N69" s="524"/>
      <c r="O69" s="524"/>
      <c r="P69" s="524"/>
      <c r="Q69" s="524"/>
      <c r="R69" s="524"/>
      <c r="S69" s="524"/>
      <c r="T69" s="524"/>
      <c r="U69" s="524"/>
      <c r="V69" s="524"/>
      <c r="W69" s="524"/>
      <c r="X69" s="524"/>
      <c r="Y69" s="524"/>
      <c r="Z69" s="524"/>
      <c r="AA69" s="524"/>
      <c r="AB69" s="524"/>
      <c r="AC69" s="524"/>
      <c r="AD69" s="524"/>
      <c r="AE69" s="524"/>
      <c r="AF69" s="524"/>
      <c r="AG69" s="524"/>
      <c r="AH69" s="524"/>
      <c r="AI69" s="524"/>
      <c r="AJ69" s="524"/>
      <c r="AK69" s="524"/>
      <c r="AL69" s="524"/>
      <c r="AM69" s="524"/>
      <c r="AN69" s="524"/>
      <c r="AO69" s="524"/>
      <c r="AP69" s="524"/>
      <c r="AQ69" s="524"/>
      <c r="AR69" s="524"/>
      <c r="AS69" s="524"/>
      <c r="AT69" s="524"/>
    </row>
    <row r="70" spans="1:46" x14ac:dyDescent="0.25">
      <c r="A70" s="524"/>
      <c r="B70" s="525"/>
      <c r="C70" s="524"/>
      <c r="D70" s="524"/>
      <c r="E70" s="524"/>
      <c r="F70" s="524"/>
      <c r="G70" s="524"/>
      <c r="H70" s="524"/>
      <c r="I70" s="524"/>
      <c r="J70" s="524"/>
      <c r="K70" s="524"/>
      <c r="L70" s="524"/>
      <c r="M70" s="524"/>
      <c r="N70" s="524"/>
      <c r="O70" s="524"/>
      <c r="P70" s="524"/>
      <c r="Q70" s="524"/>
      <c r="R70" s="524"/>
      <c r="S70" s="524"/>
      <c r="T70" s="524"/>
      <c r="U70" s="524"/>
      <c r="V70" s="524"/>
      <c r="W70" s="524"/>
      <c r="X70" s="524"/>
      <c r="Y70" s="524"/>
      <c r="Z70" s="524"/>
      <c r="AA70" s="524"/>
      <c r="AB70" s="524"/>
      <c r="AC70" s="524"/>
      <c r="AD70" s="524"/>
      <c r="AE70" s="524"/>
      <c r="AF70" s="524"/>
      <c r="AG70" s="524"/>
      <c r="AH70" s="524"/>
      <c r="AI70" s="524"/>
      <c r="AJ70" s="524"/>
      <c r="AK70" s="524"/>
      <c r="AL70" s="524"/>
      <c r="AM70" s="524"/>
      <c r="AN70" s="524"/>
      <c r="AO70" s="524"/>
      <c r="AP70" s="524"/>
      <c r="AQ70" s="524"/>
      <c r="AR70" s="524"/>
      <c r="AS70" s="524"/>
      <c r="AT70" s="524"/>
    </row>
    <row r="71" spans="1:46" x14ac:dyDescent="0.25">
      <c r="A71" s="524"/>
      <c r="B71" s="525"/>
      <c r="C71" s="524"/>
      <c r="D71" s="524"/>
      <c r="E71" s="524"/>
      <c r="F71" s="524"/>
      <c r="G71" s="524"/>
      <c r="H71" s="524"/>
      <c r="I71" s="524"/>
      <c r="J71" s="524"/>
      <c r="K71" s="524"/>
      <c r="L71" s="524"/>
      <c r="M71" s="524"/>
      <c r="N71" s="524"/>
      <c r="O71" s="524"/>
      <c r="P71" s="524"/>
      <c r="Q71" s="524"/>
      <c r="R71" s="524"/>
      <c r="S71" s="524"/>
      <c r="T71" s="524"/>
      <c r="U71" s="524"/>
      <c r="V71" s="524"/>
      <c r="W71" s="524"/>
      <c r="X71" s="524"/>
      <c r="Y71" s="524"/>
      <c r="Z71" s="524"/>
      <c r="AA71" s="524"/>
      <c r="AB71" s="524"/>
      <c r="AC71" s="524"/>
      <c r="AD71" s="524"/>
      <c r="AE71" s="524"/>
      <c r="AF71" s="524"/>
      <c r="AG71" s="524"/>
      <c r="AH71" s="524"/>
      <c r="AI71" s="524"/>
      <c r="AJ71" s="524"/>
      <c r="AK71" s="524"/>
      <c r="AL71" s="524"/>
      <c r="AM71" s="524"/>
      <c r="AN71" s="524"/>
      <c r="AO71" s="524"/>
      <c r="AP71" s="524"/>
      <c r="AQ71" s="524"/>
      <c r="AR71" s="524"/>
      <c r="AS71" s="524"/>
      <c r="AT71" s="524"/>
    </row>
    <row r="72" spans="1:46" ht="7.5" customHeight="1" thickBot="1" x14ac:dyDescent="0.3">
      <c r="A72" s="524"/>
      <c r="B72" s="525"/>
      <c r="C72" s="524"/>
      <c r="D72" s="524"/>
      <c r="E72" s="524"/>
      <c r="F72" s="524"/>
      <c r="G72" s="524"/>
      <c r="H72" s="524"/>
      <c r="I72" s="524"/>
      <c r="J72" s="524"/>
      <c r="K72" s="524"/>
      <c r="L72" s="524"/>
      <c r="M72" s="524"/>
      <c r="N72" s="524"/>
      <c r="O72" s="524"/>
      <c r="P72" s="524"/>
      <c r="Q72" s="524"/>
      <c r="R72" s="524"/>
      <c r="S72" s="524"/>
      <c r="T72" s="524"/>
      <c r="U72" s="524"/>
      <c r="V72" s="524"/>
      <c r="W72" s="524"/>
      <c r="X72" s="524"/>
      <c r="Y72" s="524"/>
      <c r="Z72" s="524"/>
      <c r="AA72" s="524"/>
      <c r="AB72" s="524"/>
      <c r="AC72" s="524"/>
      <c r="AD72" s="524"/>
      <c r="AE72" s="524"/>
      <c r="AF72" s="524"/>
      <c r="AG72" s="524"/>
      <c r="AH72" s="524"/>
      <c r="AI72" s="524"/>
      <c r="AJ72" s="524"/>
      <c r="AK72" s="524"/>
      <c r="AL72" s="524"/>
      <c r="AM72" s="524"/>
      <c r="AN72" s="524"/>
      <c r="AO72" s="524"/>
      <c r="AP72" s="524"/>
      <c r="AQ72" s="524"/>
      <c r="AR72" s="524"/>
      <c r="AS72" s="524"/>
      <c r="AT72" s="524"/>
    </row>
    <row r="73" spans="1:46" ht="15.75" hidden="1" thickBot="1" x14ac:dyDescent="0.3">
      <c r="A73" s="524"/>
      <c r="B73" s="525"/>
      <c r="C73" s="524"/>
      <c r="D73" s="524"/>
      <c r="E73" s="524"/>
      <c r="F73" s="524"/>
      <c r="G73" s="524"/>
      <c r="H73" s="524"/>
      <c r="I73" s="524"/>
      <c r="J73" s="524"/>
      <c r="K73" s="524"/>
      <c r="L73" s="524"/>
      <c r="M73" s="524"/>
      <c r="N73" s="524"/>
      <c r="O73" s="524"/>
      <c r="P73" s="524"/>
      <c r="Q73" s="524"/>
      <c r="R73" s="524"/>
      <c r="S73" s="524"/>
      <c r="T73" s="524"/>
      <c r="U73" s="524"/>
      <c r="V73" s="524"/>
      <c r="W73" s="524"/>
      <c r="X73" s="524"/>
      <c r="Y73" s="524"/>
      <c r="Z73" s="524"/>
      <c r="AA73" s="524"/>
      <c r="AB73" s="524"/>
      <c r="AC73" s="524"/>
      <c r="AD73" s="524"/>
      <c r="AE73" s="524"/>
      <c r="AF73" s="524"/>
      <c r="AG73" s="524"/>
      <c r="AH73" s="524"/>
      <c r="AI73" s="524"/>
      <c r="AJ73" s="524"/>
      <c r="AK73" s="524"/>
      <c r="AL73" s="524"/>
      <c r="AM73" s="524"/>
      <c r="AN73" s="524"/>
      <c r="AO73" s="524"/>
      <c r="AP73" s="524"/>
      <c r="AQ73" s="524"/>
      <c r="AR73" s="524"/>
      <c r="AS73" s="524"/>
      <c r="AT73" s="524"/>
    </row>
    <row r="74" spans="1:46" ht="39.75" customHeight="1" thickBot="1" x14ac:dyDescent="0.35">
      <c r="A74" s="524"/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  <c r="K74" s="524"/>
      <c r="L74" s="524"/>
      <c r="M74" s="524"/>
      <c r="N74" s="524"/>
      <c r="O74" s="524"/>
      <c r="P74" s="524"/>
      <c r="Q74" s="524"/>
      <c r="R74" s="524"/>
      <c r="S74" s="524"/>
      <c r="T74" s="524"/>
      <c r="U74" s="524"/>
      <c r="V74" s="524"/>
      <c r="W74" s="524"/>
      <c r="X74" s="524"/>
      <c r="Y74" s="524"/>
      <c r="Z74" s="524"/>
      <c r="AA74" s="524"/>
      <c r="AB74" s="524"/>
      <c r="AC74" s="524"/>
      <c r="AD74" s="524"/>
      <c r="AE74" s="524"/>
      <c r="AF74" s="524"/>
      <c r="AG74" s="524"/>
      <c r="AH74" s="524"/>
      <c r="AI74" s="524"/>
      <c r="AJ74" s="524"/>
      <c r="AK74" s="524"/>
      <c r="AL74" s="524"/>
      <c r="AM74" s="524"/>
      <c r="AN74" s="524"/>
      <c r="AO74" s="524"/>
      <c r="AP74" s="524"/>
      <c r="AQ74" s="524"/>
      <c r="AR74" s="524"/>
      <c r="AS74" s="524"/>
      <c r="AT74" s="524"/>
    </row>
    <row r="75" spans="1:46" ht="38.25" customHeight="1" thickBot="1" x14ac:dyDescent="0.35">
      <c r="A75" s="524"/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  <c r="K75" s="524"/>
      <c r="L75" s="524"/>
      <c r="M75" s="524"/>
      <c r="N75" s="524"/>
      <c r="O75" s="524"/>
      <c r="P75" s="524"/>
      <c r="Q75" s="524"/>
      <c r="R75" s="524"/>
      <c r="S75" s="524"/>
      <c r="T75" s="524"/>
      <c r="U75" s="524"/>
      <c r="V75" s="524"/>
      <c r="W75" s="524"/>
      <c r="X75" s="524"/>
      <c r="Y75" s="524"/>
      <c r="Z75" s="524"/>
      <c r="AA75" s="524"/>
      <c r="AB75" s="524"/>
      <c r="AC75" s="524"/>
      <c r="AD75" s="524"/>
      <c r="AE75" s="524"/>
      <c r="AF75" s="524"/>
      <c r="AG75" s="524"/>
      <c r="AH75" s="524"/>
      <c r="AI75" s="524"/>
      <c r="AJ75" s="524"/>
      <c r="AK75" s="524"/>
      <c r="AL75" s="524"/>
      <c r="AM75" s="524"/>
      <c r="AN75" s="524"/>
      <c r="AO75" s="524"/>
      <c r="AP75" s="524"/>
      <c r="AQ75" s="524"/>
      <c r="AR75" s="524"/>
      <c r="AS75" s="524"/>
      <c r="AT75" s="524"/>
    </row>
    <row r="76" spans="1:46" ht="30.75" customHeight="1" x14ac:dyDescent="0.3">
      <c r="A76" s="524"/>
      <c r="B76" s="651" t="s">
        <v>218</v>
      </c>
      <c r="C76" s="652">
        <f>C65</f>
        <v>291</v>
      </c>
      <c r="D76" s="653">
        <f>C76/60</f>
        <v>4.8499999999999996</v>
      </c>
      <c r="E76" s="652">
        <f>D65</f>
        <v>263</v>
      </c>
      <c r="F76" s="654">
        <f>E76/60</f>
        <v>4.3833333333333337</v>
      </c>
      <c r="G76" s="652">
        <f>E65</f>
        <v>176</v>
      </c>
      <c r="H76" s="653">
        <f>G76/60</f>
        <v>2.9333333333333331</v>
      </c>
      <c r="I76" s="652">
        <f>F65</f>
        <v>315</v>
      </c>
      <c r="J76" s="653">
        <f>I76/60</f>
        <v>5.25</v>
      </c>
      <c r="K76" s="524"/>
      <c r="L76" s="524"/>
      <c r="M76" s="524"/>
      <c r="N76" s="524"/>
      <c r="O76" s="524"/>
      <c r="P76" s="524"/>
      <c r="Q76" s="524"/>
      <c r="R76" s="524"/>
      <c r="S76" s="524"/>
      <c r="T76" s="524"/>
      <c r="U76" s="524"/>
      <c r="V76" s="524"/>
      <c r="W76" s="524"/>
      <c r="X76" s="524"/>
      <c r="Y76" s="524"/>
      <c r="Z76" s="524"/>
      <c r="AA76" s="524"/>
      <c r="AB76" s="524"/>
      <c r="AC76" s="524"/>
      <c r="AD76" s="524"/>
      <c r="AE76" s="524"/>
      <c r="AF76" s="524"/>
      <c r="AG76" s="524"/>
      <c r="AH76" s="524"/>
      <c r="AI76" s="524"/>
      <c r="AJ76" s="524"/>
      <c r="AK76" s="524"/>
      <c r="AL76" s="524"/>
      <c r="AM76" s="524"/>
      <c r="AN76" s="524"/>
      <c r="AO76" s="524"/>
      <c r="AP76" s="524"/>
      <c r="AQ76" s="524"/>
      <c r="AR76" s="524"/>
      <c r="AS76" s="524"/>
      <c r="AT76" s="524"/>
    </row>
    <row r="77" spans="1:46" ht="32.25" customHeight="1" x14ac:dyDescent="0.3">
      <c r="A77" s="524"/>
      <c r="B77" s="651" t="s">
        <v>219</v>
      </c>
      <c r="C77" s="655">
        <f>L65</f>
        <v>973</v>
      </c>
      <c r="D77" s="656">
        <f>C77/60</f>
        <v>16.216666666666665</v>
      </c>
      <c r="E77" s="655">
        <f>M65</f>
        <v>298</v>
      </c>
      <c r="F77" s="657">
        <f>E77/60</f>
        <v>4.9666666666666668</v>
      </c>
      <c r="G77" s="655">
        <f>N65</f>
        <v>0</v>
      </c>
      <c r="H77" s="656">
        <f>G77/60</f>
        <v>0</v>
      </c>
      <c r="I77" s="655">
        <f>O65</f>
        <v>331</v>
      </c>
      <c r="J77" s="656">
        <f>I77/60</f>
        <v>5.5166666666666666</v>
      </c>
      <c r="K77" s="524"/>
      <c r="L77" s="524"/>
      <c r="M77" s="524"/>
      <c r="N77" s="524"/>
      <c r="O77" s="524"/>
      <c r="P77" s="524"/>
      <c r="Q77" s="524"/>
      <c r="R77" s="524"/>
      <c r="S77" s="524"/>
      <c r="T77" s="524"/>
      <c r="U77" s="524"/>
      <c r="V77" s="524"/>
      <c r="W77" s="524"/>
      <c r="X77" s="524"/>
      <c r="Y77" s="524"/>
      <c r="Z77" s="524"/>
      <c r="AA77" s="524"/>
      <c r="AB77" s="524"/>
      <c r="AC77" s="524"/>
      <c r="AD77" s="524"/>
      <c r="AE77" s="524"/>
      <c r="AF77" s="524"/>
      <c r="AG77" s="524"/>
      <c r="AH77" s="524"/>
      <c r="AI77" s="524"/>
      <c r="AJ77" s="524"/>
      <c r="AK77" s="524"/>
      <c r="AL77" s="524"/>
      <c r="AM77" s="524"/>
      <c r="AN77" s="524"/>
      <c r="AO77" s="524"/>
      <c r="AP77" s="524"/>
      <c r="AQ77" s="524"/>
      <c r="AR77" s="524"/>
      <c r="AS77" s="524"/>
      <c r="AT77" s="524"/>
    </row>
    <row r="78" spans="1:46" ht="25.5" customHeight="1" x14ac:dyDescent="0.3">
      <c r="A78" s="524"/>
      <c r="B78" s="651" t="s">
        <v>220</v>
      </c>
      <c r="C78" s="655">
        <f>U65</f>
        <v>617</v>
      </c>
      <c r="D78" s="656">
        <f>C78/60</f>
        <v>10.283333333333333</v>
      </c>
      <c r="E78" s="655">
        <f>V65</f>
        <v>503</v>
      </c>
      <c r="F78" s="657">
        <f>E78/60</f>
        <v>8.3833333333333329</v>
      </c>
      <c r="G78" s="655">
        <f>W65</f>
        <v>386</v>
      </c>
      <c r="H78" s="656">
        <f>G78/60</f>
        <v>6.4333333333333336</v>
      </c>
      <c r="I78" s="655">
        <f>X65</f>
        <v>366</v>
      </c>
      <c r="J78" s="656">
        <f>I78/60</f>
        <v>6.1</v>
      </c>
      <c r="K78" s="524"/>
      <c r="L78" s="524"/>
      <c r="M78" s="524"/>
      <c r="N78" s="524"/>
      <c r="O78" s="524"/>
      <c r="P78" s="524"/>
      <c r="Q78" s="524"/>
      <c r="R78" s="524"/>
      <c r="S78" s="524"/>
      <c r="T78" s="524"/>
      <c r="U78" s="524"/>
      <c r="V78" s="524"/>
      <c r="W78" s="524"/>
      <c r="X78" s="524"/>
      <c r="Y78" s="524"/>
      <c r="Z78" s="524"/>
      <c r="AA78" s="524"/>
      <c r="AB78" s="524"/>
      <c r="AC78" s="524"/>
      <c r="AD78" s="524"/>
      <c r="AE78" s="524"/>
      <c r="AF78" s="524"/>
      <c r="AG78" s="524"/>
      <c r="AH78" s="524"/>
      <c r="AI78" s="524"/>
      <c r="AJ78" s="524"/>
      <c r="AK78" s="524"/>
      <c r="AL78" s="524"/>
      <c r="AM78" s="524"/>
      <c r="AN78" s="524"/>
      <c r="AO78" s="524"/>
      <c r="AP78" s="524"/>
      <c r="AQ78" s="524"/>
      <c r="AR78" s="524"/>
      <c r="AS78" s="524"/>
      <c r="AT78" s="524"/>
    </row>
    <row r="79" spans="1:46" ht="27.75" customHeight="1" thickBot="1" x14ac:dyDescent="0.35">
      <c r="A79" s="524"/>
      <c r="B79" s="651" t="s">
        <v>221</v>
      </c>
      <c r="C79" s="658">
        <f>AD65</f>
        <v>3613</v>
      </c>
      <c r="D79" s="659">
        <f>C79/60</f>
        <v>60.216666666666669</v>
      </c>
      <c r="E79" s="658">
        <f>AE65</f>
        <v>67</v>
      </c>
      <c r="F79" s="660">
        <f>E79/60</f>
        <v>1.1166666666666667</v>
      </c>
      <c r="G79" s="658">
        <f>AF65</f>
        <v>275</v>
      </c>
      <c r="H79" s="659">
        <f>G79/60</f>
        <v>4.583333333333333</v>
      </c>
      <c r="I79" s="658">
        <f>AG65</f>
        <v>328</v>
      </c>
      <c r="J79" s="659">
        <f>I79/60</f>
        <v>5.4666666666666668</v>
      </c>
      <c r="K79" s="524"/>
      <c r="L79" s="524"/>
      <c r="M79" s="524"/>
      <c r="N79" s="524"/>
      <c r="O79" s="524"/>
      <c r="P79" s="524"/>
      <c r="Q79" s="524"/>
      <c r="R79" s="524"/>
      <c r="S79" s="524"/>
      <c r="T79" s="524"/>
      <c r="U79" s="524"/>
      <c r="V79" s="524"/>
      <c r="W79" s="524"/>
      <c r="X79" s="524"/>
      <c r="Y79" s="524"/>
      <c r="Z79" s="524"/>
      <c r="AA79" s="524"/>
      <c r="AB79" s="524"/>
      <c r="AC79" s="524"/>
      <c r="AD79" s="524"/>
      <c r="AE79" s="524"/>
      <c r="AF79" s="524"/>
      <c r="AG79" s="524"/>
      <c r="AH79" s="524"/>
      <c r="AI79" s="524"/>
      <c r="AJ79" s="524"/>
      <c r="AK79" s="524"/>
      <c r="AL79" s="524"/>
      <c r="AM79" s="524"/>
      <c r="AN79" s="524"/>
      <c r="AO79" s="524"/>
      <c r="AP79" s="524"/>
      <c r="AQ79" s="524"/>
      <c r="AR79" s="524"/>
      <c r="AS79" s="524"/>
      <c r="AT79" s="524"/>
    </row>
    <row r="80" spans="1:46" ht="31.5" customHeight="1" thickBot="1" x14ac:dyDescent="0.35">
      <c r="A80" s="524"/>
      <c r="B80" s="651" t="s">
        <v>488</v>
      </c>
      <c r="C80" s="850">
        <f>AM65</f>
        <v>369</v>
      </c>
      <c r="D80" s="849">
        <f>C80/60</f>
        <v>6.15</v>
      </c>
      <c r="E80" s="850">
        <f>AN65</f>
        <v>204</v>
      </c>
      <c r="F80" s="851">
        <f>E80/60</f>
        <v>3.4</v>
      </c>
      <c r="G80" s="850">
        <f>AO65</f>
        <v>12</v>
      </c>
      <c r="H80" s="849">
        <f>G80/60</f>
        <v>0.2</v>
      </c>
      <c r="I80" s="850">
        <f>AP65</f>
        <v>314</v>
      </c>
      <c r="J80" s="849">
        <f>I80/60</f>
        <v>5.2333333333333334</v>
      </c>
      <c r="K80" s="524"/>
      <c r="L80" s="524"/>
      <c r="M80" s="524"/>
      <c r="N80" s="524"/>
      <c r="O80" s="524"/>
      <c r="P80" s="524"/>
      <c r="Q80" s="524"/>
      <c r="R80" s="524"/>
      <c r="S80" s="524"/>
      <c r="T80" s="524"/>
      <c r="U80" s="524"/>
      <c r="V80" s="524"/>
      <c r="W80" s="524"/>
      <c r="X80" s="524"/>
      <c r="Y80" s="524"/>
      <c r="Z80" s="524"/>
      <c r="AA80" s="524"/>
      <c r="AB80" s="524"/>
      <c r="AC80" s="524"/>
      <c r="AD80" s="524"/>
      <c r="AE80" s="524"/>
      <c r="AF80" s="524"/>
      <c r="AG80" s="524"/>
      <c r="AH80" s="524"/>
      <c r="AI80" s="524"/>
      <c r="AJ80" s="524"/>
      <c r="AK80" s="524"/>
      <c r="AL80" s="524"/>
      <c r="AM80" s="524"/>
      <c r="AN80" s="524"/>
      <c r="AO80" s="524"/>
      <c r="AP80" s="524"/>
      <c r="AQ80" s="524"/>
      <c r="AR80" s="524"/>
      <c r="AS80" s="524"/>
      <c r="AT80" s="524"/>
    </row>
    <row r="81" spans="1:46" ht="19.5" thickBot="1" x14ac:dyDescent="0.35">
      <c r="A81" s="524"/>
      <c r="B81" s="419"/>
      <c r="C81" s="301"/>
      <c r="D81" s="301"/>
      <c r="E81" s="301"/>
      <c r="F81" s="301"/>
      <c r="G81" s="301"/>
      <c r="H81" s="301"/>
      <c r="I81" s="301"/>
      <c r="J81" s="301"/>
      <c r="K81" s="524"/>
      <c r="L81" s="524"/>
      <c r="M81" s="524"/>
      <c r="N81" s="524"/>
      <c r="O81" s="524"/>
      <c r="P81" s="524"/>
      <c r="Q81" s="524"/>
      <c r="R81" s="524"/>
      <c r="S81" s="524"/>
      <c r="T81" s="524"/>
      <c r="U81" s="524"/>
      <c r="V81" s="524"/>
      <c r="W81" s="524"/>
      <c r="X81" s="524"/>
      <c r="Y81" s="524"/>
      <c r="Z81" s="524"/>
      <c r="AA81" s="524"/>
      <c r="AB81" s="524"/>
      <c r="AC81" s="524"/>
      <c r="AD81" s="524"/>
      <c r="AE81" s="524"/>
      <c r="AF81" s="524"/>
      <c r="AG81" s="524"/>
      <c r="AH81" s="524"/>
      <c r="AI81" s="524"/>
      <c r="AJ81" s="524"/>
      <c r="AK81" s="524"/>
      <c r="AL81" s="524"/>
      <c r="AM81" s="524"/>
      <c r="AN81" s="524"/>
      <c r="AO81" s="524"/>
      <c r="AP81" s="524"/>
      <c r="AQ81" s="524"/>
      <c r="AR81" s="524"/>
      <c r="AS81" s="524"/>
      <c r="AT81" s="524"/>
    </row>
    <row r="82" spans="1:46" ht="38.25" customHeight="1" thickBot="1" x14ac:dyDescent="0.35">
      <c r="A82" s="524"/>
      <c r="B82" s="661" t="s">
        <v>217</v>
      </c>
      <c r="C82" s="666"/>
      <c r="D82" s="667">
        <f>SUM(D76:D80)</f>
        <v>97.716666666666669</v>
      </c>
      <c r="E82" s="666">
        <v>1322</v>
      </c>
      <c r="F82" s="667">
        <f>SUM(F76:F80)</f>
        <v>22.25</v>
      </c>
      <c r="G82" s="666">
        <v>832</v>
      </c>
      <c r="H82" s="667">
        <f>SUM(H76:H80)</f>
        <v>14.149999999999999</v>
      </c>
      <c r="I82" s="666">
        <v>1650</v>
      </c>
      <c r="J82" s="668">
        <v>2750</v>
      </c>
      <c r="K82" s="524"/>
      <c r="L82" s="524"/>
      <c r="M82" s="524"/>
      <c r="N82" s="524"/>
      <c r="O82" s="524"/>
      <c r="P82" s="524"/>
      <c r="Q82" s="524"/>
      <c r="R82" s="524"/>
      <c r="S82" s="524"/>
      <c r="T82" s="524"/>
      <c r="U82" s="524"/>
      <c r="V82" s="524"/>
      <c r="W82" s="524"/>
      <c r="X82" s="524"/>
      <c r="Y82" s="524"/>
      <c r="Z82" s="524"/>
      <c r="AA82" s="524"/>
      <c r="AB82" s="524"/>
      <c r="AC82" s="524"/>
      <c r="AD82" s="524"/>
      <c r="AE82" s="524"/>
      <c r="AF82" s="524"/>
      <c r="AG82" s="524"/>
      <c r="AH82" s="524"/>
      <c r="AI82" s="524"/>
      <c r="AJ82" s="524"/>
      <c r="AK82" s="524"/>
      <c r="AL82" s="524"/>
      <c r="AM82" s="524"/>
      <c r="AN82" s="524"/>
      <c r="AO82" s="524"/>
      <c r="AP82" s="524"/>
      <c r="AQ82" s="524"/>
      <c r="AR82" s="524"/>
      <c r="AS82" s="524"/>
      <c r="AT82" s="524"/>
    </row>
    <row r="83" spans="1:46" x14ac:dyDescent="0.25">
      <c r="A83" s="524"/>
      <c r="B83" s="525"/>
      <c r="C83" s="524"/>
      <c r="D83" s="524"/>
      <c r="E83" s="524"/>
      <c r="F83" s="524"/>
      <c r="G83" s="524"/>
      <c r="H83" s="524"/>
      <c r="I83" s="524"/>
      <c r="J83" s="524"/>
      <c r="K83" s="524"/>
      <c r="L83" s="524"/>
      <c r="M83" s="524"/>
      <c r="N83" s="524"/>
      <c r="O83" s="524"/>
      <c r="P83" s="524"/>
      <c r="Q83" s="524"/>
      <c r="R83" s="524"/>
      <c r="S83" s="524"/>
      <c r="T83" s="524"/>
      <c r="U83" s="524"/>
      <c r="V83" s="524"/>
      <c r="W83" s="524"/>
      <c r="X83" s="524"/>
      <c r="Y83" s="524"/>
      <c r="Z83" s="524"/>
      <c r="AA83" s="524"/>
      <c r="AB83" s="524"/>
      <c r="AC83" s="524"/>
      <c r="AD83" s="524"/>
      <c r="AE83" s="524"/>
      <c r="AF83" s="524"/>
      <c r="AG83" s="524"/>
      <c r="AH83" s="524"/>
      <c r="AI83" s="524"/>
      <c r="AJ83" s="524"/>
      <c r="AK83" s="524"/>
      <c r="AL83" s="524"/>
      <c r="AM83" s="524"/>
      <c r="AN83" s="524"/>
      <c r="AO83" s="524"/>
      <c r="AP83" s="524"/>
      <c r="AQ83" s="524"/>
      <c r="AR83" s="524"/>
      <c r="AS83" s="524"/>
      <c r="AT83" s="524"/>
    </row>
    <row r="84" spans="1:46" x14ac:dyDescent="0.25">
      <c r="A84" s="524"/>
      <c r="B84" s="525"/>
      <c r="C84" s="524"/>
      <c r="D84" s="524"/>
      <c r="E84" s="524"/>
      <c r="F84" s="524"/>
      <c r="G84" s="524"/>
      <c r="H84" s="524"/>
      <c r="I84" s="524"/>
      <c r="J84" s="524"/>
      <c r="K84" s="524"/>
      <c r="L84" s="524"/>
      <c r="M84" s="524"/>
      <c r="N84" s="524"/>
      <c r="O84" s="524"/>
      <c r="P84" s="524"/>
      <c r="Q84" s="524"/>
      <c r="R84" s="524"/>
      <c r="S84" s="524"/>
      <c r="T84" s="524"/>
      <c r="U84" s="524"/>
      <c r="V84" s="524"/>
      <c r="W84" s="524"/>
      <c r="X84" s="524"/>
      <c r="Y84" s="524"/>
      <c r="Z84" s="524"/>
      <c r="AA84" s="524"/>
      <c r="AB84" s="524"/>
      <c r="AC84" s="524"/>
      <c r="AD84" s="524"/>
      <c r="AE84" s="524"/>
      <c r="AF84" s="524"/>
      <c r="AG84" s="524"/>
      <c r="AH84" s="524"/>
      <c r="AI84" s="524"/>
      <c r="AJ84" s="524"/>
      <c r="AK84" s="524"/>
      <c r="AL84" s="524"/>
      <c r="AM84" s="524"/>
      <c r="AN84" s="524"/>
      <c r="AO84" s="524"/>
      <c r="AP84" s="524"/>
      <c r="AQ84" s="524"/>
      <c r="AR84" s="524"/>
      <c r="AS84" s="524"/>
      <c r="AT84" s="524"/>
    </row>
    <row r="85" spans="1:46" x14ac:dyDescent="0.25">
      <c r="A85" s="524"/>
      <c r="B85" s="525"/>
      <c r="C85" s="524"/>
      <c r="D85" s="524"/>
      <c r="E85" s="524"/>
      <c r="F85" s="524"/>
      <c r="G85" s="524"/>
      <c r="H85" s="524"/>
      <c r="I85" s="524"/>
      <c r="J85" s="524"/>
      <c r="K85" s="524"/>
      <c r="L85" s="524"/>
      <c r="M85" s="524"/>
      <c r="N85" s="524"/>
      <c r="O85" s="524"/>
      <c r="P85" s="524"/>
      <c r="Q85" s="524"/>
      <c r="R85" s="524"/>
      <c r="S85" s="524"/>
      <c r="T85" s="524"/>
      <c r="U85" s="524"/>
      <c r="V85" s="524"/>
      <c r="W85" s="524"/>
      <c r="X85" s="524"/>
      <c r="Y85" s="524"/>
      <c r="Z85" s="524"/>
      <c r="AA85" s="524"/>
      <c r="AB85" s="524"/>
      <c r="AC85" s="524"/>
      <c r="AD85" s="524"/>
      <c r="AE85" s="524"/>
      <c r="AF85" s="524"/>
      <c r="AG85" s="524"/>
      <c r="AH85" s="524"/>
      <c r="AI85" s="524"/>
      <c r="AJ85" s="524"/>
      <c r="AK85" s="524"/>
      <c r="AL85" s="524"/>
      <c r="AM85" s="524"/>
      <c r="AN85" s="524"/>
      <c r="AO85" s="524"/>
      <c r="AP85" s="524"/>
      <c r="AQ85" s="524"/>
      <c r="AR85" s="524"/>
      <c r="AS85" s="524"/>
      <c r="AT85" s="524"/>
    </row>
    <row r="86" spans="1:46" x14ac:dyDescent="0.25">
      <c r="A86" s="524"/>
      <c r="B86" s="525"/>
      <c r="C86" s="524"/>
      <c r="D86" s="524"/>
      <c r="E86" s="524"/>
      <c r="F86" s="524"/>
      <c r="G86" s="524"/>
      <c r="H86" s="524"/>
      <c r="I86" s="524"/>
      <c r="J86" s="524"/>
      <c r="K86" s="524"/>
      <c r="L86" s="524"/>
      <c r="M86" s="524"/>
      <c r="N86" s="524"/>
      <c r="O86" s="524"/>
      <c r="P86" s="524"/>
      <c r="Q86" s="524"/>
      <c r="R86" s="524"/>
      <c r="S86" s="524"/>
      <c r="T86" s="524"/>
      <c r="U86" s="524"/>
      <c r="V86" s="524"/>
      <c r="W86" s="524"/>
      <c r="X86" s="524"/>
      <c r="Y86" s="524"/>
      <c r="Z86" s="524"/>
      <c r="AA86" s="524"/>
      <c r="AB86" s="524"/>
      <c r="AC86" s="524"/>
      <c r="AD86" s="524"/>
      <c r="AE86" s="524"/>
      <c r="AF86" s="524"/>
      <c r="AG86" s="524"/>
      <c r="AH86" s="524"/>
      <c r="AI86" s="524"/>
      <c r="AJ86" s="524"/>
      <c r="AK86" s="524"/>
      <c r="AL86" s="524"/>
      <c r="AM86" s="524"/>
      <c r="AN86" s="524"/>
      <c r="AO86" s="524"/>
      <c r="AP86" s="524"/>
      <c r="AQ86" s="524"/>
      <c r="AR86" s="524"/>
      <c r="AS86" s="524"/>
      <c r="AT86" s="524"/>
    </row>
    <row r="87" spans="1:46" x14ac:dyDescent="0.25">
      <c r="A87" s="524"/>
      <c r="B87" s="525"/>
      <c r="C87" s="524"/>
      <c r="D87" s="524"/>
      <c r="E87" s="524"/>
      <c r="F87" s="524"/>
      <c r="G87" s="524"/>
      <c r="H87" s="524"/>
      <c r="I87" s="524"/>
      <c r="J87" s="524"/>
      <c r="K87" s="524"/>
      <c r="L87" s="524"/>
      <c r="M87" s="524"/>
      <c r="N87" s="524"/>
      <c r="O87" s="524"/>
      <c r="P87" s="524"/>
      <c r="Q87" s="524"/>
      <c r="R87" s="524"/>
      <c r="S87" s="524"/>
      <c r="T87" s="524"/>
      <c r="U87" s="524"/>
      <c r="V87" s="524"/>
      <c r="W87" s="524"/>
      <c r="X87" s="524"/>
      <c r="Y87" s="524"/>
      <c r="Z87" s="524"/>
      <c r="AA87" s="524"/>
      <c r="AB87" s="524"/>
      <c r="AC87" s="524"/>
      <c r="AD87" s="524"/>
      <c r="AE87" s="524"/>
      <c r="AF87" s="524"/>
      <c r="AG87" s="524"/>
      <c r="AH87" s="524"/>
      <c r="AI87" s="524"/>
      <c r="AJ87" s="524"/>
      <c r="AK87" s="524"/>
      <c r="AL87" s="524"/>
      <c r="AM87" s="524"/>
      <c r="AN87" s="524"/>
      <c r="AO87" s="524"/>
      <c r="AP87" s="524"/>
      <c r="AQ87" s="524"/>
      <c r="AR87" s="524"/>
      <c r="AS87" s="524"/>
      <c r="AT87" s="524"/>
    </row>
    <row r="88" spans="1:46" x14ac:dyDescent="0.25">
      <c r="A88" s="524"/>
      <c r="B88" s="525"/>
      <c r="C88" s="524"/>
      <c r="D88" s="524"/>
      <c r="E88" s="524"/>
      <c r="F88" s="524"/>
      <c r="G88" s="524"/>
      <c r="H88" s="524"/>
      <c r="I88" s="524"/>
      <c r="J88" s="524"/>
      <c r="K88" s="524"/>
      <c r="L88" s="524"/>
      <c r="M88" s="524"/>
      <c r="N88" s="524"/>
      <c r="O88" s="524"/>
      <c r="P88" s="524"/>
      <c r="Q88" s="524"/>
      <c r="R88" s="524"/>
      <c r="S88" s="524"/>
      <c r="T88" s="524"/>
      <c r="U88" s="524"/>
      <c r="V88" s="524"/>
      <c r="W88" s="524"/>
      <c r="X88" s="524"/>
      <c r="Y88" s="524"/>
      <c r="Z88" s="524"/>
      <c r="AA88" s="524"/>
      <c r="AB88" s="524"/>
      <c r="AC88" s="524"/>
      <c r="AD88" s="524"/>
      <c r="AE88" s="524"/>
      <c r="AF88" s="524"/>
      <c r="AG88" s="524"/>
      <c r="AH88" s="524"/>
      <c r="AI88" s="524"/>
      <c r="AJ88" s="524"/>
      <c r="AK88" s="524"/>
      <c r="AL88" s="524"/>
      <c r="AM88" s="524"/>
      <c r="AN88" s="524"/>
      <c r="AO88" s="524"/>
      <c r="AP88" s="524"/>
      <c r="AQ88" s="524"/>
      <c r="AR88" s="524"/>
      <c r="AS88" s="524"/>
      <c r="AT88" s="524"/>
    </row>
    <row r="89" spans="1:46" x14ac:dyDescent="0.25">
      <c r="A89" s="524"/>
      <c r="B89" s="525"/>
      <c r="C89" s="524"/>
      <c r="D89" s="524"/>
      <c r="E89" s="524"/>
      <c r="F89" s="524"/>
      <c r="G89" s="524"/>
      <c r="H89" s="524"/>
      <c r="I89" s="524"/>
      <c r="J89" s="524"/>
      <c r="K89" s="524"/>
      <c r="L89" s="524"/>
      <c r="M89" s="524"/>
      <c r="N89" s="524"/>
      <c r="O89" s="524"/>
      <c r="P89" s="524"/>
      <c r="Q89" s="524"/>
      <c r="R89" s="524"/>
      <c r="S89" s="524"/>
      <c r="T89" s="524"/>
      <c r="U89" s="524"/>
      <c r="V89" s="524"/>
      <c r="W89" s="524"/>
      <c r="X89" s="524"/>
      <c r="Y89" s="524"/>
      <c r="Z89" s="524"/>
      <c r="AA89" s="524"/>
      <c r="AB89" s="524"/>
      <c r="AC89" s="524"/>
      <c r="AD89" s="524"/>
      <c r="AE89" s="524"/>
      <c r="AF89" s="524"/>
      <c r="AG89" s="524"/>
      <c r="AH89" s="524"/>
      <c r="AI89" s="524"/>
      <c r="AJ89" s="524"/>
      <c r="AK89" s="524"/>
      <c r="AL89" s="524"/>
      <c r="AM89" s="524"/>
      <c r="AN89" s="524"/>
      <c r="AO89" s="524"/>
      <c r="AP89" s="524"/>
      <c r="AQ89" s="524"/>
      <c r="AR89" s="524"/>
      <c r="AS89" s="524"/>
      <c r="AT89" s="524"/>
    </row>
    <row r="90" spans="1:46" x14ac:dyDescent="0.25">
      <c r="A90" s="524"/>
      <c r="B90" s="525"/>
      <c r="C90" s="524"/>
      <c r="D90" s="524"/>
      <c r="E90" s="524"/>
      <c r="F90" s="524"/>
      <c r="G90" s="524"/>
      <c r="H90" s="524"/>
      <c r="I90" s="524"/>
      <c r="J90" s="524"/>
      <c r="K90" s="524"/>
      <c r="L90" s="524"/>
      <c r="M90" s="524"/>
      <c r="N90" s="524"/>
      <c r="O90" s="524"/>
      <c r="P90" s="524"/>
      <c r="Q90" s="524"/>
      <c r="R90" s="524"/>
      <c r="S90" s="524"/>
      <c r="T90" s="524"/>
      <c r="U90" s="524"/>
      <c r="V90" s="524"/>
      <c r="W90" s="524"/>
      <c r="X90" s="524"/>
      <c r="Y90" s="524"/>
      <c r="Z90" s="524"/>
      <c r="AA90" s="524"/>
      <c r="AB90" s="524"/>
      <c r="AC90" s="524"/>
      <c r="AD90" s="524"/>
      <c r="AE90" s="524"/>
      <c r="AF90" s="524"/>
      <c r="AG90" s="524"/>
      <c r="AH90" s="524"/>
      <c r="AI90" s="524"/>
      <c r="AJ90" s="524"/>
      <c r="AK90" s="524"/>
      <c r="AL90" s="524"/>
      <c r="AM90" s="524"/>
      <c r="AN90" s="524"/>
      <c r="AO90" s="524"/>
      <c r="AP90" s="524"/>
      <c r="AQ90" s="524"/>
      <c r="AR90" s="524"/>
      <c r="AS90" s="524"/>
      <c r="AT90" s="524"/>
    </row>
    <row r="91" spans="1:46" x14ac:dyDescent="0.25">
      <c r="A91" s="524"/>
      <c r="B91" s="525"/>
      <c r="C91" s="524"/>
      <c r="D91" s="524"/>
      <c r="E91" s="524"/>
      <c r="F91" s="524"/>
      <c r="G91" s="524"/>
      <c r="H91" s="524"/>
      <c r="I91" s="524"/>
      <c r="J91" s="524"/>
      <c r="K91" s="524"/>
      <c r="L91" s="524"/>
      <c r="M91" s="524"/>
      <c r="N91" s="524"/>
      <c r="O91" s="524"/>
      <c r="P91" s="524"/>
      <c r="Q91" s="524"/>
      <c r="R91" s="524"/>
      <c r="S91" s="524"/>
      <c r="T91" s="524"/>
      <c r="U91" s="524"/>
      <c r="V91" s="524"/>
      <c r="W91" s="524"/>
      <c r="X91" s="524"/>
      <c r="Y91" s="524"/>
      <c r="Z91" s="524"/>
      <c r="AA91" s="524"/>
      <c r="AB91" s="524"/>
      <c r="AC91" s="524"/>
      <c r="AD91" s="524"/>
      <c r="AE91" s="524"/>
      <c r="AF91" s="524"/>
      <c r="AG91" s="524"/>
      <c r="AH91" s="524"/>
      <c r="AI91" s="524"/>
      <c r="AJ91" s="524"/>
      <c r="AK91" s="524"/>
      <c r="AL91" s="524"/>
      <c r="AM91" s="524"/>
      <c r="AN91" s="524"/>
      <c r="AO91" s="524"/>
      <c r="AP91" s="524"/>
      <c r="AQ91" s="524"/>
      <c r="AR91" s="524"/>
      <c r="AS91" s="524"/>
      <c r="AT91" s="524"/>
    </row>
    <row r="92" spans="1:46" x14ac:dyDescent="0.25">
      <c r="A92" s="524"/>
      <c r="B92" s="525"/>
      <c r="C92" s="524"/>
      <c r="D92" s="524"/>
      <c r="E92" s="524"/>
      <c r="F92" s="524"/>
      <c r="G92" s="524"/>
      <c r="H92" s="524"/>
      <c r="I92" s="524"/>
      <c r="J92" s="524"/>
      <c r="K92" s="524"/>
      <c r="L92" s="524"/>
      <c r="M92" s="524"/>
      <c r="N92" s="524"/>
      <c r="O92" s="524"/>
      <c r="P92" s="524"/>
      <c r="Q92" s="524"/>
      <c r="R92" s="524"/>
      <c r="S92" s="524"/>
      <c r="T92" s="524"/>
      <c r="U92" s="524"/>
      <c r="V92" s="524"/>
      <c r="W92" s="524"/>
      <c r="X92" s="524"/>
      <c r="Y92" s="524"/>
      <c r="Z92" s="524"/>
      <c r="AA92" s="524"/>
      <c r="AB92" s="524"/>
      <c r="AC92" s="524"/>
      <c r="AD92" s="524"/>
      <c r="AE92" s="524"/>
      <c r="AF92" s="524"/>
      <c r="AG92" s="524"/>
      <c r="AH92" s="524"/>
      <c r="AI92" s="524"/>
      <c r="AJ92" s="524"/>
      <c r="AK92" s="524"/>
      <c r="AL92" s="524"/>
      <c r="AM92" s="524"/>
      <c r="AN92" s="524"/>
      <c r="AO92" s="524"/>
      <c r="AP92" s="524"/>
      <c r="AQ92" s="524"/>
      <c r="AR92" s="524"/>
      <c r="AS92" s="524"/>
      <c r="AT92" s="524"/>
    </row>
    <row r="93" spans="1:46" x14ac:dyDescent="0.25">
      <c r="A93" s="524"/>
      <c r="B93" s="525"/>
      <c r="C93" s="524"/>
      <c r="D93" s="524"/>
      <c r="E93" s="524"/>
      <c r="F93" s="524"/>
      <c r="G93" s="524"/>
      <c r="H93" s="524"/>
      <c r="I93" s="524"/>
      <c r="J93" s="524"/>
      <c r="K93" s="524"/>
      <c r="L93" s="524"/>
      <c r="M93" s="524"/>
      <c r="N93" s="524"/>
      <c r="O93" s="524"/>
      <c r="P93" s="524"/>
      <c r="Q93" s="524"/>
      <c r="R93" s="524"/>
      <c r="S93" s="524"/>
      <c r="T93" s="524"/>
      <c r="U93" s="524"/>
      <c r="V93" s="524"/>
      <c r="W93" s="524"/>
      <c r="X93" s="524"/>
      <c r="Y93" s="524"/>
      <c r="Z93" s="524"/>
      <c r="AA93" s="524"/>
      <c r="AB93" s="524"/>
      <c r="AC93" s="524"/>
      <c r="AD93" s="524"/>
      <c r="AE93" s="524"/>
      <c r="AF93" s="524"/>
      <c r="AG93" s="524"/>
      <c r="AH93" s="524"/>
      <c r="AI93" s="524"/>
      <c r="AJ93" s="524"/>
      <c r="AK93" s="524"/>
      <c r="AL93" s="524"/>
      <c r="AM93" s="524"/>
      <c r="AN93" s="524"/>
      <c r="AO93" s="524"/>
      <c r="AP93" s="524"/>
      <c r="AQ93" s="524"/>
      <c r="AR93" s="524"/>
      <c r="AS93" s="524"/>
      <c r="AT93" s="524"/>
    </row>
    <row r="94" spans="1:46" x14ac:dyDescent="0.25">
      <c r="A94" s="524"/>
      <c r="B94" s="525"/>
      <c r="C94" s="524"/>
      <c r="D94" s="524"/>
      <c r="E94" s="524"/>
      <c r="F94" s="524"/>
      <c r="G94" s="524"/>
      <c r="H94" s="524"/>
      <c r="I94" s="524"/>
      <c r="J94" s="524"/>
      <c r="K94" s="524"/>
      <c r="L94" s="524"/>
      <c r="M94" s="524"/>
      <c r="N94" s="524"/>
      <c r="O94" s="524"/>
      <c r="P94" s="524"/>
      <c r="Q94" s="524"/>
      <c r="R94" s="524"/>
      <c r="S94" s="524"/>
      <c r="T94" s="524"/>
      <c r="U94" s="524"/>
      <c r="V94" s="524"/>
      <c r="W94" s="524"/>
      <c r="X94" s="524"/>
      <c r="Y94" s="524"/>
      <c r="Z94" s="524"/>
      <c r="AA94" s="524"/>
      <c r="AB94" s="524"/>
      <c r="AC94" s="524"/>
      <c r="AD94" s="524"/>
      <c r="AE94" s="524"/>
      <c r="AF94" s="524"/>
      <c r="AG94" s="524"/>
      <c r="AH94" s="524"/>
      <c r="AI94" s="524"/>
      <c r="AJ94" s="524"/>
      <c r="AK94" s="524"/>
      <c r="AL94" s="524"/>
      <c r="AM94" s="524"/>
      <c r="AN94" s="524"/>
      <c r="AO94" s="524"/>
      <c r="AP94" s="524"/>
      <c r="AQ94" s="524"/>
      <c r="AR94" s="524"/>
      <c r="AS94" s="524"/>
      <c r="AT94" s="524"/>
    </row>
    <row r="95" spans="1:46" x14ac:dyDescent="0.25">
      <c r="A95" s="524"/>
      <c r="B95" s="525"/>
      <c r="C95" s="524"/>
      <c r="D95" s="524"/>
      <c r="E95" s="524"/>
      <c r="F95" s="524"/>
      <c r="G95" s="524"/>
      <c r="H95" s="524"/>
      <c r="I95" s="524"/>
      <c r="J95" s="524"/>
      <c r="K95" s="524"/>
      <c r="L95" s="524"/>
      <c r="M95" s="524"/>
      <c r="N95" s="524"/>
      <c r="O95" s="524"/>
      <c r="P95" s="524"/>
      <c r="Q95" s="524"/>
      <c r="R95" s="524"/>
      <c r="S95" s="524"/>
      <c r="T95" s="524"/>
      <c r="U95" s="524"/>
      <c r="V95" s="524"/>
      <c r="W95" s="524"/>
      <c r="X95" s="524"/>
      <c r="Y95" s="524"/>
      <c r="Z95" s="524"/>
      <c r="AA95" s="524"/>
      <c r="AB95" s="524"/>
      <c r="AC95" s="524"/>
      <c r="AD95" s="524"/>
      <c r="AE95" s="524"/>
      <c r="AF95" s="524"/>
      <c r="AG95" s="524"/>
      <c r="AH95" s="524"/>
      <c r="AI95" s="524"/>
      <c r="AJ95" s="524"/>
      <c r="AK95" s="524"/>
      <c r="AL95" s="524"/>
      <c r="AM95" s="524"/>
      <c r="AN95" s="524"/>
      <c r="AO95" s="524"/>
      <c r="AP95" s="524"/>
      <c r="AQ95" s="524"/>
      <c r="AR95" s="524"/>
      <c r="AS95" s="524"/>
      <c r="AT95" s="524"/>
    </row>
    <row r="96" spans="1:46" x14ac:dyDescent="0.25">
      <c r="A96" s="524"/>
      <c r="B96" s="525"/>
      <c r="C96" s="524"/>
      <c r="D96" s="524"/>
      <c r="E96" s="524"/>
      <c r="F96" s="524"/>
      <c r="G96" s="524"/>
      <c r="H96" s="524"/>
      <c r="I96" s="524"/>
      <c r="J96" s="524"/>
      <c r="K96" s="524"/>
      <c r="L96" s="524"/>
      <c r="M96" s="524"/>
      <c r="N96" s="524"/>
      <c r="O96" s="524"/>
      <c r="P96" s="524"/>
      <c r="Q96" s="524"/>
      <c r="R96" s="524"/>
      <c r="S96" s="524"/>
      <c r="T96" s="524"/>
      <c r="U96" s="524"/>
      <c r="V96" s="524"/>
      <c r="W96" s="524"/>
      <c r="X96" s="524"/>
      <c r="Y96" s="524"/>
      <c r="Z96" s="524"/>
      <c r="AA96" s="524"/>
      <c r="AB96" s="524"/>
      <c r="AC96" s="524"/>
      <c r="AD96" s="524"/>
      <c r="AE96" s="524"/>
      <c r="AF96" s="524"/>
      <c r="AG96" s="524"/>
      <c r="AH96" s="524"/>
      <c r="AI96" s="524"/>
      <c r="AJ96" s="524"/>
      <c r="AK96" s="524"/>
      <c r="AL96" s="524"/>
      <c r="AM96" s="524"/>
      <c r="AN96" s="524"/>
      <c r="AO96" s="524"/>
      <c r="AP96" s="524"/>
      <c r="AQ96" s="524"/>
      <c r="AR96" s="524"/>
      <c r="AS96" s="524"/>
      <c r="AT96" s="524"/>
    </row>
    <row r="97" spans="1:46" x14ac:dyDescent="0.25">
      <c r="A97" s="524"/>
      <c r="B97" s="525"/>
      <c r="C97" s="524"/>
      <c r="D97" s="524"/>
      <c r="E97" s="524"/>
      <c r="F97" s="524"/>
      <c r="G97" s="524"/>
      <c r="H97" s="524"/>
      <c r="I97" s="524"/>
      <c r="J97" s="524"/>
      <c r="K97" s="524"/>
      <c r="L97" s="524"/>
      <c r="M97" s="524"/>
      <c r="N97" s="524"/>
      <c r="O97" s="524"/>
      <c r="P97" s="524"/>
      <c r="Q97" s="524"/>
      <c r="R97" s="524"/>
      <c r="S97" s="524"/>
      <c r="T97" s="524"/>
      <c r="U97" s="524"/>
      <c r="V97" s="524"/>
      <c r="W97" s="524"/>
      <c r="X97" s="524"/>
      <c r="Y97" s="524"/>
      <c r="Z97" s="524"/>
      <c r="AA97" s="524"/>
      <c r="AB97" s="524"/>
      <c r="AC97" s="524"/>
      <c r="AD97" s="524"/>
      <c r="AE97" s="524"/>
      <c r="AF97" s="524"/>
      <c r="AG97" s="524"/>
      <c r="AH97" s="524"/>
      <c r="AI97" s="524"/>
      <c r="AJ97" s="524"/>
      <c r="AK97" s="524"/>
      <c r="AL97" s="524"/>
      <c r="AM97" s="524"/>
      <c r="AN97" s="524"/>
      <c r="AO97" s="524"/>
      <c r="AP97" s="524"/>
      <c r="AQ97" s="524"/>
      <c r="AR97" s="524"/>
      <c r="AS97" s="524"/>
      <c r="AT97" s="524"/>
    </row>
    <row r="98" spans="1:46" x14ac:dyDescent="0.25">
      <c r="A98" s="524"/>
      <c r="B98" s="525"/>
      <c r="C98" s="524"/>
      <c r="D98" s="524"/>
      <c r="E98" s="524"/>
      <c r="F98" s="524"/>
      <c r="G98" s="524"/>
      <c r="H98" s="524"/>
      <c r="I98" s="524"/>
      <c r="J98" s="524"/>
      <c r="K98" s="524"/>
      <c r="L98" s="524"/>
      <c r="M98" s="524"/>
      <c r="N98" s="524"/>
      <c r="O98" s="524"/>
      <c r="P98" s="524"/>
      <c r="Q98" s="524"/>
      <c r="R98" s="524"/>
      <c r="S98" s="524"/>
      <c r="T98" s="524"/>
      <c r="U98" s="524"/>
      <c r="V98" s="524"/>
      <c r="W98" s="524"/>
      <c r="X98" s="524"/>
      <c r="Y98" s="524"/>
      <c r="Z98" s="524"/>
      <c r="AA98" s="524"/>
      <c r="AB98" s="524"/>
      <c r="AC98" s="524"/>
      <c r="AD98" s="524"/>
      <c r="AE98" s="524"/>
      <c r="AF98" s="524"/>
      <c r="AG98" s="524"/>
      <c r="AH98" s="524"/>
      <c r="AI98" s="524"/>
      <c r="AJ98" s="524"/>
      <c r="AK98" s="524"/>
      <c r="AL98" s="524"/>
      <c r="AM98" s="524"/>
      <c r="AN98" s="524"/>
      <c r="AO98" s="524"/>
      <c r="AP98" s="524"/>
      <c r="AQ98" s="524"/>
      <c r="AR98" s="524"/>
      <c r="AS98" s="524"/>
      <c r="AT98" s="524"/>
    </row>
    <row r="99" spans="1:46" x14ac:dyDescent="0.25">
      <c r="A99" s="524"/>
      <c r="B99" s="525"/>
      <c r="C99" s="524"/>
      <c r="D99" s="524"/>
      <c r="E99" s="524"/>
      <c r="F99" s="524"/>
      <c r="G99" s="524"/>
      <c r="H99" s="524"/>
      <c r="I99" s="524"/>
      <c r="J99" s="524"/>
      <c r="K99" s="524"/>
      <c r="L99" s="524"/>
      <c r="M99" s="524"/>
      <c r="N99" s="524"/>
      <c r="O99" s="524"/>
      <c r="P99" s="524"/>
      <c r="Q99" s="524"/>
      <c r="R99" s="524"/>
      <c r="S99" s="524"/>
      <c r="T99" s="524"/>
      <c r="U99" s="524"/>
      <c r="V99" s="524"/>
      <c r="W99" s="524"/>
      <c r="X99" s="524"/>
      <c r="Y99" s="524"/>
      <c r="Z99" s="524"/>
      <c r="AA99" s="524"/>
      <c r="AB99" s="524"/>
      <c r="AC99" s="524"/>
      <c r="AD99" s="524"/>
      <c r="AE99" s="524"/>
      <c r="AF99" s="524"/>
      <c r="AG99" s="524"/>
      <c r="AH99" s="524"/>
      <c r="AI99" s="524"/>
      <c r="AJ99" s="524"/>
      <c r="AK99" s="524"/>
      <c r="AL99" s="524"/>
      <c r="AM99" s="524"/>
      <c r="AN99" s="524"/>
      <c r="AO99" s="524"/>
      <c r="AP99" s="524"/>
      <c r="AQ99" s="524"/>
      <c r="AR99" s="524"/>
      <c r="AS99" s="524"/>
      <c r="AT99" s="524"/>
    </row>
    <row r="100" spans="1:46" x14ac:dyDescent="0.25">
      <c r="A100" s="524"/>
      <c r="B100" s="525"/>
      <c r="C100" s="524"/>
      <c r="D100" s="524"/>
      <c r="E100" s="524"/>
      <c r="F100" s="524"/>
      <c r="G100" s="524"/>
      <c r="H100" s="524"/>
      <c r="I100" s="524"/>
      <c r="J100" s="524"/>
      <c r="K100" s="524"/>
      <c r="L100" s="524"/>
      <c r="M100" s="524"/>
      <c r="N100" s="524"/>
      <c r="O100" s="524"/>
      <c r="P100" s="524"/>
      <c r="Q100" s="524"/>
      <c r="R100" s="524"/>
      <c r="S100" s="524"/>
      <c r="T100" s="524"/>
      <c r="U100" s="524"/>
      <c r="V100" s="524"/>
      <c r="W100" s="524"/>
      <c r="X100" s="524"/>
      <c r="Y100" s="524"/>
      <c r="Z100" s="524"/>
      <c r="AA100" s="524"/>
      <c r="AB100" s="524"/>
      <c r="AC100" s="524"/>
      <c r="AD100" s="524"/>
      <c r="AE100" s="524"/>
      <c r="AF100" s="524"/>
      <c r="AG100" s="524"/>
      <c r="AH100" s="524"/>
      <c r="AI100" s="524"/>
      <c r="AJ100" s="524"/>
      <c r="AK100" s="524"/>
      <c r="AL100" s="524"/>
      <c r="AM100" s="524"/>
      <c r="AN100" s="524"/>
      <c r="AO100" s="524"/>
      <c r="AP100" s="524"/>
      <c r="AQ100" s="524"/>
      <c r="AR100" s="524"/>
      <c r="AS100" s="524"/>
      <c r="AT100" s="524"/>
    </row>
    <row r="101" spans="1:46" x14ac:dyDescent="0.25">
      <c r="A101" s="524"/>
      <c r="B101" s="525"/>
      <c r="C101" s="524"/>
      <c r="D101" s="524"/>
      <c r="E101" s="524"/>
      <c r="F101" s="524"/>
      <c r="G101" s="524"/>
      <c r="H101" s="524"/>
      <c r="I101" s="524"/>
      <c r="J101" s="524"/>
      <c r="K101" s="524"/>
      <c r="L101" s="524"/>
      <c r="M101" s="524"/>
      <c r="N101" s="524"/>
      <c r="O101" s="524"/>
      <c r="P101" s="524"/>
      <c r="Q101" s="524"/>
      <c r="R101" s="524"/>
      <c r="S101" s="524"/>
      <c r="T101" s="524"/>
      <c r="U101" s="524"/>
      <c r="V101" s="524"/>
      <c r="W101" s="524"/>
      <c r="X101" s="524"/>
      <c r="Y101" s="524"/>
      <c r="Z101" s="524"/>
      <c r="AA101" s="524"/>
      <c r="AB101" s="524"/>
      <c r="AC101" s="524"/>
      <c r="AD101" s="524"/>
      <c r="AE101" s="524"/>
      <c r="AF101" s="524"/>
      <c r="AG101" s="524"/>
      <c r="AH101" s="524"/>
      <c r="AI101" s="524"/>
      <c r="AJ101" s="524"/>
      <c r="AK101" s="524"/>
      <c r="AL101" s="524"/>
      <c r="AM101" s="524"/>
      <c r="AN101" s="524"/>
      <c r="AO101" s="524"/>
      <c r="AP101" s="524"/>
      <c r="AQ101" s="524"/>
      <c r="AR101" s="524"/>
      <c r="AS101" s="524"/>
      <c r="AT101" s="524"/>
    </row>
    <row r="102" spans="1:46" x14ac:dyDescent="0.25">
      <c r="A102" s="524"/>
      <c r="B102" s="525"/>
      <c r="C102" s="524"/>
      <c r="D102" s="524"/>
      <c r="E102" s="524"/>
      <c r="F102" s="524"/>
      <c r="G102" s="524"/>
      <c r="H102" s="524"/>
      <c r="I102" s="524"/>
      <c r="J102" s="524"/>
      <c r="K102" s="524"/>
      <c r="L102" s="524"/>
      <c r="M102" s="524"/>
      <c r="N102" s="524"/>
      <c r="O102" s="524"/>
      <c r="P102" s="524"/>
      <c r="Q102" s="524"/>
      <c r="R102" s="524"/>
      <c r="S102" s="524"/>
      <c r="T102" s="524"/>
      <c r="U102" s="524"/>
      <c r="V102" s="524"/>
      <c r="W102" s="524"/>
      <c r="X102" s="524"/>
      <c r="Y102" s="524"/>
      <c r="Z102" s="524"/>
      <c r="AA102" s="524"/>
      <c r="AB102" s="524"/>
      <c r="AC102" s="524"/>
      <c r="AD102" s="524"/>
      <c r="AE102" s="524"/>
      <c r="AF102" s="524"/>
      <c r="AG102" s="524"/>
      <c r="AH102" s="524"/>
      <c r="AI102" s="524"/>
      <c r="AJ102" s="524"/>
      <c r="AK102" s="524"/>
      <c r="AL102" s="524"/>
      <c r="AM102" s="524"/>
      <c r="AN102" s="524"/>
      <c r="AO102" s="524"/>
      <c r="AP102" s="524"/>
      <c r="AQ102" s="524"/>
      <c r="AR102" s="524"/>
      <c r="AS102" s="524"/>
      <c r="AT102" s="524"/>
    </row>
    <row r="103" spans="1:46" x14ac:dyDescent="0.25">
      <c r="A103" s="524"/>
      <c r="B103" s="525"/>
      <c r="C103" s="524"/>
      <c r="D103" s="524"/>
      <c r="E103" s="524"/>
      <c r="F103" s="524"/>
      <c r="G103" s="524"/>
      <c r="H103" s="524"/>
      <c r="I103" s="524"/>
      <c r="J103" s="524"/>
      <c r="K103" s="524"/>
      <c r="L103" s="524"/>
      <c r="M103" s="524"/>
      <c r="N103" s="524"/>
      <c r="O103" s="524"/>
      <c r="P103" s="524"/>
      <c r="Q103" s="524"/>
      <c r="R103" s="524"/>
      <c r="S103" s="524"/>
      <c r="T103" s="524"/>
      <c r="U103" s="524"/>
      <c r="V103" s="524"/>
      <c r="W103" s="524"/>
      <c r="X103" s="524"/>
      <c r="Y103" s="524"/>
      <c r="Z103" s="524"/>
      <c r="AA103" s="524"/>
      <c r="AB103" s="524"/>
      <c r="AC103" s="524"/>
      <c r="AD103" s="524"/>
      <c r="AE103" s="524"/>
      <c r="AF103" s="524"/>
      <c r="AG103" s="524"/>
      <c r="AH103" s="524"/>
      <c r="AI103" s="524"/>
      <c r="AJ103" s="524"/>
      <c r="AK103" s="524"/>
      <c r="AL103" s="524"/>
      <c r="AM103" s="524"/>
      <c r="AN103" s="524"/>
      <c r="AO103" s="524"/>
      <c r="AP103" s="524"/>
      <c r="AQ103" s="524"/>
      <c r="AR103" s="524"/>
      <c r="AS103" s="524"/>
      <c r="AT103" s="524"/>
    </row>
    <row r="104" spans="1:46" x14ac:dyDescent="0.25">
      <c r="A104" s="524"/>
      <c r="B104" s="525"/>
      <c r="C104" s="524"/>
      <c r="D104" s="524"/>
      <c r="E104" s="524"/>
      <c r="F104" s="524"/>
      <c r="G104" s="524"/>
      <c r="H104" s="524"/>
      <c r="I104" s="524"/>
      <c r="J104" s="524"/>
      <c r="K104" s="524"/>
      <c r="L104" s="524"/>
      <c r="M104" s="524"/>
      <c r="N104" s="524"/>
      <c r="O104" s="524"/>
      <c r="P104" s="524"/>
      <c r="Q104" s="524"/>
      <c r="R104" s="524"/>
      <c r="S104" s="524"/>
      <c r="T104" s="524"/>
      <c r="U104" s="524"/>
      <c r="V104" s="524"/>
      <c r="W104" s="524"/>
      <c r="X104" s="524"/>
      <c r="Y104" s="524"/>
      <c r="Z104" s="524"/>
      <c r="AA104" s="524"/>
      <c r="AB104" s="524"/>
      <c r="AC104" s="524"/>
      <c r="AD104" s="524"/>
      <c r="AE104" s="524"/>
      <c r="AF104" s="524"/>
      <c r="AG104" s="524"/>
      <c r="AH104" s="524"/>
      <c r="AI104" s="524"/>
      <c r="AJ104" s="524"/>
      <c r="AK104" s="524"/>
      <c r="AL104" s="524"/>
      <c r="AM104" s="524"/>
      <c r="AN104" s="524"/>
      <c r="AO104" s="524"/>
      <c r="AP104" s="524"/>
      <c r="AQ104" s="524"/>
      <c r="AR104" s="524"/>
      <c r="AS104" s="524"/>
      <c r="AT104" s="524"/>
    </row>
    <row r="105" spans="1:46" x14ac:dyDescent="0.25">
      <c r="A105" s="524"/>
      <c r="B105" s="525"/>
      <c r="C105" s="524"/>
      <c r="D105" s="524"/>
      <c r="E105" s="524"/>
      <c r="F105" s="524"/>
      <c r="G105" s="524"/>
      <c r="H105" s="524"/>
      <c r="I105" s="524"/>
      <c r="J105" s="524"/>
      <c r="K105" s="524"/>
      <c r="L105" s="524"/>
      <c r="M105" s="524"/>
      <c r="N105" s="524"/>
      <c r="O105" s="524"/>
      <c r="P105" s="524"/>
      <c r="Q105" s="524"/>
      <c r="R105" s="524"/>
      <c r="S105" s="524"/>
      <c r="T105" s="524"/>
      <c r="U105" s="524"/>
      <c r="V105" s="524"/>
      <c r="W105" s="524"/>
      <c r="X105" s="524"/>
      <c r="Y105" s="524"/>
      <c r="Z105" s="524"/>
      <c r="AA105" s="524"/>
      <c r="AB105" s="524"/>
      <c r="AC105" s="524"/>
      <c r="AD105" s="524"/>
      <c r="AE105" s="524"/>
      <c r="AF105" s="524"/>
      <c r="AG105" s="524"/>
      <c r="AH105" s="524"/>
      <c r="AI105" s="524"/>
      <c r="AJ105" s="524"/>
      <c r="AK105" s="524"/>
      <c r="AL105" s="524"/>
      <c r="AM105" s="524"/>
      <c r="AN105" s="524"/>
      <c r="AO105" s="524"/>
      <c r="AP105" s="524"/>
      <c r="AQ105" s="524"/>
      <c r="AR105" s="524"/>
      <c r="AS105" s="524"/>
      <c r="AT105" s="524"/>
    </row>
    <row r="106" spans="1:46" x14ac:dyDescent="0.25">
      <c r="A106" s="524"/>
      <c r="B106" s="525"/>
      <c r="C106" s="524"/>
      <c r="D106" s="524"/>
      <c r="E106" s="524"/>
      <c r="F106" s="524"/>
      <c r="G106" s="524"/>
      <c r="H106" s="524"/>
      <c r="I106" s="524"/>
      <c r="J106" s="524"/>
      <c r="K106" s="524"/>
      <c r="L106" s="524"/>
      <c r="M106" s="524"/>
      <c r="N106" s="524"/>
      <c r="O106" s="524"/>
      <c r="P106" s="524"/>
      <c r="Q106" s="524"/>
      <c r="R106" s="524"/>
      <c r="S106" s="524"/>
      <c r="T106" s="524"/>
      <c r="U106" s="524"/>
      <c r="V106" s="524"/>
      <c r="W106" s="524"/>
      <c r="X106" s="524"/>
      <c r="Y106" s="524"/>
      <c r="Z106" s="524"/>
      <c r="AA106" s="524"/>
      <c r="AB106" s="524"/>
      <c r="AC106" s="524"/>
      <c r="AD106" s="524"/>
      <c r="AE106" s="524"/>
      <c r="AF106" s="524"/>
      <c r="AG106" s="524"/>
      <c r="AH106" s="524"/>
      <c r="AI106" s="524"/>
      <c r="AJ106" s="524"/>
      <c r="AK106" s="524"/>
      <c r="AL106" s="524"/>
      <c r="AM106" s="524"/>
      <c r="AN106" s="524"/>
      <c r="AO106" s="524"/>
      <c r="AP106" s="524"/>
      <c r="AQ106" s="524"/>
      <c r="AR106" s="524"/>
      <c r="AS106" s="524"/>
      <c r="AT106" s="524"/>
    </row>
    <row r="107" spans="1:46" x14ac:dyDescent="0.25">
      <c r="A107" s="524"/>
      <c r="B107" s="525"/>
      <c r="C107" s="524"/>
      <c r="D107" s="524"/>
      <c r="E107" s="524"/>
      <c r="F107" s="524"/>
      <c r="G107" s="524"/>
      <c r="H107" s="524"/>
      <c r="I107" s="524"/>
      <c r="J107" s="524"/>
      <c r="K107" s="524"/>
      <c r="L107" s="524"/>
      <c r="M107" s="524"/>
      <c r="N107" s="524"/>
      <c r="O107" s="524"/>
      <c r="P107" s="524"/>
      <c r="Q107" s="524"/>
      <c r="R107" s="524"/>
      <c r="S107" s="524"/>
      <c r="T107" s="524"/>
      <c r="U107" s="524"/>
      <c r="V107" s="524"/>
      <c r="W107" s="524"/>
      <c r="X107" s="524"/>
      <c r="Y107" s="524"/>
      <c r="Z107" s="524"/>
      <c r="AA107" s="524"/>
      <c r="AB107" s="524"/>
      <c r="AC107" s="524"/>
      <c r="AD107" s="524"/>
      <c r="AE107" s="524"/>
      <c r="AF107" s="524"/>
      <c r="AG107" s="524"/>
      <c r="AH107" s="524"/>
      <c r="AI107" s="524"/>
      <c r="AJ107" s="524"/>
      <c r="AK107" s="524"/>
      <c r="AL107" s="524"/>
      <c r="AM107" s="524"/>
      <c r="AN107" s="524"/>
      <c r="AO107" s="524"/>
      <c r="AP107" s="524"/>
      <c r="AQ107" s="524"/>
      <c r="AR107" s="524"/>
      <c r="AS107" s="524"/>
      <c r="AT107" s="524"/>
    </row>
    <row r="108" spans="1:46" x14ac:dyDescent="0.25">
      <c r="A108" s="524"/>
      <c r="B108" s="525"/>
      <c r="C108" s="524"/>
      <c r="D108" s="524"/>
      <c r="E108" s="524"/>
      <c r="F108" s="524"/>
      <c r="G108" s="524"/>
      <c r="H108" s="524"/>
      <c r="I108" s="524"/>
      <c r="J108" s="524"/>
      <c r="K108" s="524"/>
      <c r="L108" s="524"/>
      <c r="M108" s="524"/>
      <c r="N108" s="524"/>
      <c r="O108" s="524"/>
      <c r="P108" s="524"/>
      <c r="Q108" s="524"/>
      <c r="R108" s="524"/>
      <c r="S108" s="524"/>
      <c r="T108" s="524"/>
      <c r="U108" s="524"/>
      <c r="V108" s="524"/>
      <c r="W108" s="524"/>
      <c r="X108" s="524"/>
      <c r="Y108" s="524"/>
      <c r="Z108" s="524"/>
      <c r="AA108" s="524"/>
      <c r="AB108" s="524"/>
      <c r="AC108" s="524"/>
      <c r="AD108" s="524"/>
      <c r="AE108" s="524"/>
      <c r="AF108" s="524"/>
      <c r="AG108" s="524"/>
      <c r="AH108" s="524"/>
      <c r="AI108" s="524"/>
      <c r="AJ108" s="524"/>
      <c r="AK108" s="524"/>
      <c r="AL108" s="524"/>
      <c r="AM108" s="524"/>
      <c r="AN108" s="524"/>
      <c r="AO108" s="524"/>
      <c r="AP108" s="524"/>
      <c r="AQ108" s="524"/>
      <c r="AR108" s="524"/>
      <c r="AS108" s="524"/>
      <c r="AT108" s="524"/>
    </row>
    <row r="109" spans="1:46" x14ac:dyDescent="0.25">
      <c r="A109" s="524"/>
      <c r="B109" s="525"/>
      <c r="C109" s="524"/>
      <c r="D109" s="524"/>
      <c r="E109" s="524"/>
      <c r="F109" s="524"/>
      <c r="G109" s="524"/>
      <c r="H109" s="524"/>
      <c r="I109" s="524"/>
      <c r="J109" s="524"/>
      <c r="K109" s="524"/>
      <c r="L109" s="524"/>
      <c r="M109" s="524"/>
      <c r="N109" s="524"/>
      <c r="O109" s="524"/>
      <c r="P109" s="524"/>
      <c r="Q109" s="524"/>
      <c r="R109" s="524"/>
      <c r="S109" s="524"/>
      <c r="T109" s="524"/>
      <c r="U109" s="524"/>
      <c r="V109" s="524"/>
      <c r="W109" s="524"/>
      <c r="X109" s="524"/>
      <c r="Y109" s="524"/>
      <c r="Z109" s="524"/>
      <c r="AA109" s="524"/>
      <c r="AB109" s="524"/>
      <c r="AC109" s="524"/>
      <c r="AD109" s="524"/>
      <c r="AE109" s="524"/>
      <c r="AF109" s="524"/>
      <c r="AG109" s="524"/>
      <c r="AH109" s="524"/>
      <c r="AI109" s="524"/>
      <c r="AJ109" s="524"/>
      <c r="AK109" s="524"/>
      <c r="AL109" s="524"/>
      <c r="AM109" s="524"/>
      <c r="AN109" s="524"/>
      <c r="AO109" s="524"/>
      <c r="AP109" s="524"/>
      <c r="AQ109" s="524"/>
      <c r="AR109" s="524"/>
      <c r="AS109" s="524"/>
      <c r="AT109" s="524"/>
    </row>
    <row r="110" spans="1:46" x14ac:dyDescent="0.25">
      <c r="A110" s="524"/>
      <c r="B110" s="525"/>
      <c r="C110" s="524"/>
      <c r="D110" s="524"/>
      <c r="E110" s="524"/>
      <c r="F110" s="524"/>
      <c r="G110" s="524"/>
      <c r="H110" s="524"/>
      <c r="I110" s="524"/>
      <c r="J110" s="524"/>
      <c r="K110" s="524"/>
      <c r="L110" s="524"/>
      <c r="M110" s="524"/>
      <c r="N110" s="524"/>
      <c r="O110" s="524"/>
      <c r="P110" s="524"/>
      <c r="Q110" s="524"/>
      <c r="R110" s="524"/>
      <c r="S110" s="524"/>
      <c r="T110" s="524"/>
      <c r="U110" s="524"/>
      <c r="V110" s="524"/>
      <c r="W110" s="524"/>
      <c r="X110" s="524"/>
      <c r="Y110" s="524"/>
      <c r="Z110" s="524"/>
      <c r="AA110" s="524"/>
      <c r="AB110" s="524"/>
      <c r="AC110" s="524"/>
      <c r="AD110" s="524"/>
      <c r="AE110" s="524"/>
      <c r="AF110" s="524"/>
      <c r="AG110" s="524"/>
      <c r="AH110" s="524"/>
      <c r="AI110" s="524"/>
      <c r="AJ110" s="524"/>
      <c r="AK110" s="524"/>
      <c r="AL110" s="524"/>
      <c r="AM110" s="524"/>
      <c r="AN110" s="524"/>
      <c r="AO110" s="524"/>
      <c r="AP110" s="524"/>
      <c r="AQ110" s="524"/>
      <c r="AR110" s="524"/>
      <c r="AS110" s="524"/>
      <c r="AT110" s="524"/>
    </row>
    <row r="111" spans="1:46" x14ac:dyDescent="0.25">
      <c r="A111" s="524"/>
      <c r="B111" s="525"/>
      <c r="C111" s="524"/>
      <c r="D111" s="524"/>
      <c r="E111" s="524"/>
      <c r="F111" s="524"/>
      <c r="G111" s="524"/>
      <c r="H111" s="524"/>
      <c r="I111" s="524"/>
      <c r="J111" s="524"/>
      <c r="K111" s="524"/>
      <c r="L111" s="524"/>
      <c r="M111" s="524"/>
      <c r="N111" s="524"/>
      <c r="O111" s="524"/>
      <c r="P111" s="524"/>
      <c r="Q111" s="524"/>
      <c r="R111" s="524"/>
      <c r="S111" s="524"/>
      <c r="T111" s="524"/>
      <c r="U111" s="524"/>
      <c r="V111" s="524"/>
      <c r="W111" s="524"/>
      <c r="X111" s="524"/>
      <c r="Y111" s="524"/>
      <c r="Z111" s="524"/>
      <c r="AA111" s="524"/>
      <c r="AB111" s="524"/>
      <c r="AC111" s="524"/>
      <c r="AD111" s="524"/>
      <c r="AE111" s="524"/>
      <c r="AF111" s="524"/>
      <c r="AG111" s="524"/>
      <c r="AH111" s="524"/>
      <c r="AI111" s="524"/>
      <c r="AJ111" s="524"/>
      <c r="AK111" s="524"/>
      <c r="AL111" s="524"/>
      <c r="AM111" s="524"/>
      <c r="AN111" s="524"/>
      <c r="AO111" s="524"/>
      <c r="AP111" s="524"/>
      <c r="AQ111" s="524"/>
      <c r="AR111" s="524"/>
      <c r="AS111" s="524"/>
      <c r="AT111" s="524"/>
    </row>
    <row r="112" spans="1:46" x14ac:dyDescent="0.25">
      <c r="A112" s="524"/>
      <c r="B112" s="525"/>
      <c r="C112" s="524"/>
      <c r="D112" s="524"/>
      <c r="E112" s="524"/>
      <c r="F112" s="524"/>
      <c r="G112" s="524"/>
      <c r="H112" s="524"/>
      <c r="I112" s="524"/>
      <c r="J112" s="524"/>
      <c r="K112" s="524"/>
      <c r="L112" s="524"/>
      <c r="M112" s="524"/>
      <c r="N112" s="524"/>
      <c r="O112" s="524"/>
      <c r="P112" s="524"/>
      <c r="Q112" s="524"/>
      <c r="R112" s="524"/>
      <c r="S112" s="524"/>
      <c r="T112" s="524"/>
      <c r="U112" s="524"/>
      <c r="V112" s="524"/>
      <c r="W112" s="524"/>
      <c r="X112" s="524"/>
      <c r="Y112" s="524"/>
      <c r="Z112" s="524"/>
      <c r="AA112" s="524"/>
      <c r="AB112" s="524"/>
      <c r="AC112" s="524"/>
      <c r="AD112" s="524"/>
      <c r="AE112" s="524"/>
      <c r="AF112" s="524"/>
      <c r="AG112" s="524"/>
      <c r="AH112" s="524"/>
      <c r="AI112" s="524"/>
      <c r="AJ112" s="524"/>
      <c r="AK112" s="524"/>
      <c r="AL112" s="524"/>
      <c r="AM112" s="524"/>
      <c r="AN112" s="524"/>
      <c r="AO112" s="524"/>
      <c r="AP112" s="524"/>
      <c r="AQ112" s="524"/>
      <c r="AR112" s="524"/>
      <c r="AS112" s="524"/>
      <c r="AT112" s="524"/>
    </row>
    <row r="113" spans="1:46" x14ac:dyDescent="0.25">
      <c r="A113" s="524"/>
      <c r="B113" s="525"/>
      <c r="C113" s="524"/>
      <c r="D113" s="524"/>
      <c r="E113" s="524"/>
      <c r="F113" s="524"/>
      <c r="G113" s="524"/>
      <c r="H113" s="524"/>
      <c r="I113" s="524"/>
      <c r="J113" s="524"/>
      <c r="K113" s="524"/>
      <c r="L113" s="524"/>
      <c r="M113" s="524"/>
      <c r="N113" s="524"/>
      <c r="O113" s="524"/>
      <c r="P113" s="524"/>
      <c r="Q113" s="524"/>
      <c r="R113" s="524"/>
      <c r="S113" s="524"/>
      <c r="T113" s="524"/>
      <c r="U113" s="524"/>
      <c r="V113" s="524"/>
      <c r="W113" s="524"/>
      <c r="X113" s="524"/>
      <c r="Y113" s="524"/>
      <c r="Z113" s="524"/>
      <c r="AA113" s="524"/>
      <c r="AB113" s="524"/>
      <c r="AC113" s="524"/>
      <c r="AD113" s="524"/>
      <c r="AE113" s="524"/>
      <c r="AF113" s="524"/>
      <c r="AG113" s="524"/>
      <c r="AH113" s="524"/>
      <c r="AI113" s="524"/>
      <c r="AJ113" s="524"/>
      <c r="AK113" s="524"/>
      <c r="AL113" s="524"/>
      <c r="AM113" s="524"/>
      <c r="AN113" s="524"/>
      <c r="AO113" s="524"/>
      <c r="AP113" s="524"/>
      <c r="AQ113" s="524"/>
      <c r="AR113" s="524"/>
      <c r="AS113" s="524"/>
      <c r="AT113" s="524"/>
    </row>
    <row r="114" spans="1:46" x14ac:dyDescent="0.25">
      <c r="A114" s="524"/>
      <c r="B114" s="525"/>
      <c r="C114" s="524"/>
      <c r="D114" s="524"/>
      <c r="E114" s="524"/>
      <c r="F114" s="524"/>
      <c r="G114" s="524"/>
      <c r="H114" s="524"/>
      <c r="I114" s="524"/>
      <c r="J114" s="524"/>
      <c r="K114" s="524"/>
      <c r="L114" s="524"/>
      <c r="M114" s="524"/>
      <c r="N114" s="524"/>
      <c r="O114" s="524"/>
      <c r="P114" s="524"/>
      <c r="Q114" s="524"/>
      <c r="R114" s="524"/>
      <c r="S114" s="524"/>
      <c r="T114" s="524"/>
      <c r="U114" s="524"/>
      <c r="V114" s="524"/>
      <c r="W114" s="524"/>
      <c r="X114" s="524"/>
      <c r="Y114" s="524"/>
      <c r="Z114" s="524"/>
      <c r="AA114" s="524"/>
      <c r="AB114" s="524"/>
      <c r="AC114" s="524"/>
      <c r="AD114" s="524"/>
      <c r="AE114" s="524"/>
      <c r="AF114" s="524"/>
      <c r="AG114" s="524"/>
      <c r="AH114" s="524"/>
      <c r="AI114" s="524"/>
      <c r="AJ114" s="524"/>
      <c r="AK114" s="524"/>
      <c r="AL114" s="524"/>
      <c r="AM114" s="524"/>
      <c r="AN114" s="524"/>
      <c r="AO114" s="524"/>
      <c r="AP114" s="524"/>
      <c r="AQ114" s="524"/>
      <c r="AR114" s="524"/>
      <c r="AS114" s="524"/>
      <c r="AT114" s="524"/>
    </row>
    <row r="115" spans="1:46" x14ac:dyDescent="0.25">
      <c r="A115" s="524"/>
      <c r="B115" s="525"/>
      <c r="C115" s="524"/>
      <c r="D115" s="524"/>
      <c r="E115" s="524"/>
      <c r="F115" s="524"/>
      <c r="G115" s="524"/>
      <c r="H115" s="524"/>
      <c r="I115" s="524"/>
      <c r="J115" s="524"/>
      <c r="K115" s="524"/>
      <c r="L115" s="524"/>
      <c r="M115" s="524"/>
      <c r="N115" s="524"/>
      <c r="O115" s="524"/>
      <c r="P115" s="524"/>
      <c r="Q115" s="524"/>
      <c r="R115" s="524"/>
      <c r="S115" s="524"/>
      <c r="T115" s="524"/>
      <c r="U115" s="524"/>
      <c r="V115" s="524"/>
      <c r="W115" s="524"/>
      <c r="X115" s="524"/>
      <c r="Y115" s="524"/>
      <c r="Z115" s="524"/>
      <c r="AA115" s="524"/>
      <c r="AB115" s="524"/>
      <c r="AC115" s="524"/>
      <c r="AD115" s="524"/>
      <c r="AE115" s="524"/>
      <c r="AF115" s="524"/>
      <c r="AG115" s="524"/>
      <c r="AH115" s="524"/>
      <c r="AI115" s="524"/>
      <c r="AJ115" s="524"/>
      <c r="AK115" s="524"/>
      <c r="AL115" s="524"/>
      <c r="AM115" s="524"/>
      <c r="AN115" s="524"/>
      <c r="AO115" s="524"/>
      <c r="AP115" s="524"/>
      <c r="AQ115" s="524"/>
      <c r="AR115" s="524"/>
      <c r="AS115" s="524"/>
      <c r="AT115" s="524"/>
    </row>
    <row r="116" spans="1:46" x14ac:dyDescent="0.25">
      <c r="A116" s="524"/>
      <c r="B116" s="525"/>
      <c r="C116" s="524"/>
      <c r="D116" s="524"/>
      <c r="E116" s="524"/>
      <c r="F116" s="524"/>
      <c r="G116" s="524"/>
      <c r="H116" s="524"/>
      <c r="I116" s="524"/>
      <c r="J116" s="524"/>
      <c r="K116" s="524"/>
      <c r="L116" s="524"/>
      <c r="M116" s="524"/>
      <c r="N116" s="524"/>
      <c r="O116" s="524"/>
      <c r="P116" s="524"/>
      <c r="Q116" s="524"/>
      <c r="R116" s="524"/>
      <c r="S116" s="524"/>
      <c r="T116" s="524"/>
      <c r="U116" s="524"/>
      <c r="V116" s="524"/>
      <c r="W116" s="524"/>
      <c r="X116" s="524"/>
      <c r="Y116" s="524"/>
      <c r="Z116" s="524"/>
      <c r="AA116" s="524"/>
      <c r="AB116" s="524"/>
      <c r="AC116" s="524"/>
      <c r="AD116" s="524"/>
      <c r="AE116" s="524"/>
      <c r="AF116" s="524"/>
      <c r="AG116" s="524"/>
      <c r="AH116" s="524"/>
      <c r="AI116" s="524"/>
      <c r="AJ116" s="524"/>
      <c r="AK116" s="524"/>
      <c r="AL116" s="524"/>
      <c r="AM116" s="524"/>
      <c r="AN116" s="524"/>
      <c r="AO116" s="524"/>
      <c r="AP116" s="524"/>
      <c r="AQ116" s="524"/>
      <c r="AR116" s="524"/>
      <c r="AS116" s="524"/>
      <c r="AT116" s="524"/>
    </row>
    <row r="117" spans="1:46" x14ac:dyDescent="0.25">
      <c r="A117" s="524"/>
      <c r="B117" s="525"/>
      <c r="C117" s="524"/>
      <c r="D117" s="524"/>
      <c r="E117" s="524"/>
      <c r="F117" s="524"/>
      <c r="G117" s="524"/>
      <c r="H117" s="524"/>
      <c r="I117" s="524"/>
      <c r="J117" s="524"/>
      <c r="K117" s="524"/>
      <c r="L117" s="524"/>
      <c r="M117" s="524"/>
      <c r="N117" s="524"/>
      <c r="O117" s="524"/>
      <c r="P117" s="524"/>
      <c r="Q117" s="524"/>
      <c r="R117" s="524"/>
      <c r="S117" s="524"/>
      <c r="T117" s="524"/>
      <c r="U117" s="524"/>
      <c r="V117" s="524"/>
      <c r="W117" s="524"/>
      <c r="X117" s="524"/>
      <c r="Y117" s="524"/>
      <c r="Z117" s="524"/>
      <c r="AA117" s="524"/>
      <c r="AB117" s="524"/>
      <c r="AC117" s="524"/>
      <c r="AD117" s="524"/>
      <c r="AE117" s="524"/>
      <c r="AF117" s="524"/>
      <c r="AG117" s="524"/>
      <c r="AH117" s="524"/>
      <c r="AI117" s="524"/>
      <c r="AJ117" s="524"/>
      <c r="AK117" s="524"/>
      <c r="AL117" s="524"/>
      <c r="AM117" s="524"/>
      <c r="AN117" s="524"/>
      <c r="AO117" s="524"/>
      <c r="AP117" s="524"/>
      <c r="AQ117" s="524"/>
      <c r="AR117" s="524"/>
      <c r="AS117" s="524"/>
      <c r="AT117" s="524"/>
    </row>
  </sheetData>
  <mergeCells count="45">
    <mergeCell ref="A51:A52"/>
    <mergeCell ref="C74:D74"/>
    <mergeCell ref="E74:F74"/>
    <mergeCell ref="G74:H74"/>
    <mergeCell ref="I74:J74"/>
    <mergeCell ref="A53:A54"/>
    <mergeCell ref="A55:A56"/>
    <mergeCell ref="A57:A58"/>
    <mergeCell ref="A59:A60"/>
    <mergeCell ref="A63:A64"/>
    <mergeCell ref="A41:A42"/>
    <mergeCell ref="A43:A44"/>
    <mergeCell ref="A45:A46"/>
    <mergeCell ref="A47:A48"/>
    <mergeCell ref="A49:A50"/>
    <mergeCell ref="A13:A14"/>
    <mergeCell ref="AH14:AJ14"/>
    <mergeCell ref="A39:A40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15:A16"/>
    <mergeCell ref="AM1:AP1"/>
    <mergeCell ref="AQ1:AT1"/>
    <mergeCell ref="A3:A4"/>
    <mergeCell ref="U1:X1"/>
    <mergeCell ref="Y1:AB1"/>
    <mergeCell ref="G1:J1"/>
    <mergeCell ref="L1:O1"/>
    <mergeCell ref="P1:S1"/>
    <mergeCell ref="AD1:AG1"/>
    <mergeCell ref="AH1:AK1"/>
    <mergeCell ref="A7:A8"/>
    <mergeCell ref="A9:A10"/>
    <mergeCell ref="A11:A12"/>
    <mergeCell ref="A5:A6"/>
    <mergeCell ref="C1:F1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7"/>
  <sheetViews>
    <sheetView topLeftCell="A49" workbookViewId="0">
      <selection activeCell="H37" sqref="H37"/>
    </sheetView>
  </sheetViews>
  <sheetFormatPr defaultRowHeight="15" x14ac:dyDescent="0.25"/>
  <cols>
    <col min="1" max="1" width="11.85546875" customWidth="1"/>
    <col min="7" max="9" width="15" customWidth="1"/>
    <col min="10" max="10" width="19.5703125" customWidth="1"/>
    <col min="16" max="18" width="15" customWidth="1"/>
    <col min="19" max="19" width="18.28515625" customWidth="1"/>
    <col min="25" max="27" width="15" customWidth="1"/>
    <col min="28" max="28" width="17.28515625" customWidth="1"/>
    <col min="34" max="36" width="15" customWidth="1"/>
    <col min="37" max="37" width="18" customWidth="1"/>
    <col min="43" max="45" width="15" customWidth="1"/>
    <col min="46" max="46" width="18.28515625" customWidth="1"/>
  </cols>
  <sheetData>
    <row r="1" spans="1:46" ht="15.75" x14ac:dyDescent="0.25">
      <c r="A1" s="524"/>
      <c r="B1" s="525"/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2" t="s">
        <v>206</v>
      </c>
      <c r="AR1" s="2252"/>
      <c r="AS1" s="2252"/>
      <c r="AT1" s="2253"/>
    </row>
    <row r="2" spans="1:46" ht="15.75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6" t="s">
        <v>199</v>
      </c>
      <c r="AI2" s="984" t="s">
        <v>200</v>
      </c>
      <c r="AJ2" s="984" t="s">
        <v>201</v>
      </c>
      <c r="AK2" s="984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6" t="s">
        <v>199</v>
      </c>
      <c r="AR2" s="984" t="s">
        <v>200</v>
      </c>
      <c r="AS2" s="984" t="s">
        <v>201</v>
      </c>
      <c r="AT2" s="984" t="s">
        <v>204</v>
      </c>
    </row>
    <row r="3" spans="1:46" x14ac:dyDescent="0.25">
      <c r="A3" s="2206">
        <v>45809</v>
      </c>
      <c r="B3" s="1566">
        <v>1</v>
      </c>
      <c r="C3" s="1593"/>
      <c r="D3" s="1594"/>
      <c r="E3" s="1595"/>
      <c r="F3" s="1596"/>
      <c r="G3" s="1597"/>
      <c r="H3" s="1598"/>
      <c r="I3" s="1599"/>
      <c r="J3" s="1600"/>
      <c r="K3" s="1601"/>
      <c r="L3" s="1602"/>
      <c r="M3" s="1603"/>
      <c r="N3" s="1603"/>
      <c r="O3" s="1604"/>
      <c r="P3" s="1605"/>
      <c r="Q3" s="1606"/>
      <c r="R3" s="1606"/>
      <c r="S3" s="1604"/>
      <c r="T3" s="1601"/>
      <c r="U3" s="1602"/>
      <c r="V3" s="1603"/>
      <c r="W3" s="1595"/>
      <c r="X3" s="1607"/>
      <c r="Y3" s="1608"/>
      <c r="Z3" s="1605"/>
      <c r="AA3" s="1599"/>
      <c r="AB3" s="1609"/>
      <c r="AC3" s="1601"/>
      <c r="AD3" s="1602"/>
      <c r="AE3" s="1603"/>
      <c r="AF3" s="1595"/>
      <c r="AG3" s="1604"/>
      <c r="AH3" s="1605"/>
      <c r="AI3" s="1605"/>
      <c r="AJ3" s="1610"/>
      <c r="AK3" s="1604"/>
      <c r="AL3" s="1611"/>
      <c r="AM3" s="1602"/>
      <c r="AN3" s="1603"/>
      <c r="AO3" s="1595"/>
      <c r="AP3" s="1604"/>
      <c r="AQ3" s="1605"/>
      <c r="AR3" s="1612"/>
      <c r="AS3" s="1610"/>
      <c r="AT3" s="1604"/>
    </row>
    <row r="4" spans="1:46" x14ac:dyDescent="0.25">
      <c r="A4" s="2205"/>
      <c r="B4" s="574">
        <v>2</v>
      </c>
      <c r="C4" s="1613"/>
      <c r="D4" s="1614"/>
      <c r="E4" s="1614">
        <v>7</v>
      </c>
      <c r="F4" s="1615"/>
      <c r="G4" s="1616"/>
      <c r="H4" s="1598"/>
      <c r="I4" s="1617" t="s">
        <v>152</v>
      </c>
      <c r="J4" s="1618"/>
      <c r="K4" s="1601"/>
      <c r="L4" s="1619"/>
      <c r="M4" s="1595"/>
      <c r="N4" s="1595"/>
      <c r="O4" s="1607"/>
      <c r="P4" s="1620"/>
      <c r="Q4" s="1598"/>
      <c r="R4" s="1621"/>
      <c r="S4" s="1607"/>
      <c r="T4" s="1601"/>
      <c r="U4" s="1619"/>
      <c r="V4" s="1610"/>
      <c r="W4" s="1595"/>
      <c r="X4" s="1607"/>
      <c r="Y4" s="1608"/>
      <c r="Z4" s="1599"/>
      <c r="AA4" s="1622"/>
      <c r="AB4" s="1623"/>
      <c r="AC4" s="1601"/>
      <c r="AD4" s="1619"/>
      <c r="AE4" s="1595"/>
      <c r="AF4" s="1595"/>
      <c r="AG4" s="1607"/>
      <c r="AH4" s="1620"/>
      <c r="AI4" s="1599"/>
      <c r="AJ4" s="1595"/>
      <c r="AK4" s="1607"/>
      <c r="AL4" s="1611"/>
      <c r="AM4" s="1619"/>
      <c r="AN4" s="1595"/>
      <c r="AO4" s="1595"/>
      <c r="AP4" s="1607"/>
      <c r="AQ4" s="1620"/>
      <c r="AR4" s="1599"/>
      <c r="AS4" s="1595"/>
      <c r="AT4" s="1607"/>
    </row>
    <row r="5" spans="1:46" x14ac:dyDescent="0.25">
      <c r="A5" s="2206">
        <v>46175</v>
      </c>
      <c r="B5" s="574">
        <v>1</v>
      </c>
      <c r="C5" s="1613"/>
      <c r="D5" s="1614"/>
      <c r="E5" s="1614"/>
      <c r="F5" s="1615"/>
      <c r="G5" s="1616"/>
      <c r="H5" s="1616"/>
      <c r="I5" s="1617"/>
      <c r="J5" s="1618"/>
      <c r="K5" s="1601"/>
      <c r="L5" s="1619"/>
      <c r="M5" s="1595"/>
      <c r="N5" s="1595"/>
      <c r="O5" s="1607"/>
      <c r="P5" s="1620"/>
      <c r="Q5" s="1595"/>
      <c r="R5" s="1595"/>
      <c r="S5" s="1607"/>
      <c r="T5" s="1601"/>
      <c r="U5" s="1619"/>
      <c r="V5" s="1595"/>
      <c r="W5" s="1595"/>
      <c r="X5" s="1607"/>
      <c r="Y5" s="1608"/>
      <c r="Z5" s="1598"/>
      <c r="AA5" s="1622"/>
      <c r="AB5" s="1624"/>
      <c r="AC5" s="1601"/>
      <c r="AD5" s="1619"/>
      <c r="AE5" s="1595"/>
      <c r="AF5" s="1595"/>
      <c r="AG5" s="1607"/>
      <c r="AH5" s="1620"/>
      <c r="AI5" s="1595"/>
      <c r="AJ5" s="1625"/>
      <c r="AK5" s="1607"/>
      <c r="AL5" s="1611"/>
      <c r="AM5" s="1619"/>
      <c r="AN5" s="1595"/>
      <c r="AO5" s="1595"/>
      <c r="AP5" s="1607"/>
      <c r="AQ5" s="1620"/>
      <c r="AR5" s="1595"/>
      <c r="AS5" s="1610"/>
      <c r="AT5" s="1626"/>
    </row>
    <row r="6" spans="1:46" ht="25.5" x14ac:dyDescent="0.25">
      <c r="A6" s="2205"/>
      <c r="B6" s="574">
        <v>2</v>
      </c>
      <c r="C6" s="1613"/>
      <c r="D6" s="1614"/>
      <c r="E6" s="1614"/>
      <c r="F6" s="1615"/>
      <c r="G6" s="1597"/>
      <c r="H6" s="1599"/>
      <c r="I6" s="1617"/>
      <c r="J6" s="1627"/>
      <c r="K6" s="1601"/>
      <c r="L6" s="1619"/>
      <c r="M6" s="1595"/>
      <c r="N6" s="1595"/>
      <c r="O6" s="1607"/>
      <c r="P6" s="1620"/>
      <c r="Q6" s="1598"/>
      <c r="R6" s="1595"/>
      <c r="S6" s="1627"/>
      <c r="T6" s="1601"/>
      <c r="U6" s="1619"/>
      <c r="V6" s="1595"/>
      <c r="W6" s="1595">
        <v>5</v>
      </c>
      <c r="X6" s="1607"/>
      <c r="Y6" s="1608"/>
      <c r="Z6" s="1598"/>
      <c r="AA6" s="1622" t="s">
        <v>325</v>
      </c>
      <c r="AB6" s="1627"/>
      <c r="AC6" s="1601"/>
      <c r="AD6" s="1619"/>
      <c r="AE6" s="1595"/>
      <c r="AF6" s="1595">
        <v>5</v>
      </c>
      <c r="AG6" s="1607"/>
      <c r="AH6" s="1620"/>
      <c r="AI6" s="1595"/>
      <c r="AJ6" s="1595" t="s">
        <v>336</v>
      </c>
      <c r="AK6" s="1627"/>
      <c r="AL6" s="1611"/>
      <c r="AM6" s="1619"/>
      <c r="AN6" s="1595"/>
      <c r="AO6" s="1595"/>
      <c r="AP6" s="1628"/>
      <c r="AQ6" s="1607"/>
      <c r="AR6" s="1620"/>
      <c r="AS6" s="1610"/>
      <c r="AT6" s="1627"/>
    </row>
    <row r="7" spans="1:46" x14ac:dyDescent="0.25">
      <c r="A7" s="2206">
        <v>45811</v>
      </c>
      <c r="B7" s="574">
        <v>1</v>
      </c>
      <c r="C7" s="1613"/>
      <c r="D7" s="1614"/>
      <c r="E7" s="1614">
        <v>10</v>
      </c>
      <c r="F7" s="1615"/>
      <c r="G7" s="1597"/>
      <c r="H7" s="1599"/>
      <c r="I7" s="1627" t="s">
        <v>152</v>
      </c>
      <c r="J7" s="1627"/>
      <c r="K7" s="1601"/>
      <c r="L7" s="1619"/>
      <c r="M7" s="1620"/>
      <c r="N7" s="1595"/>
      <c r="O7" s="1607"/>
      <c r="P7" s="1620"/>
      <c r="Q7" s="1629"/>
      <c r="R7" s="1595"/>
      <c r="S7" s="1607"/>
      <c r="T7" s="1601"/>
      <c r="U7" s="1619"/>
      <c r="V7" s="1595"/>
      <c r="W7" s="1595"/>
      <c r="X7" s="1607"/>
      <c r="Y7" s="1608"/>
      <c r="Z7" s="1598"/>
      <c r="AA7" s="1622"/>
      <c r="AB7" s="1607"/>
      <c r="AC7" s="1601"/>
      <c r="AD7" s="1619"/>
      <c r="AE7" s="1595"/>
      <c r="AF7" s="1595"/>
      <c r="AG7" s="1607"/>
      <c r="AH7" s="1620"/>
      <c r="AI7" s="1629"/>
      <c r="AJ7" s="1627"/>
      <c r="AK7" s="1607"/>
      <c r="AL7" s="1611"/>
      <c r="AM7" s="1619"/>
      <c r="AN7" s="1595"/>
      <c r="AO7" s="1595"/>
      <c r="AP7" s="1628"/>
      <c r="AQ7" s="1607"/>
      <c r="AR7" s="1620"/>
      <c r="AS7" s="1629"/>
      <c r="AT7" s="1630"/>
    </row>
    <row r="8" spans="1:46" x14ac:dyDescent="0.25">
      <c r="A8" s="2205"/>
      <c r="B8" s="574">
        <v>2</v>
      </c>
      <c r="C8" s="1613">
        <v>567</v>
      </c>
      <c r="D8" s="1614"/>
      <c r="E8" s="1614"/>
      <c r="F8" s="1615"/>
      <c r="G8" s="1616" t="s">
        <v>1077</v>
      </c>
      <c r="H8" s="1599"/>
      <c r="I8" s="1617"/>
      <c r="J8" s="1627"/>
      <c r="K8" s="1601"/>
      <c r="L8" s="1619"/>
      <c r="M8" s="1595"/>
      <c r="N8" s="1595"/>
      <c r="O8" s="1607"/>
      <c r="P8" s="1608"/>
      <c r="Q8" s="1595"/>
      <c r="R8" s="1610"/>
      <c r="S8" s="1627"/>
      <c r="T8" s="1601"/>
      <c r="U8" s="1619"/>
      <c r="V8" s="1619"/>
      <c r="W8" s="1619">
        <v>7</v>
      </c>
      <c r="X8" s="1607"/>
      <c r="Y8" s="1608"/>
      <c r="Z8" s="1631"/>
      <c r="AA8" s="1608" t="s">
        <v>152</v>
      </c>
      <c r="AB8" s="1627"/>
      <c r="AC8" s="1601"/>
      <c r="AD8" s="1619"/>
      <c r="AE8" s="1595"/>
      <c r="AF8" s="1595"/>
      <c r="AG8" s="1607"/>
      <c r="AH8" s="1620"/>
      <c r="AI8" s="1610"/>
      <c r="AJ8" s="1599"/>
      <c r="AK8" s="1627"/>
      <c r="AL8" s="1611"/>
      <c r="AM8" s="1619"/>
      <c r="AN8" s="1595"/>
      <c r="AO8" s="1595"/>
      <c r="AP8" s="1628"/>
      <c r="AQ8" s="1607"/>
      <c r="AR8" s="1620"/>
      <c r="AS8" s="1595"/>
      <c r="AT8" s="1627"/>
    </row>
    <row r="9" spans="1:46" x14ac:dyDescent="0.25">
      <c r="A9" s="2206">
        <v>45812</v>
      </c>
      <c r="B9" s="574">
        <v>1</v>
      </c>
      <c r="C9" s="1613"/>
      <c r="D9" s="1614"/>
      <c r="E9" s="1614"/>
      <c r="F9" s="1615"/>
      <c r="G9" s="1616"/>
      <c r="H9" s="1598"/>
      <c r="I9" s="1617"/>
      <c r="J9" s="1627"/>
      <c r="K9" s="1601"/>
      <c r="L9" s="1619"/>
      <c r="M9" s="1595"/>
      <c r="N9" s="1595"/>
      <c r="O9" s="1607"/>
      <c r="P9" s="1608"/>
      <c r="Q9" s="1595"/>
      <c r="R9" s="1610"/>
      <c r="S9" s="1627"/>
      <c r="T9" s="1601"/>
      <c r="U9" s="1619"/>
      <c r="V9" s="1595"/>
      <c r="W9" s="1595"/>
      <c r="X9" s="1607"/>
      <c r="Y9" s="1608"/>
      <c r="Z9" s="1595"/>
      <c r="AA9" s="1622"/>
      <c r="AB9" s="1627"/>
      <c r="AC9" s="1601"/>
      <c r="AD9" s="1619"/>
      <c r="AE9" s="1595"/>
      <c r="AF9" s="1595"/>
      <c r="AG9" s="1607"/>
      <c r="AH9" s="1620"/>
      <c r="AI9" s="1595"/>
      <c r="AJ9" s="1595"/>
      <c r="AK9" s="1627"/>
      <c r="AL9" s="1611"/>
      <c r="AM9" s="1619"/>
      <c r="AN9" s="1595"/>
      <c r="AO9" s="1595"/>
      <c r="AP9" s="1628"/>
      <c r="AQ9" s="1607"/>
      <c r="AR9" s="1620"/>
      <c r="AS9" s="1595"/>
      <c r="AT9" s="1632"/>
    </row>
    <row r="10" spans="1:46" x14ac:dyDescent="0.25">
      <c r="A10" s="2205"/>
      <c r="B10" s="574">
        <v>2</v>
      </c>
      <c r="C10" s="1613"/>
      <c r="D10" s="1613"/>
      <c r="E10" s="1613"/>
      <c r="F10" s="1615"/>
      <c r="G10" s="1633"/>
      <c r="H10" s="1634"/>
      <c r="I10" s="1635"/>
      <c r="J10" s="1627"/>
      <c r="K10" s="1601"/>
      <c r="L10" s="1619"/>
      <c r="M10" s="1595"/>
      <c r="N10" s="1595"/>
      <c r="O10" s="1607"/>
      <c r="P10" s="1608"/>
      <c r="Q10" s="1595"/>
      <c r="R10" s="1610"/>
      <c r="S10" s="1627"/>
      <c r="T10" s="1601"/>
      <c r="U10" s="1619"/>
      <c r="V10" s="1595"/>
      <c r="W10" s="1595">
        <v>5</v>
      </c>
      <c r="X10" s="1607"/>
      <c r="Y10" s="1608"/>
      <c r="Z10" s="1608"/>
      <c r="AA10" s="1622" t="s">
        <v>152</v>
      </c>
      <c r="AB10" s="1627"/>
      <c r="AC10" s="1601"/>
      <c r="AD10" s="1619"/>
      <c r="AE10" s="1595"/>
      <c r="AF10" s="1595"/>
      <c r="AG10" s="1607"/>
      <c r="AH10" s="1608"/>
      <c r="AI10" s="1610"/>
      <c r="AJ10" s="1599"/>
      <c r="AK10" s="1627"/>
      <c r="AL10" s="1611"/>
      <c r="AM10" s="1619"/>
      <c r="AN10" s="1595"/>
      <c r="AO10" s="1595"/>
      <c r="AP10" s="1628"/>
      <c r="AQ10" s="1607"/>
      <c r="AR10" s="1620"/>
      <c r="AS10" s="1595"/>
      <c r="AT10" s="1627"/>
    </row>
    <row r="11" spans="1:46" x14ac:dyDescent="0.25">
      <c r="A11" s="2206">
        <v>45813</v>
      </c>
      <c r="B11" s="574">
        <v>1</v>
      </c>
      <c r="C11" s="1613"/>
      <c r="D11" s="1613"/>
      <c r="E11" s="1613"/>
      <c r="F11" s="1615"/>
      <c r="G11" s="1633"/>
      <c r="H11" s="1634"/>
      <c r="I11" s="1635"/>
      <c r="J11" s="1618"/>
      <c r="K11" s="1601"/>
      <c r="L11" s="1619"/>
      <c r="M11" s="1595"/>
      <c r="N11" s="1595"/>
      <c r="O11" s="1607"/>
      <c r="P11" s="1608"/>
      <c r="Q11" s="1595"/>
      <c r="R11" s="1610"/>
      <c r="S11" s="1607"/>
      <c r="T11" s="1601"/>
      <c r="U11" s="1619"/>
      <c r="V11" s="1595"/>
      <c r="W11" s="1595"/>
      <c r="X11" s="1607"/>
      <c r="Y11" s="1608"/>
      <c r="Z11" s="1595"/>
      <c r="AA11" s="1622"/>
      <c r="AB11" s="1607"/>
      <c r="AC11" s="1601"/>
      <c r="AD11" s="1619">
        <v>10</v>
      </c>
      <c r="AE11" s="1595"/>
      <c r="AF11" s="1595"/>
      <c r="AG11" s="1607"/>
      <c r="AH11" s="1620" t="s">
        <v>743</v>
      </c>
      <c r="AI11" s="1595"/>
      <c r="AJ11" s="1599"/>
      <c r="AK11" s="1607"/>
      <c r="AL11" s="1611"/>
      <c r="AM11" s="1619"/>
      <c r="AN11" s="1595"/>
      <c r="AO11" s="1595"/>
      <c r="AP11" s="1607"/>
      <c r="AQ11" s="1620"/>
      <c r="AR11" s="1595"/>
      <c r="AS11" s="1595"/>
      <c r="AT11" s="1626"/>
    </row>
    <row r="12" spans="1:46" ht="25.5" x14ac:dyDescent="0.25">
      <c r="A12" s="2205"/>
      <c r="B12" s="574">
        <v>2</v>
      </c>
      <c r="C12" s="1613"/>
      <c r="D12" s="1614"/>
      <c r="E12" s="1614"/>
      <c r="F12" s="1615"/>
      <c r="G12" s="1616"/>
      <c r="H12" s="1598"/>
      <c r="I12" s="1617"/>
      <c r="J12" s="1627"/>
      <c r="K12" s="1601"/>
      <c r="L12" s="1619"/>
      <c r="M12" s="1595"/>
      <c r="N12" s="1595"/>
      <c r="O12" s="1607"/>
      <c r="P12" s="1608"/>
      <c r="Q12" s="1595"/>
      <c r="R12" s="1610"/>
      <c r="S12" s="1627"/>
      <c r="T12" s="1601"/>
      <c r="U12" s="1619"/>
      <c r="V12" s="1595"/>
      <c r="W12" s="1595">
        <v>13</v>
      </c>
      <c r="X12" s="1607"/>
      <c r="Y12" s="1608"/>
      <c r="Z12" s="1595"/>
      <c r="AA12" s="1622" t="s">
        <v>325</v>
      </c>
      <c r="AB12" s="1627"/>
      <c r="AC12" s="1601"/>
      <c r="AD12" s="1619"/>
      <c r="AE12" s="1595"/>
      <c r="AF12" s="1595">
        <v>7</v>
      </c>
      <c r="AG12" s="1607"/>
      <c r="AH12" s="1620"/>
      <c r="AI12" s="1610"/>
      <c r="AJ12" s="1610" t="s">
        <v>325</v>
      </c>
      <c r="AK12" s="1627"/>
      <c r="AL12" s="1611"/>
      <c r="AM12" s="1619"/>
      <c r="AN12" s="1595"/>
      <c r="AO12" s="1595"/>
      <c r="AP12" s="1607"/>
      <c r="AQ12" s="1620"/>
      <c r="AR12" s="1595"/>
      <c r="AS12" s="1610"/>
      <c r="AT12" s="1627"/>
    </row>
    <row r="13" spans="1:46" x14ac:dyDescent="0.25">
      <c r="A13" s="2206">
        <v>45814</v>
      </c>
      <c r="B13" s="574">
        <v>1</v>
      </c>
      <c r="C13" s="1613"/>
      <c r="D13" s="1614"/>
      <c r="E13" s="1614"/>
      <c r="F13" s="1615"/>
      <c r="G13" s="1616"/>
      <c r="H13" s="1598"/>
      <c r="I13" s="1617"/>
      <c r="J13" s="1627"/>
      <c r="K13" s="1601"/>
      <c r="L13" s="1619"/>
      <c r="M13" s="1595"/>
      <c r="N13" s="1595"/>
      <c r="O13" s="1615"/>
      <c r="P13" s="1620"/>
      <c r="Q13" s="1595"/>
      <c r="R13" s="1595"/>
      <c r="S13" s="1627"/>
      <c r="T13" s="1601"/>
      <c r="U13" s="1619"/>
      <c r="V13" s="1595"/>
      <c r="W13" s="1595"/>
      <c r="X13" s="1615"/>
      <c r="Y13" s="1608"/>
      <c r="Z13" s="1610"/>
      <c r="AA13" s="1622"/>
      <c r="AB13" s="1627"/>
      <c r="AC13" s="1601"/>
      <c r="AD13" s="1619"/>
      <c r="AE13" s="1595"/>
      <c r="AF13" s="1595"/>
      <c r="AG13" s="1615"/>
      <c r="AH13" s="1620"/>
      <c r="AI13" s="1595"/>
      <c r="AJ13" s="1610"/>
      <c r="AK13" s="1627"/>
      <c r="AL13" s="1611"/>
      <c r="AM13" s="1619"/>
      <c r="AN13" s="1595"/>
      <c r="AO13" s="1595"/>
      <c r="AP13" s="1615"/>
      <c r="AQ13" s="1620"/>
      <c r="AR13" s="1595"/>
      <c r="AS13" s="1595"/>
      <c r="AT13" s="1627"/>
    </row>
    <row r="14" spans="1:46" ht="25.5" x14ac:dyDescent="0.25">
      <c r="A14" s="2205"/>
      <c r="B14" s="574">
        <v>2</v>
      </c>
      <c r="C14" s="1613"/>
      <c r="D14" s="1614"/>
      <c r="E14" s="1614"/>
      <c r="F14" s="1615"/>
      <c r="G14" s="1616"/>
      <c r="H14" s="1599"/>
      <c r="I14" s="1617"/>
      <c r="J14" s="1627"/>
      <c r="K14" s="1601"/>
      <c r="L14" s="1619"/>
      <c r="M14" s="1595"/>
      <c r="N14" s="1595"/>
      <c r="O14" s="1615"/>
      <c r="P14" s="1608"/>
      <c r="Q14" s="1595"/>
      <c r="R14" s="1595"/>
      <c r="S14" s="1627"/>
      <c r="T14" s="1601"/>
      <c r="U14" s="1619"/>
      <c r="V14" s="1595"/>
      <c r="W14" s="1595"/>
      <c r="X14" s="1615"/>
      <c r="Y14" s="1608"/>
      <c r="Z14" s="1610"/>
      <c r="AA14" s="1622"/>
      <c r="AB14" s="1627"/>
      <c r="AC14" s="1601"/>
      <c r="AD14" s="1619"/>
      <c r="AE14" s="1595"/>
      <c r="AF14" s="1595"/>
      <c r="AG14" s="1615"/>
      <c r="AH14" s="2278"/>
      <c r="AI14" s="2279"/>
      <c r="AJ14" s="2280"/>
      <c r="AK14" s="1627"/>
      <c r="AL14" s="1611"/>
      <c r="AM14" s="1619"/>
      <c r="AN14" s="1595"/>
      <c r="AO14" s="1595">
        <v>5</v>
      </c>
      <c r="AP14" s="1615"/>
      <c r="AQ14" s="1608"/>
      <c r="AR14" s="1595"/>
      <c r="AS14" s="1622" t="s">
        <v>325</v>
      </c>
      <c r="AT14" s="1627"/>
    </row>
    <row r="15" spans="1:46" ht="25.5" x14ac:dyDescent="0.25">
      <c r="A15" s="2206">
        <v>45815</v>
      </c>
      <c r="B15" s="574">
        <v>1</v>
      </c>
      <c r="C15" s="1613"/>
      <c r="D15" s="1614"/>
      <c r="E15" s="1595"/>
      <c r="F15" s="1615"/>
      <c r="G15" s="1616"/>
      <c r="H15" s="1599"/>
      <c r="I15" s="1617"/>
      <c r="J15" s="1627"/>
      <c r="K15" s="1601"/>
      <c r="L15" s="1619"/>
      <c r="M15" s="1595"/>
      <c r="N15" s="1595"/>
      <c r="O15" s="1615"/>
      <c r="P15" s="1597"/>
      <c r="Q15" s="1599"/>
      <c r="R15" s="1599"/>
      <c r="S15" s="1627"/>
      <c r="T15" s="1601"/>
      <c r="U15" s="1619"/>
      <c r="V15" s="1595"/>
      <c r="W15" s="1595">
        <v>6</v>
      </c>
      <c r="X15" s="1615"/>
      <c r="Y15" s="1616"/>
      <c r="Z15" s="1599"/>
      <c r="AA15" s="1622" t="s">
        <v>325</v>
      </c>
      <c r="AB15" s="1627"/>
      <c r="AC15" s="1601"/>
      <c r="AD15" s="1619"/>
      <c r="AE15" s="1595"/>
      <c r="AF15" s="1601"/>
      <c r="AG15" s="1615"/>
      <c r="AH15" s="1597"/>
      <c r="AI15" s="1599"/>
      <c r="AJ15" s="1610"/>
      <c r="AK15" s="1627"/>
      <c r="AL15" s="1611"/>
      <c r="AM15" s="1619"/>
      <c r="AN15" s="1595"/>
      <c r="AO15" s="1601"/>
      <c r="AP15" s="1597"/>
      <c r="AQ15" s="1599"/>
      <c r="AR15" s="1599"/>
      <c r="AS15" s="1599"/>
      <c r="AT15" s="1627"/>
    </row>
    <row r="16" spans="1:46" x14ac:dyDescent="0.25">
      <c r="A16" s="2205"/>
      <c r="B16" s="574">
        <v>2</v>
      </c>
      <c r="C16" s="1613"/>
      <c r="D16" s="1613"/>
      <c r="E16" s="1613"/>
      <c r="F16" s="1615"/>
      <c r="G16" s="1637"/>
      <c r="H16" s="1638"/>
      <c r="I16" s="1639"/>
      <c r="J16" s="1627"/>
      <c r="K16" s="1601"/>
      <c r="L16" s="1619"/>
      <c r="M16" s="1595"/>
      <c r="N16" s="1595"/>
      <c r="O16" s="1615"/>
      <c r="P16" s="1637"/>
      <c r="Q16" s="1638"/>
      <c r="R16" s="1639"/>
      <c r="S16" s="1627"/>
      <c r="T16" s="1601"/>
      <c r="U16" s="1619"/>
      <c r="V16" s="1595"/>
      <c r="W16" s="1595"/>
      <c r="X16" s="1615"/>
      <c r="Y16" s="1637"/>
      <c r="Z16" s="1638"/>
      <c r="AA16" s="1639"/>
      <c r="AB16" s="1627"/>
      <c r="AC16" s="1601"/>
      <c r="AD16" s="1619"/>
      <c r="AE16" s="1595"/>
      <c r="AF16" s="1595"/>
      <c r="AG16" s="1615"/>
      <c r="AH16" s="1640"/>
      <c r="AI16" s="1638"/>
      <c r="AJ16" s="1639"/>
      <c r="AK16" s="1627"/>
      <c r="AL16" s="1611"/>
      <c r="AM16" s="1619"/>
      <c r="AN16" s="1595"/>
      <c r="AO16" s="1595"/>
      <c r="AP16" s="1615"/>
      <c r="AQ16" s="1637"/>
      <c r="AR16" s="1638"/>
      <c r="AS16" s="1639"/>
      <c r="AT16" s="1627"/>
    </row>
    <row r="17" spans="1:46" ht="25.5" x14ac:dyDescent="0.25">
      <c r="A17" s="2206">
        <v>45816</v>
      </c>
      <c r="B17" s="644">
        <v>1</v>
      </c>
      <c r="C17" s="1613"/>
      <c r="D17" s="1614"/>
      <c r="E17" s="1614">
        <v>8</v>
      </c>
      <c r="F17" s="1615"/>
      <c r="G17" s="1597"/>
      <c r="H17" s="1598"/>
      <c r="I17" s="1617" t="s">
        <v>325</v>
      </c>
      <c r="J17" s="1627"/>
      <c r="K17" s="1601"/>
      <c r="L17" s="1619"/>
      <c r="M17" s="1595"/>
      <c r="N17" s="1595"/>
      <c r="O17" s="1615"/>
      <c r="P17" s="1597"/>
      <c r="Q17" s="1598"/>
      <c r="R17" s="1599"/>
      <c r="S17" s="1627"/>
      <c r="T17" s="1601"/>
      <c r="U17" s="1619"/>
      <c r="V17" s="1595"/>
      <c r="W17" s="1595">
        <v>7</v>
      </c>
      <c r="X17" s="1615"/>
      <c r="Y17" s="1616"/>
      <c r="Z17" s="1598"/>
      <c r="AA17" s="1617" t="s">
        <v>325</v>
      </c>
      <c r="AB17" s="1627"/>
      <c r="AC17" s="1601"/>
      <c r="AD17" s="1619"/>
      <c r="AE17" s="1595"/>
      <c r="AF17" s="1595"/>
      <c r="AG17" s="1615"/>
      <c r="AH17" s="1597"/>
      <c r="AI17" s="1598"/>
      <c r="AJ17" s="1599"/>
      <c r="AK17" s="1627"/>
      <c r="AL17" s="1611"/>
      <c r="AM17" s="1619"/>
      <c r="AN17" s="1595"/>
      <c r="AO17" s="1595"/>
      <c r="AP17" s="1597"/>
      <c r="AQ17" s="1641"/>
      <c r="AR17" s="1642"/>
      <c r="AS17" s="1643"/>
      <c r="AT17" s="1627"/>
    </row>
    <row r="18" spans="1:46" x14ac:dyDescent="0.25">
      <c r="A18" s="2205"/>
      <c r="B18" s="574">
        <v>2</v>
      </c>
      <c r="C18" s="1613">
        <v>10</v>
      </c>
      <c r="D18" s="1614"/>
      <c r="E18" s="1614">
        <v>10</v>
      </c>
      <c r="F18" s="1615"/>
      <c r="G18" s="1616" t="s">
        <v>743</v>
      </c>
      <c r="H18" s="1644"/>
      <c r="I18" s="1617" t="s">
        <v>152</v>
      </c>
      <c r="J18" s="1627"/>
      <c r="K18" s="1601"/>
      <c r="L18" s="1619"/>
      <c r="M18" s="1595"/>
      <c r="N18" s="1595"/>
      <c r="O18" s="1615"/>
      <c r="P18" s="1616"/>
      <c r="Q18" s="1599"/>
      <c r="R18" s="1598"/>
      <c r="S18" s="1627"/>
      <c r="T18" s="1601"/>
      <c r="U18" s="1619"/>
      <c r="V18" s="1595"/>
      <c r="W18" s="1614"/>
      <c r="X18" s="1615"/>
      <c r="Y18" s="1616"/>
      <c r="Z18" s="1599"/>
      <c r="AA18" s="1617"/>
      <c r="AB18" s="1627"/>
      <c r="AC18" s="1601"/>
      <c r="AD18" s="1619"/>
      <c r="AE18" s="1595"/>
      <c r="AF18" s="1595"/>
      <c r="AG18" s="1615"/>
      <c r="AH18" s="1616"/>
      <c r="AI18" s="1599"/>
      <c r="AJ18" s="1598"/>
      <c r="AK18" s="1627"/>
      <c r="AL18" s="1611"/>
      <c r="AM18" s="1619"/>
      <c r="AN18" s="1595"/>
      <c r="AO18" s="1595">
        <v>13</v>
      </c>
      <c r="AP18" s="1645"/>
      <c r="AQ18" s="2281" t="s">
        <v>97</v>
      </c>
      <c r="AR18" s="2281"/>
      <c r="AS18" s="2281"/>
      <c r="AT18" s="1646"/>
    </row>
    <row r="19" spans="1:46" ht="25.5" customHeight="1" x14ac:dyDescent="0.25">
      <c r="A19" s="2206">
        <v>45817</v>
      </c>
      <c r="B19" s="574">
        <v>1</v>
      </c>
      <c r="C19" s="1601"/>
      <c r="D19" s="1614"/>
      <c r="E19" s="1614"/>
      <c r="F19" s="1615"/>
      <c r="G19" s="1647"/>
      <c r="H19" s="1595"/>
      <c r="I19" s="1617"/>
      <c r="J19" s="1627"/>
      <c r="K19" s="1601"/>
      <c r="L19" s="1619"/>
      <c r="M19" s="1595"/>
      <c r="N19" s="1595"/>
      <c r="O19" s="1615"/>
      <c r="P19" s="1619"/>
      <c r="Q19" s="1595"/>
      <c r="R19" s="1595"/>
      <c r="S19" s="1627"/>
      <c r="T19" s="1601"/>
      <c r="U19" s="1619"/>
      <c r="V19" s="1595"/>
      <c r="W19" s="1595">
        <v>10</v>
      </c>
      <c r="X19" s="1615"/>
      <c r="Y19" s="1619"/>
      <c r="Z19" s="1610"/>
      <c r="AA19" s="1617" t="s">
        <v>325</v>
      </c>
      <c r="AB19" s="1627"/>
      <c r="AC19" s="1601"/>
      <c r="AD19" s="1619"/>
      <c r="AE19" s="1595"/>
      <c r="AF19" s="1595"/>
      <c r="AG19" s="1615"/>
      <c r="AH19" s="1619"/>
      <c r="AI19" s="1595"/>
      <c r="AJ19" s="1622"/>
      <c r="AK19" s="1627"/>
      <c r="AL19" s="1611"/>
      <c r="AM19" s="1619"/>
      <c r="AN19" s="1595"/>
      <c r="AO19" s="1595"/>
      <c r="AP19" s="1645"/>
      <c r="AQ19" s="1648"/>
      <c r="AR19" s="1648"/>
      <c r="AS19" s="1649"/>
      <c r="AT19" s="1646"/>
    </row>
    <row r="20" spans="1:46" ht="24" customHeight="1" x14ac:dyDescent="0.25">
      <c r="A20" s="2205"/>
      <c r="B20" s="574">
        <v>2</v>
      </c>
      <c r="C20" s="1613"/>
      <c r="D20" s="1614"/>
      <c r="E20" s="1614"/>
      <c r="F20" s="1615"/>
      <c r="G20" s="1647"/>
      <c r="H20" s="1610"/>
      <c r="I20" s="1617"/>
      <c r="J20" s="1627"/>
      <c r="K20" s="1601"/>
      <c r="L20" s="1619"/>
      <c r="M20" s="1595"/>
      <c r="N20" s="1595"/>
      <c r="O20" s="1615"/>
      <c r="P20" s="1647"/>
      <c r="Q20" s="1610"/>
      <c r="R20" s="1617"/>
      <c r="S20" s="1627"/>
      <c r="T20" s="1601"/>
      <c r="U20" s="1619"/>
      <c r="V20" s="1595"/>
      <c r="W20" s="1595">
        <v>10</v>
      </c>
      <c r="X20" s="1615"/>
      <c r="Y20" s="1647"/>
      <c r="Z20" s="1610"/>
      <c r="AA20" s="1617" t="s">
        <v>152</v>
      </c>
      <c r="AB20" s="1627"/>
      <c r="AC20" s="1601"/>
      <c r="AD20" s="1619"/>
      <c r="AE20" s="1595"/>
      <c r="AF20" s="1595"/>
      <c r="AG20" s="1615"/>
      <c r="AH20" s="1647"/>
      <c r="AI20" s="1610"/>
      <c r="AJ20" s="1617"/>
      <c r="AK20" s="1627"/>
      <c r="AL20" s="1611"/>
      <c r="AM20" s="1619">
        <v>101</v>
      </c>
      <c r="AN20" s="1595"/>
      <c r="AO20" s="1595"/>
      <c r="AP20" s="1615"/>
      <c r="AQ20" s="1650" t="s">
        <v>1112</v>
      </c>
      <c r="AR20" s="1622"/>
      <c r="AS20" s="1651"/>
      <c r="AT20" s="1627"/>
    </row>
    <row r="21" spans="1:46" ht="29.25" customHeight="1" x14ac:dyDescent="0.25">
      <c r="A21" s="2206">
        <v>45818</v>
      </c>
      <c r="B21" s="574">
        <v>1</v>
      </c>
      <c r="C21" s="1613"/>
      <c r="D21" s="1614"/>
      <c r="E21" s="1614"/>
      <c r="F21" s="1615"/>
      <c r="G21" s="1652"/>
      <c r="H21" s="1598"/>
      <c r="I21" s="1617"/>
      <c r="J21" s="1653"/>
      <c r="K21" s="1601"/>
      <c r="L21" s="1619"/>
      <c r="M21" s="1595"/>
      <c r="N21" s="1595"/>
      <c r="O21" s="1615"/>
      <c r="P21" s="1619"/>
      <c r="Q21" s="1595"/>
      <c r="R21" s="1595"/>
      <c r="S21" s="1653"/>
      <c r="T21" s="1601"/>
      <c r="U21" s="1619"/>
      <c r="V21" s="1595"/>
      <c r="W21" s="1595">
        <v>78</v>
      </c>
      <c r="X21" s="1615"/>
      <c r="Y21" s="1647"/>
      <c r="Z21" s="1595"/>
      <c r="AA21" s="1617" t="s">
        <v>1113</v>
      </c>
      <c r="AB21" s="1653"/>
      <c r="AC21" s="1601"/>
      <c r="AD21" s="1619"/>
      <c r="AE21" s="1595"/>
      <c r="AF21" s="1595"/>
      <c r="AG21" s="1615"/>
      <c r="AH21" s="1619"/>
      <c r="AI21" s="1595"/>
      <c r="AJ21" s="1617"/>
      <c r="AK21" s="1653"/>
      <c r="AL21" s="1611"/>
      <c r="AM21" s="1619"/>
      <c r="AN21" s="1595"/>
      <c r="AO21" s="1595"/>
      <c r="AP21" s="1615"/>
      <c r="AQ21" s="1619"/>
      <c r="AR21" s="1610"/>
      <c r="AS21" s="1628"/>
      <c r="AT21" s="1653"/>
    </row>
    <row r="22" spans="1:46" ht="28.5" customHeight="1" x14ac:dyDescent="0.25">
      <c r="A22" s="2205"/>
      <c r="B22" s="574">
        <v>2</v>
      </c>
      <c r="C22" s="1613"/>
      <c r="D22" s="1614"/>
      <c r="E22" s="1614"/>
      <c r="F22" s="1615"/>
      <c r="G22" s="1654"/>
      <c r="H22" s="1599"/>
      <c r="I22" s="1617"/>
      <c r="J22" s="1653"/>
      <c r="K22" s="1601"/>
      <c r="L22" s="1619"/>
      <c r="M22" s="1595"/>
      <c r="N22" s="1595"/>
      <c r="O22" s="1615"/>
      <c r="P22" s="1608"/>
      <c r="Q22" s="1599"/>
      <c r="R22" s="1595"/>
      <c r="S22" s="1653"/>
      <c r="T22" s="1601"/>
      <c r="U22" s="1619"/>
      <c r="V22" s="1595"/>
      <c r="W22" s="1595"/>
      <c r="X22" s="1615"/>
      <c r="Y22" s="1647"/>
      <c r="Z22" s="1599"/>
      <c r="AA22" s="1622"/>
      <c r="AB22" s="1653"/>
      <c r="AC22" s="1601"/>
      <c r="AD22" s="1619"/>
      <c r="AE22" s="1595"/>
      <c r="AF22" s="1595"/>
      <c r="AG22" s="1615"/>
      <c r="AH22" s="1619"/>
      <c r="AI22" s="1595"/>
      <c r="AJ22" s="1622"/>
      <c r="AK22" s="1653"/>
      <c r="AL22" s="1611"/>
      <c r="AM22" s="1619"/>
      <c r="AN22" s="1595"/>
      <c r="AO22" s="1595">
        <v>11</v>
      </c>
      <c r="AP22" s="1615"/>
      <c r="AQ22" s="1619"/>
      <c r="AR22" s="1599"/>
      <c r="AS22" s="1622" t="s">
        <v>325</v>
      </c>
      <c r="AT22" s="1653"/>
    </row>
    <row r="23" spans="1:46" ht="29.25" customHeight="1" x14ac:dyDescent="0.25">
      <c r="A23" s="2206">
        <v>45819</v>
      </c>
      <c r="B23" s="644">
        <v>1</v>
      </c>
      <c r="C23" s="1613"/>
      <c r="D23" s="1614"/>
      <c r="E23" s="1614"/>
      <c r="F23" s="1615">
        <v>22</v>
      </c>
      <c r="G23" s="1597"/>
      <c r="H23" s="1598"/>
      <c r="I23" s="1617"/>
      <c r="J23" s="1627" t="s">
        <v>1107</v>
      </c>
      <c r="K23" s="1601"/>
      <c r="L23" s="1619"/>
      <c r="M23" s="1595"/>
      <c r="N23" s="1595"/>
      <c r="O23" s="1615"/>
      <c r="P23" s="1597"/>
      <c r="Q23" s="1598"/>
      <c r="R23" s="1599"/>
      <c r="S23" s="1627"/>
      <c r="T23" s="1601"/>
      <c r="U23" s="1619"/>
      <c r="V23" s="1595"/>
      <c r="W23" s="1595">
        <v>35</v>
      </c>
      <c r="X23" s="1615"/>
      <c r="Y23" s="1647"/>
      <c r="Z23" s="1599"/>
      <c r="AA23" s="1617" t="s">
        <v>152</v>
      </c>
      <c r="AB23" s="1627"/>
      <c r="AC23" s="1601"/>
      <c r="AD23" s="1619"/>
      <c r="AE23" s="1595"/>
      <c r="AF23" s="1620"/>
      <c r="AG23" s="1615"/>
      <c r="AH23" s="1619"/>
      <c r="AI23" s="1598"/>
      <c r="AJ23" s="1599"/>
      <c r="AK23" s="1627"/>
      <c r="AL23" s="1611"/>
      <c r="AM23" s="1619"/>
      <c r="AN23" s="1595"/>
      <c r="AO23" s="1595"/>
      <c r="AP23" s="1615"/>
      <c r="AQ23" s="1595"/>
      <c r="AR23" s="1598"/>
      <c r="AS23" s="1630"/>
      <c r="AT23" s="1627"/>
    </row>
    <row r="24" spans="1:46" ht="23.25" customHeight="1" x14ac:dyDescent="0.25">
      <c r="A24" s="2205"/>
      <c r="B24" s="574">
        <v>2</v>
      </c>
      <c r="C24" s="1613"/>
      <c r="D24" s="1614"/>
      <c r="E24" s="1614"/>
      <c r="F24" s="1615"/>
      <c r="G24" s="1597"/>
      <c r="H24" s="1599"/>
      <c r="I24" s="1617"/>
      <c r="J24" s="1627"/>
      <c r="K24" s="1601"/>
      <c r="L24" s="1619"/>
      <c r="M24" s="1595"/>
      <c r="N24" s="1595"/>
      <c r="O24" s="1615"/>
      <c r="P24" s="1597"/>
      <c r="Q24" s="1598"/>
      <c r="R24" s="1599"/>
      <c r="S24" s="1627"/>
      <c r="T24" s="1601"/>
      <c r="U24" s="1595"/>
      <c r="V24" s="1615"/>
      <c r="W24" s="1597" t="s">
        <v>1114</v>
      </c>
      <c r="X24" s="1615"/>
      <c r="Y24" s="1617"/>
      <c r="Z24" s="1598"/>
      <c r="AA24" s="1617" t="s">
        <v>152</v>
      </c>
      <c r="AB24" s="1627"/>
      <c r="AC24" s="1601"/>
      <c r="AD24" s="1619"/>
      <c r="AE24" s="1595"/>
      <c r="AF24" s="1620"/>
      <c r="AG24" s="1615"/>
      <c r="AH24" s="1617"/>
      <c r="AI24" s="1598"/>
      <c r="AJ24" s="1599"/>
      <c r="AK24" s="1627"/>
      <c r="AL24" s="1611"/>
      <c r="AM24" s="1619"/>
      <c r="AN24" s="1595"/>
      <c r="AO24" s="1595"/>
      <c r="AP24" s="1615"/>
      <c r="AQ24" s="1598"/>
      <c r="AR24" s="1598"/>
      <c r="AS24" s="1627"/>
      <c r="AT24" s="1627"/>
    </row>
    <row r="25" spans="1:46" ht="29.25" customHeight="1" x14ac:dyDescent="0.25">
      <c r="A25" s="2206">
        <v>45820</v>
      </c>
      <c r="B25" s="574">
        <v>1</v>
      </c>
      <c r="C25" s="1613"/>
      <c r="D25" s="1614"/>
      <c r="E25" s="1614">
        <v>20</v>
      </c>
      <c r="F25" s="1615"/>
      <c r="G25" s="1597"/>
      <c r="H25" s="1598"/>
      <c r="I25" s="1617" t="s">
        <v>325</v>
      </c>
      <c r="J25" s="1627"/>
      <c r="K25" s="1601"/>
      <c r="L25" s="1619"/>
      <c r="M25" s="1595"/>
      <c r="N25" s="1595"/>
      <c r="O25" s="1615"/>
      <c r="P25" s="1619"/>
      <c r="Q25" s="1598"/>
      <c r="R25" s="1595"/>
      <c r="S25" s="1627"/>
      <c r="T25" s="1601"/>
      <c r="U25" s="1619"/>
      <c r="V25" s="1595"/>
      <c r="W25" s="1595">
        <v>35</v>
      </c>
      <c r="X25" s="1615"/>
      <c r="Y25" s="1647"/>
      <c r="Z25" s="1610"/>
      <c r="AA25" s="1622" t="s">
        <v>152</v>
      </c>
      <c r="AB25" s="1627"/>
      <c r="AC25" s="1601"/>
      <c r="AD25" s="1619"/>
      <c r="AE25" s="1595"/>
      <c r="AF25" s="1595"/>
      <c r="AG25" s="1615"/>
      <c r="AH25" s="1595"/>
      <c r="AI25" s="1610"/>
      <c r="AJ25" s="1599"/>
      <c r="AK25" s="1627"/>
      <c r="AL25" s="1611"/>
      <c r="AM25" s="1619"/>
      <c r="AN25" s="1595"/>
      <c r="AO25" s="1595">
        <v>10</v>
      </c>
      <c r="AP25" s="1615"/>
      <c r="AQ25" s="1595"/>
      <c r="AR25" s="1595"/>
      <c r="AS25" s="1628" t="s">
        <v>152</v>
      </c>
      <c r="AT25" s="1627"/>
    </row>
    <row r="26" spans="1:46" ht="25.5" customHeight="1" x14ac:dyDescent="0.25">
      <c r="A26" s="2205"/>
      <c r="B26" s="574">
        <v>2</v>
      </c>
      <c r="C26" s="1613"/>
      <c r="D26" s="1614"/>
      <c r="E26" s="1614">
        <v>8</v>
      </c>
      <c r="F26" s="1615"/>
      <c r="G26" s="1597"/>
      <c r="H26" s="1599"/>
      <c r="I26" s="1617" t="s">
        <v>152</v>
      </c>
      <c r="J26" s="1627"/>
      <c r="K26" s="1601"/>
      <c r="L26" s="1619"/>
      <c r="M26" s="1595"/>
      <c r="N26" s="1595"/>
      <c r="O26" s="1615"/>
      <c r="P26" s="1597"/>
      <c r="Q26" s="1599"/>
      <c r="R26" s="1630"/>
      <c r="S26" s="1627"/>
      <c r="T26" s="1601"/>
      <c r="U26" s="1619"/>
      <c r="V26" s="1614"/>
      <c r="W26" s="1595">
        <v>26</v>
      </c>
      <c r="X26" s="1615"/>
      <c r="Y26" s="1617"/>
      <c r="Z26" s="1599"/>
      <c r="AA26" s="1622" t="s">
        <v>152</v>
      </c>
      <c r="AB26" s="1627"/>
      <c r="AC26" s="1601"/>
      <c r="AD26" s="1619"/>
      <c r="AE26" s="1614"/>
      <c r="AF26" s="1595"/>
      <c r="AG26" s="1615"/>
      <c r="AH26" s="1617"/>
      <c r="AI26" s="1599"/>
      <c r="AJ26" s="1630"/>
      <c r="AK26" s="1627"/>
      <c r="AL26" s="1611"/>
      <c r="AM26" s="1619"/>
      <c r="AN26" s="1614"/>
      <c r="AO26" s="1595"/>
      <c r="AP26" s="1615"/>
      <c r="AQ26" s="1597"/>
      <c r="AR26" s="1599"/>
      <c r="AS26" s="1628"/>
      <c r="AT26" s="1627"/>
    </row>
    <row r="27" spans="1:46" ht="22.5" customHeight="1" x14ac:dyDescent="0.25">
      <c r="A27" s="2206">
        <v>45821</v>
      </c>
      <c r="B27" s="644">
        <v>1</v>
      </c>
      <c r="C27" s="1613"/>
      <c r="D27" s="1614"/>
      <c r="E27" s="1614"/>
      <c r="F27" s="1615"/>
      <c r="G27" s="1597"/>
      <c r="H27" s="1598"/>
      <c r="I27" s="1630"/>
      <c r="J27" s="1627"/>
      <c r="K27" s="1601"/>
      <c r="L27" s="1619"/>
      <c r="M27" s="1595"/>
      <c r="N27" s="1595"/>
      <c r="O27" s="1615"/>
      <c r="P27" s="1597"/>
      <c r="Q27" s="1598"/>
      <c r="R27" s="1599"/>
      <c r="S27" s="1627"/>
      <c r="T27" s="1601"/>
      <c r="U27" s="1619"/>
      <c r="V27" s="1595"/>
      <c r="W27" s="1595">
        <v>14</v>
      </c>
      <c r="X27" s="1615"/>
      <c r="Y27" s="1597"/>
      <c r="Z27" s="1599"/>
      <c r="AA27" s="1622" t="s">
        <v>325</v>
      </c>
      <c r="AB27" s="1627"/>
      <c r="AC27" s="1601"/>
      <c r="AD27" s="1619"/>
      <c r="AE27" s="1595"/>
      <c r="AF27" s="1595"/>
      <c r="AG27" s="1615"/>
      <c r="AH27" s="1597"/>
      <c r="AI27" s="1610"/>
      <c r="AJ27" s="1599"/>
      <c r="AK27" s="1627"/>
      <c r="AL27" s="1611"/>
      <c r="AM27" s="1619"/>
      <c r="AN27" s="1595"/>
      <c r="AO27" s="1595"/>
      <c r="AP27" s="1615"/>
      <c r="AQ27" s="1610"/>
      <c r="AR27" s="1595"/>
      <c r="AS27" s="1630"/>
      <c r="AT27" s="1627"/>
    </row>
    <row r="28" spans="1:46" ht="25.5" x14ac:dyDescent="0.25">
      <c r="A28" s="2205"/>
      <c r="B28" s="574">
        <v>2</v>
      </c>
      <c r="C28" s="1613"/>
      <c r="D28" s="1614"/>
      <c r="E28" s="1614"/>
      <c r="F28" s="1615"/>
      <c r="G28" s="1599"/>
      <c r="H28" s="1599"/>
      <c r="I28" s="1630"/>
      <c r="J28" s="1627"/>
      <c r="K28" s="1601"/>
      <c r="L28" s="1619"/>
      <c r="M28" s="1595"/>
      <c r="N28" s="1595"/>
      <c r="O28" s="1615"/>
      <c r="P28" s="1599"/>
      <c r="Q28" s="1599"/>
      <c r="R28" s="1599"/>
      <c r="S28" s="1627"/>
      <c r="T28" s="1601"/>
      <c r="U28" s="1619"/>
      <c r="V28" s="1595"/>
      <c r="W28" s="1601">
        <v>16</v>
      </c>
      <c r="X28" s="1615"/>
      <c r="Y28" s="1599"/>
      <c r="Z28" s="1595"/>
      <c r="AA28" s="1622" t="s">
        <v>325</v>
      </c>
      <c r="AB28" s="1627"/>
      <c r="AC28" s="1601"/>
      <c r="AD28" s="1619"/>
      <c r="AE28" s="1595"/>
      <c r="AF28" s="1595">
        <v>9</v>
      </c>
      <c r="AG28" s="1615"/>
      <c r="AH28" s="1597"/>
      <c r="AI28" s="1610"/>
      <c r="AJ28" s="1630" t="s">
        <v>325</v>
      </c>
      <c r="AK28" s="1627"/>
      <c r="AL28" s="1611"/>
      <c r="AM28" s="1619"/>
      <c r="AN28" s="1595"/>
      <c r="AO28" s="1595">
        <v>10</v>
      </c>
      <c r="AP28" s="1615"/>
      <c r="AQ28" s="1610"/>
      <c r="AR28" s="1595"/>
      <c r="AS28" s="1628" t="s">
        <v>325</v>
      </c>
      <c r="AT28" s="1627"/>
    </row>
    <row r="29" spans="1:46" ht="25.5" x14ac:dyDescent="0.25">
      <c r="A29" s="2206">
        <v>45822</v>
      </c>
      <c r="B29" s="574">
        <v>1</v>
      </c>
      <c r="C29" s="1613"/>
      <c r="D29" s="1614"/>
      <c r="E29" s="1614"/>
      <c r="F29" s="1615"/>
      <c r="G29" s="1599"/>
      <c r="H29" s="1598"/>
      <c r="I29" s="1630"/>
      <c r="J29" s="1627"/>
      <c r="K29" s="1601"/>
      <c r="L29" s="1619"/>
      <c r="M29" s="1595"/>
      <c r="N29" s="1595"/>
      <c r="O29" s="1615"/>
      <c r="P29" s="1597"/>
      <c r="Q29" s="1599"/>
      <c r="R29" s="1599"/>
      <c r="S29" s="1627"/>
      <c r="T29" s="1601"/>
      <c r="U29" s="1619"/>
      <c r="V29" s="1595"/>
      <c r="W29" s="1595">
        <v>43</v>
      </c>
      <c r="X29" s="1615"/>
      <c r="Y29" s="1599"/>
      <c r="Z29" s="1598"/>
      <c r="AA29" s="1622" t="s">
        <v>152</v>
      </c>
      <c r="AB29" s="1627"/>
      <c r="AC29" s="1601"/>
      <c r="AD29" s="1619"/>
      <c r="AE29" s="1595"/>
      <c r="AF29" s="1595">
        <v>18</v>
      </c>
      <c r="AG29" s="1615"/>
      <c r="AH29" s="1597"/>
      <c r="AI29" s="1598"/>
      <c r="AJ29" s="1630" t="s">
        <v>325</v>
      </c>
      <c r="AK29" s="1627"/>
      <c r="AL29" s="1611"/>
      <c r="AM29" s="1619"/>
      <c r="AN29" s="1595"/>
      <c r="AO29" s="1595">
        <v>30</v>
      </c>
      <c r="AP29" s="1615"/>
      <c r="AQ29" s="1610"/>
      <c r="AR29" s="1598"/>
      <c r="AS29" s="1628" t="s">
        <v>152</v>
      </c>
      <c r="AT29" s="1627"/>
    </row>
    <row r="30" spans="1:46" ht="25.5" x14ac:dyDescent="0.25">
      <c r="A30" s="2205"/>
      <c r="B30" s="644">
        <v>2</v>
      </c>
      <c r="C30" s="1613"/>
      <c r="D30" s="1614"/>
      <c r="E30" s="1614"/>
      <c r="F30" s="1615">
        <v>109</v>
      </c>
      <c r="G30" s="1599"/>
      <c r="H30" s="1598"/>
      <c r="I30" s="1630"/>
      <c r="J30" s="1627" t="s">
        <v>975</v>
      </c>
      <c r="K30" s="1601"/>
      <c r="L30" s="1619"/>
      <c r="M30" s="1595"/>
      <c r="N30" s="1595"/>
      <c r="O30" s="1615">
        <v>107</v>
      </c>
      <c r="P30" s="1597"/>
      <c r="Q30" s="1599"/>
      <c r="R30" s="1599"/>
      <c r="S30" s="1627" t="s">
        <v>975</v>
      </c>
      <c r="T30" s="1601"/>
      <c r="U30" s="1619"/>
      <c r="V30" s="1595"/>
      <c r="W30" s="1595"/>
      <c r="X30" s="1615">
        <v>139</v>
      </c>
      <c r="Y30" s="1599"/>
      <c r="Z30" s="1598"/>
      <c r="AA30" s="1622"/>
      <c r="AB30" s="1627" t="s">
        <v>975</v>
      </c>
      <c r="AC30" s="1601"/>
      <c r="AD30" s="1619"/>
      <c r="AE30" s="1595"/>
      <c r="AF30" s="1595"/>
      <c r="AG30" s="1615">
        <v>124</v>
      </c>
      <c r="AH30" s="1597"/>
      <c r="AI30" s="1599"/>
      <c r="AJ30" s="1599"/>
      <c r="AK30" s="1627" t="s">
        <v>975</v>
      </c>
      <c r="AL30" s="1611"/>
      <c r="AM30" s="1619"/>
      <c r="AN30" s="1595"/>
      <c r="AO30" s="1595">
        <v>10</v>
      </c>
      <c r="AP30" s="1615">
        <v>118</v>
      </c>
      <c r="AQ30" s="1636"/>
      <c r="AR30" s="1610"/>
      <c r="AS30" s="1622" t="s">
        <v>325</v>
      </c>
      <c r="AT30" s="1627" t="s">
        <v>975</v>
      </c>
    </row>
    <row r="31" spans="1:46" x14ac:dyDescent="0.25">
      <c r="A31" s="2206">
        <v>45823</v>
      </c>
      <c r="B31" s="574">
        <v>1</v>
      </c>
      <c r="C31" s="1613"/>
      <c r="D31" s="1614"/>
      <c r="E31" s="1614"/>
      <c r="F31" s="1615"/>
      <c r="G31" s="1597"/>
      <c r="H31" s="1599"/>
      <c r="I31" s="1599"/>
      <c r="J31" s="1627"/>
      <c r="K31" s="1601"/>
      <c r="L31" s="1619"/>
      <c r="M31" s="1595"/>
      <c r="N31" s="1595"/>
      <c r="O31" s="1615"/>
      <c r="P31" s="1620"/>
      <c r="Q31" s="1595"/>
      <c r="R31" s="1595"/>
      <c r="S31" s="1627"/>
      <c r="T31" s="1601"/>
      <c r="U31" s="1619"/>
      <c r="V31" s="1595"/>
      <c r="W31" s="1595">
        <v>13</v>
      </c>
      <c r="X31" s="1615"/>
      <c r="Y31" s="1636"/>
      <c r="Z31" s="1595"/>
      <c r="AA31" s="1622" t="s">
        <v>152</v>
      </c>
      <c r="AB31" s="1627"/>
      <c r="AC31" s="1601"/>
      <c r="AD31" s="1619"/>
      <c r="AE31" s="1595"/>
      <c r="AF31" s="1595">
        <v>10</v>
      </c>
      <c r="AG31" s="1615"/>
      <c r="AH31" s="1597"/>
      <c r="AI31" s="1595"/>
      <c r="AJ31" s="1595" t="s">
        <v>152</v>
      </c>
      <c r="AK31" s="1627"/>
      <c r="AL31" s="1611"/>
      <c r="AM31" s="1619"/>
      <c r="AN31" s="1595"/>
      <c r="AO31" s="1595"/>
      <c r="AP31" s="1615"/>
      <c r="AQ31" s="1620"/>
      <c r="AR31" s="1595"/>
      <c r="AS31" s="1595"/>
      <c r="AT31" s="1627"/>
    </row>
    <row r="32" spans="1:46" x14ac:dyDescent="0.25">
      <c r="A32" s="2205"/>
      <c r="B32" s="574">
        <v>2</v>
      </c>
      <c r="C32" s="1613"/>
      <c r="D32" s="1614"/>
      <c r="E32" s="1614"/>
      <c r="F32" s="1615"/>
      <c r="G32" s="1597"/>
      <c r="H32" s="1616"/>
      <c r="I32" s="1630"/>
      <c r="J32" s="1627"/>
      <c r="K32" s="1601"/>
      <c r="L32" s="1619"/>
      <c r="M32" s="1595"/>
      <c r="N32" s="1595"/>
      <c r="O32" s="1615"/>
      <c r="P32" s="1620"/>
      <c r="Q32" s="1595"/>
      <c r="R32" s="1595"/>
      <c r="S32" s="1627"/>
      <c r="T32" s="1601"/>
      <c r="U32" s="1619"/>
      <c r="V32" s="1595"/>
      <c r="W32" s="1614"/>
      <c r="X32" s="1615"/>
      <c r="Y32" s="1597"/>
      <c r="Z32" s="1597"/>
      <c r="AA32" s="1622"/>
      <c r="AB32" s="1627"/>
      <c r="AC32" s="1601"/>
      <c r="AD32" s="1619"/>
      <c r="AE32" s="1595"/>
      <c r="AF32" s="1614"/>
      <c r="AG32" s="1615"/>
      <c r="AH32" s="1597"/>
      <c r="AI32" s="1597"/>
      <c r="AJ32" s="1622"/>
      <c r="AK32" s="1627"/>
      <c r="AL32" s="1611"/>
      <c r="AM32" s="1619"/>
      <c r="AN32" s="1595"/>
      <c r="AO32" s="1595"/>
      <c r="AP32" s="1615"/>
      <c r="AQ32" s="1620"/>
      <c r="AR32" s="1610"/>
      <c r="AS32" s="1616"/>
      <c r="AT32" s="1627"/>
    </row>
    <row r="33" spans="1:46" x14ac:dyDescent="0.25">
      <c r="A33" s="2206">
        <v>45824</v>
      </c>
      <c r="B33" s="574">
        <v>1</v>
      </c>
      <c r="C33" s="1613"/>
      <c r="D33" s="1614"/>
      <c r="E33" s="1614"/>
      <c r="F33" s="1615"/>
      <c r="G33" s="1597"/>
      <c r="H33" s="1599"/>
      <c r="I33" s="1622"/>
      <c r="J33" s="1627"/>
      <c r="K33" s="1601"/>
      <c r="L33" s="1619"/>
      <c r="M33" s="1595"/>
      <c r="N33" s="1595"/>
      <c r="O33" s="1615"/>
      <c r="P33" s="1620"/>
      <c r="Q33" s="1595"/>
      <c r="R33" s="1595"/>
      <c r="S33" s="1627"/>
      <c r="T33" s="1601"/>
      <c r="U33" s="1619"/>
      <c r="V33" s="1595"/>
      <c r="W33" s="1595"/>
      <c r="X33" s="1615"/>
      <c r="Y33" s="1620"/>
      <c r="Z33" s="1595"/>
      <c r="AA33" s="1622"/>
      <c r="AB33" s="1627"/>
      <c r="AC33" s="1601"/>
      <c r="AD33" s="1619"/>
      <c r="AE33" s="1595"/>
      <c r="AF33" s="1595"/>
      <c r="AG33" s="1615"/>
      <c r="AH33" s="1620"/>
      <c r="AI33" s="1610"/>
      <c r="AJ33" s="1622"/>
      <c r="AK33" s="1627"/>
      <c r="AL33" s="1611"/>
      <c r="AM33" s="1619"/>
      <c r="AN33" s="1595"/>
      <c r="AO33" s="1595"/>
      <c r="AP33" s="1615"/>
      <c r="AQ33" s="1620"/>
      <c r="AR33" s="1610"/>
      <c r="AS33" s="1595"/>
      <c r="AT33" s="1627"/>
    </row>
    <row r="34" spans="1:46" x14ac:dyDescent="0.25">
      <c r="A34" s="2205"/>
      <c r="B34" s="644">
        <v>2</v>
      </c>
      <c r="C34" s="1614"/>
      <c r="D34" s="1614"/>
      <c r="E34" s="1614"/>
      <c r="F34" s="1615"/>
      <c r="G34" s="1616"/>
      <c r="H34" s="1599"/>
      <c r="I34" s="1622"/>
      <c r="J34" s="1627"/>
      <c r="K34" s="1601"/>
      <c r="L34" s="1619"/>
      <c r="M34" s="1595"/>
      <c r="N34" s="1595"/>
      <c r="O34" s="1615"/>
      <c r="P34" s="1620"/>
      <c r="Q34" s="1599"/>
      <c r="R34" s="1595"/>
      <c r="S34" s="1627"/>
      <c r="T34" s="1601"/>
      <c r="U34" s="1619"/>
      <c r="V34" s="1595"/>
      <c r="W34" s="1595">
        <v>35</v>
      </c>
      <c r="X34" s="1615"/>
      <c r="Y34" s="1610"/>
      <c r="Z34" s="1610"/>
      <c r="AA34" s="1622" t="s">
        <v>152</v>
      </c>
      <c r="AB34" s="1627"/>
      <c r="AC34" s="1601"/>
      <c r="AD34" s="1619"/>
      <c r="AE34" s="1595"/>
      <c r="AF34" s="1595"/>
      <c r="AG34" s="1615"/>
      <c r="AH34" s="1620"/>
      <c r="AI34" s="1595"/>
      <c r="AJ34" s="1610"/>
      <c r="AK34" s="1627"/>
      <c r="AL34" s="1611"/>
      <c r="AM34" s="1619"/>
      <c r="AN34" s="1595"/>
      <c r="AO34" s="1595"/>
      <c r="AP34" s="1615"/>
      <c r="AQ34" s="1620"/>
      <c r="AR34" s="1595"/>
      <c r="AS34" s="1632"/>
      <c r="AT34" s="1627"/>
    </row>
    <row r="35" spans="1:46" x14ac:dyDescent="0.25">
      <c r="A35" s="2206">
        <v>45825</v>
      </c>
      <c r="B35" s="574">
        <v>1</v>
      </c>
      <c r="C35" s="1614"/>
      <c r="D35" s="1614"/>
      <c r="E35" s="1628">
        <v>15</v>
      </c>
      <c r="F35" s="1615"/>
      <c r="G35" s="1647"/>
      <c r="H35" s="1689"/>
      <c r="I35" s="1630" t="s">
        <v>152</v>
      </c>
      <c r="J35" s="1627"/>
      <c r="K35" s="1601"/>
      <c r="L35" s="1619"/>
      <c r="M35" s="1595"/>
      <c r="N35" s="1595"/>
      <c r="O35" s="1615"/>
      <c r="P35" s="1647"/>
      <c r="Q35" s="1642"/>
      <c r="R35" s="1599"/>
      <c r="S35" s="1627"/>
      <c r="T35" s="1601"/>
      <c r="U35" s="1619"/>
      <c r="V35" s="1595"/>
      <c r="W35" s="1628">
        <v>17</v>
      </c>
      <c r="X35" s="1615"/>
      <c r="Y35" s="1647"/>
      <c r="Z35" s="1610"/>
      <c r="AA35" s="1622" t="s">
        <v>152</v>
      </c>
      <c r="AB35" s="1627"/>
      <c r="AC35" s="1601"/>
      <c r="AD35" s="1619"/>
      <c r="AE35" s="1595"/>
      <c r="AF35" s="1595"/>
      <c r="AG35" s="1615"/>
      <c r="AH35" s="1647"/>
      <c r="AI35" s="1595"/>
      <c r="AJ35" s="1616"/>
      <c r="AK35" s="1627"/>
      <c r="AL35" s="1611"/>
      <c r="AM35" s="1619"/>
      <c r="AN35" s="1595"/>
      <c r="AO35" s="1628"/>
      <c r="AP35" s="1615"/>
      <c r="AQ35" s="1647"/>
      <c r="AR35" s="1630"/>
      <c r="AS35" s="1632"/>
      <c r="AT35" s="1627"/>
    </row>
    <row r="36" spans="1:46" ht="25.5" x14ac:dyDescent="0.25">
      <c r="A36" s="2205"/>
      <c r="B36" s="574">
        <v>2</v>
      </c>
      <c r="C36" s="1628"/>
      <c r="D36" s="1595"/>
      <c r="E36" s="1628"/>
      <c r="F36" s="1615"/>
      <c r="G36" s="1630"/>
      <c r="H36" s="1691"/>
      <c r="I36" s="1688"/>
      <c r="J36" s="1627"/>
      <c r="K36" s="1601"/>
      <c r="L36" s="1647"/>
      <c r="M36" s="1595"/>
      <c r="N36" s="1595"/>
      <c r="O36" s="1615"/>
      <c r="P36" s="1647"/>
      <c r="Q36" s="1599"/>
      <c r="R36" s="1610"/>
      <c r="S36" s="1627"/>
      <c r="T36" s="1601"/>
      <c r="U36" s="1619">
        <v>467</v>
      </c>
      <c r="V36" s="1595">
        <v>52</v>
      </c>
      <c r="W36" s="1595"/>
      <c r="X36" s="1615"/>
      <c r="Y36" s="1620" t="s">
        <v>1077</v>
      </c>
      <c r="Z36" s="1610" t="s">
        <v>513</v>
      </c>
      <c r="AA36" s="1622"/>
      <c r="AB36" s="1627"/>
      <c r="AC36" s="1601"/>
      <c r="AD36" s="1619"/>
      <c r="AE36" s="1595"/>
      <c r="AF36" s="1628">
        <v>24</v>
      </c>
      <c r="AG36" s="1615"/>
      <c r="AH36" s="1647"/>
      <c r="AI36" s="1610"/>
      <c r="AJ36" s="1622" t="s">
        <v>325</v>
      </c>
      <c r="AK36" s="1627"/>
      <c r="AL36" s="1611"/>
      <c r="AM36" s="1619"/>
      <c r="AN36" s="1595"/>
      <c r="AO36" s="1619"/>
      <c r="AP36" s="1615"/>
      <c r="AQ36" s="1620"/>
      <c r="AR36" s="1685"/>
      <c r="AS36" s="1647"/>
      <c r="AT36" s="1627"/>
    </row>
    <row r="37" spans="1:46" ht="25.5" x14ac:dyDescent="0.25">
      <c r="A37" s="1684"/>
      <c r="B37" s="574">
        <v>2</v>
      </c>
      <c r="C37" s="1628"/>
      <c r="D37" s="1614">
        <v>180</v>
      </c>
      <c r="E37" s="1628"/>
      <c r="F37" s="1645"/>
      <c r="G37" s="1630"/>
      <c r="H37" s="1692" t="s">
        <v>317</v>
      </c>
      <c r="I37" s="1688"/>
      <c r="J37" s="1627"/>
      <c r="K37" s="1601"/>
      <c r="L37" s="1619"/>
      <c r="M37" s="1595"/>
      <c r="N37" s="1595"/>
      <c r="O37" s="1607"/>
      <c r="P37" s="1685"/>
      <c r="Q37" s="1685"/>
      <c r="R37" s="1595"/>
      <c r="S37" s="1627"/>
      <c r="T37" s="1601"/>
      <c r="U37" s="1619"/>
      <c r="V37" s="1595"/>
      <c r="W37" s="1595"/>
      <c r="X37" s="1607"/>
      <c r="Y37" s="1685"/>
      <c r="Z37" s="1610"/>
      <c r="AA37" s="1622"/>
      <c r="AB37" s="1627"/>
      <c r="AC37" s="1601"/>
      <c r="AD37" s="1619"/>
      <c r="AE37" s="1595"/>
      <c r="AF37" s="1595"/>
      <c r="AG37" s="1607"/>
      <c r="AH37" s="1685"/>
      <c r="AI37" s="1595"/>
      <c r="AJ37" s="1622"/>
      <c r="AK37" s="1627"/>
      <c r="AL37" s="1611"/>
      <c r="AM37" s="1619"/>
      <c r="AN37" s="1595"/>
      <c r="AO37" s="1595"/>
      <c r="AP37" s="1607"/>
      <c r="AQ37" s="1685"/>
      <c r="AR37" s="1595"/>
      <c r="AS37" s="1647"/>
      <c r="AT37" s="1627"/>
    </row>
    <row r="38" spans="1:46" ht="25.5" x14ac:dyDescent="0.25">
      <c r="A38" s="2206">
        <v>45827</v>
      </c>
      <c r="B38" s="574">
        <v>1</v>
      </c>
      <c r="C38" s="1628"/>
      <c r="D38" s="1614"/>
      <c r="E38" s="1628"/>
      <c r="F38" s="1645">
        <v>20</v>
      </c>
      <c r="G38" s="1630"/>
      <c r="H38" s="1692"/>
      <c r="I38" s="1688"/>
      <c r="J38" s="1627" t="s">
        <v>317</v>
      </c>
      <c r="K38" s="1601"/>
      <c r="L38" s="1619"/>
      <c r="M38" s="1595"/>
      <c r="N38" s="1595"/>
      <c r="O38" s="1615"/>
      <c r="P38" s="1630"/>
      <c r="Q38" s="1598"/>
      <c r="R38" s="1595"/>
      <c r="S38" s="1627"/>
      <c r="T38" s="1601"/>
      <c r="U38" s="1619"/>
      <c r="V38" s="1595"/>
      <c r="W38" s="1595"/>
      <c r="X38" s="1615"/>
      <c r="Y38" s="1620"/>
      <c r="Z38" s="1598"/>
      <c r="AA38" s="1622"/>
      <c r="AB38" s="1627"/>
      <c r="AC38" s="1601"/>
      <c r="AD38" s="1619"/>
      <c r="AE38" s="1595"/>
      <c r="AF38" s="1595"/>
      <c r="AG38" s="1615"/>
      <c r="AH38" s="1630"/>
      <c r="AI38" s="1598"/>
      <c r="AJ38" s="1622"/>
      <c r="AK38" s="1627"/>
      <c r="AL38" s="1611"/>
      <c r="AM38" s="1619"/>
      <c r="AN38" s="1595"/>
      <c r="AO38" s="1595"/>
      <c r="AP38" s="1630"/>
      <c r="AQ38" s="1599"/>
      <c r="AR38" s="1630"/>
      <c r="AS38" s="1622"/>
      <c r="AT38" s="1618"/>
    </row>
    <row r="39" spans="1:46" ht="25.5" x14ac:dyDescent="0.25">
      <c r="A39" s="2205"/>
      <c r="B39" s="574">
        <v>2</v>
      </c>
      <c r="C39" s="1614"/>
      <c r="D39" s="1614"/>
      <c r="E39" s="1614">
        <v>16</v>
      </c>
      <c r="F39" s="1607">
        <v>299</v>
      </c>
      <c r="G39" s="1630"/>
      <c r="H39" s="1693"/>
      <c r="I39" s="1686" t="s">
        <v>152</v>
      </c>
      <c r="J39" s="1627" t="s">
        <v>975</v>
      </c>
      <c r="K39" s="1601"/>
      <c r="L39" s="1619"/>
      <c r="M39" s="1595"/>
      <c r="N39" s="1595"/>
      <c r="O39" s="1607">
        <v>299</v>
      </c>
      <c r="P39" s="1597"/>
      <c r="Q39" s="1598"/>
      <c r="R39" s="1630"/>
      <c r="S39" s="1627" t="s">
        <v>975</v>
      </c>
      <c r="T39" s="1601"/>
      <c r="U39" s="1619"/>
      <c r="V39" s="1595"/>
      <c r="W39" s="1595">
        <v>28</v>
      </c>
      <c r="X39" s="1607">
        <v>299</v>
      </c>
      <c r="Y39" s="1597"/>
      <c r="Z39" s="1598"/>
      <c r="AA39" s="1622" t="s">
        <v>152</v>
      </c>
      <c r="AB39" s="1627" t="s">
        <v>975</v>
      </c>
      <c r="AC39" s="1601"/>
      <c r="AD39" s="1619"/>
      <c r="AE39" s="1595"/>
      <c r="AF39" s="1595"/>
      <c r="AG39" s="1607">
        <v>299</v>
      </c>
      <c r="AH39" s="1647"/>
      <c r="AI39" s="1599"/>
      <c r="AJ39" s="1622"/>
      <c r="AK39" s="1627" t="s">
        <v>975</v>
      </c>
      <c r="AL39" s="1611"/>
      <c r="AM39" s="1647"/>
      <c r="AN39" s="1595"/>
      <c r="AO39" s="1595"/>
      <c r="AP39" s="1607">
        <v>299</v>
      </c>
      <c r="AQ39" s="1597"/>
      <c r="AR39" s="1598"/>
      <c r="AS39" s="1630"/>
      <c r="AT39" s="1627" t="s">
        <v>975</v>
      </c>
    </row>
    <row r="40" spans="1:46" ht="25.5" x14ac:dyDescent="0.25">
      <c r="A40" s="2206">
        <v>45828</v>
      </c>
      <c r="B40" s="644">
        <v>1</v>
      </c>
      <c r="C40" s="1613"/>
      <c r="D40" s="1614"/>
      <c r="E40" s="1614">
        <v>16</v>
      </c>
      <c r="F40" s="1607">
        <v>720</v>
      </c>
      <c r="G40" s="1597"/>
      <c r="H40" s="1690"/>
      <c r="I40" s="1599" t="s">
        <v>152</v>
      </c>
      <c r="J40" s="1627" t="s">
        <v>975</v>
      </c>
      <c r="K40" s="1601"/>
      <c r="L40" s="1619"/>
      <c r="M40" s="1595"/>
      <c r="N40" s="1595"/>
      <c r="O40" s="1607">
        <v>720</v>
      </c>
      <c r="P40" s="1620"/>
      <c r="Q40" s="1595"/>
      <c r="R40" s="1630"/>
      <c r="S40" s="1627" t="s">
        <v>975</v>
      </c>
      <c r="T40" s="1601"/>
      <c r="U40" s="1619"/>
      <c r="V40" s="1595"/>
      <c r="W40" s="1595">
        <v>28</v>
      </c>
      <c r="X40" s="1607">
        <v>720</v>
      </c>
      <c r="Y40" s="1620"/>
      <c r="Z40" s="1610"/>
      <c r="AA40" s="1622" t="s">
        <v>152</v>
      </c>
      <c r="AB40" s="1627" t="s">
        <v>975</v>
      </c>
      <c r="AC40" s="1601"/>
      <c r="AD40" s="1619"/>
      <c r="AE40" s="1595"/>
      <c r="AF40" s="1595"/>
      <c r="AG40" s="1607">
        <v>720</v>
      </c>
      <c r="AH40" s="1647"/>
      <c r="AI40" s="1610"/>
      <c r="AJ40" s="1595"/>
      <c r="AK40" s="1627" t="s">
        <v>975</v>
      </c>
      <c r="AL40" s="1611"/>
      <c r="AM40" s="1619"/>
      <c r="AN40" s="1595"/>
      <c r="AO40" s="1595"/>
      <c r="AP40" s="1607">
        <v>720</v>
      </c>
      <c r="AQ40" s="1620"/>
      <c r="AR40" s="1610"/>
      <c r="AS40" s="1630"/>
      <c r="AT40" s="1627" t="s">
        <v>975</v>
      </c>
    </row>
    <row r="41" spans="1:46" ht="25.5" x14ac:dyDescent="0.25">
      <c r="A41" s="2205"/>
      <c r="B41" s="574">
        <v>2</v>
      </c>
      <c r="C41" s="1614"/>
      <c r="D41" s="1614"/>
      <c r="E41" s="1614"/>
      <c r="F41" s="1607">
        <v>720</v>
      </c>
      <c r="G41" s="1597"/>
      <c r="H41" s="1599"/>
      <c r="I41" s="1630"/>
      <c r="J41" s="1627" t="s">
        <v>975</v>
      </c>
      <c r="K41" s="1601"/>
      <c r="L41" s="1619"/>
      <c r="M41" s="1595"/>
      <c r="N41" s="1595"/>
      <c r="O41" s="1607">
        <v>720</v>
      </c>
      <c r="P41" s="1620"/>
      <c r="Q41" s="1610"/>
      <c r="R41" s="1595"/>
      <c r="S41" s="1627" t="s">
        <v>975</v>
      </c>
      <c r="T41" s="1601"/>
      <c r="U41" s="1619"/>
      <c r="V41" s="1595"/>
      <c r="W41" s="1595"/>
      <c r="X41" s="1607">
        <v>720</v>
      </c>
      <c r="Y41" s="1687"/>
      <c r="Z41" s="1595"/>
      <c r="AA41" s="1622"/>
      <c r="AB41" s="1627" t="s">
        <v>975</v>
      </c>
      <c r="AC41" s="1601"/>
      <c r="AD41" s="1619"/>
      <c r="AE41" s="1595"/>
      <c r="AF41" s="1595"/>
      <c r="AG41" s="1607">
        <v>720</v>
      </c>
      <c r="AH41" s="1647"/>
      <c r="AI41" s="1610"/>
      <c r="AJ41" s="1595"/>
      <c r="AK41" s="1627" t="s">
        <v>975</v>
      </c>
      <c r="AL41" s="1611"/>
      <c r="AM41" s="1619"/>
      <c r="AN41" s="1595"/>
      <c r="AO41" s="1595"/>
      <c r="AP41" s="1607">
        <v>720</v>
      </c>
      <c r="AQ41" s="1620"/>
      <c r="AR41" s="1595"/>
      <c r="AS41" s="1595"/>
      <c r="AT41" s="1627" t="s">
        <v>975</v>
      </c>
    </row>
    <row r="42" spans="1:46" ht="25.5" x14ac:dyDescent="0.25">
      <c r="A42" s="2206">
        <v>45829</v>
      </c>
      <c r="B42" s="574">
        <v>1</v>
      </c>
      <c r="C42" s="1614"/>
      <c r="D42" s="1614"/>
      <c r="E42" s="1614"/>
      <c r="F42" s="1607">
        <v>720</v>
      </c>
      <c r="G42" s="1598"/>
      <c r="H42" s="1598"/>
      <c r="I42" s="1617"/>
      <c r="J42" s="1627" t="s">
        <v>975</v>
      </c>
      <c r="K42" s="1601"/>
      <c r="L42" s="1619"/>
      <c r="M42" s="1595"/>
      <c r="N42" s="1595"/>
      <c r="O42" s="1607">
        <v>720</v>
      </c>
      <c r="P42" s="1620"/>
      <c r="Q42" s="1595"/>
      <c r="R42" s="1595"/>
      <c r="S42" s="1627" t="s">
        <v>975</v>
      </c>
      <c r="T42" s="1601"/>
      <c r="U42" s="1619"/>
      <c r="V42" s="1595"/>
      <c r="W42" s="1595"/>
      <c r="X42" s="1607">
        <v>720</v>
      </c>
      <c r="Y42" s="1620"/>
      <c r="Z42" s="1595"/>
      <c r="AA42" s="1622"/>
      <c r="AB42" s="1627" t="s">
        <v>975</v>
      </c>
      <c r="AC42" s="1601"/>
      <c r="AD42" s="1619"/>
      <c r="AE42" s="1595"/>
      <c r="AF42" s="1595"/>
      <c r="AG42" s="1607">
        <v>720</v>
      </c>
      <c r="AH42" s="1647"/>
      <c r="AI42" s="1610"/>
      <c r="AJ42" s="1595"/>
      <c r="AK42" s="1627" t="s">
        <v>975</v>
      </c>
      <c r="AL42" s="1611"/>
      <c r="AM42" s="1619"/>
      <c r="AN42" s="1595"/>
      <c r="AO42" s="1595"/>
      <c r="AP42" s="1607">
        <v>720</v>
      </c>
      <c r="AQ42" s="1610"/>
      <c r="AR42" s="1599"/>
      <c r="AS42" s="1595"/>
      <c r="AT42" s="1627" t="s">
        <v>975</v>
      </c>
    </row>
    <row r="43" spans="1:46" ht="25.5" x14ac:dyDescent="0.25">
      <c r="A43" s="2205"/>
      <c r="B43" s="574">
        <v>2</v>
      </c>
      <c r="C43" s="1614"/>
      <c r="D43" s="1614"/>
      <c r="E43" s="1614"/>
      <c r="F43" s="1607">
        <v>720</v>
      </c>
      <c r="G43" s="1598"/>
      <c r="H43" s="1687"/>
      <c r="I43" s="1687"/>
      <c r="J43" s="1627" t="s">
        <v>975</v>
      </c>
      <c r="K43" s="1601"/>
      <c r="L43" s="1619"/>
      <c r="M43" s="1595"/>
      <c r="N43" s="1595"/>
      <c r="O43" s="1607">
        <v>720</v>
      </c>
      <c r="P43" s="1687"/>
      <c r="Q43" s="1595"/>
      <c r="R43" s="1610"/>
      <c r="S43" s="1627" t="s">
        <v>975</v>
      </c>
      <c r="T43" s="1601"/>
      <c r="U43" s="1619"/>
      <c r="V43" s="1595"/>
      <c r="W43" s="1614"/>
      <c r="X43" s="1607">
        <v>720</v>
      </c>
      <c r="Y43" s="1598"/>
      <c r="Z43" s="1599"/>
      <c r="AA43" s="1622"/>
      <c r="AB43" s="1627" t="s">
        <v>975</v>
      </c>
      <c r="AC43" s="1601"/>
      <c r="AD43" s="1619"/>
      <c r="AE43" s="1595"/>
      <c r="AF43" s="1595"/>
      <c r="AG43" s="1607">
        <v>720</v>
      </c>
      <c r="AH43" s="1647"/>
      <c r="AI43" s="1610"/>
      <c r="AJ43" s="1595"/>
      <c r="AK43" s="1627" t="s">
        <v>975</v>
      </c>
      <c r="AL43" s="1611"/>
      <c r="AM43" s="1619"/>
      <c r="AN43" s="1595"/>
      <c r="AO43" s="1595"/>
      <c r="AP43" s="1607">
        <v>720</v>
      </c>
      <c r="AQ43" s="1620"/>
      <c r="AR43" s="1610"/>
      <c r="AS43" s="1610"/>
      <c r="AT43" s="1627" t="s">
        <v>975</v>
      </c>
    </row>
    <row r="44" spans="1:46" ht="25.5" x14ac:dyDescent="0.25">
      <c r="A44" s="2206">
        <v>45830</v>
      </c>
      <c r="B44" s="574">
        <v>1</v>
      </c>
      <c r="C44" s="1614"/>
      <c r="D44" s="1614"/>
      <c r="E44" s="1614"/>
      <c r="F44" s="1615">
        <v>224</v>
      </c>
      <c r="G44" s="1598"/>
      <c r="H44" s="1598"/>
      <c r="I44" s="1630"/>
      <c r="J44" s="1627" t="s">
        <v>975</v>
      </c>
      <c r="K44" s="1601"/>
      <c r="L44" s="1619"/>
      <c r="M44" s="1595"/>
      <c r="N44" s="1595"/>
      <c r="O44" s="1607">
        <v>220</v>
      </c>
      <c r="P44" s="1620"/>
      <c r="Q44" s="1610"/>
      <c r="R44" s="1595"/>
      <c r="S44" s="1627" t="s">
        <v>975</v>
      </c>
      <c r="T44" s="1601"/>
      <c r="U44" s="1619"/>
      <c r="V44" s="1610"/>
      <c r="W44" s="1595">
        <v>17</v>
      </c>
      <c r="X44" s="1607">
        <v>232</v>
      </c>
      <c r="Y44" s="1598"/>
      <c r="Z44" s="1610"/>
      <c r="AA44" s="1610" t="s">
        <v>152</v>
      </c>
      <c r="AB44" s="1627" t="s">
        <v>975</v>
      </c>
      <c r="AC44" s="1601"/>
      <c r="AD44" s="1619"/>
      <c r="AE44" s="1595"/>
      <c r="AF44" s="1595"/>
      <c r="AG44" s="1607">
        <v>192</v>
      </c>
      <c r="AH44" s="1620"/>
      <c r="AI44" s="1610"/>
      <c r="AJ44" s="1610"/>
      <c r="AK44" s="1627" t="s">
        <v>975</v>
      </c>
      <c r="AL44" s="1611"/>
      <c r="AM44" s="1619"/>
      <c r="AN44" s="1595"/>
      <c r="AO44" s="1595"/>
      <c r="AP44" s="1607">
        <v>187</v>
      </c>
      <c r="AQ44" s="1620"/>
      <c r="AR44" s="1610"/>
      <c r="AS44" s="1595"/>
      <c r="AT44" s="1627" t="s">
        <v>975</v>
      </c>
    </row>
    <row r="45" spans="1:46" ht="25.5" x14ac:dyDescent="0.25">
      <c r="A45" s="2205"/>
      <c r="B45" s="574">
        <v>2</v>
      </c>
      <c r="C45" s="1614"/>
      <c r="D45" s="1614">
        <v>114</v>
      </c>
      <c r="E45" s="1614"/>
      <c r="F45" s="1615"/>
      <c r="G45" s="1598"/>
      <c r="H45" s="1598"/>
      <c r="I45" s="1617" t="s">
        <v>1115</v>
      </c>
      <c r="J45" s="1627"/>
      <c r="K45" s="1601"/>
      <c r="L45" s="1619"/>
      <c r="M45" s="1595"/>
      <c r="N45" s="1595"/>
      <c r="O45" s="1697"/>
      <c r="P45" s="1620"/>
      <c r="Q45" s="1599"/>
      <c r="R45" s="1610"/>
      <c r="S45" s="1627"/>
      <c r="T45" s="1601"/>
      <c r="U45" s="1619"/>
      <c r="V45" s="1595"/>
      <c r="W45" s="1595">
        <v>17</v>
      </c>
      <c r="X45" s="1607">
        <v>8</v>
      </c>
      <c r="Y45" s="1595"/>
      <c r="Z45" s="1595"/>
      <c r="AA45" s="1610" t="s">
        <v>1106</v>
      </c>
      <c r="AB45" s="1627" t="s">
        <v>317</v>
      </c>
      <c r="AC45" s="1601"/>
      <c r="AD45" s="1619"/>
      <c r="AE45" s="1595"/>
      <c r="AF45" s="1595"/>
      <c r="AG45" s="1607"/>
      <c r="AH45" s="1694"/>
      <c r="AI45" s="1610"/>
      <c r="AJ45" s="1622"/>
      <c r="AK45" s="1627"/>
      <c r="AL45" s="1611"/>
      <c r="AM45" s="1619"/>
      <c r="AN45" s="1595"/>
      <c r="AO45" s="1595"/>
      <c r="AP45" s="1607"/>
      <c r="AQ45" s="1620"/>
      <c r="AR45" s="1599"/>
      <c r="AS45" s="1595"/>
      <c r="AT45" s="1627"/>
    </row>
    <row r="46" spans="1:46" ht="25.5" x14ac:dyDescent="0.25">
      <c r="A46" s="2206">
        <v>45831</v>
      </c>
      <c r="B46" s="574">
        <v>1</v>
      </c>
      <c r="C46" s="1614"/>
      <c r="D46" s="1614"/>
      <c r="E46" s="1614">
        <v>61</v>
      </c>
      <c r="F46" s="1615"/>
      <c r="G46" s="1598"/>
      <c r="H46" s="1599"/>
      <c r="I46" s="1617" t="s">
        <v>1103</v>
      </c>
      <c r="J46" s="1618"/>
      <c r="K46" s="1601"/>
      <c r="L46" s="1619"/>
      <c r="M46" s="1595"/>
      <c r="N46" s="1595"/>
      <c r="O46" s="1607"/>
      <c r="P46" s="1620"/>
      <c r="Q46" s="1595"/>
      <c r="R46" s="1595"/>
      <c r="S46" s="1627"/>
      <c r="T46" s="1601"/>
      <c r="U46" s="1619"/>
      <c r="V46" s="1595"/>
      <c r="W46" s="1595">
        <v>45</v>
      </c>
      <c r="X46" s="1607">
        <v>46</v>
      </c>
      <c r="Y46" s="1598"/>
      <c r="Z46" s="1610"/>
      <c r="AA46" s="1610" t="s">
        <v>1103</v>
      </c>
      <c r="AB46" s="1627" t="s">
        <v>317</v>
      </c>
      <c r="AC46" s="1601"/>
      <c r="AD46" s="1619"/>
      <c r="AE46" s="1595"/>
      <c r="AF46" s="1595">
        <v>35</v>
      </c>
      <c r="AG46" s="1607"/>
      <c r="AH46" s="1694"/>
      <c r="AI46" s="1599"/>
      <c r="AJ46" s="1622" t="s">
        <v>1103</v>
      </c>
      <c r="AK46" s="1607"/>
      <c r="AL46" s="1611"/>
      <c r="AM46" s="1619"/>
      <c r="AN46" s="1595"/>
      <c r="AO46" s="1595">
        <v>8</v>
      </c>
      <c r="AP46" s="1607">
        <v>46</v>
      </c>
      <c r="AQ46" s="1620"/>
      <c r="AR46" s="1599"/>
      <c r="AS46" s="1595" t="s">
        <v>325</v>
      </c>
      <c r="AT46" s="1696" t="s">
        <v>317</v>
      </c>
    </row>
    <row r="47" spans="1:46" ht="25.5" x14ac:dyDescent="0.25">
      <c r="A47" s="2205"/>
      <c r="B47" s="574">
        <v>2</v>
      </c>
      <c r="C47" s="1614"/>
      <c r="D47" s="1614"/>
      <c r="E47" s="1614"/>
      <c r="F47" s="1615">
        <v>654</v>
      </c>
      <c r="G47" s="1599"/>
      <c r="H47" s="1599"/>
      <c r="I47" s="1630"/>
      <c r="J47" s="1627" t="s">
        <v>975</v>
      </c>
      <c r="K47" s="1601"/>
      <c r="L47" s="1619"/>
      <c r="M47" s="1595"/>
      <c r="N47" s="1595"/>
      <c r="O47" s="1615">
        <v>648</v>
      </c>
      <c r="P47" s="1599"/>
      <c r="Q47" s="1599"/>
      <c r="R47" s="1630"/>
      <c r="S47" s="1627" t="s">
        <v>975</v>
      </c>
      <c r="T47" s="1601"/>
      <c r="U47" s="1619"/>
      <c r="V47" s="1595"/>
      <c r="W47" s="1595"/>
      <c r="X47" s="1615">
        <v>652</v>
      </c>
      <c r="Y47" s="1599"/>
      <c r="Z47" s="1599"/>
      <c r="AA47" s="1630"/>
      <c r="AB47" s="1627" t="s">
        <v>975</v>
      </c>
      <c r="AC47" s="1601"/>
      <c r="AD47" s="1619"/>
      <c r="AE47" s="1595"/>
      <c r="AF47" s="1595"/>
      <c r="AG47" s="1615">
        <v>653</v>
      </c>
      <c r="AH47" s="1599"/>
      <c r="AI47" s="1599"/>
      <c r="AJ47" s="1630"/>
      <c r="AK47" s="1627" t="s">
        <v>975</v>
      </c>
      <c r="AL47" s="1611"/>
      <c r="AM47" s="1619"/>
      <c r="AN47" s="1595"/>
      <c r="AO47" s="1619"/>
      <c r="AP47" s="1595">
        <v>650</v>
      </c>
      <c r="AQ47" s="1615"/>
      <c r="AR47" s="1599"/>
      <c r="AS47" s="1599"/>
      <c r="AT47" s="1627" t="s">
        <v>975</v>
      </c>
    </row>
    <row r="48" spans="1:46" ht="25.5" x14ac:dyDescent="0.25">
      <c r="A48" s="2206">
        <v>45832</v>
      </c>
      <c r="B48" s="574">
        <v>1</v>
      </c>
      <c r="C48" s="1614"/>
      <c r="D48" s="1614"/>
      <c r="E48" s="1614"/>
      <c r="F48" s="1615">
        <v>720</v>
      </c>
      <c r="G48" s="1599"/>
      <c r="H48" s="1598"/>
      <c r="I48" s="1617"/>
      <c r="J48" s="1627" t="s">
        <v>975</v>
      </c>
      <c r="K48" s="1601"/>
      <c r="L48" s="1619"/>
      <c r="M48" s="1595"/>
      <c r="N48" s="1595"/>
      <c r="O48" s="1615">
        <v>720</v>
      </c>
      <c r="P48" s="1599"/>
      <c r="Q48" s="1598"/>
      <c r="R48" s="1630"/>
      <c r="S48" s="1627" t="s">
        <v>975</v>
      </c>
      <c r="T48" s="1601"/>
      <c r="U48" s="1619"/>
      <c r="V48" s="1595"/>
      <c r="W48" s="1595"/>
      <c r="X48" s="1615">
        <v>720</v>
      </c>
      <c r="Y48" s="1599"/>
      <c r="Z48" s="1610"/>
      <c r="AA48" s="1610"/>
      <c r="AB48" s="1627" t="s">
        <v>975</v>
      </c>
      <c r="AC48" s="1601"/>
      <c r="AD48" s="1619"/>
      <c r="AE48" s="1595"/>
      <c r="AF48" s="1595"/>
      <c r="AG48" s="1615">
        <v>720</v>
      </c>
      <c r="AH48" s="1599"/>
      <c r="AI48" s="1598"/>
      <c r="AJ48" s="1630"/>
      <c r="AK48" s="1627" t="s">
        <v>975</v>
      </c>
      <c r="AL48" s="1611"/>
      <c r="AM48" s="1619"/>
      <c r="AN48" s="1595"/>
      <c r="AO48" s="1595"/>
      <c r="AP48" s="1599">
        <v>720</v>
      </c>
      <c r="AQ48" s="1598"/>
      <c r="AR48" s="1630"/>
      <c r="AS48" s="1627"/>
      <c r="AT48" s="1627" t="s">
        <v>975</v>
      </c>
    </row>
    <row r="49" spans="1:46" ht="25.5" x14ac:dyDescent="0.25">
      <c r="A49" s="2205"/>
      <c r="B49" s="574">
        <v>2</v>
      </c>
      <c r="C49" s="1614"/>
      <c r="D49" s="1614"/>
      <c r="E49" s="1614"/>
      <c r="F49" s="1615">
        <v>720</v>
      </c>
      <c r="G49" s="1599"/>
      <c r="H49" s="1598"/>
      <c r="I49" s="1617"/>
      <c r="J49" s="1627" t="s">
        <v>975</v>
      </c>
      <c r="K49" s="1601"/>
      <c r="L49" s="1619"/>
      <c r="M49" s="1595"/>
      <c r="N49" s="1595"/>
      <c r="O49" s="1615">
        <v>720</v>
      </c>
      <c r="P49" s="1599"/>
      <c r="Q49" s="1598"/>
      <c r="R49" s="1630"/>
      <c r="S49" s="1627" t="s">
        <v>975</v>
      </c>
      <c r="T49" s="1601"/>
      <c r="U49" s="1619"/>
      <c r="V49" s="1595"/>
      <c r="W49" s="1595"/>
      <c r="X49" s="1615">
        <v>720</v>
      </c>
      <c r="Y49" s="1599"/>
      <c r="Z49" s="1610"/>
      <c r="AA49" s="1610"/>
      <c r="AB49" s="1627" t="s">
        <v>975</v>
      </c>
      <c r="AC49" s="1601"/>
      <c r="AD49" s="1619"/>
      <c r="AE49" s="1595"/>
      <c r="AF49" s="1595"/>
      <c r="AG49" s="1615">
        <v>720</v>
      </c>
      <c r="AH49" s="1599"/>
      <c r="AI49" s="1598"/>
      <c r="AJ49" s="1630"/>
      <c r="AK49" s="1627" t="s">
        <v>975</v>
      </c>
      <c r="AL49" s="1611"/>
      <c r="AM49" s="1619"/>
      <c r="AN49" s="1595"/>
      <c r="AO49" s="1595"/>
      <c r="AP49" s="1599">
        <v>720</v>
      </c>
      <c r="AQ49" s="1598"/>
      <c r="AR49" s="1630"/>
      <c r="AS49" s="1627"/>
      <c r="AT49" s="1627" t="s">
        <v>975</v>
      </c>
    </row>
    <row r="50" spans="1:46" ht="25.5" x14ac:dyDescent="0.25">
      <c r="A50" s="2206">
        <v>45833</v>
      </c>
      <c r="B50" s="574">
        <v>1</v>
      </c>
      <c r="C50" s="1614"/>
      <c r="D50" s="1614"/>
      <c r="E50" s="1614"/>
      <c r="F50" s="1615">
        <v>720</v>
      </c>
      <c r="G50" s="1598"/>
      <c r="H50" s="1598"/>
      <c r="I50" s="1617"/>
      <c r="J50" s="1627" t="s">
        <v>975</v>
      </c>
      <c r="K50" s="1601"/>
      <c r="L50" s="1619"/>
      <c r="M50" s="1595"/>
      <c r="N50" s="1595"/>
      <c r="O50" s="1615">
        <v>720</v>
      </c>
      <c r="P50" s="1598"/>
      <c r="Q50" s="1598"/>
      <c r="R50" s="1630"/>
      <c r="S50" s="1627" t="s">
        <v>975</v>
      </c>
      <c r="T50" s="1601"/>
      <c r="U50" s="1619"/>
      <c r="V50" s="1595"/>
      <c r="W50" s="1595"/>
      <c r="X50" s="1615">
        <v>720</v>
      </c>
      <c r="Y50" s="1598"/>
      <c r="Z50" s="1598"/>
      <c r="AA50" s="1622"/>
      <c r="AB50" s="1627" t="s">
        <v>975</v>
      </c>
      <c r="AC50" s="1601"/>
      <c r="AD50" s="1619"/>
      <c r="AE50" s="1595"/>
      <c r="AF50" s="1595"/>
      <c r="AG50" s="1615">
        <v>720</v>
      </c>
      <c r="AH50" s="1598"/>
      <c r="AI50" s="1598"/>
      <c r="AJ50" s="1630"/>
      <c r="AK50" s="1627" t="s">
        <v>975</v>
      </c>
      <c r="AL50" s="1611"/>
      <c r="AM50" s="1619"/>
      <c r="AN50" s="1595"/>
      <c r="AO50" s="1595"/>
      <c r="AP50" s="1598">
        <v>720</v>
      </c>
      <c r="AQ50" s="1598"/>
      <c r="AR50" s="1630"/>
      <c r="AS50" s="1627"/>
      <c r="AT50" s="1627" t="s">
        <v>975</v>
      </c>
    </row>
    <row r="51" spans="1:46" ht="25.5" x14ac:dyDescent="0.25">
      <c r="A51" s="2205"/>
      <c r="B51" s="574">
        <v>2</v>
      </c>
      <c r="C51" s="1614"/>
      <c r="D51" s="1614"/>
      <c r="E51" s="1614"/>
      <c r="F51" s="1615">
        <v>720</v>
      </c>
      <c r="G51" s="1599"/>
      <c r="H51" s="1599"/>
      <c r="I51" s="1617"/>
      <c r="J51" s="1627" t="s">
        <v>975</v>
      </c>
      <c r="K51" s="1601"/>
      <c r="L51" s="1619"/>
      <c r="M51" s="1595"/>
      <c r="N51" s="1595"/>
      <c r="O51" s="1615">
        <v>720</v>
      </c>
      <c r="P51" s="1599"/>
      <c r="Q51" s="1599"/>
      <c r="R51" s="1630"/>
      <c r="S51" s="1627" t="s">
        <v>975</v>
      </c>
      <c r="T51" s="1601"/>
      <c r="U51" s="1619"/>
      <c r="V51" s="1595"/>
      <c r="W51" s="1595"/>
      <c r="X51" s="1615">
        <v>720</v>
      </c>
      <c r="Y51" s="1599"/>
      <c r="Z51" s="1598"/>
      <c r="AA51" s="1622"/>
      <c r="AB51" s="1627" t="s">
        <v>975</v>
      </c>
      <c r="AC51" s="1601"/>
      <c r="AD51" s="1619"/>
      <c r="AE51" s="1595"/>
      <c r="AF51" s="1595"/>
      <c r="AG51" s="1615">
        <v>720</v>
      </c>
      <c r="AH51" s="1599"/>
      <c r="AI51" s="1599"/>
      <c r="AJ51" s="1630"/>
      <c r="AK51" s="1627" t="s">
        <v>975</v>
      </c>
      <c r="AL51" s="1611"/>
      <c r="AM51" s="1619"/>
      <c r="AN51" s="1607"/>
      <c r="AO51" s="1607"/>
      <c r="AP51" s="1607">
        <v>720</v>
      </c>
      <c r="AQ51" s="1620"/>
      <c r="AR51" s="1595"/>
      <c r="AS51" s="1627"/>
      <c r="AT51" s="1627" t="s">
        <v>975</v>
      </c>
    </row>
    <row r="52" spans="1:46" ht="25.5" x14ac:dyDescent="0.25">
      <c r="A52" s="2206">
        <v>45834</v>
      </c>
      <c r="B52" s="574">
        <v>1</v>
      </c>
      <c r="C52" s="1614"/>
      <c r="D52" s="1614"/>
      <c r="E52" s="1614"/>
      <c r="F52" s="1615">
        <v>720</v>
      </c>
      <c r="G52" s="1598"/>
      <c r="H52" s="1598"/>
      <c r="I52" s="1617"/>
      <c r="J52" s="1627" t="s">
        <v>975</v>
      </c>
      <c r="K52" s="1601"/>
      <c r="L52" s="1619"/>
      <c r="M52" s="1595"/>
      <c r="N52" s="1595"/>
      <c r="O52" s="1607">
        <v>720</v>
      </c>
      <c r="P52" s="1695"/>
      <c r="Q52" s="1599"/>
      <c r="R52" s="1595"/>
      <c r="S52" s="1627" t="s">
        <v>975</v>
      </c>
      <c r="T52" s="1601"/>
      <c r="U52" s="1619"/>
      <c r="V52" s="1595"/>
      <c r="W52" s="1595"/>
      <c r="X52" s="1607">
        <v>720</v>
      </c>
      <c r="Y52" s="1695"/>
      <c r="Z52" s="1595"/>
      <c r="AA52" s="1610"/>
      <c r="AB52" s="1607" t="s">
        <v>975</v>
      </c>
      <c r="AC52" s="1601"/>
      <c r="AD52" s="1619"/>
      <c r="AE52" s="1610"/>
      <c r="AF52" s="1595"/>
      <c r="AG52" s="1607">
        <v>720</v>
      </c>
      <c r="AH52" s="1620"/>
      <c r="AI52" s="1595"/>
      <c r="AJ52" s="1610"/>
      <c r="AK52" s="1607" t="s">
        <v>975</v>
      </c>
      <c r="AL52" s="1611"/>
      <c r="AM52" s="1619"/>
      <c r="AN52" s="1610"/>
      <c r="AO52" s="1595"/>
      <c r="AP52" s="1607">
        <v>720</v>
      </c>
      <c r="AQ52" s="1695"/>
      <c r="AR52" s="1595"/>
      <c r="AS52" s="1595"/>
      <c r="AT52" s="1607" t="s">
        <v>975</v>
      </c>
    </row>
    <row r="53" spans="1:46" ht="25.5" x14ac:dyDescent="0.25">
      <c r="A53" s="2205"/>
      <c r="B53" s="1565">
        <v>2</v>
      </c>
      <c r="C53" s="1614"/>
      <c r="D53" s="1614"/>
      <c r="E53" s="1614"/>
      <c r="F53" s="1615">
        <v>720</v>
      </c>
      <c r="G53" s="1598"/>
      <c r="H53" s="1599"/>
      <c r="I53" s="1630"/>
      <c r="J53" s="1627" t="s">
        <v>975</v>
      </c>
      <c r="K53" s="1601"/>
      <c r="L53" s="1619"/>
      <c r="M53" s="1595"/>
      <c r="N53" s="1595"/>
      <c r="O53" s="1615">
        <v>720</v>
      </c>
      <c r="P53" s="1598"/>
      <c r="Q53" s="1599"/>
      <c r="R53" s="1598"/>
      <c r="S53" s="1627" t="s">
        <v>975</v>
      </c>
      <c r="T53" s="1601"/>
      <c r="U53" s="1619"/>
      <c r="V53" s="1595"/>
      <c r="W53" s="1595"/>
      <c r="X53" s="1615">
        <v>720</v>
      </c>
      <c r="Y53" s="1599"/>
      <c r="Z53" s="1599"/>
      <c r="AA53" s="1599"/>
      <c r="AB53" s="1627" t="s">
        <v>975</v>
      </c>
      <c r="AC53" s="1601"/>
      <c r="AD53" s="1619"/>
      <c r="AE53" s="1595"/>
      <c r="AF53" s="1595"/>
      <c r="AG53" s="1607">
        <v>720</v>
      </c>
      <c r="AH53" s="1620"/>
      <c r="AI53" s="1599"/>
      <c r="AJ53" s="1595"/>
      <c r="AK53" s="1627" t="s">
        <v>975</v>
      </c>
      <c r="AL53" s="1611"/>
      <c r="AM53" s="1619"/>
      <c r="AN53" s="1595"/>
      <c r="AO53" s="1595"/>
      <c r="AP53" s="1615">
        <v>720</v>
      </c>
      <c r="AQ53" s="1695"/>
      <c r="AR53" s="1599"/>
      <c r="AS53" s="1598"/>
      <c r="AT53" s="1627" t="s">
        <v>975</v>
      </c>
    </row>
    <row r="54" spans="1:46" ht="25.5" customHeight="1" x14ac:dyDescent="0.25">
      <c r="A54" s="2206">
        <v>45835</v>
      </c>
      <c r="B54" s="574">
        <v>1</v>
      </c>
      <c r="C54" s="1613"/>
      <c r="D54" s="1614"/>
      <c r="E54" s="1614"/>
      <c r="F54" s="1615">
        <v>720</v>
      </c>
      <c r="G54" s="1598"/>
      <c r="H54" s="1598"/>
      <c r="I54" s="1617"/>
      <c r="J54" s="1607" t="s">
        <v>975</v>
      </c>
      <c r="K54" s="1601"/>
      <c r="L54" s="1619"/>
      <c r="M54" s="1595"/>
      <c r="N54" s="1595"/>
      <c r="O54" s="1607">
        <v>720</v>
      </c>
      <c r="P54" s="1620"/>
      <c r="Q54" s="1599"/>
      <c r="R54" s="1595"/>
      <c r="S54" s="1607" t="s">
        <v>975</v>
      </c>
      <c r="T54" s="1601"/>
      <c r="U54" s="1619"/>
      <c r="V54" s="1595"/>
      <c r="W54" s="1595"/>
      <c r="X54" s="1607">
        <v>720</v>
      </c>
      <c r="Y54" s="1620"/>
      <c r="Z54" s="1598"/>
      <c r="AA54" s="1622"/>
      <c r="AB54" s="1607" t="s">
        <v>975</v>
      </c>
      <c r="AC54" s="1601"/>
      <c r="AD54" s="1619"/>
      <c r="AE54" s="1595"/>
      <c r="AF54" s="1595"/>
      <c r="AG54" s="1607">
        <v>720</v>
      </c>
      <c r="AH54" s="1620"/>
      <c r="AI54" s="1599"/>
      <c r="AJ54" s="1610"/>
      <c r="AK54" s="1607" t="s">
        <v>975</v>
      </c>
      <c r="AL54" s="1611"/>
      <c r="AM54" s="1619"/>
      <c r="AN54" s="1595"/>
      <c r="AO54" s="1595"/>
      <c r="AP54" s="1607">
        <v>720</v>
      </c>
      <c r="AQ54" s="1620"/>
      <c r="AR54" s="1610"/>
      <c r="AS54" s="1595"/>
      <c r="AT54" s="1607" t="s">
        <v>975</v>
      </c>
    </row>
    <row r="55" spans="1:46" ht="25.5" customHeight="1" x14ac:dyDescent="0.25">
      <c r="A55" s="2205"/>
      <c r="B55" s="1565">
        <v>2</v>
      </c>
      <c r="C55" s="1655"/>
      <c r="D55" s="1656"/>
      <c r="E55" s="1656"/>
      <c r="F55" s="1657">
        <v>720</v>
      </c>
      <c r="G55" s="1664"/>
      <c r="H55" s="1664"/>
      <c r="I55" s="1671"/>
      <c r="J55" s="1660" t="s">
        <v>975</v>
      </c>
      <c r="K55" s="1661"/>
      <c r="L55" s="1662"/>
      <c r="M55" s="1663"/>
      <c r="N55" s="1663"/>
      <c r="O55" s="1657">
        <v>720</v>
      </c>
      <c r="P55" s="1664"/>
      <c r="Q55" s="1658"/>
      <c r="R55" s="1664"/>
      <c r="S55" s="1660" t="s">
        <v>975</v>
      </c>
      <c r="T55" s="1661"/>
      <c r="U55" s="1662"/>
      <c r="V55" s="1663"/>
      <c r="W55" s="1663"/>
      <c r="X55" s="1657">
        <v>720</v>
      </c>
      <c r="Y55" s="1668"/>
      <c r="Z55" s="1658"/>
      <c r="AA55" s="1666"/>
      <c r="AB55" s="1660" t="s">
        <v>975</v>
      </c>
      <c r="AC55" s="1661"/>
      <c r="AD55" s="1662"/>
      <c r="AE55" s="1663"/>
      <c r="AF55" s="1663"/>
      <c r="AG55" s="1657">
        <v>720</v>
      </c>
      <c r="AH55" s="1664"/>
      <c r="AI55" s="1658"/>
      <c r="AJ55" s="1664"/>
      <c r="AK55" s="1660" t="s">
        <v>975</v>
      </c>
      <c r="AL55" s="1667"/>
      <c r="AM55" s="1662"/>
      <c r="AN55" s="1663"/>
      <c r="AO55" s="1663"/>
      <c r="AP55" s="1657">
        <v>720</v>
      </c>
      <c r="AQ55" s="1664"/>
      <c r="AR55" s="1666"/>
      <c r="AS55" s="1663"/>
      <c r="AT55" s="1660" t="s">
        <v>975</v>
      </c>
    </row>
    <row r="56" spans="1:46" ht="25.5" customHeight="1" x14ac:dyDescent="0.25">
      <c r="A56" s="2206">
        <v>45836</v>
      </c>
      <c r="B56" s="574">
        <v>1</v>
      </c>
      <c r="C56" s="1655"/>
      <c r="D56" s="1656"/>
      <c r="E56" s="1656"/>
      <c r="F56" s="1657">
        <v>720</v>
      </c>
      <c r="G56" s="1664"/>
      <c r="H56" s="1664"/>
      <c r="I56" s="1659"/>
      <c r="J56" s="1660" t="s">
        <v>975</v>
      </c>
      <c r="K56" s="1661"/>
      <c r="L56" s="1662"/>
      <c r="M56" s="1663"/>
      <c r="N56" s="1663"/>
      <c r="O56" s="1657">
        <v>720</v>
      </c>
      <c r="P56" s="1664"/>
      <c r="Q56" s="1658"/>
      <c r="R56" s="1664"/>
      <c r="S56" s="1660" t="s">
        <v>975</v>
      </c>
      <c r="T56" s="1661"/>
      <c r="U56" s="1662"/>
      <c r="V56" s="1663"/>
      <c r="W56" s="1663"/>
      <c r="X56" s="1657">
        <v>720</v>
      </c>
      <c r="Y56" s="1664"/>
      <c r="Z56" s="1658"/>
      <c r="AA56" s="1666"/>
      <c r="AB56" s="1660" t="s">
        <v>975</v>
      </c>
      <c r="AC56" s="1661"/>
      <c r="AD56" s="1662"/>
      <c r="AE56" s="1663"/>
      <c r="AF56" s="1663"/>
      <c r="AG56" s="1657">
        <v>720</v>
      </c>
      <c r="AH56" s="1664"/>
      <c r="AI56" s="1658"/>
      <c r="AJ56" s="1664"/>
      <c r="AK56" s="1660" t="s">
        <v>975</v>
      </c>
      <c r="AL56" s="1667"/>
      <c r="AM56" s="1662"/>
      <c r="AN56" s="1663"/>
      <c r="AO56" s="1663"/>
      <c r="AP56" s="1657">
        <v>720</v>
      </c>
      <c r="AQ56" s="1664"/>
      <c r="AR56" s="1658"/>
      <c r="AS56" s="1663"/>
      <c r="AT56" s="1660" t="s">
        <v>975</v>
      </c>
    </row>
    <row r="57" spans="1:46" ht="25.5" customHeight="1" x14ac:dyDescent="0.25">
      <c r="A57" s="2205"/>
      <c r="B57" s="1565">
        <v>2</v>
      </c>
      <c r="C57" s="1655"/>
      <c r="D57" s="1656"/>
      <c r="E57" s="1656"/>
      <c r="F57" s="1657">
        <v>720</v>
      </c>
      <c r="G57" s="1664"/>
      <c r="H57" s="1664"/>
      <c r="I57" s="1671"/>
      <c r="J57" s="1660" t="s">
        <v>975</v>
      </c>
      <c r="K57" s="1661"/>
      <c r="L57" s="1662"/>
      <c r="M57" s="1663"/>
      <c r="N57" s="1663"/>
      <c r="O57" s="1657">
        <v>720</v>
      </c>
      <c r="P57" s="1664"/>
      <c r="Q57" s="1658"/>
      <c r="R57" s="1664"/>
      <c r="S57" s="1660" t="s">
        <v>975</v>
      </c>
      <c r="T57" s="1661"/>
      <c r="U57" s="1662"/>
      <c r="V57" s="1663"/>
      <c r="W57" s="1663"/>
      <c r="X57" s="1657">
        <v>720</v>
      </c>
      <c r="Y57" s="1664"/>
      <c r="Z57" s="1658"/>
      <c r="AA57" s="1666"/>
      <c r="AB57" s="1660" t="s">
        <v>975</v>
      </c>
      <c r="AC57" s="1661"/>
      <c r="AD57" s="1662"/>
      <c r="AE57" s="1663"/>
      <c r="AF57" s="1663"/>
      <c r="AG57" s="1657">
        <v>720</v>
      </c>
      <c r="AH57" s="1664"/>
      <c r="AI57" s="1658"/>
      <c r="AJ57" s="1663"/>
      <c r="AK57" s="1660" t="s">
        <v>975</v>
      </c>
      <c r="AL57" s="1667"/>
      <c r="AM57" s="1662"/>
      <c r="AN57" s="1663"/>
      <c r="AO57" s="1663"/>
      <c r="AP57" s="1657">
        <v>720</v>
      </c>
      <c r="AQ57" s="1664"/>
      <c r="AR57" s="1658"/>
      <c r="AS57" s="1663"/>
      <c r="AT57" s="1660" t="s">
        <v>975</v>
      </c>
    </row>
    <row r="58" spans="1:46" ht="25.5" customHeight="1" x14ac:dyDescent="0.25">
      <c r="A58" s="2206">
        <v>45837</v>
      </c>
      <c r="B58" s="574">
        <v>1</v>
      </c>
      <c r="C58" s="1655"/>
      <c r="D58" s="1656"/>
      <c r="E58" s="1656"/>
      <c r="F58" s="1657">
        <v>720</v>
      </c>
      <c r="G58" s="1664"/>
      <c r="H58" s="1658"/>
      <c r="I58" s="1671"/>
      <c r="J58" s="1660" t="s">
        <v>975</v>
      </c>
      <c r="K58" s="1661"/>
      <c r="L58" s="1662"/>
      <c r="M58" s="1663"/>
      <c r="N58" s="1663"/>
      <c r="O58" s="1672">
        <v>720</v>
      </c>
      <c r="P58" s="1669"/>
      <c r="Q58" s="1666"/>
      <c r="R58" s="1663"/>
      <c r="S58" s="1660" t="s">
        <v>975</v>
      </c>
      <c r="T58" s="1661"/>
      <c r="U58" s="1662"/>
      <c r="V58" s="1663"/>
      <c r="W58" s="1663"/>
      <c r="X58" s="1672">
        <v>720</v>
      </c>
      <c r="Y58" s="1669"/>
      <c r="Z58" s="1658"/>
      <c r="AA58" s="1665"/>
      <c r="AB58" s="1660" t="s">
        <v>975</v>
      </c>
      <c r="AC58" s="1661"/>
      <c r="AD58" s="1662"/>
      <c r="AE58" s="1663"/>
      <c r="AF58" s="1663"/>
      <c r="AG58" s="1672">
        <v>720</v>
      </c>
      <c r="AH58" s="1668"/>
      <c r="AI58" s="1663"/>
      <c r="AJ58" s="1664"/>
      <c r="AK58" s="1660" t="s">
        <v>975</v>
      </c>
      <c r="AL58" s="1667"/>
      <c r="AM58" s="1662"/>
      <c r="AN58" s="1663"/>
      <c r="AO58" s="1663"/>
      <c r="AP58" s="1672">
        <v>720</v>
      </c>
      <c r="AQ58" s="1668"/>
      <c r="AR58" s="1663"/>
      <c r="AS58" s="1664"/>
      <c r="AT58" s="1660" t="s">
        <v>975</v>
      </c>
    </row>
    <row r="59" spans="1:46" ht="25.5" customHeight="1" x14ac:dyDescent="0.25">
      <c r="A59" s="2205"/>
      <c r="B59" s="1565">
        <v>2</v>
      </c>
      <c r="C59" s="1655"/>
      <c r="D59" s="1656"/>
      <c r="E59" s="1656"/>
      <c r="F59" s="1657">
        <v>720</v>
      </c>
      <c r="G59" s="1658"/>
      <c r="H59" s="1664"/>
      <c r="I59" s="1671"/>
      <c r="J59" s="1660" t="s">
        <v>975</v>
      </c>
      <c r="K59" s="1661"/>
      <c r="L59" s="1662"/>
      <c r="M59" s="1663"/>
      <c r="N59" s="1663"/>
      <c r="O59" s="1672">
        <v>720</v>
      </c>
      <c r="P59" s="1669"/>
      <c r="Q59" s="1664"/>
      <c r="R59" s="1663"/>
      <c r="S59" s="1660" t="s">
        <v>975</v>
      </c>
      <c r="T59" s="1661"/>
      <c r="U59" s="1662"/>
      <c r="V59" s="1663"/>
      <c r="W59" s="1663"/>
      <c r="X59" s="1672">
        <v>720</v>
      </c>
      <c r="Y59" s="1668"/>
      <c r="Z59" s="1664"/>
      <c r="AA59" s="1666"/>
      <c r="AB59" s="1660" t="s">
        <v>975</v>
      </c>
      <c r="AC59" s="1661"/>
      <c r="AD59" s="1662"/>
      <c r="AE59" s="1663"/>
      <c r="AF59" s="1663"/>
      <c r="AG59" s="1672">
        <v>720</v>
      </c>
      <c r="AH59" s="1669"/>
      <c r="AI59" s="1664"/>
      <c r="AJ59" s="1666"/>
      <c r="AK59" s="1660" t="s">
        <v>975</v>
      </c>
      <c r="AL59" s="1667"/>
      <c r="AM59" s="1662"/>
      <c r="AN59" s="1663"/>
      <c r="AO59" s="1663"/>
      <c r="AP59" s="1672">
        <v>720</v>
      </c>
      <c r="AQ59" s="1669"/>
      <c r="AR59" s="1664"/>
      <c r="AS59" s="1663"/>
      <c r="AT59" s="1660" t="s">
        <v>975</v>
      </c>
    </row>
    <row r="60" spans="1:46" ht="25.5" customHeight="1" x14ac:dyDescent="0.25">
      <c r="A60" s="2206">
        <v>45838</v>
      </c>
      <c r="B60" s="574">
        <v>1</v>
      </c>
      <c r="C60" s="1674"/>
      <c r="D60" s="1675"/>
      <c r="E60" s="1656"/>
      <c r="F60" s="1676">
        <v>720</v>
      </c>
      <c r="G60" s="1658"/>
      <c r="H60" s="1670"/>
      <c r="I60" s="1659"/>
      <c r="J60" s="1673" t="s">
        <v>975</v>
      </c>
      <c r="K60" s="1661"/>
      <c r="L60" s="1662"/>
      <c r="M60" s="1663"/>
      <c r="N60" s="1663"/>
      <c r="O60" s="1672">
        <v>720</v>
      </c>
      <c r="P60" s="1677"/>
      <c r="Q60" s="1678"/>
      <c r="R60" s="1678"/>
      <c r="S60" s="1679" t="s">
        <v>975</v>
      </c>
      <c r="T60" s="1661"/>
      <c r="U60" s="1662"/>
      <c r="V60" s="1663"/>
      <c r="W60" s="1663"/>
      <c r="X60" s="1672">
        <v>720</v>
      </c>
      <c r="Y60" s="1668"/>
      <c r="Z60" s="1666"/>
      <c r="AA60" s="1666"/>
      <c r="AB60" s="1679" t="s">
        <v>975</v>
      </c>
      <c r="AC60" s="1661"/>
      <c r="AD60" s="1662"/>
      <c r="AE60" s="1663"/>
      <c r="AF60" s="1663"/>
      <c r="AG60" s="1672">
        <v>720</v>
      </c>
      <c r="AH60" s="1669"/>
      <c r="AI60" s="1666"/>
      <c r="AJ60" s="1666"/>
      <c r="AK60" s="1679" t="s">
        <v>975</v>
      </c>
      <c r="AL60" s="1667"/>
      <c r="AM60" s="1662"/>
      <c r="AN60" s="1663"/>
      <c r="AO60" s="1663"/>
      <c r="AP60" s="1672">
        <v>720</v>
      </c>
      <c r="AQ60" s="1668"/>
      <c r="AR60" s="1663"/>
      <c r="AS60" s="1663"/>
      <c r="AT60" s="1679" t="s">
        <v>975</v>
      </c>
    </row>
    <row r="61" spans="1:46" ht="25.5" customHeight="1" x14ac:dyDescent="0.25">
      <c r="A61" s="2205"/>
      <c r="B61" s="1565">
        <v>2</v>
      </c>
      <c r="C61" s="1674"/>
      <c r="D61" s="1675"/>
      <c r="E61" s="1675"/>
      <c r="F61" s="1676">
        <v>720</v>
      </c>
      <c r="G61" s="1680"/>
      <c r="H61" s="1670"/>
      <c r="I61" s="1671"/>
      <c r="J61" s="1673" t="s">
        <v>975</v>
      </c>
      <c r="K61" s="1661"/>
      <c r="L61" s="1662"/>
      <c r="M61" s="1663"/>
      <c r="N61" s="1663"/>
      <c r="O61" s="1672">
        <v>720</v>
      </c>
      <c r="P61" s="1677"/>
      <c r="Q61" s="1681"/>
      <c r="R61" s="1678"/>
      <c r="S61" s="1679" t="s">
        <v>975</v>
      </c>
      <c r="T61" s="1661"/>
      <c r="U61" s="1662"/>
      <c r="V61" s="1663"/>
      <c r="W61" s="1663"/>
      <c r="X61" s="1672">
        <v>720</v>
      </c>
      <c r="Y61" s="1668"/>
      <c r="Z61" s="1666"/>
      <c r="AA61" s="1665"/>
      <c r="AB61" s="1679" t="s">
        <v>975</v>
      </c>
      <c r="AC61" s="1661"/>
      <c r="AD61" s="1662"/>
      <c r="AE61" s="1663"/>
      <c r="AF61" s="1663"/>
      <c r="AG61" s="1672">
        <v>720</v>
      </c>
      <c r="AH61" s="2282"/>
      <c r="AI61" s="2283"/>
      <c r="AJ61" s="2284"/>
      <c r="AK61" s="1679" t="s">
        <v>975</v>
      </c>
      <c r="AL61" s="1667"/>
      <c r="AM61" s="1662"/>
      <c r="AN61" s="1663"/>
      <c r="AO61" s="1663"/>
      <c r="AP61" s="1672">
        <v>720</v>
      </c>
      <c r="AQ61" s="1669"/>
      <c r="AR61" s="1663"/>
      <c r="AS61" s="1666"/>
      <c r="AT61" s="1679" t="s">
        <v>975</v>
      </c>
    </row>
    <row r="62" spans="1:46" x14ac:dyDescent="0.25">
      <c r="A62" s="524" t="s">
        <v>225</v>
      </c>
      <c r="B62" s="525"/>
      <c r="C62" s="1682">
        <f>SUM(C3:C61)</f>
        <v>577</v>
      </c>
      <c r="D62" s="1683">
        <f>SUM(D3:D61)</f>
        <v>294</v>
      </c>
      <c r="E62" s="1682">
        <f>SUM(E3:E61)</f>
        <v>171</v>
      </c>
      <c r="F62" s="1683">
        <f>SUM(F3:F61)</f>
        <v>14288</v>
      </c>
      <c r="G62" s="1667"/>
      <c r="H62" s="1667"/>
      <c r="I62" s="1667"/>
      <c r="J62" s="1667"/>
      <c r="K62" s="1667"/>
      <c r="L62" s="1683">
        <f>SUM(L3:L61)</f>
        <v>0</v>
      </c>
      <c r="M62" s="1683">
        <f>SUM(M3:M61)</f>
        <v>0</v>
      </c>
      <c r="N62" s="1683">
        <f>SUM(N3:N61)</f>
        <v>0</v>
      </c>
      <c r="O62" s="1683">
        <f>SUM(O3:O61)</f>
        <v>14234</v>
      </c>
      <c r="P62" s="1667"/>
      <c r="Q62" s="1667"/>
      <c r="R62" s="1667"/>
      <c r="S62" s="1667"/>
      <c r="T62" s="1667"/>
      <c r="U62" s="1683">
        <f>SUM(U3:U61)</f>
        <v>467</v>
      </c>
      <c r="V62" s="1683">
        <f>SUM(V3:V61)</f>
        <v>52</v>
      </c>
      <c r="W62" s="1683">
        <f>SUM(W3:W61)</f>
        <v>510</v>
      </c>
      <c r="X62" s="1683">
        <f>SUM(X3:X61)</f>
        <v>14336</v>
      </c>
      <c r="Y62" s="1667"/>
      <c r="Z62" s="1667"/>
      <c r="AA62" s="1667"/>
      <c r="AB62" s="1667"/>
      <c r="AC62" s="1667"/>
      <c r="AD62" s="1683">
        <f>SUM(AD3:AD61)</f>
        <v>10</v>
      </c>
      <c r="AE62" s="1683">
        <f>SUM(AE3:AE61)</f>
        <v>0</v>
      </c>
      <c r="AF62" s="1683">
        <f>SUM(AF3:AF61)</f>
        <v>108</v>
      </c>
      <c r="AG62" s="1683">
        <f>SUM(AG3:AG61)</f>
        <v>14228</v>
      </c>
      <c r="AH62" s="1667"/>
      <c r="AI62" s="1667"/>
      <c r="AJ62" s="1667"/>
      <c r="AK62" s="1667"/>
      <c r="AL62" s="1667"/>
      <c r="AM62" s="1683">
        <f>SUM(AM3:AM61)</f>
        <v>101</v>
      </c>
      <c r="AN62" s="1683">
        <f>SUM(AN3:AN61)</f>
        <v>0</v>
      </c>
      <c r="AO62" s="1683">
        <f>SUM(AO3:AO61)</f>
        <v>97</v>
      </c>
      <c r="AP62" s="1683">
        <f>SUM(AP3:AP61)</f>
        <v>14260</v>
      </c>
      <c r="AQ62" s="1667"/>
      <c r="AR62" s="1667"/>
      <c r="AS62" s="1667"/>
      <c r="AT62" s="1667"/>
    </row>
    <row r="63" spans="1:46" x14ac:dyDescent="0.25">
      <c r="A63" s="524"/>
      <c r="B63" s="525"/>
      <c r="C63" s="524"/>
      <c r="D63" s="524"/>
      <c r="E63" s="524"/>
      <c r="F63" s="524"/>
      <c r="G63" s="524"/>
      <c r="H63" s="524"/>
      <c r="I63" s="524"/>
      <c r="J63" s="524"/>
      <c r="K63" s="524"/>
      <c r="L63" s="524"/>
      <c r="M63" s="524"/>
      <c r="N63" s="524"/>
      <c r="O63" s="524"/>
      <c r="P63" s="524"/>
      <c r="Q63" s="524"/>
      <c r="R63" s="524"/>
      <c r="S63" s="524"/>
      <c r="T63" s="524"/>
      <c r="U63" s="524"/>
      <c r="V63" s="524"/>
      <c r="W63" s="524"/>
      <c r="X63" s="524"/>
      <c r="Y63" s="524"/>
      <c r="Z63" s="524"/>
      <c r="AA63" s="524"/>
      <c r="AB63" s="524"/>
      <c r="AC63" s="524"/>
      <c r="AD63" s="524"/>
      <c r="AE63" s="524"/>
      <c r="AF63" s="524"/>
      <c r="AG63" s="524"/>
      <c r="AH63" s="524"/>
      <c r="AI63" s="524"/>
      <c r="AJ63" s="524"/>
      <c r="AK63" s="524"/>
      <c r="AL63" s="524"/>
      <c r="AM63" s="524"/>
      <c r="AN63" s="524"/>
      <c r="AO63" s="524"/>
      <c r="AP63" s="524"/>
      <c r="AQ63" s="524"/>
      <c r="AR63" s="524"/>
      <c r="AS63" s="524"/>
      <c r="AT63" s="524"/>
    </row>
    <row r="64" spans="1:46" x14ac:dyDescent="0.25">
      <c r="A64" s="524"/>
      <c r="B64" s="525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524"/>
      <c r="AI64" s="524"/>
      <c r="AJ64" s="524"/>
      <c r="AK64" s="524"/>
      <c r="AL64" s="524"/>
      <c r="AM64" s="524"/>
      <c r="AN64" s="524"/>
      <c r="AO64" s="524"/>
      <c r="AP64" s="524"/>
      <c r="AQ64" s="524"/>
      <c r="AR64" s="524"/>
      <c r="AS64" s="524"/>
      <c r="AT64" s="524"/>
    </row>
    <row r="65" spans="1:46" x14ac:dyDescent="0.25">
      <c r="A65" s="524"/>
      <c r="B65" s="525"/>
      <c r="C65" s="524"/>
      <c r="D65" s="524"/>
      <c r="E65" s="524"/>
      <c r="F65" s="524"/>
      <c r="G65" s="524"/>
      <c r="H65" s="524"/>
      <c r="I65" s="524"/>
      <c r="J65" s="524"/>
      <c r="K65" s="524"/>
      <c r="L65" s="524"/>
      <c r="M65" s="524"/>
      <c r="N65" s="524"/>
      <c r="O65" s="524"/>
      <c r="P65" s="524"/>
      <c r="Q65" s="524"/>
      <c r="R65" s="524"/>
      <c r="S65" s="524"/>
      <c r="T65" s="524"/>
      <c r="U65" s="524"/>
      <c r="V65" s="524"/>
      <c r="W65" s="524"/>
      <c r="X65" s="524"/>
      <c r="Y65" s="524"/>
      <c r="Z65" s="524"/>
      <c r="AA65" s="524"/>
      <c r="AB65" s="524"/>
      <c r="AC65" s="524"/>
      <c r="AD65" s="524"/>
      <c r="AE65" s="524"/>
      <c r="AF65" s="524"/>
      <c r="AG65" s="524"/>
      <c r="AH65" s="524"/>
      <c r="AI65" s="524"/>
      <c r="AJ65" s="524"/>
      <c r="AK65" s="524"/>
      <c r="AL65" s="524"/>
      <c r="AM65" s="524"/>
      <c r="AN65" s="524"/>
      <c r="AO65" s="524"/>
      <c r="AP65" s="524"/>
      <c r="AQ65" s="524"/>
      <c r="AR65" s="524"/>
      <c r="AS65" s="524"/>
      <c r="AT65" s="524"/>
    </row>
    <row r="66" spans="1:46" x14ac:dyDescent="0.25">
      <c r="A66" s="524"/>
      <c r="B66" s="525"/>
      <c r="C66" s="524"/>
      <c r="D66" s="524"/>
      <c r="E66" s="524"/>
      <c r="F66" s="524"/>
      <c r="G66" s="524"/>
      <c r="H66" s="524"/>
      <c r="I66" s="524"/>
      <c r="J66" s="524"/>
      <c r="K66" s="524"/>
      <c r="L66" s="524"/>
      <c r="M66" s="524"/>
      <c r="N66" s="524"/>
      <c r="O66" s="524"/>
      <c r="P66" s="524"/>
      <c r="Q66" s="524"/>
      <c r="R66" s="524"/>
      <c r="S66" s="524"/>
      <c r="T66" s="524"/>
      <c r="U66" s="524"/>
      <c r="V66" s="524"/>
      <c r="W66" s="524"/>
      <c r="X66" s="524"/>
      <c r="Y66" s="524"/>
      <c r="Z66" s="524"/>
      <c r="AA66" s="524"/>
      <c r="AB66" s="524"/>
      <c r="AC66" s="524"/>
      <c r="AD66" s="524"/>
      <c r="AE66" s="524"/>
      <c r="AF66" s="524"/>
      <c r="AG66" s="524"/>
      <c r="AH66" s="524"/>
      <c r="AI66" s="524"/>
      <c r="AJ66" s="524"/>
      <c r="AK66" s="524"/>
      <c r="AL66" s="524"/>
      <c r="AM66" s="524"/>
      <c r="AN66" s="524"/>
      <c r="AO66" s="524"/>
      <c r="AP66" s="524"/>
      <c r="AQ66" s="524"/>
      <c r="AR66" s="524"/>
      <c r="AS66" s="524"/>
      <c r="AT66" s="524"/>
    </row>
    <row r="67" spans="1:46" x14ac:dyDescent="0.25">
      <c r="A67" s="524"/>
      <c r="B67" s="525"/>
      <c r="C67" s="524"/>
      <c r="D67" s="524"/>
      <c r="E67" s="524"/>
      <c r="F67" s="524"/>
      <c r="G67" s="524"/>
      <c r="H67" s="524"/>
      <c r="I67" s="524"/>
      <c r="J67" s="524"/>
      <c r="K67" s="524"/>
      <c r="L67" s="524"/>
      <c r="M67" s="524"/>
      <c r="N67" s="524"/>
      <c r="O67" s="524"/>
      <c r="P67" s="524"/>
      <c r="Q67" s="524"/>
      <c r="R67" s="524"/>
      <c r="S67" s="524"/>
      <c r="T67" s="524"/>
      <c r="U67" s="524"/>
      <c r="V67" s="524"/>
      <c r="W67" s="524"/>
      <c r="X67" s="524"/>
      <c r="Y67" s="524"/>
      <c r="Z67" s="524"/>
      <c r="AA67" s="524"/>
      <c r="AB67" s="524"/>
      <c r="AC67" s="524"/>
      <c r="AD67" s="524"/>
      <c r="AE67" s="524"/>
      <c r="AF67" s="524"/>
      <c r="AG67" s="524"/>
      <c r="AH67" s="524"/>
      <c r="AI67" s="524"/>
      <c r="AJ67" s="524"/>
      <c r="AK67" s="524"/>
      <c r="AL67" s="524"/>
      <c r="AM67" s="524"/>
      <c r="AN67" s="524"/>
      <c r="AO67" s="524"/>
      <c r="AP67" s="524"/>
      <c r="AQ67" s="524"/>
      <c r="AR67" s="524"/>
      <c r="AS67" s="524"/>
      <c r="AT67" s="524"/>
    </row>
    <row r="68" spans="1:46" x14ac:dyDescent="0.25">
      <c r="A68" s="524"/>
      <c r="B68" s="525"/>
      <c r="C68" s="524"/>
      <c r="D68" s="524"/>
      <c r="E68" s="524"/>
      <c r="F68" s="524"/>
      <c r="G68" s="524"/>
      <c r="H68" s="524"/>
      <c r="I68" s="524"/>
      <c r="J68" s="524"/>
      <c r="K68" s="524"/>
      <c r="L68" s="524"/>
      <c r="M68" s="524"/>
      <c r="N68" s="524"/>
      <c r="O68" s="524"/>
      <c r="P68" s="524"/>
      <c r="Q68" s="524"/>
      <c r="R68" s="524"/>
      <c r="S68" s="524"/>
      <c r="T68" s="524"/>
      <c r="U68" s="524"/>
      <c r="V68" s="524"/>
      <c r="W68" s="524"/>
      <c r="X68" s="524"/>
      <c r="Y68" s="524"/>
      <c r="Z68" s="524"/>
      <c r="AA68" s="524"/>
      <c r="AB68" s="524"/>
      <c r="AC68" s="524"/>
      <c r="AD68" s="524"/>
      <c r="AE68" s="524"/>
      <c r="AF68" s="524"/>
      <c r="AG68" s="524"/>
      <c r="AH68" s="524"/>
      <c r="AI68" s="524"/>
      <c r="AJ68" s="524"/>
      <c r="AK68" s="524"/>
      <c r="AL68" s="524"/>
      <c r="AM68" s="524"/>
      <c r="AN68" s="524"/>
      <c r="AO68" s="524"/>
      <c r="AP68" s="524"/>
      <c r="AQ68" s="524"/>
      <c r="AR68" s="524"/>
      <c r="AS68" s="524"/>
      <c r="AT68" s="524"/>
    </row>
    <row r="69" spans="1:46" x14ac:dyDescent="0.25">
      <c r="A69" s="524"/>
      <c r="B69" s="525"/>
      <c r="C69" s="524"/>
      <c r="D69" s="524"/>
      <c r="E69" s="524"/>
      <c r="F69" s="524"/>
      <c r="G69" s="524"/>
      <c r="H69" s="524"/>
      <c r="I69" s="524"/>
      <c r="J69" s="524"/>
      <c r="K69" s="524"/>
      <c r="L69" s="524"/>
      <c r="M69" s="524"/>
      <c r="N69" s="524"/>
      <c r="O69" s="524"/>
      <c r="P69" s="524"/>
      <c r="Q69" s="524"/>
      <c r="R69" s="524"/>
      <c r="S69" s="524"/>
      <c r="T69" s="524"/>
      <c r="U69" s="524"/>
      <c r="V69" s="524"/>
      <c r="W69" s="524"/>
      <c r="X69" s="524"/>
      <c r="Y69" s="524"/>
      <c r="Z69" s="524"/>
      <c r="AA69" s="524"/>
      <c r="AB69" s="524"/>
      <c r="AC69" s="524"/>
      <c r="AD69" s="524"/>
      <c r="AE69" s="524"/>
      <c r="AF69" s="524"/>
      <c r="AG69" s="524"/>
      <c r="AH69" s="524"/>
      <c r="AI69" s="524"/>
      <c r="AJ69" s="524"/>
      <c r="AK69" s="524"/>
      <c r="AL69" s="524"/>
      <c r="AM69" s="524"/>
      <c r="AN69" s="524"/>
      <c r="AO69" s="524"/>
      <c r="AP69" s="524"/>
      <c r="AQ69" s="524"/>
      <c r="AR69" s="524"/>
      <c r="AS69" s="524"/>
      <c r="AT69" s="524"/>
    </row>
    <row r="70" spans="1:46" ht="15.75" thickBot="1" x14ac:dyDescent="0.3">
      <c r="A70" s="524"/>
      <c r="B70" s="525"/>
      <c r="C70" s="524"/>
      <c r="D70" s="524"/>
      <c r="E70" s="524"/>
      <c r="F70" s="524"/>
      <c r="G70" s="524"/>
      <c r="H70" s="524"/>
      <c r="I70" s="524"/>
      <c r="J70" s="524"/>
      <c r="K70" s="524"/>
      <c r="L70" s="524"/>
      <c r="M70" s="524"/>
      <c r="N70" s="524"/>
      <c r="O70" s="524"/>
      <c r="P70" s="524"/>
      <c r="Q70" s="524"/>
      <c r="R70" s="524"/>
      <c r="S70" s="524"/>
      <c r="T70" s="524"/>
      <c r="U70" s="524"/>
      <c r="V70" s="524"/>
      <c r="W70" s="524"/>
      <c r="X70" s="524"/>
      <c r="Y70" s="524"/>
      <c r="Z70" s="524"/>
      <c r="AA70" s="524"/>
      <c r="AB70" s="524"/>
      <c r="AC70" s="524"/>
      <c r="AD70" s="524"/>
      <c r="AE70" s="524"/>
      <c r="AF70" s="524"/>
      <c r="AG70" s="524"/>
      <c r="AH70" s="524"/>
      <c r="AI70" s="524"/>
      <c r="AJ70" s="524"/>
      <c r="AK70" s="524"/>
      <c r="AL70" s="524"/>
      <c r="AM70" s="524"/>
      <c r="AN70" s="524"/>
      <c r="AO70" s="524"/>
      <c r="AP70" s="524"/>
      <c r="AQ70" s="524"/>
      <c r="AR70" s="524"/>
      <c r="AS70" s="524"/>
      <c r="AT70" s="524"/>
    </row>
    <row r="71" spans="1:46" ht="19.5" thickBot="1" x14ac:dyDescent="0.35">
      <c r="A71" s="524"/>
      <c r="B71" s="419"/>
      <c r="C71" s="2222" t="s">
        <v>199</v>
      </c>
      <c r="D71" s="2223"/>
      <c r="E71" s="2224" t="s">
        <v>200</v>
      </c>
      <c r="F71" s="2225"/>
      <c r="G71" s="2222" t="s">
        <v>201</v>
      </c>
      <c r="H71" s="2223"/>
      <c r="I71" s="2222" t="s">
        <v>204</v>
      </c>
      <c r="J71" s="2223"/>
      <c r="K71" s="524"/>
      <c r="L71" s="524"/>
      <c r="M71" s="524"/>
      <c r="N71" s="524"/>
      <c r="O71" s="524"/>
      <c r="P71" s="524"/>
      <c r="Q71" s="524"/>
      <c r="R71" s="524"/>
      <c r="S71" s="524"/>
      <c r="T71" s="524"/>
      <c r="U71" s="524"/>
      <c r="V71" s="524"/>
      <c r="W71" s="524"/>
      <c r="X71" s="524"/>
      <c r="Y71" s="524"/>
      <c r="Z71" s="524"/>
      <c r="AA71" s="524"/>
      <c r="AB71" s="524"/>
      <c r="AC71" s="524"/>
      <c r="AD71" s="524"/>
      <c r="AE71" s="524"/>
      <c r="AF71" s="524"/>
      <c r="AG71" s="524"/>
      <c r="AH71" s="524"/>
      <c r="AI71" s="524"/>
      <c r="AJ71" s="524"/>
      <c r="AK71" s="524"/>
      <c r="AL71" s="524"/>
      <c r="AM71" s="524"/>
      <c r="AN71" s="524"/>
      <c r="AO71" s="524"/>
      <c r="AP71" s="524"/>
      <c r="AQ71" s="524"/>
      <c r="AR71" s="524"/>
      <c r="AS71" s="524"/>
      <c r="AT71" s="524"/>
    </row>
    <row r="72" spans="1:46" ht="19.5" thickBot="1" x14ac:dyDescent="0.35">
      <c r="A72" s="524"/>
      <c r="B72" s="419"/>
      <c r="C72" s="662" t="s">
        <v>222</v>
      </c>
      <c r="D72" s="663" t="s">
        <v>223</v>
      </c>
      <c r="E72" s="664" t="s">
        <v>222</v>
      </c>
      <c r="F72" s="665" t="s">
        <v>223</v>
      </c>
      <c r="G72" s="662" t="s">
        <v>222</v>
      </c>
      <c r="H72" s="663" t="s">
        <v>223</v>
      </c>
      <c r="I72" s="662" t="s">
        <v>222</v>
      </c>
      <c r="J72" s="663" t="s">
        <v>223</v>
      </c>
      <c r="K72" s="524"/>
      <c r="L72" s="524"/>
      <c r="M72" s="524"/>
      <c r="N72" s="524"/>
      <c r="O72" s="524"/>
      <c r="P72" s="524"/>
      <c r="Q72" s="524"/>
      <c r="R72" s="524"/>
      <c r="S72" s="524"/>
      <c r="T72" s="524"/>
      <c r="U72" s="524"/>
      <c r="V72" s="524"/>
      <c r="W72" s="524"/>
      <c r="X72" s="524"/>
      <c r="Y72" s="524"/>
      <c r="Z72" s="524"/>
      <c r="AA72" s="524"/>
      <c r="AB72" s="524"/>
      <c r="AC72" s="524"/>
      <c r="AD72" s="524"/>
      <c r="AE72" s="524"/>
      <c r="AF72" s="524"/>
      <c r="AG72" s="524"/>
      <c r="AH72" s="524"/>
      <c r="AI72" s="524"/>
      <c r="AJ72" s="524"/>
      <c r="AK72" s="524"/>
      <c r="AL72" s="524"/>
      <c r="AM72" s="524"/>
      <c r="AN72" s="524"/>
      <c r="AO72" s="524"/>
      <c r="AP72" s="524"/>
      <c r="AQ72" s="524"/>
      <c r="AR72" s="524"/>
      <c r="AS72" s="524"/>
      <c r="AT72" s="524"/>
    </row>
    <row r="73" spans="1:46" ht="18.75" x14ac:dyDescent="0.3">
      <c r="A73" s="524"/>
      <c r="B73" s="651" t="s">
        <v>218</v>
      </c>
      <c r="C73" s="652">
        <f>C62</f>
        <v>577</v>
      </c>
      <c r="D73" s="653">
        <f>C73/60</f>
        <v>9.6166666666666671</v>
      </c>
      <c r="E73" s="652">
        <f>D62</f>
        <v>294</v>
      </c>
      <c r="F73" s="654">
        <f>E73/60</f>
        <v>4.9000000000000004</v>
      </c>
      <c r="G73" s="652">
        <f>E62</f>
        <v>171</v>
      </c>
      <c r="H73" s="653">
        <f>G73/60</f>
        <v>2.85</v>
      </c>
      <c r="I73" s="652">
        <f>F62</f>
        <v>14288</v>
      </c>
      <c r="J73" s="653">
        <f>I73/60</f>
        <v>238.13333333333333</v>
      </c>
      <c r="K73" s="524"/>
      <c r="L73" s="524"/>
      <c r="M73" s="524"/>
      <c r="N73" s="524"/>
      <c r="O73" s="524"/>
      <c r="P73" s="524"/>
      <c r="Q73" s="524"/>
      <c r="R73" s="524"/>
      <c r="S73" s="524"/>
      <c r="T73" s="524"/>
      <c r="U73" s="524"/>
      <c r="V73" s="524"/>
      <c r="W73" s="524"/>
      <c r="X73" s="524"/>
      <c r="Y73" s="524"/>
      <c r="Z73" s="524"/>
      <c r="AA73" s="524"/>
      <c r="AB73" s="524"/>
      <c r="AC73" s="524"/>
      <c r="AD73" s="524"/>
      <c r="AE73" s="524"/>
      <c r="AF73" s="524"/>
      <c r="AG73" s="524"/>
      <c r="AH73" s="524"/>
      <c r="AI73" s="524"/>
      <c r="AJ73" s="524"/>
      <c r="AK73" s="524"/>
      <c r="AL73" s="524"/>
      <c r="AM73" s="524"/>
      <c r="AN73" s="524"/>
      <c r="AO73" s="524"/>
      <c r="AP73" s="524"/>
      <c r="AQ73" s="524"/>
      <c r="AR73" s="524"/>
      <c r="AS73" s="524"/>
      <c r="AT73" s="524"/>
    </row>
    <row r="74" spans="1:46" ht="18.75" x14ac:dyDescent="0.3">
      <c r="A74" s="524"/>
      <c r="B74" s="651" t="s">
        <v>219</v>
      </c>
      <c r="C74" s="655">
        <f>L62</f>
        <v>0</v>
      </c>
      <c r="D74" s="656">
        <f>C74/60</f>
        <v>0</v>
      </c>
      <c r="E74" s="655">
        <f>M62</f>
        <v>0</v>
      </c>
      <c r="F74" s="657">
        <f>E74/60</f>
        <v>0</v>
      </c>
      <c r="G74" s="655">
        <f>N62</f>
        <v>0</v>
      </c>
      <c r="H74" s="656">
        <f>G74/60</f>
        <v>0</v>
      </c>
      <c r="I74" s="655">
        <f>O62</f>
        <v>14234</v>
      </c>
      <c r="J74" s="656">
        <f>I74/60</f>
        <v>237.23333333333332</v>
      </c>
      <c r="K74" s="524"/>
      <c r="L74" s="524"/>
      <c r="M74" s="524"/>
      <c r="N74" s="524"/>
      <c r="O74" s="524"/>
      <c r="P74" s="524"/>
      <c r="Q74" s="524"/>
      <c r="R74" s="524"/>
      <c r="S74" s="524"/>
      <c r="T74" s="524"/>
      <c r="U74" s="524"/>
      <c r="V74" s="524"/>
      <c r="W74" s="524"/>
      <c r="X74" s="524"/>
      <c r="Y74" s="524"/>
      <c r="Z74" s="524"/>
      <c r="AA74" s="524"/>
      <c r="AB74" s="524"/>
      <c r="AC74" s="524"/>
      <c r="AD74" s="524"/>
      <c r="AE74" s="524"/>
      <c r="AF74" s="524"/>
      <c r="AG74" s="524"/>
      <c r="AH74" s="524"/>
      <c r="AI74" s="524"/>
      <c r="AJ74" s="524"/>
      <c r="AK74" s="524"/>
      <c r="AL74" s="524"/>
      <c r="AM74" s="524"/>
      <c r="AN74" s="524"/>
      <c r="AO74" s="524"/>
      <c r="AP74" s="524"/>
      <c r="AQ74" s="524"/>
      <c r="AR74" s="524"/>
      <c r="AS74" s="524"/>
      <c r="AT74" s="524"/>
    </row>
    <row r="75" spans="1:46" ht="18.75" x14ac:dyDescent="0.3">
      <c r="A75" s="524"/>
      <c r="B75" s="651" t="s">
        <v>220</v>
      </c>
      <c r="C75" s="655">
        <f>U62</f>
        <v>467</v>
      </c>
      <c r="D75" s="656">
        <f>C75/60</f>
        <v>7.7833333333333332</v>
      </c>
      <c r="E75" s="655">
        <f>V62</f>
        <v>52</v>
      </c>
      <c r="F75" s="657">
        <f>E75/60</f>
        <v>0.8666666666666667</v>
      </c>
      <c r="G75" s="655">
        <f>W62</f>
        <v>510</v>
      </c>
      <c r="H75" s="656">
        <f>G75/60</f>
        <v>8.5</v>
      </c>
      <c r="I75" s="655">
        <f>X62</f>
        <v>14336</v>
      </c>
      <c r="J75" s="656">
        <f>I75/60</f>
        <v>238.93333333333334</v>
      </c>
      <c r="K75" s="524"/>
      <c r="L75" s="524"/>
      <c r="M75" s="524"/>
      <c r="N75" s="524"/>
      <c r="O75" s="524"/>
      <c r="P75" s="524"/>
      <c r="Q75" s="524"/>
      <c r="R75" s="524"/>
      <c r="S75" s="524"/>
      <c r="T75" s="524"/>
      <c r="U75" s="524"/>
      <c r="V75" s="524"/>
      <c r="W75" s="524"/>
      <c r="X75" s="524"/>
      <c r="Y75" s="524"/>
      <c r="Z75" s="524"/>
      <c r="AA75" s="524"/>
      <c r="AB75" s="524"/>
      <c r="AC75" s="524"/>
      <c r="AD75" s="524"/>
      <c r="AE75" s="524"/>
      <c r="AF75" s="524"/>
      <c r="AG75" s="524"/>
      <c r="AH75" s="524"/>
      <c r="AI75" s="524"/>
      <c r="AJ75" s="524"/>
      <c r="AK75" s="524"/>
      <c r="AL75" s="524"/>
      <c r="AM75" s="524"/>
      <c r="AN75" s="524"/>
      <c r="AO75" s="524"/>
      <c r="AP75" s="524"/>
      <c r="AQ75" s="524"/>
      <c r="AR75" s="524"/>
      <c r="AS75" s="524"/>
      <c r="AT75" s="524"/>
    </row>
    <row r="76" spans="1:46" ht="19.5" thickBot="1" x14ac:dyDescent="0.35">
      <c r="A76" s="524"/>
      <c r="B76" s="651" t="s">
        <v>221</v>
      </c>
      <c r="C76" s="658">
        <f>AD62</f>
        <v>10</v>
      </c>
      <c r="D76" s="659">
        <f>C76/60</f>
        <v>0.16666666666666666</v>
      </c>
      <c r="E76" s="658">
        <f>AE62</f>
        <v>0</v>
      </c>
      <c r="F76" s="660">
        <f>E76/60</f>
        <v>0</v>
      </c>
      <c r="G76" s="658">
        <f>AF62</f>
        <v>108</v>
      </c>
      <c r="H76" s="659">
        <f>G76/60</f>
        <v>1.8</v>
      </c>
      <c r="I76" s="658">
        <f>AG62</f>
        <v>14228</v>
      </c>
      <c r="J76" s="659">
        <f>I76/60</f>
        <v>237.13333333333333</v>
      </c>
      <c r="K76" s="524"/>
      <c r="L76" s="524"/>
      <c r="M76" s="524"/>
      <c r="N76" s="524"/>
      <c r="O76" s="524"/>
      <c r="P76" s="524"/>
      <c r="Q76" s="524"/>
      <c r="R76" s="524"/>
      <c r="S76" s="524"/>
      <c r="T76" s="524"/>
      <c r="U76" s="524"/>
      <c r="V76" s="524"/>
      <c r="W76" s="524"/>
      <c r="X76" s="524"/>
      <c r="Y76" s="524"/>
      <c r="Z76" s="524"/>
      <c r="AA76" s="524"/>
      <c r="AB76" s="524"/>
      <c r="AC76" s="524"/>
      <c r="AD76" s="524"/>
      <c r="AE76" s="524"/>
      <c r="AF76" s="524"/>
      <c r="AG76" s="524"/>
      <c r="AH76" s="524"/>
      <c r="AI76" s="524"/>
      <c r="AJ76" s="524"/>
      <c r="AK76" s="524"/>
      <c r="AL76" s="524"/>
      <c r="AM76" s="524"/>
      <c r="AN76" s="524"/>
      <c r="AO76" s="524"/>
      <c r="AP76" s="524"/>
      <c r="AQ76" s="524"/>
      <c r="AR76" s="524"/>
      <c r="AS76" s="524"/>
      <c r="AT76" s="524"/>
    </row>
    <row r="77" spans="1:46" ht="19.5" thickBot="1" x14ac:dyDescent="0.35">
      <c r="A77" s="524"/>
      <c r="B77" s="651" t="s">
        <v>488</v>
      </c>
      <c r="C77" s="850">
        <f>AM62</f>
        <v>101</v>
      </c>
      <c r="D77" s="849">
        <f>C77/60</f>
        <v>1.6833333333333333</v>
      </c>
      <c r="E77" s="850">
        <f>AN62</f>
        <v>0</v>
      </c>
      <c r="F77" s="851">
        <f>E77/60</f>
        <v>0</v>
      </c>
      <c r="G77" s="850">
        <f>AO62</f>
        <v>97</v>
      </c>
      <c r="H77" s="849">
        <f>G77/60</f>
        <v>1.6166666666666667</v>
      </c>
      <c r="I77" s="850">
        <f>AP62</f>
        <v>14260</v>
      </c>
      <c r="J77" s="849">
        <f>I77/60</f>
        <v>237.66666666666666</v>
      </c>
      <c r="K77" s="524"/>
      <c r="L77" s="524"/>
      <c r="M77" s="524"/>
      <c r="N77" s="524"/>
      <c r="O77" s="524"/>
      <c r="P77" s="524"/>
      <c r="Q77" s="524"/>
      <c r="R77" s="524"/>
      <c r="S77" s="524"/>
      <c r="T77" s="524"/>
      <c r="U77" s="524"/>
      <c r="V77" s="524"/>
      <c r="W77" s="524"/>
      <c r="X77" s="524"/>
      <c r="Y77" s="524"/>
      <c r="Z77" s="524"/>
      <c r="AA77" s="524"/>
      <c r="AB77" s="524"/>
      <c r="AC77" s="524"/>
      <c r="AD77" s="524"/>
      <c r="AE77" s="524"/>
      <c r="AF77" s="524"/>
      <c r="AG77" s="524"/>
      <c r="AH77" s="524"/>
      <c r="AI77" s="524"/>
      <c r="AJ77" s="524"/>
      <c r="AK77" s="524"/>
      <c r="AL77" s="524"/>
      <c r="AM77" s="524"/>
      <c r="AN77" s="524"/>
      <c r="AO77" s="524"/>
      <c r="AP77" s="524"/>
      <c r="AQ77" s="524"/>
      <c r="AR77" s="524"/>
      <c r="AS77" s="524"/>
      <c r="AT77" s="524"/>
    </row>
    <row r="78" spans="1:46" ht="19.5" thickBot="1" x14ac:dyDescent="0.35">
      <c r="A78" s="524"/>
      <c r="B78" s="419"/>
      <c r="C78" s="301"/>
      <c r="D78" s="301"/>
      <c r="E78" s="301"/>
      <c r="F78" s="301"/>
      <c r="G78" s="301"/>
      <c r="H78" s="301"/>
      <c r="I78" s="301"/>
      <c r="J78" s="301"/>
      <c r="K78" s="524"/>
      <c r="L78" s="524"/>
      <c r="M78" s="524"/>
      <c r="N78" s="524"/>
      <c r="O78" s="524"/>
      <c r="P78" s="524"/>
      <c r="Q78" s="524"/>
      <c r="R78" s="524"/>
      <c r="S78" s="524"/>
      <c r="T78" s="524"/>
      <c r="U78" s="524"/>
      <c r="V78" s="524"/>
      <c r="W78" s="524"/>
      <c r="X78" s="524"/>
      <c r="Y78" s="524"/>
      <c r="Z78" s="524"/>
      <c r="AA78" s="524"/>
      <c r="AB78" s="524"/>
      <c r="AC78" s="524"/>
      <c r="AD78" s="524"/>
      <c r="AE78" s="524"/>
      <c r="AF78" s="524"/>
      <c r="AG78" s="524"/>
      <c r="AH78" s="524"/>
      <c r="AI78" s="524"/>
      <c r="AJ78" s="524"/>
      <c r="AK78" s="524"/>
      <c r="AL78" s="524"/>
      <c r="AM78" s="524"/>
      <c r="AN78" s="524"/>
      <c r="AO78" s="524"/>
      <c r="AP78" s="524"/>
      <c r="AQ78" s="524"/>
      <c r="AR78" s="524"/>
      <c r="AS78" s="524"/>
      <c r="AT78" s="524"/>
    </row>
    <row r="79" spans="1:46" ht="19.5" thickBot="1" x14ac:dyDescent="0.35">
      <c r="A79" s="524"/>
      <c r="B79" s="661" t="s">
        <v>217</v>
      </c>
      <c r="C79" s="666"/>
      <c r="D79" s="667">
        <f>SUM(D73:D77)</f>
        <v>19.25</v>
      </c>
      <c r="E79" s="666"/>
      <c r="F79" s="667">
        <f>SUM(F73:F77)</f>
        <v>5.7666666666666675</v>
      </c>
      <c r="G79" s="666"/>
      <c r="H79" s="667">
        <f>SUM(H73:H77)</f>
        <v>14.766666666666667</v>
      </c>
      <c r="I79" s="666"/>
      <c r="J79" s="668">
        <f>AVERAGE(J73:J77)</f>
        <v>237.82</v>
      </c>
      <c r="K79" s="524"/>
      <c r="L79" s="524"/>
      <c r="M79" s="524"/>
      <c r="N79" s="524"/>
      <c r="O79" s="524"/>
      <c r="P79" s="524"/>
      <c r="Q79" s="524"/>
      <c r="R79" s="524"/>
      <c r="S79" s="524"/>
      <c r="T79" s="524"/>
      <c r="U79" s="524"/>
      <c r="V79" s="524"/>
      <c r="W79" s="524"/>
      <c r="X79" s="524"/>
      <c r="Y79" s="524"/>
      <c r="Z79" s="524"/>
      <c r="AA79" s="524"/>
      <c r="AB79" s="524"/>
      <c r="AC79" s="524"/>
      <c r="AD79" s="524"/>
      <c r="AE79" s="524"/>
      <c r="AF79" s="524"/>
      <c r="AG79" s="524"/>
      <c r="AH79" s="524"/>
      <c r="AI79" s="524"/>
      <c r="AJ79" s="524"/>
      <c r="AK79" s="524"/>
      <c r="AL79" s="524"/>
      <c r="AM79" s="524"/>
      <c r="AN79" s="524"/>
      <c r="AO79" s="524"/>
      <c r="AP79" s="524"/>
      <c r="AQ79" s="524"/>
      <c r="AR79" s="524"/>
      <c r="AS79" s="524"/>
      <c r="AT79" s="524"/>
    </row>
    <row r="80" spans="1:46" x14ac:dyDescent="0.25">
      <c r="A80" s="524"/>
      <c r="B80" s="525"/>
      <c r="C80" s="524"/>
      <c r="D80" s="524"/>
      <c r="E80" s="524"/>
      <c r="F80" s="524"/>
      <c r="G80" s="524"/>
      <c r="H80" s="524"/>
      <c r="I80" s="524"/>
      <c r="J80" s="524"/>
      <c r="K80" s="524"/>
      <c r="L80" s="524"/>
      <c r="M80" s="524"/>
      <c r="N80" s="524"/>
      <c r="O80" s="524"/>
      <c r="P80" s="524"/>
      <c r="Q80" s="524"/>
      <c r="R80" s="524"/>
      <c r="S80" s="524"/>
      <c r="T80" s="524"/>
      <c r="U80" s="524"/>
      <c r="V80" s="524"/>
      <c r="W80" s="524"/>
      <c r="X80" s="524"/>
      <c r="Y80" s="524"/>
      <c r="Z80" s="524"/>
      <c r="AA80" s="524"/>
      <c r="AB80" s="524"/>
      <c r="AC80" s="524"/>
      <c r="AD80" s="524"/>
      <c r="AE80" s="524"/>
      <c r="AF80" s="524"/>
      <c r="AG80" s="524"/>
      <c r="AH80" s="524"/>
      <c r="AI80" s="524"/>
      <c r="AJ80" s="524"/>
      <c r="AK80" s="524"/>
      <c r="AL80" s="524"/>
      <c r="AM80" s="524"/>
      <c r="AN80" s="524"/>
      <c r="AO80" s="524"/>
      <c r="AP80" s="524"/>
      <c r="AQ80" s="524"/>
      <c r="AR80" s="524"/>
      <c r="AS80" s="524"/>
      <c r="AT80" s="524"/>
    </row>
    <row r="81" spans="1:46" x14ac:dyDescent="0.25">
      <c r="A81" s="524"/>
      <c r="B81" s="525"/>
      <c r="C81" s="524"/>
      <c r="D81" s="524"/>
      <c r="E81" s="524"/>
      <c r="F81" s="524"/>
      <c r="G81" s="524"/>
      <c r="H81" s="524"/>
      <c r="I81" s="524"/>
      <c r="J81" s="524"/>
      <c r="K81" s="524"/>
      <c r="L81" s="524"/>
      <c r="M81" s="524"/>
      <c r="N81" s="524"/>
      <c r="O81" s="524"/>
      <c r="P81" s="524"/>
      <c r="Q81" s="524"/>
      <c r="R81" s="524"/>
      <c r="S81" s="524"/>
      <c r="T81" s="524"/>
      <c r="U81" s="524"/>
      <c r="V81" s="524"/>
      <c r="W81" s="524"/>
      <c r="X81" s="524"/>
      <c r="Y81" s="524"/>
      <c r="Z81" s="524"/>
      <c r="AA81" s="524"/>
      <c r="AB81" s="524"/>
      <c r="AC81" s="524"/>
      <c r="AD81" s="524"/>
      <c r="AE81" s="524"/>
      <c r="AF81" s="524"/>
      <c r="AG81" s="524"/>
      <c r="AH81" s="524"/>
      <c r="AI81" s="524"/>
      <c r="AJ81" s="524"/>
      <c r="AK81" s="524"/>
      <c r="AL81" s="524"/>
      <c r="AM81" s="524"/>
      <c r="AN81" s="524"/>
      <c r="AO81" s="524"/>
      <c r="AP81" s="524"/>
      <c r="AQ81" s="524"/>
      <c r="AR81" s="524"/>
      <c r="AS81" s="524"/>
      <c r="AT81" s="524"/>
    </row>
    <row r="82" spans="1:46" x14ac:dyDescent="0.25">
      <c r="A82" s="524"/>
      <c r="B82" s="525"/>
      <c r="C82" s="524"/>
      <c r="D82" s="524"/>
      <c r="E82" s="524"/>
      <c r="F82" s="524"/>
      <c r="G82" s="524"/>
      <c r="H82" s="524"/>
      <c r="I82" s="524"/>
      <c r="J82" s="524"/>
      <c r="K82" s="524"/>
      <c r="L82" s="524"/>
      <c r="M82" s="524"/>
      <c r="N82" s="524"/>
      <c r="O82" s="524"/>
      <c r="P82" s="524"/>
      <c r="Q82" s="524"/>
      <c r="R82" s="524"/>
      <c r="S82" s="524"/>
      <c r="T82" s="524"/>
      <c r="U82" s="524"/>
      <c r="V82" s="524"/>
      <c r="W82" s="524"/>
      <c r="X82" s="524"/>
      <c r="Y82" s="524"/>
      <c r="Z82" s="524"/>
      <c r="AA82" s="524"/>
      <c r="AB82" s="524"/>
      <c r="AC82" s="524"/>
      <c r="AD82" s="524"/>
      <c r="AE82" s="524"/>
      <c r="AF82" s="524"/>
      <c r="AG82" s="524"/>
      <c r="AH82" s="524"/>
      <c r="AI82" s="524"/>
      <c r="AJ82" s="524"/>
      <c r="AK82" s="524"/>
      <c r="AL82" s="524"/>
      <c r="AM82" s="524"/>
      <c r="AN82" s="524"/>
      <c r="AO82" s="524"/>
      <c r="AP82" s="524"/>
      <c r="AQ82" s="524"/>
      <c r="AR82" s="524"/>
      <c r="AS82" s="524"/>
      <c r="AT82" s="524"/>
    </row>
    <row r="83" spans="1:46" x14ac:dyDescent="0.25">
      <c r="A83" s="524"/>
      <c r="B83" s="525"/>
      <c r="C83" s="524"/>
      <c r="D83" s="524"/>
      <c r="E83" s="524"/>
      <c r="F83" s="524"/>
      <c r="G83" s="524"/>
      <c r="H83" s="524"/>
      <c r="I83" s="524"/>
      <c r="J83" s="524"/>
      <c r="K83" s="524"/>
      <c r="L83" s="524"/>
      <c r="M83" s="524"/>
      <c r="N83" s="524"/>
      <c r="O83" s="524"/>
      <c r="P83" s="524"/>
      <c r="Q83" s="524"/>
      <c r="R83" s="524"/>
      <c r="S83" s="524"/>
      <c r="T83" s="524"/>
      <c r="U83" s="524"/>
      <c r="V83" s="524"/>
      <c r="W83" s="524"/>
      <c r="X83" s="524"/>
      <c r="Y83" s="524"/>
      <c r="Z83" s="524"/>
      <c r="AA83" s="524"/>
      <c r="AB83" s="524"/>
      <c r="AC83" s="524"/>
      <c r="AD83" s="524"/>
      <c r="AE83" s="524"/>
      <c r="AF83" s="524"/>
      <c r="AG83" s="524"/>
      <c r="AH83" s="524"/>
      <c r="AI83" s="524"/>
      <c r="AJ83" s="524"/>
      <c r="AK83" s="524"/>
      <c r="AL83" s="524"/>
      <c r="AM83" s="524"/>
      <c r="AN83" s="524"/>
      <c r="AO83" s="524"/>
      <c r="AP83" s="524"/>
      <c r="AQ83" s="524"/>
      <c r="AR83" s="524"/>
      <c r="AS83" s="524"/>
      <c r="AT83" s="524"/>
    </row>
    <row r="84" spans="1:46" x14ac:dyDescent="0.25">
      <c r="A84" s="524"/>
      <c r="B84" s="525"/>
      <c r="C84" s="524"/>
      <c r="D84" s="524"/>
      <c r="E84" s="524"/>
      <c r="F84" s="524"/>
      <c r="G84" s="524"/>
      <c r="H84" s="524"/>
      <c r="I84" s="524"/>
      <c r="J84" s="524"/>
      <c r="K84" s="524"/>
      <c r="L84" s="524"/>
      <c r="M84" s="524"/>
      <c r="N84" s="524"/>
      <c r="O84" s="524"/>
      <c r="P84" s="524"/>
      <c r="Q84" s="524"/>
      <c r="R84" s="524"/>
      <c r="S84" s="524"/>
      <c r="T84" s="524"/>
      <c r="U84" s="524"/>
      <c r="V84" s="524"/>
      <c r="W84" s="524"/>
      <c r="X84" s="524"/>
      <c r="Y84" s="524"/>
      <c r="Z84" s="524"/>
      <c r="AA84" s="524"/>
      <c r="AB84" s="524"/>
      <c r="AC84" s="524"/>
      <c r="AD84" s="524"/>
      <c r="AE84" s="524"/>
      <c r="AF84" s="524"/>
      <c r="AG84" s="524"/>
      <c r="AH84" s="524"/>
      <c r="AI84" s="524"/>
      <c r="AJ84" s="524"/>
      <c r="AK84" s="524"/>
      <c r="AL84" s="524"/>
      <c r="AM84" s="524"/>
      <c r="AN84" s="524"/>
      <c r="AO84" s="524"/>
      <c r="AP84" s="524"/>
      <c r="AQ84" s="524"/>
      <c r="AR84" s="524"/>
      <c r="AS84" s="524"/>
      <c r="AT84" s="524"/>
    </row>
    <row r="85" spans="1:46" x14ac:dyDescent="0.25">
      <c r="A85" s="524"/>
      <c r="B85" s="525"/>
      <c r="C85" s="524"/>
      <c r="D85" s="524"/>
      <c r="E85" s="524"/>
      <c r="F85" s="524"/>
      <c r="G85" s="524"/>
      <c r="H85" s="524"/>
      <c r="I85" s="524"/>
      <c r="J85" s="524"/>
      <c r="K85" s="524"/>
      <c r="L85" s="524"/>
      <c r="M85" s="524"/>
      <c r="N85" s="524"/>
      <c r="O85" s="524"/>
      <c r="P85" s="524"/>
      <c r="Q85" s="524"/>
      <c r="R85" s="524"/>
      <c r="S85" s="524"/>
      <c r="T85" s="524"/>
      <c r="U85" s="524"/>
      <c r="V85" s="524"/>
      <c r="W85" s="524"/>
      <c r="X85" s="524"/>
      <c r="Y85" s="524"/>
      <c r="Z85" s="524"/>
      <c r="AA85" s="524"/>
      <c r="AB85" s="524"/>
      <c r="AC85" s="524"/>
      <c r="AD85" s="524"/>
      <c r="AE85" s="524"/>
      <c r="AF85" s="524"/>
      <c r="AG85" s="524"/>
      <c r="AH85" s="524"/>
      <c r="AI85" s="524"/>
      <c r="AJ85" s="524"/>
      <c r="AK85" s="524"/>
      <c r="AL85" s="524"/>
      <c r="AM85" s="524"/>
      <c r="AN85" s="524"/>
      <c r="AO85" s="524"/>
      <c r="AP85" s="524"/>
      <c r="AQ85" s="524"/>
      <c r="AR85" s="524"/>
      <c r="AS85" s="524"/>
      <c r="AT85" s="524"/>
    </row>
    <row r="86" spans="1:46" x14ac:dyDescent="0.25">
      <c r="A86" s="524"/>
      <c r="B86" s="525"/>
      <c r="C86" s="524"/>
      <c r="D86" s="524"/>
      <c r="E86" s="524"/>
      <c r="F86" s="524"/>
      <c r="G86" s="524"/>
      <c r="H86" s="524"/>
      <c r="I86" s="524"/>
      <c r="J86" s="524"/>
      <c r="K86" s="524"/>
      <c r="L86" s="524"/>
      <c r="M86" s="524"/>
      <c r="N86" s="524"/>
      <c r="O86" s="524"/>
      <c r="P86" s="524"/>
      <c r="Q86" s="524"/>
      <c r="R86" s="524"/>
      <c r="S86" s="524"/>
      <c r="T86" s="524"/>
      <c r="U86" s="524"/>
      <c r="V86" s="524"/>
      <c r="W86" s="524"/>
      <c r="X86" s="524"/>
      <c r="Y86" s="524"/>
      <c r="Z86" s="524"/>
      <c r="AA86" s="524"/>
      <c r="AB86" s="524"/>
      <c r="AC86" s="524"/>
      <c r="AD86" s="524"/>
      <c r="AE86" s="524"/>
      <c r="AF86" s="524"/>
      <c r="AG86" s="524"/>
      <c r="AH86" s="524"/>
      <c r="AI86" s="524"/>
      <c r="AJ86" s="524"/>
      <c r="AK86" s="524"/>
      <c r="AL86" s="524"/>
      <c r="AM86" s="524"/>
      <c r="AN86" s="524"/>
      <c r="AO86" s="524"/>
      <c r="AP86" s="524"/>
      <c r="AQ86" s="524"/>
      <c r="AR86" s="524"/>
      <c r="AS86" s="524"/>
      <c r="AT86" s="524"/>
    </row>
    <row r="87" spans="1:46" x14ac:dyDescent="0.25">
      <c r="A87" s="524"/>
      <c r="B87" s="525"/>
      <c r="C87" s="524"/>
      <c r="D87" s="524"/>
      <c r="E87" s="524"/>
      <c r="F87" s="524"/>
      <c r="G87" s="524"/>
      <c r="H87" s="524"/>
      <c r="I87" s="524"/>
      <c r="J87" s="524"/>
      <c r="K87" s="524"/>
      <c r="L87" s="524"/>
      <c r="M87" s="524"/>
      <c r="N87" s="524"/>
      <c r="O87" s="524"/>
      <c r="P87" s="524"/>
      <c r="Q87" s="524"/>
      <c r="R87" s="524"/>
      <c r="S87" s="524"/>
      <c r="T87" s="524"/>
      <c r="U87" s="524"/>
      <c r="V87" s="524"/>
      <c r="W87" s="524"/>
      <c r="X87" s="524"/>
      <c r="Y87" s="524"/>
      <c r="Z87" s="524"/>
      <c r="AA87" s="524"/>
      <c r="AB87" s="524"/>
      <c r="AC87" s="524"/>
      <c r="AD87" s="524"/>
      <c r="AE87" s="524"/>
      <c r="AF87" s="524"/>
      <c r="AG87" s="524"/>
      <c r="AH87" s="524"/>
      <c r="AI87" s="524"/>
      <c r="AJ87" s="524"/>
      <c r="AK87" s="524"/>
      <c r="AL87" s="524"/>
      <c r="AM87" s="524"/>
      <c r="AN87" s="524"/>
      <c r="AO87" s="524"/>
      <c r="AP87" s="524"/>
      <c r="AQ87" s="524"/>
      <c r="AR87" s="524"/>
      <c r="AS87" s="524"/>
      <c r="AT87" s="524"/>
    </row>
  </sheetData>
  <mergeCells count="46">
    <mergeCell ref="A58:A59"/>
    <mergeCell ref="A60:A61"/>
    <mergeCell ref="AH61:AJ61"/>
    <mergeCell ref="C71:D71"/>
    <mergeCell ref="E71:F71"/>
    <mergeCell ref="G71:H71"/>
    <mergeCell ref="I71:J71"/>
    <mergeCell ref="A25:A26"/>
    <mergeCell ref="A50:A51"/>
    <mergeCell ref="A52:A53"/>
    <mergeCell ref="A54:A55"/>
    <mergeCell ref="A56:A57"/>
    <mergeCell ref="A48:A49"/>
    <mergeCell ref="A27:A28"/>
    <mergeCell ref="A29:A30"/>
    <mergeCell ref="A31:A32"/>
    <mergeCell ref="A33:A34"/>
    <mergeCell ref="A35:A36"/>
    <mergeCell ref="A38:A39"/>
    <mergeCell ref="A40:A41"/>
    <mergeCell ref="A42:A43"/>
    <mergeCell ref="A44:A45"/>
    <mergeCell ref="A46:A47"/>
    <mergeCell ref="A17:A18"/>
    <mergeCell ref="AQ18:AS18"/>
    <mergeCell ref="A19:A20"/>
    <mergeCell ref="A21:A22"/>
    <mergeCell ref="A23:A24"/>
    <mergeCell ref="AH14:AJ14"/>
    <mergeCell ref="A15:A16"/>
    <mergeCell ref="AD1:AG1"/>
    <mergeCell ref="AH1:AK1"/>
    <mergeCell ref="AM1:AP1"/>
    <mergeCell ref="A7:A8"/>
    <mergeCell ref="A9:A10"/>
    <mergeCell ref="A11:A12"/>
    <mergeCell ref="A13:A14"/>
    <mergeCell ref="AQ1:AT1"/>
    <mergeCell ref="A3:A4"/>
    <mergeCell ref="A5:A6"/>
    <mergeCell ref="C1:F1"/>
    <mergeCell ref="G1:J1"/>
    <mergeCell ref="L1:O1"/>
    <mergeCell ref="P1:S1"/>
    <mergeCell ref="U1:X1"/>
    <mergeCell ref="Y1:AB1"/>
  </mergeCell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0"/>
  <sheetViews>
    <sheetView zoomScale="55" zoomScaleNormal="55" workbookViewId="0">
      <pane xSplit="3" ySplit="2" topLeftCell="D45" activePane="bottomRight" state="frozen"/>
      <selection pane="topRight" activeCell="D1" sqref="D1"/>
      <selection pane="bottomLeft" activeCell="A3" sqref="A3"/>
      <selection pane="bottomRight" activeCell="C61" sqref="C61:AT62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2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9.425781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6" style="524" bestFit="1" customWidth="1"/>
    <col min="17" max="17" width="42.140625" style="524" bestFit="1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6.140625" style="524" bestFit="1" customWidth="1"/>
    <col min="28" max="28" width="27" style="524" customWidth="1"/>
    <col min="29" max="33" width="10.7109375" style="524" customWidth="1"/>
    <col min="34" max="34" width="31.28515625" style="524" customWidth="1"/>
    <col min="35" max="35" width="23.285156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2" width="10.7109375" style="524" customWidth="1"/>
    <col min="43" max="43" width="21.140625" style="524" customWidth="1"/>
    <col min="44" max="44" width="26.5703125" style="524" customWidth="1"/>
    <col min="45" max="45" width="31.140625" style="524" customWidth="1"/>
    <col min="46" max="46" width="26.5703125" style="524" customWidth="1"/>
    <col min="47" max="16384" width="8.85546875" style="524"/>
  </cols>
  <sheetData>
    <row r="1" spans="1:46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2" t="s">
        <v>206</v>
      </c>
      <c r="AR1" s="2252"/>
      <c r="AS1" s="2252"/>
      <c r="AT1" s="2253"/>
    </row>
    <row r="2" spans="1:46" ht="42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7" t="s">
        <v>199</v>
      </c>
      <c r="AI2" s="985" t="s">
        <v>200</v>
      </c>
      <c r="AJ2" s="985" t="s">
        <v>201</v>
      </c>
      <c r="AK2" s="985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7" t="s">
        <v>199</v>
      </c>
      <c r="AR2" s="985" t="s">
        <v>200</v>
      </c>
      <c r="AS2" s="985" t="s">
        <v>201</v>
      </c>
      <c r="AT2" s="985" t="s">
        <v>204</v>
      </c>
    </row>
    <row r="3" spans="1:46" ht="46.5" customHeight="1" x14ac:dyDescent="0.3">
      <c r="A3" s="2260">
        <v>45901</v>
      </c>
      <c r="B3" s="1200">
        <v>1</v>
      </c>
      <c r="C3" s="1708"/>
      <c r="D3" s="1709"/>
      <c r="E3" s="1710"/>
      <c r="F3" s="1711"/>
      <c r="G3" s="1712"/>
      <c r="H3" s="1713"/>
      <c r="I3" s="1714"/>
      <c r="J3" s="1715"/>
      <c r="K3" s="332"/>
      <c r="L3" s="1716"/>
      <c r="M3" s="1717"/>
      <c r="N3" s="1717"/>
      <c r="O3" s="1718"/>
      <c r="P3" s="1719"/>
      <c r="Q3" s="1720"/>
      <c r="R3" s="1720"/>
      <c r="S3" s="1718"/>
      <c r="T3" s="332"/>
      <c r="U3" s="1716"/>
      <c r="V3" s="1717"/>
      <c r="W3" s="1710"/>
      <c r="X3" s="1721"/>
      <c r="Y3" s="1937"/>
      <c r="Z3" s="1719"/>
      <c r="AA3" s="1723"/>
      <c r="AB3" s="1724"/>
      <c r="AC3" s="332"/>
      <c r="AD3" s="1716"/>
      <c r="AE3" s="1717"/>
      <c r="AF3" s="1710"/>
      <c r="AG3" s="1902"/>
      <c r="AH3" s="1905"/>
      <c r="AI3" s="1905"/>
      <c r="AJ3" s="1906"/>
      <c r="AK3" s="1905"/>
      <c r="AL3" s="1726"/>
      <c r="AM3" s="1716"/>
      <c r="AN3" s="1717"/>
      <c r="AO3" s="1710"/>
      <c r="AP3" s="1902"/>
      <c r="AQ3" s="1905"/>
      <c r="AR3" s="1906"/>
      <c r="AS3" s="1906"/>
      <c r="AT3" s="1905"/>
    </row>
    <row r="4" spans="1:46" ht="42.75" customHeight="1" x14ac:dyDescent="0.3">
      <c r="A4" s="2261"/>
      <c r="B4" s="1218">
        <v>2</v>
      </c>
      <c r="C4" s="1728"/>
      <c r="D4" s="1729"/>
      <c r="E4" s="1729"/>
      <c r="F4" s="1730"/>
      <c r="G4" s="1731"/>
      <c r="H4" s="1713"/>
      <c r="I4" s="1714"/>
      <c r="J4" s="1732"/>
      <c r="K4" s="332"/>
      <c r="L4" s="1733">
        <v>22</v>
      </c>
      <c r="M4" s="1710"/>
      <c r="N4" s="1710"/>
      <c r="O4" s="1721"/>
      <c r="P4" s="1936" t="s">
        <v>1025</v>
      </c>
      <c r="Q4" s="1713"/>
      <c r="R4" s="1734"/>
      <c r="S4" s="1721"/>
      <c r="T4" s="332"/>
      <c r="U4" s="1733"/>
      <c r="V4" s="1725"/>
      <c r="W4" s="1710"/>
      <c r="X4" s="1721"/>
      <c r="Y4" s="1731"/>
      <c r="Z4" s="1723"/>
      <c r="AA4" s="1723"/>
      <c r="AB4" s="1735"/>
      <c r="AC4" s="332"/>
      <c r="AD4" s="1733">
        <v>24</v>
      </c>
      <c r="AE4" s="1710"/>
      <c r="AF4" s="1710"/>
      <c r="AG4" s="1782"/>
      <c r="AH4" s="1905" t="s">
        <v>1025</v>
      </c>
      <c r="AI4" s="1899"/>
      <c r="AJ4" s="1906"/>
      <c r="AK4" s="1905"/>
      <c r="AL4" s="1726"/>
      <c r="AM4" s="1733"/>
      <c r="AN4" s="1710"/>
      <c r="AO4" s="1710">
        <v>10</v>
      </c>
      <c r="AP4" s="1782"/>
      <c r="AQ4" s="1905"/>
      <c r="AR4" s="1899"/>
      <c r="AS4" s="1905" t="s">
        <v>388</v>
      </c>
      <c r="AT4" s="1905"/>
    </row>
    <row r="5" spans="1:46" ht="43.5" customHeight="1" x14ac:dyDescent="0.3">
      <c r="A5" s="2260">
        <v>45902</v>
      </c>
      <c r="B5" s="1218">
        <v>1</v>
      </c>
      <c r="C5" s="1728"/>
      <c r="D5" s="1729"/>
      <c r="E5" s="1729">
        <v>12</v>
      </c>
      <c r="F5" s="1730"/>
      <c r="G5" s="1736"/>
      <c r="H5" s="1737"/>
      <c r="I5" s="1714" t="s">
        <v>152</v>
      </c>
      <c r="J5" s="1732"/>
      <c r="K5" s="332"/>
      <c r="L5" s="1733"/>
      <c r="M5" s="1710"/>
      <c r="N5" s="1710"/>
      <c r="O5" s="1721"/>
      <c r="P5" s="1936"/>
      <c r="Q5" s="1710"/>
      <c r="R5" s="1710"/>
      <c r="S5" s="1721"/>
      <c r="T5" s="332"/>
      <c r="U5" s="1733"/>
      <c r="V5" s="1710"/>
      <c r="W5" s="1710"/>
      <c r="X5" s="1721"/>
      <c r="Y5" s="1937"/>
      <c r="Z5" s="1713"/>
      <c r="AA5" s="1738"/>
      <c r="AB5" s="1739"/>
      <c r="AC5" s="332"/>
      <c r="AD5" s="1733"/>
      <c r="AE5" s="1710"/>
      <c r="AF5" s="1710"/>
      <c r="AG5" s="1782"/>
      <c r="AH5" s="1905"/>
      <c r="AI5" s="1905"/>
      <c r="AJ5" s="1906"/>
      <c r="AK5" s="1905"/>
      <c r="AL5" s="1726"/>
      <c r="AM5" s="1733"/>
      <c r="AN5" s="1710"/>
      <c r="AO5" s="1710"/>
      <c r="AP5" s="1782"/>
      <c r="AQ5" s="1905"/>
      <c r="AR5" s="1905"/>
      <c r="AS5" s="1906"/>
      <c r="AT5" s="1905"/>
    </row>
    <row r="6" spans="1:46" ht="43.5" customHeight="1" x14ac:dyDescent="0.3">
      <c r="A6" s="2261"/>
      <c r="B6" s="1218">
        <v>2</v>
      </c>
      <c r="C6" s="1728"/>
      <c r="D6" s="1729"/>
      <c r="E6" s="1729">
        <v>10</v>
      </c>
      <c r="F6" s="1730"/>
      <c r="G6" s="1712"/>
      <c r="H6" s="1723"/>
      <c r="I6" s="1714" t="s">
        <v>152</v>
      </c>
      <c r="J6" s="1743"/>
      <c r="K6" s="332"/>
      <c r="L6" s="1733">
        <v>416</v>
      </c>
      <c r="M6" s="1710"/>
      <c r="N6" s="1710"/>
      <c r="O6" s="1721"/>
      <c r="P6" s="1936" t="s">
        <v>1131</v>
      </c>
      <c r="Q6" s="1713"/>
      <c r="R6" s="1710"/>
      <c r="S6" s="1743"/>
      <c r="T6" s="332"/>
      <c r="U6" s="1733"/>
      <c r="V6" s="1710"/>
      <c r="W6" s="1710"/>
      <c r="X6" s="1721"/>
      <c r="Y6" s="1937"/>
      <c r="Z6" s="1713"/>
      <c r="AA6" s="1738"/>
      <c r="AB6" s="1743"/>
      <c r="AC6" s="332"/>
      <c r="AD6" s="1733"/>
      <c r="AE6" s="1710"/>
      <c r="AF6" s="1710"/>
      <c r="AG6" s="1782"/>
      <c r="AH6" s="1905"/>
      <c r="AI6" s="1905"/>
      <c r="AJ6" s="1899"/>
      <c r="AK6" s="1899"/>
      <c r="AL6" s="1726"/>
      <c r="AM6" s="1733"/>
      <c r="AN6" s="1710"/>
      <c r="AO6" s="1710"/>
      <c r="AP6" s="1782"/>
      <c r="AQ6" s="1906"/>
      <c r="AR6" s="1905"/>
      <c r="AS6" s="1906"/>
      <c r="AT6" s="1905"/>
    </row>
    <row r="7" spans="1:46" ht="44.25" customHeight="1" x14ac:dyDescent="0.3">
      <c r="A7" s="2260">
        <v>45903</v>
      </c>
      <c r="B7" s="1218">
        <v>1</v>
      </c>
      <c r="C7" s="1728"/>
      <c r="D7" s="1729"/>
      <c r="E7" s="1729">
        <v>15</v>
      </c>
      <c r="F7" s="1730"/>
      <c r="G7" s="1712"/>
      <c r="H7" s="1723"/>
      <c r="I7" s="1714" t="s">
        <v>152</v>
      </c>
      <c r="J7" s="1743"/>
      <c r="K7" s="332"/>
      <c r="L7" s="1733"/>
      <c r="M7" s="1936"/>
      <c r="N7" s="1710"/>
      <c r="O7" s="1721"/>
      <c r="P7" s="1936"/>
      <c r="Q7" s="1533"/>
      <c r="R7" s="1710"/>
      <c r="S7" s="1742"/>
      <c r="T7" s="332"/>
      <c r="U7" s="1733"/>
      <c r="V7" s="1710"/>
      <c r="W7" s="1710">
        <v>31</v>
      </c>
      <c r="X7" s="1721"/>
      <c r="Y7" s="1937"/>
      <c r="Z7" s="1713"/>
      <c r="AA7" s="1738" t="s">
        <v>1127</v>
      </c>
      <c r="AB7" s="1742"/>
      <c r="AC7" s="332"/>
      <c r="AD7" s="1733"/>
      <c r="AE7" s="1710"/>
      <c r="AF7" s="1710"/>
      <c r="AG7" s="1782"/>
      <c r="AH7" s="1905"/>
      <c r="AI7" s="1907"/>
      <c r="AJ7" s="1899"/>
      <c r="AK7" s="1905"/>
      <c r="AL7" s="1726"/>
      <c r="AM7" s="1733"/>
      <c r="AN7" s="1710"/>
      <c r="AO7" s="1710"/>
      <c r="AP7" s="1782"/>
      <c r="AQ7" s="1905"/>
      <c r="AR7" s="1905"/>
      <c r="AS7" s="1907"/>
      <c r="AT7" s="1899"/>
    </row>
    <row r="8" spans="1:46" ht="48.75" customHeight="1" x14ac:dyDescent="0.3">
      <c r="A8" s="2261"/>
      <c r="B8" s="1218">
        <v>2</v>
      </c>
      <c r="C8" s="1860"/>
      <c r="D8" s="1750"/>
      <c r="E8" s="1750"/>
      <c r="F8" s="1775"/>
      <c r="G8" s="1771"/>
      <c r="H8" s="1772"/>
      <c r="I8" s="1773"/>
      <c r="J8" s="1770"/>
      <c r="K8" s="332"/>
      <c r="L8" s="1710"/>
      <c r="M8" s="1710"/>
      <c r="N8" s="1710"/>
      <c r="O8" s="1721"/>
      <c r="P8" s="1954"/>
      <c r="Q8" s="1710"/>
      <c r="R8" s="1725"/>
      <c r="S8" s="1725"/>
      <c r="T8" s="332"/>
      <c r="U8" s="1751"/>
      <c r="V8" s="1748"/>
      <c r="W8" s="1954"/>
      <c r="X8" s="1721"/>
      <c r="Y8" s="1956"/>
      <c r="Z8" s="1955"/>
      <c r="AA8" s="1725"/>
      <c r="AB8" s="1743"/>
      <c r="AC8" s="332"/>
      <c r="AD8" s="1733"/>
      <c r="AE8" s="1710"/>
      <c r="AF8" s="1710"/>
      <c r="AG8" s="1782"/>
      <c r="AH8" s="1905"/>
      <c r="AI8" s="1906"/>
      <c r="AJ8" s="1899"/>
      <c r="AK8" s="1899"/>
      <c r="AL8" s="1726"/>
      <c r="AM8" s="1733"/>
      <c r="AN8" s="1710"/>
      <c r="AO8" s="1710"/>
      <c r="AP8" s="1782"/>
      <c r="AQ8" s="1905"/>
      <c r="AR8" s="1906"/>
      <c r="AS8" s="1905"/>
      <c r="AT8" s="1899"/>
    </row>
    <row r="9" spans="1:46" ht="45" customHeight="1" x14ac:dyDescent="0.25">
      <c r="A9" s="2260">
        <v>45904</v>
      </c>
      <c r="B9" s="1218">
        <v>1</v>
      </c>
      <c r="C9" s="1887"/>
      <c r="D9" s="1888"/>
      <c r="E9" s="1888"/>
      <c r="F9" s="1729">
        <v>27</v>
      </c>
      <c r="G9" s="1890"/>
      <c r="H9" s="1888"/>
      <c r="I9" s="1888"/>
      <c r="J9" s="1532" t="s">
        <v>1071</v>
      </c>
      <c r="K9" s="1869"/>
      <c r="L9" s="1957"/>
      <c r="M9" s="1957"/>
      <c r="N9" s="1957"/>
      <c r="O9" s="1729">
        <v>28</v>
      </c>
      <c r="P9" s="1958"/>
      <c r="Q9" s="1957"/>
      <c r="R9" s="1957"/>
      <c r="S9" s="1532" t="s">
        <v>1071</v>
      </c>
      <c r="T9" s="332"/>
      <c r="U9" s="1751"/>
      <c r="V9" s="1952"/>
      <c r="W9" s="1710"/>
      <c r="X9" s="1721">
        <v>30</v>
      </c>
      <c r="Y9" s="1953"/>
      <c r="Z9" s="1710"/>
      <c r="AA9" s="1953"/>
      <c r="AB9" s="1532" t="s">
        <v>1071</v>
      </c>
      <c r="AC9" s="332"/>
      <c r="AD9" s="1915"/>
      <c r="AE9" s="1757"/>
      <c r="AF9" s="1758"/>
      <c r="AG9" s="1903">
        <v>33</v>
      </c>
      <c r="AH9" s="1899"/>
      <c r="AI9" s="1898"/>
      <c r="AJ9" s="1894"/>
      <c r="AK9" s="1532" t="s">
        <v>1071</v>
      </c>
      <c r="AL9" s="332"/>
      <c r="AM9" s="1733"/>
      <c r="AN9" s="1710"/>
      <c r="AO9" s="1710"/>
      <c r="AP9" s="1782">
        <v>37</v>
      </c>
      <c r="AQ9" s="1905"/>
      <c r="AR9" s="1905"/>
      <c r="AS9" s="1906"/>
      <c r="AT9" s="1532" t="s">
        <v>1071</v>
      </c>
    </row>
    <row r="10" spans="1:46" ht="48.75" customHeight="1" x14ac:dyDescent="0.3">
      <c r="A10" s="2261"/>
      <c r="B10" s="1218">
        <v>2</v>
      </c>
      <c r="C10" s="1885"/>
      <c r="D10" s="1886"/>
      <c r="E10" s="1795"/>
      <c r="F10" s="1796"/>
      <c r="G10" s="1892"/>
      <c r="H10" s="1893"/>
      <c r="I10" s="1894"/>
      <c r="J10" s="1895"/>
      <c r="K10" s="332"/>
      <c r="L10" s="1710"/>
      <c r="M10" s="1710"/>
      <c r="N10" s="1710"/>
      <c r="O10" s="1721"/>
      <c r="P10" s="1952"/>
      <c r="Q10" s="1710"/>
      <c r="R10" s="1725"/>
      <c r="S10" s="1723"/>
      <c r="T10" s="332"/>
      <c r="U10" s="1733"/>
      <c r="V10" s="1710"/>
      <c r="W10" s="1710"/>
      <c r="X10" s="1721"/>
      <c r="Y10" s="1953"/>
      <c r="Z10" s="1953"/>
      <c r="AA10" s="1953"/>
      <c r="AB10" s="1743"/>
      <c r="AC10" s="332"/>
      <c r="AD10" s="1733"/>
      <c r="AE10" s="1710"/>
      <c r="AF10" s="1710"/>
      <c r="AG10" s="1782"/>
      <c r="AH10" s="1906"/>
      <c r="AI10" s="1906"/>
      <c r="AJ10" s="1899"/>
      <c r="AK10" s="1899"/>
      <c r="AL10" s="1726"/>
      <c r="AM10" s="1733"/>
      <c r="AN10" s="1710"/>
      <c r="AO10" s="1710"/>
      <c r="AP10" s="1782"/>
      <c r="AQ10" s="1905"/>
      <c r="AR10" s="1905"/>
      <c r="AS10" s="1905"/>
      <c r="AT10" s="1899"/>
    </row>
    <row r="11" spans="1:46" ht="43.5" customHeight="1" x14ac:dyDescent="0.3">
      <c r="A11" s="2260">
        <v>45905</v>
      </c>
      <c r="B11" s="1218">
        <v>1</v>
      </c>
      <c r="C11" s="1870"/>
      <c r="D11" s="1871"/>
      <c r="E11" s="1872"/>
      <c r="F11" s="1873"/>
      <c r="G11" s="1896"/>
      <c r="H11" s="1893"/>
      <c r="I11" s="1893"/>
      <c r="J11" s="1897"/>
      <c r="K11" s="1874"/>
      <c r="L11" s="1876"/>
      <c r="M11" s="1876"/>
      <c r="N11" s="1876"/>
      <c r="O11" s="1877"/>
      <c r="P11" s="1878"/>
      <c r="Q11" s="1876"/>
      <c r="R11" s="1879"/>
      <c r="S11" s="1876"/>
      <c r="T11" s="1874"/>
      <c r="U11" s="1875"/>
      <c r="V11" s="1876"/>
      <c r="W11" s="1876"/>
      <c r="X11" s="1876"/>
      <c r="Y11" s="1877"/>
      <c r="Z11" s="1876"/>
      <c r="AA11" s="1880"/>
      <c r="AB11" s="1877"/>
      <c r="AC11" s="1874"/>
      <c r="AD11" s="1875"/>
      <c r="AE11" s="1876"/>
      <c r="AF11" s="1876"/>
      <c r="AG11" s="1904"/>
      <c r="AH11" s="1908"/>
      <c r="AI11" s="1908"/>
      <c r="AJ11" s="1893"/>
      <c r="AK11" s="1908"/>
      <c r="AL11" s="1881"/>
      <c r="AM11" s="1875"/>
      <c r="AN11" s="1876"/>
      <c r="AO11" s="1876"/>
      <c r="AP11" s="1904"/>
      <c r="AQ11" s="1908"/>
      <c r="AR11" s="1908"/>
      <c r="AS11" s="1908"/>
      <c r="AT11" s="1912"/>
    </row>
    <row r="12" spans="1:46" ht="46.5" customHeight="1" x14ac:dyDescent="0.3">
      <c r="A12" s="2261"/>
      <c r="B12" s="1218">
        <v>2</v>
      </c>
      <c r="C12" s="1728"/>
      <c r="D12" s="1766"/>
      <c r="E12" s="1729"/>
      <c r="F12" s="1730"/>
      <c r="G12" s="1892"/>
      <c r="H12" s="1898"/>
      <c r="I12" s="1894"/>
      <c r="J12" s="1895"/>
      <c r="K12" s="332"/>
      <c r="L12" s="1801"/>
      <c r="M12" s="1734"/>
      <c r="N12" s="1734"/>
      <c r="O12" s="1796"/>
      <c r="P12" s="1959"/>
      <c r="Q12" s="1734"/>
      <c r="R12" s="1738"/>
      <c r="S12" s="1800"/>
      <c r="T12" s="332"/>
      <c r="U12" s="1733"/>
      <c r="V12" s="1710"/>
      <c r="W12" s="1869"/>
      <c r="X12" s="1869"/>
      <c r="Y12" s="1953"/>
      <c r="Z12" s="1723"/>
      <c r="AA12" s="1738"/>
      <c r="AB12" s="1743"/>
      <c r="AC12" s="332"/>
      <c r="AD12" s="1733"/>
      <c r="AE12" s="1710"/>
      <c r="AF12" s="1710"/>
      <c r="AG12" s="1782"/>
      <c r="AH12" s="1905"/>
      <c r="AI12" s="1906"/>
      <c r="AJ12" s="1899"/>
      <c r="AK12" s="1899"/>
      <c r="AL12" s="1726"/>
      <c r="AM12" s="1733"/>
      <c r="AN12" s="1710"/>
      <c r="AO12" s="1710"/>
      <c r="AP12" s="1782"/>
      <c r="AQ12" s="1905"/>
      <c r="AR12" s="1905"/>
      <c r="AS12" s="1906"/>
      <c r="AT12" s="1899"/>
    </row>
    <row r="13" spans="1:46" ht="51" customHeight="1" x14ac:dyDescent="0.3">
      <c r="A13" s="2260">
        <v>45906</v>
      </c>
      <c r="B13" s="1218">
        <v>1</v>
      </c>
      <c r="C13" s="1728"/>
      <c r="D13" s="1729"/>
      <c r="E13" s="1729">
        <v>45</v>
      </c>
      <c r="F13" s="1730"/>
      <c r="G13" s="1892"/>
      <c r="H13" s="1898"/>
      <c r="I13" s="1894" t="s">
        <v>152</v>
      </c>
      <c r="J13" s="1895"/>
      <c r="K13" s="332"/>
      <c r="L13" s="1733"/>
      <c r="M13" s="1710"/>
      <c r="N13" s="1710"/>
      <c r="O13" s="1730"/>
      <c r="P13" s="1952"/>
      <c r="Q13" s="1710"/>
      <c r="R13" s="1710"/>
      <c r="S13" s="1743"/>
      <c r="T13" s="332"/>
      <c r="U13" s="1733"/>
      <c r="V13" s="1710"/>
      <c r="W13" s="1710">
        <v>52</v>
      </c>
      <c r="X13" s="1730"/>
      <c r="Y13" s="1953"/>
      <c r="Z13" s="1725"/>
      <c r="AA13" s="1738" t="s">
        <v>1132</v>
      </c>
      <c r="AB13" s="1743"/>
      <c r="AC13" s="332"/>
      <c r="AD13" s="1733"/>
      <c r="AE13" s="1710"/>
      <c r="AF13" s="1710"/>
      <c r="AG13" s="1903"/>
      <c r="AH13" s="1905"/>
      <c r="AI13" s="1905"/>
      <c r="AJ13" s="1906"/>
      <c r="AK13" s="1899"/>
      <c r="AL13" s="1726"/>
      <c r="AM13" s="1733"/>
      <c r="AN13" s="1710"/>
      <c r="AO13" s="1710"/>
      <c r="AP13" s="1910"/>
      <c r="AQ13" s="1905"/>
      <c r="AR13" s="1905"/>
      <c r="AS13" s="1899"/>
      <c r="AT13" s="1899"/>
    </row>
    <row r="14" spans="1:46" ht="49.15" customHeight="1" x14ac:dyDescent="0.3">
      <c r="A14" s="2261"/>
      <c r="B14" s="1218">
        <v>2</v>
      </c>
      <c r="C14" s="1728"/>
      <c r="D14" s="1729"/>
      <c r="E14" s="1729">
        <v>20</v>
      </c>
      <c r="F14" s="1730"/>
      <c r="G14" s="1892"/>
      <c r="H14" s="1899"/>
      <c r="I14" s="1894" t="s">
        <v>152</v>
      </c>
      <c r="J14" s="1895"/>
      <c r="K14" s="332"/>
      <c r="L14" s="1733"/>
      <c r="M14" s="1710"/>
      <c r="N14" s="1710"/>
      <c r="O14" s="1730"/>
      <c r="P14" s="1956"/>
      <c r="Q14" s="1710"/>
      <c r="R14" s="1710"/>
      <c r="S14" s="1743"/>
      <c r="T14" s="332"/>
      <c r="U14" s="1733"/>
      <c r="V14" s="1710"/>
      <c r="W14" s="1710">
        <v>10</v>
      </c>
      <c r="X14" s="1730"/>
      <c r="Y14" s="1956"/>
      <c r="Z14" s="1725"/>
      <c r="AA14" s="1738" t="s">
        <v>1132</v>
      </c>
      <c r="AB14" s="1743"/>
      <c r="AC14" s="332"/>
      <c r="AD14" s="1733"/>
      <c r="AE14" s="1710"/>
      <c r="AF14" s="1710"/>
      <c r="AG14" s="1903"/>
      <c r="AH14" s="1905"/>
      <c r="AI14" s="1905"/>
      <c r="AJ14" s="1906"/>
      <c r="AK14" s="1899"/>
      <c r="AL14" s="1726"/>
      <c r="AM14" s="1733"/>
      <c r="AN14" s="1710"/>
      <c r="AO14" s="1768"/>
      <c r="AP14" s="1910">
        <v>685</v>
      </c>
      <c r="AQ14" s="1906"/>
      <c r="AR14" s="1905"/>
      <c r="AS14" s="1906"/>
      <c r="AT14" s="1899" t="s">
        <v>1008</v>
      </c>
    </row>
    <row r="15" spans="1:46" ht="48" customHeight="1" x14ac:dyDescent="0.3">
      <c r="A15" s="2260">
        <v>45907</v>
      </c>
      <c r="B15" s="1218">
        <v>1</v>
      </c>
      <c r="C15" s="1728"/>
      <c r="D15" s="1750"/>
      <c r="E15" s="1741"/>
      <c r="F15" s="1770"/>
      <c r="G15" s="1892"/>
      <c r="H15" s="1899"/>
      <c r="I15" s="1894"/>
      <c r="J15" s="1895"/>
      <c r="K15" s="332"/>
      <c r="L15" s="1774"/>
      <c r="M15" s="1741"/>
      <c r="N15" s="1741"/>
      <c r="O15" s="1775"/>
      <c r="P15" s="1776"/>
      <c r="Q15" s="1772"/>
      <c r="R15" s="1723"/>
      <c r="S15" s="1743"/>
      <c r="T15" s="332"/>
      <c r="U15" s="1733"/>
      <c r="V15" s="1710"/>
      <c r="W15" s="1710"/>
      <c r="X15" s="1730"/>
      <c r="Y15" s="1731"/>
      <c r="Z15" s="1723"/>
      <c r="AA15" s="1738"/>
      <c r="AB15" s="1743"/>
      <c r="AC15" s="332"/>
      <c r="AD15" s="1733"/>
      <c r="AE15" s="1710"/>
      <c r="AF15" s="332"/>
      <c r="AG15" s="1903"/>
      <c r="AH15" s="1898"/>
      <c r="AI15" s="1899"/>
      <c r="AJ15" s="1906"/>
      <c r="AK15" s="1899"/>
      <c r="AL15" s="1726"/>
      <c r="AM15" s="1733"/>
      <c r="AN15" s="1710"/>
      <c r="AO15" s="1777"/>
      <c r="AP15" s="1910" t="s">
        <v>953</v>
      </c>
      <c r="AQ15" s="1899"/>
      <c r="AR15" s="1899"/>
      <c r="AS15" s="1899"/>
      <c r="AT15" s="1899" t="s">
        <v>1008</v>
      </c>
    </row>
    <row r="16" spans="1:46" ht="46.5" customHeight="1" x14ac:dyDescent="0.25">
      <c r="A16" s="2261"/>
      <c r="B16" s="1218">
        <v>2</v>
      </c>
      <c r="C16" s="1756"/>
      <c r="D16" s="1802"/>
      <c r="E16" s="1803"/>
      <c r="F16" s="1804"/>
      <c r="G16" s="1900"/>
      <c r="H16" s="1893"/>
      <c r="I16" s="1894"/>
      <c r="J16" s="1895"/>
      <c r="K16" s="1809"/>
      <c r="L16" s="1810"/>
      <c r="M16" s="1811"/>
      <c r="N16" s="1811"/>
      <c r="O16" s="1804"/>
      <c r="P16" s="1812"/>
      <c r="Q16" s="1813"/>
      <c r="R16" s="1814"/>
      <c r="S16" s="1743"/>
      <c r="T16" s="332"/>
      <c r="U16" s="1733"/>
      <c r="V16" s="1710"/>
      <c r="W16" s="1710"/>
      <c r="X16" s="1730"/>
      <c r="Y16" s="1815"/>
      <c r="Z16" s="1762"/>
      <c r="AA16" s="1901"/>
      <c r="AB16" s="1743"/>
      <c r="AC16" s="332"/>
      <c r="AD16" s="1733"/>
      <c r="AE16" s="1710"/>
      <c r="AF16" s="1710"/>
      <c r="AG16" s="1903"/>
      <c r="AH16" s="1898"/>
      <c r="AI16" s="1905"/>
      <c r="AJ16" s="1905"/>
      <c r="AK16" s="1906"/>
      <c r="AL16" s="1752"/>
      <c r="AM16" s="1733"/>
      <c r="AN16" s="1710"/>
      <c r="AO16" s="1710"/>
      <c r="AP16" s="1911" t="s">
        <v>953</v>
      </c>
      <c r="AQ16" s="1913"/>
      <c r="AR16" s="1893"/>
      <c r="AS16" s="1913"/>
      <c r="AT16" s="1899" t="s">
        <v>1008</v>
      </c>
    </row>
    <row r="17" spans="1:46" ht="51" customHeight="1" x14ac:dyDescent="0.3">
      <c r="A17" s="2260">
        <v>45908</v>
      </c>
      <c r="B17" s="1244">
        <v>1</v>
      </c>
      <c r="C17" s="1728"/>
      <c r="D17" s="1794">
        <v>8</v>
      </c>
      <c r="E17" s="1795"/>
      <c r="F17" s="1796">
        <v>85</v>
      </c>
      <c r="G17" s="1900"/>
      <c r="H17" s="1753" t="s">
        <v>317</v>
      </c>
      <c r="I17" s="1894"/>
      <c r="J17" s="1895" t="s">
        <v>1071</v>
      </c>
      <c r="K17" s="332"/>
      <c r="L17" s="1801"/>
      <c r="M17" s="1734"/>
      <c r="N17" s="1734"/>
      <c r="O17" s="1796">
        <v>85</v>
      </c>
      <c r="P17" s="1797"/>
      <c r="Q17" s="1798"/>
      <c r="R17" s="1723"/>
      <c r="S17" s="1743" t="s">
        <v>1071</v>
      </c>
      <c r="T17" s="332"/>
      <c r="U17" s="1733"/>
      <c r="V17" s="1710">
        <v>55</v>
      </c>
      <c r="W17" s="1710"/>
      <c r="X17" s="1730">
        <v>85</v>
      </c>
      <c r="Y17" s="1731"/>
      <c r="Z17" s="1753" t="s">
        <v>317</v>
      </c>
      <c r="AA17" s="1783"/>
      <c r="AB17" s="1743" t="s">
        <v>1071</v>
      </c>
      <c r="AC17" s="332"/>
      <c r="AD17" s="1733"/>
      <c r="AE17" s="1710"/>
      <c r="AF17" s="1710"/>
      <c r="AG17" s="1903">
        <v>85</v>
      </c>
      <c r="AH17" s="1898"/>
      <c r="AI17" s="1898"/>
      <c r="AJ17" s="1899"/>
      <c r="AK17" s="1899" t="s">
        <v>1071</v>
      </c>
      <c r="AL17" s="1726"/>
      <c r="AM17" s="1733"/>
      <c r="AN17" s="1710"/>
      <c r="AO17" s="1768"/>
      <c r="AP17" s="1911" t="s">
        <v>953</v>
      </c>
      <c r="AQ17" s="1898"/>
      <c r="AR17" s="1899"/>
      <c r="AS17" s="1906"/>
      <c r="AT17" s="1899" t="s">
        <v>1008</v>
      </c>
    </row>
    <row r="18" spans="1:46" ht="49.5" customHeight="1" x14ac:dyDescent="0.3">
      <c r="A18" s="2261"/>
      <c r="B18" s="1218">
        <v>2</v>
      </c>
      <c r="C18" s="1728">
        <v>160</v>
      </c>
      <c r="D18" s="1729"/>
      <c r="E18" s="1729"/>
      <c r="F18" s="1730">
        <v>20</v>
      </c>
      <c r="G18" s="1788" t="s">
        <v>1133</v>
      </c>
      <c r="H18" s="1891"/>
      <c r="I18" s="1799"/>
      <c r="J18" s="1800" t="s">
        <v>1071</v>
      </c>
      <c r="K18" s="332"/>
      <c r="L18" s="1733"/>
      <c r="M18" s="1710"/>
      <c r="N18" s="1710"/>
      <c r="O18" s="1730">
        <v>13</v>
      </c>
      <c r="P18" s="1731"/>
      <c r="Q18" s="1723"/>
      <c r="R18" s="1714"/>
      <c r="S18" s="1743" t="s">
        <v>1071</v>
      </c>
      <c r="T18" s="332"/>
      <c r="U18" s="1733"/>
      <c r="V18" s="1710"/>
      <c r="W18" s="1729"/>
      <c r="X18" s="1730">
        <v>20</v>
      </c>
      <c r="Y18" s="1731"/>
      <c r="Z18" s="1723"/>
      <c r="AA18" s="1738"/>
      <c r="AB18" s="1743" t="s">
        <v>1071</v>
      </c>
      <c r="AC18" s="332"/>
      <c r="AD18" s="1733"/>
      <c r="AE18" s="1710"/>
      <c r="AF18" s="1710"/>
      <c r="AG18" s="1903">
        <v>22</v>
      </c>
      <c r="AH18" s="1899"/>
      <c r="AI18" s="1899"/>
      <c r="AJ18" s="1898"/>
      <c r="AK18" s="1743" t="s">
        <v>1071</v>
      </c>
      <c r="AL18" s="1726"/>
      <c r="AM18" s="1733"/>
      <c r="AN18" s="1710"/>
      <c r="AO18" s="1768"/>
      <c r="AP18" s="1910">
        <v>720</v>
      </c>
      <c r="AQ18" s="1899"/>
      <c r="AR18" s="1893"/>
      <c r="AS18" s="1893"/>
      <c r="AT18" s="1899" t="s">
        <v>1008</v>
      </c>
    </row>
    <row r="19" spans="1:46" ht="38.25" customHeight="1" x14ac:dyDescent="0.3">
      <c r="A19" s="2260">
        <v>45909</v>
      </c>
      <c r="B19" s="1218">
        <v>1</v>
      </c>
      <c r="C19" s="332"/>
      <c r="D19" s="1729"/>
      <c r="E19" s="1729"/>
      <c r="F19" s="1730"/>
      <c r="G19" s="1784"/>
      <c r="H19" s="1710"/>
      <c r="I19" s="1737"/>
      <c r="J19" s="1743"/>
      <c r="K19" s="332"/>
      <c r="L19" s="1733"/>
      <c r="M19" s="1710"/>
      <c r="N19" s="1710"/>
      <c r="O19" s="1730"/>
      <c r="P19" s="1733"/>
      <c r="Q19" s="1710"/>
      <c r="R19" s="1710"/>
      <c r="S19" s="1743"/>
      <c r="T19" s="332"/>
      <c r="U19" s="1733"/>
      <c r="V19" s="1710"/>
      <c r="W19" s="1710"/>
      <c r="X19" s="1730"/>
      <c r="Y19" s="1733"/>
      <c r="Z19" s="1725"/>
      <c r="AA19" s="1783"/>
      <c r="AB19" s="1743"/>
      <c r="AC19" s="332"/>
      <c r="AD19" s="1733"/>
      <c r="AE19" s="1710"/>
      <c r="AF19" s="1710"/>
      <c r="AG19" s="1903"/>
      <c r="AH19" s="1905"/>
      <c r="AI19" s="1905"/>
      <c r="AJ19" s="1906"/>
      <c r="AK19" s="1899"/>
      <c r="AL19" s="1726"/>
      <c r="AM19" s="1733"/>
      <c r="AN19" s="1710"/>
      <c r="AO19" s="1710"/>
      <c r="AP19" s="1903">
        <v>720</v>
      </c>
      <c r="AQ19" s="1905"/>
      <c r="AR19" s="1905"/>
      <c r="AS19" s="1899"/>
      <c r="AT19" s="1899" t="s">
        <v>1008</v>
      </c>
    </row>
    <row r="20" spans="1:46" ht="44.45" customHeight="1" x14ac:dyDescent="0.3">
      <c r="A20" s="2261"/>
      <c r="B20" s="1218">
        <v>2</v>
      </c>
      <c r="C20" s="1728"/>
      <c r="D20" s="1729"/>
      <c r="E20" s="1729"/>
      <c r="F20" s="1730"/>
      <c r="G20" s="1784"/>
      <c r="H20" s="1725"/>
      <c r="I20" s="1737"/>
      <c r="J20" s="1743"/>
      <c r="K20" s="332"/>
      <c r="L20" s="1733"/>
      <c r="M20" s="1710"/>
      <c r="N20" s="1710"/>
      <c r="O20" s="1730"/>
      <c r="P20" s="1784"/>
      <c r="Q20" s="1725"/>
      <c r="R20" s="1714"/>
      <c r="S20" s="1743"/>
      <c r="T20" s="332"/>
      <c r="U20" s="1733"/>
      <c r="V20" s="1710"/>
      <c r="W20" s="1710">
        <v>11</v>
      </c>
      <c r="X20" s="1730"/>
      <c r="Y20" s="1784"/>
      <c r="Z20" s="1725"/>
      <c r="AA20" s="1723" t="s">
        <v>1132</v>
      </c>
      <c r="AB20" s="1743"/>
      <c r="AC20" s="332"/>
      <c r="AD20" s="1733"/>
      <c r="AE20" s="1710"/>
      <c r="AF20" s="1710"/>
      <c r="AG20" s="1903"/>
      <c r="AH20" s="1906"/>
      <c r="AI20" s="1906"/>
      <c r="AJ20" s="1894"/>
      <c r="AK20" s="1899"/>
      <c r="AL20" s="1726"/>
      <c r="AM20" s="1733"/>
      <c r="AN20" s="1710"/>
      <c r="AO20" s="1710"/>
      <c r="AP20" s="1903">
        <v>720</v>
      </c>
      <c r="AQ20" s="1906"/>
      <c r="AR20" s="1906"/>
      <c r="AS20" s="1894"/>
      <c r="AT20" s="1899" t="s">
        <v>1008</v>
      </c>
    </row>
    <row r="21" spans="1:46" ht="39" customHeight="1" x14ac:dyDescent="0.3">
      <c r="A21" s="2260">
        <v>45910</v>
      </c>
      <c r="B21" s="1218">
        <v>1</v>
      </c>
      <c r="C21" s="1728"/>
      <c r="D21" s="1729"/>
      <c r="E21" s="1729"/>
      <c r="F21" s="1730"/>
      <c r="G21" s="1789"/>
      <c r="H21" s="1713"/>
      <c r="I21" s="1737"/>
      <c r="J21" s="1790"/>
      <c r="K21" s="332"/>
      <c r="L21" s="1733"/>
      <c r="M21" s="1710"/>
      <c r="N21" s="1710"/>
      <c r="O21" s="1730"/>
      <c r="P21" s="1733"/>
      <c r="Q21" s="1725"/>
      <c r="R21" s="1710"/>
      <c r="S21" s="1790"/>
      <c r="T21" s="332"/>
      <c r="U21" s="1733"/>
      <c r="V21" s="1710"/>
      <c r="W21" s="1710"/>
      <c r="X21" s="1730"/>
      <c r="Y21" s="1784"/>
      <c r="Z21" s="1710"/>
      <c r="AA21" s="1783"/>
      <c r="AB21" s="1790"/>
      <c r="AC21" s="332"/>
      <c r="AD21" s="1733"/>
      <c r="AE21" s="1710"/>
      <c r="AF21" s="1710"/>
      <c r="AG21" s="1903"/>
      <c r="AH21" s="1905"/>
      <c r="AI21" s="1905"/>
      <c r="AJ21" s="1906"/>
      <c r="AK21" s="1909"/>
      <c r="AL21" s="1726"/>
      <c r="AM21" s="1733"/>
      <c r="AN21" s="1710"/>
      <c r="AO21" s="1710"/>
      <c r="AP21" s="1903">
        <v>720</v>
      </c>
      <c r="AQ21" s="1905"/>
      <c r="AR21" s="1906"/>
      <c r="AS21" s="1906"/>
      <c r="AT21" s="1899" t="s">
        <v>1008</v>
      </c>
    </row>
    <row r="22" spans="1:46" ht="49.9" customHeight="1" x14ac:dyDescent="0.3">
      <c r="A22" s="2261"/>
      <c r="B22" s="1218">
        <v>2</v>
      </c>
      <c r="C22" s="1728"/>
      <c r="D22" s="1729"/>
      <c r="E22" s="1729"/>
      <c r="F22" s="1730"/>
      <c r="G22" s="1788"/>
      <c r="H22" s="1723"/>
      <c r="I22" s="1714"/>
      <c r="J22" s="1743"/>
      <c r="K22" s="332"/>
      <c r="L22" s="1733"/>
      <c r="M22" s="1710"/>
      <c r="N22" s="1710"/>
      <c r="O22" s="1730"/>
      <c r="P22" s="1961"/>
      <c r="Q22" s="1723"/>
      <c r="R22" s="1710"/>
      <c r="S22" s="1743"/>
      <c r="T22" s="332"/>
      <c r="U22" s="1733"/>
      <c r="V22" s="1710"/>
      <c r="W22" s="1710"/>
      <c r="X22" s="1730"/>
      <c r="Y22" s="1784"/>
      <c r="Z22" s="1723"/>
      <c r="AA22" s="1738"/>
      <c r="AB22" s="1743"/>
      <c r="AC22" s="332"/>
      <c r="AD22" s="1733"/>
      <c r="AE22" s="1710"/>
      <c r="AF22" s="1710"/>
      <c r="AG22" s="1903"/>
      <c r="AH22" s="1905"/>
      <c r="AI22" s="1905"/>
      <c r="AJ22" s="1899"/>
      <c r="AK22" s="1899"/>
      <c r="AL22" s="1726"/>
      <c r="AM22" s="1733"/>
      <c r="AN22" s="1710"/>
      <c r="AO22" s="1710"/>
      <c r="AP22" s="1903">
        <v>720</v>
      </c>
      <c r="AQ22" s="1905"/>
      <c r="AR22" s="1899"/>
      <c r="AS22" s="1905"/>
      <c r="AT22" s="1899" t="s">
        <v>1008</v>
      </c>
    </row>
    <row r="23" spans="1:46" ht="47.45" customHeight="1" x14ac:dyDescent="0.3">
      <c r="A23" s="2260">
        <v>45911</v>
      </c>
      <c r="B23" s="1244">
        <v>1</v>
      </c>
      <c r="C23" s="1728"/>
      <c r="D23" s="1729"/>
      <c r="E23" s="1729"/>
      <c r="F23" s="1730"/>
      <c r="G23" s="1788"/>
      <c r="H23" s="1713"/>
      <c r="I23" s="1737"/>
      <c r="J23" s="1743"/>
      <c r="K23" s="332"/>
      <c r="L23" s="1733"/>
      <c r="M23" s="1710"/>
      <c r="N23" s="1710"/>
      <c r="O23" s="1730"/>
      <c r="P23" s="1712"/>
      <c r="Q23" s="1713"/>
      <c r="R23" s="1723"/>
      <c r="S23" s="1743"/>
      <c r="T23" s="332"/>
      <c r="U23" s="1733"/>
      <c r="V23" s="1710"/>
      <c r="W23" s="1710"/>
      <c r="X23" s="1730"/>
      <c r="Y23" s="1784"/>
      <c r="Z23" s="1714"/>
      <c r="AA23" s="1783"/>
      <c r="AB23" s="1743"/>
      <c r="AC23" s="332"/>
      <c r="AD23" s="1733"/>
      <c r="AE23" s="1710"/>
      <c r="AF23" s="1960"/>
      <c r="AG23" s="1903"/>
      <c r="AH23" s="1905"/>
      <c r="AI23" s="1898"/>
      <c r="AJ23" s="1898"/>
      <c r="AK23" s="1899"/>
      <c r="AL23" s="1726"/>
      <c r="AM23" s="1733"/>
      <c r="AN23" s="1710"/>
      <c r="AO23" s="1710"/>
      <c r="AP23" s="1903">
        <v>720</v>
      </c>
      <c r="AQ23" s="1905"/>
      <c r="AR23" s="1914"/>
      <c r="AS23" s="1899"/>
      <c r="AT23" s="1899" t="s">
        <v>1008</v>
      </c>
    </row>
    <row r="24" spans="1:46" ht="49.9" customHeight="1" x14ac:dyDescent="0.3">
      <c r="A24" s="2261"/>
      <c r="B24" s="1218">
        <v>2</v>
      </c>
      <c r="C24" s="1728"/>
      <c r="D24" s="1729"/>
      <c r="E24" s="1729"/>
      <c r="F24" s="1730"/>
      <c r="G24" s="1788"/>
      <c r="H24" s="1723"/>
      <c r="I24" s="1737"/>
      <c r="J24" s="1743"/>
      <c r="K24" s="332"/>
      <c r="L24" s="1733"/>
      <c r="M24" s="1710"/>
      <c r="N24" s="1710"/>
      <c r="O24" s="1730"/>
      <c r="P24" s="1712"/>
      <c r="Q24" s="1713"/>
      <c r="R24" s="1723"/>
      <c r="S24" s="1743"/>
      <c r="T24" s="1785"/>
      <c r="U24" s="1962"/>
      <c r="V24" s="1786"/>
      <c r="W24" s="1783"/>
      <c r="X24" s="1730"/>
      <c r="Y24" s="1714"/>
      <c r="Z24" s="1713"/>
      <c r="AA24" s="1783"/>
      <c r="AB24" s="1743"/>
      <c r="AC24" s="332"/>
      <c r="AD24" s="1733"/>
      <c r="AE24" s="1710"/>
      <c r="AF24" s="1962"/>
      <c r="AG24" s="1903"/>
      <c r="AH24" s="1894"/>
      <c r="AI24" s="1898"/>
      <c r="AJ24" s="1899"/>
      <c r="AK24" s="1899"/>
      <c r="AL24" s="1726"/>
      <c r="AM24" s="1733"/>
      <c r="AN24" s="1710"/>
      <c r="AO24" s="1710"/>
      <c r="AP24" s="1903">
        <v>720</v>
      </c>
      <c r="AQ24" s="1898"/>
      <c r="AR24" s="1898"/>
      <c r="AS24" s="1899"/>
      <c r="AT24" s="1899" t="s">
        <v>1008</v>
      </c>
    </row>
    <row r="25" spans="1:46" ht="45" customHeight="1" x14ac:dyDescent="0.3">
      <c r="A25" s="2260">
        <v>45912</v>
      </c>
      <c r="B25" s="1218">
        <v>1</v>
      </c>
      <c r="C25" s="1728"/>
      <c r="D25" s="1729"/>
      <c r="E25" s="1729"/>
      <c r="F25" s="1730"/>
      <c r="G25" s="1712"/>
      <c r="H25" s="1713"/>
      <c r="I25" s="1714"/>
      <c r="J25" s="1743"/>
      <c r="K25" s="332"/>
      <c r="L25" s="1733"/>
      <c r="M25" s="1710"/>
      <c r="N25" s="1710"/>
      <c r="O25" s="1730"/>
      <c r="P25" s="1733"/>
      <c r="Q25" s="1713"/>
      <c r="R25" s="1710"/>
      <c r="S25" s="1743"/>
      <c r="T25" s="332"/>
      <c r="U25" s="1733"/>
      <c r="V25" s="1710"/>
      <c r="W25" s="1710"/>
      <c r="X25" s="1730"/>
      <c r="Y25" s="1784"/>
      <c r="Z25" s="1725"/>
      <c r="AA25" s="1783"/>
      <c r="AB25" s="1743"/>
      <c r="AC25" s="332"/>
      <c r="AD25" s="1733">
        <v>90</v>
      </c>
      <c r="AE25" s="1710"/>
      <c r="AF25" s="1710"/>
      <c r="AG25" s="1903"/>
      <c r="AH25" s="1905" t="s">
        <v>45</v>
      </c>
      <c r="AI25" s="1906"/>
      <c r="AJ25" s="1899"/>
      <c r="AK25" s="1899"/>
      <c r="AL25" s="1726"/>
      <c r="AM25" s="1733"/>
      <c r="AN25" s="1710"/>
      <c r="AO25" s="1710"/>
      <c r="AP25" s="1903">
        <v>720</v>
      </c>
      <c r="AQ25" s="1905"/>
      <c r="AR25" s="1905"/>
      <c r="AS25" s="1899"/>
      <c r="AT25" s="1899" t="s">
        <v>1008</v>
      </c>
    </row>
    <row r="26" spans="1:46" ht="51.75" customHeight="1" x14ac:dyDescent="0.3">
      <c r="A26" s="2261"/>
      <c r="B26" s="1218">
        <v>2</v>
      </c>
      <c r="C26" s="1728"/>
      <c r="D26" s="1729"/>
      <c r="E26" s="1729"/>
      <c r="F26" s="1730">
        <v>154</v>
      </c>
      <c r="G26" s="1712"/>
      <c r="H26" s="1723"/>
      <c r="I26" s="1714"/>
      <c r="J26" s="1743" t="s">
        <v>1071</v>
      </c>
      <c r="K26" s="332"/>
      <c r="L26" s="1733"/>
      <c r="M26" s="1710"/>
      <c r="N26" s="1710"/>
      <c r="O26" s="1730">
        <v>139</v>
      </c>
      <c r="P26" s="1712"/>
      <c r="Q26" s="1723"/>
      <c r="R26" s="1749"/>
      <c r="S26" s="1743" t="s">
        <v>1071</v>
      </c>
      <c r="T26" s="332"/>
      <c r="U26" s="1733"/>
      <c r="V26" s="1729"/>
      <c r="W26" s="1710"/>
      <c r="X26" s="1730">
        <v>148</v>
      </c>
      <c r="Y26" s="1714"/>
      <c r="Z26" s="1723"/>
      <c r="AA26" s="1783"/>
      <c r="AB26" s="1743" t="s">
        <v>1071</v>
      </c>
      <c r="AC26" s="332"/>
      <c r="AD26" s="1733">
        <v>720</v>
      </c>
      <c r="AE26" s="1729"/>
      <c r="AF26" s="1710"/>
      <c r="AG26" s="1903"/>
      <c r="AH26" s="1894" t="s">
        <v>45</v>
      </c>
      <c r="AI26" s="1899"/>
      <c r="AJ26" s="1899"/>
      <c r="AK26" s="1899"/>
      <c r="AL26" s="1726"/>
      <c r="AM26" s="1733"/>
      <c r="AN26" s="1729"/>
      <c r="AO26" s="1710"/>
      <c r="AP26" s="1903">
        <v>720</v>
      </c>
      <c r="AQ26" s="1898"/>
      <c r="AR26" s="1899"/>
      <c r="AS26" s="1899"/>
      <c r="AT26" s="1899" t="s">
        <v>1008</v>
      </c>
    </row>
    <row r="27" spans="1:46" ht="49.9" customHeight="1" x14ac:dyDescent="0.3">
      <c r="A27" s="2260">
        <v>45913</v>
      </c>
      <c r="B27" s="1244">
        <v>1</v>
      </c>
      <c r="C27" s="1728"/>
      <c r="D27" s="1729"/>
      <c r="E27" s="1729">
        <v>11</v>
      </c>
      <c r="F27" s="1730">
        <v>30</v>
      </c>
      <c r="G27" s="1712"/>
      <c r="H27" s="1713"/>
      <c r="I27" s="1737" t="s">
        <v>388</v>
      </c>
      <c r="J27" s="1743" t="s">
        <v>1071</v>
      </c>
      <c r="K27" s="332"/>
      <c r="L27" s="1733"/>
      <c r="M27" s="1710"/>
      <c r="N27" s="1710"/>
      <c r="O27" s="1730">
        <v>30</v>
      </c>
      <c r="P27" s="1712"/>
      <c r="Q27" s="1713"/>
      <c r="R27" s="1723"/>
      <c r="S27" s="1743" t="s">
        <v>1071</v>
      </c>
      <c r="T27" s="332"/>
      <c r="U27" s="1733"/>
      <c r="V27" s="1710"/>
      <c r="W27" s="1710"/>
      <c r="X27" s="1730">
        <v>15</v>
      </c>
      <c r="Y27" s="1712"/>
      <c r="Z27" s="1723"/>
      <c r="AA27" s="1783"/>
      <c r="AB27" s="1743" t="s">
        <v>1071</v>
      </c>
      <c r="AC27" s="332"/>
      <c r="AD27" s="1733">
        <v>720</v>
      </c>
      <c r="AE27" s="1710"/>
      <c r="AF27" s="1710"/>
      <c r="AG27" s="1903"/>
      <c r="AH27" s="1898" t="s">
        <v>45</v>
      </c>
      <c r="AI27" s="1906"/>
      <c r="AJ27" s="1899"/>
      <c r="AK27" s="1899"/>
      <c r="AL27" s="1726"/>
      <c r="AM27" s="1733"/>
      <c r="AN27" s="1710"/>
      <c r="AO27" s="1710"/>
      <c r="AP27" s="1903">
        <v>720</v>
      </c>
      <c r="AQ27" s="1906"/>
      <c r="AR27" s="1905"/>
      <c r="AS27" s="1899"/>
      <c r="AT27" s="1899" t="s">
        <v>1008</v>
      </c>
    </row>
    <row r="28" spans="1:46" ht="42" customHeight="1" x14ac:dyDescent="0.3">
      <c r="A28" s="2261"/>
      <c r="B28" s="1218">
        <v>2</v>
      </c>
      <c r="C28" s="1728"/>
      <c r="D28" s="1729"/>
      <c r="E28" s="1729"/>
      <c r="F28" s="1730">
        <v>720</v>
      </c>
      <c r="G28" s="1723"/>
      <c r="H28" s="1723"/>
      <c r="I28" s="1749"/>
      <c r="J28" s="1743" t="s">
        <v>1134</v>
      </c>
      <c r="K28" s="332"/>
      <c r="L28" s="1733"/>
      <c r="M28" s="1710"/>
      <c r="N28" s="1710"/>
      <c r="O28" s="1730">
        <v>720</v>
      </c>
      <c r="P28" s="1723"/>
      <c r="Q28" s="1723"/>
      <c r="R28" s="1723"/>
      <c r="S28" s="1743" t="s">
        <v>1134</v>
      </c>
      <c r="T28" s="332"/>
      <c r="U28" s="1733"/>
      <c r="V28" s="1710"/>
      <c r="W28" s="332"/>
      <c r="X28" s="1730">
        <v>720</v>
      </c>
      <c r="Y28" s="1723"/>
      <c r="Z28" s="1710"/>
      <c r="AA28" s="1738"/>
      <c r="AB28" s="1743" t="s">
        <v>1134</v>
      </c>
      <c r="AC28" s="332"/>
      <c r="AD28" s="1733"/>
      <c r="AE28" s="1710"/>
      <c r="AF28" s="1710"/>
      <c r="AG28" s="1903">
        <v>720</v>
      </c>
      <c r="AH28" s="1898"/>
      <c r="AI28" s="1906"/>
      <c r="AJ28" s="1906"/>
      <c r="AK28" s="1899" t="s">
        <v>1134</v>
      </c>
      <c r="AL28" s="1726"/>
      <c r="AM28" s="1733"/>
      <c r="AN28" s="1710"/>
      <c r="AO28" s="1710"/>
      <c r="AP28" s="1903">
        <v>720</v>
      </c>
      <c r="AQ28" s="1906"/>
      <c r="AR28" s="1905"/>
      <c r="AS28" s="1899"/>
      <c r="AT28" s="1899" t="s">
        <v>1134</v>
      </c>
    </row>
    <row r="29" spans="1:46" ht="48" customHeight="1" x14ac:dyDescent="0.3">
      <c r="A29" s="2260">
        <v>45914</v>
      </c>
      <c r="B29" s="1218">
        <v>1</v>
      </c>
      <c r="C29" s="1728"/>
      <c r="D29" s="1729"/>
      <c r="E29" s="1729"/>
      <c r="F29" s="1730">
        <v>720</v>
      </c>
      <c r="G29" s="1723"/>
      <c r="H29" s="1713"/>
      <c r="I29" s="1749"/>
      <c r="J29" s="1743" t="s">
        <v>1134</v>
      </c>
      <c r="K29" s="332"/>
      <c r="L29" s="1733"/>
      <c r="M29" s="1710"/>
      <c r="N29" s="1710"/>
      <c r="O29" s="1730">
        <v>720</v>
      </c>
      <c r="P29" s="1712"/>
      <c r="Q29" s="1723"/>
      <c r="R29" s="1723"/>
      <c r="S29" s="1743" t="s">
        <v>1134</v>
      </c>
      <c r="T29" s="332"/>
      <c r="U29" s="1733"/>
      <c r="V29" s="1710"/>
      <c r="W29" s="1710"/>
      <c r="X29" s="1730">
        <v>720</v>
      </c>
      <c r="Y29" s="1723"/>
      <c r="Z29" s="1713"/>
      <c r="AA29" s="1738"/>
      <c r="AB29" s="1743" t="s">
        <v>1134</v>
      </c>
      <c r="AC29" s="332"/>
      <c r="AD29" s="1733"/>
      <c r="AE29" s="1710"/>
      <c r="AF29" s="1710"/>
      <c r="AG29" s="1903">
        <v>720</v>
      </c>
      <c r="AH29" s="1898"/>
      <c r="AI29" s="1898"/>
      <c r="AJ29" s="1905"/>
      <c r="AK29" s="1899" t="s">
        <v>1134</v>
      </c>
      <c r="AL29" s="1726"/>
      <c r="AM29" s="1733"/>
      <c r="AN29" s="1710"/>
      <c r="AO29" s="1710"/>
      <c r="AP29" s="1903">
        <v>720</v>
      </c>
      <c r="AQ29" s="1906"/>
      <c r="AR29" s="1898"/>
      <c r="AS29" s="1905"/>
      <c r="AT29" s="1899" t="s">
        <v>1134</v>
      </c>
    </row>
    <row r="30" spans="1:46" ht="39.6" customHeight="1" x14ac:dyDescent="0.3">
      <c r="A30" s="2261"/>
      <c r="B30" s="1244">
        <v>2</v>
      </c>
      <c r="C30" s="1728"/>
      <c r="D30" s="1729"/>
      <c r="E30" s="1729"/>
      <c r="F30" s="1730">
        <v>720</v>
      </c>
      <c r="G30" s="1723"/>
      <c r="H30" s="1713"/>
      <c r="I30" s="1738"/>
      <c r="J30" s="1743" t="s">
        <v>1134</v>
      </c>
      <c r="K30" s="332"/>
      <c r="L30" s="1733"/>
      <c r="M30" s="1710"/>
      <c r="N30" s="1710"/>
      <c r="O30" s="1730">
        <v>720</v>
      </c>
      <c r="P30" s="1712"/>
      <c r="Q30" s="1723"/>
      <c r="R30" s="1723"/>
      <c r="S30" s="1743" t="s">
        <v>1134</v>
      </c>
      <c r="T30" s="332"/>
      <c r="U30" s="1733"/>
      <c r="V30" s="1710"/>
      <c r="W30" s="1710"/>
      <c r="X30" s="1730">
        <v>720</v>
      </c>
      <c r="Y30" s="1723"/>
      <c r="Z30" s="1819"/>
      <c r="AA30" s="1919"/>
      <c r="AB30" s="1743" t="s">
        <v>1134</v>
      </c>
      <c r="AC30" s="332"/>
      <c r="AD30" s="1733"/>
      <c r="AE30" s="1710"/>
      <c r="AF30" s="1710"/>
      <c r="AG30" s="1903">
        <v>720</v>
      </c>
      <c r="AH30" s="1898"/>
      <c r="AI30" s="1899"/>
      <c r="AJ30" s="1905"/>
      <c r="AK30" s="1899" t="s">
        <v>1134</v>
      </c>
      <c r="AL30" s="1726"/>
      <c r="AM30" s="1733"/>
      <c r="AN30" s="1710"/>
      <c r="AO30" s="1710"/>
      <c r="AP30" s="1903">
        <v>720</v>
      </c>
      <c r="AQ30" s="1906"/>
      <c r="AR30" s="1898"/>
      <c r="AS30" s="1905"/>
      <c r="AT30" s="1906" t="s">
        <v>1134</v>
      </c>
    </row>
    <row r="31" spans="1:46" ht="39.6" customHeight="1" x14ac:dyDescent="0.3">
      <c r="A31" s="2260">
        <v>45915</v>
      </c>
      <c r="B31" s="1218">
        <v>1</v>
      </c>
      <c r="C31" s="1728"/>
      <c r="D31" s="1729"/>
      <c r="E31" s="1729"/>
      <c r="F31" s="1730">
        <v>720</v>
      </c>
      <c r="G31" s="1712"/>
      <c r="H31" s="1744"/>
      <c r="I31" s="1821"/>
      <c r="J31" s="1743" t="s">
        <v>1134</v>
      </c>
      <c r="K31" s="332"/>
      <c r="L31" s="1733"/>
      <c r="M31" s="1710"/>
      <c r="N31" s="1710"/>
      <c r="O31" s="1730">
        <v>720</v>
      </c>
      <c r="P31" s="1962"/>
      <c r="Q31" s="1710"/>
      <c r="R31" s="1710"/>
      <c r="S31" s="1743" t="s">
        <v>1134</v>
      </c>
      <c r="T31" s="332"/>
      <c r="U31" s="1733"/>
      <c r="V31" s="1710"/>
      <c r="W31" s="1710"/>
      <c r="X31" s="1730">
        <v>720</v>
      </c>
      <c r="Y31" s="1963"/>
      <c r="Z31" s="1822"/>
      <c r="AA31" s="1820"/>
      <c r="AB31" s="1752" t="s">
        <v>1134</v>
      </c>
      <c r="AC31" s="332"/>
      <c r="AD31" s="1733"/>
      <c r="AE31" s="1710"/>
      <c r="AF31" s="1710"/>
      <c r="AG31" s="1903">
        <v>720</v>
      </c>
      <c r="AH31" s="1898"/>
      <c r="AI31" s="1905"/>
      <c r="AJ31" s="1905"/>
      <c r="AK31" s="1899" t="s">
        <v>1134</v>
      </c>
      <c r="AL31" s="1726"/>
      <c r="AM31" s="1733"/>
      <c r="AN31" s="1710"/>
      <c r="AO31" s="1710"/>
      <c r="AP31" s="1903">
        <v>720</v>
      </c>
      <c r="AQ31" s="1905"/>
      <c r="AR31" s="1898"/>
      <c r="AS31" s="1905"/>
      <c r="AT31" s="1906" t="s">
        <v>1134</v>
      </c>
    </row>
    <row r="32" spans="1:46" ht="44.25" customHeight="1" x14ac:dyDescent="0.3">
      <c r="A32" s="2261"/>
      <c r="B32" s="1218">
        <v>2</v>
      </c>
      <c r="C32" s="1827"/>
      <c r="D32" s="1758"/>
      <c r="E32" s="1729"/>
      <c r="F32" s="1758">
        <v>720</v>
      </c>
      <c r="G32" s="1712"/>
      <c r="H32" s="1744"/>
      <c r="I32" s="1821"/>
      <c r="J32" s="1743" t="s">
        <v>1134</v>
      </c>
      <c r="K32" s="332"/>
      <c r="L32" s="1733"/>
      <c r="M32" s="1710"/>
      <c r="N32" s="1710"/>
      <c r="O32" s="1710">
        <v>720</v>
      </c>
      <c r="P32" s="1962"/>
      <c r="Q32" s="1744"/>
      <c r="R32" s="1962"/>
      <c r="S32" s="1743" t="s">
        <v>1134</v>
      </c>
      <c r="T32" s="332"/>
      <c r="U32" s="1733"/>
      <c r="V32" s="1710"/>
      <c r="W32" s="1729"/>
      <c r="X32" s="1710">
        <v>720</v>
      </c>
      <c r="Y32" s="1816"/>
      <c r="Z32" s="1828"/>
      <c r="AA32" s="1825"/>
      <c r="AB32" s="1752" t="s">
        <v>1134</v>
      </c>
      <c r="AC32" s="332"/>
      <c r="AD32" s="1733"/>
      <c r="AE32" s="1710"/>
      <c r="AF32" s="1729"/>
      <c r="AG32" s="1782">
        <v>720</v>
      </c>
      <c r="AH32" s="1898"/>
      <c r="AI32" s="1899"/>
      <c r="AJ32" s="1906"/>
      <c r="AK32" s="1899" t="s">
        <v>1134</v>
      </c>
      <c r="AL32" s="1726"/>
      <c r="AM32" s="1733"/>
      <c r="AN32" s="1710"/>
      <c r="AO32" s="1710"/>
      <c r="AP32" s="1903">
        <v>720</v>
      </c>
      <c r="AQ32" s="1905"/>
      <c r="AR32" s="1898"/>
      <c r="AS32" s="1899"/>
      <c r="AT32" s="1906" t="s">
        <v>1134</v>
      </c>
    </row>
    <row r="33" spans="1:46" ht="43.15" customHeight="1" x14ac:dyDescent="0.3">
      <c r="A33" s="2260">
        <v>45916</v>
      </c>
      <c r="B33" s="1218">
        <v>1</v>
      </c>
      <c r="C33" s="1728"/>
      <c r="D33" s="1729"/>
      <c r="E33" s="1729"/>
      <c r="F33" s="1730">
        <v>720</v>
      </c>
      <c r="G33" s="1712"/>
      <c r="H33" s="1744"/>
      <c r="I33" s="1821"/>
      <c r="J33" s="1743" t="s">
        <v>1134</v>
      </c>
      <c r="K33" s="332"/>
      <c r="L33" s="1733"/>
      <c r="M33" s="1710"/>
      <c r="N33" s="1710"/>
      <c r="O33" s="1730">
        <v>720</v>
      </c>
      <c r="P33" s="1962"/>
      <c r="Q33" s="1710"/>
      <c r="R33" s="1710"/>
      <c r="S33" s="1743" t="s">
        <v>1134</v>
      </c>
      <c r="T33" s="332"/>
      <c r="U33" s="1733"/>
      <c r="V33" s="1710"/>
      <c r="W33" s="1710"/>
      <c r="X33" s="1730">
        <v>720</v>
      </c>
      <c r="Y33" s="1962"/>
      <c r="Z33" s="1734"/>
      <c r="AA33" s="1825"/>
      <c r="AB33" s="1743" t="s">
        <v>1134</v>
      </c>
      <c r="AC33" s="332"/>
      <c r="AD33" s="1733"/>
      <c r="AE33" s="1710"/>
      <c r="AF33" s="1710"/>
      <c r="AG33" s="1903">
        <v>720</v>
      </c>
      <c r="AH33" s="1905"/>
      <c r="AI33" s="1906"/>
      <c r="AJ33" s="1906"/>
      <c r="AK33" s="1899" t="s">
        <v>1134</v>
      </c>
      <c r="AL33" s="1726"/>
      <c r="AM33" s="1733"/>
      <c r="AN33" s="1710"/>
      <c r="AO33" s="1710"/>
      <c r="AP33" s="1903">
        <v>720</v>
      </c>
      <c r="AQ33" s="1905"/>
      <c r="AR33" s="1906"/>
      <c r="AS33" s="1905"/>
      <c r="AT33" s="1906" t="s">
        <v>1134</v>
      </c>
    </row>
    <row r="34" spans="1:46" ht="43.5" customHeight="1" x14ac:dyDescent="0.3">
      <c r="A34" s="2261"/>
      <c r="B34" s="1244">
        <v>2</v>
      </c>
      <c r="C34" s="1729"/>
      <c r="D34" s="1729"/>
      <c r="E34" s="1729"/>
      <c r="F34" s="1730">
        <v>720</v>
      </c>
      <c r="G34" s="1731"/>
      <c r="H34" s="1723"/>
      <c r="I34" s="1738"/>
      <c r="J34" s="1743" t="s">
        <v>1134</v>
      </c>
      <c r="K34" s="332"/>
      <c r="L34" s="1733"/>
      <c r="M34" s="1710"/>
      <c r="N34" s="1710"/>
      <c r="O34" s="1730">
        <v>720</v>
      </c>
      <c r="P34" s="1962"/>
      <c r="Q34" s="1723"/>
      <c r="R34" s="1710"/>
      <c r="S34" s="1743" t="s">
        <v>1134</v>
      </c>
      <c r="T34" s="332"/>
      <c r="U34" s="1733"/>
      <c r="V34" s="1710"/>
      <c r="W34" s="1710"/>
      <c r="X34" s="1730">
        <v>720</v>
      </c>
      <c r="Y34" s="1725"/>
      <c r="Z34" s="1725"/>
      <c r="AA34" s="1825"/>
      <c r="AB34" s="1743" t="s">
        <v>1134</v>
      </c>
      <c r="AC34" s="332"/>
      <c r="AD34" s="1733"/>
      <c r="AE34" s="1710"/>
      <c r="AF34" s="1710"/>
      <c r="AG34" s="1903">
        <v>720</v>
      </c>
      <c r="AH34" s="1905"/>
      <c r="AI34" s="1905"/>
      <c r="AJ34" s="1906"/>
      <c r="AK34" s="1899" t="s">
        <v>1134</v>
      </c>
      <c r="AL34" s="1726"/>
      <c r="AM34" s="1733"/>
      <c r="AN34" s="1710"/>
      <c r="AO34" s="1710"/>
      <c r="AP34" s="1903">
        <v>720</v>
      </c>
      <c r="AQ34" s="1905"/>
      <c r="AR34" s="1906"/>
      <c r="AS34" s="1899"/>
      <c r="AT34" s="1906" t="s">
        <v>1134</v>
      </c>
    </row>
    <row r="35" spans="1:46" ht="47.25" customHeight="1" x14ac:dyDescent="0.3">
      <c r="A35" s="2260">
        <v>45917</v>
      </c>
      <c r="B35" s="1218">
        <v>1</v>
      </c>
      <c r="C35" s="1729"/>
      <c r="D35" s="1729"/>
      <c r="E35" s="1782"/>
      <c r="F35" s="1730">
        <v>720</v>
      </c>
      <c r="G35" s="1784"/>
      <c r="H35" s="1962"/>
      <c r="I35" s="1738"/>
      <c r="J35" s="1743" t="s">
        <v>1134</v>
      </c>
      <c r="K35" s="332"/>
      <c r="L35" s="1733"/>
      <c r="M35" s="1710"/>
      <c r="N35" s="1710"/>
      <c r="O35" s="1730">
        <v>720</v>
      </c>
      <c r="P35" s="1784"/>
      <c r="Q35" s="1723"/>
      <c r="R35" s="1723"/>
      <c r="S35" s="1743" t="s">
        <v>1134</v>
      </c>
      <c r="T35" s="332"/>
      <c r="U35" s="1733"/>
      <c r="V35" s="1710"/>
      <c r="W35" s="1782"/>
      <c r="X35" s="1730">
        <v>720</v>
      </c>
      <c r="Y35" s="1784"/>
      <c r="Z35" s="1725"/>
      <c r="AA35" s="1738"/>
      <c r="AB35" s="1743" t="s">
        <v>1134</v>
      </c>
      <c r="AC35" s="332"/>
      <c r="AD35" s="1733"/>
      <c r="AE35" s="1710"/>
      <c r="AF35" s="1710"/>
      <c r="AG35" s="1903">
        <v>720</v>
      </c>
      <c r="AH35" s="1906"/>
      <c r="AI35" s="1905"/>
      <c r="AJ35" s="1899"/>
      <c r="AK35" s="1899" t="s">
        <v>1134</v>
      </c>
      <c r="AL35" s="1726"/>
      <c r="AM35" s="1733"/>
      <c r="AN35" s="1710"/>
      <c r="AO35" s="1710"/>
      <c r="AP35" s="1903">
        <v>720</v>
      </c>
      <c r="AQ35" s="1905"/>
      <c r="AR35" s="1906"/>
      <c r="AS35" s="1906"/>
      <c r="AT35" s="1899" t="s">
        <v>1134</v>
      </c>
    </row>
    <row r="36" spans="1:46" ht="46.9" customHeight="1" x14ac:dyDescent="0.3">
      <c r="A36" s="2261"/>
      <c r="B36" s="1218">
        <v>2</v>
      </c>
      <c r="C36" s="1782"/>
      <c r="D36" s="1710"/>
      <c r="E36" s="1782"/>
      <c r="F36" s="1730">
        <v>720</v>
      </c>
      <c r="G36" s="1749"/>
      <c r="H36" s="1723"/>
      <c r="I36" s="1749"/>
      <c r="J36" s="1743" t="s">
        <v>1134</v>
      </c>
      <c r="K36" s="332"/>
      <c r="L36" s="1784"/>
      <c r="M36" s="1710"/>
      <c r="N36" s="1710"/>
      <c r="O36" s="1730">
        <v>720</v>
      </c>
      <c r="P36" s="1784"/>
      <c r="Q36" s="1723"/>
      <c r="R36" s="1725"/>
      <c r="S36" s="1743" t="s">
        <v>1134</v>
      </c>
      <c r="T36" s="332"/>
      <c r="U36" s="1733"/>
      <c r="V36" s="1710"/>
      <c r="W36" s="1710"/>
      <c r="X36" s="1730">
        <v>720</v>
      </c>
      <c r="Y36" s="1784"/>
      <c r="Z36" s="1723"/>
      <c r="AA36" s="1738"/>
      <c r="AB36" s="1743" t="s">
        <v>1134</v>
      </c>
      <c r="AC36" s="332"/>
      <c r="AD36" s="1733"/>
      <c r="AE36" s="1710"/>
      <c r="AF36" s="1782"/>
      <c r="AG36" s="1903">
        <v>720</v>
      </c>
      <c r="AH36" s="1906"/>
      <c r="AI36" s="1906"/>
      <c r="AJ36" s="1906"/>
      <c r="AK36" s="1899" t="s">
        <v>1134</v>
      </c>
      <c r="AL36" s="1726"/>
      <c r="AM36" s="1733"/>
      <c r="AN36" s="1710"/>
      <c r="AO36" s="1710"/>
      <c r="AP36" s="1903">
        <v>720</v>
      </c>
      <c r="AQ36" s="1905"/>
      <c r="AR36" s="1906"/>
      <c r="AS36" s="1906"/>
      <c r="AT36" s="1899" t="s">
        <v>1134</v>
      </c>
    </row>
    <row r="37" spans="1:46" ht="40.5" customHeight="1" x14ac:dyDescent="0.3">
      <c r="A37" s="2260">
        <v>45918</v>
      </c>
      <c r="B37" s="1244">
        <v>1</v>
      </c>
      <c r="C37" s="1782"/>
      <c r="D37" s="1729"/>
      <c r="E37" s="1782"/>
      <c r="F37" s="1730">
        <v>720</v>
      </c>
      <c r="G37" s="1749"/>
      <c r="H37" s="1964"/>
      <c r="I37" s="1714"/>
      <c r="J37" s="1743" t="s">
        <v>1134</v>
      </c>
      <c r="K37" s="332"/>
      <c r="L37" s="1733"/>
      <c r="M37" s="1710"/>
      <c r="N37" s="1710"/>
      <c r="O37" s="1730">
        <v>720</v>
      </c>
      <c r="P37" s="1962"/>
      <c r="Q37" s="1723"/>
      <c r="R37" s="1710"/>
      <c r="S37" s="1743" t="s">
        <v>1134</v>
      </c>
      <c r="T37" s="332"/>
      <c r="U37" s="1733"/>
      <c r="V37" s="1710"/>
      <c r="W37" s="1710"/>
      <c r="X37" s="1730">
        <v>720</v>
      </c>
      <c r="Y37" s="1962"/>
      <c r="Z37" s="1725"/>
      <c r="AA37" s="1738"/>
      <c r="AB37" s="1743" t="s">
        <v>1134</v>
      </c>
      <c r="AC37" s="332"/>
      <c r="AD37" s="1733"/>
      <c r="AE37" s="1710"/>
      <c r="AF37" s="1710"/>
      <c r="AG37" s="1903">
        <v>720</v>
      </c>
      <c r="AH37" s="1906"/>
      <c r="AI37" s="1905"/>
      <c r="AJ37" s="1906"/>
      <c r="AK37" s="1899" t="s">
        <v>1134</v>
      </c>
      <c r="AL37" s="1726"/>
      <c r="AM37" s="1733"/>
      <c r="AN37" s="1710"/>
      <c r="AO37" s="1710"/>
      <c r="AP37" s="1903">
        <v>720</v>
      </c>
      <c r="AQ37" s="1905"/>
      <c r="AR37" s="1906"/>
      <c r="AS37" s="1905"/>
      <c r="AT37" s="1899" t="s">
        <v>1134</v>
      </c>
    </row>
    <row r="38" spans="1:46" ht="40.5" customHeight="1" x14ac:dyDescent="0.3">
      <c r="A38" s="2261"/>
      <c r="B38" s="1218">
        <v>2</v>
      </c>
      <c r="C38" s="1782"/>
      <c r="D38" s="1729"/>
      <c r="E38" s="1782"/>
      <c r="F38" s="1730">
        <v>720</v>
      </c>
      <c r="G38" s="1749"/>
      <c r="H38" s="1964"/>
      <c r="I38" s="1714"/>
      <c r="J38" s="1743" t="s">
        <v>1134</v>
      </c>
      <c r="K38" s="332"/>
      <c r="L38" s="1733"/>
      <c r="M38" s="1710"/>
      <c r="N38" s="1710"/>
      <c r="O38" s="1730">
        <v>720</v>
      </c>
      <c r="P38" s="1964"/>
      <c r="Q38" s="1964"/>
      <c r="R38" s="1710"/>
      <c r="S38" s="1743" t="s">
        <v>1134</v>
      </c>
      <c r="T38" s="332"/>
      <c r="U38" s="1733"/>
      <c r="V38" s="1710"/>
      <c r="W38" s="1710"/>
      <c r="X38" s="1730">
        <v>720</v>
      </c>
      <c r="Y38" s="1964"/>
      <c r="Z38" s="1725"/>
      <c r="AA38" s="1738"/>
      <c r="AB38" s="1743" t="s">
        <v>1134</v>
      </c>
      <c r="AC38" s="332"/>
      <c r="AD38" s="1733"/>
      <c r="AE38" s="1710"/>
      <c r="AF38" s="1710"/>
      <c r="AG38" s="1903">
        <v>720</v>
      </c>
      <c r="AH38" s="1906"/>
      <c r="AI38" s="1905"/>
      <c r="AJ38" s="1906"/>
      <c r="AK38" s="1899" t="s">
        <v>1134</v>
      </c>
      <c r="AL38" s="1726"/>
      <c r="AM38" s="1733"/>
      <c r="AN38" s="1710"/>
      <c r="AO38" s="1710"/>
      <c r="AP38" s="1903">
        <v>720</v>
      </c>
      <c r="AQ38" s="1905"/>
      <c r="AR38" s="1906"/>
      <c r="AS38" s="1906"/>
      <c r="AT38" s="1899" t="s">
        <v>1134</v>
      </c>
    </row>
    <row r="39" spans="1:46" ht="42" customHeight="1" x14ac:dyDescent="0.3">
      <c r="A39" s="2260">
        <v>45919</v>
      </c>
      <c r="B39" s="1218">
        <v>1</v>
      </c>
      <c r="C39" s="1782"/>
      <c r="D39" s="1729"/>
      <c r="E39" s="1729"/>
      <c r="F39" s="1730">
        <v>720</v>
      </c>
      <c r="G39" s="1749"/>
      <c r="H39" s="1964"/>
      <c r="I39" s="1714"/>
      <c r="J39" s="1743" t="s">
        <v>1134</v>
      </c>
      <c r="K39" s="332"/>
      <c r="L39" s="1733"/>
      <c r="M39" s="1710"/>
      <c r="N39" s="1710"/>
      <c r="O39" s="1730">
        <v>720</v>
      </c>
      <c r="P39" s="1749"/>
      <c r="Q39" s="1723"/>
      <c r="R39" s="1710"/>
      <c r="S39" s="1743" t="s">
        <v>1134</v>
      </c>
      <c r="T39" s="332"/>
      <c r="U39" s="1733"/>
      <c r="V39" s="1710"/>
      <c r="W39" s="1710"/>
      <c r="X39" s="1730">
        <v>720</v>
      </c>
      <c r="Y39" s="1962"/>
      <c r="Z39" s="1723"/>
      <c r="AA39" s="1738"/>
      <c r="AB39" s="1743" t="s">
        <v>1134</v>
      </c>
      <c r="AC39" s="332"/>
      <c r="AD39" s="1733"/>
      <c r="AE39" s="1710"/>
      <c r="AF39" s="1710"/>
      <c r="AG39" s="1903">
        <v>720</v>
      </c>
      <c r="AH39" s="1899"/>
      <c r="AI39" s="1898"/>
      <c r="AJ39" s="1906"/>
      <c r="AK39" s="1899" t="s">
        <v>1134</v>
      </c>
      <c r="AL39" s="1726"/>
      <c r="AM39" s="1733"/>
      <c r="AN39" s="1710"/>
      <c r="AO39" s="1710"/>
      <c r="AP39" s="1903">
        <v>720</v>
      </c>
      <c r="AQ39" s="1905"/>
      <c r="AR39" s="1906"/>
      <c r="AS39" s="1906"/>
      <c r="AT39" s="1899" t="s">
        <v>1134</v>
      </c>
    </row>
    <row r="40" spans="1:46" ht="43.5" customHeight="1" x14ac:dyDescent="0.3">
      <c r="A40" s="2261"/>
      <c r="B40" s="1218">
        <v>2</v>
      </c>
      <c r="C40" s="1729"/>
      <c r="D40" s="1729"/>
      <c r="E40" s="1729"/>
      <c r="F40" s="1730">
        <v>720</v>
      </c>
      <c r="G40" s="1749"/>
      <c r="H40" s="1964"/>
      <c r="I40" s="1714"/>
      <c r="J40" s="1743" t="s">
        <v>1134</v>
      </c>
      <c r="K40" s="332"/>
      <c r="L40" s="1733"/>
      <c r="M40" s="1710"/>
      <c r="N40" s="1710"/>
      <c r="O40" s="1730">
        <v>720</v>
      </c>
      <c r="P40" s="1712"/>
      <c r="Q40" s="1713"/>
      <c r="R40" s="1749"/>
      <c r="S40" s="1743" t="s">
        <v>1134</v>
      </c>
      <c r="T40" s="332"/>
      <c r="U40" s="1733"/>
      <c r="V40" s="1710"/>
      <c r="W40" s="1710"/>
      <c r="X40" s="1730">
        <v>720</v>
      </c>
      <c r="Y40" s="1964"/>
      <c r="Z40" s="1710"/>
      <c r="AA40" s="1738"/>
      <c r="AB40" s="1743" t="s">
        <v>1134</v>
      </c>
      <c r="AC40" s="332"/>
      <c r="AD40" s="1733"/>
      <c r="AE40" s="1710"/>
      <c r="AF40" s="1710"/>
      <c r="AG40" s="1903">
        <v>720</v>
      </c>
      <c r="AH40" s="1906"/>
      <c r="AI40" s="1899"/>
      <c r="AJ40" s="1906"/>
      <c r="AK40" s="1899" t="s">
        <v>1134</v>
      </c>
      <c r="AL40" s="1726"/>
      <c r="AM40" s="1784"/>
      <c r="AN40" s="1710"/>
      <c r="AO40" s="1710"/>
      <c r="AP40" s="1903">
        <v>720</v>
      </c>
      <c r="AQ40" s="1905"/>
      <c r="AR40" s="1906"/>
      <c r="AS40" s="1899"/>
      <c r="AT40" s="1899" t="s">
        <v>1134</v>
      </c>
    </row>
    <row r="41" spans="1:46" ht="39.6" customHeight="1" x14ac:dyDescent="0.3">
      <c r="A41" s="2260">
        <v>45920</v>
      </c>
      <c r="B41" s="1218">
        <v>1</v>
      </c>
      <c r="C41" s="1728"/>
      <c r="D41" s="1729"/>
      <c r="E41" s="1729"/>
      <c r="F41" s="1730">
        <v>720</v>
      </c>
      <c r="G41" s="1712"/>
      <c r="H41" s="1723"/>
      <c r="I41" s="1714"/>
      <c r="J41" s="1743" t="s">
        <v>1134</v>
      </c>
      <c r="K41" s="332"/>
      <c r="L41" s="1733"/>
      <c r="M41" s="1710"/>
      <c r="N41" s="1710"/>
      <c r="O41" s="1730">
        <v>720</v>
      </c>
      <c r="P41" s="1962"/>
      <c r="Q41" s="1710"/>
      <c r="R41" s="1749"/>
      <c r="S41" s="1743" t="s">
        <v>1134</v>
      </c>
      <c r="T41" s="332"/>
      <c r="U41" s="1733"/>
      <c r="V41" s="1710"/>
      <c r="W41" s="1710"/>
      <c r="X41" s="1730">
        <v>720</v>
      </c>
      <c r="Y41" s="1962"/>
      <c r="Z41" s="1725"/>
      <c r="AA41" s="1738"/>
      <c r="AB41" s="1743" t="s">
        <v>1134</v>
      </c>
      <c r="AC41" s="332"/>
      <c r="AD41" s="1733"/>
      <c r="AE41" s="1710"/>
      <c r="AF41" s="1710"/>
      <c r="AG41" s="1903">
        <v>720</v>
      </c>
      <c r="AH41" s="1906"/>
      <c r="AI41" s="1906"/>
      <c r="AJ41" s="1905"/>
      <c r="AK41" s="1899" t="s">
        <v>1134</v>
      </c>
      <c r="AL41" s="1726"/>
      <c r="AM41" s="1733"/>
      <c r="AN41" s="1710"/>
      <c r="AO41" s="1710"/>
      <c r="AP41" s="1903">
        <v>720</v>
      </c>
      <c r="AQ41" s="1905"/>
      <c r="AR41" s="1906"/>
      <c r="AS41" s="1899"/>
      <c r="AT41" s="1899" t="s">
        <v>1134</v>
      </c>
    </row>
    <row r="42" spans="1:46" ht="52.9" customHeight="1" x14ac:dyDescent="0.3">
      <c r="A42" s="2261"/>
      <c r="B42" s="1218">
        <v>2</v>
      </c>
      <c r="C42" s="1729"/>
      <c r="D42" s="1729"/>
      <c r="E42" s="1729"/>
      <c r="F42" s="1730">
        <v>720</v>
      </c>
      <c r="G42" s="1712"/>
      <c r="H42" s="1723"/>
      <c r="I42" s="1749"/>
      <c r="J42" s="1743" t="s">
        <v>1134</v>
      </c>
      <c r="K42" s="332"/>
      <c r="L42" s="1733"/>
      <c r="M42" s="1710"/>
      <c r="N42" s="1710"/>
      <c r="O42" s="1730">
        <v>720</v>
      </c>
      <c r="P42" s="1965"/>
      <c r="Q42" s="1725"/>
      <c r="R42" s="1710"/>
      <c r="S42" s="1743" t="s">
        <v>1134</v>
      </c>
      <c r="T42" s="332"/>
      <c r="U42" s="1733"/>
      <c r="V42" s="1710"/>
      <c r="W42" s="1710"/>
      <c r="X42" s="1730">
        <v>720</v>
      </c>
      <c r="Y42" s="1965"/>
      <c r="Z42" s="1725"/>
      <c r="AA42" s="1738"/>
      <c r="AB42" s="1743" t="s">
        <v>1134</v>
      </c>
      <c r="AC42" s="332"/>
      <c r="AD42" s="1733"/>
      <c r="AE42" s="1710"/>
      <c r="AF42" s="1710"/>
      <c r="AG42" s="1903">
        <v>720</v>
      </c>
      <c r="AH42" s="1906"/>
      <c r="AI42" s="1906"/>
      <c r="AJ42" s="1905"/>
      <c r="AK42" s="1899" t="s">
        <v>1134</v>
      </c>
      <c r="AL42" s="1726"/>
      <c r="AM42" s="1733"/>
      <c r="AN42" s="1710"/>
      <c r="AO42" s="1710"/>
      <c r="AP42" s="1903">
        <v>720</v>
      </c>
      <c r="AQ42" s="1905"/>
      <c r="AR42" s="1906"/>
      <c r="AS42" s="1899"/>
      <c r="AT42" s="1899" t="s">
        <v>1134</v>
      </c>
    </row>
    <row r="43" spans="1:46" ht="40.5" customHeight="1" x14ac:dyDescent="0.3">
      <c r="A43" s="2260">
        <v>45921</v>
      </c>
      <c r="B43" s="1218">
        <v>1</v>
      </c>
      <c r="C43" s="1729"/>
      <c r="D43" s="1729"/>
      <c r="E43" s="1729"/>
      <c r="F43" s="1730">
        <v>720</v>
      </c>
      <c r="G43" s="1712"/>
      <c r="H43" s="1723"/>
      <c r="I43" s="1749"/>
      <c r="J43" s="1743" t="s">
        <v>1134</v>
      </c>
      <c r="K43" s="332"/>
      <c r="L43" s="1733"/>
      <c r="M43" s="1710"/>
      <c r="N43" s="1710"/>
      <c r="O43" s="1730">
        <v>720</v>
      </c>
      <c r="P43" s="1965"/>
      <c r="Q43" s="1725"/>
      <c r="R43" s="1710"/>
      <c r="S43" s="1743" t="s">
        <v>1134</v>
      </c>
      <c r="T43" s="332"/>
      <c r="U43" s="1733"/>
      <c r="V43" s="1710"/>
      <c r="W43" s="1710"/>
      <c r="X43" s="1730">
        <v>720</v>
      </c>
      <c r="Y43" s="1965"/>
      <c r="Z43" s="1725"/>
      <c r="AA43" s="1738"/>
      <c r="AB43" s="1743" t="s">
        <v>1134</v>
      </c>
      <c r="AC43" s="332"/>
      <c r="AD43" s="1733"/>
      <c r="AE43" s="1710"/>
      <c r="AF43" s="1710"/>
      <c r="AG43" s="1903">
        <v>720</v>
      </c>
      <c r="AH43" s="1906"/>
      <c r="AI43" s="1906"/>
      <c r="AJ43" s="1905"/>
      <c r="AK43" s="1899" t="s">
        <v>1134</v>
      </c>
      <c r="AL43" s="1726"/>
      <c r="AM43" s="1733"/>
      <c r="AN43" s="1710"/>
      <c r="AO43" s="1710"/>
      <c r="AP43" s="1903">
        <v>720</v>
      </c>
      <c r="AQ43" s="1905"/>
      <c r="AR43" s="1906"/>
      <c r="AS43" s="1899"/>
      <c r="AT43" s="1899" t="s">
        <v>1134</v>
      </c>
    </row>
    <row r="44" spans="1:46" ht="45.75" customHeight="1" x14ac:dyDescent="0.3">
      <c r="A44" s="2261"/>
      <c r="B44" s="1218">
        <v>2</v>
      </c>
      <c r="C44" s="1729"/>
      <c r="D44" s="1729"/>
      <c r="E44" s="1729"/>
      <c r="F44" s="1730">
        <v>720</v>
      </c>
      <c r="G44" s="1712"/>
      <c r="H44" s="1723"/>
      <c r="I44" s="1749"/>
      <c r="J44" s="1743" t="s">
        <v>1134</v>
      </c>
      <c r="K44" s="332"/>
      <c r="L44" s="1733"/>
      <c r="M44" s="1710"/>
      <c r="N44" s="1710"/>
      <c r="O44" s="1730">
        <v>720</v>
      </c>
      <c r="P44" s="1965"/>
      <c r="Q44" s="1725"/>
      <c r="R44" s="1710"/>
      <c r="S44" s="1743" t="s">
        <v>1134</v>
      </c>
      <c r="T44" s="332"/>
      <c r="U44" s="1733"/>
      <c r="V44" s="1710"/>
      <c r="W44" s="1710"/>
      <c r="X44" s="1730">
        <v>720</v>
      </c>
      <c r="Y44" s="1965"/>
      <c r="Z44" s="1725"/>
      <c r="AA44" s="1738"/>
      <c r="AB44" s="1743" t="s">
        <v>1134</v>
      </c>
      <c r="AC44" s="332"/>
      <c r="AD44" s="1733"/>
      <c r="AE44" s="1710"/>
      <c r="AF44" s="1710"/>
      <c r="AG44" s="1903">
        <v>720</v>
      </c>
      <c r="AH44" s="1906"/>
      <c r="AI44" s="1906"/>
      <c r="AJ44" s="1905"/>
      <c r="AK44" s="1899" t="s">
        <v>1134</v>
      </c>
      <c r="AL44" s="1726"/>
      <c r="AM44" s="1733"/>
      <c r="AN44" s="1710"/>
      <c r="AO44" s="1710"/>
      <c r="AP44" s="1903">
        <v>720</v>
      </c>
      <c r="AQ44" s="1905"/>
      <c r="AR44" s="1906"/>
      <c r="AS44" s="1899"/>
      <c r="AT44" s="1899" t="s">
        <v>1134</v>
      </c>
    </row>
    <row r="45" spans="1:46" ht="48.75" customHeight="1" x14ac:dyDescent="0.3">
      <c r="A45" s="2260">
        <v>45922</v>
      </c>
      <c r="B45" s="1218">
        <v>1</v>
      </c>
      <c r="C45" s="1729"/>
      <c r="D45" s="1729"/>
      <c r="E45" s="1729"/>
      <c r="F45" s="1730">
        <v>720</v>
      </c>
      <c r="G45" s="1712"/>
      <c r="H45" s="1723"/>
      <c r="I45" s="1749"/>
      <c r="J45" s="1743" t="s">
        <v>1134</v>
      </c>
      <c r="K45" s="332"/>
      <c r="L45" s="1733"/>
      <c r="M45" s="1710"/>
      <c r="N45" s="1710"/>
      <c r="O45" s="1730">
        <v>720</v>
      </c>
      <c r="P45" s="1965"/>
      <c r="Q45" s="1725"/>
      <c r="R45" s="1710"/>
      <c r="S45" s="1743" t="s">
        <v>1134</v>
      </c>
      <c r="T45" s="332"/>
      <c r="U45" s="1733"/>
      <c r="V45" s="1710"/>
      <c r="W45" s="1710"/>
      <c r="X45" s="1730">
        <v>720</v>
      </c>
      <c r="Y45" s="1965"/>
      <c r="Z45" s="1725"/>
      <c r="AA45" s="1738"/>
      <c r="AB45" s="1743" t="s">
        <v>1134</v>
      </c>
      <c r="AC45" s="332"/>
      <c r="AD45" s="1733"/>
      <c r="AE45" s="1710"/>
      <c r="AF45" s="1710"/>
      <c r="AG45" s="1903">
        <v>720</v>
      </c>
      <c r="AH45" s="1906"/>
      <c r="AI45" s="1906"/>
      <c r="AJ45" s="1905"/>
      <c r="AK45" s="1899" t="s">
        <v>1134</v>
      </c>
      <c r="AL45" s="1726"/>
      <c r="AM45" s="1733"/>
      <c r="AN45" s="1710"/>
      <c r="AO45" s="1710"/>
      <c r="AP45" s="1903">
        <v>720</v>
      </c>
      <c r="AQ45" s="1905"/>
      <c r="AR45" s="1906"/>
      <c r="AS45" s="1899"/>
      <c r="AT45" s="1899" t="s">
        <v>1134</v>
      </c>
    </row>
    <row r="46" spans="1:46" ht="48.6" customHeight="1" x14ac:dyDescent="0.3">
      <c r="A46" s="2261"/>
      <c r="B46" s="1218">
        <v>2</v>
      </c>
      <c r="C46" s="1729"/>
      <c r="D46" s="1729"/>
      <c r="E46" s="1729"/>
      <c r="F46" s="1730">
        <v>720</v>
      </c>
      <c r="G46" s="1712"/>
      <c r="H46" s="1723"/>
      <c r="I46" s="1749"/>
      <c r="J46" s="1743" t="s">
        <v>1134</v>
      </c>
      <c r="K46" s="332"/>
      <c r="L46" s="1733"/>
      <c r="M46" s="1710"/>
      <c r="N46" s="1710"/>
      <c r="O46" s="1730">
        <v>720</v>
      </c>
      <c r="P46" s="1965"/>
      <c r="Q46" s="1725"/>
      <c r="R46" s="1710"/>
      <c r="S46" s="1743" t="s">
        <v>1134</v>
      </c>
      <c r="T46" s="332"/>
      <c r="U46" s="1733"/>
      <c r="V46" s="1710"/>
      <c r="W46" s="1710"/>
      <c r="X46" s="1730">
        <v>720</v>
      </c>
      <c r="Y46" s="1965"/>
      <c r="Z46" s="1725"/>
      <c r="AA46" s="1738"/>
      <c r="AB46" s="1743" t="s">
        <v>1134</v>
      </c>
      <c r="AC46" s="332"/>
      <c r="AD46" s="1733"/>
      <c r="AE46" s="1710"/>
      <c r="AF46" s="1710"/>
      <c r="AG46" s="1903">
        <v>720</v>
      </c>
      <c r="AH46" s="1906"/>
      <c r="AI46" s="1906"/>
      <c r="AJ46" s="1905"/>
      <c r="AK46" s="1899" t="s">
        <v>1134</v>
      </c>
      <c r="AL46" s="1726"/>
      <c r="AM46" s="1733"/>
      <c r="AN46" s="1710"/>
      <c r="AO46" s="1710"/>
      <c r="AP46" s="1903">
        <v>720</v>
      </c>
      <c r="AQ46" s="1905"/>
      <c r="AR46" s="1906"/>
      <c r="AS46" s="1899"/>
      <c r="AT46" s="1899" t="s">
        <v>1134</v>
      </c>
    </row>
    <row r="47" spans="1:46" ht="43.5" customHeight="1" x14ac:dyDescent="0.3">
      <c r="A47" s="2260">
        <v>45923</v>
      </c>
      <c r="B47" s="1218">
        <v>1</v>
      </c>
      <c r="C47" s="1729"/>
      <c r="D47" s="1729"/>
      <c r="E47" s="1729"/>
      <c r="F47" s="1730">
        <v>720</v>
      </c>
      <c r="G47" s="1712"/>
      <c r="H47" s="1723"/>
      <c r="I47" s="1749"/>
      <c r="J47" s="1743" t="s">
        <v>1134</v>
      </c>
      <c r="K47" s="332"/>
      <c r="L47" s="1733"/>
      <c r="M47" s="1710"/>
      <c r="N47" s="1710"/>
      <c r="O47" s="1730">
        <v>720</v>
      </c>
      <c r="P47" s="1965"/>
      <c r="Q47" s="1725"/>
      <c r="R47" s="1710"/>
      <c r="S47" s="1743" t="s">
        <v>1134</v>
      </c>
      <c r="T47" s="332"/>
      <c r="U47" s="1733"/>
      <c r="V47" s="1710"/>
      <c r="W47" s="1710"/>
      <c r="X47" s="1730">
        <v>720</v>
      </c>
      <c r="Y47" s="1965"/>
      <c r="Z47" s="1725"/>
      <c r="AA47" s="1738"/>
      <c r="AB47" s="1743" t="s">
        <v>1134</v>
      </c>
      <c r="AC47" s="332"/>
      <c r="AD47" s="1733"/>
      <c r="AE47" s="1710"/>
      <c r="AF47" s="1710"/>
      <c r="AG47" s="1903">
        <v>720</v>
      </c>
      <c r="AH47" s="1906"/>
      <c r="AI47" s="1906"/>
      <c r="AJ47" s="1905"/>
      <c r="AK47" s="1899" t="s">
        <v>1134</v>
      </c>
      <c r="AL47" s="1726"/>
      <c r="AM47" s="1733"/>
      <c r="AN47" s="1710"/>
      <c r="AO47" s="1710"/>
      <c r="AP47" s="1903">
        <v>720</v>
      </c>
      <c r="AQ47" s="1905"/>
      <c r="AR47" s="1906"/>
      <c r="AS47" s="1899"/>
      <c r="AT47" s="1899" t="s">
        <v>1134</v>
      </c>
    </row>
    <row r="48" spans="1:46" ht="34.9" customHeight="1" x14ac:dyDescent="0.3">
      <c r="A48" s="2261"/>
      <c r="B48" s="1218">
        <v>2</v>
      </c>
      <c r="C48" s="1729"/>
      <c r="D48" s="1729"/>
      <c r="E48" s="1729"/>
      <c r="F48" s="1730">
        <v>720</v>
      </c>
      <c r="G48" s="1712"/>
      <c r="H48" s="1723"/>
      <c r="I48" s="1749"/>
      <c r="J48" s="1743" t="s">
        <v>1134</v>
      </c>
      <c r="K48" s="332"/>
      <c r="L48" s="1733"/>
      <c r="M48" s="1710"/>
      <c r="N48" s="1710"/>
      <c r="O48" s="1730">
        <v>720</v>
      </c>
      <c r="P48" s="1965"/>
      <c r="Q48" s="1725"/>
      <c r="R48" s="1710"/>
      <c r="S48" s="1743" t="s">
        <v>1134</v>
      </c>
      <c r="T48" s="332"/>
      <c r="U48" s="1733"/>
      <c r="V48" s="1710"/>
      <c r="W48" s="1710"/>
      <c r="X48" s="1730">
        <v>720</v>
      </c>
      <c r="Y48" s="1965"/>
      <c r="Z48" s="1725"/>
      <c r="AA48" s="1738"/>
      <c r="AB48" s="1743" t="s">
        <v>1134</v>
      </c>
      <c r="AC48" s="332"/>
      <c r="AD48" s="1733"/>
      <c r="AE48" s="1710"/>
      <c r="AF48" s="1710"/>
      <c r="AG48" s="1903">
        <v>720</v>
      </c>
      <c r="AH48" s="1906"/>
      <c r="AI48" s="1906"/>
      <c r="AJ48" s="1905"/>
      <c r="AK48" s="1899" t="s">
        <v>1134</v>
      </c>
      <c r="AL48" s="1726"/>
      <c r="AM48" s="1733"/>
      <c r="AN48" s="1710"/>
      <c r="AO48" s="1710"/>
      <c r="AP48" s="1903">
        <v>720</v>
      </c>
      <c r="AQ48" s="1905"/>
      <c r="AR48" s="1906"/>
      <c r="AS48" s="1899"/>
      <c r="AT48" s="1899" t="s">
        <v>1134</v>
      </c>
    </row>
    <row r="49" spans="1:46" ht="43.15" customHeight="1" x14ac:dyDescent="0.3">
      <c r="A49" s="2260">
        <v>45924</v>
      </c>
      <c r="B49" s="1218">
        <v>1</v>
      </c>
      <c r="C49" s="1729"/>
      <c r="D49" s="1729"/>
      <c r="E49" s="1729"/>
      <c r="F49" s="1730">
        <v>720</v>
      </c>
      <c r="G49" s="1712"/>
      <c r="H49" s="1723"/>
      <c r="I49" s="1749"/>
      <c r="J49" s="1743" t="s">
        <v>1134</v>
      </c>
      <c r="K49" s="332"/>
      <c r="L49" s="1733"/>
      <c r="M49" s="1710"/>
      <c r="N49" s="1710"/>
      <c r="O49" s="1730">
        <v>720</v>
      </c>
      <c r="P49" s="1965"/>
      <c r="Q49" s="1725"/>
      <c r="R49" s="1710"/>
      <c r="S49" s="1743" t="s">
        <v>1134</v>
      </c>
      <c r="T49" s="332"/>
      <c r="U49" s="1733"/>
      <c r="V49" s="1710"/>
      <c r="W49" s="1710"/>
      <c r="X49" s="1730">
        <v>720</v>
      </c>
      <c r="Y49" s="1965"/>
      <c r="Z49" s="1725"/>
      <c r="AA49" s="1738"/>
      <c r="AB49" s="1743" t="s">
        <v>1134</v>
      </c>
      <c r="AC49" s="332"/>
      <c r="AD49" s="1733"/>
      <c r="AE49" s="1710"/>
      <c r="AF49" s="1710"/>
      <c r="AG49" s="1903">
        <v>720</v>
      </c>
      <c r="AH49" s="1906"/>
      <c r="AI49" s="1906"/>
      <c r="AJ49" s="1905"/>
      <c r="AK49" s="1899" t="s">
        <v>1134</v>
      </c>
      <c r="AL49" s="1726"/>
      <c r="AM49" s="1733"/>
      <c r="AN49" s="1710"/>
      <c r="AO49" s="1710"/>
      <c r="AP49" s="1903">
        <v>720</v>
      </c>
      <c r="AQ49" s="1905"/>
      <c r="AR49" s="1906"/>
      <c r="AS49" s="1899"/>
      <c r="AT49" s="1899" t="s">
        <v>1134</v>
      </c>
    </row>
    <row r="50" spans="1:46" ht="51.6" customHeight="1" x14ac:dyDescent="0.3">
      <c r="A50" s="2261"/>
      <c r="B50" s="1218">
        <v>2</v>
      </c>
      <c r="C50" s="1729"/>
      <c r="D50" s="1729"/>
      <c r="E50" s="1729"/>
      <c r="F50" s="1730">
        <v>720</v>
      </c>
      <c r="G50" s="1712"/>
      <c r="H50" s="1723"/>
      <c r="I50" s="1749"/>
      <c r="J50" s="1743" t="s">
        <v>1134</v>
      </c>
      <c r="K50" s="332"/>
      <c r="L50" s="1733"/>
      <c r="M50" s="1710"/>
      <c r="N50" s="1710"/>
      <c r="O50" s="1730">
        <v>720</v>
      </c>
      <c r="P50" s="1965"/>
      <c r="Q50" s="1725"/>
      <c r="R50" s="1710"/>
      <c r="S50" s="1743" t="s">
        <v>1134</v>
      </c>
      <c r="T50" s="332"/>
      <c r="U50" s="1733"/>
      <c r="V50" s="1710"/>
      <c r="W50" s="1710"/>
      <c r="X50" s="1730">
        <v>720</v>
      </c>
      <c r="Y50" s="1965"/>
      <c r="Z50" s="1725"/>
      <c r="AA50" s="1738"/>
      <c r="AB50" s="1743" t="s">
        <v>1134</v>
      </c>
      <c r="AC50" s="332"/>
      <c r="AD50" s="1733"/>
      <c r="AE50" s="1710"/>
      <c r="AF50" s="1710"/>
      <c r="AG50" s="1903">
        <v>720</v>
      </c>
      <c r="AH50" s="1906"/>
      <c r="AI50" s="1906"/>
      <c r="AJ50" s="1905"/>
      <c r="AK50" s="1899" t="s">
        <v>1134</v>
      </c>
      <c r="AL50" s="1726"/>
      <c r="AM50" s="1733"/>
      <c r="AN50" s="1710"/>
      <c r="AO50" s="1710"/>
      <c r="AP50" s="1903">
        <v>720</v>
      </c>
      <c r="AQ50" s="1905"/>
      <c r="AR50" s="1906"/>
      <c r="AS50" s="1899"/>
      <c r="AT50" s="1899" t="s">
        <v>1134</v>
      </c>
    </row>
    <row r="51" spans="1:46" ht="34.9" customHeight="1" x14ac:dyDescent="0.3">
      <c r="A51" s="2260">
        <v>45925</v>
      </c>
      <c r="B51" s="1218">
        <v>1</v>
      </c>
      <c r="C51" s="1729"/>
      <c r="D51" s="1729"/>
      <c r="E51" s="1729"/>
      <c r="F51" s="1730">
        <v>720</v>
      </c>
      <c r="G51" s="1712"/>
      <c r="H51" s="1723"/>
      <c r="I51" s="1749"/>
      <c r="J51" s="1743" t="s">
        <v>1134</v>
      </c>
      <c r="K51" s="332"/>
      <c r="L51" s="1733"/>
      <c r="M51" s="1710"/>
      <c r="N51" s="1710"/>
      <c r="O51" s="1730">
        <v>720</v>
      </c>
      <c r="P51" s="1965"/>
      <c r="Q51" s="1725"/>
      <c r="R51" s="1710"/>
      <c r="S51" s="1743" t="s">
        <v>1134</v>
      </c>
      <c r="T51" s="332"/>
      <c r="U51" s="1733"/>
      <c r="V51" s="1710"/>
      <c r="W51" s="1710"/>
      <c r="X51" s="1730">
        <v>720</v>
      </c>
      <c r="Y51" s="1965"/>
      <c r="Z51" s="1725"/>
      <c r="AA51" s="1738"/>
      <c r="AB51" s="1743" t="s">
        <v>1134</v>
      </c>
      <c r="AC51" s="332"/>
      <c r="AD51" s="1733"/>
      <c r="AE51" s="1710"/>
      <c r="AF51" s="1710"/>
      <c r="AG51" s="1903">
        <v>720</v>
      </c>
      <c r="AH51" s="1906"/>
      <c r="AI51" s="1906"/>
      <c r="AJ51" s="1905"/>
      <c r="AK51" s="1899" t="s">
        <v>1134</v>
      </c>
      <c r="AL51" s="1726"/>
      <c r="AM51" s="1733"/>
      <c r="AN51" s="1710"/>
      <c r="AO51" s="1710"/>
      <c r="AP51" s="1903">
        <v>720</v>
      </c>
      <c r="AQ51" s="1905"/>
      <c r="AR51" s="1906"/>
      <c r="AS51" s="1899"/>
      <c r="AT51" s="1899" t="s">
        <v>1134</v>
      </c>
    </row>
    <row r="52" spans="1:46" ht="49.15" customHeight="1" x14ac:dyDescent="0.3">
      <c r="A52" s="2261"/>
      <c r="B52" s="1218">
        <v>2</v>
      </c>
      <c r="C52" s="1729"/>
      <c r="D52" s="1729"/>
      <c r="E52" s="1729"/>
      <c r="F52" s="1730">
        <v>720</v>
      </c>
      <c r="G52" s="1712"/>
      <c r="H52" s="1723"/>
      <c r="I52" s="1749"/>
      <c r="J52" s="1743" t="s">
        <v>1134</v>
      </c>
      <c r="K52" s="332"/>
      <c r="L52" s="1733"/>
      <c r="M52" s="1710"/>
      <c r="N52" s="1710"/>
      <c r="O52" s="1730">
        <v>720</v>
      </c>
      <c r="P52" s="1965"/>
      <c r="Q52" s="1725"/>
      <c r="R52" s="1710"/>
      <c r="S52" s="1743" t="s">
        <v>1134</v>
      </c>
      <c r="T52" s="332"/>
      <c r="U52" s="1733"/>
      <c r="V52" s="1710"/>
      <c r="W52" s="1710"/>
      <c r="X52" s="1730">
        <v>720</v>
      </c>
      <c r="Y52" s="1965"/>
      <c r="Z52" s="1725"/>
      <c r="AA52" s="1738"/>
      <c r="AB52" s="1743" t="s">
        <v>1134</v>
      </c>
      <c r="AC52" s="332"/>
      <c r="AD52" s="1733"/>
      <c r="AE52" s="1710"/>
      <c r="AF52" s="1710"/>
      <c r="AG52" s="1903">
        <v>720</v>
      </c>
      <c r="AH52" s="1906"/>
      <c r="AI52" s="1906"/>
      <c r="AJ52" s="1905"/>
      <c r="AK52" s="1899" t="s">
        <v>1134</v>
      </c>
      <c r="AL52" s="1726"/>
      <c r="AM52" s="1733"/>
      <c r="AN52" s="1710"/>
      <c r="AO52" s="1710"/>
      <c r="AP52" s="1903">
        <v>720</v>
      </c>
      <c r="AQ52" s="1905"/>
      <c r="AR52" s="1906"/>
      <c r="AS52" s="1899"/>
      <c r="AT52" s="1899" t="s">
        <v>1134</v>
      </c>
    </row>
    <row r="53" spans="1:46" ht="48" customHeight="1" x14ac:dyDescent="0.3">
      <c r="A53" s="2260">
        <v>45926</v>
      </c>
      <c r="B53" s="1218">
        <v>1</v>
      </c>
      <c r="C53" s="1729"/>
      <c r="D53" s="1729"/>
      <c r="E53" s="1729"/>
      <c r="F53" s="1730">
        <v>720</v>
      </c>
      <c r="G53" s="1712"/>
      <c r="H53" s="1723"/>
      <c r="I53" s="1749"/>
      <c r="J53" s="1743" t="s">
        <v>1134</v>
      </c>
      <c r="K53" s="332"/>
      <c r="L53" s="1733"/>
      <c r="M53" s="1710"/>
      <c r="N53" s="1710"/>
      <c r="O53" s="1730">
        <v>720</v>
      </c>
      <c r="P53" s="1966"/>
      <c r="Q53" s="1725"/>
      <c r="R53" s="1710"/>
      <c r="S53" s="1743" t="s">
        <v>1134</v>
      </c>
      <c r="T53" s="332"/>
      <c r="U53" s="1733"/>
      <c r="V53" s="1710"/>
      <c r="W53" s="1710"/>
      <c r="X53" s="1730">
        <v>720</v>
      </c>
      <c r="Y53" s="1966"/>
      <c r="Z53" s="1725"/>
      <c r="AA53" s="1738"/>
      <c r="AB53" s="1743" t="s">
        <v>1134</v>
      </c>
      <c r="AC53" s="332"/>
      <c r="AD53" s="1733"/>
      <c r="AE53" s="1710"/>
      <c r="AF53" s="1710"/>
      <c r="AG53" s="1903">
        <v>720</v>
      </c>
      <c r="AH53" s="1906"/>
      <c r="AI53" s="1906"/>
      <c r="AJ53" s="1905"/>
      <c r="AK53" s="1899" t="s">
        <v>1134</v>
      </c>
      <c r="AL53" s="1726"/>
      <c r="AM53" s="1733"/>
      <c r="AN53" s="1710"/>
      <c r="AO53" s="1710"/>
      <c r="AP53" s="1903">
        <v>720</v>
      </c>
      <c r="AQ53" s="1905"/>
      <c r="AR53" s="1906"/>
      <c r="AS53" s="1899"/>
      <c r="AT53" s="1899" t="s">
        <v>1134</v>
      </c>
    </row>
    <row r="54" spans="1:46" ht="45.6" customHeight="1" x14ac:dyDescent="0.3">
      <c r="A54" s="2261"/>
      <c r="B54" s="1252">
        <v>2</v>
      </c>
      <c r="C54" s="1729"/>
      <c r="D54" s="1729"/>
      <c r="E54" s="1729"/>
      <c r="F54" s="1730">
        <v>429</v>
      </c>
      <c r="G54" s="1713"/>
      <c r="H54" s="1723"/>
      <c r="I54" s="1714"/>
      <c r="J54" s="1743" t="s">
        <v>1135</v>
      </c>
      <c r="K54" s="332"/>
      <c r="L54" s="1733"/>
      <c r="M54" s="1710"/>
      <c r="N54" s="1710"/>
      <c r="O54" s="1730">
        <v>443</v>
      </c>
      <c r="P54" s="1713"/>
      <c r="Q54" s="1723"/>
      <c r="R54" s="1713"/>
      <c r="S54" s="1743" t="s">
        <v>1135</v>
      </c>
      <c r="T54" s="332"/>
      <c r="U54" s="1733"/>
      <c r="V54" s="1710"/>
      <c r="W54" s="1710"/>
      <c r="X54" s="1730">
        <v>433</v>
      </c>
      <c r="Y54" s="1723"/>
      <c r="Z54" s="1723"/>
      <c r="AA54" s="1738"/>
      <c r="AB54" s="1743" t="s">
        <v>1135</v>
      </c>
      <c r="AC54" s="332"/>
      <c r="AD54" s="1733">
        <v>720</v>
      </c>
      <c r="AE54" s="1710"/>
      <c r="AF54" s="1710"/>
      <c r="AG54" s="1782"/>
      <c r="AH54" s="1905" t="s">
        <v>45</v>
      </c>
      <c r="AI54" s="1899"/>
      <c r="AJ54" s="1906"/>
      <c r="AK54" s="1899"/>
      <c r="AL54" s="1726"/>
      <c r="AM54" s="1733">
        <v>241</v>
      </c>
      <c r="AN54" s="1759">
        <v>48</v>
      </c>
      <c r="AO54" s="1734"/>
      <c r="AP54" s="1782">
        <v>399</v>
      </c>
      <c r="AQ54" s="1906" t="s">
        <v>45</v>
      </c>
      <c r="AR54" s="1899" t="s">
        <v>317</v>
      </c>
      <c r="AS54" s="1899"/>
      <c r="AT54" s="1899" t="s">
        <v>1135</v>
      </c>
    </row>
    <row r="55" spans="1:46" ht="39.6" customHeight="1" x14ac:dyDescent="0.3">
      <c r="A55" s="2260">
        <v>45927</v>
      </c>
      <c r="B55" s="1218">
        <v>1</v>
      </c>
      <c r="C55" s="1728"/>
      <c r="D55" s="1729"/>
      <c r="E55" s="1729"/>
      <c r="F55" s="1730"/>
      <c r="G55" s="1713"/>
      <c r="H55" s="1713"/>
      <c r="I55" s="1714"/>
      <c r="J55" s="1721"/>
      <c r="K55" s="332"/>
      <c r="L55" s="1733"/>
      <c r="M55" s="1710"/>
      <c r="N55" s="1710"/>
      <c r="O55" s="1721"/>
      <c r="P55" s="1966"/>
      <c r="Q55" s="1723"/>
      <c r="R55" s="1710"/>
      <c r="S55" s="1721"/>
      <c r="T55" s="332"/>
      <c r="U55" s="1733"/>
      <c r="V55" s="1710"/>
      <c r="W55" s="1710">
        <v>5</v>
      </c>
      <c r="X55" s="1721"/>
      <c r="Y55" s="1966"/>
      <c r="Z55" s="1713"/>
      <c r="AA55" s="1738" t="s">
        <v>388</v>
      </c>
      <c r="AB55" s="1721"/>
      <c r="AC55" s="332"/>
      <c r="AD55" s="1733">
        <v>720</v>
      </c>
      <c r="AE55" s="1710"/>
      <c r="AF55" s="1710"/>
      <c r="AG55" s="1782"/>
      <c r="AH55" s="1905" t="s">
        <v>45</v>
      </c>
      <c r="AI55" s="1899"/>
      <c r="AJ55" s="1906"/>
      <c r="AK55" s="1905"/>
      <c r="AL55" s="1726"/>
      <c r="AM55" s="1733"/>
      <c r="AN55" s="1759"/>
      <c r="AO55" s="1710"/>
      <c r="AP55" s="1782"/>
      <c r="AQ55" s="1905"/>
      <c r="AR55" s="1899"/>
      <c r="AS55" s="1899"/>
      <c r="AT55" s="1899"/>
    </row>
    <row r="56" spans="1:46" ht="47.25" customHeight="1" x14ac:dyDescent="0.3">
      <c r="A56" s="2261"/>
      <c r="B56" s="1252">
        <v>2</v>
      </c>
      <c r="C56" s="1728"/>
      <c r="D56" s="1729"/>
      <c r="E56" s="1729"/>
      <c r="F56" s="1730"/>
      <c r="G56" s="1723"/>
      <c r="H56" s="1723"/>
      <c r="I56" s="1714"/>
      <c r="J56" s="1743"/>
      <c r="K56" s="332"/>
      <c r="L56" s="1733"/>
      <c r="M56" s="1710"/>
      <c r="N56" s="1710"/>
      <c r="O56" s="1730"/>
      <c r="P56" s="1723"/>
      <c r="Q56" s="1713"/>
      <c r="R56" s="1723"/>
      <c r="S56" s="1743"/>
      <c r="T56" s="332"/>
      <c r="U56" s="1733"/>
      <c r="V56" s="1710"/>
      <c r="W56" s="1710"/>
      <c r="X56" s="1730"/>
      <c r="Y56" s="1970"/>
      <c r="Z56" s="1713"/>
      <c r="AA56" s="1738"/>
      <c r="AB56" s="1743"/>
      <c r="AC56" s="332"/>
      <c r="AD56" s="1733">
        <v>720</v>
      </c>
      <c r="AE56" s="1710"/>
      <c r="AF56" s="1710"/>
      <c r="AG56" s="1903"/>
      <c r="AH56" s="1905" t="s">
        <v>45</v>
      </c>
      <c r="AI56" s="1898"/>
      <c r="AJ56" s="1899"/>
      <c r="AK56" s="1899"/>
      <c r="AL56" s="1726"/>
      <c r="AM56" s="1733"/>
      <c r="AN56" s="1759"/>
      <c r="AO56" s="1710"/>
      <c r="AP56" s="1782"/>
      <c r="AQ56" s="1899"/>
      <c r="AR56" s="1899"/>
      <c r="AS56" s="1905"/>
      <c r="AT56" s="1899"/>
    </row>
    <row r="57" spans="1:46" ht="47.25" customHeight="1" x14ac:dyDescent="0.3">
      <c r="A57" s="2260">
        <v>45928</v>
      </c>
      <c r="B57" s="1252">
        <v>1</v>
      </c>
      <c r="C57" s="1728"/>
      <c r="D57" s="1729"/>
      <c r="E57" s="1729"/>
      <c r="F57" s="1730"/>
      <c r="G57" s="1723"/>
      <c r="H57" s="1723"/>
      <c r="I57" s="1714"/>
      <c r="J57" s="1743"/>
      <c r="K57" s="332"/>
      <c r="L57" s="1733"/>
      <c r="M57" s="1710"/>
      <c r="N57" s="1710"/>
      <c r="O57" s="1730"/>
      <c r="P57" s="1723"/>
      <c r="Q57" s="1713"/>
      <c r="R57" s="1723"/>
      <c r="S57" s="1743"/>
      <c r="T57" s="332"/>
      <c r="U57" s="1733"/>
      <c r="V57" s="1710">
        <v>16</v>
      </c>
      <c r="W57" s="1710">
        <v>15</v>
      </c>
      <c r="X57" s="1730"/>
      <c r="Y57" s="1970"/>
      <c r="Z57" s="1713" t="s">
        <v>1136</v>
      </c>
      <c r="AA57" s="1738" t="s">
        <v>578</v>
      </c>
      <c r="AB57" s="1743"/>
      <c r="AC57" s="332"/>
      <c r="AD57" s="1733">
        <v>720</v>
      </c>
      <c r="AE57" s="1710"/>
      <c r="AF57" s="1710"/>
      <c r="AG57" s="1903"/>
      <c r="AH57" s="1905" t="s">
        <v>45</v>
      </c>
      <c r="AI57" s="1898"/>
      <c r="AJ57" s="1899"/>
      <c r="AK57" s="1899"/>
      <c r="AL57" s="1726"/>
      <c r="AM57" s="1733">
        <v>720</v>
      </c>
      <c r="AN57" s="1759"/>
      <c r="AO57" s="1710"/>
      <c r="AP57" s="1782"/>
      <c r="AQ57" s="1899" t="s">
        <v>45</v>
      </c>
      <c r="AR57" s="1899"/>
      <c r="AS57" s="1905"/>
      <c r="AT57" s="1899"/>
    </row>
    <row r="58" spans="1:46" ht="47.25" customHeight="1" x14ac:dyDescent="0.3">
      <c r="A58" s="2261"/>
      <c r="B58" s="1252">
        <v>2</v>
      </c>
      <c r="C58" s="1728"/>
      <c r="D58" s="1729">
        <v>39</v>
      </c>
      <c r="E58" s="1729"/>
      <c r="F58" s="1730"/>
      <c r="G58" s="1723"/>
      <c r="H58" s="1723" t="s">
        <v>317</v>
      </c>
      <c r="I58" s="1714"/>
      <c r="J58" s="1743"/>
      <c r="K58" s="332"/>
      <c r="L58" s="1733"/>
      <c r="M58" s="1710"/>
      <c r="N58" s="1710"/>
      <c r="O58" s="1730"/>
      <c r="P58" s="1723"/>
      <c r="Q58" s="1713"/>
      <c r="R58" s="1723"/>
      <c r="S58" s="1743"/>
      <c r="T58" s="332"/>
      <c r="U58" s="1733"/>
      <c r="V58" s="1710"/>
      <c r="W58" s="1710"/>
      <c r="X58" s="1730"/>
      <c r="Y58" s="1971"/>
      <c r="Z58" s="1713"/>
      <c r="AA58" s="1738"/>
      <c r="AB58" s="1743"/>
      <c r="AC58" s="332"/>
      <c r="AD58" s="1733">
        <v>720</v>
      </c>
      <c r="AE58" s="1710"/>
      <c r="AF58" s="1710"/>
      <c r="AG58" s="1903"/>
      <c r="AH58" s="1905" t="s">
        <v>45</v>
      </c>
      <c r="AI58" s="1898"/>
      <c r="AJ58" s="1899"/>
      <c r="AK58" s="1899"/>
      <c r="AL58" s="1726"/>
      <c r="AM58" s="1733">
        <v>240</v>
      </c>
      <c r="AN58" s="1759"/>
      <c r="AO58" s="1710"/>
      <c r="AP58" s="1782"/>
      <c r="AQ58" s="1899" t="s">
        <v>45</v>
      </c>
      <c r="AR58" s="1899"/>
      <c r="AS58" s="1905"/>
      <c r="AT58" s="1899"/>
    </row>
    <row r="59" spans="1:46" ht="47.25" customHeight="1" x14ac:dyDescent="0.3">
      <c r="A59" s="2260">
        <v>45929</v>
      </c>
      <c r="B59" s="1252">
        <v>1</v>
      </c>
      <c r="C59" s="1728"/>
      <c r="D59" s="1729"/>
      <c r="E59" s="1729"/>
      <c r="F59" s="1730"/>
      <c r="G59" s="1723"/>
      <c r="H59" s="1723"/>
      <c r="I59" s="1714"/>
      <c r="J59" s="1743"/>
      <c r="K59" s="332"/>
      <c r="L59" s="1733"/>
      <c r="M59" s="1710"/>
      <c r="N59" s="1710"/>
      <c r="O59" s="1730"/>
      <c r="P59" s="1723"/>
      <c r="Q59" s="1713"/>
      <c r="R59" s="1723"/>
      <c r="S59" s="1743"/>
      <c r="T59" s="332"/>
      <c r="U59" s="1733"/>
      <c r="V59" s="1710"/>
      <c r="W59" s="1710">
        <v>5</v>
      </c>
      <c r="X59" s="1730"/>
      <c r="Y59" s="1971"/>
      <c r="Z59" s="1713"/>
      <c r="AA59" s="1738" t="s">
        <v>578</v>
      </c>
      <c r="AB59" s="1743"/>
      <c r="AC59" s="332"/>
      <c r="AD59" s="1733">
        <v>720</v>
      </c>
      <c r="AE59" s="1710"/>
      <c r="AF59" s="1710"/>
      <c r="AG59" s="1903"/>
      <c r="AH59" s="1905" t="s">
        <v>45</v>
      </c>
      <c r="AI59" s="1898"/>
      <c r="AJ59" s="1899"/>
      <c r="AK59" s="1899"/>
      <c r="AL59" s="1726"/>
      <c r="AM59" s="1733">
        <v>11</v>
      </c>
      <c r="AN59" s="1759">
        <v>6</v>
      </c>
      <c r="AO59" s="1710"/>
      <c r="AP59" s="1782"/>
      <c r="AQ59" s="1899" t="s">
        <v>97</v>
      </c>
      <c r="AR59" s="1899" t="s">
        <v>317</v>
      </c>
      <c r="AS59" s="1905"/>
      <c r="AT59" s="1899"/>
    </row>
    <row r="60" spans="1:46" ht="47.25" customHeight="1" x14ac:dyDescent="0.3">
      <c r="A60" s="2261"/>
      <c r="B60" s="1252">
        <v>2</v>
      </c>
      <c r="C60" s="1728"/>
      <c r="D60" s="1729"/>
      <c r="E60" s="1729"/>
      <c r="F60" s="1730"/>
      <c r="G60" s="1723"/>
      <c r="H60" s="1723"/>
      <c r="I60" s="1714"/>
      <c r="J60" s="1743"/>
      <c r="K60" s="332"/>
      <c r="L60" s="1733"/>
      <c r="M60" s="1710"/>
      <c r="N60" s="1710"/>
      <c r="O60" s="1730"/>
      <c r="P60" s="1723"/>
      <c r="Q60" s="1713"/>
      <c r="R60" s="1723"/>
      <c r="S60" s="1743"/>
      <c r="T60" s="332"/>
      <c r="U60" s="1733"/>
      <c r="V60" s="1710"/>
      <c r="W60" s="1710"/>
      <c r="X60" s="1730"/>
      <c r="Y60" s="1971"/>
      <c r="Z60" s="1713"/>
      <c r="AA60" s="1738"/>
      <c r="AB60" s="1743"/>
      <c r="AC60" s="332"/>
      <c r="AD60" s="1733">
        <v>720</v>
      </c>
      <c r="AE60" s="1710"/>
      <c r="AF60" s="1710"/>
      <c r="AG60" s="1903"/>
      <c r="AH60" s="1905" t="s">
        <v>45</v>
      </c>
      <c r="AI60" s="1898"/>
      <c r="AJ60" s="1899"/>
      <c r="AK60" s="1899"/>
      <c r="AL60" s="1726"/>
      <c r="AM60" s="1733"/>
      <c r="AN60" s="1759"/>
      <c r="AO60" s="1710"/>
      <c r="AP60" s="1782"/>
      <c r="AQ60" s="1899"/>
      <c r="AR60" s="1899"/>
      <c r="AS60" s="1905"/>
      <c r="AT60" s="1899"/>
    </row>
    <row r="61" spans="1:46" ht="47.25" customHeight="1" x14ac:dyDescent="0.3">
      <c r="A61" s="2260">
        <v>45930</v>
      </c>
      <c r="B61" s="1252">
        <v>1</v>
      </c>
      <c r="C61" s="1728"/>
      <c r="D61" s="1729"/>
      <c r="E61" s="1729"/>
      <c r="F61" s="1730">
        <v>122</v>
      </c>
      <c r="G61" s="1723"/>
      <c r="H61" s="1723"/>
      <c r="I61" s="1714"/>
      <c r="J61" s="1743" t="s">
        <v>1134</v>
      </c>
      <c r="K61" s="332"/>
      <c r="L61" s="1733"/>
      <c r="M61" s="1710"/>
      <c r="N61" s="1710"/>
      <c r="O61" s="1730">
        <v>111</v>
      </c>
      <c r="P61" s="1723"/>
      <c r="Q61" s="1713"/>
      <c r="R61" s="1723"/>
      <c r="S61" s="1743" t="s">
        <v>1134</v>
      </c>
      <c r="T61" s="332"/>
      <c r="U61" s="1733">
        <v>15</v>
      </c>
      <c r="V61" s="1710"/>
      <c r="W61" s="1710">
        <v>13</v>
      </c>
      <c r="X61" s="1730">
        <v>116</v>
      </c>
      <c r="Y61" s="1972" t="s">
        <v>97</v>
      </c>
      <c r="Z61" s="1713"/>
      <c r="AA61" s="1738" t="s">
        <v>578</v>
      </c>
      <c r="AB61" s="1743" t="s">
        <v>1134</v>
      </c>
      <c r="AC61" s="332"/>
      <c r="AD61" s="1733">
        <v>720</v>
      </c>
      <c r="AE61" s="1710"/>
      <c r="AF61" s="1710"/>
      <c r="AG61" s="1903"/>
      <c r="AH61" s="1905" t="s">
        <v>45</v>
      </c>
      <c r="AI61" s="1898"/>
      <c r="AJ61" s="1899"/>
      <c r="AK61" s="1899"/>
      <c r="AL61" s="1726"/>
      <c r="AM61" s="1733"/>
      <c r="AN61" s="1759"/>
      <c r="AO61" s="1710"/>
      <c r="AP61" s="1782">
        <v>124</v>
      </c>
      <c r="AQ61" s="1899"/>
      <c r="AR61" s="1899"/>
      <c r="AS61" s="1905"/>
      <c r="AT61" s="1899" t="s">
        <v>1134</v>
      </c>
    </row>
    <row r="62" spans="1:46" ht="47.25" customHeight="1" x14ac:dyDescent="0.3">
      <c r="A62" s="2261"/>
      <c r="B62" s="1252">
        <v>2</v>
      </c>
      <c r="C62" s="1728"/>
      <c r="D62" s="1729">
        <v>8</v>
      </c>
      <c r="E62" s="1729"/>
      <c r="F62" s="1730"/>
      <c r="G62" s="1723"/>
      <c r="H62" s="1723" t="s">
        <v>1137</v>
      </c>
      <c r="I62" s="1714"/>
      <c r="J62" s="1743"/>
      <c r="K62" s="332"/>
      <c r="L62" s="1733"/>
      <c r="M62" s="1710"/>
      <c r="N62" s="1710"/>
      <c r="O62" s="1730"/>
      <c r="P62" s="1723"/>
      <c r="Q62" s="1713"/>
      <c r="R62" s="1723"/>
      <c r="S62" s="1743"/>
      <c r="T62" s="332"/>
      <c r="U62" s="1733"/>
      <c r="V62" s="1710">
        <v>36</v>
      </c>
      <c r="W62" s="1710"/>
      <c r="X62" s="1730"/>
      <c r="Y62" s="1972"/>
      <c r="Z62" s="1713" t="s">
        <v>348</v>
      </c>
      <c r="AA62" s="1738"/>
      <c r="AB62" s="1743"/>
      <c r="AC62" s="332"/>
      <c r="AD62" s="1733">
        <v>720</v>
      </c>
      <c r="AE62" s="1710"/>
      <c r="AF62" s="1710"/>
      <c r="AG62" s="1903"/>
      <c r="AH62" s="1905" t="s">
        <v>45</v>
      </c>
      <c r="AI62" s="1898"/>
      <c r="AJ62" s="1899"/>
      <c r="AK62" s="1899"/>
      <c r="AL62" s="1726"/>
      <c r="AM62" s="1733"/>
      <c r="AN62" s="1759"/>
      <c r="AO62" s="1710"/>
      <c r="AP62" s="1782"/>
      <c r="AQ62" s="1899"/>
      <c r="AR62" s="1899"/>
      <c r="AS62" s="1905"/>
      <c r="AT62" s="1899"/>
    </row>
    <row r="63" spans="1:46" ht="18.75" x14ac:dyDescent="0.3">
      <c r="A63" s="301" t="s">
        <v>225</v>
      </c>
      <c r="B63" s="419"/>
      <c r="C63" s="1285">
        <f>SUM(C3:C62)</f>
        <v>160</v>
      </c>
      <c r="D63" s="419">
        <f>SUM(D3:D62)</f>
        <v>55</v>
      </c>
      <c r="E63" s="1285">
        <f>SUM(E3:E62)</f>
        <v>113</v>
      </c>
      <c r="F63" s="419">
        <f>SUM(F3:F62)</f>
        <v>19587</v>
      </c>
      <c r="G63" s="301"/>
      <c r="H63" s="301"/>
      <c r="I63" s="301"/>
      <c r="J63" s="301"/>
      <c r="K63" s="301"/>
      <c r="L63" s="419">
        <f>SUM(L3:L62)</f>
        <v>438</v>
      </c>
      <c r="M63" s="419">
        <f>SUM(M3:M62)</f>
        <v>0</v>
      </c>
      <c r="N63" s="419">
        <f>SUM(N3:N62)</f>
        <v>0</v>
      </c>
      <c r="O63" s="419">
        <f>SUM(O3:O62)</f>
        <v>19569</v>
      </c>
      <c r="P63" s="301"/>
      <c r="Q63" s="301"/>
      <c r="R63" s="301"/>
      <c r="S63" s="301"/>
      <c r="T63" s="301"/>
      <c r="U63" s="419">
        <f>SUM(U3:U62)</f>
        <v>15</v>
      </c>
      <c r="V63" s="419">
        <f>SUM(V3:V62)</f>
        <v>107</v>
      </c>
      <c r="W63" s="419">
        <f>SUM(W3:W62)</f>
        <v>142</v>
      </c>
      <c r="X63" s="419">
        <f>SUM(X3:X62)</f>
        <v>19567</v>
      </c>
      <c r="Y63" s="301"/>
      <c r="Z63" s="301"/>
      <c r="AA63" s="301"/>
      <c r="AB63" s="301"/>
      <c r="AC63" s="301"/>
      <c r="AD63" s="419">
        <f>SUM(AD3:AD62)</f>
        <v>8034</v>
      </c>
      <c r="AE63" s="419">
        <f>SUM(AE3:AE62)</f>
        <v>0</v>
      </c>
      <c r="AF63" s="419">
        <f>SUM(AF3:AF62)</f>
        <v>0</v>
      </c>
      <c r="AG63" s="419">
        <f>SUM(AG3:AG62)</f>
        <v>18860</v>
      </c>
      <c r="AH63" s="301"/>
      <c r="AI63" s="301"/>
      <c r="AJ63" s="301"/>
      <c r="AK63" s="301"/>
      <c r="AL63" s="301"/>
      <c r="AM63" s="419">
        <f>SUM(AM3:AM62)</f>
        <v>1212</v>
      </c>
      <c r="AN63" s="419">
        <f>SUM(AN3:AN62)</f>
        <v>54</v>
      </c>
      <c r="AO63" s="419">
        <f>SUM(AO3:AO62)</f>
        <v>10</v>
      </c>
      <c r="AP63" s="419">
        <f>SUM(AP3:AP62)</f>
        <v>27165</v>
      </c>
      <c r="AQ63" s="301"/>
      <c r="AR63" s="301"/>
      <c r="AS63" s="301"/>
      <c r="AT63" s="301"/>
    </row>
    <row r="71" spans="2:10" ht="15.75" thickBot="1" x14ac:dyDescent="0.3"/>
    <row r="72" spans="2:10" ht="19.5" thickBot="1" x14ac:dyDescent="0.35">
      <c r="B72" s="419"/>
      <c r="C72" s="2222" t="s">
        <v>199</v>
      </c>
      <c r="D72" s="2223"/>
      <c r="E72" s="2224" t="s">
        <v>200</v>
      </c>
      <c r="F72" s="2225"/>
      <c r="G72" s="2222" t="s">
        <v>201</v>
      </c>
      <c r="H72" s="2223"/>
      <c r="I72" s="2222" t="s">
        <v>204</v>
      </c>
      <c r="J72" s="2223"/>
    </row>
    <row r="73" spans="2:10" ht="19.5" thickBot="1" x14ac:dyDescent="0.35">
      <c r="B73" s="419"/>
      <c r="C73" s="662" t="s">
        <v>222</v>
      </c>
      <c r="D73" s="663" t="s">
        <v>223</v>
      </c>
      <c r="E73" s="664" t="s">
        <v>222</v>
      </c>
      <c r="F73" s="665" t="s">
        <v>223</v>
      </c>
      <c r="G73" s="662" t="s">
        <v>222</v>
      </c>
      <c r="H73" s="663" t="s">
        <v>223</v>
      </c>
      <c r="I73" s="662" t="s">
        <v>222</v>
      </c>
      <c r="J73" s="663" t="s">
        <v>223</v>
      </c>
    </row>
    <row r="74" spans="2:10" ht="18.75" x14ac:dyDescent="0.3">
      <c r="B74" s="651" t="s">
        <v>218</v>
      </c>
      <c r="C74" s="652">
        <f>C63</f>
        <v>160</v>
      </c>
      <c r="D74" s="653">
        <f>C74/60</f>
        <v>2.6666666666666665</v>
      </c>
      <c r="E74" s="652">
        <f>D63</f>
        <v>55</v>
      </c>
      <c r="F74" s="654">
        <f>E74/60</f>
        <v>0.91666666666666663</v>
      </c>
      <c r="G74" s="652">
        <f>E63</f>
        <v>113</v>
      </c>
      <c r="H74" s="653">
        <f>G74/60</f>
        <v>1.8833333333333333</v>
      </c>
      <c r="I74" s="652">
        <f>F63</f>
        <v>19587</v>
      </c>
      <c r="J74" s="653">
        <f>I74/60</f>
        <v>326.45</v>
      </c>
    </row>
    <row r="75" spans="2:10" ht="18.75" x14ac:dyDescent="0.3">
      <c r="B75" s="651" t="s">
        <v>219</v>
      </c>
      <c r="C75" s="655">
        <f>L63</f>
        <v>438</v>
      </c>
      <c r="D75" s="656">
        <f>C75/60</f>
        <v>7.3</v>
      </c>
      <c r="E75" s="655">
        <f>M63</f>
        <v>0</v>
      </c>
      <c r="F75" s="657">
        <f>E75/60</f>
        <v>0</v>
      </c>
      <c r="G75" s="655">
        <f>N63</f>
        <v>0</v>
      </c>
      <c r="H75" s="656">
        <f>G75/60</f>
        <v>0</v>
      </c>
      <c r="I75" s="655">
        <f>O63</f>
        <v>19569</v>
      </c>
      <c r="J75" s="656">
        <f>I75/60</f>
        <v>326.14999999999998</v>
      </c>
    </row>
    <row r="76" spans="2:10" ht="18.75" x14ac:dyDescent="0.3">
      <c r="B76" s="651" t="s">
        <v>220</v>
      </c>
      <c r="C76" s="655">
        <f>U63</f>
        <v>15</v>
      </c>
      <c r="D76" s="656">
        <f>C76/60</f>
        <v>0.25</v>
      </c>
      <c r="E76" s="655">
        <f>V63</f>
        <v>107</v>
      </c>
      <c r="F76" s="657">
        <f>E76/60</f>
        <v>1.7833333333333334</v>
      </c>
      <c r="G76" s="655">
        <f>W63</f>
        <v>142</v>
      </c>
      <c r="H76" s="656">
        <f>G76/60</f>
        <v>2.3666666666666667</v>
      </c>
      <c r="I76" s="655">
        <f>X63</f>
        <v>19567</v>
      </c>
      <c r="J76" s="656">
        <f>I76/60</f>
        <v>326.11666666666667</v>
      </c>
    </row>
    <row r="77" spans="2:10" ht="19.5" thickBot="1" x14ac:dyDescent="0.35">
      <c r="B77" s="651" t="s">
        <v>221</v>
      </c>
      <c r="C77" s="658">
        <f>AD63</f>
        <v>8034</v>
      </c>
      <c r="D77" s="659">
        <f>C77/60</f>
        <v>133.9</v>
      </c>
      <c r="E77" s="658">
        <f>AE63</f>
        <v>0</v>
      </c>
      <c r="F77" s="660">
        <f>E77/60</f>
        <v>0</v>
      </c>
      <c r="G77" s="658">
        <f>AF63</f>
        <v>0</v>
      </c>
      <c r="H77" s="659">
        <f>G77/60</f>
        <v>0</v>
      </c>
      <c r="I77" s="658">
        <f>AG63</f>
        <v>18860</v>
      </c>
      <c r="J77" s="659">
        <f>I77/60</f>
        <v>314.33333333333331</v>
      </c>
    </row>
    <row r="78" spans="2:10" ht="19.5" thickBot="1" x14ac:dyDescent="0.35">
      <c r="B78" s="651" t="s">
        <v>488</v>
      </c>
      <c r="C78" s="850">
        <f>AM63</f>
        <v>1212</v>
      </c>
      <c r="D78" s="849">
        <f>C78/60</f>
        <v>20.2</v>
      </c>
      <c r="E78" s="850">
        <f>AN63</f>
        <v>54</v>
      </c>
      <c r="F78" s="851">
        <f>E78/60</f>
        <v>0.9</v>
      </c>
      <c r="G78" s="850">
        <f>AO63</f>
        <v>10</v>
      </c>
      <c r="H78" s="849">
        <f>G78/60</f>
        <v>0.16666666666666666</v>
      </c>
      <c r="I78" s="850">
        <f>AP63</f>
        <v>27165</v>
      </c>
      <c r="J78" s="849">
        <f>I78/60</f>
        <v>452.75</v>
      </c>
    </row>
    <row r="79" spans="2:10" ht="19.5" thickBot="1" x14ac:dyDescent="0.35">
      <c r="B79" s="419"/>
      <c r="C79" s="301"/>
      <c r="D79" s="301"/>
      <c r="E79" s="301"/>
      <c r="F79" s="301"/>
      <c r="G79" s="301"/>
      <c r="H79" s="301"/>
      <c r="I79" s="301"/>
      <c r="J79" s="301"/>
    </row>
    <row r="80" spans="2:10" ht="19.5" thickBot="1" x14ac:dyDescent="0.35">
      <c r="B80" s="661" t="s">
        <v>217</v>
      </c>
      <c r="C80" s="666"/>
      <c r="D80" s="667">
        <f>SUM(D74:D78)</f>
        <v>164.31666666666666</v>
      </c>
      <c r="E80" s="666"/>
      <c r="F80" s="667">
        <f>SUM(F74:F78)</f>
        <v>3.6</v>
      </c>
      <c r="G80" s="666"/>
      <c r="H80" s="667">
        <f>SUM(H74:H78)</f>
        <v>4.416666666666667</v>
      </c>
      <c r="I80" s="666"/>
      <c r="J80" s="668">
        <f>AVERAGE(J74:J78)</f>
        <v>349.15999999999997</v>
      </c>
    </row>
  </sheetData>
  <mergeCells count="44">
    <mergeCell ref="G72:H72"/>
    <mergeCell ref="I72:J72"/>
    <mergeCell ref="A61:A62"/>
    <mergeCell ref="A55:A56"/>
    <mergeCell ref="A57:A58"/>
    <mergeCell ref="A59:A60"/>
    <mergeCell ref="C72:D72"/>
    <mergeCell ref="E72:F72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D1:AG1"/>
    <mergeCell ref="AH1:AK1"/>
    <mergeCell ref="AM1:AP1"/>
    <mergeCell ref="AQ1:AT1"/>
    <mergeCell ref="A3:A4"/>
    <mergeCell ref="U1:X1"/>
    <mergeCell ref="Y1:AB1"/>
    <mergeCell ref="A5:A6"/>
    <mergeCell ref="C1:F1"/>
    <mergeCell ref="G1:J1"/>
    <mergeCell ref="L1:O1"/>
    <mergeCell ref="P1:S1"/>
  </mergeCells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2"/>
  <sheetViews>
    <sheetView topLeftCell="A46" zoomScale="85" zoomScaleNormal="85" workbookViewId="0">
      <selection activeCell="I47" sqref="I47"/>
    </sheetView>
  </sheetViews>
  <sheetFormatPr defaultRowHeight="15" x14ac:dyDescent="0.25"/>
  <cols>
    <col min="1" max="1" width="13.42578125" customWidth="1"/>
    <col min="2" max="2" width="8" customWidth="1"/>
    <col min="7" max="9" width="20.7109375" customWidth="1"/>
    <col min="10" max="10" width="25.7109375" customWidth="1"/>
    <col min="11" max="11" width="4" customWidth="1"/>
    <col min="16" max="18" width="20.7109375" customWidth="1"/>
    <col min="19" max="19" width="25.7109375" customWidth="1"/>
    <col min="20" max="20" width="5.140625" customWidth="1"/>
    <col min="23" max="23" width="9.140625" customWidth="1"/>
    <col min="25" max="27" width="20.7109375" customWidth="1"/>
    <col min="28" max="28" width="25.7109375" customWidth="1"/>
    <col min="29" max="29" width="3.85546875" customWidth="1"/>
    <col min="34" max="36" width="20.7109375" customWidth="1"/>
    <col min="37" max="37" width="25.7109375" customWidth="1"/>
    <col min="38" max="38" width="4.7109375" customWidth="1"/>
    <col min="43" max="45" width="20.7109375" customWidth="1"/>
    <col min="46" max="46" width="25.85546875" customWidth="1"/>
  </cols>
  <sheetData>
    <row r="1" spans="1:46" ht="15.75" x14ac:dyDescent="0.25">
      <c r="A1" s="524"/>
      <c r="B1" s="525"/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2" t="s">
        <v>206</v>
      </c>
      <c r="AR1" s="2252"/>
      <c r="AS1" s="2252"/>
      <c r="AT1" s="2253"/>
    </row>
    <row r="2" spans="1:46" ht="15.75" x14ac:dyDescent="0.25">
      <c r="A2" s="984" t="s">
        <v>0</v>
      </c>
      <c r="B2" s="988" t="s">
        <v>198</v>
      </c>
      <c r="C2" s="1967" t="s">
        <v>199</v>
      </c>
      <c r="D2" s="1968" t="s">
        <v>200</v>
      </c>
      <c r="E2" s="1968" t="s">
        <v>201</v>
      </c>
      <c r="F2" s="1968" t="s">
        <v>204</v>
      </c>
      <c r="G2" s="1705" t="s">
        <v>199</v>
      </c>
      <c r="H2" s="1705" t="s">
        <v>200</v>
      </c>
      <c r="I2" s="1705" t="s">
        <v>201</v>
      </c>
      <c r="J2" s="1705" t="s">
        <v>204</v>
      </c>
      <c r="K2" s="1706" t="s">
        <v>269</v>
      </c>
      <c r="L2" s="1968" t="s">
        <v>199</v>
      </c>
      <c r="M2" s="1968" t="s">
        <v>200</v>
      </c>
      <c r="N2" s="1968" t="s">
        <v>201</v>
      </c>
      <c r="O2" s="1968" t="s">
        <v>204</v>
      </c>
      <c r="P2" s="1969" t="s">
        <v>199</v>
      </c>
      <c r="Q2" s="1968" t="s">
        <v>200</v>
      </c>
      <c r="R2" s="1968" t="s">
        <v>201</v>
      </c>
      <c r="S2" s="1968" t="s">
        <v>204</v>
      </c>
      <c r="T2" s="1706"/>
      <c r="U2" s="1968" t="s">
        <v>199</v>
      </c>
      <c r="V2" s="1968" t="s">
        <v>200</v>
      </c>
      <c r="W2" s="1968" t="s">
        <v>201</v>
      </c>
      <c r="X2" s="1968" t="s">
        <v>204</v>
      </c>
      <c r="Y2" s="1707" t="s">
        <v>199</v>
      </c>
      <c r="Z2" s="1968" t="s">
        <v>200</v>
      </c>
      <c r="AA2" s="1968" t="s">
        <v>201</v>
      </c>
      <c r="AB2" s="1968" t="s">
        <v>204</v>
      </c>
      <c r="AC2" s="1706"/>
      <c r="AD2" s="1968" t="s">
        <v>199</v>
      </c>
      <c r="AE2" s="1968" t="s">
        <v>200</v>
      </c>
      <c r="AF2" s="1968" t="s">
        <v>201</v>
      </c>
      <c r="AG2" s="1968" t="s">
        <v>204</v>
      </c>
      <c r="AH2" s="1969" t="s">
        <v>199</v>
      </c>
      <c r="AI2" s="1968" t="s">
        <v>200</v>
      </c>
      <c r="AJ2" s="1968" t="s">
        <v>201</v>
      </c>
      <c r="AK2" s="1968" t="s">
        <v>204</v>
      </c>
      <c r="AL2" s="1706"/>
      <c r="AM2" s="1968" t="s">
        <v>199</v>
      </c>
      <c r="AN2" s="1968" t="s">
        <v>200</v>
      </c>
      <c r="AO2" s="1968" t="s">
        <v>201</v>
      </c>
      <c r="AP2" s="1968" t="s">
        <v>204</v>
      </c>
      <c r="AQ2" s="1969" t="s">
        <v>199</v>
      </c>
      <c r="AR2" s="1968" t="s">
        <v>200</v>
      </c>
      <c r="AS2" s="1968" t="s">
        <v>201</v>
      </c>
      <c r="AT2" s="1968" t="s">
        <v>204</v>
      </c>
    </row>
    <row r="3" spans="1:46" ht="18.75" x14ac:dyDescent="0.3">
      <c r="A3" s="2260">
        <v>45931</v>
      </c>
      <c r="B3" s="1200">
        <v>1</v>
      </c>
      <c r="C3" s="1708"/>
      <c r="D3" s="1709"/>
      <c r="E3" s="1710"/>
      <c r="F3" s="1711"/>
      <c r="G3" s="1712"/>
      <c r="H3" s="1713"/>
      <c r="I3" s="1714"/>
      <c r="J3" s="1715"/>
      <c r="K3" s="332"/>
      <c r="L3" s="1716"/>
      <c r="M3" s="1717"/>
      <c r="N3" s="1717"/>
      <c r="O3" s="1718"/>
      <c r="P3" s="1719"/>
      <c r="Q3" s="1720"/>
      <c r="R3" s="1720"/>
      <c r="S3" s="1718"/>
      <c r="T3" s="332"/>
      <c r="U3" s="1716"/>
      <c r="V3" s="1717"/>
      <c r="W3" s="1710"/>
      <c r="X3" s="1721"/>
      <c r="Y3" s="1979"/>
      <c r="Z3" s="1719"/>
      <c r="AA3" s="1723"/>
      <c r="AB3" s="1724"/>
      <c r="AC3" s="332"/>
      <c r="AD3" s="1716">
        <v>720</v>
      </c>
      <c r="AE3" s="1717"/>
      <c r="AF3" s="1710"/>
      <c r="AG3" s="1718"/>
      <c r="AH3" s="1719" t="s">
        <v>45</v>
      </c>
      <c r="AI3" s="1719"/>
      <c r="AJ3" s="1725"/>
      <c r="AK3" s="1718"/>
      <c r="AL3" s="1726"/>
      <c r="AM3" s="1716"/>
      <c r="AN3" s="1717"/>
      <c r="AO3" s="1710"/>
      <c r="AP3" s="1718"/>
      <c r="AQ3" s="1719"/>
      <c r="AR3" s="1727"/>
      <c r="AS3" s="1725"/>
      <c r="AT3" s="1718"/>
    </row>
    <row r="4" spans="1:46" ht="18.75" x14ac:dyDescent="0.3">
      <c r="A4" s="2261"/>
      <c r="B4" s="1218">
        <v>2</v>
      </c>
      <c r="C4" s="1728"/>
      <c r="D4" s="1729"/>
      <c r="E4" s="1729"/>
      <c r="F4" s="1730"/>
      <c r="G4" s="1731"/>
      <c r="H4" s="1713"/>
      <c r="I4" s="1714"/>
      <c r="J4" s="1732"/>
      <c r="K4" s="332"/>
      <c r="L4" s="1733"/>
      <c r="M4" s="1710"/>
      <c r="N4" s="1710"/>
      <c r="O4" s="1721"/>
      <c r="P4" s="1978"/>
      <c r="Q4" s="1713"/>
      <c r="R4" s="1734"/>
      <c r="S4" s="1721"/>
      <c r="T4" s="332"/>
      <c r="U4" s="1733"/>
      <c r="V4" s="1725"/>
      <c r="W4" s="1710"/>
      <c r="X4" s="1721"/>
      <c r="Y4" s="1731"/>
      <c r="Z4" s="1723"/>
      <c r="AA4" s="1723"/>
      <c r="AB4" s="1735"/>
      <c r="AC4" s="332"/>
      <c r="AD4" s="1733">
        <v>720</v>
      </c>
      <c r="AE4" s="1710"/>
      <c r="AF4" s="1710"/>
      <c r="AG4" s="1721"/>
      <c r="AH4" s="1978" t="s">
        <v>45</v>
      </c>
      <c r="AI4" s="1723"/>
      <c r="AJ4" s="1710"/>
      <c r="AK4" s="1721"/>
      <c r="AL4" s="1726"/>
      <c r="AM4" s="1733">
        <v>34</v>
      </c>
      <c r="AN4" s="1710"/>
      <c r="AO4" s="1710"/>
      <c r="AP4" s="1721"/>
      <c r="AQ4" s="1978" t="s">
        <v>97</v>
      </c>
      <c r="AR4" s="1723"/>
      <c r="AS4" s="1710"/>
      <c r="AT4" s="1721"/>
    </row>
    <row r="5" spans="1:46" ht="19.5" customHeight="1" x14ac:dyDescent="0.3">
      <c r="A5" s="2260">
        <v>45932</v>
      </c>
      <c r="B5" s="1218">
        <v>1</v>
      </c>
      <c r="C5" s="1728"/>
      <c r="D5" s="1729"/>
      <c r="E5" s="1729"/>
      <c r="F5" s="1730"/>
      <c r="G5" s="1736"/>
      <c r="H5" s="1737"/>
      <c r="I5" s="1714"/>
      <c r="J5" s="1732"/>
      <c r="K5" s="332"/>
      <c r="L5" s="1733"/>
      <c r="M5" s="1710"/>
      <c r="N5" s="1710"/>
      <c r="O5" s="1721"/>
      <c r="P5" s="1981"/>
      <c r="Q5" s="1710"/>
      <c r="R5" s="1710"/>
      <c r="S5" s="1721"/>
      <c r="T5" s="332"/>
      <c r="U5" s="1733"/>
      <c r="V5" s="1710"/>
      <c r="W5" s="1710"/>
      <c r="X5" s="1721"/>
      <c r="Y5" s="1983"/>
      <c r="Z5" s="1713"/>
      <c r="AA5" s="1738"/>
      <c r="AB5" s="1739"/>
      <c r="AC5" s="332"/>
      <c r="AD5" s="1733">
        <v>720</v>
      </c>
      <c r="AE5" s="1710"/>
      <c r="AF5" s="1710"/>
      <c r="AG5" s="1721"/>
      <c r="AH5" s="1981" t="s">
        <v>45</v>
      </c>
      <c r="AI5" s="1710"/>
      <c r="AJ5" s="1740"/>
      <c r="AK5" s="1721"/>
      <c r="AL5" s="1726"/>
      <c r="AM5" s="1733"/>
      <c r="AN5" s="1710"/>
      <c r="AO5" s="1710"/>
      <c r="AP5" s="1721"/>
      <c r="AQ5" s="1981"/>
      <c r="AR5" s="1741"/>
      <c r="AS5" s="1725"/>
      <c r="AT5" s="1742"/>
    </row>
    <row r="6" spans="1:46" ht="21" customHeight="1" x14ac:dyDescent="0.3">
      <c r="A6" s="2261"/>
      <c r="B6" s="1218">
        <v>2</v>
      </c>
      <c r="C6" s="1728"/>
      <c r="D6" s="1729"/>
      <c r="E6" s="1729"/>
      <c r="F6" s="1730"/>
      <c r="G6" s="1712"/>
      <c r="H6" s="1723"/>
      <c r="I6" s="1714"/>
      <c r="J6" s="1743"/>
      <c r="K6" s="332"/>
      <c r="L6" s="1733"/>
      <c r="M6" s="1710"/>
      <c r="N6" s="1710"/>
      <c r="O6" s="1721"/>
      <c r="P6" s="1981"/>
      <c r="Q6" s="1713"/>
      <c r="R6" s="1710"/>
      <c r="S6" s="1743"/>
      <c r="T6" s="332"/>
      <c r="U6" s="1733"/>
      <c r="V6" s="1710"/>
      <c r="W6" s="1710"/>
      <c r="X6" s="1721"/>
      <c r="Y6" s="1983"/>
      <c r="Z6" s="1713"/>
      <c r="AA6" s="1723"/>
      <c r="AB6" s="1743"/>
      <c r="AC6" s="332"/>
      <c r="AD6" s="1733">
        <v>720</v>
      </c>
      <c r="AE6" s="1710"/>
      <c r="AF6" s="1710"/>
      <c r="AG6" s="1721"/>
      <c r="AH6" s="1981" t="s">
        <v>45</v>
      </c>
      <c r="AI6" s="1710"/>
      <c r="AJ6" s="1744"/>
      <c r="AK6" s="1743"/>
      <c r="AL6" s="1726"/>
      <c r="AM6" s="1733"/>
      <c r="AN6" s="1710"/>
      <c r="AO6" s="1710"/>
      <c r="AP6" s="1721"/>
      <c r="AQ6" s="1982"/>
      <c r="AR6" s="1746"/>
      <c r="AS6" s="1983"/>
      <c r="AT6" s="1743"/>
    </row>
    <row r="7" spans="1:46" ht="20.25" customHeight="1" x14ac:dyDescent="0.3">
      <c r="A7" s="2260">
        <v>45933</v>
      </c>
      <c r="B7" s="1218">
        <v>1</v>
      </c>
      <c r="C7" s="1728"/>
      <c r="D7" s="1729"/>
      <c r="E7" s="1729"/>
      <c r="F7" s="1730">
        <v>130</v>
      </c>
      <c r="G7" s="1712"/>
      <c r="H7" s="1723"/>
      <c r="I7" s="1714"/>
      <c r="J7" s="1743" t="s">
        <v>1138</v>
      </c>
      <c r="K7" s="332"/>
      <c r="L7" s="1733"/>
      <c r="M7" s="1981"/>
      <c r="N7" s="1710"/>
      <c r="O7" s="1721">
        <v>128</v>
      </c>
      <c r="P7" s="1981"/>
      <c r="Q7" s="1533"/>
      <c r="R7" s="1710"/>
      <c r="S7" s="1742" t="s">
        <v>1138</v>
      </c>
      <c r="T7" s="332"/>
      <c r="U7" s="1733"/>
      <c r="V7" s="1710"/>
      <c r="W7" s="1710"/>
      <c r="X7" s="1721">
        <v>126</v>
      </c>
      <c r="Y7" s="1983"/>
      <c r="Z7" s="1713"/>
      <c r="AA7" s="1738"/>
      <c r="AB7" s="1742" t="s">
        <v>1138</v>
      </c>
      <c r="AC7" s="332"/>
      <c r="AD7" s="1733">
        <v>720</v>
      </c>
      <c r="AE7" s="1710"/>
      <c r="AF7" s="1710"/>
      <c r="AG7" s="1721"/>
      <c r="AH7" s="1981" t="s">
        <v>45</v>
      </c>
      <c r="AI7" s="1533"/>
      <c r="AJ7" s="1744"/>
      <c r="AK7" s="1747"/>
      <c r="AL7" s="1726"/>
      <c r="AM7" s="1733">
        <v>21</v>
      </c>
      <c r="AN7" s="1710"/>
      <c r="AO7" s="1710"/>
      <c r="AP7" s="1721">
        <v>120</v>
      </c>
      <c r="AQ7" s="1980" t="s">
        <v>97</v>
      </c>
      <c r="AR7" s="1748"/>
      <c r="AS7" s="1535"/>
      <c r="AT7" s="1749" t="s">
        <v>1138</v>
      </c>
    </row>
    <row r="8" spans="1:46" ht="19.5" customHeight="1" x14ac:dyDescent="0.3">
      <c r="A8" s="2261"/>
      <c r="B8" s="1218">
        <v>2</v>
      </c>
      <c r="C8" s="1728"/>
      <c r="D8" s="1750"/>
      <c r="E8" s="1729"/>
      <c r="F8" s="1730">
        <v>118</v>
      </c>
      <c r="G8" s="1731"/>
      <c r="H8" s="1723"/>
      <c r="I8" s="1714"/>
      <c r="J8" s="1743" t="s">
        <v>1138</v>
      </c>
      <c r="K8" s="332"/>
      <c r="L8" s="1733"/>
      <c r="M8" s="1710"/>
      <c r="N8" s="1710"/>
      <c r="O8" s="1721">
        <v>115</v>
      </c>
      <c r="P8" s="1981"/>
      <c r="Q8" s="1710"/>
      <c r="R8" s="1725"/>
      <c r="S8" s="1742" t="s">
        <v>1138</v>
      </c>
      <c r="T8" s="332"/>
      <c r="U8" s="1751"/>
      <c r="V8" s="1748"/>
      <c r="W8" s="1981"/>
      <c r="X8" s="1721">
        <v>108</v>
      </c>
      <c r="Y8" s="1983"/>
      <c r="Z8" s="1982"/>
      <c r="AA8" s="1983"/>
      <c r="AB8" s="1743" t="s">
        <v>1138</v>
      </c>
      <c r="AC8" s="332"/>
      <c r="AD8" s="1733">
        <v>720</v>
      </c>
      <c r="AE8" s="1710"/>
      <c r="AF8" s="1710"/>
      <c r="AG8" s="1721"/>
      <c r="AH8" s="1981" t="s">
        <v>45</v>
      </c>
      <c r="AI8" s="1725"/>
      <c r="AJ8" s="1744"/>
      <c r="AK8" s="1752"/>
      <c r="AL8" s="1726"/>
      <c r="AM8" s="1733"/>
      <c r="AN8" s="1710"/>
      <c r="AO8" s="1710"/>
      <c r="AP8" s="1721">
        <v>105</v>
      </c>
      <c r="AQ8" s="1980"/>
      <c r="AR8" s="1753"/>
      <c r="AS8" s="1981"/>
      <c r="AT8" s="1743" t="s">
        <v>1138</v>
      </c>
    </row>
    <row r="9" spans="1:46" ht="21" customHeight="1" x14ac:dyDescent="0.3">
      <c r="A9" s="2260">
        <v>45934</v>
      </c>
      <c r="B9" s="1218">
        <v>1</v>
      </c>
      <c r="C9" s="1756"/>
      <c r="D9" s="1757"/>
      <c r="E9" s="1758"/>
      <c r="F9" s="1730"/>
      <c r="G9" s="1731"/>
      <c r="H9" s="1819"/>
      <c r="I9" s="1714"/>
      <c r="J9" s="1743"/>
      <c r="K9" s="332"/>
      <c r="L9" s="1733"/>
      <c r="M9" s="1710"/>
      <c r="N9" s="1710"/>
      <c r="O9" s="1721"/>
      <c r="P9" s="1985"/>
      <c r="Q9" s="1710"/>
      <c r="R9" s="1725"/>
      <c r="S9" s="1743"/>
      <c r="T9" s="332"/>
      <c r="U9" s="1751"/>
      <c r="V9" s="1985"/>
      <c r="W9" s="1710"/>
      <c r="X9" s="1721"/>
      <c r="Y9" s="1986"/>
      <c r="Z9" s="1710"/>
      <c r="AA9" s="1738"/>
      <c r="AB9" s="1743"/>
      <c r="AC9" s="332"/>
      <c r="AD9" s="1733">
        <v>720</v>
      </c>
      <c r="AE9" s="1710"/>
      <c r="AF9" s="1710"/>
      <c r="AG9" s="1721"/>
      <c r="AH9" s="1985" t="s">
        <v>45</v>
      </c>
      <c r="AI9" s="1710"/>
      <c r="AJ9" s="1710"/>
      <c r="AK9" s="1743"/>
      <c r="AL9" s="1726"/>
      <c r="AM9" s="1733"/>
      <c r="AN9" s="1710"/>
      <c r="AO9" s="1710"/>
      <c r="AP9" s="1721"/>
      <c r="AQ9" s="1984"/>
      <c r="AR9" s="1748"/>
      <c r="AS9" s="1985"/>
      <c r="AT9" s="1759"/>
    </row>
    <row r="10" spans="1:46" ht="18.75" x14ac:dyDescent="0.3">
      <c r="A10" s="2261"/>
      <c r="B10" s="1218">
        <v>2</v>
      </c>
      <c r="C10" s="1756"/>
      <c r="D10" s="1760"/>
      <c r="E10" s="1758"/>
      <c r="F10" s="1730"/>
      <c r="G10" s="1761"/>
      <c r="H10" s="1830"/>
      <c r="I10" s="1737"/>
      <c r="J10" s="1743"/>
      <c r="K10" s="332"/>
      <c r="L10" s="1733"/>
      <c r="M10" s="1710"/>
      <c r="N10" s="1710"/>
      <c r="O10" s="1721"/>
      <c r="P10" s="1985"/>
      <c r="Q10" s="1710"/>
      <c r="R10" s="1725"/>
      <c r="S10" s="1743"/>
      <c r="T10" s="332"/>
      <c r="U10" s="1733"/>
      <c r="V10" s="1710"/>
      <c r="W10" s="1710">
        <v>18</v>
      </c>
      <c r="X10" s="1721"/>
      <c r="Y10" s="1986"/>
      <c r="Z10" s="1986"/>
      <c r="AA10" s="332" t="s">
        <v>1081</v>
      </c>
      <c r="AB10" s="1743"/>
      <c r="AC10" s="332"/>
      <c r="AD10" s="1733">
        <v>720</v>
      </c>
      <c r="AE10" s="1710"/>
      <c r="AF10" s="1710"/>
      <c r="AG10" s="1721"/>
      <c r="AH10" s="1986" t="s">
        <v>45</v>
      </c>
      <c r="AI10" s="1725"/>
      <c r="AJ10" s="1723"/>
      <c r="AK10" s="1743"/>
      <c r="AL10" s="1726"/>
      <c r="AM10" s="1733"/>
      <c r="AN10" s="1710"/>
      <c r="AO10" s="1710"/>
      <c r="AP10" s="1721"/>
      <c r="AQ10" s="1984"/>
      <c r="AR10" s="1763"/>
      <c r="AS10" s="1985"/>
      <c r="AT10" s="1743"/>
    </row>
    <row r="11" spans="1:46" ht="18.75" x14ac:dyDescent="0.3">
      <c r="A11" s="2260">
        <v>45935</v>
      </c>
      <c r="B11" s="1218">
        <v>1</v>
      </c>
      <c r="C11" s="1756"/>
      <c r="D11" s="1764"/>
      <c r="E11" s="1758"/>
      <c r="F11" s="1730"/>
      <c r="G11" s="1765"/>
      <c r="H11" s="1829"/>
      <c r="I11" s="1737"/>
      <c r="J11" s="1732"/>
      <c r="K11" s="332"/>
      <c r="L11" s="1733"/>
      <c r="M11" s="1710"/>
      <c r="N11" s="1710"/>
      <c r="O11" s="1721"/>
      <c r="P11" s="1985"/>
      <c r="Q11" s="1710"/>
      <c r="R11" s="1725"/>
      <c r="S11" s="1721"/>
      <c r="T11" s="332"/>
      <c r="U11" s="1733"/>
      <c r="V11" s="1710"/>
      <c r="W11" s="1710"/>
      <c r="X11" s="1721"/>
      <c r="Y11" s="1986"/>
      <c r="Z11" s="1710"/>
      <c r="AA11" s="1738"/>
      <c r="AB11" s="1721"/>
      <c r="AC11" s="332"/>
      <c r="AD11" s="1733">
        <v>720</v>
      </c>
      <c r="AE11" s="1710"/>
      <c r="AF11" s="1710"/>
      <c r="AG11" s="1721"/>
      <c r="AH11" s="1985" t="s">
        <v>45</v>
      </c>
      <c r="AI11" s="1710"/>
      <c r="AJ11" s="1738"/>
      <c r="AK11" s="1721"/>
      <c r="AL11" s="1726"/>
      <c r="AM11" s="1733"/>
      <c r="AN11" s="1710"/>
      <c r="AO11" s="1710"/>
      <c r="AP11" s="1721"/>
      <c r="AQ11" s="1985"/>
      <c r="AR11" s="1734"/>
      <c r="AS11" s="1710"/>
      <c r="AT11" s="1742"/>
    </row>
    <row r="12" spans="1:46" ht="18.75" x14ac:dyDescent="0.3">
      <c r="A12" s="2261"/>
      <c r="B12" s="1218">
        <v>2</v>
      </c>
      <c r="C12" s="1728"/>
      <c r="D12" s="1766"/>
      <c r="E12" s="1729"/>
      <c r="F12" s="1730"/>
      <c r="G12" s="1731"/>
      <c r="H12" s="1713"/>
      <c r="I12" s="1737"/>
      <c r="J12" s="1743"/>
      <c r="K12" s="332"/>
      <c r="L12" s="1733"/>
      <c r="M12" s="1710"/>
      <c r="N12" s="1710"/>
      <c r="O12" s="1721"/>
      <c r="P12" s="1985"/>
      <c r="Q12" s="1710"/>
      <c r="R12" s="1725"/>
      <c r="S12" s="1743"/>
      <c r="T12" s="332"/>
      <c r="U12" s="1733"/>
      <c r="V12" s="1710"/>
      <c r="W12" s="1710"/>
      <c r="X12" s="1721"/>
      <c r="Y12" s="1986"/>
      <c r="Z12" s="1723"/>
      <c r="AA12" s="1738"/>
      <c r="AB12" s="1743"/>
      <c r="AC12" s="332"/>
      <c r="AD12" s="1733">
        <v>720</v>
      </c>
      <c r="AE12" s="1710"/>
      <c r="AF12" s="1710"/>
      <c r="AG12" s="1721"/>
      <c r="AH12" s="1985" t="s">
        <v>45</v>
      </c>
      <c r="AI12" s="1725"/>
      <c r="AJ12" s="1725"/>
      <c r="AK12" s="1743"/>
      <c r="AL12" s="1726"/>
      <c r="AM12" s="1733"/>
      <c r="AN12" s="1710"/>
      <c r="AO12" s="1710"/>
      <c r="AP12" s="1721"/>
      <c r="AQ12" s="1985"/>
      <c r="AR12" s="1710"/>
      <c r="AS12" s="1725"/>
      <c r="AT12" s="1743"/>
    </row>
    <row r="13" spans="1:46" ht="19.5" customHeight="1" x14ac:dyDescent="0.3">
      <c r="A13" s="2260">
        <v>45936</v>
      </c>
      <c r="B13" s="1218">
        <v>1</v>
      </c>
      <c r="C13" s="1728"/>
      <c r="D13" s="1729"/>
      <c r="E13" s="1729"/>
      <c r="F13" s="1730"/>
      <c r="G13" s="1731"/>
      <c r="H13" s="1713"/>
      <c r="I13" s="1714"/>
      <c r="J13" s="1743"/>
      <c r="K13" s="332"/>
      <c r="L13" s="1733"/>
      <c r="M13" s="1710"/>
      <c r="N13" s="1710"/>
      <c r="O13" s="1730"/>
      <c r="P13" s="1987"/>
      <c r="Q13" s="1710"/>
      <c r="R13" s="1710"/>
      <c r="S13" s="1743"/>
      <c r="T13" s="332"/>
      <c r="U13" s="1733"/>
      <c r="V13" s="1710"/>
      <c r="W13" s="1710">
        <v>7</v>
      </c>
      <c r="X13" s="1730"/>
      <c r="Y13" s="1988"/>
      <c r="Z13" s="1725"/>
      <c r="AA13" s="1738" t="s">
        <v>1081</v>
      </c>
      <c r="AB13" s="1743"/>
      <c r="AC13" s="332"/>
      <c r="AD13" s="1733">
        <v>720</v>
      </c>
      <c r="AE13" s="1710"/>
      <c r="AF13" s="1710"/>
      <c r="AG13" s="1730"/>
      <c r="AH13" s="1987" t="s">
        <v>45</v>
      </c>
      <c r="AI13" s="1710"/>
      <c r="AJ13" s="1738"/>
      <c r="AK13" s="1743"/>
      <c r="AL13" s="1726"/>
      <c r="AM13" s="1733"/>
      <c r="AN13" s="1710"/>
      <c r="AO13" s="1710"/>
      <c r="AP13" s="1730"/>
      <c r="AQ13" s="1987"/>
      <c r="AR13" s="1710"/>
      <c r="AS13" s="1723"/>
      <c r="AT13" s="1743"/>
    </row>
    <row r="14" spans="1:46" ht="18.75" x14ac:dyDescent="0.3">
      <c r="A14" s="2261"/>
      <c r="B14" s="1218">
        <v>2</v>
      </c>
      <c r="C14" s="1728"/>
      <c r="D14" s="1729"/>
      <c r="E14" s="1729"/>
      <c r="F14" s="1730"/>
      <c r="G14" s="1731"/>
      <c r="H14" s="1723"/>
      <c r="I14" s="1714"/>
      <c r="J14" s="1743"/>
      <c r="K14" s="332"/>
      <c r="L14" s="1733"/>
      <c r="M14" s="1710"/>
      <c r="N14" s="1710"/>
      <c r="O14" s="1730"/>
      <c r="P14" s="1988"/>
      <c r="Q14" s="1710"/>
      <c r="R14" s="1710"/>
      <c r="S14" s="1743"/>
      <c r="T14" s="332"/>
      <c r="U14" s="1733"/>
      <c r="V14" s="1710"/>
      <c r="W14" s="1710">
        <v>19</v>
      </c>
      <c r="X14" s="1730"/>
      <c r="Y14" s="1988"/>
      <c r="Z14" s="1725"/>
      <c r="AA14" s="1738" t="s">
        <v>1081</v>
      </c>
      <c r="AB14" s="1743"/>
      <c r="AC14" s="332"/>
      <c r="AD14" s="1733">
        <v>720</v>
      </c>
      <c r="AE14" s="1710"/>
      <c r="AF14" s="1710"/>
      <c r="AG14" s="1730"/>
      <c r="AH14" s="1989" t="s">
        <v>45</v>
      </c>
      <c r="AI14" s="1989" t="s">
        <v>1139</v>
      </c>
      <c r="AJ14" s="1989" t="s">
        <v>1140</v>
      </c>
      <c r="AK14" s="1743"/>
      <c r="AL14" s="1726"/>
      <c r="AM14" s="1733"/>
      <c r="AN14" s="1710"/>
      <c r="AO14" s="1768"/>
      <c r="AP14" s="1769"/>
      <c r="AQ14" s="1988"/>
      <c r="AR14" s="1710"/>
      <c r="AS14" s="1738"/>
      <c r="AT14" s="1743"/>
    </row>
    <row r="15" spans="1:46" ht="18.75" x14ac:dyDescent="0.3">
      <c r="A15" s="2260">
        <v>45937</v>
      </c>
      <c r="B15" s="1218">
        <v>1</v>
      </c>
      <c r="C15" s="1728"/>
      <c r="D15" s="1750"/>
      <c r="E15" s="1741"/>
      <c r="F15" s="1770"/>
      <c r="G15" s="1771"/>
      <c r="H15" s="1772"/>
      <c r="I15" s="1773"/>
      <c r="J15" s="1770"/>
      <c r="K15" s="332"/>
      <c r="L15" s="1774"/>
      <c r="M15" s="1741"/>
      <c r="N15" s="1741"/>
      <c r="O15" s="1775"/>
      <c r="P15" s="1776"/>
      <c r="Q15" s="1772"/>
      <c r="R15" s="1723"/>
      <c r="S15" s="1743"/>
      <c r="T15" s="332"/>
      <c r="U15" s="1733"/>
      <c r="V15" s="1710"/>
      <c r="W15" s="1710"/>
      <c r="X15" s="1730"/>
      <c r="Y15" s="1731"/>
      <c r="Z15" s="1723"/>
      <c r="AA15" s="1738"/>
      <c r="AB15" s="1743"/>
      <c r="AC15" s="332"/>
      <c r="AD15" s="1733">
        <v>720</v>
      </c>
      <c r="AE15" s="1710"/>
      <c r="AF15" s="332"/>
      <c r="AG15" s="1730"/>
      <c r="AH15" s="1990" t="s">
        <v>45</v>
      </c>
      <c r="AI15" s="1990"/>
      <c r="AJ15" s="1990"/>
      <c r="AK15" s="1743"/>
      <c r="AL15" s="1726"/>
      <c r="AM15" s="1733"/>
      <c r="AN15" s="1710"/>
      <c r="AO15" s="1777"/>
      <c r="AP15" s="1778"/>
      <c r="AQ15" s="1737"/>
      <c r="AR15" s="1723"/>
      <c r="AS15" s="1723"/>
      <c r="AT15" s="1743"/>
    </row>
    <row r="16" spans="1:46" ht="18.75" customHeight="1" x14ac:dyDescent="0.3">
      <c r="A16" s="2261"/>
      <c r="B16" s="1218">
        <v>2</v>
      </c>
      <c r="C16" s="1756"/>
      <c r="D16" s="1802"/>
      <c r="E16" s="1803"/>
      <c r="F16" s="1804"/>
      <c r="G16" s="1805"/>
      <c r="H16" s="1806"/>
      <c r="I16" s="1807"/>
      <c r="J16" s="1808"/>
      <c r="K16" s="1809"/>
      <c r="L16" s="1810"/>
      <c r="M16" s="1811"/>
      <c r="N16" s="1811"/>
      <c r="O16" s="1804"/>
      <c r="P16" s="1812"/>
      <c r="Q16" s="1813"/>
      <c r="R16" s="1814"/>
      <c r="S16" s="1743"/>
      <c r="T16" s="332"/>
      <c r="U16" s="1733"/>
      <c r="V16" s="1710"/>
      <c r="W16" s="1710"/>
      <c r="X16" s="1730"/>
      <c r="Y16" s="1815"/>
      <c r="Z16" s="1762"/>
      <c r="AA16" s="1783"/>
      <c r="AB16" s="1743"/>
      <c r="AC16" s="332"/>
      <c r="AD16" s="1733">
        <v>720</v>
      </c>
      <c r="AE16" s="1710"/>
      <c r="AF16" s="1710"/>
      <c r="AG16" s="1730"/>
      <c r="AH16" s="1712" t="s">
        <v>45</v>
      </c>
      <c r="AI16" s="1723"/>
      <c r="AJ16" s="1725"/>
      <c r="AK16" s="1743"/>
      <c r="AL16" s="1726"/>
      <c r="AM16" s="1733"/>
      <c r="AN16" s="1710"/>
      <c r="AO16" s="1710"/>
      <c r="AP16" s="1730"/>
      <c r="AQ16" s="1817"/>
      <c r="AR16" s="1762"/>
      <c r="AS16" s="1814"/>
      <c r="AT16" s="1743"/>
    </row>
    <row r="17" spans="1:46" ht="18" customHeight="1" x14ac:dyDescent="0.3">
      <c r="A17" s="2260">
        <v>45938</v>
      </c>
      <c r="B17" s="1244">
        <v>1</v>
      </c>
      <c r="C17" s="1728"/>
      <c r="D17" s="1794"/>
      <c r="E17" s="1795">
        <v>12</v>
      </c>
      <c r="F17" s="1796"/>
      <c r="G17" s="1797"/>
      <c r="H17" s="1798"/>
      <c r="I17" s="1799" t="s">
        <v>97</v>
      </c>
      <c r="J17" s="1800"/>
      <c r="K17" s="332"/>
      <c r="L17" s="1801"/>
      <c r="M17" s="1734"/>
      <c r="N17" s="1734"/>
      <c r="O17" s="1796"/>
      <c r="P17" s="1797"/>
      <c r="Q17" s="1798"/>
      <c r="R17" s="1723"/>
      <c r="S17" s="1743"/>
      <c r="T17" s="332"/>
      <c r="U17" s="1733"/>
      <c r="V17" s="1710"/>
      <c r="W17" s="1710"/>
      <c r="X17" s="1730"/>
      <c r="Y17" s="1731"/>
      <c r="Z17" s="1713"/>
      <c r="AA17" s="1783"/>
      <c r="AB17" s="1743"/>
      <c r="AC17" s="332"/>
      <c r="AD17" s="1733">
        <v>720</v>
      </c>
      <c r="AE17" s="1710"/>
      <c r="AF17" s="1710"/>
      <c r="AG17" s="1730"/>
      <c r="AH17" s="1816" t="s">
        <v>45</v>
      </c>
      <c r="AI17" s="1762"/>
      <c r="AJ17" s="1814"/>
      <c r="AK17" s="1743"/>
      <c r="AL17" s="1726"/>
      <c r="AM17" s="1733"/>
      <c r="AN17" s="1710"/>
      <c r="AO17" s="1768"/>
      <c r="AP17" s="1769"/>
      <c r="AQ17" s="1792"/>
      <c r="AR17" s="1762"/>
      <c r="AS17" s="1793"/>
      <c r="AT17" s="1743"/>
    </row>
    <row r="18" spans="1:46" ht="17.25" customHeight="1" x14ac:dyDescent="0.3">
      <c r="A18" s="2261"/>
      <c r="B18" s="1218">
        <v>2</v>
      </c>
      <c r="C18" s="1728"/>
      <c r="D18" s="1729"/>
      <c r="E18" s="1729"/>
      <c r="F18" s="1730"/>
      <c r="G18" s="1731"/>
      <c r="H18" s="1791"/>
      <c r="I18" s="1714"/>
      <c r="J18" s="1743"/>
      <c r="K18" s="332"/>
      <c r="L18" s="1733"/>
      <c r="M18" s="1710"/>
      <c r="N18" s="1710"/>
      <c r="O18" s="1730"/>
      <c r="P18" s="1731"/>
      <c r="Q18" s="1723"/>
      <c r="R18" s="1714"/>
      <c r="S18" s="1743"/>
      <c r="T18" s="332"/>
      <c r="U18" s="1733"/>
      <c r="V18" s="1710"/>
      <c r="W18" s="1729">
        <v>4</v>
      </c>
      <c r="X18" s="1730"/>
      <c r="Y18" s="1731"/>
      <c r="Z18" s="1723"/>
      <c r="AA18" s="1738" t="s">
        <v>1081</v>
      </c>
      <c r="AB18" s="1743"/>
      <c r="AC18" s="332"/>
      <c r="AD18" s="1733">
        <v>720</v>
      </c>
      <c r="AE18" s="1710"/>
      <c r="AF18" s="1710"/>
      <c r="AG18" s="1730"/>
      <c r="AH18" s="1712" t="s">
        <v>45</v>
      </c>
      <c r="AI18" s="1713"/>
      <c r="AJ18" s="1723"/>
      <c r="AK18" s="1743"/>
      <c r="AL18" s="1726"/>
      <c r="AM18" s="1733"/>
      <c r="AN18" s="1710"/>
      <c r="AO18" s="1768"/>
      <c r="AP18" s="1769"/>
      <c r="AQ18" s="1792"/>
      <c r="AR18" s="1762"/>
      <c r="AS18" s="1793"/>
      <c r="AT18" s="1743"/>
    </row>
    <row r="19" spans="1:46" ht="18.75" customHeight="1" x14ac:dyDescent="0.3">
      <c r="A19" s="2260">
        <v>45939</v>
      </c>
      <c r="B19" s="1218">
        <v>1</v>
      </c>
      <c r="C19" s="332"/>
      <c r="D19" s="1729"/>
      <c r="E19" s="1729"/>
      <c r="F19" s="1730"/>
      <c r="G19" s="1784"/>
      <c r="H19" s="1710"/>
      <c r="I19" s="1737"/>
      <c r="J19" s="1743"/>
      <c r="K19" s="332"/>
      <c r="L19" s="1733"/>
      <c r="M19" s="1710"/>
      <c r="N19" s="1710"/>
      <c r="O19" s="1730"/>
      <c r="P19" s="1733"/>
      <c r="Q19" s="1710"/>
      <c r="R19" s="1710"/>
      <c r="S19" s="1743"/>
      <c r="T19" s="332"/>
      <c r="U19" s="1733"/>
      <c r="V19" s="1710"/>
      <c r="W19" s="1710"/>
      <c r="X19" s="1730"/>
      <c r="Y19" s="1733"/>
      <c r="Z19" s="1725"/>
      <c r="AA19" s="1783"/>
      <c r="AB19" s="1743"/>
      <c r="AC19" s="332"/>
      <c r="AD19" s="1733">
        <v>720</v>
      </c>
      <c r="AE19" s="1710"/>
      <c r="AF19" s="1710"/>
      <c r="AG19" s="1730"/>
      <c r="AH19" s="1731" t="s">
        <v>45</v>
      </c>
      <c r="AI19" s="1723"/>
      <c r="AJ19" s="1713"/>
      <c r="AK19" s="1743"/>
      <c r="AL19" s="1726"/>
      <c r="AM19" s="1733"/>
      <c r="AN19" s="1710"/>
      <c r="AO19" s="1710"/>
      <c r="AP19" s="1730"/>
      <c r="AQ19" s="1733"/>
      <c r="AR19" s="1710"/>
      <c r="AS19" s="1723"/>
      <c r="AT19" s="1743"/>
    </row>
    <row r="20" spans="1:46" ht="18" customHeight="1" x14ac:dyDescent="0.3">
      <c r="A20" s="2261"/>
      <c r="B20" s="1218">
        <v>2</v>
      </c>
      <c r="C20" s="1728"/>
      <c r="D20" s="1729"/>
      <c r="E20" s="1729"/>
      <c r="F20" s="1730"/>
      <c r="G20" s="1784"/>
      <c r="H20" s="1725"/>
      <c r="I20" s="1737"/>
      <c r="J20" s="1743"/>
      <c r="K20" s="332"/>
      <c r="L20" s="1733"/>
      <c r="M20" s="1710"/>
      <c r="N20" s="1710"/>
      <c r="O20" s="1730"/>
      <c r="P20" s="1784"/>
      <c r="Q20" s="1725"/>
      <c r="R20" s="1714"/>
      <c r="S20" s="1743"/>
      <c r="T20" s="332"/>
      <c r="U20" s="1733"/>
      <c r="V20" s="1710"/>
      <c r="W20" s="1710"/>
      <c r="X20" s="1730"/>
      <c r="Y20" s="1784"/>
      <c r="Z20" s="1725"/>
      <c r="AA20" s="1723"/>
      <c r="AB20" s="1743"/>
      <c r="AC20" s="332"/>
      <c r="AD20" s="1733">
        <v>712</v>
      </c>
      <c r="AE20" s="1710"/>
      <c r="AF20" s="1710"/>
      <c r="AG20" s="1730"/>
      <c r="AH20" s="1733" t="s">
        <v>45</v>
      </c>
      <c r="AI20" s="1710"/>
      <c r="AJ20" s="1738"/>
      <c r="AK20" s="1743"/>
      <c r="AL20" s="1726"/>
      <c r="AM20" s="1733"/>
      <c r="AN20" s="1710"/>
      <c r="AO20" s="1710"/>
      <c r="AP20" s="1730"/>
      <c r="AQ20" s="1784"/>
      <c r="AR20" s="1725"/>
      <c r="AS20" s="1714"/>
      <c r="AT20" s="1743"/>
    </row>
    <row r="21" spans="1:46" ht="21" customHeight="1" x14ac:dyDescent="0.3">
      <c r="A21" s="2260">
        <v>45940</v>
      </c>
      <c r="B21" s="1218">
        <v>1</v>
      </c>
      <c r="C21" s="1728"/>
      <c r="D21" s="1729"/>
      <c r="E21" s="1729"/>
      <c r="F21" s="1730"/>
      <c r="G21" s="1789"/>
      <c r="H21" s="1713"/>
      <c r="I21" s="1737"/>
      <c r="J21" s="1790"/>
      <c r="K21" s="332"/>
      <c r="L21" s="1733"/>
      <c r="M21" s="1710"/>
      <c r="N21" s="1710"/>
      <c r="O21" s="1730"/>
      <c r="P21" s="1733"/>
      <c r="Q21" s="1725"/>
      <c r="R21" s="1710"/>
      <c r="S21" s="1790"/>
      <c r="T21" s="332"/>
      <c r="U21" s="1733"/>
      <c r="V21" s="1710"/>
      <c r="W21" s="1710">
        <v>10</v>
      </c>
      <c r="X21" s="1730"/>
      <c r="Y21" s="1784"/>
      <c r="Z21" s="1710"/>
      <c r="AA21" s="1723" t="s">
        <v>152</v>
      </c>
      <c r="AB21" s="1790"/>
      <c r="AC21" s="332"/>
      <c r="AD21" s="1733">
        <v>64</v>
      </c>
      <c r="AE21" s="1710"/>
      <c r="AF21" s="1710">
        <v>32</v>
      </c>
      <c r="AG21" s="1730"/>
      <c r="AH21" s="1784" t="s">
        <v>1141</v>
      </c>
      <c r="AI21" s="1725"/>
      <c r="AJ21" s="1714" t="s">
        <v>336</v>
      </c>
      <c r="AK21" s="1790"/>
      <c r="AL21" s="1726"/>
      <c r="AM21" s="1733"/>
      <c r="AN21" s="1710"/>
      <c r="AO21" s="1710"/>
      <c r="AP21" s="1730"/>
      <c r="AQ21" s="1733"/>
      <c r="AR21" s="1725"/>
      <c r="AS21" s="1738"/>
      <c r="AT21" s="1790"/>
    </row>
    <row r="22" spans="1:46" ht="29.25" customHeight="1" x14ac:dyDescent="0.3">
      <c r="A22" s="2261"/>
      <c r="B22" s="1218">
        <v>2</v>
      </c>
      <c r="C22" s="1728"/>
      <c r="D22" s="1729"/>
      <c r="E22" s="1729">
        <v>34</v>
      </c>
      <c r="F22" s="1730">
        <v>43</v>
      </c>
      <c r="G22" s="1788"/>
      <c r="H22" s="1723"/>
      <c r="I22" s="1714" t="s">
        <v>97</v>
      </c>
      <c r="J22" s="1743" t="s">
        <v>1138</v>
      </c>
      <c r="K22" s="332"/>
      <c r="L22" s="1733"/>
      <c r="M22" s="1710"/>
      <c r="N22" s="1710"/>
      <c r="O22" s="1730">
        <v>32</v>
      </c>
      <c r="P22" s="1993"/>
      <c r="Q22" s="1723"/>
      <c r="R22" s="1710"/>
      <c r="S22" s="1743" t="s">
        <v>1138</v>
      </c>
      <c r="T22" s="332"/>
      <c r="U22" s="1733"/>
      <c r="V22" s="1710"/>
      <c r="W22" s="1710"/>
      <c r="X22" s="1730">
        <v>49</v>
      </c>
      <c r="Y22" s="1784"/>
      <c r="Z22" s="1723"/>
      <c r="AA22" s="1723"/>
      <c r="AB22" s="1743" t="s">
        <v>1138</v>
      </c>
      <c r="AC22" s="332"/>
      <c r="AD22" s="1733"/>
      <c r="AE22" s="1710"/>
      <c r="AF22" s="1710"/>
      <c r="AG22" s="1730">
        <v>85</v>
      </c>
      <c r="AH22" s="1784"/>
      <c r="AI22" s="1710"/>
      <c r="AJ22" s="1738"/>
      <c r="AK22" s="1752" t="s">
        <v>1138</v>
      </c>
      <c r="AL22" s="1726"/>
      <c r="AM22" s="1733"/>
      <c r="AN22" s="1710"/>
      <c r="AO22" s="1710"/>
      <c r="AP22" s="1730">
        <v>47</v>
      </c>
      <c r="AQ22" s="1733"/>
      <c r="AR22" s="1723"/>
      <c r="AS22" s="1782"/>
      <c r="AT22" s="1743" t="s">
        <v>1138</v>
      </c>
    </row>
    <row r="23" spans="1:46" ht="18.75" x14ac:dyDescent="0.3">
      <c r="A23" s="2260">
        <v>45941</v>
      </c>
      <c r="B23" s="1244">
        <v>1</v>
      </c>
      <c r="C23" s="1728"/>
      <c r="D23" s="1729"/>
      <c r="E23" s="1729">
        <v>15</v>
      </c>
      <c r="F23" s="1730"/>
      <c r="G23" s="1712"/>
      <c r="H23" s="1713"/>
      <c r="I23" s="1737" t="s">
        <v>152</v>
      </c>
      <c r="J23" s="1743"/>
      <c r="K23" s="332"/>
      <c r="L23" s="1733"/>
      <c r="M23" s="1710"/>
      <c r="N23" s="1710"/>
      <c r="O23" s="1730"/>
      <c r="P23" s="1712"/>
      <c r="Q23" s="1713"/>
      <c r="R23" s="1723"/>
      <c r="S23" s="1743"/>
      <c r="T23" s="332"/>
      <c r="U23" s="1733"/>
      <c r="V23" s="1710"/>
      <c r="W23" s="1710"/>
      <c r="X23" s="1730"/>
      <c r="Y23" s="1784"/>
      <c r="Z23" s="1714"/>
      <c r="AA23" s="1783"/>
      <c r="AB23" s="1743"/>
      <c r="AC23" s="332"/>
      <c r="AD23" s="1733"/>
      <c r="AE23" s="1710"/>
      <c r="AF23" s="1991"/>
      <c r="AG23" s="1730"/>
      <c r="AH23" s="1733"/>
      <c r="AI23" s="1710"/>
      <c r="AJ23" s="1744"/>
      <c r="AK23" s="1752"/>
      <c r="AL23" s="1726"/>
      <c r="AM23" s="1733"/>
      <c r="AN23" s="1710"/>
      <c r="AO23" s="1710"/>
      <c r="AP23" s="1730"/>
      <c r="AQ23" s="1710"/>
      <c r="AR23" s="1713"/>
      <c r="AS23" s="1749"/>
      <c r="AT23" s="1743"/>
    </row>
    <row r="24" spans="1:46" ht="16.5" customHeight="1" x14ac:dyDescent="0.3">
      <c r="A24" s="2261"/>
      <c r="B24" s="1218">
        <v>2</v>
      </c>
      <c r="C24" s="1728"/>
      <c r="D24" s="1729"/>
      <c r="E24" s="1729"/>
      <c r="F24" s="1730"/>
      <c r="G24" s="1712"/>
      <c r="H24" s="1723"/>
      <c r="I24" s="1737"/>
      <c r="J24" s="1743"/>
      <c r="K24" s="332"/>
      <c r="L24" s="1733"/>
      <c r="M24" s="1710"/>
      <c r="N24" s="1710"/>
      <c r="O24" s="1730"/>
      <c r="P24" s="1712"/>
      <c r="Q24" s="1713"/>
      <c r="R24" s="1723"/>
      <c r="S24" s="1743"/>
      <c r="T24" s="1785"/>
      <c r="U24" s="1991"/>
      <c r="V24" s="1786"/>
      <c r="W24" s="1783"/>
      <c r="X24" s="1730"/>
      <c r="Y24" s="1714"/>
      <c r="Z24" s="1713"/>
      <c r="AA24" s="1738"/>
      <c r="AB24" s="1743"/>
      <c r="AC24" s="332"/>
      <c r="AD24" s="1733">
        <v>35</v>
      </c>
      <c r="AE24" s="1710"/>
      <c r="AF24" s="1991"/>
      <c r="AG24" s="1730"/>
      <c r="AH24" s="1733" t="s">
        <v>1031</v>
      </c>
      <c r="AI24" s="1713"/>
      <c r="AJ24" s="1787"/>
      <c r="AK24" s="1743"/>
      <c r="AL24" s="1726"/>
      <c r="AM24" s="1733"/>
      <c r="AN24" s="1710"/>
      <c r="AO24" s="1710"/>
      <c r="AP24" s="1730"/>
      <c r="AQ24" s="1713"/>
      <c r="AR24" s="1713"/>
      <c r="AS24" s="1743"/>
      <c r="AT24" s="1743"/>
    </row>
    <row r="25" spans="1:46" ht="18.75" customHeight="1" x14ac:dyDescent="0.3">
      <c r="A25" s="2260">
        <v>45942</v>
      </c>
      <c r="B25" s="1218">
        <v>1</v>
      </c>
      <c r="C25" s="1728"/>
      <c r="D25" s="1729"/>
      <c r="E25" s="1729"/>
      <c r="F25" s="1730"/>
      <c r="G25" s="1712"/>
      <c r="H25" s="1713"/>
      <c r="I25" s="1714"/>
      <c r="J25" s="1743"/>
      <c r="K25" s="332"/>
      <c r="L25" s="1733"/>
      <c r="M25" s="1710"/>
      <c r="N25" s="1710"/>
      <c r="O25" s="1730"/>
      <c r="P25" s="1733"/>
      <c r="Q25" s="1713"/>
      <c r="R25" s="1710"/>
      <c r="S25" s="1743"/>
      <c r="T25" s="332"/>
      <c r="U25" s="1733"/>
      <c r="V25" s="1710"/>
      <c r="W25" s="1710"/>
      <c r="X25" s="1730"/>
      <c r="Y25" s="1784"/>
      <c r="Z25" s="1725"/>
      <c r="AA25" s="1723"/>
      <c r="AB25" s="1743"/>
      <c r="AC25" s="332"/>
      <c r="AD25" s="1733"/>
      <c r="AE25" s="1710"/>
      <c r="AF25" s="1710"/>
      <c r="AG25" s="1730"/>
      <c r="AH25" s="1714"/>
      <c r="AI25" s="1713"/>
      <c r="AJ25" s="1723"/>
      <c r="AK25" s="1743"/>
      <c r="AL25" s="1726"/>
      <c r="AM25" s="1733"/>
      <c r="AN25" s="1710"/>
      <c r="AO25" s="1710"/>
      <c r="AP25" s="1730"/>
      <c r="AQ25" s="1710"/>
      <c r="AR25" s="1710"/>
      <c r="AS25" s="1723"/>
      <c r="AT25" s="1743"/>
    </row>
    <row r="26" spans="1:46" ht="19.5" customHeight="1" x14ac:dyDescent="0.3">
      <c r="A26" s="2261"/>
      <c r="B26" s="1218">
        <v>2</v>
      </c>
      <c r="C26" s="1728"/>
      <c r="D26" s="1729"/>
      <c r="E26" s="1729"/>
      <c r="F26" s="1730"/>
      <c r="G26" s="1712"/>
      <c r="H26" s="1723"/>
      <c r="I26" s="1714"/>
      <c r="J26" s="1743"/>
      <c r="K26" s="332"/>
      <c r="L26" s="1733"/>
      <c r="M26" s="1710"/>
      <c r="N26" s="1710"/>
      <c r="O26" s="1730"/>
      <c r="P26" s="1712"/>
      <c r="Q26" s="1723"/>
      <c r="R26" s="1749"/>
      <c r="S26" s="1743"/>
      <c r="T26" s="332"/>
      <c r="U26" s="1733"/>
      <c r="V26" s="1729"/>
      <c r="W26" s="1710">
        <v>16</v>
      </c>
      <c r="X26" s="1730"/>
      <c r="Y26" s="1714"/>
      <c r="Z26" s="1723"/>
      <c r="AA26" s="1738" t="s">
        <v>152</v>
      </c>
      <c r="AB26" s="1743"/>
      <c r="AC26" s="332"/>
      <c r="AD26" s="1733"/>
      <c r="AE26" s="1729"/>
      <c r="AF26" s="1710"/>
      <c r="AG26" s="1730"/>
      <c r="AH26" s="1710"/>
      <c r="AI26" s="1725"/>
      <c r="AJ26" s="1723"/>
      <c r="AK26" s="1743"/>
      <c r="AL26" s="1726"/>
      <c r="AM26" s="1733"/>
      <c r="AN26" s="1729"/>
      <c r="AO26" s="1710"/>
      <c r="AP26" s="1730"/>
      <c r="AQ26" s="1712"/>
      <c r="AR26" s="1723"/>
      <c r="AS26" s="1723"/>
      <c r="AT26" s="1743"/>
    </row>
    <row r="27" spans="1:46" ht="21" customHeight="1" x14ac:dyDescent="0.3">
      <c r="A27" s="2260">
        <v>45943</v>
      </c>
      <c r="B27" s="1244">
        <v>1</v>
      </c>
      <c r="C27" s="1728"/>
      <c r="D27" s="1729"/>
      <c r="E27" s="1729"/>
      <c r="F27" s="1730"/>
      <c r="G27" s="1712"/>
      <c r="H27" s="1713"/>
      <c r="I27" s="1737"/>
      <c r="J27" s="1743"/>
      <c r="K27" s="332"/>
      <c r="L27" s="1733"/>
      <c r="M27" s="1710"/>
      <c r="N27" s="1710"/>
      <c r="O27" s="1730"/>
      <c r="P27" s="1712"/>
      <c r="Q27" s="1713"/>
      <c r="R27" s="1723"/>
      <c r="S27" s="1743"/>
      <c r="T27" s="332"/>
      <c r="U27" s="1733"/>
      <c r="V27" s="1710"/>
      <c r="W27" s="1710"/>
      <c r="X27" s="1730"/>
      <c r="Y27" s="1712"/>
      <c r="Z27" s="1723"/>
      <c r="AA27" s="1783"/>
      <c r="AB27" s="1743"/>
      <c r="AC27" s="332"/>
      <c r="AD27" s="1733"/>
      <c r="AE27" s="1710"/>
      <c r="AF27" s="1710"/>
      <c r="AG27" s="1730"/>
      <c r="AH27" s="1714"/>
      <c r="AI27" s="1723"/>
      <c r="AJ27" s="1723"/>
      <c r="AK27" s="1743"/>
      <c r="AL27" s="1726"/>
      <c r="AM27" s="1733"/>
      <c r="AN27" s="1710"/>
      <c r="AO27" s="1710"/>
      <c r="AP27" s="1730"/>
      <c r="AQ27" s="1725"/>
      <c r="AR27" s="1710"/>
      <c r="AS27" s="1723"/>
      <c r="AT27" s="1743"/>
    </row>
    <row r="28" spans="1:46" ht="21" customHeight="1" x14ac:dyDescent="0.3">
      <c r="A28" s="2261"/>
      <c r="B28" s="1218">
        <v>2</v>
      </c>
      <c r="C28" s="1728"/>
      <c r="D28" s="1729"/>
      <c r="E28" s="1729"/>
      <c r="F28" s="1730"/>
      <c r="G28" s="1723"/>
      <c r="H28" s="1723"/>
      <c r="I28" s="1749"/>
      <c r="J28" s="1743"/>
      <c r="K28" s="332"/>
      <c r="L28" s="1733"/>
      <c r="M28" s="1710"/>
      <c r="N28" s="1710"/>
      <c r="O28" s="1730"/>
      <c r="P28" s="1723"/>
      <c r="Q28" s="1723"/>
      <c r="R28" s="1723"/>
      <c r="S28" s="1743"/>
      <c r="T28" s="332"/>
      <c r="U28" s="1733"/>
      <c r="V28" s="1710"/>
      <c r="W28" s="332"/>
      <c r="X28" s="1730"/>
      <c r="Y28" s="1723"/>
      <c r="Z28" s="1710"/>
      <c r="AA28" s="1738"/>
      <c r="AB28" s="1743"/>
      <c r="AC28" s="332"/>
      <c r="AD28" s="1733"/>
      <c r="AE28" s="1710"/>
      <c r="AF28" s="1710"/>
      <c r="AG28" s="1730"/>
      <c r="AH28" s="1712"/>
      <c r="AI28" s="1725"/>
      <c r="AJ28" s="1723"/>
      <c r="AK28" s="1743"/>
      <c r="AL28" s="1726"/>
      <c r="AM28" s="1733"/>
      <c r="AN28" s="1710"/>
      <c r="AO28" s="1710"/>
      <c r="AP28" s="1730"/>
      <c r="AQ28" s="1725"/>
      <c r="AR28" s="1710"/>
      <c r="AS28" s="1723"/>
      <c r="AT28" s="1743"/>
    </row>
    <row r="29" spans="1:46" ht="18.75" x14ac:dyDescent="0.3">
      <c r="A29" s="2260">
        <v>45944</v>
      </c>
      <c r="B29" s="1218">
        <v>1</v>
      </c>
      <c r="C29" s="1728"/>
      <c r="D29" s="1729"/>
      <c r="E29" s="1729"/>
      <c r="F29" s="1730"/>
      <c r="G29" s="1723"/>
      <c r="H29" s="1713"/>
      <c r="I29" s="1749"/>
      <c r="J29" s="1743"/>
      <c r="K29" s="332"/>
      <c r="L29" s="1733"/>
      <c r="M29" s="1710"/>
      <c r="N29" s="1710"/>
      <c r="O29" s="1730"/>
      <c r="P29" s="1712"/>
      <c r="Q29" s="1723"/>
      <c r="R29" s="1723"/>
      <c r="S29" s="1743"/>
      <c r="T29" s="332"/>
      <c r="U29" s="1733"/>
      <c r="V29" s="1710"/>
      <c r="W29" s="1710"/>
      <c r="X29" s="1730"/>
      <c r="Y29" s="1723"/>
      <c r="Z29" s="1713"/>
      <c r="AA29" s="1738"/>
      <c r="AB29" s="1743"/>
      <c r="AC29" s="332"/>
      <c r="AD29" s="1733"/>
      <c r="AE29" s="1710"/>
      <c r="AF29" s="1710"/>
      <c r="AG29" s="1730"/>
      <c r="AH29" s="1712"/>
      <c r="AI29" s="1725"/>
      <c r="AJ29" s="1738"/>
      <c r="AK29" s="1743"/>
      <c r="AL29" s="1726"/>
      <c r="AM29" s="1733"/>
      <c r="AN29" s="1710"/>
      <c r="AO29" s="1710"/>
      <c r="AP29" s="1710"/>
      <c r="AQ29" s="1725"/>
      <c r="AR29" s="1713"/>
      <c r="AS29" s="1782"/>
      <c r="AT29" s="1743"/>
    </row>
    <row r="30" spans="1:46" ht="27.75" customHeight="1" x14ac:dyDescent="0.3">
      <c r="A30" s="2261"/>
      <c r="B30" s="1244">
        <v>2</v>
      </c>
      <c r="C30" s="1728"/>
      <c r="D30" s="1729"/>
      <c r="E30" s="1729">
        <v>20</v>
      </c>
      <c r="F30" s="1730"/>
      <c r="G30" s="1723"/>
      <c r="H30" s="1713"/>
      <c r="I30" s="1738" t="s">
        <v>97</v>
      </c>
      <c r="J30" s="1743"/>
      <c r="K30" s="332"/>
      <c r="L30" s="1733"/>
      <c r="M30" s="1710"/>
      <c r="N30" s="1710"/>
      <c r="O30" s="1730"/>
      <c r="P30" s="1712"/>
      <c r="Q30" s="1723"/>
      <c r="R30" s="1723"/>
      <c r="S30" s="1743"/>
      <c r="T30" s="332"/>
      <c r="U30" s="1733"/>
      <c r="V30" s="1710"/>
      <c r="W30" s="1710"/>
      <c r="X30" s="1730"/>
      <c r="Y30" s="1723"/>
      <c r="Z30" s="1819"/>
      <c r="AA30" s="1820"/>
      <c r="AB30" s="1743"/>
      <c r="AC30" s="332"/>
      <c r="AD30" s="1733"/>
      <c r="AE30" s="1710"/>
      <c r="AF30" s="1710"/>
      <c r="AG30" s="1730"/>
      <c r="AH30" s="1712"/>
      <c r="AI30" s="1713"/>
      <c r="AJ30" s="1710"/>
      <c r="AK30" s="1743"/>
      <c r="AL30" s="1726"/>
      <c r="AM30" s="1733"/>
      <c r="AN30" s="1710"/>
      <c r="AO30" s="1710"/>
      <c r="AP30" s="1710"/>
      <c r="AQ30" s="1993"/>
      <c r="AR30" s="1713"/>
      <c r="AS30" s="1782"/>
      <c r="AT30" s="1742"/>
    </row>
    <row r="31" spans="1:46" ht="18.75" x14ac:dyDescent="0.3">
      <c r="A31" s="2260">
        <v>45945</v>
      </c>
      <c r="B31" s="1218">
        <v>1</v>
      </c>
      <c r="C31" s="1728"/>
      <c r="D31" s="1729"/>
      <c r="E31" s="1729">
        <v>35</v>
      </c>
      <c r="F31" s="1730"/>
      <c r="G31" s="1712"/>
      <c r="H31" s="1744"/>
      <c r="I31" s="1821" t="s">
        <v>152</v>
      </c>
      <c r="J31" s="1743"/>
      <c r="K31" s="332"/>
      <c r="L31" s="1733"/>
      <c r="M31" s="1710"/>
      <c r="N31" s="1710"/>
      <c r="O31" s="1730"/>
      <c r="P31" s="1991"/>
      <c r="Q31" s="1710"/>
      <c r="R31" s="1710"/>
      <c r="S31" s="1743"/>
      <c r="T31" s="332"/>
      <c r="U31" s="1733"/>
      <c r="V31" s="1710"/>
      <c r="W31" s="1710">
        <v>10</v>
      </c>
      <c r="X31" s="1730"/>
      <c r="Y31" s="1992"/>
      <c r="Z31" s="1822"/>
      <c r="AA31" s="1820" t="s">
        <v>152</v>
      </c>
      <c r="AB31" s="1752"/>
      <c r="AC31" s="332"/>
      <c r="AD31" s="1733"/>
      <c r="AE31" s="1710"/>
      <c r="AF31" s="1710"/>
      <c r="AG31" s="1730"/>
      <c r="AH31" s="1712"/>
      <c r="AI31" s="1723"/>
      <c r="AJ31" s="1710"/>
      <c r="AK31" s="1743"/>
      <c r="AL31" s="1726"/>
      <c r="AM31" s="1733"/>
      <c r="AN31" s="1710"/>
      <c r="AO31" s="1710"/>
      <c r="AP31" s="1710"/>
      <c r="AQ31" s="1991"/>
      <c r="AR31" s="1713"/>
      <c r="AS31" s="1710"/>
      <c r="AT31" s="1742"/>
    </row>
    <row r="32" spans="1:46" ht="20.25" customHeight="1" x14ac:dyDescent="0.3">
      <c r="A32" s="2261"/>
      <c r="B32" s="1218">
        <v>2</v>
      </c>
      <c r="C32" s="1827"/>
      <c r="D32" s="1758"/>
      <c r="E32" s="1786"/>
      <c r="F32" s="1758"/>
      <c r="G32" s="1712"/>
      <c r="H32" s="1744"/>
      <c r="I32" s="1821"/>
      <c r="J32" s="1743"/>
      <c r="K32" s="332"/>
      <c r="L32" s="1733"/>
      <c r="M32" s="1710"/>
      <c r="N32" s="1710"/>
      <c r="O32" s="1710"/>
      <c r="P32" s="1991"/>
      <c r="Q32" s="1744"/>
      <c r="R32" s="1991"/>
      <c r="S32" s="1743"/>
      <c r="T32" s="332"/>
      <c r="U32" s="1733"/>
      <c r="V32" s="1710"/>
      <c r="W32" s="1729"/>
      <c r="X32" s="1710"/>
      <c r="Y32" s="1816"/>
      <c r="Z32" s="1828"/>
      <c r="AA32" s="1825"/>
      <c r="AB32" s="1752"/>
      <c r="AC32" s="332"/>
      <c r="AD32" s="1733"/>
      <c r="AE32" s="1710"/>
      <c r="AF32" s="1729"/>
      <c r="AG32" s="1710"/>
      <c r="AH32" s="1712"/>
      <c r="AI32" s="1710"/>
      <c r="AJ32" s="1710"/>
      <c r="AK32" s="1743"/>
      <c r="AL32" s="1726"/>
      <c r="AM32" s="1733"/>
      <c r="AN32" s="1710"/>
      <c r="AO32" s="1710"/>
      <c r="AP32" s="1710"/>
      <c r="AQ32" s="1991"/>
      <c r="AR32" s="1713"/>
      <c r="AS32" s="1737"/>
      <c r="AT32" s="1742"/>
    </row>
    <row r="33" spans="1:46" ht="18.75" x14ac:dyDescent="0.3">
      <c r="A33" s="2260">
        <v>45946</v>
      </c>
      <c r="B33" s="1218">
        <v>1</v>
      </c>
      <c r="C33" s="1728"/>
      <c r="D33" s="1729"/>
      <c r="E33" s="1729"/>
      <c r="F33" s="1730">
        <v>93</v>
      </c>
      <c r="G33" s="1712"/>
      <c r="H33" s="1744"/>
      <c r="I33" s="1821"/>
      <c r="J33" s="1743" t="s">
        <v>1063</v>
      </c>
      <c r="K33" s="332"/>
      <c r="L33" s="1733"/>
      <c r="M33" s="1710"/>
      <c r="N33" s="1710"/>
      <c r="O33" s="1730"/>
      <c r="P33" s="1991"/>
      <c r="Q33" s="1710"/>
      <c r="R33" s="1710"/>
      <c r="S33" s="1743"/>
      <c r="T33" s="332"/>
      <c r="U33" s="1733"/>
      <c r="V33" s="1710"/>
      <c r="W33" s="1710"/>
      <c r="X33" s="1730">
        <v>124</v>
      </c>
      <c r="Y33" s="1991"/>
      <c r="Z33" s="1734"/>
      <c r="AA33" s="1825"/>
      <c r="AB33" s="1743" t="s">
        <v>1063</v>
      </c>
      <c r="AC33" s="332"/>
      <c r="AD33" s="1733"/>
      <c r="AE33" s="1710"/>
      <c r="AF33" s="1710"/>
      <c r="AG33" s="1730">
        <v>225</v>
      </c>
      <c r="AH33" s="1712"/>
      <c r="AI33" s="1744"/>
      <c r="AJ33" s="1821"/>
      <c r="AK33" s="1743" t="s">
        <v>1063</v>
      </c>
      <c r="AL33" s="1726"/>
      <c r="AM33" s="1733"/>
      <c r="AN33" s="1710"/>
      <c r="AO33" s="1710"/>
      <c r="AP33" s="1710">
        <v>223</v>
      </c>
      <c r="AQ33" s="1991"/>
      <c r="AR33" s="1826"/>
      <c r="AS33" s="1991"/>
      <c r="AT33" s="1743" t="s">
        <v>1063</v>
      </c>
    </row>
    <row r="34" spans="1:46" ht="18.75" x14ac:dyDescent="0.3">
      <c r="A34" s="2261"/>
      <c r="B34" s="1244">
        <v>2</v>
      </c>
      <c r="C34" s="1729"/>
      <c r="D34" s="1729"/>
      <c r="E34" s="1729"/>
      <c r="F34" s="1730">
        <v>178</v>
      </c>
      <c r="G34" s="1731"/>
      <c r="H34" s="1723"/>
      <c r="I34" s="1738"/>
      <c r="J34" s="1743" t="s">
        <v>1063</v>
      </c>
      <c r="K34" s="332"/>
      <c r="L34" s="1733"/>
      <c r="M34" s="1710"/>
      <c r="N34" s="1710"/>
      <c r="O34" s="1730">
        <v>176</v>
      </c>
      <c r="P34" s="1994"/>
      <c r="Q34" s="1723"/>
      <c r="R34" s="1710"/>
      <c r="S34" s="1743" t="s">
        <v>1063</v>
      </c>
      <c r="T34" s="332"/>
      <c r="U34" s="1733"/>
      <c r="V34" s="1710"/>
      <c r="W34" s="1710"/>
      <c r="X34" s="1730">
        <v>578</v>
      </c>
      <c r="Y34" s="1725"/>
      <c r="Z34" s="1725"/>
      <c r="AA34" s="1825"/>
      <c r="AB34" s="1743" t="s">
        <v>1063</v>
      </c>
      <c r="AC34" s="332"/>
      <c r="AD34" s="1733"/>
      <c r="AE34" s="1710"/>
      <c r="AF34" s="1710"/>
      <c r="AG34" s="1730">
        <v>203</v>
      </c>
      <c r="AH34" s="1994"/>
      <c r="AI34" s="1826"/>
      <c r="AJ34" s="1821"/>
      <c r="AK34" s="1743" t="s">
        <v>1063</v>
      </c>
      <c r="AL34" s="1726"/>
      <c r="AM34" s="1733"/>
      <c r="AN34" s="1710"/>
      <c r="AO34" s="1710"/>
      <c r="AP34" s="1710">
        <v>331</v>
      </c>
      <c r="AQ34" s="1994"/>
      <c r="AR34" s="1826"/>
      <c r="AS34" s="1723"/>
      <c r="AT34" s="1743" t="s">
        <v>1063</v>
      </c>
    </row>
    <row r="35" spans="1:46" ht="15" customHeight="1" x14ac:dyDescent="0.3">
      <c r="A35" s="2260">
        <v>45947</v>
      </c>
      <c r="B35" s="1218">
        <v>1</v>
      </c>
      <c r="C35" s="1729"/>
      <c r="D35" s="1729"/>
      <c r="E35" s="1782">
        <v>34</v>
      </c>
      <c r="F35" s="1730"/>
      <c r="G35" s="1784"/>
      <c r="H35" s="1994"/>
      <c r="I35" s="1749" t="s">
        <v>152</v>
      </c>
      <c r="J35" s="1743"/>
      <c r="K35" s="332"/>
      <c r="L35" s="1733"/>
      <c r="M35" s="1710"/>
      <c r="N35" s="1710"/>
      <c r="O35" s="1730"/>
      <c r="P35" s="1784"/>
      <c r="Q35" s="1723"/>
      <c r="R35" s="1723"/>
      <c r="S35" s="1743"/>
      <c r="T35" s="332"/>
      <c r="U35" s="1733"/>
      <c r="V35" s="1710">
        <v>119</v>
      </c>
      <c r="W35" s="1710">
        <v>15</v>
      </c>
      <c r="X35" s="1730"/>
      <c r="Y35" s="1784"/>
      <c r="Z35" s="1725" t="s">
        <v>96</v>
      </c>
      <c r="AA35" s="1738" t="s">
        <v>152</v>
      </c>
      <c r="AB35" s="1743"/>
      <c r="AC35" s="332"/>
      <c r="AD35" s="1733"/>
      <c r="AE35" s="1710"/>
      <c r="AF35" s="1710"/>
      <c r="AG35" s="1730"/>
      <c r="AH35" s="1994"/>
      <c r="AI35" s="1710"/>
      <c r="AJ35" s="1725"/>
      <c r="AK35" s="1743"/>
      <c r="AL35" s="1726"/>
      <c r="AM35" s="1733"/>
      <c r="AN35" s="1710"/>
      <c r="AO35" s="1710"/>
      <c r="AP35" s="1710"/>
      <c r="AQ35" s="1994"/>
      <c r="AR35" s="1826"/>
      <c r="AS35" s="1995"/>
      <c r="AT35" s="1743"/>
    </row>
    <row r="36" spans="1:46" ht="15.75" customHeight="1" x14ac:dyDescent="0.3">
      <c r="A36" s="2261"/>
      <c r="B36" s="1218">
        <v>2</v>
      </c>
      <c r="C36" s="1782"/>
      <c r="D36" s="1710"/>
      <c r="E36" s="1782">
        <v>48</v>
      </c>
      <c r="F36" s="1730"/>
      <c r="G36" s="1749"/>
      <c r="H36" s="1723"/>
      <c r="I36" s="1749" t="s">
        <v>152</v>
      </c>
      <c r="J36" s="1743"/>
      <c r="K36" s="332"/>
      <c r="L36" s="1784"/>
      <c r="M36" s="1710"/>
      <c r="N36" s="1710"/>
      <c r="O36" s="1730"/>
      <c r="P36" s="1784"/>
      <c r="Q36" s="1723"/>
      <c r="R36" s="1725"/>
      <c r="S36" s="1743"/>
      <c r="T36" s="332"/>
      <c r="U36" s="1733"/>
      <c r="V36" s="1710"/>
      <c r="W36" s="1710">
        <v>15</v>
      </c>
      <c r="X36" s="1730"/>
      <c r="Y36" s="1784"/>
      <c r="Z36" s="1723"/>
      <c r="AA36" s="1738" t="s">
        <v>152</v>
      </c>
      <c r="AB36" s="1743"/>
      <c r="AC36" s="332"/>
      <c r="AD36" s="1733"/>
      <c r="AE36" s="1710"/>
      <c r="AF36" s="1782"/>
      <c r="AG36" s="1730"/>
      <c r="AH36" s="1784"/>
      <c r="AI36" s="1768"/>
      <c r="AJ36" s="1737"/>
      <c r="AK36" s="1743"/>
      <c r="AL36" s="1726"/>
      <c r="AM36" s="1733"/>
      <c r="AN36" s="1710"/>
      <c r="AO36" s="1710"/>
      <c r="AP36" s="1710"/>
      <c r="AQ36" s="1994"/>
      <c r="AR36" s="1826"/>
      <c r="AS36" s="1996"/>
      <c r="AT36" s="1743"/>
    </row>
    <row r="37" spans="1:46" ht="18.75" x14ac:dyDescent="0.3">
      <c r="A37" s="2260">
        <v>45948</v>
      </c>
      <c r="B37" s="1244">
        <v>1</v>
      </c>
      <c r="C37" s="1782"/>
      <c r="D37" s="1729"/>
      <c r="E37" s="1782"/>
      <c r="F37" s="1730"/>
      <c r="G37" s="1749"/>
      <c r="H37" s="1996"/>
      <c r="I37" s="1714"/>
      <c r="J37" s="1743"/>
      <c r="K37" s="332"/>
      <c r="L37" s="1733"/>
      <c r="M37" s="1710"/>
      <c r="N37" s="1710"/>
      <c r="O37" s="1730"/>
      <c r="P37" s="1994"/>
      <c r="Q37" s="1723"/>
      <c r="R37" s="1710"/>
      <c r="S37" s="1743"/>
      <c r="T37" s="332"/>
      <c r="U37" s="1733"/>
      <c r="V37" s="1710"/>
      <c r="W37" s="1710"/>
      <c r="X37" s="1730"/>
      <c r="Y37" s="1994"/>
      <c r="Z37" s="1725"/>
      <c r="AA37" s="1738"/>
      <c r="AB37" s="1743"/>
      <c r="AC37" s="332"/>
      <c r="AD37" s="1733"/>
      <c r="AE37" s="1710"/>
      <c r="AF37" s="1710"/>
      <c r="AG37" s="1730"/>
      <c r="AH37" s="1784"/>
      <c r="AI37" s="1826"/>
      <c r="AJ37" s="1821"/>
      <c r="AK37" s="1743"/>
      <c r="AL37" s="1726"/>
      <c r="AM37" s="1733"/>
      <c r="AN37" s="1710"/>
      <c r="AO37" s="1710"/>
      <c r="AP37" s="1710"/>
      <c r="AQ37" s="1994"/>
      <c r="AR37" s="1826"/>
      <c r="AS37" s="1994"/>
      <c r="AT37" s="1743"/>
    </row>
    <row r="38" spans="1:46" ht="17.25" customHeight="1" x14ac:dyDescent="0.3">
      <c r="A38" s="2261"/>
      <c r="B38" s="1218">
        <v>2</v>
      </c>
      <c r="C38" s="1782"/>
      <c r="D38" s="1729"/>
      <c r="E38" s="1782"/>
      <c r="F38" s="1730"/>
      <c r="G38" s="1749"/>
      <c r="H38" s="1996"/>
      <c r="I38" s="1714"/>
      <c r="J38" s="1743"/>
      <c r="K38" s="332"/>
      <c r="L38" s="1733"/>
      <c r="M38" s="1710"/>
      <c r="N38" s="1710"/>
      <c r="O38" s="1730"/>
      <c r="P38" s="1996"/>
      <c r="Q38" s="1996"/>
      <c r="R38" s="1710"/>
      <c r="S38" s="1743"/>
      <c r="T38" s="332"/>
      <c r="U38" s="1733"/>
      <c r="V38" s="1710"/>
      <c r="W38" s="1710">
        <v>15</v>
      </c>
      <c r="X38" s="1730"/>
      <c r="Y38" s="1996"/>
      <c r="Z38" s="1725"/>
      <c r="AA38" s="1738" t="s">
        <v>152</v>
      </c>
      <c r="AB38" s="1743"/>
      <c r="AC38" s="332"/>
      <c r="AD38" s="1733"/>
      <c r="AE38" s="1710"/>
      <c r="AF38" s="1710"/>
      <c r="AG38" s="1730"/>
      <c r="AH38" s="1996"/>
      <c r="AI38" s="1710"/>
      <c r="AJ38" s="1738"/>
      <c r="AK38" s="1743"/>
      <c r="AL38" s="1726"/>
      <c r="AM38" s="1733"/>
      <c r="AN38" s="1710"/>
      <c r="AO38" s="1710"/>
      <c r="AP38" s="1710"/>
      <c r="AQ38" s="1994"/>
      <c r="AR38" s="1826"/>
      <c r="AS38" s="1996"/>
      <c r="AT38" s="1743"/>
    </row>
    <row r="39" spans="1:46" ht="18.75" customHeight="1" x14ac:dyDescent="0.3">
      <c r="A39" s="2260">
        <v>45949</v>
      </c>
      <c r="B39" s="1218">
        <v>1</v>
      </c>
      <c r="C39" s="1782"/>
      <c r="D39" s="1729">
        <v>160</v>
      </c>
      <c r="E39" s="1729"/>
      <c r="F39" s="1730"/>
      <c r="G39" s="1749"/>
      <c r="H39" s="1996" t="s">
        <v>96</v>
      </c>
      <c r="I39" s="1714"/>
      <c r="J39" s="1743"/>
      <c r="K39" s="332"/>
      <c r="L39" s="1733"/>
      <c r="M39" s="1710"/>
      <c r="N39" s="1710"/>
      <c r="O39" s="1730"/>
      <c r="P39" s="1749"/>
      <c r="Q39" s="1723"/>
      <c r="R39" s="1710"/>
      <c r="S39" s="1743"/>
      <c r="T39" s="332"/>
      <c r="U39" s="1733"/>
      <c r="V39" s="1710"/>
      <c r="W39" s="1710">
        <v>40</v>
      </c>
      <c r="X39" s="1730"/>
      <c r="Y39" s="1994"/>
      <c r="Z39" s="1723"/>
      <c r="AA39" s="1738" t="s">
        <v>152</v>
      </c>
      <c r="AB39" s="1743"/>
      <c r="AC39" s="332"/>
      <c r="AD39" s="1733"/>
      <c r="AE39" s="1710"/>
      <c r="AF39" s="1710"/>
      <c r="AG39" s="1730"/>
      <c r="AH39" s="1996"/>
      <c r="AI39" s="1710"/>
      <c r="AJ39" s="1738"/>
      <c r="AK39" s="1743"/>
      <c r="AL39" s="1726"/>
      <c r="AM39" s="1733"/>
      <c r="AN39" s="1710"/>
      <c r="AO39" s="1710"/>
      <c r="AP39" s="1710"/>
      <c r="AQ39" s="1994"/>
      <c r="AR39" s="1826"/>
      <c r="AS39" s="1821"/>
      <c r="AT39" s="1743"/>
    </row>
    <row r="40" spans="1:46" ht="15.75" customHeight="1" x14ac:dyDescent="0.3">
      <c r="A40" s="2261"/>
      <c r="B40" s="1218">
        <v>2</v>
      </c>
      <c r="C40" s="1729"/>
      <c r="D40" s="1729"/>
      <c r="E40" s="1729">
        <v>16</v>
      </c>
      <c r="F40" s="1730"/>
      <c r="G40" s="1749"/>
      <c r="H40" s="1996"/>
      <c r="I40" s="1714" t="s">
        <v>152</v>
      </c>
      <c r="J40" s="1743"/>
      <c r="K40" s="332"/>
      <c r="L40" s="1733"/>
      <c r="M40" s="1710"/>
      <c r="N40" s="1710"/>
      <c r="O40" s="1730"/>
      <c r="P40" s="1712"/>
      <c r="Q40" s="1713"/>
      <c r="R40" s="1749"/>
      <c r="S40" s="1743"/>
      <c r="T40" s="332"/>
      <c r="U40" s="1733"/>
      <c r="V40" s="1710"/>
      <c r="W40" s="1710"/>
      <c r="X40" s="1730"/>
      <c r="Y40" s="1996"/>
      <c r="Z40" s="1710"/>
      <c r="AA40" s="1738"/>
      <c r="AB40" s="1743"/>
      <c r="AC40" s="332"/>
      <c r="AD40" s="1733"/>
      <c r="AE40" s="1710"/>
      <c r="AF40" s="1710"/>
      <c r="AG40" s="1730"/>
      <c r="AH40" s="1749"/>
      <c r="AI40" s="1713"/>
      <c r="AJ40" s="1738"/>
      <c r="AK40" s="1743"/>
      <c r="AL40" s="1726"/>
      <c r="AM40" s="1784"/>
      <c r="AN40" s="1710"/>
      <c r="AO40" s="1710"/>
      <c r="AP40" s="1710"/>
      <c r="AQ40" s="1994"/>
      <c r="AR40" s="1826"/>
      <c r="AS40" s="1749"/>
      <c r="AT40" s="1743"/>
    </row>
    <row r="41" spans="1:46" ht="17.25" customHeight="1" x14ac:dyDescent="0.3">
      <c r="A41" s="2260">
        <v>45950</v>
      </c>
      <c r="B41" s="1218">
        <v>1</v>
      </c>
      <c r="C41" s="1728"/>
      <c r="D41" s="1729"/>
      <c r="E41" s="1729">
        <v>20</v>
      </c>
      <c r="F41" s="1730"/>
      <c r="G41" s="1712"/>
      <c r="H41" s="1723"/>
      <c r="I41" s="1714" t="s">
        <v>152</v>
      </c>
      <c r="J41" s="1743"/>
      <c r="K41" s="332"/>
      <c r="L41" s="1733"/>
      <c r="M41" s="1710"/>
      <c r="N41" s="1710"/>
      <c r="O41" s="1730"/>
      <c r="P41" s="1997"/>
      <c r="Q41" s="1710"/>
      <c r="R41" s="1749"/>
      <c r="S41" s="1743"/>
      <c r="T41" s="332"/>
      <c r="U41" s="1733"/>
      <c r="V41" s="1710"/>
      <c r="W41" s="1710">
        <v>23</v>
      </c>
      <c r="X41" s="1730"/>
      <c r="Y41" s="1997"/>
      <c r="Z41" s="1725"/>
      <c r="AA41" s="1738" t="s">
        <v>152</v>
      </c>
      <c r="AB41" s="1743"/>
      <c r="AC41" s="332"/>
      <c r="AD41" s="1733"/>
      <c r="AE41" s="1710"/>
      <c r="AF41" s="1710"/>
      <c r="AG41" s="1730"/>
      <c r="AH41" s="1784"/>
      <c r="AI41" s="1723"/>
      <c r="AJ41" s="1738"/>
      <c r="AK41" s="1743"/>
      <c r="AL41" s="1726"/>
      <c r="AM41" s="1733"/>
      <c r="AN41" s="1710"/>
      <c r="AO41" s="1710"/>
      <c r="AP41" s="1710"/>
      <c r="AQ41" s="1997"/>
      <c r="AR41" s="1826"/>
      <c r="AS41" s="1749"/>
      <c r="AT41" s="1743"/>
    </row>
    <row r="42" spans="1:46" ht="18.75" x14ac:dyDescent="0.25">
      <c r="A42" s="2261"/>
      <c r="B42" s="1218">
        <v>2</v>
      </c>
      <c r="C42" s="1729"/>
      <c r="D42" s="1729"/>
      <c r="E42" s="1729"/>
      <c r="F42" s="1729"/>
      <c r="G42" s="1729"/>
      <c r="H42" s="1729"/>
      <c r="I42" s="1729"/>
      <c r="J42" s="1729"/>
      <c r="K42" s="1729"/>
      <c r="L42" s="1729"/>
      <c r="M42" s="1729"/>
      <c r="N42" s="1729"/>
      <c r="O42" s="1729"/>
      <c r="P42" s="1729"/>
      <c r="Q42" s="1729"/>
      <c r="R42" s="1729"/>
      <c r="S42" s="1729"/>
      <c r="T42" s="1729"/>
      <c r="U42" s="1729"/>
      <c r="V42" s="1729"/>
      <c r="W42" s="1729"/>
      <c r="X42" s="1729"/>
      <c r="Y42" s="1729"/>
      <c r="Z42" s="1729"/>
      <c r="AA42" s="1729"/>
      <c r="AB42" s="1729"/>
      <c r="AC42" s="1729"/>
      <c r="AD42" s="1729"/>
      <c r="AE42" s="1729"/>
      <c r="AF42" s="1729"/>
      <c r="AG42" s="1729"/>
      <c r="AH42" s="1784"/>
      <c r="AI42" s="1725"/>
      <c r="AJ42" s="1710"/>
      <c r="AK42" s="1729"/>
      <c r="AL42" s="1729"/>
      <c r="AM42" s="1729"/>
      <c r="AN42" s="1729"/>
      <c r="AO42" s="1729"/>
      <c r="AP42" s="1729"/>
      <c r="AQ42" s="1729"/>
      <c r="AR42" s="1729"/>
      <c r="AS42" s="1729"/>
      <c r="AT42" s="1729"/>
    </row>
    <row r="43" spans="1:46" ht="18.75" x14ac:dyDescent="0.3">
      <c r="A43" s="2260">
        <v>45951</v>
      </c>
      <c r="B43" s="1218">
        <v>1</v>
      </c>
      <c r="C43" s="1729"/>
      <c r="D43" s="1729"/>
      <c r="E43" s="1729"/>
      <c r="F43" s="1730"/>
      <c r="G43" s="1713"/>
      <c r="H43" s="1713"/>
      <c r="I43" s="1749"/>
      <c r="J43" s="1743"/>
      <c r="K43" s="332"/>
      <c r="L43" s="1733"/>
      <c r="M43" s="1710"/>
      <c r="N43" s="1710"/>
      <c r="O43" s="1730"/>
      <c r="P43" s="1997"/>
      <c r="Q43" s="1710"/>
      <c r="R43" s="1710"/>
      <c r="S43" s="1743"/>
      <c r="T43" s="332"/>
      <c r="U43" s="1733"/>
      <c r="V43" s="1710"/>
      <c r="W43" s="1710"/>
      <c r="X43" s="1730"/>
      <c r="Y43" s="1997"/>
      <c r="Z43" s="1710"/>
      <c r="AA43" s="1738"/>
      <c r="AB43" s="1743"/>
      <c r="AC43" s="332"/>
      <c r="AD43" s="1733"/>
      <c r="AE43" s="1710"/>
      <c r="AF43" s="1710"/>
      <c r="AG43" s="1730"/>
      <c r="AH43" s="1729"/>
      <c r="AI43" s="1729"/>
      <c r="AJ43" s="1729"/>
      <c r="AK43" s="1743"/>
      <c r="AL43" s="1726"/>
      <c r="AM43" s="1733"/>
      <c r="AN43" s="1710"/>
      <c r="AO43" s="1710"/>
      <c r="AP43" s="1710"/>
      <c r="AQ43" s="1725"/>
      <c r="AR43" s="1826"/>
      <c r="AS43" s="1710"/>
      <c r="AT43" s="1743"/>
    </row>
    <row r="44" spans="1:46" ht="18" customHeight="1" x14ac:dyDescent="0.3">
      <c r="A44" s="2261"/>
      <c r="B44" s="1218">
        <v>2</v>
      </c>
      <c r="C44" s="1729"/>
      <c r="D44" s="1729"/>
      <c r="E44" s="1729"/>
      <c r="F44" s="1730"/>
      <c r="G44" s="1713"/>
      <c r="H44" s="1999"/>
      <c r="I44" s="1749"/>
      <c r="J44" s="1743"/>
      <c r="K44" s="332"/>
      <c r="L44" s="1733"/>
      <c r="M44" s="1710"/>
      <c r="N44" s="1710"/>
      <c r="O44" s="1721"/>
      <c r="P44" s="1999"/>
      <c r="Q44" s="1710"/>
      <c r="R44" s="1725"/>
      <c r="S44" s="1743"/>
      <c r="T44" s="332"/>
      <c r="U44" s="1733"/>
      <c r="V44" s="1710"/>
      <c r="W44" s="1729"/>
      <c r="X44" s="1730"/>
      <c r="Y44" s="1713"/>
      <c r="Z44" s="1723"/>
      <c r="AA44" s="1738"/>
      <c r="AB44" s="1743"/>
      <c r="AC44" s="332"/>
      <c r="AD44" s="1733"/>
      <c r="AE44" s="1710"/>
      <c r="AF44" s="1710"/>
      <c r="AG44" s="1721"/>
      <c r="AH44" s="1725"/>
      <c r="AI44" s="1723"/>
      <c r="AJ44" s="1710"/>
      <c r="AK44" s="1743"/>
      <c r="AL44" s="1726"/>
      <c r="AM44" s="1733"/>
      <c r="AN44" s="1710"/>
      <c r="AO44" s="1710"/>
      <c r="AP44" s="1710"/>
      <c r="AQ44" s="1998"/>
      <c r="AR44" s="1725"/>
      <c r="AS44" s="1725"/>
      <c r="AT44" s="1743"/>
    </row>
    <row r="45" spans="1:46" ht="18.75" x14ac:dyDescent="0.3">
      <c r="A45" s="2260">
        <v>45952</v>
      </c>
      <c r="B45" s="1218">
        <v>1</v>
      </c>
      <c r="C45" s="1729"/>
      <c r="D45" s="1729"/>
      <c r="E45" s="1729"/>
      <c r="F45" s="1730"/>
      <c r="G45" s="1713"/>
      <c r="H45" s="1713"/>
      <c r="I45" s="1749"/>
      <c r="J45" s="1743"/>
      <c r="K45" s="332"/>
      <c r="L45" s="1733"/>
      <c r="M45" s="1710"/>
      <c r="N45" s="1710"/>
      <c r="O45" s="1721"/>
      <c r="P45" s="1998"/>
      <c r="Q45" s="1725"/>
      <c r="R45" s="1710"/>
      <c r="S45" s="1743"/>
      <c r="T45" s="332"/>
      <c r="U45" s="1733"/>
      <c r="V45" s="1725"/>
      <c r="W45" s="1710">
        <v>15</v>
      </c>
      <c r="X45" s="1730"/>
      <c r="Y45" s="1998"/>
      <c r="Z45" s="1725"/>
      <c r="AA45" s="1738" t="s">
        <v>152</v>
      </c>
      <c r="AB45" s="1743"/>
      <c r="AC45" s="332"/>
      <c r="AD45" s="1733"/>
      <c r="AE45" s="1710"/>
      <c r="AF45" s="1710"/>
      <c r="AG45" s="1721"/>
      <c r="AH45" s="1998"/>
      <c r="AI45" s="1725"/>
      <c r="AJ45" s="1738"/>
      <c r="AK45" s="1743"/>
      <c r="AL45" s="1726"/>
      <c r="AM45" s="1733"/>
      <c r="AN45" s="1710"/>
      <c r="AO45" s="1710"/>
      <c r="AP45" s="1710"/>
      <c r="AQ45" s="1998"/>
      <c r="AR45" s="1725"/>
      <c r="AS45" s="1710"/>
      <c r="AT45" s="1743"/>
    </row>
    <row r="46" spans="1:46" ht="18.75" x14ac:dyDescent="0.3">
      <c r="A46" s="2261"/>
      <c r="B46" s="1218">
        <v>2</v>
      </c>
      <c r="C46" s="1729"/>
      <c r="D46" s="1729"/>
      <c r="E46" s="1729"/>
      <c r="F46" s="1730"/>
      <c r="G46" s="1713"/>
      <c r="H46" s="1713"/>
      <c r="I46" s="1749"/>
      <c r="J46" s="1743"/>
      <c r="K46" s="332"/>
      <c r="L46" s="1733"/>
      <c r="M46" s="1710"/>
      <c r="N46" s="1710"/>
      <c r="O46" s="1562"/>
      <c r="P46" s="2005"/>
      <c r="Q46" s="1723"/>
      <c r="R46" s="1725"/>
      <c r="S46" s="1743"/>
      <c r="T46" s="332"/>
      <c r="U46" s="1733"/>
      <c r="V46" s="1710"/>
      <c r="W46" s="1710"/>
      <c r="X46" s="1721"/>
      <c r="Y46" s="1710"/>
      <c r="Z46" s="1710"/>
      <c r="AA46" s="1725"/>
      <c r="AB46" s="1743"/>
      <c r="AC46" s="332"/>
      <c r="AD46" s="1733"/>
      <c r="AE46" s="1710"/>
      <c r="AF46" s="1710"/>
      <c r="AG46" s="1721"/>
      <c r="AH46" s="2005"/>
      <c r="AI46" s="1725"/>
      <c r="AJ46" s="1725"/>
      <c r="AK46" s="1743"/>
      <c r="AL46" s="1726"/>
      <c r="AM46" s="1733"/>
      <c r="AN46" s="1710"/>
      <c r="AO46" s="1710"/>
      <c r="AP46" s="1710"/>
      <c r="AQ46" s="2005"/>
      <c r="AR46" s="1723"/>
      <c r="AS46" s="1725"/>
      <c r="AT46" s="1743"/>
    </row>
    <row r="47" spans="1:46" ht="18.75" x14ac:dyDescent="0.3">
      <c r="A47" s="2260">
        <v>45953</v>
      </c>
      <c r="B47" s="1218">
        <v>1</v>
      </c>
      <c r="C47" s="1729"/>
      <c r="D47" s="1729"/>
      <c r="E47" s="1729"/>
      <c r="F47" s="1730"/>
      <c r="G47" s="1713"/>
      <c r="H47" s="1723"/>
      <c r="I47" s="1749"/>
      <c r="J47" s="1732"/>
      <c r="K47" s="332"/>
      <c r="L47" s="1733"/>
      <c r="M47" s="1710"/>
      <c r="N47" s="1710"/>
      <c r="O47" s="1721"/>
      <c r="P47" s="2005"/>
      <c r="Q47" s="1710"/>
      <c r="R47" s="1710"/>
      <c r="S47" s="1743"/>
      <c r="T47" s="332"/>
      <c r="U47" s="1733"/>
      <c r="V47" s="1710"/>
      <c r="W47" s="1710"/>
      <c r="X47" s="1721"/>
      <c r="Y47" s="1713"/>
      <c r="Z47" s="1725"/>
      <c r="AA47" s="1725"/>
      <c r="AB47" s="1743"/>
      <c r="AC47" s="332"/>
      <c r="AD47" s="1733"/>
      <c r="AE47" s="1710"/>
      <c r="AF47" s="1710"/>
      <c r="AG47" s="1710"/>
      <c r="AH47" s="2006"/>
      <c r="AI47" s="1725"/>
      <c r="AJ47" s="1738"/>
      <c r="AK47" s="1843"/>
      <c r="AL47" s="1726"/>
      <c r="AM47" s="1733"/>
      <c r="AN47" s="1710"/>
      <c r="AO47" s="1710"/>
      <c r="AP47" s="1710"/>
      <c r="AQ47" s="2005"/>
      <c r="AR47" s="1723"/>
      <c r="AS47" s="1725"/>
      <c r="AT47" s="1843"/>
    </row>
    <row r="48" spans="1:46" ht="15" customHeight="1" x14ac:dyDescent="0.3">
      <c r="A48" s="2261"/>
      <c r="B48" s="1218">
        <v>2</v>
      </c>
      <c r="C48" s="1729"/>
      <c r="D48" s="1729"/>
      <c r="E48" s="1729"/>
      <c r="F48" s="1730"/>
      <c r="G48" s="1723"/>
      <c r="H48" s="1723"/>
      <c r="I48" s="1749"/>
      <c r="J48" s="1743"/>
      <c r="K48" s="332"/>
      <c r="L48" s="1733"/>
      <c r="M48" s="1710"/>
      <c r="N48" s="1710"/>
      <c r="O48" s="1730"/>
      <c r="P48" s="1723"/>
      <c r="Q48" s="1723"/>
      <c r="R48" s="1749"/>
      <c r="S48" s="1743"/>
      <c r="T48" s="332"/>
      <c r="U48" s="1733"/>
      <c r="V48" s="1710"/>
      <c r="W48" s="1710"/>
      <c r="X48" s="1730"/>
      <c r="Y48" s="1723"/>
      <c r="Z48" s="1723"/>
      <c r="AA48" s="1749"/>
      <c r="AB48" s="1743"/>
      <c r="AC48" s="332"/>
      <c r="AD48" s="1733"/>
      <c r="AE48" s="1710"/>
      <c r="AF48" s="1710"/>
      <c r="AG48" s="1710"/>
      <c r="AH48" s="2006"/>
      <c r="AI48" s="1723"/>
      <c r="AJ48" s="1738"/>
      <c r="AK48" s="1843"/>
      <c r="AL48" s="1726"/>
      <c r="AM48" s="1733"/>
      <c r="AN48" s="1768"/>
      <c r="AO48" s="2005"/>
      <c r="AP48" s="1768"/>
      <c r="AQ48" s="1769"/>
      <c r="AR48" s="1723"/>
      <c r="AS48" s="1725"/>
      <c r="AT48" s="1843"/>
    </row>
    <row r="49" spans="1:46" ht="16.5" customHeight="1" x14ac:dyDescent="0.3">
      <c r="A49" s="2260">
        <v>45954</v>
      </c>
      <c r="B49" s="1218">
        <v>1</v>
      </c>
      <c r="C49" s="1729"/>
      <c r="D49" s="1729"/>
      <c r="E49" s="1729"/>
      <c r="F49" s="1730"/>
      <c r="G49" s="1723"/>
      <c r="H49" s="1713"/>
      <c r="I49" s="1749"/>
      <c r="J49" s="1743"/>
      <c r="K49" s="332"/>
      <c r="L49" s="1733"/>
      <c r="M49" s="1710"/>
      <c r="N49" s="1710"/>
      <c r="O49" s="1730"/>
      <c r="P49" s="1723"/>
      <c r="Q49" s="1713"/>
      <c r="R49" s="1749"/>
      <c r="S49" s="1743"/>
      <c r="T49" s="332"/>
      <c r="U49" s="1733"/>
      <c r="V49" s="1710"/>
      <c r="W49" s="1710"/>
      <c r="X49" s="1730"/>
      <c r="Y49" s="1723"/>
      <c r="Z49" s="1725"/>
      <c r="AA49" s="1725"/>
      <c r="AB49" s="1743"/>
      <c r="AC49" s="332"/>
      <c r="AD49" s="1733"/>
      <c r="AE49" s="1710"/>
      <c r="AF49" s="1710"/>
      <c r="AG49" s="1710"/>
      <c r="AH49" s="2006"/>
      <c r="AI49" s="1723"/>
      <c r="AJ49" s="1738"/>
      <c r="AK49" s="1843"/>
      <c r="AL49" s="1726"/>
      <c r="AM49" s="1733"/>
      <c r="AN49" s="1768"/>
      <c r="AO49" s="2005"/>
      <c r="AP49" s="1768"/>
      <c r="AQ49" s="1783"/>
      <c r="AR49" s="1723"/>
      <c r="AS49" s="1749"/>
      <c r="AT49" s="1845"/>
    </row>
    <row r="50" spans="1:46" ht="16.5" customHeight="1" x14ac:dyDescent="0.3">
      <c r="A50" s="2261"/>
      <c r="B50" s="1218">
        <v>2</v>
      </c>
      <c r="C50" s="1729">
        <v>58</v>
      </c>
      <c r="D50" s="1729"/>
      <c r="E50" s="1729">
        <v>15</v>
      </c>
      <c r="F50" s="1730"/>
      <c r="G50" s="1713" t="s">
        <v>97</v>
      </c>
      <c r="H50" s="1713"/>
      <c r="I50" s="1749" t="s">
        <v>152</v>
      </c>
      <c r="J50" s="1743"/>
      <c r="K50" s="332"/>
      <c r="L50" s="1733"/>
      <c r="M50" s="1710"/>
      <c r="N50" s="1710"/>
      <c r="O50" s="1730"/>
      <c r="P50" s="1713"/>
      <c r="Q50" s="1713"/>
      <c r="R50" s="1749"/>
      <c r="S50" s="1743"/>
      <c r="T50" s="332"/>
      <c r="U50" s="1733"/>
      <c r="V50" s="1710"/>
      <c r="W50" s="1710"/>
      <c r="X50" s="1730"/>
      <c r="Y50" s="1713"/>
      <c r="Z50" s="1713"/>
      <c r="AA50" s="1749"/>
      <c r="AB50" s="1743"/>
      <c r="AC50" s="332"/>
      <c r="AD50" s="1733"/>
      <c r="AE50" s="1710"/>
      <c r="AF50" s="1710"/>
      <c r="AG50" s="1710"/>
      <c r="AH50" s="2007"/>
      <c r="AI50" s="1713"/>
      <c r="AJ50" s="1738"/>
      <c r="AK50" s="1843"/>
      <c r="AL50" s="1726"/>
      <c r="AM50" s="1733"/>
      <c r="AN50" s="1768"/>
      <c r="AO50" s="1710"/>
      <c r="AP50" s="1768"/>
      <c r="AQ50" s="1783"/>
      <c r="AR50" s="1723"/>
      <c r="AS50" s="1749"/>
      <c r="AT50" s="1848"/>
    </row>
    <row r="51" spans="1:46" ht="24.75" customHeight="1" x14ac:dyDescent="0.3">
      <c r="A51" s="2260">
        <v>45955</v>
      </c>
      <c r="B51" s="1218">
        <v>1</v>
      </c>
      <c r="C51" s="1729"/>
      <c r="D51" s="1729"/>
      <c r="E51" s="1729"/>
      <c r="F51" s="1730"/>
      <c r="G51" s="1713"/>
      <c r="H51" s="1713"/>
      <c r="I51" s="1749"/>
      <c r="J51" s="1743"/>
      <c r="K51" s="332"/>
      <c r="L51" s="1733"/>
      <c r="M51" s="1710"/>
      <c r="N51" s="1710">
        <v>10</v>
      </c>
      <c r="O51" s="1730"/>
      <c r="P51" s="1713"/>
      <c r="Q51" s="1713"/>
      <c r="R51" s="1749" t="s">
        <v>97</v>
      </c>
      <c r="S51" s="1743"/>
      <c r="T51" s="332"/>
      <c r="U51" s="1733"/>
      <c r="V51" s="1710"/>
      <c r="W51" s="1710"/>
      <c r="X51" s="1730"/>
      <c r="Y51" s="1713"/>
      <c r="Z51" s="1713"/>
      <c r="AA51" s="1749"/>
      <c r="AB51" s="1743"/>
      <c r="AC51" s="332"/>
      <c r="AD51" s="1733"/>
      <c r="AE51" s="1710"/>
      <c r="AF51" s="1710"/>
      <c r="AG51" s="1730"/>
      <c r="AH51" s="2007"/>
      <c r="AI51" s="1713"/>
      <c r="AJ51" s="1738"/>
      <c r="AK51" s="1743"/>
      <c r="AL51" s="1726"/>
      <c r="AM51" s="1733"/>
      <c r="AN51" s="1768"/>
      <c r="AO51" s="1741"/>
      <c r="AP51" s="1768"/>
      <c r="AQ51" s="1783"/>
      <c r="AR51" s="1723"/>
      <c r="AS51" s="1749"/>
      <c r="AT51" s="1848"/>
    </row>
    <row r="52" spans="1:46" ht="18" customHeight="1" x14ac:dyDescent="0.3">
      <c r="A52" s="2261"/>
      <c r="B52" s="1218">
        <v>2</v>
      </c>
      <c r="C52" s="1729"/>
      <c r="D52" s="1729"/>
      <c r="E52" s="1729">
        <v>15</v>
      </c>
      <c r="F52" s="1730"/>
      <c r="G52" s="1723"/>
      <c r="H52" s="1723"/>
      <c r="I52" s="1749" t="s">
        <v>1127</v>
      </c>
      <c r="J52" s="1851"/>
      <c r="K52" s="332"/>
      <c r="L52" s="1733"/>
      <c r="M52" s="1710"/>
      <c r="N52" s="1710"/>
      <c r="O52" s="1730"/>
      <c r="P52" s="1723"/>
      <c r="Q52" s="1723"/>
      <c r="R52" s="1749"/>
      <c r="S52" s="1851"/>
      <c r="T52" s="332"/>
      <c r="U52" s="1733"/>
      <c r="V52" s="1710"/>
      <c r="W52" s="1710">
        <v>33</v>
      </c>
      <c r="X52" s="1730"/>
      <c r="Y52" s="1723"/>
      <c r="Z52" s="1723"/>
      <c r="AA52" s="1749" t="s">
        <v>152</v>
      </c>
      <c r="AB52" s="1851"/>
      <c r="AC52" s="332"/>
      <c r="AD52" s="1733">
        <v>10</v>
      </c>
      <c r="AE52" s="1710"/>
      <c r="AF52" s="1710"/>
      <c r="AG52" s="1730"/>
      <c r="AH52" s="1713" t="s">
        <v>113</v>
      </c>
      <c r="AI52" s="1713"/>
      <c r="AJ52" s="1749"/>
      <c r="AK52" s="1851"/>
      <c r="AL52" s="1726"/>
      <c r="AM52" s="1733"/>
      <c r="AN52" s="1782"/>
      <c r="AO52" s="1746"/>
      <c r="AP52" s="1782"/>
      <c r="AQ52" s="2009"/>
      <c r="AR52" s="1723"/>
      <c r="AS52" s="1749"/>
      <c r="AT52" s="1851"/>
    </row>
    <row r="53" spans="1:46" ht="19.5" customHeight="1" x14ac:dyDescent="0.3">
      <c r="A53" s="2260">
        <v>45956</v>
      </c>
      <c r="B53" s="1218">
        <v>1</v>
      </c>
      <c r="C53" s="1729">
        <v>17</v>
      </c>
      <c r="D53" s="1729"/>
      <c r="E53" s="1729"/>
      <c r="F53" s="1730"/>
      <c r="G53" s="1713" t="s">
        <v>113</v>
      </c>
      <c r="H53" s="1713"/>
      <c r="I53" s="1714"/>
      <c r="J53" s="1851"/>
      <c r="K53" s="332"/>
      <c r="L53" s="1733">
        <v>4</v>
      </c>
      <c r="M53" s="1710"/>
      <c r="N53" s="1710"/>
      <c r="O53" s="1721"/>
      <c r="P53" s="1723" t="s">
        <v>331</v>
      </c>
      <c r="Q53" s="1723"/>
      <c r="R53" s="1710"/>
      <c r="S53" s="1851"/>
      <c r="T53" s="332"/>
      <c r="U53" s="1733"/>
      <c r="V53" s="1710" t="s">
        <v>269</v>
      </c>
      <c r="W53" s="1710"/>
      <c r="X53" s="1721"/>
      <c r="Y53" s="2010"/>
      <c r="Z53" s="1710"/>
      <c r="AA53" s="1738"/>
      <c r="AB53" s="1851"/>
      <c r="AC53" s="332"/>
      <c r="AD53" s="1733"/>
      <c r="AE53" s="1725"/>
      <c r="AF53" s="1710">
        <v>8</v>
      </c>
      <c r="AG53" s="1721"/>
      <c r="AH53" s="1723"/>
      <c r="AI53" s="1723"/>
      <c r="AJ53" s="1749" t="s">
        <v>1142</v>
      </c>
      <c r="AK53" s="1851"/>
      <c r="AL53" s="1726"/>
      <c r="AM53" s="1733"/>
      <c r="AN53" s="1759"/>
      <c r="AO53" s="1763"/>
      <c r="AP53" s="1759"/>
      <c r="AQ53" s="2010"/>
      <c r="AR53" s="1723"/>
      <c r="AS53" s="1782"/>
      <c r="AT53" s="1851"/>
    </row>
    <row r="54" spans="1:46" ht="18.75" x14ac:dyDescent="0.3">
      <c r="A54" s="2261"/>
      <c r="B54" s="1252">
        <v>2</v>
      </c>
      <c r="C54" s="1729"/>
      <c r="D54" s="1729"/>
      <c r="E54" s="1729"/>
      <c r="F54" s="1730"/>
      <c r="G54" s="1713"/>
      <c r="H54" s="1723"/>
      <c r="I54" s="1714"/>
      <c r="J54" s="1743"/>
      <c r="K54" s="332"/>
      <c r="L54" s="1733"/>
      <c r="M54" s="1710"/>
      <c r="N54" s="1710"/>
      <c r="O54" s="1730"/>
      <c r="P54" s="1723"/>
      <c r="Q54" s="1723"/>
      <c r="R54" s="1713"/>
      <c r="S54" s="1743"/>
      <c r="T54" s="332"/>
      <c r="U54" s="1733"/>
      <c r="V54" s="1710"/>
      <c r="W54" s="1710"/>
      <c r="X54" s="1730"/>
      <c r="Y54" s="1723"/>
      <c r="Z54" s="1723"/>
      <c r="AA54" s="1738"/>
      <c r="AB54" s="1743"/>
      <c r="AC54" s="332"/>
      <c r="AD54" s="1733"/>
      <c r="AE54" s="1710"/>
      <c r="AF54" s="1710">
        <v>18</v>
      </c>
      <c r="AG54" s="1721"/>
      <c r="AH54" s="2009"/>
      <c r="AI54" s="1710"/>
      <c r="AJ54" s="1725" t="s">
        <v>388</v>
      </c>
      <c r="AK54" s="1743"/>
      <c r="AL54" s="1726"/>
      <c r="AM54" s="1733"/>
      <c r="AN54" s="1759"/>
      <c r="AO54" s="1734"/>
      <c r="AP54" s="1759"/>
      <c r="AQ54" s="2010"/>
      <c r="AR54" s="1723"/>
      <c r="AS54" s="1749"/>
      <c r="AT54" s="1853"/>
    </row>
    <row r="55" spans="1:46" ht="18.75" x14ac:dyDescent="0.3">
      <c r="A55" s="2260">
        <v>45957</v>
      </c>
      <c r="B55" s="1218">
        <v>1</v>
      </c>
      <c r="C55" s="1728"/>
      <c r="D55" s="1729"/>
      <c r="E55" s="1729"/>
      <c r="F55" s="1730"/>
      <c r="G55" s="1713"/>
      <c r="H55" s="1713"/>
      <c r="I55" s="1714"/>
      <c r="J55" s="1721"/>
      <c r="K55" s="332"/>
      <c r="L55" s="1733"/>
      <c r="M55" s="1710"/>
      <c r="N55" s="1710"/>
      <c r="O55" s="1721"/>
      <c r="P55" s="2009"/>
      <c r="Q55" s="1723"/>
      <c r="R55" s="1710"/>
      <c r="S55" s="1721"/>
      <c r="T55" s="332"/>
      <c r="U55" s="1733"/>
      <c r="V55" s="1710"/>
      <c r="W55" s="1710"/>
      <c r="X55" s="1721"/>
      <c r="Y55" s="2009"/>
      <c r="Z55" s="1713"/>
      <c r="AA55" s="1738"/>
      <c r="AB55" s="1721"/>
      <c r="AC55" s="332"/>
      <c r="AD55" s="1733"/>
      <c r="AE55" s="1710"/>
      <c r="AF55" s="1710">
        <v>12</v>
      </c>
      <c r="AG55" s="1721"/>
      <c r="AH55" s="2009"/>
      <c r="AI55" s="1723"/>
      <c r="AJ55" s="1710" t="s">
        <v>388</v>
      </c>
      <c r="AK55" s="1721"/>
      <c r="AL55" s="1726"/>
      <c r="AM55" s="1733"/>
      <c r="AN55" s="1759"/>
      <c r="AO55" s="1710"/>
      <c r="AP55" s="1759"/>
      <c r="AQ55" s="2009"/>
      <c r="AR55" s="1723"/>
      <c r="AS55" s="1749"/>
      <c r="AT55" s="1853"/>
    </row>
    <row r="56" spans="1:46" ht="18.75" x14ac:dyDescent="0.3">
      <c r="A56" s="2261"/>
      <c r="B56" s="1252">
        <v>2</v>
      </c>
      <c r="C56" s="1728"/>
      <c r="D56" s="1729"/>
      <c r="E56" s="1729">
        <v>10</v>
      </c>
      <c r="F56" s="1730"/>
      <c r="G56" s="1723"/>
      <c r="H56" s="1723"/>
      <c r="I56" s="1714" t="s">
        <v>152</v>
      </c>
      <c r="J56" s="1743"/>
      <c r="K56" s="332"/>
      <c r="L56" s="1733"/>
      <c r="M56" s="1710"/>
      <c r="N56" s="1710"/>
      <c r="O56" s="1730"/>
      <c r="P56" s="1723"/>
      <c r="Q56" s="1713"/>
      <c r="R56" s="1723"/>
      <c r="S56" s="1743"/>
      <c r="T56" s="332"/>
      <c r="U56" s="1733"/>
      <c r="V56" s="1710"/>
      <c r="W56" s="1710">
        <v>15</v>
      </c>
      <c r="X56" s="1730"/>
      <c r="Y56" s="2010"/>
      <c r="Z56" s="1713"/>
      <c r="AA56" s="1738" t="s">
        <v>152</v>
      </c>
      <c r="AB56" s="1743"/>
      <c r="AC56" s="332"/>
      <c r="AD56" s="1733"/>
      <c r="AE56" s="1710"/>
      <c r="AF56" s="1710"/>
      <c r="AG56" s="1730"/>
      <c r="AH56" s="2009"/>
      <c r="AI56" s="1723"/>
      <c r="AJ56" s="1725"/>
      <c r="AK56" s="1743"/>
      <c r="AL56" s="1726"/>
      <c r="AM56" s="1733"/>
      <c r="AN56" s="1759"/>
      <c r="AO56" s="1710"/>
      <c r="AP56" s="1759"/>
      <c r="AQ56" s="1723"/>
      <c r="AR56" s="1723"/>
      <c r="AS56" s="1710"/>
      <c r="AT56" s="1853"/>
    </row>
    <row r="57" spans="1:46" ht="18.75" x14ac:dyDescent="0.3">
      <c r="A57" s="2260">
        <v>45958</v>
      </c>
      <c r="B57" s="1218">
        <v>1</v>
      </c>
      <c r="C57" s="1728"/>
      <c r="D57" s="1729"/>
      <c r="E57" s="1729">
        <v>11</v>
      </c>
      <c r="F57" s="1730"/>
      <c r="G57" s="1723"/>
      <c r="H57" s="1723"/>
      <c r="I57" s="1749" t="s">
        <v>388</v>
      </c>
      <c r="J57" s="1743"/>
      <c r="K57" s="332"/>
      <c r="L57" s="1733"/>
      <c r="M57" s="1710"/>
      <c r="N57" s="1710"/>
      <c r="O57" s="1730"/>
      <c r="P57" s="1723"/>
      <c r="Q57" s="1713"/>
      <c r="R57" s="1723"/>
      <c r="S57" s="1743"/>
      <c r="T57" s="332"/>
      <c r="U57" s="1733"/>
      <c r="V57" s="1710"/>
      <c r="W57" s="1710"/>
      <c r="X57" s="1730"/>
      <c r="Y57" s="1723"/>
      <c r="Z57" s="1713"/>
      <c r="AA57" s="1725"/>
      <c r="AB57" s="1743"/>
      <c r="AC57" s="332"/>
      <c r="AD57" s="1733"/>
      <c r="AE57" s="1710"/>
      <c r="AF57" s="1710">
        <v>5</v>
      </c>
      <c r="AG57" s="1730"/>
      <c r="AH57" s="1723"/>
      <c r="AI57" s="1713"/>
      <c r="AJ57" s="1723" t="s">
        <v>388</v>
      </c>
      <c r="AK57" s="1743"/>
      <c r="AL57" s="1726"/>
      <c r="AM57" s="1733"/>
      <c r="AN57" s="1759"/>
      <c r="AO57" s="1710"/>
      <c r="AP57" s="1759"/>
      <c r="AQ57" s="1723"/>
      <c r="AR57" s="1723"/>
      <c r="AS57" s="1710"/>
      <c r="AT57" s="1853"/>
    </row>
    <row r="58" spans="1:46" ht="37.5" x14ac:dyDescent="0.3">
      <c r="A58" s="2261"/>
      <c r="B58" s="1252">
        <v>2</v>
      </c>
      <c r="C58" s="1728">
        <v>77</v>
      </c>
      <c r="D58" s="1729"/>
      <c r="E58" s="1729"/>
      <c r="F58" s="1730"/>
      <c r="G58" s="1723" t="s">
        <v>97</v>
      </c>
      <c r="H58" s="1723"/>
      <c r="I58" s="1714"/>
      <c r="J58" s="1743"/>
      <c r="K58" s="332"/>
      <c r="L58" s="1733"/>
      <c r="M58" s="1710"/>
      <c r="N58" s="1710"/>
      <c r="O58" s="1730"/>
      <c r="P58" s="1723"/>
      <c r="Q58" s="1713"/>
      <c r="R58" s="1723"/>
      <c r="S58" s="1743"/>
      <c r="T58" s="332"/>
      <c r="U58" s="1733"/>
      <c r="V58" s="1710"/>
      <c r="W58" s="1710">
        <v>13</v>
      </c>
      <c r="X58" s="1730"/>
      <c r="Y58" s="1723"/>
      <c r="Z58" s="1713"/>
      <c r="AA58" s="1725" t="s">
        <v>152</v>
      </c>
      <c r="AB58" s="1743"/>
      <c r="AC58" s="332"/>
      <c r="AD58" s="1733"/>
      <c r="AE58" s="1710"/>
      <c r="AF58" s="1710"/>
      <c r="AG58" s="1710"/>
      <c r="AH58" s="1723"/>
      <c r="AI58" s="1713"/>
      <c r="AJ58" s="1723"/>
      <c r="AK58" s="1743"/>
      <c r="AL58" s="1726"/>
      <c r="AM58" s="1733"/>
      <c r="AN58" s="1710"/>
      <c r="AO58" s="1710"/>
      <c r="AP58" s="1759">
        <v>639</v>
      </c>
      <c r="AQ58" s="1759"/>
      <c r="AR58" s="1759"/>
      <c r="AS58" s="1759"/>
      <c r="AT58" s="1853" t="s">
        <v>1143</v>
      </c>
    </row>
    <row r="59" spans="1:46" ht="18.75" x14ac:dyDescent="0.3">
      <c r="A59" s="2260">
        <v>45959</v>
      </c>
      <c r="B59" s="1218">
        <v>1</v>
      </c>
      <c r="C59" s="1728"/>
      <c r="D59" s="1729"/>
      <c r="E59" s="1729"/>
      <c r="F59" s="1730"/>
      <c r="G59" s="1723"/>
      <c r="H59" s="1713"/>
      <c r="I59" s="1714"/>
      <c r="J59" s="1743"/>
      <c r="K59" s="332"/>
      <c r="L59" s="1733"/>
      <c r="M59" s="1710"/>
      <c r="N59" s="1710"/>
      <c r="O59" s="1721"/>
      <c r="P59" s="2009"/>
      <c r="Q59" s="1725"/>
      <c r="R59" s="1710"/>
      <c r="S59" s="1743"/>
      <c r="T59" s="332"/>
      <c r="U59" s="1733"/>
      <c r="V59" s="1710"/>
      <c r="W59" s="1710">
        <v>23</v>
      </c>
      <c r="X59" s="1721"/>
      <c r="Y59" s="1723"/>
      <c r="Z59" s="1713"/>
      <c r="AA59" s="1714" t="s">
        <v>152</v>
      </c>
      <c r="AB59" s="1743"/>
      <c r="AC59" s="332"/>
      <c r="AD59" s="1733"/>
      <c r="AE59" s="1710"/>
      <c r="AF59" s="1710"/>
      <c r="AG59" s="1721"/>
      <c r="AH59" s="1723"/>
      <c r="AI59" s="1713"/>
      <c r="AJ59" s="1710"/>
      <c r="AK59" s="1743"/>
      <c r="AL59" s="1726"/>
      <c r="AM59" s="1733"/>
      <c r="AN59" s="1710"/>
      <c r="AO59" s="1710"/>
      <c r="AP59" s="1759"/>
      <c r="AQ59" s="1759"/>
      <c r="AR59" s="1759"/>
      <c r="AS59" s="1759"/>
      <c r="AT59" s="1853"/>
    </row>
    <row r="60" spans="1:46" ht="18.75" x14ac:dyDescent="0.3">
      <c r="A60" s="2261"/>
      <c r="B60" s="1252">
        <v>2</v>
      </c>
      <c r="C60" s="1728"/>
      <c r="D60" s="1729"/>
      <c r="E60" s="1729">
        <v>18</v>
      </c>
      <c r="F60" s="1730"/>
      <c r="G60" s="1713"/>
      <c r="H60" s="1723"/>
      <c r="I60" s="1714" t="s">
        <v>152</v>
      </c>
      <c r="J60" s="1743"/>
      <c r="K60" s="332"/>
      <c r="L60" s="1733"/>
      <c r="M60" s="1710"/>
      <c r="N60" s="1710"/>
      <c r="O60" s="1721"/>
      <c r="P60" s="2009"/>
      <c r="Q60" s="1723"/>
      <c r="R60" s="1710"/>
      <c r="S60" s="1743"/>
      <c r="T60" s="332"/>
      <c r="U60" s="1733"/>
      <c r="V60" s="1710"/>
      <c r="W60" s="1710">
        <v>15</v>
      </c>
      <c r="X60" s="1721"/>
      <c r="Y60" s="2010"/>
      <c r="Z60" s="1723"/>
      <c r="AA60" s="1714" t="s">
        <v>578</v>
      </c>
      <c r="AB60" s="1743"/>
      <c r="AC60" s="332"/>
      <c r="AD60" s="1733"/>
      <c r="AE60" s="1733"/>
      <c r="AF60" s="1733"/>
      <c r="AG60" s="1733"/>
      <c r="AH60" s="1733"/>
      <c r="AI60" s="1710"/>
      <c r="AJ60" s="1723"/>
      <c r="AK60" s="1743"/>
      <c r="AL60" s="1726"/>
      <c r="AM60" s="1733"/>
      <c r="AN60" s="1710"/>
      <c r="AO60" s="1710"/>
      <c r="AP60" s="1759"/>
      <c r="AQ60" s="2009"/>
      <c r="AR60" s="1723"/>
      <c r="AS60" s="1725"/>
      <c r="AT60" s="1853"/>
    </row>
    <row r="61" spans="1:46" ht="18.75" x14ac:dyDescent="0.3">
      <c r="A61" s="2260">
        <v>45960</v>
      </c>
      <c r="B61" s="1218">
        <v>1</v>
      </c>
      <c r="C61" s="1860"/>
      <c r="D61" s="1750"/>
      <c r="E61" s="1729"/>
      <c r="F61" s="1775"/>
      <c r="G61" s="1713"/>
      <c r="H61" s="1772"/>
      <c r="I61" s="1714"/>
      <c r="J61" s="1743"/>
      <c r="K61" s="332"/>
      <c r="L61" s="1733"/>
      <c r="M61" s="2009"/>
      <c r="N61" s="1710"/>
      <c r="O61" s="1721"/>
      <c r="P61" s="1861"/>
      <c r="Q61" s="1723"/>
      <c r="R61" s="1741"/>
      <c r="S61" s="1770"/>
      <c r="T61" s="332"/>
      <c r="U61" s="1733"/>
      <c r="V61" s="1710"/>
      <c r="W61" s="1710"/>
      <c r="X61" s="1721"/>
      <c r="Y61" s="2010"/>
      <c r="Z61" s="1723"/>
      <c r="AA61" s="1714"/>
      <c r="AB61" s="1770"/>
      <c r="AC61" s="332"/>
      <c r="AD61" s="1733"/>
      <c r="AE61" s="2009"/>
      <c r="AF61" s="2009"/>
      <c r="AG61" s="2008"/>
      <c r="AH61" s="1733"/>
      <c r="AI61" s="1723"/>
      <c r="AJ61" s="1725"/>
      <c r="AK61" s="1770"/>
      <c r="AL61" s="1726"/>
      <c r="AM61" s="1733"/>
      <c r="AN61" s="1710"/>
      <c r="AO61" s="1710"/>
      <c r="AP61" s="1759"/>
      <c r="AQ61" s="2009"/>
      <c r="AR61" s="1723"/>
      <c r="AS61" s="1725"/>
      <c r="AT61" s="1853"/>
    </row>
    <row r="62" spans="1:46" ht="18.75" x14ac:dyDescent="0.3">
      <c r="A62" s="2261"/>
      <c r="B62" s="1252">
        <v>2</v>
      </c>
      <c r="C62" s="1860"/>
      <c r="D62" s="1750"/>
      <c r="E62" s="1729">
        <v>15</v>
      </c>
      <c r="F62" s="1775"/>
      <c r="G62" s="1713"/>
      <c r="H62" s="1772"/>
      <c r="I62" s="1714" t="s">
        <v>388</v>
      </c>
      <c r="J62" s="1743"/>
      <c r="K62" s="332"/>
      <c r="L62" s="1733"/>
      <c r="M62" s="2009"/>
      <c r="N62" s="1710"/>
      <c r="O62" s="1721"/>
      <c r="P62" s="1861"/>
      <c r="Q62" s="1723"/>
      <c r="R62" s="1741"/>
      <c r="S62" s="1770"/>
      <c r="T62" s="332"/>
      <c r="U62" s="1733"/>
      <c r="V62" s="1710"/>
      <c r="W62" s="1710">
        <v>8</v>
      </c>
      <c r="X62" s="1721"/>
      <c r="Y62" s="2010"/>
      <c r="Z62" s="1723"/>
      <c r="AA62" s="1714" t="s">
        <v>578</v>
      </c>
      <c r="AB62" s="1770"/>
      <c r="AC62" s="332"/>
      <c r="AD62" s="1733"/>
      <c r="AE62" s="2009"/>
      <c r="AF62" s="2009">
        <v>15</v>
      </c>
      <c r="AG62" s="2008"/>
      <c r="AH62" s="1861"/>
      <c r="AI62" s="1772"/>
      <c r="AJ62" s="1862" t="s">
        <v>842</v>
      </c>
      <c r="AK62" s="1770"/>
      <c r="AL62" s="1726"/>
      <c r="AM62" s="1733"/>
      <c r="AN62" s="1710"/>
      <c r="AO62" s="1710"/>
      <c r="AP62" s="1710"/>
      <c r="AQ62" s="2009"/>
      <c r="AR62" s="1723"/>
      <c r="AS62" s="1725"/>
      <c r="AT62" s="1853"/>
    </row>
    <row r="63" spans="1:46" ht="18.75" x14ac:dyDescent="0.3">
      <c r="A63" s="2260">
        <v>45961</v>
      </c>
      <c r="B63" s="1218">
        <v>1</v>
      </c>
      <c r="C63" s="1860"/>
      <c r="D63" s="1750"/>
      <c r="E63" s="1729"/>
      <c r="F63" s="1775"/>
      <c r="G63" s="1713"/>
      <c r="H63" s="1772"/>
      <c r="I63" s="1714"/>
      <c r="J63" s="1732"/>
      <c r="K63" s="332"/>
      <c r="L63" s="1733"/>
      <c r="M63" s="1733"/>
      <c r="N63" s="1710"/>
      <c r="O63" s="1721"/>
      <c r="P63" s="1861"/>
      <c r="Q63" s="1723"/>
      <c r="R63" s="1741"/>
      <c r="S63" s="1843"/>
      <c r="T63" s="332"/>
      <c r="U63" s="1733"/>
      <c r="V63" s="1710"/>
      <c r="W63" s="1710"/>
      <c r="X63" s="1721"/>
      <c r="Y63" s="2010"/>
      <c r="Z63" s="1725"/>
      <c r="AA63" s="1714"/>
      <c r="AB63" s="1843"/>
      <c r="AC63" s="332"/>
      <c r="AD63" s="1733"/>
      <c r="AE63" s="1710"/>
      <c r="AF63" s="1710"/>
      <c r="AG63" s="1721"/>
      <c r="AH63" s="1861"/>
      <c r="AI63" s="1772"/>
      <c r="AJ63" s="1862"/>
      <c r="AK63" s="1843"/>
      <c r="AL63" s="1726"/>
      <c r="AM63" s="1733"/>
      <c r="AN63" s="1710"/>
      <c r="AO63" s="1710"/>
      <c r="AP63" s="1710"/>
      <c r="AQ63" s="2010"/>
      <c r="AR63" s="1710"/>
      <c r="AS63" s="1725"/>
      <c r="AT63" s="1843"/>
    </row>
    <row r="64" spans="1:46" ht="18.75" x14ac:dyDescent="0.3">
      <c r="A64" s="2261"/>
      <c r="B64" s="1252">
        <v>2</v>
      </c>
      <c r="C64" s="1860"/>
      <c r="D64" s="1750"/>
      <c r="E64" s="1750">
        <v>16</v>
      </c>
      <c r="F64" s="1775"/>
      <c r="G64" s="1771"/>
      <c r="H64" s="1772"/>
      <c r="I64" s="1714" t="s">
        <v>152</v>
      </c>
      <c r="J64" s="1743"/>
      <c r="K64" s="332"/>
      <c r="L64" s="1733"/>
      <c r="M64" s="1710"/>
      <c r="N64" s="1710"/>
      <c r="O64" s="1721"/>
      <c r="P64" s="1861"/>
      <c r="Q64" s="1862"/>
      <c r="R64" s="1741"/>
      <c r="S64" s="1743"/>
      <c r="T64" s="332"/>
      <c r="U64" s="1733"/>
      <c r="V64" s="1710"/>
      <c r="W64" s="1710">
        <v>65</v>
      </c>
      <c r="X64" s="1721"/>
      <c r="Y64" s="2010"/>
      <c r="Z64" s="1862"/>
      <c r="AA64" s="1714" t="s">
        <v>152</v>
      </c>
      <c r="AB64" s="1743"/>
      <c r="AC64" s="332"/>
      <c r="AD64" s="1733"/>
      <c r="AE64" s="1710"/>
      <c r="AF64" s="1710"/>
      <c r="AG64" s="1782"/>
      <c r="AH64" s="1861"/>
      <c r="AI64" s="1862"/>
      <c r="AJ64" s="1862"/>
      <c r="AK64" s="1743"/>
      <c r="AL64" s="1726"/>
      <c r="AM64" s="1733"/>
      <c r="AN64" s="1710"/>
      <c r="AO64" s="1710"/>
      <c r="AP64" s="1710"/>
      <c r="AQ64" s="2009"/>
      <c r="AR64" s="1710"/>
      <c r="AS64" s="1725"/>
      <c r="AT64" s="1743"/>
    </row>
    <row r="65" spans="1:46" ht="18.75" x14ac:dyDescent="0.3">
      <c r="A65" s="301" t="s">
        <v>225</v>
      </c>
      <c r="B65" s="419"/>
      <c r="C65" s="1285">
        <f>SUM(C3:C64)</f>
        <v>152</v>
      </c>
      <c r="D65" s="419">
        <f>SUM(D3:D64)</f>
        <v>160</v>
      </c>
      <c r="E65" s="1285">
        <f>SUM(E3:E64)</f>
        <v>334</v>
      </c>
      <c r="F65" s="419">
        <f>SUM(F3:F64)</f>
        <v>562</v>
      </c>
      <c r="G65" s="301"/>
      <c r="H65" s="301"/>
      <c r="I65" s="301"/>
      <c r="J65" s="301"/>
      <c r="K65" s="301"/>
      <c r="L65" s="419">
        <f>SUM(L3:L64)</f>
        <v>4</v>
      </c>
      <c r="M65" s="419">
        <f>SUM(M3:M64)</f>
        <v>0</v>
      </c>
      <c r="N65" s="419">
        <f>SUM(N3:N64)</f>
        <v>10</v>
      </c>
      <c r="O65" s="419">
        <f>SUM(O3:O64)</f>
        <v>451</v>
      </c>
      <c r="P65" s="301"/>
      <c r="Q65" s="301"/>
      <c r="R65" s="301"/>
      <c r="S65" s="301"/>
      <c r="T65" s="301"/>
      <c r="U65" s="419">
        <f>SUM(U3:U64)</f>
        <v>0</v>
      </c>
      <c r="V65" s="419">
        <f>SUM(V3:V64)</f>
        <v>119</v>
      </c>
      <c r="W65" s="419">
        <f>SUM(W3:W64)</f>
        <v>379</v>
      </c>
      <c r="X65" s="419">
        <f>SUM(X3:X64)</f>
        <v>985</v>
      </c>
      <c r="Y65" s="301"/>
      <c r="Z65" s="301"/>
      <c r="AA65" s="301"/>
      <c r="AB65" s="301"/>
      <c r="AC65" s="301"/>
      <c r="AD65" s="419">
        <f>SUM(AD3:AD64)</f>
        <v>13061</v>
      </c>
      <c r="AE65" s="419">
        <f>SUM(AE3:AE64)</f>
        <v>0</v>
      </c>
      <c r="AF65" s="419">
        <f>SUM(AF3:AF64)</f>
        <v>90</v>
      </c>
      <c r="AG65" s="419">
        <f>SUM(AG3:AG64)</f>
        <v>513</v>
      </c>
      <c r="AH65" s="2285"/>
      <c r="AI65" s="2286"/>
      <c r="AJ65" s="2287"/>
      <c r="AK65" s="301"/>
      <c r="AL65" s="301"/>
      <c r="AM65" s="419">
        <f>SUM(AM3:AM64)</f>
        <v>55</v>
      </c>
      <c r="AN65" s="419">
        <f>SUM(AN3:AN64)</f>
        <v>0</v>
      </c>
      <c r="AO65" s="419">
        <f>SUM(AO3:AO64)</f>
        <v>0</v>
      </c>
      <c r="AP65" s="419">
        <f>SUM(AP3:AP64)</f>
        <v>1465</v>
      </c>
      <c r="AQ65" s="301"/>
      <c r="AR65" s="301"/>
      <c r="AS65" s="301"/>
      <c r="AT65" s="301"/>
    </row>
    <row r="66" spans="1:46" ht="18.75" x14ac:dyDescent="0.3">
      <c r="A66" s="524"/>
      <c r="B66" s="525"/>
      <c r="C66" s="524"/>
      <c r="D66" s="524"/>
      <c r="E66" s="524"/>
      <c r="F66" s="524"/>
      <c r="G66" s="524"/>
      <c r="H66" s="524"/>
      <c r="I66" s="524"/>
      <c r="J66" s="524"/>
      <c r="K66" s="524"/>
      <c r="L66" s="524"/>
      <c r="M66" s="524"/>
      <c r="N66" s="524"/>
      <c r="O66" s="524"/>
      <c r="P66" s="524"/>
      <c r="Q66" s="524"/>
      <c r="R66" s="524"/>
      <c r="S66" s="524"/>
      <c r="T66" s="524"/>
      <c r="U66" s="524"/>
      <c r="V66" s="524"/>
      <c r="W66" s="524"/>
      <c r="X66" s="524"/>
      <c r="Y66" s="524"/>
      <c r="Z66" s="524"/>
      <c r="AA66" s="524"/>
      <c r="AB66" s="524"/>
      <c r="AC66" s="524"/>
      <c r="AD66" s="524"/>
      <c r="AE66" s="524"/>
      <c r="AF66" s="524"/>
      <c r="AG66" s="524"/>
      <c r="AH66" s="301"/>
      <c r="AI66" s="301"/>
      <c r="AJ66" s="301"/>
      <c r="AK66" s="524"/>
      <c r="AL66" s="524"/>
      <c r="AM66" s="524"/>
      <c r="AN66" s="524"/>
      <c r="AO66" s="524"/>
      <c r="AP66" s="524"/>
      <c r="AQ66" s="524"/>
      <c r="AR66" s="524"/>
      <c r="AS66" s="524"/>
      <c r="AT66" s="524"/>
    </row>
    <row r="67" spans="1:46" x14ac:dyDescent="0.25">
      <c r="A67" s="524"/>
      <c r="B67" s="525"/>
      <c r="C67" s="524"/>
      <c r="D67" s="524"/>
      <c r="E67" s="524"/>
      <c r="F67" s="524"/>
      <c r="G67" s="524"/>
      <c r="H67" s="524"/>
      <c r="I67" s="524"/>
      <c r="J67" s="524"/>
      <c r="K67" s="524"/>
      <c r="L67" s="524"/>
      <c r="M67" s="524"/>
      <c r="N67" s="524"/>
      <c r="O67" s="524"/>
      <c r="P67" s="524"/>
      <c r="Q67" s="524"/>
      <c r="R67" s="524"/>
      <c r="S67" s="524"/>
      <c r="T67" s="524"/>
      <c r="U67" s="524"/>
      <c r="V67" s="524"/>
      <c r="W67" s="524"/>
      <c r="X67" s="524"/>
      <c r="Y67" s="524"/>
      <c r="Z67" s="524"/>
      <c r="AA67" s="524"/>
      <c r="AB67" s="524"/>
      <c r="AC67" s="524"/>
      <c r="AD67" s="524"/>
      <c r="AE67" s="524"/>
      <c r="AF67" s="524"/>
      <c r="AG67" s="524"/>
      <c r="AH67" s="524"/>
      <c r="AI67" s="524"/>
      <c r="AJ67" s="524"/>
      <c r="AK67" s="524"/>
      <c r="AL67" s="524"/>
      <c r="AM67" s="524"/>
      <c r="AN67" s="524"/>
      <c r="AO67" s="524"/>
      <c r="AP67" s="524"/>
      <c r="AQ67" s="524"/>
      <c r="AR67" s="524"/>
      <c r="AS67" s="524"/>
      <c r="AT67" s="524"/>
    </row>
    <row r="68" spans="1:46" x14ac:dyDescent="0.25">
      <c r="A68" s="524"/>
      <c r="B68" s="525"/>
      <c r="C68" s="524"/>
      <c r="D68" s="524"/>
      <c r="E68" s="524"/>
      <c r="F68" s="524"/>
      <c r="G68" s="524"/>
      <c r="H68" s="524"/>
      <c r="I68" s="524"/>
      <c r="J68" s="524"/>
      <c r="K68" s="524"/>
      <c r="L68" s="524"/>
      <c r="M68" s="524"/>
      <c r="N68" s="524"/>
      <c r="O68" s="524"/>
      <c r="P68" s="524"/>
      <c r="Q68" s="524"/>
      <c r="R68" s="524"/>
      <c r="S68" s="524"/>
      <c r="T68" s="524"/>
      <c r="U68" s="524"/>
      <c r="V68" s="524"/>
      <c r="W68" s="524"/>
      <c r="X68" s="524"/>
      <c r="Y68" s="524"/>
      <c r="Z68" s="524"/>
      <c r="AA68" s="524"/>
      <c r="AB68" s="524"/>
      <c r="AC68" s="524"/>
      <c r="AD68" s="524"/>
      <c r="AE68" s="524"/>
      <c r="AF68" s="524"/>
      <c r="AG68" s="524"/>
      <c r="AH68" s="524"/>
      <c r="AI68" s="524"/>
      <c r="AJ68" s="524"/>
      <c r="AK68" s="524"/>
      <c r="AL68" s="524"/>
      <c r="AM68" s="524"/>
      <c r="AN68" s="524"/>
      <c r="AO68" s="524"/>
      <c r="AP68" s="524"/>
      <c r="AQ68" s="524"/>
      <c r="AR68" s="524"/>
      <c r="AS68" s="524"/>
      <c r="AT68" s="524"/>
    </row>
    <row r="69" spans="1:46" x14ac:dyDescent="0.25">
      <c r="A69" s="524"/>
      <c r="B69" s="525"/>
      <c r="C69" s="524"/>
      <c r="D69" s="524"/>
      <c r="E69" s="524"/>
      <c r="F69" s="524"/>
      <c r="G69" s="524"/>
      <c r="H69" s="524"/>
      <c r="I69" s="524"/>
      <c r="J69" s="524"/>
      <c r="K69" s="524"/>
      <c r="L69" s="524"/>
      <c r="M69" s="524"/>
      <c r="N69" s="524"/>
      <c r="O69" s="524"/>
      <c r="P69" s="524"/>
      <c r="Q69" s="524"/>
      <c r="R69" s="524"/>
      <c r="S69" s="524"/>
      <c r="T69" s="524"/>
      <c r="U69" s="524"/>
      <c r="V69" s="524"/>
      <c r="W69" s="524"/>
      <c r="X69" s="524"/>
      <c r="Y69" s="524"/>
      <c r="Z69" s="524"/>
      <c r="AA69" s="524"/>
      <c r="AB69" s="524"/>
      <c r="AC69" s="524"/>
      <c r="AD69" s="524"/>
      <c r="AE69" s="524"/>
      <c r="AF69" s="524"/>
      <c r="AG69" s="524"/>
      <c r="AH69" s="524"/>
      <c r="AI69" s="524"/>
      <c r="AJ69" s="524"/>
      <c r="AK69" s="524"/>
      <c r="AL69" s="524"/>
      <c r="AM69" s="524"/>
      <c r="AN69" s="524"/>
      <c r="AO69" s="524"/>
      <c r="AP69" s="524"/>
      <c r="AQ69" s="524"/>
      <c r="AR69" s="524"/>
      <c r="AS69" s="524"/>
      <c r="AT69" s="524"/>
    </row>
    <row r="70" spans="1:46" x14ac:dyDescent="0.25">
      <c r="A70" s="524"/>
      <c r="B70" s="525"/>
      <c r="C70" s="524"/>
      <c r="D70" s="524"/>
      <c r="E70" s="524"/>
      <c r="F70" s="524"/>
      <c r="G70" s="524"/>
      <c r="H70" s="524"/>
      <c r="I70" s="524"/>
      <c r="J70" s="524"/>
      <c r="K70" s="524"/>
      <c r="L70" s="524"/>
      <c r="M70" s="524"/>
      <c r="N70" s="524"/>
      <c r="O70" s="524"/>
      <c r="P70" s="524"/>
      <c r="Q70" s="524"/>
      <c r="R70" s="524"/>
      <c r="S70" s="524"/>
      <c r="T70" s="524"/>
      <c r="U70" s="524"/>
      <c r="V70" s="524"/>
      <c r="W70" s="524"/>
      <c r="X70" s="524"/>
      <c r="Y70" s="524"/>
      <c r="Z70" s="524"/>
      <c r="AA70" s="524"/>
      <c r="AB70" s="524"/>
      <c r="AC70" s="524"/>
      <c r="AD70" s="524"/>
      <c r="AE70" s="524"/>
      <c r="AF70" s="524"/>
      <c r="AG70" s="524"/>
      <c r="AH70" s="524"/>
      <c r="AI70" s="524"/>
      <c r="AJ70" s="524"/>
      <c r="AK70" s="524"/>
      <c r="AL70" s="524"/>
      <c r="AM70" s="524"/>
      <c r="AN70" s="524"/>
      <c r="AO70" s="524"/>
      <c r="AP70" s="524"/>
      <c r="AQ70" s="524"/>
      <c r="AR70" s="524"/>
      <c r="AS70" s="524"/>
      <c r="AT70" s="524"/>
    </row>
    <row r="71" spans="1:46" x14ac:dyDescent="0.25">
      <c r="A71" s="524"/>
      <c r="B71" s="525"/>
      <c r="C71" s="524"/>
      <c r="D71" s="524"/>
      <c r="E71" s="524"/>
      <c r="F71" s="524"/>
      <c r="G71" s="524"/>
      <c r="H71" s="524"/>
      <c r="I71" s="524"/>
      <c r="J71" s="524"/>
      <c r="K71" s="524"/>
      <c r="L71" s="524"/>
      <c r="M71" s="524"/>
      <c r="N71" s="524"/>
      <c r="O71" s="524"/>
      <c r="P71" s="524"/>
      <c r="Q71" s="524"/>
      <c r="R71" s="524"/>
      <c r="S71" s="524"/>
      <c r="T71" s="524"/>
      <c r="U71" s="524"/>
      <c r="V71" s="524"/>
      <c r="W71" s="524"/>
      <c r="X71" s="524"/>
      <c r="Y71" s="524"/>
      <c r="Z71" s="524"/>
      <c r="AA71" s="524"/>
      <c r="AB71" s="524"/>
      <c r="AC71" s="524"/>
      <c r="AD71" s="524"/>
      <c r="AE71" s="524"/>
      <c r="AF71" s="524"/>
      <c r="AG71" s="524"/>
      <c r="AH71" s="524"/>
      <c r="AI71" s="524"/>
      <c r="AJ71" s="524"/>
      <c r="AK71" s="524"/>
      <c r="AL71" s="524"/>
      <c r="AM71" s="524"/>
      <c r="AN71" s="524"/>
      <c r="AO71" s="524"/>
      <c r="AP71" s="524"/>
      <c r="AQ71" s="524"/>
      <c r="AR71" s="524"/>
      <c r="AS71" s="524"/>
      <c r="AT71" s="524"/>
    </row>
    <row r="72" spans="1:46" x14ac:dyDescent="0.25">
      <c r="A72" s="524"/>
      <c r="B72" s="525"/>
      <c r="C72" s="524"/>
      <c r="D72" s="524"/>
      <c r="E72" s="524"/>
      <c r="F72" s="524"/>
      <c r="G72" s="524"/>
      <c r="H72" s="524"/>
      <c r="I72" s="524"/>
      <c r="J72" s="524"/>
      <c r="K72" s="524"/>
      <c r="L72" s="524"/>
      <c r="M72" s="524"/>
      <c r="N72" s="524"/>
      <c r="O72" s="524"/>
      <c r="P72" s="524"/>
      <c r="Q72" s="524"/>
      <c r="R72" s="524"/>
      <c r="S72" s="524"/>
      <c r="T72" s="524"/>
      <c r="U72" s="524"/>
      <c r="V72" s="524"/>
      <c r="W72" s="524"/>
      <c r="X72" s="524"/>
      <c r="Y72" s="524"/>
      <c r="Z72" s="524"/>
      <c r="AA72" s="524"/>
      <c r="AB72" s="524"/>
      <c r="AC72" s="524"/>
      <c r="AD72" s="524"/>
      <c r="AE72" s="524"/>
      <c r="AF72" s="524"/>
      <c r="AG72" s="524"/>
      <c r="AH72" s="524"/>
      <c r="AI72" s="524"/>
      <c r="AJ72" s="524"/>
      <c r="AK72" s="524"/>
      <c r="AL72" s="524"/>
      <c r="AM72" s="524"/>
      <c r="AN72" s="524"/>
      <c r="AO72" s="524"/>
      <c r="AP72" s="524"/>
      <c r="AQ72" s="524"/>
      <c r="AR72" s="524"/>
      <c r="AS72" s="524"/>
      <c r="AT72" s="524"/>
    </row>
    <row r="73" spans="1:46" ht="15.75" thickBot="1" x14ac:dyDescent="0.3">
      <c r="A73" s="524"/>
      <c r="B73" s="525"/>
      <c r="C73" s="524"/>
      <c r="D73" s="524"/>
      <c r="E73" s="524"/>
      <c r="F73" s="524"/>
      <c r="G73" s="524"/>
      <c r="H73" s="524"/>
      <c r="I73" s="524"/>
      <c r="J73" s="524"/>
      <c r="K73" s="524"/>
      <c r="L73" s="524"/>
      <c r="M73" s="524"/>
      <c r="N73" s="524"/>
      <c r="O73" s="524"/>
      <c r="P73" s="524"/>
      <c r="Q73" s="524"/>
      <c r="R73" s="524"/>
      <c r="S73" s="524"/>
      <c r="T73" s="524"/>
      <c r="U73" s="524"/>
      <c r="V73" s="524"/>
      <c r="W73" s="524"/>
      <c r="X73" s="524"/>
      <c r="Y73" s="524"/>
      <c r="Z73" s="524"/>
      <c r="AA73" s="524"/>
      <c r="AB73" s="524"/>
      <c r="AC73" s="524"/>
      <c r="AD73" s="524"/>
      <c r="AE73" s="524"/>
      <c r="AF73" s="524"/>
      <c r="AG73" s="524"/>
      <c r="AH73" s="524"/>
      <c r="AI73" s="524"/>
      <c r="AJ73" s="524"/>
      <c r="AK73" s="524"/>
      <c r="AL73" s="524"/>
      <c r="AM73" s="524"/>
      <c r="AN73" s="524"/>
      <c r="AO73" s="524"/>
      <c r="AP73" s="524"/>
      <c r="AQ73" s="524"/>
      <c r="AR73" s="524"/>
      <c r="AS73" s="524"/>
      <c r="AT73" s="524"/>
    </row>
    <row r="74" spans="1:46" ht="19.5" thickBot="1" x14ac:dyDescent="0.35">
      <c r="A74" s="524"/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  <c r="K74" s="524"/>
      <c r="L74" s="524"/>
      <c r="M74" s="524"/>
      <c r="N74" s="524"/>
      <c r="O74" s="524"/>
      <c r="P74" s="524"/>
      <c r="Q74" s="524"/>
      <c r="R74" s="524"/>
      <c r="S74" s="524"/>
      <c r="T74" s="524"/>
      <c r="U74" s="524"/>
      <c r="V74" s="524"/>
      <c r="W74" s="524"/>
      <c r="X74" s="524"/>
      <c r="Y74" s="524"/>
      <c r="Z74" s="524"/>
      <c r="AA74" s="524"/>
      <c r="AB74" s="524"/>
      <c r="AC74" s="524"/>
      <c r="AD74" s="524"/>
      <c r="AE74" s="524"/>
      <c r="AF74" s="524"/>
      <c r="AG74" s="524"/>
      <c r="AH74" s="524"/>
      <c r="AI74" s="524"/>
      <c r="AJ74" s="524"/>
      <c r="AK74" s="524"/>
      <c r="AL74" s="524"/>
      <c r="AM74" s="524"/>
      <c r="AN74" s="524"/>
      <c r="AO74" s="524"/>
      <c r="AP74" s="524"/>
      <c r="AQ74" s="524"/>
      <c r="AR74" s="524"/>
      <c r="AS74" s="524"/>
      <c r="AT74" s="524"/>
    </row>
    <row r="75" spans="1:46" ht="19.5" thickBot="1" x14ac:dyDescent="0.35">
      <c r="A75" s="524"/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  <c r="K75" s="524"/>
      <c r="L75" s="524"/>
      <c r="M75" s="524"/>
      <c r="N75" s="524"/>
      <c r="O75" s="524"/>
      <c r="P75" s="524"/>
      <c r="Q75" s="524"/>
      <c r="R75" s="524"/>
      <c r="S75" s="524"/>
      <c r="T75" s="524"/>
      <c r="U75" s="524"/>
      <c r="V75" s="524"/>
      <c r="W75" s="524"/>
      <c r="X75" s="524"/>
      <c r="Y75" s="524"/>
      <c r="Z75" s="524"/>
      <c r="AA75" s="524"/>
      <c r="AB75" s="524"/>
      <c r="AC75" s="524"/>
      <c r="AD75" s="524"/>
      <c r="AE75" s="524"/>
      <c r="AF75" s="524"/>
      <c r="AG75" s="524"/>
      <c r="AH75" s="524"/>
      <c r="AI75" s="524"/>
      <c r="AJ75" s="524"/>
      <c r="AK75" s="524"/>
      <c r="AL75" s="524"/>
      <c r="AM75" s="524"/>
      <c r="AN75" s="524"/>
      <c r="AO75" s="524"/>
      <c r="AP75" s="524"/>
      <c r="AQ75" s="524"/>
      <c r="AR75" s="524"/>
      <c r="AS75" s="524"/>
      <c r="AT75" s="524"/>
    </row>
    <row r="76" spans="1:46" ht="18.75" x14ac:dyDescent="0.3">
      <c r="A76" s="524"/>
      <c r="B76" s="651" t="s">
        <v>218</v>
      </c>
      <c r="C76" s="652">
        <f>C65</f>
        <v>152</v>
      </c>
      <c r="D76" s="653">
        <f>C76/60</f>
        <v>2.5333333333333332</v>
      </c>
      <c r="E76" s="652">
        <f>D65</f>
        <v>160</v>
      </c>
      <c r="F76" s="654">
        <f>E76/60</f>
        <v>2.6666666666666665</v>
      </c>
      <c r="G76" s="652">
        <f>E65</f>
        <v>334</v>
      </c>
      <c r="H76" s="653">
        <f>G76/60</f>
        <v>5.5666666666666664</v>
      </c>
      <c r="I76" s="652">
        <f>F65</f>
        <v>562</v>
      </c>
      <c r="J76" s="653">
        <f>I76/60</f>
        <v>9.3666666666666671</v>
      </c>
      <c r="K76" s="524"/>
      <c r="L76" s="524"/>
      <c r="M76" s="524"/>
      <c r="N76" s="524"/>
      <c r="O76" s="524"/>
      <c r="P76" s="524"/>
      <c r="Q76" s="524"/>
      <c r="R76" s="524"/>
      <c r="S76" s="524"/>
      <c r="T76" s="524"/>
      <c r="U76" s="524"/>
      <c r="V76" s="524"/>
      <c r="W76" s="524"/>
      <c r="X76" s="524"/>
      <c r="Y76" s="524"/>
      <c r="Z76" s="524"/>
      <c r="AA76" s="524"/>
      <c r="AB76" s="524"/>
      <c r="AC76" s="524"/>
      <c r="AD76" s="524"/>
      <c r="AE76" s="524"/>
      <c r="AF76" s="524"/>
      <c r="AG76" s="524"/>
      <c r="AH76" s="524"/>
      <c r="AI76" s="524"/>
      <c r="AJ76" s="524"/>
      <c r="AK76" s="524"/>
      <c r="AL76" s="524"/>
      <c r="AM76" s="524"/>
      <c r="AN76" s="524"/>
      <c r="AO76" s="524"/>
      <c r="AP76" s="524"/>
      <c r="AQ76" s="524"/>
      <c r="AR76" s="524"/>
      <c r="AS76" s="524"/>
      <c r="AT76" s="524"/>
    </row>
    <row r="77" spans="1:46" ht="18.75" x14ac:dyDescent="0.3">
      <c r="A77" s="524"/>
      <c r="B77" s="651" t="s">
        <v>219</v>
      </c>
      <c r="C77" s="655">
        <f>L65</f>
        <v>4</v>
      </c>
      <c r="D77" s="656">
        <f>C77/60</f>
        <v>6.6666666666666666E-2</v>
      </c>
      <c r="E77" s="655">
        <f>M65</f>
        <v>0</v>
      </c>
      <c r="F77" s="657">
        <f>E77/60</f>
        <v>0</v>
      </c>
      <c r="G77" s="655">
        <f>N65</f>
        <v>10</v>
      </c>
      <c r="H77" s="656">
        <f>G77/60</f>
        <v>0.16666666666666666</v>
      </c>
      <c r="I77" s="655">
        <f>O65</f>
        <v>451</v>
      </c>
      <c r="J77" s="653">
        <f t="shared" ref="J77:J80" si="0">I77/60</f>
        <v>7.5166666666666666</v>
      </c>
      <c r="K77" s="524"/>
      <c r="L77" s="524"/>
      <c r="M77" s="524"/>
      <c r="N77" s="524"/>
      <c r="O77" s="524"/>
      <c r="P77" s="524"/>
      <c r="Q77" s="524"/>
      <c r="R77" s="524"/>
      <c r="S77" s="524"/>
      <c r="T77" s="524"/>
      <c r="U77" s="524"/>
      <c r="V77" s="524"/>
      <c r="W77" s="524"/>
      <c r="X77" s="524"/>
      <c r="Y77" s="524"/>
      <c r="Z77" s="524"/>
      <c r="AA77" s="524"/>
      <c r="AB77" s="524"/>
      <c r="AC77" s="524"/>
      <c r="AD77" s="524"/>
      <c r="AE77" s="524"/>
      <c r="AF77" s="524"/>
      <c r="AG77" s="524"/>
      <c r="AH77" s="524"/>
      <c r="AI77" s="524"/>
      <c r="AJ77" s="524"/>
      <c r="AK77" s="524"/>
      <c r="AL77" s="524"/>
      <c r="AM77" s="524"/>
      <c r="AN77" s="524"/>
      <c r="AO77" s="524"/>
      <c r="AP77" s="524"/>
      <c r="AQ77" s="524"/>
      <c r="AR77" s="524"/>
      <c r="AS77" s="524"/>
      <c r="AT77" s="524"/>
    </row>
    <row r="78" spans="1:46" ht="18.75" x14ac:dyDescent="0.3">
      <c r="A78" s="524"/>
      <c r="B78" s="651" t="s">
        <v>220</v>
      </c>
      <c r="C78" s="655">
        <f>U65</f>
        <v>0</v>
      </c>
      <c r="D78" s="656">
        <f>C78/60</f>
        <v>0</v>
      </c>
      <c r="E78" s="655">
        <f>V65</f>
        <v>119</v>
      </c>
      <c r="F78" s="657">
        <f>E78/60</f>
        <v>1.9833333333333334</v>
      </c>
      <c r="G78" s="655">
        <f>W65</f>
        <v>379</v>
      </c>
      <c r="H78" s="656">
        <f>G78/60</f>
        <v>6.3166666666666664</v>
      </c>
      <c r="I78" s="655">
        <f>X65</f>
        <v>985</v>
      </c>
      <c r="J78" s="653">
        <f t="shared" si="0"/>
        <v>16.416666666666668</v>
      </c>
      <c r="K78" s="524"/>
      <c r="L78" s="524"/>
      <c r="M78" s="524"/>
      <c r="N78" s="524"/>
      <c r="O78" s="524"/>
      <c r="P78" s="524"/>
      <c r="Q78" s="524"/>
      <c r="R78" s="524"/>
      <c r="S78" s="524"/>
      <c r="T78" s="524"/>
      <c r="U78" s="524"/>
      <c r="V78" s="524"/>
      <c r="W78" s="524"/>
      <c r="X78" s="524"/>
      <c r="Y78" s="524"/>
      <c r="Z78" s="524"/>
      <c r="AA78" s="524"/>
      <c r="AB78" s="524"/>
      <c r="AC78" s="524"/>
      <c r="AD78" s="524"/>
      <c r="AE78" s="524"/>
      <c r="AF78" s="524"/>
      <c r="AG78" s="524"/>
      <c r="AH78" s="524"/>
      <c r="AI78" s="524"/>
      <c r="AJ78" s="524"/>
      <c r="AK78" s="524"/>
      <c r="AL78" s="524"/>
      <c r="AM78" s="524"/>
      <c r="AN78" s="524"/>
      <c r="AO78" s="524"/>
      <c r="AP78" s="524"/>
      <c r="AQ78" s="524"/>
      <c r="AR78" s="524"/>
      <c r="AS78" s="524"/>
      <c r="AT78" s="524"/>
    </row>
    <row r="79" spans="1:46" ht="19.5" thickBot="1" x14ac:dyDescent="0.35">
      <c r="A79" s="524"/>
      <c r="B79" s="651" t="s">
        <v>221</v>
      </c>
      <c r="C79" s="658">
        <f>AD65</f>
        <v>13061</v>
      </c>
      <c r="D79" s="659">
        <f>C79/60</f>
        <v>217.68333333333334</v>
      </c>
      <c r="E79" s="658">
        <f>AE65</f>
        <v>0</v>
      </c>
      <c r="F79" s="660">
        <f>E79/60</f>
        <v>0</v>
      </c>
      <c r="G79" s="658">
        <f>AF65</f>
        <v>90</v>
      </c>
      <c r="H79" s="659">
        <f>G79/60</f>
        <v>1.5</v>
      </c>
      <c r="I79" s="658">
        <f>AG65</f>
        <v>513</v>
      </c>
      <c r="J79" s="653">
        <f t="shared" si="0"/>
        <v>8.5500000000000007</v>
      </c>
      <c r="K79" s="524"/>
      <c r="L79" s="524"/>
      <c r="M79" s="524"/>
      <c r="N79" s="524"/>
      <c r="O79" s="524"/>
      <c r="P79" s="524"/>
      <c r="Q79" s="524"/>
      <c r="R79" s="524"/>
      <c r="S79" s="524"/>
      <c r="T79" s="524"/>
      <c r="U79" s="524"/>
      <c r="V79" s="524"/>
      <c r="W79" s="524"/>
      <c r="X79" s="524"/>
      <c r="Y79" s="524"/>
      <c r="Z79" s="524"/>
      <c r="AA79" s="524"/>
      <c r="AB79" s="524"/>
      <c r="AC79" s="524"/>
      <c r="AD79" s="524"/>
      <c r="AE79" s="524"/>
      <c r="AF79" s="524"/>
      <c r="AG79" s="524"/>
      <c r="AH79" s="524"/>
      <c r="AI79" s="524"/>
      <c r="AJ79" s="524"/>
      <c r="AK79" s="524"/>
      <c r="AL79" s="524"/>
      <c r="AM79" s="524"/>
      <c r="AN79" s="524"/>
      <c r="AO79" s="524"/>
      <c r="AP79" s="524"/>
      <c r="AQ79" s="524"/>
      <c r="AR79" s="524"/>
      <c r="AS79" s="524"/>
      <c r="AT79" s="524"/>
    </row>
    <row r="80" spans="1:46" ht="19.5" thickBot="1" x14ac:dyDescent="0.35">
      <c r="A80" s="524"/>
      <c r="B80" s="651" t="s">
        <v>488</v>
      </c>
      <c r="C80" s="850">
        <f>AM65</f>
        <v>55</v>
      </c>
      <c r="D80" s="849">
        <f>C80/60</f>
        <v>0.91666666666666663</v>
      </c>
      <c r="E80" s="850">
        <f>AN65</f>
        <v>0</v>
      </c>
      <c r="F80" s="851">
        <f>E80/60</f>
        <v>0</v>
      </c>
      <c r="G80" s="850">
        <f>AO65</f>
        <v>0</v>
      </c>
      <c r="H80" s="849">
        <f>G80/60</f>
        <v>0</v>
      </c>
      <c r="I80" s="850">
        <f>AP65</f>
        <v>1465</v>
      </c>
      <c r="J80" s="653">
        <f t="shared" si="0"/>
        <v>24.416666666666668</v>
      </c>
      <c r="K80" s="524"/>
      <c r="L80" s="524"/>
      <c r="M80" s="524"/>
      <c r="N80" s="524"/>
      <c r="O80" s="524"/>
      <c r="P80" s="524"/>
      <c r="Q80" s="524"/>
      <c r="R80" s="524"/>
      <c r="S80" s="524"/>
      <c r="T80" s="524"/>
      <c r="U80" s="524"/>
      <c r="V80" s="524"/>
      <c r="W80" s="524"/>
      <c r="X80" s="524"/>
      <c r="Y80" s="524"/>
      <c r="Z80" s="524"/>
      <c r="AA80" s="524"/>
      <c r="AB80" s="524"/>
      <c r="AC80" s="524"/>
      <c r="AD80" s="524"/>
      <c r="AE80" s="524"/>
      <c r="AF80" s="524"/>
      <c r="AG80" s="524"/>
      <c r="AH80" s="524"/>
      <c r="AI80" s="524"/>
      <c r="AJ80" s="524"/>
      <c r="AK80" s="524"/>
      <c r="AL80" s="524"/>
      <c r="AM80" s="524"/>
      <c r="AN80" s="524"/>
      <c r="AO80" s="524"/>
      <c r="AP80" s="524"/>
      <c r="AQ80" s="524"/>
      <c r="AR80" s="524"/>
      <c r="AS80" s="524"/>
      <c r="AT80" s="524"/>
    </row>
    <row r="81" spans="1:46" ht="19.5" thickBot="1" x14ac:dyDescent="0.35">
      <c r="A81" s="524"/>
      <c r="B81" s="419"/>
      <c r="C81" s="301"/>
      <c r="D81" s="301"/>
      <c r="E81" s="301"/>
      <c r="F81" s="301"/>
      <c r="G81" s="301"/>
      <c r="H81" s="301"/>
      <c r="I81" s="301"/>
      <c r="J81" s="301"/>
      <c r="K81" s="524"/>
      <c r="L81" s="524"/>
      <c r="M81" s="524"/>
      <c r="N81" s="524"/>
      <c r="O81" s="524"/>
      <c r="P81" s="524"/>
      <c r="Q81" s="524"/>
      <c r="R81" s="524"/>
      <c r="S81" s="524"/>
      <c r="T81" s="524"/>
      <c r="U81" s="524"/>
      <c r="V81" s="524"/>
      <c r="W81" s="524"/>
      <c r="X81" s="524"/>
      <c r="Y81" s="524"/>
      <c r="Z81" s="524"/>
      <c r="AA81" s="524"/>
      <c r="AB81" s="524"/>
      <c r="AC81" s="524"/>
      <c r="AD81" s="524"/>
      <c r="AE81" s="524"/>
      <c r="AF81" s="524"/>
      <c r="AG81" s="524"/>
      <c r="AH81" s="524"/>
      <c r="AI81" s="524"/>
      <c r="AJ81" s="524"/>
      <c r="AK81" s="524"/>
      <c r="AL81" s="524"/>
      <c r="AM81" s="524"/>
      <c r="AN81" s="524"/>
      <c r="AO81" s="524"/>
      <c r="AP81" s="524"/>
      <c r="AQ81" s="524"/>
      <c r="AR81" s="524"/>
      <c r="AS81" s="524"/>
      <c r="AT81" s="524"/>
    </row>
    <row r="82" spans="1:46" ht="19.5" thickBot="1" x14ac:dyDescent="0.35">
      <c r="A82" s="524"/>
      <c r="B82" s="661" t="s">
        <v>217</v>
      </c>
      <c r="C82" s="666"/>
      <c r="D82" s="667">
        <f>SUM(D76:D80)</f>
        <v>221.2</v>
      </c>
      <c r="E82" s="666"/>
      <c r="F82" s="667">
        <f>SUM(F76:F80)</f>
        <v>4.6500000000000004</v>
      </c>
      <c r="G82" s="666"/>
      <c r="H82" s="667">
        <f>SUM(H76:H80)</f>
        <v>13.55</v>
      </c>
      <c r="I82" s="666"/>
      <c r="J82" s="668">
        <f>AVERAGE(J76:J80)</f>
        <v>13.253333333333334</v>
      </c>
      <c r="K82" s="524"/>
      <c r="L82" s="524"/>
      <c r="M82" s="524"/>
      <c r="N82" s="524"/>
      <c r="O82" s="524"/>
      <c r="P82" s="524"/>
      <c r="Q82" s="524"/>
      <c r="R82" s="524"/>
      <c r="S82" s="524"/>
      <c r="T82" s="524"/>
      <c r="U82" s="524"/>
      <c r="V82" s="524"/>
      <c r="W82" s="524"/>
      <c r="X82" s="524"/>
      <c r="Y82" s="524"/>
      <c r="Z82" s="524"/>
      <c r="AA82" s="524"/>
      <c r="AB82" s="524"/>
      <c r="AC82" s="524"/>
      <c r="AD82" s="524"/>
      <c r="AE82" s="524"/>
      <c r="AF82" s="524"/>
      <c r="AG82" s="524"/>
      <c r="AH82" s="524"/>
      <c r="AI82" s="524"/>
      <c r="AJ82" s="524"/>
      <c r="AK82" s="524"/>
      <c r="AL82" s="524"/>
      <c r="AM82" s="524"/>
      <c r="AN82" s="524"/>
      <c r="AO82" s="524"/>
      <c r="AP82" s="524"/>
      <c r="AQ82" s="524"/>
      <c r="AR82" s="524"/>
      <c r="AS82" s="524"/>
      <c r="AT82" s="524"/>
    </row>
    <row r="83" spans="1:46" x14ac:dyDescent="0.25">
      <c r="A83" s="524"/>
      <c r="B83" s="525"/>
      <c r="C83" s="524"/>
      <c r="D83" s="524"/>
      <c r="E83" s="524"/>
      <c r="F83" s="524"/>
      <c r="G83" s="524"/>
      <c r="H83" s="524"/>
      <c r="I83" s="524"/>
      <c r="J83" s="524"/>
      <c r="K83" s="524"/>
      <c r="L83" s="524"/>
      <c r="M83" s="524"/>
      <c r="N83" s="524"/>
      <c r="O83" s="524"/>
      <c r="P83" s="524"/>
      <c r="Q83" s="524"/>
      <c r="R83" s="524"/>
      <c r="S83" s="524"/>
      <c r="T83" s="524"/>
      <c r="U83" s="524"/>
      <c r="V83" s="524"/>
      <c r="W83" s="524"/>
      <c r="X83" s="524"/>
      <c r="Y83" s="524"/>
      <c r="Z83" s="524"/>
      <c r="AA83" s="524"/>
      <c r="AB83" s="524"/>
      <c r="AC83" s="524"/>
      <c r="AD83" s="524"/>
      <c r="AE83" s="524"/>
      <c r="AF83" s="524"/>
      <c r="AG83" s="524"/>
      <c r="AH83" s="524"/>
      <c r="AI83" s="524"/>
      <c r="AJ83" s="524"/>
      <c r="AK83" s="524"/>
      <c r="AL83" s="524"/>
      <c r="AM83" s="524"/>
      <c r="AN83" s="524"/>
      <c r="AO83" s="524"/>
      <c r="AP83" s="524"/>
      <c r="AQ83" s="524"/>
      <c r="AR83" s="524"/>
      <c r="AS83" s="524"/>
      <c r="AT83" s="524"/>
    </row>
    <row r="84" spans="1:46" x14ac:dyDescent="0.25">
      <c r="A84" s="524"/>
      <c r="B84" s="525"/>
      <c r="C84" s="524"/>
      <c r="D84" s="524"/>
      <c r="E84" s="524"/>
      <c r="F84" s="524"/>
      <c r="G84" s="524"/>
      <c r="H84" s="524"/>
      <c r="I84" s="524"/>
      <c r="J84" s="524"/>
      <c r="K84" s="524"/>
      <c r="L84" s="524"/>
      <c r="M84" s="524"/>
      <c r="N84" s="524"/>
      <c r="O84" s="524"/>
      <c r="P84" s="524"/>
      <c r="Q84" s="524"/>
      <c r="R84" s="524"/>
      <c r="S84" s="524"/>
      <c r="T84" s="524"/>
      <c r="U84" s="524"/>
      <c r="V84" s="524"/>
      <c r="W84" s="524"/>
      <c r="X84" s="524"/>
      <c r="Y84" s="524"/>
      <c r="Z84" s="524"/>
      <c r="AA84" s="524"/>
      <c r="AB84" s="524"/>
      <c r="AC84" s="524"/>
      <c r="AD84" s="524"/>
      <c r="AE84" s="524"/>
      <c r="AF84" s="524"/>
      <c r="AG84" s="524"/>
      <c r="AH84" s="524"/>
      <c r="AI84" s="524"/>
      <c r="AJ84" s="524"/>
      <c r="AK84" s="524"/>
      <c r="AL84" s="524"/>
      <c r="AM84" s="524"/>
      <c r="AN84" s="524"/>
      <c r="AO84" s="524"/>
      <c r="AP84" s="524"/>
      <c r="AQ84" s="524"/>
      <c r="AR84" s="524"/>
      <c r="AS84" s="524"/>
      <c r="AT84" s="524"/>
    </row>
    <row r="85" spans="1:46" x14ac:dyDescent="0.25">
      <c r="A85" s="524"/>
      <c r="B85" s="525"/>
      <c r="C85" s="524"/>
      <c r="D85" s="524"/>
      <c r="E85" s="524"/>
      <c r="F85" s="524"/>
      <c r="G85" s="524"/>
      <c r="H85" s="524"/>
      <c r="I85" s="524"/>
      <c r="J85" s="524"/>
      <c r="K85" s="524"/>
      <c r="L85" s="524"/>
      <c r="M85" s="524"/>
      <c r="N85" s="524"/>
      <c r="O85" s="524"/>
      <c r="P85" s="524"/>
      <c r="Q85" s="524"/>
      <c r="R85" s="524"/>
      <c r="S85" s="524"/>
      <c r="T85" s="524"/>
      <c r="U85" s="524"/>
      <c r="V85" s="524"/>
      <c r="W85" s="524"/>
      <c r="X85" s="524"/>
      <c r="Y85" s="524"/>
      <c r="Z85" s="524"/>
      <c r="AA85" s="524"/>
      <c r="AB85" s="524"/>
      <c r="AC85" s="524"/>
      <c r="AD85" s="524"/>
      <c r="AE85" s="524"/>
      <c r="AF85" s="524"/>
      <c r="AG85" s="524"/>
      <c r="AH85" s="524"/>
      <c r="AI85" s="524"/>
      <c r="AJ85" s="524"/>
      <c r="AK85" s="524"/>
      <c r="AL85" s="524"/>
      <c r="AM85" s="524"/>
      <c r="AN85" s="524"/>
      <c r="AO85" s="524"/>
      <c r="AP85" s="524"/>
      <c r="AQ85" s="524"/>
      <c r="AR85" s="524"/>
      <c r="AS85" s="524"/>
      <c r="AT85" s="524"/>
    </row>
    <row r="86" spans="1:46" x14ac:dyDescent="0.25">
      <c r="A86" s="524"/>
      <c r="B86" s="525"/>
      <c r="C86" s="524"/>
      <c r="D86" s="524"/>
      <c r="E86" s="524"/>
      <c r="F86" s="524"/>
      <c r="G86" s="524"/>
      <c r="H86" s="524"/>
      <c r="I86" s="524"/>
      <c r="J86" s="524"/>
      <c r="K86" s="524"/>
      <c r="L86" s="524"/>
      <c r="M86" s="524"/>
      <c r="N86" s="524"/>
      <c r="O86" s="524"/>
      <c r="P86" s="524"/>
      <c r="Q86" s="524"/>
      <c r="R86" s="524"/>
      <c r="S86" s="524"/>
      <c r="T86" s="524"/>
      <c r="U86" s="524"/>
      <c r="V86" s="524"/>
      <c r="W86" s="524"/>
      <c r="X86" s="524"/>
      <c r="Y86" s="524"/>
      <c r="Z86" s="524"/>
      <c r="AA86" s="524"/>
      <c r="AB86" s="524"/>
      <c r="AC86" s="524"/>
      <c r="AD86" s="524"/>
      <c r="AE86" s="524"/>
      <c r="AF86" s="524"/>
      <c r="AG86" s="524"/>
      <c r="AH86" s="524"/>
      <c r="AI86" s="524"/>
      <c r="AJ86" s="524"/>
      <c r="AK86" s="524"/>
      <c r="AL86" s="524"/>
      <c r="AM86" s="524"/>
      <c r="AN86" s="524"/>
      <c r="AO86" s="524"/>
      <c r="AP86" s="524"/>
      <c r="AQ86" s="524"/>
      <c r="AR86" s="524"/>
      <c r="AS86" s="524"/>
      <c r="AT86" s="524"/>
    </row>
    <row r="87" spans="1:46" x14ac:dyDescent="0.25">
      <c r="A87" s="524"/>
      <c r="B87" s="525"/>
      <c r="C87" s="524"/>
      <c r="D87" s="524"/>
      <c r="E87" s="524"/>
      <c r="F87" s="524"/>
      <c r="G87" s="524"/>
      <c r="H87" s="524"/>
      <c r="I87" s="524"/>
      <c r="J87" s="524"/>
      <c r="K87" s="524"/>
      <c r="L87" s="524"/>
      <c r="M87" s="524"/>
      <c r="N87" s="524"/>
      <c r="O87" s="524"/>
      <c r="P87" s="524"/>
      <c r="Q87" s="524"/>
      <c r="R87" s="524"/>
      <c r="S87" s="524"/>
      <c r="T87" s="524"/>
      <c r="U87" s="524"/>
      <c r="V87" s="524"/>
      <c r="W87" s="524"/>
      <c r="X87" s="524"/>
      <c r="Y87" s="524"/>
      <c r="Z87" s="524"/>
      <c r="AA87" s="524"/>
      <c r="AB87" s="524"/>
      <c r="AC87" s="524"/>
      <c r="AD87" s="524"/>
      <c r="AE87" s="524"/>
      <c r="AF87" s="524"/>
      <c r="AG87" s="524"/>
      <c r="AH87" s="524"/>
      <c r="AI87" s="524"/>
      <c r="AJ87" s="524"/>
      <c r="AK87" s="524"/>
      <c r="AL87" s="524"/>
      <c r="AM87" s="524"/>
      <c r="AN87" s="524"/>
      <c r="AO87" s="524"/>
      <c r="AP87" s="524"/>
      <c r="AQ87" s="524"/>
      <c r="AR87" s="524"/>
      <c r="AS87" s="524"/>
      <c r="AT87" s="524"/>
    </row>
    <row r="88" spans="1:46" x14ac:dyDescent="0.25">
      <c r="A88" s="524"/>
      <c r="B88" s="525"/>
      <c r="C88" s="524"/>
      <c r="D88" s="524"/>
      <c r="E88" s="524"/>
      <c r="F88" s="524"/>
      <c r="G88" s="524"/>
      <c r="H88" s="524"/>
      <c r="I88" s="524"/>
      <c r="J88" s="524"/>
      <c r="K88" s="524"/>
      <c r="L88" s="524"/>
      <c r="M88" s="524"/>
      <c r="N88" s="524"/>
      <c r="O88" s="524"/>
      <c r="P88" s="524"/>
      <c r="Q88" s="524"/>
      <c r="R88" s="524"/>
      <c r="S88" s="524"/>
      <c r="T88" s="524"/>
      <c r="U88" s="524"/>
      <c r="V88" s="524"/>
      <c r="W88" s="524"/>
      <c r="X88" s="524"/>
      <c r="Y88" s="524"/>
      <c r="Z88" s="524"/>
      <c r="AA88" s="524"/>
      <c r="AB88" s="524"/>
      <c r="AC88" s="524"/>
      <c r="AD88" s="524"/>
      <c r="AE88" s="524"/>
      <c r="AF88" s="524"/>
      <c r="AG88" s="524"/>
      <c r="AH88" s="524"/>
      <c r="AI88" s="524"/>
      <c r="AJ88" s="524"/>
      <c r="AK88" s="524"/>
      <c r="AL88" s="524"/>
      <c r="AM88" s="524"/>
      <c r="AN88" s="524"/>
      <c r="AO88" s="524"/>
      <c r="AP88" s="524"/>
      <c r="AQ88" s="524"/>
      <c r="AR88" s="524"/>
      <c r="AS88" s="524"/>
      <c r="AT88" s="524"/>
    </row>
    <row r="89" spans="1:46" x14ac:dyDescent="0.25">
      <c r="A89" s="524"/>
      <c r="B89" s="525"/>
      <c r="C89" s="524"/>
      <c r="D89" s="524"/>
      <c r="E89" s="524"/>
      <c r="F89" s="524"/>
      <c r="G89" s="524"/>
      <c r="H89" s="524"/>
      <c r="I89" s="524"/>
      <c r="J89" s="524"/>
      <c r="K89" s="524"/>
      <c r="L89" s="524"/>
      <c r="M89" s="524"/>
      <c r="N89" s="524"/>
      <c r="O89" s="524"/>
      <c r="P89" s="524"/>
      <c r="Q89" s="524"/>
      <c r="R89" s="524"/>
      <c r="S89" s="524"/>
      <c r="T89" s="524"/>
      <c r="U89" s="524"/>
      <c r="V89" s="524"/>
      <c r="W89" s="524"/>
      <c r="X89" s="524"/>
      <c r="Y89" s="524"/>
      <c r="Z89" s="524"/>
      <c r="AA89" s="524"/>
      <c r="AB89" s="524"/>
      <c r="AC89" s="524"/>
      <c r="AD89" s="524"/>
      <c r="AE89" s="524"/>
      <c r="AF89" s="524"/>
      <c r="AG89" s="524"/>
      <c r="AH89" s="524"/>
      <c r="AI89" s="524"/>
      <c r="AJ89" s="524"/>
      <c r="AK89" s="524"/>
      <c r="AL89" s="524"/>
      <c r="AM89" s="524"/>
      <c r="AN89" s="524"/>
      <c r="AO89" s="524"/>
      <c r="AP89" s="524"/>
      <c r="AQ89" s="524"/>
      <c r="AR89" s="524"/>
      <c r="AS89" s="524"/>
      <c r="AT89" s="524"/>
    </row>
    <row r="90" spans="1:46" x14ac:dyDescent="0.25">
      <c r="A90" s="524"/>
      <c r="B90" s="525"/>
      <c r="C90" s="524"/>
      <c r="D90" s="524"/>
      <c r="E90" s="524"/>
      <c r="F90" s="524"/>
      <c r="G90" s="524"/>
      <c r="H90" s="524"/>
      <c r="I90" s="524"/>
      <c r="J90" s="524"/>
      <c r="K90" s="524"/>
      <c r="L90" s="524"/>
      <c r="M90" s="524"/>
      <c r="N90" s="524"/>
      <c r="O90" s="524"/>
      <c r="P90" s="524"/>
      <c r="Q90" s="524"/>
      <c r="R90" s="524"/>
      <c r="S90" s="524"/>
      <c r="T90" s="524"/>
      <c r="U90" s="524"/>
      <c r="V90" s="524"/>
      <c r="W90" s="524"/>
      <c r="X90" s="524"/>
      <c r="Y90" s="524"/>
      <c r="Z90" s="524"/>
      <c r="AA90" s="524"/>
      <c r="AB90" s="524"/>
      <c r="AC90" s="524"/>
      <c r="AD90" s="524"/>
      <c r="AE90" s="524"/>
      <c r="AF90" s="524"/>
      <c r="AG90" s="524"/>
      <c r="AH90" s="524"/>
      <c r="AI90" s="524"/>
      <c r="AJ90" s="524"/>
      <c r="AK90" s="524"/>
      <c r="AL90" s="524"/>
      <c r="AM90" s="524"/>
      <c r="AN90" s="524"/>
      <c r="AO90" s="524"/>
      <c r="AP90" s="524"/>
      <c r="AQ90" s="524"/>
      <c r="AR90" s="524"/>
      <c r="AS90" s="524"/>
      <c r="AT90" s="524"/>
    </row>
    <row r="91" spans="1:46" x14ac:dyDescent="0.25">
      <c r="A91" s="524"/>
      <c r="B91" s="525"/>
      <c r="C91" s="524"/>
      <c r="D91" s="524"/>
      <c r="E91" s="524"/>
      <c r="F91" s="524"/>
      <c r="G91" s="524"/>
      <c r="H91" s="524"/>
      <c r="I91" s="524"/>
      <c r="J91" s="524"/>
      <c r="K91" s="524"/>
      <c r="L91" s="524"/>
      <c r="M91" s="524"/>
      <c r="N91" s="524"/>
      <c r="O91" s="524"/>
      <c r="P91" s="524"/>
      <c r="Q91" s="524"/>
      <c r="R91" s="524"/>
      <c r="S91" s="524"/>
      <c r="T91" s="524"/>
      <c r="U91" s="524"/>
      <c r="V91" s="524"/>
      <c r="W91" s="524"/>
      <c r="X91" s="524"/>
      <c r="Y91" s="524"/>
      <c r="Z91" s="524"/>
      <c r="AA91" s="524"/>
      <c r="AB91" s="524"/>
      <c r="AC91" s="524"/>
      <c r="AD91" s="524"/>
      <c r="AE91" s="524"/>
      <c r="AF91" s="524"/>
      <c r="AG91" s="524"/>
      <c r="AH91" s="524"/>
      <c r="AI91" s="524"/>
      <c r="AJ91" s="524"/>
      <c r="AK91" s="524"/>
      <c r="AL91" s="524"/>
      <c r="AM91" s="524"/>
      <c r="AN91" s="524"/>
      <c r="AO91" s="524"/>
      <c r="AP91" s="524"/>
      <c r="AQ91" s="524"/>
      <c r="AR91" s="524"/>
      <c r="AS91" s="524"/>
      <c r="AT91" s="524"/>
    </row>
    <row r="92" spans="1:46" x14ac:dyDescent="0.25">
      <c r="AH92" s="524"/>
      <c r="AI92" s="524"/>
      <c r="AJ92" s="524"/>
    </row>
  </sheetData>
  <mergeCells count="46">
    <mergeCell ref="A7:A8"/>
    <mergeCell ref="A9:A10"/>
    <mergeCell ref="A11:A12"/>
    <mergeCell ref="A5:A6"/>
    <mergeCell ref="C1:F1"/>
    <mergeCell ref="AM1:AP1"/>
    <mergeCell ref="AQ1:AT1"/>
    <mergeCell ref="A3:A4"/>
    <mergeCell ref="U1:X1"/>
    <mergeCell ref="Y1:AB1"/>
    <mergeCell ref="G1:J1"/>
    <mergeCell ref="L1:O1"/>
    <mergeCell ref="P1:S1"/>
    <mergeCell ref="AD1:AG1"/>
    <mergeCell ref="AH1:AK1"/>
    <mergeCell ref="A13:A14"/>
    <mergeCell ref="A39:A40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15:A16"/>
    <mergeCell ref="A63:A64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H65:AJ65"/>
    <mergeCell ref="C74:D74"/>
    <mergeCell ref="E74:F74"/>
    <mergeCell ref="G74:H74"/>
    <mergeCell ref="I74:J74"/>
  </mergeCells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2"/>
  <sheetViews>
    <sheetView zoomScale="70" zoomScaleNormal="70" workbookViewId="0">
      <pane xSplit="3" ySplit="2" topLeftCell="AG61" activePane="bottomRight" state="frozen"/>
      <selection pane="topRight" activeCell="D1" sqref="D1"/>
      <selection pane="bottomLeft" activeCell="A3" sqref="A3"/>
      <selection pane="bottomRight" sqref="A1:AT91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2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36.42578125" style="524" customWidth="1"/>
    <col min="9" max="9" width="24.42578125" style="524" customWidth="1"/>
    <col min="10" max="10" width="28.710937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6" style="524" bestFit="1" customWidth="1"/>
    <col min="17" max="17" width="42.140625" style="524" bestFit="1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6.140625" style="524" bestFit="1" customWidth="1"/>
    <col min="28" max="28" width="27" style="524" customWidth="1"/>
    <col min="29" max="29" width="3.42578125" style="524" customWidth="1"/>
    <col min="30" max="33" width="10.7109375" style="524" customWidth="1"/>
    <col min="34" max="34" width="31.28515625" style="524" customWidth="1"/>
    <col min="35" max="35" width="23.28515625" style="524" customWidth="1"/>
    <col min="36" max="36" width="25.28515625" style="524" customWidth="1"/>
    <col min="37" max="37" width="29.7109375" style="524" customWidth="1"/>
    <col min="38" max="38" width="8.85546875" style="524"/>
    <col min="39" max="39" width="13.85546875" style="524" customWidth="1"/>
    <col min="40" max="42" width="10.7109375" style="524" customWidth="1"/>
    <col min="43" max="43" width="21.140625" style="524" customWidth="1"/>
    <col min="44" max="44" width="26.5703125" style="524" customWidth="1"/>
    <col min="45" max="45" width="31.140625" style="524" customWidth="1"/>
    <col min="46" max="46" width="31" style="524" customWidth="1"/>
    <col min="47" max="16384" width="8.85546875" style="524"/>
  </cols>
  <sheetData>
    <row r="1" spans="1:46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2" t="s">
        <v>206</v>
      </c>
      <c r="AR1" s="2252"/>
      <c r="AS1" s="2252"/>
      <c r="AT1" s="2253"/>
    </row>
    <row r="2" spans="1:46" ht="42" customHeight="1" x14ac:dyDescent="0.25">
      <c r="A2" s="984" t="s">
        <v>0</v>
      </c>
      <c r="B2" s="988" t="s">
        <v>198</v>
      </c>
      <c r="C2" s="1702" t="s">
        <v>199</v>
      </c>
      <c r="D2" s="1700" t="s">
        <v>200</v>
      </c>
      <c r="E2" s="1700" t="s">
        <v>201</v>
      </c>
      <c r="F2" s="1700" t="s">
        <v>204</v>
      </c>
      <c r="G2" s="1705" t="s">
        <v>199</v>
      </c>
      <c r="H2" s="1705" t="s">
        <v>200</v>
      </c>
      <c r="I2" s="1705" t="s">
        <v>201</v>
      </c>
      <c r="J2" s="1705" t="s">
        <v>204</v>
      </c>
      <c r="K2" s="1706" t="s">
        <v>269</v>
      </c>
      <c r="L2" s="1700" t="s">
        <v>199</v>
      </c>
      <c r="M2" s="1700" t="s">
        <v>200</v>
      </c>
      <c r="N2" s="1700" t="s">
        <v>201</v>
      </c>
      <c r="O2" s="1700" t="s">
        <v>204</v>
      </c>
      <c r="P2" s="1701" t="s">
        <v>199</v>
      </c>
      <c r="Q2" s="1700" t="s">
        <v>200</v>
      </c>
      <c r="R2" s="1700" t="s">
        <v>201</v>
      </c>
      <c r="S2" s="1700" t="s">
        <v>204</v>
      </c>
      <c r="T2" s="1706"/>
      <c r="U2" s="1700" t="s">
        <v>199</v>
      </c>
      <c r="V2" s="1700" t="s">
        <v>200</v>
      </c>
      <c r="W2" s="1700" t="s">
        <v>201</v>
      </c>
      <c r="X2" s="1700" t="s">
        <v>204</v>
      </c>
      <c r="Y2" s="1707" t="s">
        <v>199</v>
      </c>
      <c r="Z2" s="1700" t="s">
        <v>200</v>
      </c>
      <c r="AA2" s="1700" t="s">
        <v>201</v>
      </c>
      <c r="AB2" s="1700" t="s">
        <v>204</v>
      </c>
      <c r="AC2" s="1706"/>
      <c r="AD2" s="1700" t="s">
        <v>199</v>
      </c>
      <c r="AE2" s="1700" t="s">
        <v>200</v>
      </c>
      <c r="AF2" s="1700" t="s">
        <v>201</v>
      </c>
      <c r="AG2" s="1700" t="s">
        <v>204</v>
      </c>
      <c r="AH2" s="1701" t="s">
        <v>199</v>
      </c>
      <c r="AI2" s="1700" t="s">
        <v>200</v>
      </c>
      <c r="AJ2" s="1700" t="s">
        <v>201</v>
      </c>
      <c r="AK2" s="1700" t="s">
        <v>204</v>
      </c>
      <c r="AL2" s="1706"/>
      <c r="AM2" s="1700" t="s">
        <v>199</v>
      </c>
      <c r="AN2" s="1700" t="s">
        <v>200</v>
      </c>
      <c r="AO2" s="1700" t="s">
        <v>201</v>
      </c>
      <c r="AP2" s="1700" t="s">
        <v>204</v>
      </c>
      <c r="AQ2" s="1701" t="s">
        <v>199</v>
      </c>
      <c r="AR2" s="1700" t="s">
        <v>200</v>
      </c>
      <c r="AS2" s="1700" t="s">
        <v>201</v>
      </c>
      <c r="AT2" s="1700" t="s">
        <v>204</v>
      </c>
    </row>
    <row r="3" spans="1:46" ht="78" customHeight="1" x14ac:dyDescent="0.3">
      <c r="A3" s="2260">
        <v>45839</v>
      </c>
      <c r="B3" s="1200">
        <v>1</v>
      </c>
      <c r="C3" s="1708"/>
      <c r="D3" s="1709"/>
      <c r="E3" s="1710"/>
      <c r="F3" s="1711">
        <v>720</v>
      </c>
      <c r="G3" s="1712"/>
      <c r="H3" s="1713"/>
      <c r="I3" s="1714"/>
      <c r="J3" s="1715" t="s">
        <v>975</v>
      </c>
      <c r="K3" s="332"/>
      <c r="L3" s="1716"/>
      <c r="M3" s="1717"/>
      <c r="N3" s="1717"/>
      <c r="O3" s="1718">
        <v>720</v>
      </c>
      <c r="P3" s="1719"/>
      <c r="Q3" s="1720"/>
      <c r="R3" s="1720"/>
      <c r="S3" s="1718" t="s">
        <v>975</v>
      </c>
      <c r="T3" s="332"/>
      <c r="U3" s="1716"/>
      <c r="V3" s="1717"/>
      <c r="W3" s="1710"/>
      <c r="X3" s="1721">
        <v>720</v>
      </c>
      <c r="Y3" s="1722"/>
      <c r="Z3" s="1719"/>
      <c r="AA3" s="1723"/>
      <c r="AB3" s="1724" t="s">
        <v>975</v>
      </c>
      <c r="AC3" s="332"/>
      <c r="AD3" s="1716"/>
      <c r="AE3" s="1717"/>
      <c r="AF3" s="1710"/>
      <c r="AG3" s="1718">
        <v>720</v>
      </c>
      <c r="AH3" s="1719"/>
      <c r="AI3" s="1719"/>
      <c r="AJ3" s="1725"/>
      <c r="AK3" s="1718" t="s">
        <v>975</v>
      </c>
      <c r="AL3" s="1726"/>
      <c r="AM3" s="1716"/>
      <c r="AN3" s="1717"/>
      <c r="AO3" s="1710"/>
      <c r="AP3" s="1718">
        <v>720</v>
      </c>
      <c r="AQ3" s="1719"/>
      <c r="AR3" s="1727"/>
      <c r="AS3" s="1725"/>
      <c r="AT3" s="1718" t="s">
        <v>975</v>
      </c>
    </row>
    <row r="4" spans="1:46" ht="69.75" customHeight="1" x14ac:dyDescent="0.3">
      <c r="A4" s="2261"/>
      <c r="B4" s="1218">
        <v>2</v>
      </c>
      <c r="C4" s="1728"/>
      <c r="D4" s="1729"/>
      <c r="E4" s="1729"/>
      <c r="F4" s="1730">
        <v>720</v>
      </c>
      <c r="G4" s="1731"/>
      <c r="H4" s="1713"/>
      <c r="I4" s="1714"/>
      <c r="J4" s="1732" t="s">
        <v>975</v>
      </c>
      <c r="K4" s="332"/>
      <c r="L4" s="1733"/>
      <c r="M4" s="1710"/>
      <c r="N4" s="1710"/>
      <c r="O4" s="1721">
        <v>720</v>
      </c>
      <c r="P4" s="1699"/>
      <c r="Q4" s="1713"/>
      <c r="R4" s="1734"/>
      <c r="S4" s="1721" t="s">
        <v>975</v>
      </c>
      <c r="T4" s="332"/>
      <c r="U4" s="1733"/>
      <c r="V4" s="1725"/>
      <c r="W4" s="1710"/>
      <c r="X4" s="1721">
        <v>720</v>
      </c>
      <c r="Y4" s="1731"/>
      <c r="Z4" s="1723"/>
      <c r="AA4" s="1723"/>
      <c r="AB4" s="1735" t="s">
        <v>975</v>
      </c>
      <c r="AC4" s="332"/>
      <c r="AD4" s="1733"/>
      <c r="AE4" s="1710"/>
      <c r="AF4" s="1710"/>
      <c r="AG4" s="1721">
        <v>720</v>
      </c>
      <c r="AH4" s="1699"/>
      <c r="AI4" s="1723"/>
      <c r="AJ4" s="1710"/>
      <c r="AK4" s="1721" t="s">
        <v>975</v>
      </c>
      <c r="AL4" s="1726"/>
      <c r="AM4" s="1733"/>
      <c r="AN4" s="1710"/>
      <c r="AO4" s="1710"/>
      <c r="AP4" s="1721">
        <v>720</v>
      </c>
      <c r="AQ4" s="1699"/>
      <c r="AR4" s="1723"/>
      <c r="AS4" s="1710"/>
      <c r="AT4" s="1721" t="s">
        <v>975</v>
      </c>
    </row>
    <row r="5" spans="1:46" ht="60" customHeight="1" x14ac:dyDescent="0.3">
      <c r="A5" s="2260">
        <v>45840</v>
      </c>
      <c r="B5" s="1218">
        <v>1</v>
      </c>
      <c r="C5" s="1728"/>
      <c r="D5" s="1729"/>
      <c r="E5" s="1729"/>
      <c r="F5" s="1730">
        <v>720</v>
      </c>
      <c r="G5" s="1736"/>
      <c r="H5" s="1737"/>
      <c r="I5" s="1714"/>
      <c r="J5" s="1732" t="s">
        <v>975</v>
      </c>
      <c r="K5" s="332"/>
      <c r="L5" s="1733"/>
      <c r="M5" s="1710"/>
      <c r="N5" s="1710"/>
      <c r="O5" s="1721">
        <v>720</v>
      </c>
      <c r="P5" s="1699"/>
      <c r="Q5" s="1710"/>
      <c r="R5" s="1710"/>
      <c r="S5" s="1721" t="s">
        <v>975</v>
      </c>
      <c r="T5" s="332"/>
      <c r="U5" s="1733"/>
      <c r="V5" s="1710"/>
      <c r="W5" s="1710"/>
      <c r="X5" s="1721">
        <v>720</v>
      </c>
      <c r="Y5" s="1722"/>
      <c r="Z5" s="1713"/>
      <c r="AA5" s="1738"/>
      <c r="AB5" s="1739" t="s">
        <v>975</v>
      </c>
      <c r="AC5" s="332"/>
      <c r="AD5" s="1733"/>
      <c r="AE5" s="1710"/>
      <c r="AF5" s="1710"/>
      <c r="AG5" s="1721">
        <v>720</v>
      </c>
      <c r="AH5" s="1699"/>
      <c r="AI5" s="1710"/>
      <c r="AJ5" s="1740"/>
      <c r="AK5" s="1721" t="s">
        <v>975</v>
      </c>
      <c r="AL5" s="1726"/>
      <c r="AM5" s="1733"/>
      <c r="AN5" s="1710"/>
      <c r="AO5" s="1710"/>
      <c r="AP5" s="1721">
        <v>720</v>
      </c>
      <c r="AQ5" s="1699"/>
      <c r="AR5" s="1741"/>
      <c r="AS5" s="1725"/>
      <c r="AT5" s="1742" t="s">
        <v>975</v>
      </c>
    </row>
    <row r="6" spans="1:46" ht="80.45" customHeight="1" x14ac:dyDescent="0.3">
      <c r="A6" s="2261"/>
      <c r="B6" s="1218">
        <v>2</v>
      </c>
      <c r="C6" s="1728"/>
      <c r="D6" s="1729"/>
      <c r="E6" s="1729"/>
      <c r="F6" s="1730">
        <v>720</v>
      </c>
      <c r="G6" s="1712"/>
      <c r="H6" s="1723"/>
      <c r="I6" s="1714"/>
      <c r="J6" s="1743" t="s">
        <v>975</v>
      </c>
      <c r="K6" s="332"/>
      <c r="L6" s="1733"/>
      <c r="M6" s="1710"/>
      <c r="N6" s="1710"/>
      <c r="O6" s="1721">
        <v>720</v>
      </c>
      <c r="P6" s="1699"/>
      <c r="Q6" s="1713"/>
      <c r="R6" s="1710"/>
      <c r="S6" s="1743" t="s">
        <v>975</v>
      </c>
      <c r="T6" s="332"/>
      <c r="U6" s="1733"/>
      <c r="V6" s="1710"/>
      <c r="W6" s="1710"/>
      <c r="X6" s="1721">
        <v>720</v>
      </c>
      <c r="Y6" s="1722"/>
      <c r="Z6" s="1713"/>
      <c r="AA6" s="1723"/>
      <c r="AB6" s="1743" t="s">
        <v>975</v>
      </c>
      <c r="AC6" s="332"/>
      <c r="AD6" s="1733"/>
      <c r="AE6" s="1710"/>
      <c r="AF6" s="1710"/>
      <c r="AG6" s="1721">
        <v>720</v>
      </c>
      <c r="AH6" s="1699"/>
      <c r="AI6" s="1710"/>
      <c r="AJ6" s="1744"/>
      <c r="AK6" s="1743" t="s">
        <v>975</v>
      </c>
      <c r="AL6" s="1726"/>
      <c r="AM6" s="1733"/>
      <c r="AN6" s="1710"/>
      <c r="AO6" s="1710"/>
      <c r="AP6" s="1721">
        <v>720</v>
      </c>
      <c r="AQ6" s="1745"/>
      <c r="AR6" s="1746"/>
      <c r="AS6" s="1722"/>
      <c r="AT6" s="1743" t="s">
        <v>975</v>
      </c>
    </row>
    <row r="7" spans="1:46" ht="71.45" customHeight="1" x14ac:dyDescent="0.3">
      <c r="A7" s="2260">
        <v>45841</v>
      </c>
      <c r="B7" s="1218">
        <v>1</v>
      </c>
      <c r="C7" s="1728"/>
      <c r="D7" s="1729"/>
      <c r="E7" s="1729"/>
      <c r="F7" s="1730">
        <v>720</v>
      </c>
      <c r="G7" s="1712"/>
      <c r="H7" s="1723"/>
      <c r="I7" s="1714"/>
      <c r="J7" s="1743" t="s">
        <v>975</v>
      </c>
      <c r="K7" s="332"/>
      <c r="L7" s="1733"/>
      <c r="M7" s="1699"/>
      <c r="N7" s="1710"/>
      <c r="O7" s="1721">
        <v>720</v>
      </c>
      <c r="P7" s="1699"/>
      <c r="Q7" s="1533"/>
      <c r="R7" s="1710"/>
      <c r="S7" s="1742" t="s">
        <v>975</v>
      </c>
      <c r="T7" s="332"/>
      <c r="U7" s="1733"/>
      <c r="V7" s="1710"/>
      <c r="W7" s="1710"/>
      <c r="X7" s="1721">
        <v>720</v>
      </c>
      <c r="Y7" s="1722"/>
      <c r="Z7" s="1713"/>
      <c r="AA7" s="1738"/>
      <c r="AB7" s="1742" t="s">
        <v>975</v>
      </c>
      <c r="AC7" s="332"/>
      <c r="AD7" s="1733"/>
      <c r="AE7" s="1710"/>
      <c r="AF7" s="1710"/>
      <c r="AG7" s="1721">
        <v>720</v>
      </c>
      <c r="AH7" s="1699"/>
      <c r="AI7" s="1533"/>
      <c r="AJ7" s="1744"/>
      <c r="AK7" s="1747" t="s">
        <v>975</v>
      </c>
      <c r="AL7" s="1726"/>
      <c r="AM7" s="1733"/>
      <c r="AN7" s="1710"/>
      <c r="AO7" s="1710"/>
      <c r="AP7" s="1721">
        <v>720</v>
      </c>
      <c r="AQ7" s="1698"/>
      <c r="AR7" s="1748"/>
      <c r="AS7" s="1535"/>
      <c r="AT7" s="1749" t="s">
        <v>975</v>
      </c>
    </row>
    <row r="8" spans="1:46" ht="69.599999999999994" customHeight="1" x14ac:dyDescent="0.3">
      <c r="A8" s="2261"/>
      <c r="B8" s="1218">
        <v>2</v>
      </c>
      <c r="C8" s="1728"/>
      <c r="D8" s="1750">
        <v>57</v>
      </c>
      <c r="E8" s="1729"/>
      <c r="F8" s="1730">
        <v>580</v>
      </c>
      <c r="G8" s="1731"/>
      <c r="H8" s="1723" t="s">
        <v>317</v>
      </c>
      <c r="I8" s="1714"/>
      <c r="J8" s="1743" t="s">
        <v>975</v>
      </c>
      <c r="K8" s="332"/>
      <c r="L8" s="1733"/>
      <c r="M8" s="1710"/>
      <c r="N8" s="1710"/>
      <c r="O8" s="1721">
        <v>572</v>
      </c>
      <c r="P8" s="1699"/>
      <c r="Q8" s="1710"/>
      <c r="R8" s="1725"/>
      <c r="S8" s="1742" t="s">
        <v>975</v>
      </c>
      <c r="T8" s="332"/>
      <c r="U8" s="1751"/>
      <c r="V8" s="1748">
        <v>43</v>
      </c>
      <c r="W8" s="1699"/>
      <c r="X8" s="1721">
        <v>588</v>
      </c>
      <c r="Y8" s="1722"/>
      <c r="Z8" s="1745" t="s">
        <v>317</v>
      </c>
      <c r="AA8" s="1722"/>
      <c r="AB8" s="1743" t="s">
        <v>975</v>
      </c>
      <c r="AC8" s="332"/>
      <c r="AD8" s="1733"/>
      <c r="AE8" s="1710"/>
      <c r="AF8" s="1710"/>
      <c r="AG8" s="1721">
        <v>598</v>
      </c>
      <c r="AH8" s="1699"/>
      <c r="AI8" s="1725"/>
      <c r="AJ8" s="1744"/>
      <c r="AK8" s="1752" t="s">
        <v>975</v>
      </c>
      <c r="AL8" s="1726"/>
      <c r="AM8" s="1733"/>
      <c r="AN8" s="1710"/>
      <c r="AO8" s="1710"/>
      <c r="AP8" s="1721">
        <v>602</v>
      </c>
      <c r="AQ8" s="1698"/>
      <c r="AR8" s="1753"/>
      <c r="AS8" s="1699"/>
      <c r="AT8" s="1743" t="s">
        <v>975</v>
      </c>
    </row>
    <row r="9" spans="1:46" ht="76.900000000000006" customHeight="1" x14ac:dyDescent="0.3">
      <c r="A9" s="2260">
        <v>45842</v>
      </c>
      <c r="B9" s="1218">
        <v>1</v>
      </c>
      <c r="C9" s="1756"/>
      <c r="D9" s="1757"/>
      <c r="E9" s="1758"/>
      <c r="F9" s="1730"/>
      <c r="G9" s="1731"/>
      <c r="H9" s="1819"/>
      <c r="I9" s="1714"/>
      <c r="J9" s="1743"/>
      <c r="K9" s="332"/>
      <c r="L9" s="1733"/>
      <c r="M9" s="1710"/>
      <c r="N9" s="1710"/>
      <c r="O9" s="1721"/>
      <c r="P9" s="1704"/>
      <c r="Q9" s="1710"/>
      <c r="R9" s="1725"/>
      <c r="S9" s="1743"/>
      <c r="T9" s="332"/>
      <c r="U9" s="1751">
        <v>174</v>
      </c>
      <c r="V9" s="1704"/>
      <c r="W9" s="1710"/>
      <c r="X9" s="1721"/>
      <c r="Y9" s="1722" t="s">
        <v>113</v>
      </c>
      <c r="Z9" s="1710"/>
      <c r="AA9" s="1738"/>
      <c r="AB9" s="1743"/>
      <c r="AC9" s="332"/>
      <c r="AD9" s="1733"/>
      <c r="AE9" s="1710"/>
      <c r="AF9" s="1710"/>
      <c r="AG9" s="1721"/>
      <c r="AH9" s="1704"/>
      <c r="AI9" s="1710"/>
      <c r="AJ9" s="1710"/>
      <c r="AK9" s="1743"/>
      <c r="AL9" s="1726"/>
      <c r="AM9" s="1733"/>
      <c r="AN9" s="1710"/>
      <c r="AO9" s="1710"/>
      <c r="AP9" s="1721"/>
      <c r="AQ9" s="1754"/>
      <c r="AR9" s="1748"/>
      <c r="AS9" s="1755"/>
      <c r="AT9" s="1759"/>
    </row>
    <row r="10" spans="1:46" ht="67.150000000000006" customHeight="1" x14ac:dyDescent="0.3">
      <c r="A10" s="2261"/>
      <c r="B10" s="1218">
        <v>2</v>
      </c>
      <c r="C10" s="1756"/>
      <c r="D10" s="1760"/>
      <c r="E10" s="1758"/>
      <c r="F10" s="1730"/>
      <c r="G10" s="1761"/>
      <c r="H10" s="1830"/>
      <c r="I10" s="1737"/>
      <c r="J10" s="1743"/>
      <c r="K10" s="332"/>
      <c r="L10" s="1733"/>
      <c r="M10" s="1710"/>
      <c r="N10" s="1710"/>
      <c r="O10" s="1721"/>
      <c r="P10" s="1704"/>
      <c r="Q10" s="1710"/>
      <c r="R10" s="1725"/>
      <c r="S10" s="1743"/>
      <c r="T10" s="332"/>
      <c r="U10" s="1733"/>
      <c r="V10" s="1710"/>
      <c r="W10" s="1710"/>
      <c r="X10" s="1721"/>
      <c r="Y10" s="1722"/>
      <c r="Z10" s="1722"/>
      <c r="AA10" s="332"/>
      <c r="AB10" s="1743"/>
      <c r="AC10" s="332"/>
      <c r="AD10" s="1733"/>
      <c r="AE10" s="1710"/>
      <c r="AF10" s="1710"/>
      <c r="AG10" s="1721"/>
      <c r="AH10" s="1722"/>
      <c r="AI10" s="1725"/>
      <c r="AJ10" s="1723"/>
      <c r="AK10" s="1743"/>
      <c r="AL10" s="1726"/>
      <c r="AM10" s="1733"/>
      <c r="AN10" s="1710"/>
      <c r="AO10" s="1710"/>
      <c r="AP10" s="1721"/>
      <c r="AQ10" s="1703"/>
      <c r="AR10" s="1763"/>
      <c r="AS10" s="1704"/>
      <c r="AT10" s="1743"/>
    </row>
    <row r="11" spans="1:46" ht="60" customHeight="1" x14ac:dyDescent="0.3">
      <c r="A11" s="2260">
        <v>45843</v>
      </c>
      <c r="B11" s="1218">
        <v>1</v>
      </c>
      <c r="C11" s="1756"/>
      <c r="D11" s="1764"/>
      <c r="E11" s="1758"/>
      <c r="F11" s="1730"/>
      <c r="G11" s="1765"/>
      <c r="H11" s="1829"/>
      <c r="I11" s="1737"/>
      <c r="J11" s="1732"/>
      <c r="K11" s="332"/>
      <c r="L11" s="1733"/>
      <c r="M11" s="1710"/>
      <c r="N11" s="1710"/>
      <c r="O11" s="1721"/>
      <c r="P11" s="1704"/>
      <c r="Q11" s="1710"/>
      <c r="R11" s="1725"/>
      <c r="S11" s="1721"/>
      <c r="T11" s="332"/>
      <c r="U11" s="1733"/>
      <c r="V11" s="1710"/>
      <c r="W11" s="1710"/>
      <c r="X11" s="1721"/>
      <c r="Y11" s="1722"/>
      <c r="Z11" s="1710"/>
      <c r="AA11" s="1738"/>
      <c r="AB11" s="1721"/>
      <c r="AC11" s="332"/>
      <c r="AD11" s="1733"/>
      <c r="AE11" s="1710"/>
      <c r="AF11" s="1710"/>
      <c r="AG11" s="1721"/>
      <c r="AH11" s="1704"/>
      <c r="AI11" s="1710"/>
      <c r="AJ11" s="1738"/>
      <c r="AK11" s="1721"/>
      <c r="AL11" s="1726"/>
      <c r="AM11" s="1733"/>
      <c r="AN11" s="1710"/>
      <c r="AO11" s="1710"/>
      <c r="AP11" s="1721"/>
      <c r="AQ11" s="1704"/>
      <c r="AR11" s="1734"/>
      <c r="AS11" s="1710"/>
      <c r="AT11" s="1742"/>
    </row>
    <row r="12" spans="1:46" ht="55.15" customHeight="1" x14ac:dyDescent="0.3">
      <c r="A12" s="2261"/>
      <c r="B12" s="1218">
        <v>2</v>
      </c>
      <c r="C12" s="1728"/>
      <c r="D12" s="1766"/>
      <c r="E12" s="1729"/>
      <c r="F12" s="1730"/>
      <c r="G12" s="1731"/>
      <c r="H12" s="1713"/>
      <c r="I12" s="1737"/>
      <c r="J12" s="1743"/>
      <c r="K12" s="332"/>
      <c r="L12" s="1733"/>
      <c r="M12" s="1710"/>
      <c r="N12" s="1710"/>
      <c r="O12" s="1721"/>
      <c r="P12" s="1704"/>
      <c r="Q12" s="1710"/>
      <c r="R12" s="1725"/>
      <c r="S12" s="1743"/>
      <c r="T12" s="332"/>
      <c r="U12" s="1733"/>
      <c r="V12" s="1710"/>
      <c r="W12" s="1710"/>
      <c r="X12" s="1721"/>
      <c r="Y12" s="1722"/>
      <c r="Z12" s="1723"/>
      <c r="AA12" s="1738"/>
      <c r="AB12" s="1743"/>
      <c r="AC12" s="332"/>
      <c r="AD12" s="1733"/>
      <c r="AE12" s="1710"/>
      <c r="AF12" s="1710"/>
      <c r="AG12" s="1721"/>
      <c r="AH12" s="1704"/>
      <c r="AI12" s="1725"/>
      <c r="AJ12" s="1725"/>
      <c r="AK12" s="1743"/>
      <c r="AL12" s="1726"/>
      <c r="AM12" s="1733"/>
      <c r="AN12" s="1710"/>
      <c r="AO12" s="1710"/>
      <c r="AP12" s="1721"/>
      <c r="AQ12" s="1704"/>
      <c r="AR12" s="1710"/>
      <c r="AS12" s="1725"/>
      <c r="AT12" s="1743"/>
    </row>
    <row r="13" spans="1:46" ht="34.9" customHeight="1" x14ac:dyDescent="0.3">
      <c r="A13" s="2260">
        <v>45844</v>
      </c>
      <c r="B13" s="1218">
        <v>1</v>
      </c>
      <c r="C13" s="1728"/>
      <c r="D13" s="1729"/>
      <c r="E13" s="1729"/>
      <c r="F13" s="1730"/>
      <c r="G13" s="1731"/>
      <c r="H13" s="1713"/>
      <c r="I13" s="1714"/>
      <c r="J13" s="1743"/>
      <c r="K13" s="332"/>
      <c r="L13" s="1733"/>
      <c r="M13" s="1710"/>
      <c r="N13" s="1710"/>
      <c r="O13" s="1730"/>
      <c r="P13" s="1704"/>
      <c r="Q13" s="1710"/>
      <c r="R13" s="1710"/>
      <c r="S13" s="1743"/>
      <c r="T13" s="332"/>
      <c r="U13" s="1733"/>
      <c r="V13" s="1710"/>
      <c r="W13" s="1710">
        <v>6</v>
      </c>
      <c r="X13" s="1730"/>
      <c r="Y13" s="1722"/>
      <c r="Z13" s="1725"/>
      <c r="AA13" s="1738" t="s">
        <v>325</v>
      </c>
      <c r="AB13" s="1743"/>
      <c r="AC13" s="332"/>
      <c r="AD13" s="1733"/>
      <c r="AE13" s="1710"/>
      <c r="AF13" s="1710"/>
      <c r="AG13" s="1730"/>
      <c r="AH13" s="1704"/>
      <c r="AI13" s="1710"/>
      <c r="AJ13" s="1738"/>
      <c r="AK13" s="1743"/>
      <c r="AL13" s="1726"/>
      <c r="AM13" s="1733"/>
      <c r="AN13" s="1710"/>
      <c r="AO13" s="1710"/>
      <c r="AP13" s="1730"/>
      <c r="AQ13" s="1704"/>
      <c r="AR13" s="1710"/>
      <c r="AS13" s="1723"/>
      <c r="AT13" s="1743"/>
    </row>
    <row r="14" spans="1:46" ht="49.15" customHeight="1" x14ac:dyDescent="0.3">
      <c r="A14" s="2261"/>
      <c r="B14" s="1218">
        <v>2</v>
      </c>
      <c r="C14" s="1728"/>
      <c r="D14" s="1729"/>
      <c r="E14" s="1729"/>
      <c r="F14" s="1730"/>
      <c r="G14" s="1731"/>
      <c r="H14" s="1723"/>
      <c r="I14" s="1714"/>
      <c r="J14" s="1743"/>
      <c r="K14" s="332"/>
      <c r="L14" s="1733"/>
      <c r="M14" s="1710"/>
      <c r="N14" s="1710"/>
      <c r="O14" s="1730"/>
      <c r="P14" s="1722"/>
      <c r="Q14" s="1710"/>
      <c r="R14" s="1710"/>
      <c r="S14" s="1743"/>
      <c r="T14" s="332"/>
      <c r="U14" s="1733"/>
      <c r="V14" s="1710"/>
      <c r="W14" s="1710"/>
      <c r="X14" s="1730"/>
      <c r="Y14" s="1722"/>
      <c r="Z14" s="1725"/>
      <c r="AA14" s="1738"/>
      <c r="AB14" s="1743"/>
      <c r="AC14" s="332"/>
      <c r="AD14" s="1733"/>
      <c r="AE14" s="1710">
        <v>16</v>
      </c>
      <c r="AF14" s="1710"/>
      <c r="AG14" s="1730"/>
      <c r="AH14" s="2291" t="s">
        <v>1116</v>
      </c>
      <c r="AI14" s="2292"/>
      <c r="AJ14" s="2293"/>
      <c r="AK14" s="1743"/>
      <c r="AL14" s="1726"/>
      <c r="AM14" s="1733"/>
      <c r="AN14" s="1710"/>
      <c r="AO14" s="1768"/>
      <c r="AP14" s="1769"/>
      <c r="AQ14" s="1722"/>
      <c r="AR14" s="1710"/>
      <c r="AS14" s="1738"/>
      <c r="AT14" s="1743"/>
    </row>
    <row r="15" spans="1:46" ht="48" customHeight="1" x14ac:dyDescent="0.3">
      <c r="A15" s="2260">
        <v>45845</v>
      </c>
      <c r="B15" s="1218">
        <v>1</v>
      </c>
      <c r="C15" s="1728"/>
      <c r="D15" s="1750"/>
      <c r="E15" s="1741"/>
      <c r="F15" s="1770"/>
      <c r="G15" s="1771"/>
      <c r="H15" s="1772"/>
      <c r="I15" s="1773"/>
      <c r="J15" s="1770"/>
      <c r="K15" s="332"/>
      <c r="L15" s="1774"/>
      <c r="M15" s="1741"/>
      <c r="N15" s="1741"/>
      <c r="O15" s="1775"/>
      <c r="P15" s="1776"/>
      <c r="Q15" s="1772"/>
      <c r="R15" s="1723"/>
      <c r="S15" s="1743"/>
      <c r="T15" s="332"/>
      <c r="U15" s="1733"/>
      <c r="V15" s="1710"/>
      <c r="W15" s="1710"/>
      <c r="X15" s="1730"/>
      <c r="Y15" s="1731"/>
      <c r="Z15" s="1723"/>
      <c r="AA15" s="1738"/>
      <c r="AB15" s="1743"/>
      <c r="AC15" s="332"/>
      <c r="AD15" s="1733"/>
      <c r="AE15" s="1710"/>
      <c r="AF15" s="332"/>
      <c r="AG15" s="1730"/>
      <c r="AH15" s="1712"/>
      <c r="AI15" s="1723"/>
      <c r="AJ15" s="1725"/>
      <c r="AK15" s="1743"/>
      <c r="AL15" s="1726"/>
      <c r="AM15" s="1733"/>
      <c r="AN15" s="1710"/>
      <c r="AO15" s="1777"/>
      <c r="AP15" s="1778"/>
      <c r="AQ15" s="1737"/>
      <c r="AR15" s="1723"/>
      <c r="AS15" s="1723"/>
      <c r="AT15" s="1743"/>
    </row>
    <row r="16" spans="1:46" ht="63" customHeight="1" x14ac:dyDescent="0.3">
      <c r="A16" s="2261"/>
      <c r="B16" s="1218">
        <v>2</v>
      </c>
      <c r="C16" s="1756"/>
      <c r="D16" s="1802"/>
      <c r="E16" s="1803"/>
      <c r="F16" s="1804"/>
      <c r="G16" s="1805"/>
      <c r="H16" s="1806"/>
      <c r="I16" s="1807"/>
      <c r="J16" s="1808"/>
      <c r="K16" s="1809"/>
      <c r="L16" s="1810"/>
      <c r="M16" s="1811"/>
      <c r="N16" s="1811"/>
      <c r="O16" s="1804"/>
      <c r="P16" s="1812"/>
      <c r="Q16" s="1813"/>
      <c r="R16" s="1814"/>
      <c r="S16" s="1743"/>
      <c r="T16" s="332"/>
      <c r="U16" s="1733"/>
      <c r="V16" s="1710"/>
      <c r="W16" s="1710"/>
      <c r="X16" s="1730"/>
      <c r="Y16" s="1815"/>
      <c r="Z16" s="1762"/>
      <c r="AA16" s="1783"/>
      <c r="AB16" s="1743"/>
      <c r="AC16" s="332"/>
      <c r="AD16" s="1733"/>
      <c r="AE16" s="1710"/>
      <c r="AF16" s="1710"/>
      <c r="AG16" s="1730"/>
      <c r="AH16" s="1816"/>
      <c r="AI16" s="1762"/>
      <c r="AJ16" s="1814"/>
      <c r="AK16" s="1743"/>
      <c r="AL16" s="1726"/>
      <c r="AM16" s="1733"/>
      <c r="AN16" s="1710"/>
      <c r="AO16" s="1710"/>
      <c r="AP16" s="1730">
        <v>684</v>
      </c>
      <c r="AQ16" s="1817"/>
      <c r="AR16" s="1762"/>
      <c r="AS16" s="1814"/>
      <c r="AT16" s="1743" t="s">
        <v>1118</v>
      </c>
    </row>
    <row r="17" spans="1:46" ht="66" customHeight="1" x14ac:dyDescent="0.3">
      <c r="A17" s="2260">
        <v>45846</v>
      </c>
      <c r="B17" s="1244">
        <v>1</v>
      </c>
      <c r="C17" s="1728"/>
      <c r="D17" s="1794"/>
      <c r="E17" s="1795"/>
      <c r="F17" s="1796"/>
      <c r="G17" s="1797"/>
      <c r="H17" s="1798"/>
      <c r="I17" s="1799"/>
      <c r="J17" s="1800"/>
      <c r="K17" s="332"/>
      <c r="L17" s="1801"/>
      <c r="M17" s="1734"/>
      <c r="N17" s="1734"/>
      <c r="O17" s="1796"/>
      <c r="P17" s="1797"/>
      <c r="Q17" s="1798"/>
      <c r="R17" s="1723"/>
      <c r="S17" s="1743"/>
      <c r="T17" s="332"/>
      <c r="U17" s="1733"/>
      <c r="V17" s="1710"/>
      <c r="W17" s="1710"/>
      <c r="X17" s="1730"/>
      <c r="Y17" s="1731"/>
      <c r="Z17" s="1713"/>
      <c r="AA17" s="1783"/>
      <c r="AB17" s="1743"/>
      <c r="AC17" s="332"/>
      <c r="AD17" s="1733"/>
      <c r="AE17" s="1710"/>
      <c r="AF17" s="1710"/>
      <c r="AG17" s="1730"/>
      <c r="AH17" s="1712"/>
      <c r="AI17" s="1713"/>
      <c r="AJ17" s="1723"/>
      <c r="AK17" s="1743"/>
      <c r="AL17" s="1726"/>
      <c r="AM17" s="1733"/>
      <c r="AN17" s="1710"/>
      <c r="AO17" s="1768"/>
      <c r="AP17" s="1769">
        <v>720</v>
      </c>
      <c r="AQ17" s="1792"/>
      <c r="AR17" s="1762"/>
      <c r="AS17" s="1793"/>
      <c r="AT17" s="1743" t="s">
        <v>1118</v>
      </c>
    </row>
    <row r="18" spans="1:46" ht="49.5" customHeight="1" x14ac:dyDescent="0.3">
      <c r="A18" s="2261"/>
      <c r="B18" s="1218">
        <v>2</v>
      </c>
      <c r="C18" s="1728"/>
      <c r="D18" s="1729">
        <v>27</v>
      </c>
      <c r="E18" s="1729"/>
      <c r="F18" s="1730"/>
      <c r="G18" s="1731"/>
      <c r="H18" s="1791" t="s">
        <v>317</v>
      </c>
      <c r="I18" s="1714"/>
      <c r="J18" s="1743"/>
      <c r="K18" s="332"/>
      <c r="L18" s="1733"/>
      <c r="M18" s="1710"/>
      <c r="N18" s="1710"/>
      <c r="O18" s="1730"/>
      <c r="P18" s="1731"/>
      <c r="Q18" s="1723"/>
      <c r="R18" s="1714"/>
      <c r="S18" s="1743"/>
      <c r="T18" s="332"/>
      <c r="U18" s="1733"/>
      <c r="V18" s="1710">
        <v>25</v>
      </c>
      <c r="W18" s="1729"/>
      <c r="X18" s="1730"/>
      <c r="Y18" s="1731"/>
      <c r="Z18" s="1723" t="s">
        <v>317</v>
      </c>
      <c r="AA18" s="1738"/>
      <c r="AB18" s="1743"/>
      <c r="AC18" s="332"/>
      <c r="AD18" s="1733"/>
      <c r="AE18" s="1710"/>
      <c r="AF18" s="1710"/>
      <c r="AG18" s="1730"/>
      <c r="AH18" s="1731"/>
      <c r="AI18" s="1723"/>
      <c r="AJ18" s="1713"/>
      <c r="AK18" s="1743"/>
      <c r="AL18" s="1726"/>
      <c r="AM18" s="1733"/>
      <c r="AN18" s="1710"/>
      <c r="AO18" s="1768"/>
      <c r="AP18" s="1769">
        <v>720</v>
      </c>
      <c r="AQ18" s="1792"/>
      <c r="AR18" s="1762"/>
      <c r="AS18" s="1793"/>
      <c r="AT18" s="1743" t="s">
        <v>1118</v>
      </c>
    </row>
    <row r="19" spans="1:46" ht="33.6" customHeight="1" x14ac:dyDescent="0.3">
      <c r="A19" s="2260">
        <v>45847</v>
      </c>
      <c r="B19" s="1218">
        <v>1</v>
      </c>
      <c r="C19" s="332"/>
      <c r="D19" s="1729"/>
      <c r="E19" s="1729"/>
      <c r="F19" s="1730"/>
      <c r="G19" s="1784"/>
      <c r="H19" s="1710"/>
      <c r="I19" s="1737"/>
      <c r="J19" s="1743"/>
      <c r="K19" s="332"/>
      <c r="L19" s="1733"/>
      <c r="M19" s="1710"/>
      <c r="N19" s="1710"/>
      <c r="O19" s="1730"/>
      <c r="P19" s="1733"/>
      <c r="Q19" s="1710"/>
      <c r="R19" s="1710"/>
      <c r="S19" s="1743"/>
      <c r="T19" s="332"/>
      <c r="U19" s="1733"/>
      <c r="V19" s="1710"/>
      <c r="W19" s="1710"/>
      <c r="X19" s="1730"/>
      <c r="Y19" s="1733"/>
      <c r="Z19" s="1725"/>
      <c r="AA19" s="1783"/>
      <c r="AB19" s="1743"/>
      <c r="AC19" s="332"/>
      <c r="AD19" s="1733"/>
      <c r="AE19" s="1710"/>
      <c r="AF19" s="1710"/>
      <c r="AG19" s="1730"/>
      <c r="AH19" s="1733"/>
      <c r="AI19" s="1710"/>
      <c r="AJ19" s="1738"/>
      <c r="AK19" s="1743"/>
      <c r="AL19" s="1726"/>
      <c r="AM19" s="1733"/>
      <c r="AN19" s="1710"/>
      <c r="AO19" s="1710"/>
      <c r="AP19" s="1730">
        <v>89</v>
      </c>
      <c r="AQ19" s="1733"/>
      <c r="AR19" s="1710"/>
      <c r="AS19" s="1723"/>
      <c r="AT19" s="1743" t="s">
        <v>1118</v>
      </c>
    </row>
    <row r="20" spans="1:46" ht="44.45" customHeight="1" x14ac:dyDescent="0.3">
      <c r="A20" s="2261"/>
      <c r="B20" s="1218">
        <v>2</v>
      </c>
      <c r="C20" s="1728"/>
      <c r="D20" s="1729">
        <v>7</v>
      </c>
      <c r="E20" s="1729"/>
      <c r="F20" s="1730"/>
      <c r="G20" s="1784"/>
      <c r="H20" s="1725" t="s">
        <v>317</v>
      </c>
      <c r="I20" s="1737"/>
      <c r="J20" s="1743"/>
      <c r="K20" s="332"/>
      <c r="L20" s="1733"/>
      <c r="M20" s="1710"/>
      <c r="N20" s="1710"/>
      <c r="O20" s="1730"/>
      <c r="P20" s="1784"/>
      <c r="Q20" s="1725"/>
      <c r="R20" s="1714"/>
      <c r="S20" s="1743"/>
      <c r="T20" s="332"/>
      <c r="U20" s="1733"/>
      <c r="V20" s="1710">
        <v>12</v>
      </c>
      <c r="W20" s="1710"/>
      <c r="X20" s="1730"/>
      <c r="Y20" s="1784"/>
      <c r="Z20" s="1725" t="s">
        <v>317</v>
      </c>
      <c r="AA20" s="1723"/>
      <c r="AB20" s="1743"/>
      <c r="AC20" s="332"/>
      <c r="AD20" s="1733"/>
      <c r="AE20" s="1710"/>
      <c r="AF20" s="1710"/>
      <c r="AG20" s="1730"/>
      <c r="AH20" s="1784"/>
      <c r="AI20" s="1725"/>
      <c r="AJ20" s="1714"/>
      <c r="AK20" s="1743"/>
      <c r="AL20" s="1726"/>
      <c r="AM20" s="1733"/>
      <c r="AN20" s="1710"/>
      <c r="AO20" s="1710"/>
      <c r="AP20" s="1730"/>
      <c r="AQ20" s="1784"/>
      <c r="AR20" s="1725"/>
      <c r="AS20" s="1714"/>
      <c r="AT20" s="1743"/>
    </row>
    <row r="21" spans="1:46" ht="39" customHeight="1" x14ac:dyDescent="0.3">
      <c r="A21" s="2260">
        <v>45848</v>
      </c>
      <c r="B21" s="1218">
        <v>1</v>
      </c>
      <c r="C21" s="1728"/>
      <c r="D21" s="1729"/>
      <c r="E21" s="1729"/>
      <c r="F21" s="1730"/>
      <c r="G21" s="1789"/>
      <c r="H21" s="1713"/>
      <c r="I21" s="1737"/>
      <c r="J21" s="1790"/>
      <c r="K21" s="332"/>
      <c r="L21" s="1733"/>
      <c r="M21" s="1710"/>
      <c r="N21" s="1710"/>
      <c r="O21" s="1730"/>
      <c r="P21" s="1733"/>
      <c r="Q21" s="1725"/>
      <c r="R21" s="1710"/>
      <c r="S21" s="1790"/>
      <c r="T21" s="332"/>
      <c r="U21" s="1733"/>
      <c r="V21" s="1710"/>
      <c r="W21" s="1710">
        <v>8</v>
      </c>
      <c r="X21" s="1730"/>
      <c r="Y21" s="1784"/>
      <c r="Z21" s="1710"/>
      <c r="AA21" s="1723" t="s">
        <v>325</v>
      </c>
      <c r="AB21" s="1790"/>
      <c r="AC21" s="332"/>
      <c r="AD21" s="1733"/>
      <c r="AE21" s="1710"/>
      <c r="AF21" s="1710"/>
      <c r="AG21" s="1730"/>
      <c r="AH21" s="1733"/>
      <c r="AI21" s="1710"/>
      <c r="AJ21" s="1738"/>
      <c r="AK21" s="1790"/>
      <c r="AL21" s="1726"/>
      <c r="AM21" s="1733"/>
      <c r="AN21" s="1710"/>
      <c r="AO21" s="1710"/>
      <c r="AP21" s="1730"/>
      <c r="AQ21" s="1733"/>
      <c r="AR21" s="1725"/>
      <c r="AS21" s="1738"/>
      <c r="AT21" s="1790"/>
    </row>
    <row r="22" spans="1:46" ht="49.9" customHeight="1" x14ac:dyDescent="0.3">
      <c r="A22" s="2261"/>
      <c r="B22" s="1218">
        <v>2</v>
      </c>
      <c r="C22" s="1728"/>
      <c r="D22" s="1729"/>
      <c r="E22" s="1729"/>
      <c r="F22" s="1730"/>
      <c r="G22" s="1788"/>
      <c r="H22" s="1723"/>
      <c r="I22" s="1714"/>
      <c r="J22" s="1743"/>
      <c r="K22" s="332"/>
      <c r="L22" s="1733"/>
      <c r="M22" s="1710"/>
      <c r="N22" s="1710"/>
      <c r="O22" s="1730"/>
      <c r="P22" s="1767"/>
      <c r="Q22" s="1723"/>
      <c r="R22" s="1710"/>
      <c r="S22" s="1743"/>
      <c r="T22" s="332"/>
      <c r="U22" s="1733"/>
      <c r="V22" s="1710"/>
      <c r="W22" s="1710"/>
      <c r="X22" s="1730"/>
      <c r="Y22" s="1784"/>
      <c r="Z22" s="1723"/>
      <c r="AA22" s="1738"/>
      <c r="AB22" s="1743"/>
      <c r="AC22" s="332"/>
      <c r="AD22" s="1733"/>
      <c r="AE22" s="1710"/>
      <c r="AF22" s="1710"/>
      <c r="AG22" s="1730"/>
      <c r="AH22" s="1733"/>
      <c r="AI22" s="1710"/>
      <c r="AJ22" s="1744"/>
      <c r="AK22" s="1752"/>
      <c r="AL22" s="1726"/>
      <c r="AM22" s="1733"/>
      <c r="AN22" s="1710"/>
      <c r="AO22" s="1710"/>
      <c r="AP22" s="1730"/>
      <c r="AQ22" s="1733"/>
      <c r="AR22" s="1723"/>
      <c r="AS22" s="1782"/>
      <c r="AT22" s="1743"/>
    </row>
    <row r="23" spans="1:46" ht="47.45" customHeight="1" x14ac:dyDescent="0.3">
      <c r="A23" s="2260">
        <v>45849</v>
      </c>
      <c r="B23" s="1244">
        <v>1</v>
      </c>
      <c r="C23" s="1728"/>
      <c r="D23" s="1729"/>
      <c r="E23" s="1729"/>
      <c r="F23" s="1730"/>
      <c r="G23" s="1712"/>
      <c r="H23" s="1713"/>
      <c r="I23" s="1737"/>
      <c r="J23" s="1743"/>
      <c r="K23" s="332"/>
      <c r="L23" s="1733"/>
      <c r="M23" s="1710"/>
      <c r="N23" s="1710"/>
      <c r="O23" s="1730"/>
      <c r="P23" s="1712"/>
      <c r="Q23" s="1713"/>
      <c r="R23" s="1723"/>
      <c r="S23" s="1743"/>
      <c r="T23" s="332"/>
      <c r="U23" s="1733"/>
      <c r="V23" s="1710"/>
      <c r="W23" s="1710"/>
      <c r="X23" s="1730"/>
      <c r="Y23" s="1784"/>
      <c r="Z23" s="1714"/>
      <c r="AA23" s="1783"/>
      <c r="AB23" s="1743"/>
      <c r="AC23" s="332"/>
      <c r="AD23" s="1733"/>
      <c r="AE23" s="1710"/>
      <c r="AF23" s="1755"/>
      <c r="AG23" s="1730"/>
      <c r="AH23" s="1733"/>
      <c r="AI23" s="1713"/>
      <c r="AJ23" s="1787"/>
      <c r="AK23" s="1752"/>
      <c r="AL23" s="1726"/>
      <c r="AM23" s="1733"/>
      <c r="AN23" s="1710"/>
      <c r="AO23" s="1710"/>
      <c r="AP23" s="1730"/>
      <c r="AQ23" s="1710"/>
      <c r="AR23" s="1713"/>
      <c r="AS23" s="1749"/>
      <c r="AT23" s="1743"/>
    </row>
    <row r="24" spans="1:46" ht="49.9" customHeight="1" x14ac:dyDescent="0.3">
      <c r="A24" s="2261"/>
      <c r="B24" s="1218">
        <v>2</v>
      </c>
      <c r="C24" s="1728"/>
      <c r="D24" s="1729"/>
      <c r="E24" s="1729"/>
      <c r="F24" s="1730"/>
      <c r="G24" s="1712"/>
      <c r="H24" s="1723"/>
      <c r="I24" s="1737"/>
      <c r="J24" s="1743"/>
      <c r="K24" s="332"/>
      <c r="L24" s="1733"/>
      <c r="M24" s="1710"/>
      <c r="N24" s="1710"/>
      <c r="O24" s="1730"/>
      <c r="P24" s="1712"/>
      <c r="Q24" s="1713"/>
      <c r="R24" s="1723"/>
      <c r="S24" s="1743"/>
      <c r="T24" s="1785"/>
      <c r="U24" s="1755"/>
      <c r="V24" s="1786"/>
      <c r="W24" s="1783" t="s">
        <v>1117</v>
      </c>
      <c r="X24" s="1730"/>
      <c r="Y24" s="1714"/>
      <c r="Z24" s="1713"/>
      <c r="AA24" s="1738" t="s">
        <v>152</v>
      </c>
      <c r="AB24" s="1743"/>
      <c r="AC24" s="332"/>
      <c r="AD24" s="1733"/>
      <c r="AE24" s="1710"/>
      <c r="AF24" s="1755"/>
      <c r="AG24" s="1730"/>
      <c r="AH24" s="1714"/>
      <c r="AI24" s="1713"/>
      <c r="AJ24" s="1723"/>
      <c r="AK24" s="1743"/>
      <c r="AL24" s="1726"/>
      <c r="AM24" s="1733"/>
      <c r="AN24" s="1710"/>
      <c r="AO24" s="1710"/>
      <c r="AP24" s="1730"/>
      <c r="AQ24" s="1713"/>
      <c r="AR24" s="1713"/>
      <c r="AS24" s="1743"/>
      <c r="AT24" s="1743"/>
    </row>
    <row r="25" spans="1:46" ht="53.45" customHeight="1" x14ac:dyDescent="0.3">
      <c r="A25" s="2260">
        <v>45850</v>
      </c>
      <c r="B25" s="1218">
        <v>1</v>
      </c>
      <c r="C25" s="1728"/>
      <c r="D25" s="1729"/>
      <c r="E25" s="1729"/>
      <c r="F25" s="1730">
        <v>222</v>
      </c>
      <c r="G25" s="1712"/>
      <c r="H25" s="1713"/>
      <c r="I25" s="1714"/>
      <c r="J25" s="1743" t="s">
        <v>975</v>
      </c>
      <c r="K25" s="332"/>
      <c r="L25" s="1733"/>
      <c r="M25" s="1710"/>
      <c r="N25" s="1710"/>
      <c r="O25" s="1730">
        <v>217</v>
      </c>
      <c r="P25" s="1733"/>
      <c r="Q25" s="1713"/>
      <c r="R25" s="1710"/>
      <c r="S25" s="1743" t="s">
        <v>975</v>
      </c>
      <c r="T25" s="332"/>
      <c r="U25" s="1733"/>
      <c r="V25" s="1710"/>
      <c r="W25" s="1710"/>
      <c r="X25" s="1730">
        <v>226</v>
      </c>
      <c r="Y25" s="1784"/>
      <c r="Z25" s="1725"/>
      <c r="AA25" s="1723"/>
      <c r="AB25" s="1743" t="s">
        <v>975</v>
      </c>
      <c r="AC25" s="332"/>
      <c r="AD25" s="1733"/>
      <c r="AE25" s="1710"/>
      <c r="AF25" s="1710"/>
      <c r="AG25" s="1730">
        <v>230</v>
      </c>
      <c r="AH25" s="1710"/>
      <c r="AI25" s="1725"/>
      <c r="AJ25" s="1723"/>
      <c r="AK25" s="1743" t="s">
        <v>975</v>
      </c>
      <c r="AL25" s="1726"/>
      <c r="AM25" s="1733"/>
      <c r="AN25" s="1710"/>
      <c r="AO25" s="1710"/>
      <c r="AP25" s="1730">
        <v>234</v>
      </c>
      <c r="AQ25" s="1710"/>
      <c r="AR25" s="1710"/>
      <c r="AS25" s="1723"/>
      <c r="AT25" s="1743" t="s">
        <v>975</v>
      </c>
    </row>
    <row r="26" spans="1:46" ht="42" customHeight="1" x14ac:dyDescent="0.3">
      <c r="A26" s="2261"/>
      <c r="B26" s="1218">
        <v>2</v>
      </c>
      <c r="C26" s="1728"/>
      <c r="D26" s="1729"/>
      <c r="E26" s="1729"/>
      <c r="F26" s="1730"/>
      <c r="G26" s="1712"/>
      <c r="H26" s="1723"/>
      <c r="I26" s="1714"/>
      <c r="J26" s="1743"/>
      <c r="K26" s="332"/>
      <c r="L26" s="1733"/>
      <c r="M26" s="1710"/>
      <c r="N26" s="1710"/>
      <c r="O26" s="1730"/>
      <c r="P26" s="1712"/>
      <c r="Q26" s="1723"/>
      <c r="R26" s="1749"/>
      <c r="S26" s="1743"/>
      <c r="T26" s="332"/>
      <c r="U26" s="1733"/>
      <c r="V26" s="1729"/>
      <c r="W26" s="1710">
        <v>15</v>
      </c>
      <c r="X26" s="1730"/>
      <c r="Y26" s="1714"/>
      <c r="Z26" s="1723"/>
      <c r="AA26" s="1738" t="s">
        <v>325</v>
      </c>
      <c r="AB26" s="1743"/>
      <c r="AC26" s="332"/>
      <c r="AD26" s="1733"/>
      <c r="AE26" s="1729"/>
      <c r="AF26" s="1710"/>
      <c r="AG26" s="1730"/>
      <c r="AH26" s="1714"/>
      <c r="AI26" s="1723"/>
      <c r="AJ26" s="1723"/>
      <c r="AK26" s="1743"/>
      <c r="AL26" s="1726"/>
      <c r="AM26" s="1733"/>
      <c r="AN26" s="1729"/>
      <c r="AO26" s="1710"/>
      <c r="AP26" s="1730"/>
      <c r="AQ26" s="1712"/>
      <c r="AR26" s="1723"/>
      <c r="AS26" s="1723"/>
      <c r="AT26" s="1743"/>
    </row>
    <row r="27" spans="1:46" ht="49.9" customHeight="1" x14ac:dyDescent="0.3">
      <c r="A27" s="2260">
        <v>45851</v>
      </c>
      <c r="B27" s="1244">
        <v>1</v>
      </c>
      <c r="C27" s="1728"/>
      <c r="D27" s="1729"/>
      <c r="E27" s="1729"/>
      <c r="F27" s="1730"/>
      <c r="G27" s="1712"/>
      <c r="H27" s="1713"/>
      <c r="I27" s="1737"/>
      <c r="J27" s="1743"/>
      <c r="K27" s="332"/>
      <c r="L27" s="1733"/>
      <c r="M27" s="1710"/>
      <c r="N27" s="1710"/>
      <c r="O27" s="1730"/>
      <c r="P27" s="1712"/>
      <c r="Q27" s="1713"/>
      <c r="R27" s="1723"/>
      <c r="S27" s="1743"/>
      <c r="T27" s="332"/>
      <c r="U27" s="1733"/>
      <c r="V27" s="1710">
        <v>100</v>
      </c>
      <c r="W27" s="1710"/>
      <c r="X27" s="1730"/>
      <c r="Y27" s="1712"/>
      <c r="Z27" s="1723" t="s">
        <v>317</v>
      </c>
      <c r="AA27" s="1783"/>
      <c r="AB27" s="1743"/>
      <c r="AC27" s="332"/>
      <c r="AD27" s="1733"/>
      <c r="AE27" s="1710"/>
      <c r="AF27" s="1710"/>
      <c r="AG27" s="1730"/>
      <c r="AH27" s="1712"/>
      <c r="AI27" s="1725"/>
      <c r="AJ27" s="1723"/>
      <c r="AK27" s="1743"/>
      <c r="AL27" s="1726"/>
      <c r="AM27" s="1733"/>
      <c r="AN27" s="1710"/>
      <c r="AO27" s="1710"/>
      <c r="AP27" s="1730"/>
      <c r="AQ27" s="1725"/>
      <c r="AR27" s="1710"/>
      <c r="AS27" s="1723"/>
      <c r="AT27" s="1743"/>
    </row>
    <row r="28" spans="1:46" ht="72" customHeight="1" x14ac:dyDescent="0.3">
      <c r="A28" s="2261"/>
      <c r="B28" s="1218">
        <v>2</v>
      </c>
      <c r="C28" s="1728"/>
      <c r="D28" s="1729"/>
      <c r="E28" s="1729"/>
      <c r="F28" s="1730">
        <v>13</v>
      </c>
      <c r="G28" s="1723"/>
      <c r="H28" s="1723"/>
      <c r="I28" s="1749"/>
      <c r="J28" s="1743" t="s">
        <v>317</v>
      </c>
      <c r="K28" s="332"/>
      <c r="L28" s="1733"/>
      <c r="M28" s="1710"/>
      <c r="N28" s="1710"/>
      <c r="O28" s="1730">
        <v>14</v>
      </c>
      <c r="P28" s="1723"/>
      <c r="Q28" s="1723"/>
      <c r="R28" s="1723"/>
      <c r="S28" s="1743" t="s">
        <v>317</v>
      </c>
      <c r="T28" s="332"/>
      <c r="U28" s="1733"/>
      <c r="V28" s="1710"/>
      <c r="W28" s="332">
        <v>18</v>
      </c>
      <c r="X28" s="1730">
        <v>15</v>
      </c>
      <c r="Y28" s="1723"/>
      <c r="Z28" s="1710"/>
      <c r="AA28" s="1738" t="s">
        <v>325</v>
      </c>
      <c r="AB28" s="1743" t="s">
        <v>317</v>
      </c>
      <c r="AC28" s="332"/>
      <c r="AD28" s="1733"/>
      <c r="AE28" s="1710"/>
      <c r="AF28" s="1710"/>
      <c r="AG28" s="1730">
        <v>16</v>
      </c>
      <c r="AH28" s="1712"/>
      <c r="AI28" s="1725"/>
      <c r="AJ28" s="1738"/>
      <c r="AK28" s="1743" t="s">
        <v>317</v>
      </c>
      <c r="AL28" s="1726"/>
      <c r="AM28" s="1733"/>
      <c r="AN28" s="1710"/>
      <c r="AO28" s="1710"/>
      <c r="AP28" s="1730">
        <v>13</v>
      </c>
      <c r="AQ28" s="1725"/>
      <c r="AR28" s="1710"/>
      <c r="AS28" s="1723"/>
      <c r="AT28" s="1743" t="s">
        <v>317</v>
      </c>
    </row>
    <row r="29" spans="1:46" ht="66" customHeight="1" x14ac:dyDescent="0.3">
      <c r="A29" s="2260">
        <v>45852</v>
      </c>
      <c r="B29" s="1218">
        <v>1</v>
      </c>
      <c r="C29" s="1728"/>
      <c r="D29" s="1729"/>
      <c r="E29" s="1729"/>
      <c r="F29" s="1730"/>
      <c r="G29" s="1723"/>
      <c r="H29" s="1713"/>
      <c r="I29" s="1749"/>
      <c r="J29" s="1743"/>
      <c r="K29" s="332"/>
      <c r="L29" s="1733"/>
      <c r="M29" s="1710"/>
      <c r="N29" s="1710"/>
      <c r="O29" s="1730"/>
      <c r="P29" s="1712"/>
      <c r="Q29" s="1723"/>
      <c r="R29" s="1723"/>
      <c r="S29" s="1743"/>
      <c r="T29" s="332"/>
      <c r="U29" s="1733"/>
      <c r="V29" s="1710"/>
      <c r="W29" s="1710"/>
      <c r="X29" s="1730"/>
      <c r="Y29" s="1723"/>
      <c r="Z29" s="1713"/>
      <c r="AA29" s="1738"/>
      <c r="AB29" s="1743"/>
      <c r="AC29" s="332"/>
      <c r="AD29" s="1733"/>
      <c r="AE29" s="1710"/>
      <c r="AF29" s="1710"/>
      <c r="AG29" s="1730"/>
      <c r="AH29" s="1712"/>
      <c r="AI29" s="1713"/>
      <c r="AJ29" s="1710"/>
      <c r="AK29" s="1743"/>
      <c r="AL29" s="1726"/>
      <c r="AM29" s="1733"/>
      <c r="AN29" s="1710"/>
      <c r="AO29" s="1710"/>
      <c r="AP29" s="1710"/>
      <c r="AQ29" s="1725"/>
      <c r="AR29" s="1713"/>
      <c r="AS29" s="1782"/>
      <c r="AT29" s="1743"/>
    </row>
    <row r="30" spans="1:46" ht="39.6" customHeight="1" x14ac:dyDescent="0.3">
      <c r="A30" s="2261"/>
      <c r="B30" s="1244">
        <v>2</v>
      </c>
      <c r="C30" s="1728"/>
      <c r="D30" s="1729">
        <v>208</v>
      </c>
      <c r="E30" s="1729"/>
      <c r="F30" s="1730"/>
      <c r="G30" s="1723"/>
      <c r="H30" s="1713" t="s">
        <v>1119</v>
      </c>
      <c r="I30" s="1738"/>
      <c r="J30" s="1743"/>
      <c r="K30" s="332"/>
      <c r="L30" s="1733"/>
      <c r="M30" s="1710"/>
      <c r="N30" s="1710"/>
      <c r="O30" s="1730"/>
      <c r="P30" s="1712"/>
      <c r="Q30" s="1723"/>
      <c r="R30" s="1723"/>
      <c r="S30" s="1743"/>
      <c r="T30" s="332"/>
      <c r="U30" s="1733"/>
      <c r="V30" s="1710"/>
      <c r="W30" s="1710"/>
      <c r="X30" s="1730"/>
      <c r="Y30" s="1723"/>
      <c r="Z30" s="1819"/>
      <c r="AA30" s="1820"/>
      <c r="AB30" s="1743"/>
      <c r="AC30" s="332"/>
      <c r="AD30" s="1733"/>
      <c r="AE30" s="1710"/>
      <c r="AF30" s="1710"/>
      <c r="AG30" s="1730"/>
      <c r="AH30" s="1712"/>
      <c r="AI30" s="1723"/>
      <c r="AJ30" s="1710"/>
      <c r="AK30" s="1743"/>
      <c r="AL30" s="1726"/>
      <c r="AM30" s="1733"/>
      <c r="AN30" s="1710"/>
      <c r="AO30" s="1710"/>
      <c r="AP30" s="1710"/>
      <c r="AQ30" s="1781"/>
      <c r="AR30" s="1713"/>
      <c r="AS30" s="1782"/>
      <c r="AT30" s="1742"/>
    </row>
    <row r="31" spans="1:46" ht="39.6" customHeight="1" x14ac:dyDescent="0.3">
      <c r="A31" s="2260">
        <v>45853</v>
      </c>
      <c r="B31" s="1218">
        <v>1</v>
      </c>
      <c r="C31" s="1728"/>
      <c r="D31" s="1729"/>
      <c r="E31" s="1729"/>
      <c r="F31" s="1730"/>
      <c r="G31" s="1712"/>
      <c r="H31" s="1744"/>
      <c r="I31" s="1821"/>
      <c r="J31" s="1743"/>
      <c r="K31" s="332"/>
      <c r="L31" s="1733"/>
      <c r="M31" s="1710"/>
      <c r="N31" s="1710"/>
      <c r="O31" s="1730"/>
      <c r="P31" s="1779"/>
      <c r="Q31" s="1710"/>
      <c r="R31" s="1710"/>
      <c r="S31" s="1743"/>
      <c r="T31" s="332"/>
      <c r="U31" s="1733"/>
      <c r="V31" s="1710"/>
      <c r="W31" s="1710"/>
      <c r="X31" s="1730"/>
      <c r="Y31" s="1780"/>
      <c r="Z31" s="1822"/>
      <c r="AA31" s="1820"/>
      <c r="AB31" s="1752"/>
      <c r="AC31" s="332"/>
      <c r="AD31" s="1733"/>
      <c r="AE31" s="1710"/>
      <c r="AF31" s="1710"/>
      <c r="AG31" s="1730"/>
      <c r="AH31" s="1712"/>
      <c r="AI31" s="1710"/>
      <c r="AJ31" s="1710"/>
      <c r="AK31" s="1743"/>
      <c r="AL31" s="1726"/>
      <c r="AM31" s="1733"/>
      <c r="AN31" s="1710"/>
      <c r="AO31" s="1710"/>
      <c r="AP31" s="1710"/>
      <c r="AQ31" s="1779"/>
      <c r="AR31" s="1713"/>
      <c r="AS31" s="1710"/>
      <c r="AT31" s="1742"/>
    </row>
    <row r="32" spans="1:46" ht="41.25" customHeight="1" x14ac:dyDescent="0.3">
      <c r="A32" s="2261"/>
      <c r="B32" s="1218">
        <v>2</v>
      </c>
      <c r="C32" s="1827"/>
      <c r="D32" s="1758"/>
      <c r="E32" s="1786"/>
      <c r="F32" s="1758">
        <v>92</v>
      </c>
      <c r="G32" s="1712"/>
      <c r="H32" s="1744"/>
      <c r="I32" s="1821"/>
      <c r="J32" s="1743" t="s">
        <v>975</v>
      </c>
      <c r="K32" s="332"/>
      <c r="L32" s="1733"/>
      <c r="M32" s="1710"/>
      <c r="N32" s="1710"/>
      <c r="O32" s="1710">
        <v>92</v>
      </c>
      <c r="P32" s="1818"/>
      <c r="Q32" s="1744"/>
      <c r="R32" s="1818"/>
      <c r="S32" s="1743" t="s">
        <v>975</v>
      </c>
      <c r="T32" s="332"/>
      <c r="U32" s="1733"/>
      <c r="V32" s="1710">
        <v>37</v>
      </c>
      <c r="W32" s="1729"/>
      <c r="X32" s="1710">
        <v>93</v>
      </c>
      <c r="Y32" s="1816"/>
      <c r="Z32" s="1828" t="s">
        <v>320</v>
      </c>
      <c r="AA32" s="1825"/>
      <c r="AB32" s="1752" t="s">
        <v>975</v>
      </c>
      <c r="AC32" s="332"/>
      <c r="AD32" s="1733"/>
      <c r="AE32" s="1710"/>
      <c r="AF32" s="1729"/>
      <c r="AG32" s="1710">
        <v>95</v>
      </c>
      <c r="AH32" s="1712"/>
      <c r="AI32" s="1744"/>
      <c r="AJ32" s="1821"/>
      <c r="AK32" s="1743" t="s">
        <v>975</v>
      </c>
      <c r="AL32" s="1726"/>
      <c r="AM32" s="1733"/>
      <c r="AN32" s="1710"/>
      <c r="AO32" s="1710"/>
      <c r="AP32" s="1710">
        <v>95</v>
      </c>
      <c r="AQ32" s="1818"/>
      <c r="AR32" s="1713"/>
      <c r="AS32" s="1737"/>
      <c r="AT32" s="1742" t="s">
        <v>975</v>
      </c>
    </row>
    <row r="33" spans="1:46" ht="43.15" customHeight="1" x14ac:dyDescent="0.3">
      <c r="A33" s="2260">
        <v>45854</v>
      </c>
      <c r="B33" s="1218">
        <v>1</v>
      </c>
      <c r="C33" s="1728"/>
      <c r="D33" s="1729"/>
      <c r="E33" s="1729"/>
      <c r="F33" s="1730"/>
      <c r="G33" s="1712"/>
      <c r="H33" s="1744"/>
      <c r="I33" s="1821"/>
      <c r="J33" s="1743"/>
      <c r="K33" s="332"/>
      <c r="L33" s="1733"/>
      <c r="M33" s="1710"/>
      <c r="N33" s="1710"/>
      <c r="O33" s="1730"/>
      <c r="P33" s="1818"/>
      <c r="Q33" s="1710"/>
      <c r="R33" s="1710"/>
      <c r="S33" s="1743"/>
      <c r="T33" s="332"/>
      <c r="U33" s="1733"/>
      <c r="V33" s="1710"/>
      <c r="W33" s="1710"/>
      <c r="X33" s="1730"/>
      <c r="Y33" s="1818"/>
      <c r="Z33" s="1734"/>
      <c r="AA33" s="1825"/>
      <c r="AB33" s="1743"/>
      <c r="AC33" s="332"/>
      <c r="AD33" s="1733"/>
      <c r="AE33" s="1710"/>
      <c r="AF33" s="1710"/>
      <c r="AG33" s="1730"/>
      <c r="AH33" s="1818"/>
      <c r="AI33" s="1826"/>
      <c r="AJ33" s="1821"/>
      <c r="AK33" s="1743"/>
      <c r="AL33" s="1726"/>
      <c r="AM33" s="1733"/>
      <c r="AN33" s="1710"/>
      <c r="AO33" s="1710"/>
      <c r="AP33" s="1710"/>
      <c r="AQ33" s="1818"/>
      <c r="AR33" s="1826"/>
      <c r="AS33" s="1818"/>
      <c r="AT33" s="1743"/>
    </row>
    <row r="34" spans="1:46" ht="67.900000000000006" customHeight="1" x14ac:dyDescent="0.3">
      <c r="A34" s="2261"/>
      <c r="B34" s="1244">
        <v>2</v>
      </c>
      <c r="C34" s="1729"/>
      <c r="D34" s="1729"/>
      <c r="E34" s="1729"/>
      <c r="F34" s="1730"/>
      <c r="G34" s="1731"/>
      <c r="H34" s="1723"/>
      <c r="I34" s="1738"/>
      <c r="J34" s="1743"/>
      <c r="K34" s="332"/>
      <c r="L34" s="1733"/>
      <c r="M34" s="1710"/>
      <c r="N34" s="1710"/>
      <c r="O34" s="1730"/>
      <c r="P34" s="1823"/>
      <c r="Q34" s="1723"/>
      <c r="R34" s="1710"/>
      <c r="S34" s="1743"/>
      <c r="T34" s="332"/>
      <c r="U34" s="1733"/>
      <c r="V34" s="1710"/>
      <c r="W34" s="1710"/>
      <c r="X34" s="1730"/>
      <c r="Y34" s="1725"/>
      <c r="Z34" s="1725"/>
      <c r="AA34" s="1825"/>
      <c r="AB34" s="1743"/>
      <c r="AC34" s="332"/>
      <c r="AD34" s="1733"/>
      <c r="AE34" s="1710"/>
      <c r="AF34" s="1710"/>
      <c r="AG34" s="1730"/>
      <c r="AH34" s="1823"/>
      <c r="AI34" s="1710"/>
      <c r="AJ34" s="1725"/>
      <c r="AK34" s="1743"/>
      <c r="AL34" s="1726"/>
      <c r="AM34" s="1733"/>
      <c r="AN34" s="1710"/>
      <c r="AO34" s="1710"/>
      <c r="AP34" s="1710"/>
      <c r="AQ34" s="1823"/>
      <c r="AR34" s="1826"/>
      <c r="AS34" s="1723"/>
      <c r="AT34" s="1743"/>
    </row>
    <row r="35" spans="1:46" ht="51" customHeight="1" x14ac:dyDescent="0.3">
      <c r="A35" s="2260">
        <v>45855</v>
      </c>
      <c r="B35" s="1218">
        <v>1</v>
      </c>
      <c r="C35" s="1729"/>
      <c r="D35" s="1729"/>
      <c r="E35" s="1782"/>
      <c r="F35" s="1730"/>
      <c r="G35" s="1784"/>
      <c r="H35" s="1823"/>
      <c r="I35" s="1738"/>
      <c r="J35" s="1743"/>
      <c r="K35" s="332"/>
      <c r="L35" s="1733"/>
      <c r="M35" s="1710"/>
      <c r="N35" s="1710"/>
      <c r="O35" s="1730"/>
      <c r="P35" s="1784"/>
      <c r="Q35" s="1723"/>
      <c r="R35" s="1723"/>
      <c r="S35" s="1743"/>
      <c r="T35" s="332"/>
      <c r="U35" s="1733"/>
      <c r="V35" s="1710"/>
      <c r="W35" s="1782"/>
      <c r="X35" s="1730"/>
      <c r="Y35" s="1784"/>
      <c r="Z35" s="1725"/>
      <c r="AA35" s="1738"/>
      <c r="AB35" s="1743"/>
      <c r="AC35" s="332"/>
      <c r="AD35" s="1733"/>
      <c r="AE35" s="1710"/>
      <c r="AF35" s="1710"/>
      <c r="AG35" s="1730"/>
      <c r="AH35" s="1784"/>
      <c r="AI35" s="1768"/>
      <c r="AJ35" s="1737"/>
      <c r="AK35" s="1743"/>
      <c r="AL35" s="1726"/>
      <c r="AM35" s="1733"/>
      <c r="AN35" s="1710"/>
      <c r="AO35" s="1710"/>
      <c r="AP35" s="1710"/>
      <c r="AQ35" s="1823"/>
      <c r="AR35" s="1826"/>
      <c r="AS35" s="1824"/>
      <c r="AT35" s="1743"/>
    </row>
    <row r="36" spans="1:46" ht="46.9" customHeight="1" x14ac:dyDescent="0.3">
      <c r="A36" s="2261"/>
      <c r="B36" s="1218">
        <v>2</v>
      </c>
      <c r="C36" s="1782"/>
      <c r="D36" s="1710"/>
      <c r="E36" s="1782"/>
      <c r="F36" s="1730"/>
      <c r="G36" s="1749"/>
      <c r="H36" s="1723"/>
      <c r="I36" s="1749"/>
      <c r="J36" s="1743"/>
      <c r="K36" s="332"/>
      <c r="L36" s="1784"/>
      <c r="M36" s="1710"/>
      <c r="N36" s="1710"/>
      <c r="O36" s="1730"/>
      <c r="P36" s="1784"/>
      <c r="Q36" s="1723"/>
      <c r="R36" s="1725"/>
      <c r="S36" s="1743"/>
      <c r="T36" s="332"/>
      <c r="U36" s="1733"/>
      <c r="V36" s="1710"/>
      <c r="W36" s="1710">
        <v>10</v>
      </c>
      <c r="X36" s="1730"/>
      <c r="Y36" s="1784"/>
      <c r="Z36" s="1723"/>
      <c r="AA36" s="1738" t="s">
        <v>388</v>
      </c>
      <c r="AB36" s="1743"/>
      <c r="AC36" s="332"/>
      <c r="AD36" s="1733"/>
      <c r="AE36" s="1710"/>
      <c r="AF36" s="1782"/>
      <c r="AG36" s="1730"/>
      <c r="AH36" s="1784"/>
      <c r="AI36" s="1826"/>
      <c r="AJ36" s="1821"/>
      <c r="AK36" s="1743"/>
      <c r="AL36" s="1726"/>
      <c r="AM36" s="1733"/>
      <c r="AN36" s="1710"/>
      <c r="AO36" s="1710"/>
      <c r="AP36" s="1710"/>
      <c r="AQ36" s="1833"/>
      <c r="AR36" s="1826"/>
      <c r="AS36" s="1834"/>
      <c r="AT36" s="1743"/>
    </row>
    <row r="37" spans="1:46" ht="59.45" customHeight="1" x14ac:dyDescent="0.3">
      <c r="A37" s="2260">
        <v>45856</v>
      </c>
      <c r="B37" s="1244">
        <v>1</v>
      </c>
      <c r="C37" s="1782"/>
      <c r="D37" s="1729"/>
      <c r="E37" s="1782"/>
      <c r="F37" s="1730"/>
      <c r="G37" s="1749"/>
      <c r="H37" s="1832"/>
      <c r="I37" s="1714"/>
      <c r="J37" s="1743"/>
      <c r="K37" s="332"/>
      <c r="L37" s="1733"/>
      <c r="M37" s="1710"/>
      <c r="N37" s="1710"/>
      <c r="O37" s="1730"/>
      <c r="P37" s="1831"/>
      <c r="Q37" s="1723"/>
      <c r="R37" s="1710"/>
      <c r="S37" s="1743"/>
      <c r="T37" s="332"/>
      <c r="U37" s="1733"/>
      <c r="V37" s="1710"/>
      <c r="W37" s="1710"/>
      <c r="X37" s="1730"/>
      <c r="Y37" s="1831"/>
      <c r="Z37" s="1725"/>
      <c r="AA37" s="1738"/>
      <c r="AB37" s="1743"/>
      <c r="AC37" s="332"/>
      <c r="AD37" s="1733"/>
      <c r="AE37" s="1710"/>
      <c r="AF37" s="1710"/>
      <c r="AG37" s="1730"/>
      <c r="AH37" s="1832"/>
      <c r="AI37" s="1710"/>
      <c r="AJ37" s="1738"/>
      <c r="AK37" s="1743"/>
      <c r="AL37" s="1726"/>
      <c r="AM37" s="1733"/>
      <c r="AN37" s="1710"/>
      <c r="AO37" s="1710"/>
      <c r="AP37" s="1710"/>
      <c r="AQ37" s="1831"/>
      <c r="AR37" s="1826"/>
      <c r="AS37" s="1831"/>
      <c r="AT37" s="1743"/>
    </row>
    <row r="38" spans="1:46" ht="55.9" customHeight="1" x14ac:dyDescent="0.3">
      <c r="A38" s="2261"/>
      <c r="B38" s="1218">
        <v>2</v>
      </c>
      <c r="C38" s="1782"/>
      <c r="D38" s="1729"/>
      <c r="E38" s="1782">
        <v>59</v>
      </c>
      <c r="F38" s="1730"/>
      <c r="G38" s="1749"/>
      <c r="H38" s="1834"/>
      <c r="I38" s="1714" t="s">
        <v>1120</v>
      </c>
      <c r="J38" s="1743"/>
      <c r="K38" s="332"/>
      <c r="L38" s="1733"/>
      <c r="M38" s="1710"/>
      <c r="N38" s="1710"/>
      <c r="O38" s="1730"/>
      <c r="P38" s="1834"/>
      <c r="Q38" s="1834"/>
      <c r="R38" s="1710"/>
      <c r="S38" s="1743"/>
      <c r="T38" s="332"/>
      <c r="U38" s="1733"/>
      <c r="V38" s="1710"/>
      <c r="W38" s="1710"/>
      <c r="X38" s="1730"/>
      <c r="Y38" s="1834"/>
      <c r="Z38" s="1725"/>
      <c r="AA38" s="1738"/>
      <c r="AB38" s="1743"/>
      <c r="AC38" s="332"/>
      <c r="AD38" s="1733"/>
      <c r="AE38" s="1710"/>
      <c r="AF38" s="1710"/>
      <c r="AG38" s="1730"/>
      <c r="AH38" s="1834"/>
      <c r="AI38" s="1710"/>
      <c r="AJ38" s="1738"/>
      <c r="AK38" s="1743"/>
      <c r="AL38" s="1726"/>
      <c r="AM38" s="1733"/>
      <c r="AN38" s="1710"/>
      <c r="AO38" s="1710"/>
      <c r="AP38" s="1710"/>
      <c r="AQ38" s="1833"/>
      <c r="AR38" s="1826"/>
      <c r="AS38" s="1834"/>
      <c r="AT38" s="1743"/>
    </row>
    <row r="39" spans="1:46" ht="70.900000000000006" customHeight="1" x14ac:dyDescent="0.3">
      <c r="A39" s="2260">
        <v>45857</v>
      </c>
      <c r="B39" s="1218">
        <v>1</v>
      </c>
      <c r="C39" s="1782"/>
      <c r="D39" s="1729"/>
      <c r="E39" s="1729">
        <v>10</v>
      </c>
      <c r="F39" s="1730"/>
      <c r="G39" s="1749"/>
      <c r="H39" s="1834"/>
      <c r="I39" s="1714" t="s">
        <v>1120</v>
      </c>
      <c r="J39" s="1743"/>
      <c r="K39" s="332"/>
      <c r="L39" s="1733"/>
      <c r="M39" s="1710"/>
      <c r="N39" s="1710"/>
      <c r="O39" s="1730"/>
      <c r="P39" s="1749"/>
      <c r="Q39" s="1723"/>
      <c r="R39" s="1710"/>
      <c r="S39" s="1743"/>
      <c r="T39" s="332"/>
      <c r="U39" s="1733"/>
      <c r="V39" s="1710"/>
      <c r="W39" s="1710"/>
      <c r="X39" s="1730"/>
      <c r="Y39" s="1833"/>
      <c r="Z39" s="1723"/>
      <c r="AA39" s="1738"/>
      <c r="AB39" s="1743"/>
      <c r="AC39" s="332"/>
      <c r="AD39" s="1733"/>
      <c r="AE39" s="1710"/>
      <c r="AF39" s="1710"/>
      <c r="AG39" s="1730"/>
      <c r="AH39" s="1749"/>
      <c r="AI39" s="1713"/>
      <c r="AJ39" s="1738"/>
      <c r="AK39" s="1743"/>
      <c r="AL39" s="1726"/>
      <c r="AM39" s="1733"/>
      <c r="AN39" s="1710"/>
      <c r="AO39" s="1710"/>
      <c r="AP39" s="1710"/>
      <c r="AQ39" s="1833"/>
      <c r="AR39" s="1826"/>
      <c r="AS39" s="1821"/>
      <c r="AT39" s="1743"/>
    </row>
    <row r="40" spans="1:46" ht="72.599999999999994" customHeight="1" x14ac:dyDescent="0.3">
      <c r="A40" s="2261"/>
      <c r="B40" s="1218">
        <v>2</v>
      </c>
      <c r="C40" s="1729"/>
      <c r="D40" s="1729"/>
      <c r="E40" s="1729"/>
      <c r="F40" s="1730"/>
      <c r="G40" s="1749"/>
      <c r="H40" s="1836"/>
      <c r="I40" s="1714"/>
      <c r="J40" s="1743"/>
      <c r="K40" s="332"/>
      <c r="L40" s="1733"/>
      <c r="M40" s="1710"/>
      <c r="N40" s="1710"/>
      <c r="O40" s="1730"/>
      <c r="P40" s="1712"/>
      <c r="Q40" s="1713"/>
      <c r="R40" s="1749"/>
      <c r="S40" s="1743"/>
      <c r="T40" s="332"/>
      <c r="U40" s="1733"/>
      <c r="V40" s="1710"/>
      <c r="W40" s="1710">
        <v>26</v>
      </c>
      <c r="X40" s="1730"/>
      <c r="Y40" s="1836"/>
      <c r="Z40" s="1710"/>
      <c r="AA40" s="1738" t="s">
        <v>1085</v>
      </c>
      <c r="AB40" s="1743"/>
      <c r="AC40" s="332"/>
      <c r="AD40" s="1733"/>
      <c r="AE40" s="1710"/>
      <c r="AF40" s="1710"/>
      <c r="AG40" s="1730"/>
      <c r="AH40" s="1784"/>
      <c r="AI40" s="1723"/>
      <c r="AJ40" s="1738"/>
      <c r="AK40" s="1743"/>
      <c r="AL40" s="1726"/>
      <c r="AM40" s="1784"/>
      <c r="AN40" s="1710"/>
      <c r="AO40" s="1710"/>
      <c r="AP40" s="1710"/>
      <c r="AQ40" s="1835"/>
      <c r="AR40" s="1826"/>
      <c r="AS40" s="1749"/>
      <c r="AT40" s="1743"/>
    </row>
    <row r="41" spans="1:46" ht="39.6" customHeight="1" x14ac:dyDescent="0.3">
      <c r="A41" s="2260">
        <v>45858</v>
      </c>
      <c r="B41" s="1218">
        <v>1</v>
      </c>
      <c r="C41" s="1728"/>
      <c r="D41" s="1729"/>
      <c r="E41" s="1729"/>
      <c r="F41" s="1730"/>
      <c r="G41" s="1712"/>
      <c r="H41" s="1723"/>
      <c r="I41" s="1714"/>
      <c r="J41" s="1743"/>
      <c r="K41" s="332"/>
      <c r="L41" s="1733"/>
      <c r="M41" s="1710"/>
      <c r="N41" s="1710"/>
      <c r="O41" s="1730"/>
      <c r="P41" s="1835"/>
      <c r="Q41" s="1710"/>
      <c r="R41" s="1749"/>
      <c r="S41" s="1743"/>
      <c r="T41" s="332"/>
      <c r="U41" s="1733"/>
      <c r="V41" s="1710"/>
      <c r="W41" s="1710">
        <v>9</v>
      </c>
      <c r="X41" s="1730"/>
      <c r="Y41" s="1835"/>
      <c r="Z41" s="1725"/>
      <c r="AA41" s="1738" t="s">
        <v>152</v>
      </c>
      <c r="AB41" s="1743"/>
      <c r="AC41" s="332"/>
      <c r="AD41" s="1733"/>
      <c r="AE41" s="1710"/>
      <c r="AF41" s="1710"/>
      <c r="AG41" s="1730"/>
      <c r="AH41" s="1784"/>
      <c r="AI41" s="1725"/>
      <c r="AJ41" s="1710"/>
      <c r="AK41" s="1743"/>
      <c r="AL41" s="1726"/>
      <c r="AM41" s="1733"/>
      <c r="AN41" s="1710"/>
      <c r="AO41" s="1710"/>
      <c r="AP41" s="1710"/>
      <c r="AQ41" s="1835"/>
      <c r="AR41" s="1826"/>
      <c r="AS41" s="1749"/>
      <c r="AT41" s="1743"/>
    </row>
    <row r="42" spans="1:46" ht="52.9" customHeight="1" x14ac:dyDescent="0.25">
      <c r="A42" s="2261"/>
      <c r="B42" s="1218">
        <v>2</v>
      </c>
      <c r="C42" s="1729"/>
      <c r="D42" s="1729"/>
      <c r="E42" s="1729"/>
      <c r="F42" s="1729"/>
      <c r="G42" s="1729"/>
      <c r="H42" s="1729"/>
      <c r="I42" s="1729"/>
      <c r="J42" s="1729"/>
      <c r="K42" s="1729"/>
      <c r="L42" s="1729"/>
      <c r="M42" s="1729"/>
      <c r="N42" s="1729"/>
      <c r="O42" s="1729"/>
      <c r="P42" s="1729"/>
      <c r="Q42" s="1729"/>
      <c r="R42" s="1729"/>
      <c r="S42" s="1729"/>
      <c r="T42" s="1729"/>
      <c r="U42" s="1729"/>
      <c r="V42" s="1729"/>
      <c r="W42" s="1729">
        <v>10</v>
      </c>
      <c r="X42" s="1729"/>
      <c r="Y42" s="1729"/>
      <c r="Z42" s="1729"/>
      <c r="AA42" s="1729" t="s">
        <v>388</v>
      </c>
      <c r="AB42" s="1729"/>
      <c r="AC42" s="1729"/>
      <c r="AD42" s="1729"/>
      <c r="AE42" s="1729"/>
      <c r="AF42" s="1729"/>
      <c r="AG42" s="1729"/>
      <c r="AH42" s="1729"/>
      <c r="AI42" s="1729"/>
      <c r="AJ42" s="1729"/>
      <c r="AK42" s="1729"/>
      <c r="AL42" s="1729"/>
      <c r="AM42" s="1729"/>
      <c r="AN42" s="1729"/>
      <c r="AO42" s="1729"/>
      <c r="AP42" s="1729"/>
      <c r="AQ42" s="1729"/>
      <c r="AR42" s="1729"/>
      <c r="AS42" s="1729"/>
      <c r="AT42" s="1729"/>
    </row>
    <row r="43" spans="1:46" ht="65.45" customHeight="1" x14ac:dyDescent="0.3">
      <c r="A43" s="2260">
        <v>45859</v>
      </c>
      <c r="B43" s="1218">
        <v>1</v>
      </c>
      <c r="C43" s="1729"/>
      <c r="D43" s="1729"/>
      <c r="E43" s="1729"/>
      <c r="F43" s="1730"/>
      <c r="G43" s="1713"/>
      <c r="H43" s="1713"/>
      <c r="I43" s="1749"/>
      <c r="J43" s="1743"/>
      <c r="K43" s="332"/>
      <c r="L43" s="1733"/>
      <c r="M43" s="1710"/>
      <c r="N43" s="1710"/>
      <c r="O43" s="1730"/>
      <c r="P43" s="1837"/>
      <c r="Q43" s="1710"/>
      <c r="R43" s="1710"/>
      <c r="S43" s="1743"/>
      <c r="T43" s="332"/>
      <c r="U43" s="1733"/>
      <c r="V43" s="1710"/>
      <c r="W43" s="1710"/>
      <c r="X43" s="1730"/>
      <c r="Y43" s="1837"/>
      <c r="Z43" s="1710"/>
      <c r="AA43" s="1738"/>
      <c r="AB43" s="1743"/>
      <c r="AC43" s="332"/>
      <c r="AD43" s="1733"/>
      <c r="AE43" s="1710"/>
      <c r="AF43" s="1710"/>
      <c r="AG43" s="1730"/>
      <c r="AH43" s="1725"/>
      <c r="AI43" s="1723"/>
      <c r="AJ43" s="1710"/>
      <c r="AK43" s="1743"/>
      <c r="AL43" s="1726"/>
      <c r="AM43" s="1733"/>
      <c r="AN43" s="1710"/>
      <c r="AO43" s="1710"/>
      <c r="AP43" s="1710"/>
      <c r="AQ43" s="1725"/>
      <c r="AR43" s="1826"/>
      <c r="AS43" s="1710"/>
      <c r="AT43" s="1743"/>
    </row>
    <row r="44" spans="1:46" ht="69" customHeight="1" x14ac:dyDescent="0.3">
      <c r="A44" s="2261"/>
      <c r="B44" s="1218">
        <v>2</v>
      </c>
      <c r="C44" s="1729"/>
      <c r="D44" s="1729"/>
      <c r="E44" s="1729"/>
      <c r="F44" s="1730">
        <v>154</v>
      </c>
      <c r="G44" s="1713"/>
      <c r="H44" s="1838"/>
      <c r="I44" s="1749"/>
      <c r="J44" s="1743" t="s">
        <v>975</v>
      </c>
      <c r="K44" s="332"/>
      <c r="L44" s="1733"/>
      <c r="M44" s="1710"/>
      <c r="N44" s="1710"/>
      <c r="O44" s="1721">
        <v>148</v>
      </c>
      <c r="P44" s="1838"/>
      <c r="Q44" s="1710"/>
      <c r="R44" s="1725"/>
      <c r="S44" s="1743" t="s">
        <v>975</v>
      </c>
      <c r="T44" s="332"/>
      <c r="U44" s="1733"/>
      <c r="V44" s="1710"/>
      <c r="W44" s="1729">
        <v>12</v>
      </c>
      <c r="X44" s="1730">
        <v>160</v>
      </c>
      <c r="Y44" s="1713"/>
      <c r="Z44" s="1723"/>
      <c r="AA44" s="1738" t="s">
        <v>328</v>
      </c>
      <c r="AB44" s="1743" t="s">
        <v>975</v>
      </c>
      <c r="AC44" s="332"/>
      <c r="AD44" s="1733"/>
      <c r="AE44" s="1710"/>
      <c r="AF44" s="1710"/>
      <c r="AG44" s="1721">
        <v>172</v>
      </c>
      <c r="AH44" s="1837"/>
      <c r="AI44" s="1725"/>
      <c r="AJ44" s="1738"/>
      <c r="AK44" s="1743" t="s">
        <v>975</v>
      </c>
      <c r="AL44" s="1726"/>
      <c r="AM44" s="1733"/>
      <c r="AN44" s="1710"/>
      <c r="AO44" s="1710"/>
      <c r="AP44" s="1710">
        <v>151</v>
      </c>
      <c r="AQ44" s="1837"/>
      <c r="AR44" s="1725"/>
      <c r="AS44" s="1725"/>
      <c r="AT44" s="1743" t="s">
        <v>975</v>
      </c>
    </row>
    <row r="45" spans="1:46" ht="69" customHeight="1" x14ac:dyDescent="0.3">
      <c r="A45" s="2260">
        <v>45860</v>
      </c>
      <c r="B45" s="1218">
        <v>1</v>
      </c>
      <c r="C45" s="1729"/>
      <c r="D45" s="1729"/>
      <c r="E45" s="1729"/>
      <c r="F45" s="1730"/>
      <c r="G45" s="1713"/>
      <c r="H45" s="1713"/>
      <c r="I45" s="1749"/>
      <c r="J45" s="1743"/>
      <c r="K45" s="332"/>
      <c r="L45" s="1733"/>
      <c r="M45" s="1710"/>
      <c r="N45" s="1710"/>
      <c r="O45" s="1721"/>
      <c r="P45" s="1837"/>
      <c r="Q45" s="1725"/>
      <c r="R45" s="1710"/>
      <c r="S45" s="1743"/>
      <c r="T45" s="332"/>
      <c r="U45" s="1733"/>
      <c r="V45" s="1725"/>
      <c r="W45" s="1710"/>
      <c r="X45" s="1730"/>
      <c r="Y45" s="1837"/>
      <c r="Z45" s="1725"/>
      <c r="AA45" s="1738"/>
      <c r="AB45" s="1743"/>
      <c r="AC45" s="332"/>
      <c r="AD45" s="1733"/>
      <c r="AE45" s="1710"/>
      <c r="AF45" s="1710"/>
      <c r="AG45" s="1721"/>
      <c r="AH45" s="1837"/>
      <c r="AI45" s="1725"/>
      <c r="AJ45" s="1725"/>
      <c r="AK45" s="1743"/>
      <c r="AL45" s="1726"/>
      <c r="AM45" s="1733"/>
      <c r="AN45" s="1710"/>
      <c r="AO45" s="1710"/>
      <c r="AP45" s="1710"/>
      <c r="AQ45" s="1837"/>
      <c r="AR45" s="1725"/>
      <c r="AS45" s="1710"/>
      <c r="AT45" s="1743"/>
    </row>
    <row r="46" spans="1:46" ht="48.6" customHeight="1" x14ac:dyDescent="0.3">
      <c r="A46" s="2261"/>
      <c r="B46" s="1218">
        <v>2</v>
      </c>
      <c r="C46" s="1729"/>
      <c r="D46" s="1729"/>
      <c r="E46" s="1729"/>
      <c r="F46" s="1730"/>
      <c r="G46" s="1713"/>
      <c r="H46" s="1713"/>
      <c r="I46" s="1749"/>
      <c r="J46" s="1743"/>
      <c r="K46" s="332"/>
      <c r="L46" s="1733"/>
      <c r="M46" s="1710"/>
      <c r="N46" s="1710"/>
      <c r="O46" s="1562"/>
      <c r="P46" s="1839"/>
      <c r="Q46" s="1723"/>
      <c r="R46" s="1725"/>
      <c r="S46" s="1743"/>
      <c r="T46" s="332"/>
      <c r="U46" s="1733"/>
      <c r="V46" s="1710"/>
      <c r="W46" s="1710"/>
      <c r="X46" s="1721"/>
      <c r="Y46" s="1710"/>
      <c r="Z46" s="1710"/>
      <c r="AA46" s="1725"/>
      <c r="AB46" s="1743"/>
      <c r="AC46" s="332"/>
      <c r="AD46" s="1733"/>
      <c r="AE46" s="1710"/>
      <c r="AF46" s="1710"/>
      <c r="AG46" s="1721"/>
      <c r="AH46" s="1840"/>
      <c r="AI46" s="1725"/>
      <c r="AJ46" s="1738"/>
      <c r="AK46" s="1743"/>
      <c r="AL46" s="1726"/>
      <c r="AM46" s="1733"/>
      <c r="AN46" s="1710"/>
      <c r="AO46" s="1710"/>
      <c r="AP46" s="1710"/>
      <c r="AQ46" s="1839"/>
      <c r="AR46" s="1723"/>
      <c r="AS46" s="1725"/>
      <c r="AT46" s="1743"/>
    </row>
    <row r="47" spans="1:46" ht="58.9" customHeight="1" x14ac:dyDescent="0.3">
      <c r="A47" s="2260">
        <v>45861</v>
      </c>
      <c r="B47" s="1218">
        <v>1</v>
      </c>
      <c r="C47" s="1729"/>
      <c r="D47" s="1729"/>
      <c r="E47" s="1729"/>
      <c r="F47" s="1730"/>
      <c r="G47" s="1713"/>
      <c r="H47" s="1723"/>
      <c r="I47" s="1749"/>
      <c r="J47" s="1732"/>
      <c r="K47" s="332"/>
      <c r="L47" s="1733"/>
      <c r="M47" s="1710"/>
      <c r="N47" s="1710"/>
      <c r="O47" s="1721"/>
      <c r="P47" s="1839"/>
      <c r="Q47" s="1710"/>
      <c r="R47" s="1710"/>
      <c r="S47" s="1743"/>
      <c r="T47" s="332"/>
      <c r="U47" s="1733"/>
      <c r="V47" s="1710"/>
      <c r="W47" s="1710"/>
      <c r="X47" s="1721"/>
      <c r="Y47" s="1713"/>
      <c r="Z47" s="1725"/>
      <c r="AA47" s="1725"/>
      <c r="AB47" s="1743"/>
      <c r="AC47" s="332"/>
      <c r="AD47" s="1733"/>
      <c r="AE47" s="1710"/>
      <c r="AF47" s="1710"/>
      <c r="AG47" s="1710"/>
      <c r="AH47" s="1840"/>
      <c r="AI47" s="1723"/>
      <c r="AJ47" s="1738"/>
      <c r="AK47" s="1843"/>
      <c r="AL47" s="1726"/>
      <c r="AM47" s="1733"/>
      <c r="AN47" s="1710"/>
      <c r="AO47" s="1710"/>
      <c r="AP47" s="1710"/>
      <c r="AQ47" s="1839"/>
      <c r="AR47" s="1723"/>
      <c r="AS47" s="1725"/>
      <c r="AT47" s="1843"/>
    </row>
    <row r="48" spans="1:46" ht="34.9" customHeight="1" x14ac:dyDescent="0.3">
      <c r="A48" s="2261"/>
      <c r="B48" s="1218">
        <v>2</v>
      </c>
      <c r="C48" s="1729"/>
      <c r="D48" s="1729"/>
      <c r="E48" s="1729">
        <v>11</v>
      </c>
      <c r="F48" s="1730"/>
      <c r="G48" s="1723"/>
      <c r="H48" s="1723"/>
      <c r="I48" s="1749" t="s">
        <v>152</v>
      </c>
      <c r="J48" s="1743"/>
      <c r="K48" s="332"/>
      <c r="L48" s="1733"/>
      <c r="M48" s="1710"/>
      <c r="N48" s="1710"/>
      <c r="O48" s="1730"/>
      <c r="P48" s="1723"/>
      <c r="Q48" s="1723"/>
      <c r="R48" s="1749"/>
      <c r="S48" s="1743"/>
      <c r="T48" s="332"/>
      <c r="U48" s="1733"/>
      <c r="V48" s="1710"/>
      <c r="W48" s="1710"/>
      <c r="X48" s="1730"/>
      <c r="Y48" s="1723"/>
      <c r="Z48" s="1723"/>
      <c r="AA48" s="1749"/>
      <c r="AB48" s="1743"/>
      <c r="AC48" s="332"/>
      <c r="AD48" s="1733"/>
      <c r="AE48" s="1710"/>
      <c r="AF48" s="1710"/>
      <c r="AG48" s="1710"/>
      <c r="AH48" s="1842"/>
      <c r="AI48" s="1723"/>
      <c r="AJ48" s="1738"/>
      <c r="AK48" s="1843"/>
      <c r="AL48" s="1726"/>
      <c r="AM48" s="1733"/>
      <c r="AN48" s="1768"/>
      <c r="AO48" s="1841"/>
      <c r="AP48" s="1768"/>
      <c r="AQ48" s="1769"/>
      <c r="AR48" s="1723"/>
      <c r="AS48" s="1725"/>
      <c r="AT48" s="1843"/>
    </row>
    <row r="49" spans="1:46" ht="43.15" customHeight="1" x14ac:dyDescent="0.3">
      <c r="A49" s="2260">
        <v>45862</v>
      </c>
      <c r="B49" s="1218">
        <v>1</v>
      </c>
      <c r="C49" s="1729"/>
      <c r="D49" s="1729"/>
      <c r="E49" s="1729"/>
      <c r="F49" s="1730"/>
      <c r="G49" s="1723"/>
      <c r="H49" s="1713"/>
      <c r="I49" s="1749"/>
      <c r="J49" s="1743"/>
      <c r="K49" s="332"/>
      <c r="L49" s="1733"/>
      <c r="M49" s="1710"/>
      <c r="N49" s="1710"/>
      <c r="O49" s="1730"/>
      <c r="P49" s="1723"/>
      <c r="Q49" s="1713"/>
      <c r="R49" s="1749"/>
      <c r="S49" s="1743"/>
      <c r="T49" s="332"/>
      <c r="U49" s="1733"/>
      <c r="V49" s="1710"/>
      <c r="W49" s="1710"/>
      <c r="X49" s="1730"/>
      <c r="Y49" s="1723"/>
      <c r="Z49" s="1725"/>
      <c r="AA49" s="1725"/>
      <c r="AB49" s="1743"/>
      <c r="AC49" s="332"/>
      <c r="AD49" s="1733"/>
      <c r="AE49" s="1710"/>
      <c r="AF49" s="1710"/>
      <c r="AG49" s="1710"/>
      <c r="AH49" s="1842"/>
      <c r="AI49" s="1713"/>
      <c r="AJ49" s="1738"/>
      <c r="AK49" s="1843"/>
      <c r="AL49" s="1726"/>
      <c r="AM49" s="1733"/>
      <c r="AN49" s="1768"/>
      <c r="AO49" s="1841"/>
      <c r="AP49" s="1768"/>
      <c r="AQ49" s="1783"/>
      <c r="AR49" s="1723"/>
      <c r="AS49" s="1749"/>
      <c r="AT49" s="1845"/>
    </row>
    <row r="50" spans="1:46" ht="51.6" customHeight="1" x14ac:dyDescent="0.3">
      <c r="A50" s="2261"/>
      <c r="B50" s="1218">
        <v>2</v>
      </c>
      <c r="C50" s="1729"/>
      <c r="D50" s="1729"/>
      <c r="E50" s="1729"/>
      <c r="F50" s="1730"/>
      <c r="G50" s="1713"/>
      <c r="H50" s="1713"/>
      <c r="I50" s="1749"/>
      <c r="J50" s="1743"/>
      <c r="K50" s="332"/>
      <c r="L50" s="1733"/>
      <c r="M50" s="1710"/>
      <c r="N50" s="1710"/>
      <c r="O50" s="1730"/>
      <c r="P50" s="1713"/>
      <c r="Q50" s="1713"/>
      <c r="R50" s="1749"/>
      <c r="S50" s="1743"/>
      <c r="T50" s="332"/>
      <c r="U50" s="1733"/>
      <c r="V50" s="1710"/>
      <c r="W50" s="1710">
        <v>13</v>
      </c>
      <c r="X50" s="1730"/>
      <c r="Y50" s="1713"/>
      <c r="Z50" s="1713"/>
      <c r="AA50" s="1749" t="s">
        <v>152</v>
      </c>
      <c r="AB50" s="1743"/>
      <c r="AC50" s="332"/>
      <c r="AD50" s="1733"/>
      <c r="AE50" s="1710"/>
      <c r="AF50" s="1710"/>
      <c r="AG50" s="1710"/>
      <c r="AH50" s="1844"/>
      <c r="AI50" s="1713"/>
      <c r="AJ50" s="1738"/>
      <c r="AK50" s="1843"/>
      <c r="AL50" s="1726"/>
      <c r="AM50" s="1733"/>
      <c r="AN50" s="1768"/>
      <c r="AO50" s="1710"/>
      <c r="AP50" s="1768"/>
      <c r="AQ50" s="1783"/>
      <c r="AR50" s="1723"/>
      <c r="AS50" s="1749"/>
      <c r="AT50" s="1848"/>
    </row>
    <row r="51" spans="1:46" ht="34.9" customHeight="1" x14ac:dyDescent="0.3">
      <c r="A51" s="2260">
        <v>45863</v>
      </c>
      <c r="B51" s="1218">
        <v>1</v>
      </c>
      <c r="C51" s="1729"/>
      <c r="D51" s="1729"/>
      <c r="E51" s="1729"/>
      <c r="F51" s="1730"/>
      <c r="G51" s="1713"/>
      <c r="H51" s="1713"/>
      <c r="I51" s="1749"/>
      <c r="J51" s="1743"/>
      <c r="K51" s="332"/>
      <c r="L51" s="1733"/>
      <c r="M51" s="1710"/>
      <c r="N51" s="1710"/>
      <c r="O51" s="1730"/>
      <c r="P51" s="1713"/>
      <c r="Q51" s="1713"/>
      <c r="R51" s="1749"/>
      <c r="S51" s="1743"/>
      <c r="T51" s="332"/>
      <c r="U51" s="1733"/>
      <c r="V51" s="1710"/>
      <c r="W51" s="1710"/>
      <c r="X51" s="1730"/>
      <c r="Y51" s="1713"/>
      <c r="Z51" s="1713"/>
      <c r="AA51" s="1749"/>
      <c r="AB51" s="1743"/>
      <c r="AC51" s="332"/>
      <c r="AD51" s="1733"/>
      <c r="AE51" s="1710"/>
      <c r="AF51" s="1710"/>
      <c r="AG51" s="1730"/>
      <c r="AH51" s="1713"/>
      <c r="AI51" s="1713"/>
      <c r="AJ51" s="1749"/>
      <c r="AK51" s="1743"/>
      <c r="AL51" s="1726"/>
      <c r="AM51" s="1733"/>
      <c r="AN51" s="1768"/>
      <c r="AO51" s="1741"/>
      <c r="AP51" s="1768"/>
      <c r="AQ51" s="1783"/>
      <c r="AR51" s="1723"/>
      <c r="AS51" s="1749"/>
      <c r="AT51" s="1848"/>
    </row>
    <row r="52" spans="1:46" ht="49.15" customHeight="1" x14ac:dyDescent="0.3">
      <c r="A52" s="2261"/>
      <c r="B52" s="1218">
        <v>2</v>
      </c>
      <c r="C52" s="1729"/>
      <c r="D52" s="1729"/>
      <c r="E52" s="1729"/>
      <c r="F52" s="1730">
        <v>33</v>
      </c>
      <c r="G52" s="1723"/>
      <c r="H52" s="1723"/>
      <c r="I52" s="1749"/>
      <c r="J52" s="1851" t="s">
        <v>732</v>
      </c>
      <c r="K52" s="332"/>
      <c r="L52" s="1733"/>
      <c r="M52" s="1710"/>
      <c r="N52" s="1710"/>
      <c r="O52" s="1730">
        <v>33</v>
      </c>
      <c r="P52" s="1723"/>
      <c r="Q52" s="1723"/>
      <c r="R52" s="1749"/>
      <c r="S52" s="1851" t="s">
        <v>732</v>
      </c>
      <c r="T52" s="332"/>
      <c r="U52" s="1733"/>
      <c r="V52" s="1710"/>
      <c r="W52" s="1710"/>
      <c r="X52" s="1730">
        <v>33</v>
      </c>
      <c r="Y52" s="1723"/>
      <c r="Z52" s="1723"/>
      <c r="AA52" s="1749"/>
      <c r="AB52" s="1851" t="s">
        <v>732</v>
      </c>
      <c r="AC52" s="332"/>
      <c r="AD52" s="1733"/>
      <c r="AE52" s="1710"/>
      <c r="AF52" s="1710"/>
      <c r="AG52" s="1730">
        <v>33</v>
      </c>
      <c r="AH52" s="1723"/>
      <c r="AI52" s="1723"/>
      <c r="AJ52" s="1749"/>
      <c r="AK52" s="1851" t="s">
        <v>732</v>
      </c>
      <c r="AL52" s="1726"/>
      <c r="AM52" s="1733"/>
      <c r="AN52" s="1782"/>
      <c r="AO52" s="1746"/>
      <c r="AP52" s="1782">
        <v>33</v>
      </c>
      <c r="AQ52" s="1846"/>
      <c r="AR52" s="1723"/>
      <c r="AS52" s="1749"/>
      <c r="AT52" s="1851" t="s">
        <v>732</v>
      </c>
    </row>
    <row r="53" spans="1:46" ht="48" customHeight="1" x14ac:dyDescent="0.3">
      <c r="A53" s="2260">
        <v>45864</v>
      </c>
      <c r="B53" s="1218">
        <v>1</v>
      </c>
      <c r="C53" s="1729"/>
      <c r="D53" s="1729"/>
      <c r="E53" s="1729">
        <v>10</v>
      </c>
      <c r="F53" s="1730">
        <v>225</v>
      </c>
      <c r="G53" s="1713"/>
      <c r="H53" s="1713"/>
      <c r="I53" s="1714" t="s">
        <v>152</v>
      </c>
      <c r="J53" s="1851" t="s">
        <v>732</v>
      </c>
      <c r="K53" s="332"/>
      <c r="L53" s="1733"/>
      <c r="M53" s="1710"/>
      <c r="N53" s="1710"/>
      <c r="O53" s="1721">
        <v>205</v>
      </c>
      <c r="P53" s="1723"/>
      <c r="Q53" s="1723"/>
      <c r="R53" s="1710"/>
      <c r="S53" s="1851" t="s">
        <v>732</v>
      </c>
      <c r="T53" s="332"/>
      <c r="U53" s="1733"/>
      <c r="V53" s="1710"/>
      <c r="W53" s="1710"/>
      <c r="X53" s="1721">
        <v>234</v>
      </c>
      <c r="Y53" s="1847"/>
      <c r="Z53" s="1710"/>
      <c r="AA53" s="1738"/>
      <c r="AB53" s="1851" t="s">
        <v>732</v>
      </c>
      <c r="AC53" s="332"/>
      <c r="AD53" s="1733"/>
      <c r="AE53" s="1725"/>
      <c r="AF53" s="1710"/>
      <c r="AG53" s="1721">
        <v>230</v>
      </c>
      <c r="AH53" s="1846"/>
      <c r="AI53" s="1710"/>
      <c r="AJ53" s="1725"/>
      <c r="AK53" s="1851" t="s">
        <v>732</v>
      </c>
      <c r="AL53" s="1726"/>
      <c r="AM53" s="1733"/>
      <c r="AN53" s="1759"/>
      <c r="AO53" s="1763"/>
      <c r="AP53" s="1759">
        <v>247</v>
      </c>
      <c r="AQ53" s="1847"/>
      <c r="AR53" s="1723"/>
      <c r="AS53" s="1782"/>
      <c r="AT53" s="1851" t="s">
        <v>732</v>
      </c>
    </row>
    <row r="54" spans="1:46" ht="45.6" customHeight="1" x14ac:dyDescent="0.3">
      <c r="A54" s="2261"/>
      <c r="B54" s="1252">
        <v>2</v>
      </c>
      <c r="C54" s="1729"/>
      <c r="D54" s="1729"/>
      <c r="E54" s="1729"/>
      <c r="F54" s="1730"/>
      <c r="G54" s="1713"/>
      <c r="H54" s="1723"/>
      <c r="I54" s="1714"/>
      <c r="J54" s="1743"/>
      <c r="K54" s="332"/>
      <c r="L54" s="1733"/>
      <c r="M54" s="1710"/>
      <c r="N54" s="1710"/>
      <c r="O54" s="1730"/>
      <c r="P54" s="1723"/>
      <c r="Q54" s="1723"/>
      <c r="R54" s="1713"/>
      <c r="S54" s="1743"/>
      <c r="T54" s="332"/>
      <c r="U54" s="1733"/>
      <c r="V54" s="1710"/>
      <c r="W54" s="1710"/>
      <c r="X54" s="1730"/>
      <c r="Y54" s="1723"/>
      <c r="Z54" s="1723"/>
      <c r="AA54" s="1738"/>
      <c r="AB54" s="1743"/>
      <c r="AC54" s="332"/>
      <c r="AD54" s="1733"/>
      <c r="AE54" s="1710"/>
      <c r="AF54" s="1710"/>
      <c r="AG54" s="1721"/>
      <c r="AH54" s="1849"/>
      <c r="AI54" s="1723"/>
      <c r="AJ54" s="1710"/>
      <c r="AK54" s="1743"/>
      <c r="AL54" s="1726"/>
      <c r="AM54" s="1733"/>
      <c r="AN54" s="1759"/>
      <c r="AO54" s="1734"/>
      <c r="AP54" s="1759">
        <v>187</v>
      </c>
      <c r="AQ54" s="1850"/>
      <c r="AR54" s="1723"/>
      <c r="AS54" s="1749"/>
      <c r="AT54" s="1853" t="s">
        <v>1008</v>
      </c>
    </row>
    <row r="55" spans="1:46" ht="39.6" customHeight="1" x14ac:dyDescent="0.3">
      <c r="A55" s="2260">
        <v>45865</v>
      </c>
      <c r="B55" s="1218">
        <v>1</v>
      </c>
      <c r="C55" s="1728"/>
      <c r="D55" s="1729"/>
      <c r="E55" s="1729"/>
      <c r="F55" s="1730"/>
      <c r="G55" s="1713"/>
      <c r="H55" s="1713"/>
      <c r="I55" s="1714"/>
      <c r="J55" s="1721"/>
      <c r="K55" s="332"/>
      <c r="L55" s="1733"/>
      <c r="M55" s="1710"/>
      <c r="N55" s="1710"/>
      <c r="O55" s="1721"/>
      <c r="P55" s="1849"/>
      <c r="Q55" s="1723"/>
      <c r="R55" s="1710"/>
      <c r="S55" s="1721"/>
      <c r="T55" s="332"/>
      <c r="U55" s="1733"/>
      <c r="V55" s="1710"/>
      <c r="W55" s="1710"/>
      <c r="X55" s="1721"/>
      <c r="Y55" s="1849"/>
      <c r="Z55" s="1713"/>
      <c r="AA55" s="1738"/>
      <c r="AB55" s="1721"/>
      <c r="AC55" s="332"/>
      <c r="AD55" s="1733"/>
      <c r="AE55" s="1710"/>
      <c r="AF55" s="1710"/>
      <c r="AG55" s="1721"/>
      <c r="AH55" s="1849"/>
      <c r="AI55" s="1723"/>
      <c r="AJ55" s="1725"/>
      <c r="AK55" s="1721"/>
      <c r="AL55" s="1726"/>
      <c r="AM55" s="1733"/>
      <c r="AN55" s="1759"/>
      <c r="AO55" s="1710"/>
      <c r="AP55" s="1759">
        <v>720</v>
      </c>
      <c r="AQ55" s="1849"/>
      <c r="AR55" s="1723"/>
      <c r="AS55" s="1749"/>
      <c r="AT55" s="1853" t="s">
        <v>1008</v>
      </c>
    </row>
    <row r="56" spans="1:46" ht="52.5" customHeight="1" x14ac:dyDescent="0.3">
      <c r="A56" s="2261"/>
      <c r="B56" s="1252">
        <v>2</v>
      </c>
      <c r="C56" s="1728"/>
      <c r="D56" s="1729"/>
      <c r="E56" s="1729"/>
      <c r="F56" s="1730"/>
      <c r="G56" s="1723"/>
      <c r="H56" s="1723"/>
      <c r="I56" s="1714"/>
      <c r="J56" s="1743"/>
      <c r="K56" s="332"/>
      <c r="L56" s="1733"/>
      <c r="M56" s="1710"/>
      <c r="N56" s="1710"/>
      <c r="O56" s="1730"/>
      <c r="P56" s="1723"/>
      <c r="Q56" s="1713"/>
      <c r="R56" s="1723"/>
      <c r="S56" s="1743"/>
      <c r="T56" s="332"/>
      <c r="U56" s="1733"/>
      <c r="V56" s="1710"/>
      <c r="W56" s="1710"/>
      <c r="X56" s="1730"/>
      <c r="Y56" s="1850"/>
      <c r="Z56" s="1713"/>
      <c r="AA56" s="1738"/>
      <c r="AB56" s="1743"/>
      <c r="AC56" s="332"/>
      <c r="AD56" s="1733"/>
      <c r="AE56" s="1710"/>
      <c r="AF56" s="1710"/>
      <c r="AG56" s="1730"/>
      <c r="AH56" s="1723"/>
      <c r="AI56" s="1713"/>
      <c r="AJ56" s="1723"/>
      <c r="AK56" s="1743"/>
      <c r="AL56" s="1726"/>
      <c r="AM56" s="1733"/>
      <c r="AN56" s="1759"/>
      <c r="AO56" s="1710"/>
      <c r="AP56" s="1759">
        <v>720</v>
      </c>
      <c r="AQ56" s="1723"/>
      <c r="AR56" s="1723"/>
      <c r="AS56" s="1710"/>
      <c r="AT56" s="1853" t="s">
        <v>1008</v>
      </c>
    </row>
    <row r="57" spans="1:46" ht="52.15" customHeight="1" x14ac:dyDescent="0.3">
      <c r="A57" s="2260">
        <v>45866</v>
      </c>
      <c r="B57" s="1218">
        <v>1</v>
      </c>
      <c r="C57" s="1728"/>
      <c r="D57" s="1729"/>
      <c r="E57" s="1729"/>
      <c r="F57" s="1730"/>
      <c r="G57" s="1723"/>
      <c r="H57" s="1723"/>
      <c r="I57" s="1749"/>
      <c r="J57" s="1743"/>
      <c r="K57" s="332"/>
      <c r="L57" s="1733"/>
      <c r="M57" s="1710"/>
      <c r="N57" s="1710"/>
      <c r="O57" s="1730"/>
      <c r="P57" s="1723"/>
      <c r="Q57" s="1713"/>
      <c r="R57" s="1723"/>
      <c r="S57" s="1743"/>
      <c r="T57" s="332"/>
      <c r="U57" s="1733"/>
      <c r="V57" s="1710"/>
      <c r="W57" s="1710"/>
      <c r="X57" s="1730"/>
      <c r="Y57" s="1723"/>
      <c r="Z57" s="1713"/>
      <c r="AA57" s="1725"/>
      <c r="AB57" s="1743"/>
      <c r="AC57" s="332"/>
      <c r="AD57" s="1733"/>
      <c r="AE57" s="1710"/>
      <c r="AF57" s="1710"/>
      <c r="AG57" s="1730"/>
      <c r="AH57" s="1723"/>
      <c r="AI57" s="1713"/>
      <c r="AJ57" s="1723"/>
      <c r="AK57" s="1743"/>
      <c r="AL57" s="1726"/>
      <c r="AM57" s="1733"/>
      <c r="AN57" s="1759"/>
      <c r="AO57" s="1710"/>
      <c r="AP57" s="1759">
        <v>720</v>
      </c>
      <c r="AQ57" s="1723"/>
      <c r="AR57" s="1723"/>
      <c r="AS57" s="1710"/>
      <c r="AT57" s="1853" t="s">
        <v>1008</v>
      </c>
    </row>
    <row r="58" spans="1:46" ht="45" customHeight="1" x14ac:dyDescent="0.3">
      <c r="A58" s="2261"/>
      <c r="B58" s="1252">
        <v>2</v>
      </c>
      <c r="C58" s="1728"/>
      <c r="D58" s="1729"/>
      <c r="E58" s="1729"/>
      <c r="F58" s="1730"/>
      <c r="G58" s="1723"/>
      <c r="H58" s="1723"/>
      <c r="I58" s="1714"/>
      <c r="J58" s="1743"/>
      <c r="K58" s="332"/>
      <c r="L58" s="1733"/>
      <c r="M58" s="1710"/>
      <c r="N58" s="1710"/>
      <c r="O58" s="1730"/>
      <c r="P58" s="1723"/>
      <c r="Q58" s="1713"/>
      <c r="R58" s="1723"/>
      <c r="S58" s="1743"/>
      <c r="T58" s="332"/>
      <c r="U58" s="1733"/>
      <c r="V58" s="1710"/>
      <c r="W58" s="1710"/>
      <c r="X58" s="1730"/>
      <c r="Y58" s="1723"/>
      <c r="Z58" s="1713"/>
      <c r="AA58" s="1725"/>
      <c r="AB58" s="1743"/>
      <c r="AC58" s="332"/>
      <c r="AD58" s="1733"/>
      <c r="AE58" s="1710"/>
      <c r="AF58" s="1710"/>
      <c r="AG58" s="1710"/>
      <c r="AH58" s="1723"/>
      <c r="AI58" s="1713"/>
      <c r="AJ58" s="1710"/>
      <c r="AK58" s="1743"/>
      <c r="AL58" s="1726"/>
      <c r="AM58" s="1733"/>
      <c r="AN58" s="1710"/>
      <c r="AO58" s="1710"/>
      <c r="AP58" s="1759">
        <v>720</v>
      </c>
      <c r="AQ58" s="1759"/>
      <c r="AR58" s="1759"/>
      <c r="AS58" s="1759"/>
      <c r="AT58" s="1853" t="s">
        <v>1008</v>
      </c>
    </row>
    <row r="59" spans="1:46" ht="48" customHeight="1" x14ac:dyDescent="0.3">
      <c r="A59" s="2260">
        <v>45867</v>
      </c>
      <c r="B59" s="1218">
        <v>1</v>
      </c>
      <c r="C59" s="1728"/>
      <c r="D59" s="1729"/>
      <c r="E59" s="1729"/>
      <c r="F59" s="1730"/>
      <c r="G59" s="1723"/>
      <c r="H59" s="1713"/>
      <c r="I59" s="1714"/>
      <c r="J59" s="1743"/>
      <c r="K59" s="332"/>
      <c r="L59" s="1733"/>
      <c r="M59" s="1710"/>
      <c r="N59" s="1710"/>
      <c r="O59" s="1721"/>
      <c r="P59" s="1852"/>
      <c r="Q59" s="1725"/>
      <c r="R59" s="1710"/>
      <c r="S59" s="1743"/>
      <c r="T59" s="332"/>
      <c r="U59" s="1733"/>
      <c r="V59" s="1710"/>
      <c r="W59" s="1710"/>
      <c r="X59" s="1721"/>
      <c r="Y59" s="1723"/>
      <c r="Z59" s="1713"/>
      <c r="AA59" s="1714"/>
      <c r="AB59" s="1743"/>
      <c r="AC59" s="332"/>
      <c r="AD59" s="1733"/>
      <c r="AE59" s="1710"/>
      <c r="AF59" s="1710"/>
      <c r="AG59" s="1721"/>
      <c r="AH59" s="1733"/>
      <c r="AI59" s="1710"/>
      <c r="AJ59" s="1723"/>
      <c r="AK59" s="1743"/>
      <c r="AL59" s="1726"/>
      <c r="AM59" s="1733"/>
      <c r="AN59" s="1710"/>
      <c r="AO59" s="1710"/>
      <c r="AP59" s="1759">
        <v>720</v>
      </c>
      <c r="AQ59" s="1759"/>
      <c r="AR59" s="1759"/>
      <c r="AS59" s="1759"/>
      <c r="AT59" s="1853" t="s">
        <v>1008</v>
      </c>
    </row>
    <row r="60" spans="1:46" ht="44.25" customHeight="1" x14ac:dyDescent="0.3">
      <c r="A60" s="2261"/>
      <c r="B60" s="1252">
        <v>2</v>
      </c>
      <c r="C60" s="1728"/>
      <c r="D60" s="1729"/>
      <c r="E60" s="1729"/>
      <c r="F60" s="1730"/>
      <c r="G60" s="1713"/>
      <c r="H60" s="1723"/>
      <c r="I60" s="1714"/>
      <c r="J60" s="1743"/>
      <c r="K60" s="332"/>
      <c r="L60" s="1733"/>
      <c r="M60" s="1710"/>
      <c r="N60" s="1710"/>
      <c r="O60" s="1721"/>
      <c r="P60" s="1855"/>
      <c r="Q60" s="1723"/>
      <c r="R60" s="1710"/>
      <c r="S60" s="1743"/>
      <c r="T60" s="332"/>
      <c r="U60" s="1733"/>
      <c r="V60" s="1710"/>
      <c r="W60" s="1710"/>
      <c r="X60" s="1721"/>
      <c r="Y60" s="1856"/>
      <c r="Z60" s="1723"/>
      <c r="AA60" s="1714"/>
      <c r="AB60" s="1743"/>
      <c r="AC60" s="332"/>
      <c r="AD60" s="1733"/>
      <c r="AE60" s="1733"/>
      <c r="AF60" s="1733"/>
      <c r="AG60" s="1733"/>
      <c r="AH60" s="1733"/>
      <c r="AI60" s="1723"/>
      <c r="AJ60" s="1725"/>
      <c r="AK60" s="1743"/>
      <c r="AL60" s="1726"/>
      <c r="AM60" s="1733"/>
      <c r="AN60" s="1710"/>
      <c r="AO60" s="1710"/>
      <c r="AP60" s="1759">
        <v>720</v>
      </c>
      <c r="AQ60" s="1855"/>
      <c r="AR60" s="1723"/>
      <c r="AS60" s="1725"/>
      <c r="AT60" s="1853" t="s">
        <v>1008</v>
      </c>
    </row>
    <row r="61" spans="1:46" ht="44.25" customHeight="1" x14ac:dyDescent="0.3">
      <c r="A61" s="2260">
        <v>45868</v>
      </c>
      <c r="B61" s="1218">
        <v>1</v>
      </c>
      <c r="C61" s="1860"/>
      <c r="D61" s="1750"/>
      <c r="E61" s="1729"/>
      <c r="F61" s="1775"/>
      <c r="G61" s="1713"/>
      <c r="H61" s="1772"/>
      <c r="I61" s="1714"/>
      <c r="J61" s="1743"/>
      <c r="K61" s="332"/>
      <c r="L61" s="1733"/>
      <c r="M61" s="1855"/>
      <c r="N61" s="1710"/>
      <c r="O61" s="1721"/>
      <c r="P61" s="1861"/>
      <c r="Q61" s="1723"/>
      <c r="R61" s="1741"/>
      <c r="S61" s="1770"/>
      <c r="T61" s="332"/>
      <c r="U61" s="1733"/>
      <c r="V61" s="1710"/>
      <c r="W61" s="1710"/>
      <c r="X61" s="1721"/>
      <c r="Y61" s="1856"/>
      <c r="Z61" s="1723"/>
      <c r="AA61" s="1714"/>
      <c r="AB61" s="1770"/>
      <c r="AC61" s="332"/>
      <c r="AD61" s="1733"/>
      <c r="AE61" s="1855"/>
      <c r="AF61" s="1855"/>
      <c r="AG61" s="1854"/>
      <c r="AH61" s="1861"/>
      <c r="AI61" s="1772"/>
      <c r="AJ61" s="1862"/>
      <c r="AK61" s="1770"/>
      <c r="AL61" s="1726"/>
      <c r="AM61" s="1733"/>
      <c r="AN61" s="1710"/>
      <c r="AO61" s="1710"/>
      <c r="AP61" s="1759">
        <v>720</v>
      </c>
      <c r="AQ61" s="1855"/>
      <c r="AR61" s="1723"/>
      <c r="AS61" s="1725"/>
      <c r="AT61" s="1853" t="s">
        <v>1008</v>
      </c>
    </row>
    <row r="62" spans="1:46" ht="44.25" customHeight="1" x14ac:dyDescent="0.3">
      <c r="A62" s="2261"/>
      <c r="B62" s="1252">
        <v>2</v>
      </c>
      <c r="C62" s="1860"/>
      <c r="D62" s="1750"/>
      <c r="E62" s="1729">
        <v>10</v>
      </c>
      <c r="F62" s="1775"/>
      <c r="G62" s="1713"/>
      <c r="H62" s="1772"/>
      <c r="I62" s="1714" t="s">
        <v>1081</v>
      </c>
      <c r="J62" s="1743"/>
      <c r="K62" s="332"/>
      <c r="L62" s="1733"/>
      <c r="M62" s="1858"/>
      <c r="N62" s="1710"/>
      <c r="O62" s="1721"/>
      <c r="P62" s="1861"/>
      <c r="Q62" s="1723"/>
      <c r="R62" s="1741"/>
      <c r="S62" s="1770"/>
      <c r="T62" s="332"/>
      <c r="U62" s="1733"/>
      <c r="V62" s="1710"/>
      <c r="W62" s="1710"/>
      <c r="X62" s="1721"/>
      <c r="Y62" s="1859"/>
      <c r="Z62" s="1723"/>
      <c r="AA62" s="1714"/>
      <c r="AB62" s="1770"/>
      <c r="AC62" s="332"/>
      <c r="AD62" s="1733"/>
      <c r="AE62" s="1858"/>
      <c r="AF62" s="1858"/>
      <c r="AG62" s="1857"/>
      <c r="AH62" s="1861"/>
      <c r="AI62" s="1772"/>
      <c r="AJ62" s="1862"/>
      <c r="AK62" s="1770"/>
      <c r="AL62" s="1726"/>
      <c r="AM62" s="1733"/>
      <c r="AN62" s="1710"/>
      <c r="AO62" s="1710"/>
      <c r="AP62" s="1710">
        <v>79</v>
      </c>
      <c r="AQ62" s="1858"/>
      <c r="AR62" s="1723"/>
      <c r="AS62" s="1725"/>
      <c r="AT62" s="1853" t="s">
        <v>1008</v>
      </c>
    </row>
    <row r="63" spans="1:46" ht="56.25" customHeight="1" x14ac:dyDescent="0.3">
      <c r="A63" s="2260">
        <v>45869</v>
      </c>
      <c r="B63" s="1218">
        <v>1</v>
      </c>
      <c r="C63" s="1860"/>
      <c r="D63" s="1750"/>
      <c r="E63" s="1729"/>
      <c r="F63" s="1775"/>
      <c r="G63" s="1713"/>
      <c r="H63" s="1772"/>
      <c r="I63" s="1714"/>
      <c r="J63" s="1732"/>
      <c r="K63" s="332"/>
      <c r="L63" s="1733"/>
      <c r="M63" s="1733"/>
      <c r="N63" s="1710"/>
      <c r="O63" s="1721"/>
      <c r="P63" s="1861"/>
      <c r="Q63" s="1723"/>
      <c r="R63" s="1741"/>
      <c r="S63" s="1843"/>
      <c r="T63" s="332"/>
      <c r="U63" s="1733"/>
      <c r="V63" s="1710"/>
      <c r="W63" s="1710"/>
      <c r="X63" s="1721"/>
      <c r="Y63" s="1859"/>
      <c r="Z63" s="1725"/>
      <c r="AA63" s="1714"/>
      <c r="AB63" s="1843"/>
      <c r="AC63" s="332"/>
      <c r="AD63" s="1733"/>
      <c r="AE63" s="1710"/>
      <c r="AF63" s="1710"/>
      <c r="AG63" s="1721"/>
      <c r="AH63" s="1861"/>
      <c r="AI63" s="1862"/>
      <c r="AJ63" s="1862"/>
      <c r="AK63" s="1843"/>
      <c r="AL63" s="1726"/>
      <c r="AM63" s="1733"/>
      <c r="AN63" s="1710"/>
      <c r="AO63" s="1710"/>
      <c r="AP63" s="1710"/>
      <c r="AQ63" s="1859"/>
      <c r="AR63" s="1710"/>
      <c r="AS63" s="1725"/>
      <c r="AT63" s="1843"/>
    </row>
    <row r="64" spans="1:46" ht="53.25" customHeight="1" x14ac:dyDescent="0.3">
      <c r="A64" s="2261"/>
      <c r="B64" s="1252">
        <v>2</v>
      </c>
      <c r="C64" s="1860"/>
      <c r="D64" s="1750"/>
      <c r="E64" s="1750"/>
      <c r="F64" s="1775"/>
      <c r="G64" s="1771"/>
      <c r="H64" s="1772"/>
      <c r="I64" s="1714"/>
      <c r="J64" s="1743"/>
      <c r="K64" s="332"/>
      <c r="L64" s="1733"/>
      <c r="M64" s="1710"/>
      <c r="N64" s="1710"/>
      <c r="O64" s="1721"/>
      <c r="P64" s="1861"/>
      <c r="Q64" s="1862"/>
      <c r="R64" s="1741"/>
      <c r="S64" s="1743"/>
      <c r="T64" s="332"/>
      <c r="U64" s="1733"/>
      <c r="V64" s="1710"/>
      <c r="W64" s="1710"/>
      <c r="X64" s="1721"/>
      <c r="Y64" s="1859"/>
      <c r="Z64" s="1862"/>
      <c r="AA64" s="1714"/>
      <c r="AB64" s="1743"/>
      <c r="AC64" s="332"/>
      <c r="AD64" s="1733"/>
      <c r="AE64" s="1710"/>
      <c r="AF64" s="1710"/>
      <c r="AG64" s="1782"/>
      <c r="AH64" s="2288"/>
      <c r="AI64" s="2289"/>
      <c r="AJ64" s="2290"/>
      <c r="AK64" s="1743"/>
      <c r="AL64" s="1726"/>
      <c r="AM64" s="1733"/>
      <c r="AN64" s="1710"/>
      <c r="AO64" s="1710"/>
      <c r="AP64" s="1710"/>
      <c r="AQ64" s="1858"/>
      <c r="AR64" s="1710"/>
      <c r="AS64" s="1725"/>
      <c r="AT64" s="1743"/>
    </row>
    <row r="65" spans="1:46" ht="18.75" x14ac:dyDescent="0.3">
      <c r="A65" s="301" t="s">
        <v>225</v>
      </c>
      <c r="B65" s="419"/>
      <c r="C65" s="1285">
        <f>SUM(C3:C64)</f>
        <v>0</v>
      </c>
      <c r="D65" s="419">
        <f>SUM(D3:D64)</f>
        <v>299</v>
      </c>
      <c r="E65" s="1285">
        <f>SUM(E3:E64)</f>
        <v>100</v>
      </c>
      <c r="F65" s="419">
        <f>SUM(F3:F64)</f>
        <v>4919</v>
      </c>
      <c r="G65" s="301"/>
      <c r="H65" s="301"/>
      <c r="I65" s="301"/>
      <c r="J65" s="301"/>
      <c r="K65" s="301"/>
      <c r="L65" s="419">
        <f>SUM(L3:L64)</f>
        <v>0</v>
      </c>
      <c r="M65" s="419">
        <f>SUM(M3:M64)</f>
        <v>0</v>
      </c>
      <c r="N65" s="419">
        <f>SUM(N3:N64)</f>
        <v>0</v>
      </c>
      <c r="O65" s="419">
        <f>SUM(O3:O64)</f>
        <v>4881</v>
      </c>
      <c r="P65" s="301"/>
      <c r="Q65" s="301"/>
      <c r="R65" s="301"/>
      <c r="S65" s="301"/>
      <c r="T65" s="301"/>
      <c r="U65" s="419">
        <f>SUM(U3:U64)</f>
        <v>174</v>
      </c>
      <c r="V65" s="419">
        <f>SUM(V3:V64)</f>
        <v>217</v>
      </c>
      <c r="W65" s="419">
        <f>SUM(W3:W64)</f>
        <v>127</v>
      </c>
      <c r="X65" s="419">
        <f>SUM(X3:X64)</f>
        <v>4949</v>
      </c>
      <c r="Y65" s="301"/>
      <c r="Z65" s="301"/>
      <c r="AA65" s="301"/>
      <c r="AB65" s="301"/>
      <c r="AC65" s="301"/>
      <c r="AD65" s="419">
        <f>SUM(AD3:AD64)</f>
        <v>0</v>
      </c>
      <c r="AE65" s="419">
        <f>SUM(AE3:AE64)</f>
        <v>16</v>
      </c>
      <c r="AF65" s="419">
        <f>SUM(AF3:AF64)</f>
        <v>0</v>
      </c>
      <c r="AG65" s="419">
        <f>SUM(AG3:AG64)</f>
        <v>4974</v>
      </c>
      <c r="AH65" s="301"/>
      <c r="AI65" s="301"/>
      <c r="AJ65" s="301"/>
      <c r="AK65" s="301"/>
      <c r="AL65" s="301"/>
      <c r="AM65" s="419">
        <f>SUM(AM3:AM64)</f>
        <v>0</v>
      </c>
      <c r="AN65" s="419">
        <f>SUM(AN3:AN64)</f>
        <v>0</v>
      </c>
      <c r="AO65" s="419">
        <f>SUM(AO3:AO64)</f>
        <v>0</v>
      </c>
      <c r="AP65" s="419">
        <f>SUM(AP3:AP64)</f>
        <v>12494</v>
      </c>
      <c r="AQ65" s="301"/>
      <c r="AR65" s="301"/>
      <c r="AS65" s="301"/>
      <c r="AT65" s="301"/>
    </row>
    <row r="73" spans="1:46" ht="15.75" thickBot="1" x14ac:dyDescent="0.3"/>
    <row r="74" spans="1:46" ht="19.5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6" ht="19.5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6" ht="18.75" x14ac:dyDescent="0.3">
      <c r="B76" s="651" t="s">
        <v>218</v>
      </c>
      <c r="C76" s="652">
        <f>C65</f>
        <v>0</v>
      </c>
      <c r="D76" s="653">
        <f>C76/60</f>
        <v>0</v>
      </c>
      <c r="E76" s="652">
        <f>D65</f>
        <v>299</v>
      </c>
      <c r="F76" s="654">
        <f>E76/60</f>
        <v>4.9833333333333334</v>
      </c>
      <c r="G76" s="652">
        <f>E65</f>
        <v>100</v>
      </c>
      <c r="H76" s="653">
        <f>G76/60</f>
        <v>1.6666666666666667</v>
      </c>
      <c r="I76" s="652">
        <f>F65</f>
        <v>4919</v>
      </c>
      <c r="J76" s="653">
        <f>I76/60</f>
        <v>81.983333333333334</v>
      </c>
    </row>
    <row r="77" spans="1:46" ht="18.75" x14ac:dyDescent="0.3">
      <c r="B77" s="651" t="s">
        <v>219</v>
      </c>
      <c r="C77" s="655">
        <f>L65</f>
        <v>0</v>
      </c>
      <c r="D77" s="656">
        <f>C77/60</f>
        <v>0</v>
      </c>
      <c r="E77" s="655">
        <f>M65</f>
        <v>0</v>
      </c>
      <c r="F77" s="657">
        <f>E77/60</f>
        <v>0</v>
      </c>
      <c r="G77" s="655">
        <f>N65</f>
        <v>0</v>
      </c>
      <c r="H77" s="656">
        <f>G77/60</f>
        <v>0</v>
      </c>
      <c r="I77" s="655">
        <f>O65</f>
        <v>4881</v>
      </c>
      <c r="J77" s="653">
        <f t="shared" ref="J77:J80" si="0">I77/60</f>
        <v>81.349999999999994</v>
      </c>
    </row>
    <row r="78" spans="1:46" ht="18.75" x14ac:dyDescent="0.3">
      <c r="B78" s="651" t="s">
        <v>220</v>
      </c>
      <c r="C78" s="655">
        <f>U65</f>
        <v>174</v>
      </c>
      <c r="D78" s="656">
        <f>C78/60</f>
        <v>2.9</v>
      </c>
      <c r="E78" s="655">
        <f>V65</f>
        <v>217</v>
      </c>
      <c r="F78" s="657">
        <f>E78/60</f>
        <v>3.6166666666666667</v>
      </c>
      <c r="G78" s="655">
        <f>W65</f>
        <v>127</v>
      </c>
      <c r="H78" s="656">
        <f>G78/60</f>
        <v>2.1166666666666667</v>
      </c>
      <c r="I78" s="655">
        <f>X65</f>
        <v>4949</v>
      </c>
      <c r="J78" s="653">
        <f t="shared" si="0"/>
        <v>82.483333333333334</v>
      </c>
    </row>
    <row r="79" spans="1:46" ht="19.5" thickBot="1" x14ac:dyDescent="0.35">
      <c r="B79" s="651" t="s">
        <v>221</v>
      </c>
      <c r="C79" s="658">
        <f>AD65</f>
        <v>0</v>
      </c>
      <c r="D79" s="659">
        <f>C79/60</f>
        <v>0</v>
      </c>
      <c r="E79" s="658">
        <f>AE65</f>
        <v>16</v>
      </c>
      <c r="F79" s="660">
        <f>E79/60</f>
        <v>0.26666666666666666</v>
      </c>
      <c r="G79" s="658">
        <f>AF65</f>
        <v>0</v>
      </c>
      <c r="H79" s="659">
        <f>G79/60</f>
        <v>0</v>
      </c>
      <c r="I79" s="658">
        <f>AG65</f>
        <v>4974</v>
      </c>
      <c r="J79" s="653">
        <f t="shared" si="0"/>
        <v>82.9</v>
      </c>
    </row>
    <row r="80" spans="1:46" ht="19.5" thickBot="1" x14ac:dyDescent="0.35">
      <c r="B80" s="651" t="s">
        <v>488</v>
      </c>
      <c r="C80" s="850">
        <f>AM65</f>
        <v>0</v>
      </c>
      <c r="D80" s="849">
        <f>C80/60</f>
        <v>0</v>
      </c>
      <c r="E80" s="850">
        <f>AN65</f>
        <v>0</v>
      </c>
      <c r="F80" s="851">
        <f>E80/60</f>
        <v>0</v>
      </c>
      <c r="G80" s="850">
        <f>AO65</f>
        <v>0</v>
      </c>
      <c r="H80" s="849">
        <f>G80/60</f>
        <v>0</v>
      </c>
      <c r="I80" s="850">
        <f>AP65</f>
        <v>12494</v>
      </c>
      <c r="J80" s="653">
        <f t="shared" si="0"/>
        <v>208.23333333333332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2.9</v>
      </c>
      <c r="E82" s="666"/>
      <c r="F82" s="667">
        <f>SUM(F76:F80)</f>
        <v>8.8666666666666671</v>
      </c>
      <c r="G82" s="666"/>
      <c r="H82" s="667">
        <f>SUM(H76:H80)</f>
        <v>3.7833333333333332</v>
      </c>
      <c r="I82" s="666"/>
      <c r="J82" s="668">
        <f>AVERAGE(J76:J80)</f>
        <v>107.39000000000001</v>
      </c>
    </row>
  </sheetData>
  <mergeCells count="47">
    <mergeCell ref="A7:A8"/>
    <mergeCell ref="A9:A10"/>
    <mergeCell ref="A11:A12"/>
    <mergeCell ref="A5:A6"/>
    <mergeCell ref="C1:F1"/>
    <mergeCell ref="AM1:AP1"/>
    <mergeCell ref="AQ1:AT1"/>
    <mergeCell ref="A3:A4"/>
    <mergeCell ref="U1:X1"/>
    <mergeCell ref="Y1:AB1"/>
    <mergeCell ref="G1:J1"/>
    <mergeCell ref="L1:O1"/>
    <mergeCell ref="P1:S1"/>
    <mergeCell ref="AD1:AG1"/>
    <mergeCell ref="AH1:AK1"/>
    <mergeCell ref="A13:A14"/>
    <mergeCell ref="AH14:AJ14"/>
    <mergeCell ref="A39:A40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15:A16"/>
    <mergeCell ref="AH64:AJ64"/>
    <mergeCell ref="A41:A42"/>
    <mergeCell ref="A43:A44"/>
    <mergeCell ref="A45:A46"/>
    <mergeCell ref="A47:A48"/>
    <mergeCell ref="A49:A50"/>
    <mergeCell ref="A51:A52"/>
    <mergeCell ref="C74:D74"/>
    <mergeCell ref="E74:F74"/>
    <mergeCell ref="G74:H74"/>
    <mergeCell ref="I74:J74"/>
    <mergeCell ref="A53:A54"/>
    <mergeCell ref="A55:A56"/>
    <mergeCell ref="A57:A58"/>
    <mergeCell ref="A59:A60"/>
    <mergeCell ref="A63:A64"/>
    <mergeCell ref="A61:A62"/>
  </mergeCell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2"/>
  <sheetViews>
    <sheetView zoomScale="55" zoomScaleNormal="55" workbookViewId="0">
      <pane xSplit="3" ySplit="2" topLeftCell="D36" activePane="bottomRight" state="frozen"/>
      <selection pane="topRight" activeCell="D1" sqref="D1"/>
      <selection pane="bottomLeft" activeCell="A3" sqref="A3"/>
      <selection pane="bottomRight" activeCell="J45" sqref="J45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2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9.425781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6" style="524" bestFit="1" customWidth="1"/>
    <col min="17" max="17" width="42.140625" style="524" bestFit="1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6.140625" style="524" bestFit="1" customWidth="1"/>
    <col min="28" max="28" width="27" style="524" customWidth="1"/>
    <col min="29" max="33" width="10.7109375" style="524" customWidth="1"/>
    <col min="34" max="34" width="31.28515625" style="524" customWidth="1"/>
    <col min="35" max="35" width="23.285156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2" width="10.7109375" style="524" customWidth="1"/>
    <col min="43" max="43" width="21.140625" style="524" customWidth="1"/>
    <col min="44" max="44" width="26.5703125" style="524" customWidth="1"/>
    <col min="45" max="45" width="31.140625" style="524" customWidth="1"/>
    <col min="46" max="46" width="26.5703125" style="524" customWidth="1"/>
    <col min="47" max="16384" width="8.85546875" style="524"/>
  </cols>
  <sheetData>
    <row r="1" spans="1:46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2" t="s">
        <v>206</v>
      </c>
      <c r="AR1" s="2252"/>
      <c r="AS1" s="2252"/>
      <c r="AT1" s="2253"/>
    </row>
    <row r="2" spans="1:46" ht="42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7" t="s">
        <v>199</v>
      </c>
      <c r="AI2" s="985" t="s">
        <v>200</v>
      </c>
      <c r="AJ2" s="985" t="s">
        <v>201</v>
      </c>
      <c r="AK2" s="985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7" t="s">
        <v>199</v>
      </c>
      <c r="AR2" s="985" t="s">
        <v>200</v>
      </c>
      <c r="AS2" s="985" t="s">
        <v>201</v>
      </c>
      <c r="AT2" s="985" t="s">
        <v>204</v>
      </c>
    </row>
    <row r="3" spans="1:46" ht="46.5" customHeight="1" x14ac:dyDescent="0.3">
      <c r="A3" s="2260">
        <v>45870</v>
      </c>
      <c r="B3" s="1200">
        <v>1</v>
      </c>
      <c r="C3" s="1708"/>
      <c r="D3" s="1709"/>
      <c r="E3" s="1710"/>
      <c r="F3" s="1711"/>
      <c r="G3" s="1712"/>
      <c r="H3" s="1713"/>
      <c r="I3" s="1714"/>
      <c r="J3" s="1715"/>
      <c r="K3" s="332"/>
      <c r="L3" s="1716"/>
      <c r="M3" s="1717"/>
      <c r="N3" s="1717"/>
      <c r="O3" s="1718"/>
      <c r="P3" s="1719"/>
      <c r="Q3" s="1720"/>
      <c r="R3" s="1720"/>
      <c r="S3" s="1718"/>
      <c r="T3" s="332"/>
      <c r="U3" s="1716"/>
      <c r="V3" s="1717"/>
      <c r="W3" s="1710"/>
      <c r="X3" s="1721"/>
      <c r="Y3" s="1864"/>
      <c r="Z3" s="1719"/>
      <c r="AA3" s="1723"/>
      <c r="AB3" s="1724"/>
      <c r="AC3" s="332"/>
      <c r="AD3" s="1716"/>
      <c r="AE3" s="1717"/>
      <c r="AF3" s="1710"/>
      <c r="AG3" s="1902"/>
      <c r="AH3" s="1905"/>
      <c r="AI3" s="1905"/>
      <c r="AJ3" s="1906"/>
      <c r="AK3" s="1905"/>
      <c r="AL3" s="1726"/>
      <c r="AM3" s="1716"/>
      <c r="AN3" s="1717"/>
      <c r="AO3" s="1710"/>
      <c r="AP3" s="1902"/>
      <c r="AQ3" s="1905"/>
      <c r="AR3" s="1906"/>
      <c r="AS3" s="1906"/>
      <c r="AT3" s="1905"/>
    </row>
    <row r="4" spans="1:46" ht="42.75" customHeight="1" x14ac:dyDescent="0.3">
      <c r="A4" s="2261"/>
      <c r="B4" s="1218">
        <v>2</v>
      </c>
      <c r="C4" s="1728"/>
      <c r="D4" s="1729"/>
      <c r="E4" s="1729"/>
      <c r="F4" s="1730"/>
      <c r="G4" s="1731"/>
      <c r="H4" s="1713"/>
      <c r="I4" s="1714"/>
      <c r="J4" s="1732"/>
      <c r="K4" s="332"/>
      <c r="L4" s="1733"/>
      <c r="M4" s="1710"/>
      <c r="N4" s="1710"/>
      <c r="O4" s="1721"/>
      <c r="P4" s="1863"/>
      <c r="Q4" s="1713"/>
      <c r="R4" s="1734"/>
      <c r="S4" s="1721"/>
      <c r="T4" s="332"/>
      <c r="U4" s="1733"/>
      <c r="V4" s="1725"/>
      <c r="W4" s="1710"/>
      <c r="X4" s="1721"/>
      <c r="Y4" s="1731"/>
      <c r="Z4" s="1723"/>
      <c r="AA4" s="1723"/>
      <c r="AB4" s="1735"/>
      <c r="AC4" s="332"/>
      <c r="AD4" s="1733"/>
      <c r="AE4" s="1710"/>
      <c r="AF4" s="1710"/>
      <c r="AG4" s="1782"/>
      <c r="AH4" s="1905"/>
      <c r="AI4" s="1899"/>
      <c r="AJ4" s="1906"/>
      <c r="AK4" s="1905"/>
      <c r="AL4" s="1726"/>
      <c r="AM4" s="1733"/>
      <c r="AN4" s="1710"/>
      <c r="AO4" s="1710"/>
      <c r="AP4" s="1782"/>
      <c r="AQ4" s="1905"/>
      <c r="AR4" s="1899"/>
      <c r="AS4" s="1905"/>
      <c r="AT4" s="1905"/>
    </row>
    <row r="5" spans="1:46" ht="43.5" customHeight="1" x14ac:dyDescent="0.3">
      <c r="A5" s="2260">
        <v>45871</v>
      </c>
      <c r="B5" s="1218">
        <v>1</v>
      </c>
      <c r="C5" s="1728"/>
      <c r="D5" s="1729"/>
      <c r="E5" s="1729"/>
      <c r="F5" s="1730"/>
      <c r="G5" s="1736"/>
      <c r="H5" s="1737"/>
      <c r="I5" s="1714"/>
      <c r="J5" s="1732"/>
      <c r="K5" s="332"/>
      <c r="L5" s="1733"/>
      <c r="M5" s="1710"/>
      <c r="N5" s="1710"/>
      <c r="O5" s="1721"/>
      <c r="P5" s="1863"/>
      <c r="Q5" s="1710"/>
      <c r="R5" s="1710"/>
      <c r="S5" s="1721"/>
      <c r="T5" s="332"/>
      <c r="U5" s="1733"/>
      <c r="V5" s="1710"/>
      <c r="W5" s="1710"/>
      <c r="X5" s="1721"/>
      <c r="Y5" s="1864"/>
      <c r="Z5" s="1713"/>
      <c r="AA5" s="1738"/>
      <c r="AB5" s="1739"/>
      <c r="AC5" s="332"/>
      <c r="AD5" s="1733"/>
      <c r="AE5" s="1710"/>
      <c r="AF5" s="1710"/>
      <c r="AG5" s="1782"/>
      <c r="AH5" s="1905"/>
      <c r="AI5" s="1905"/>
      <c r="AJ5" s="1906"/>
      <c r="AK5" s="1905"/>
      <c r="AL5" s="1726"/>
      <c r="AM5" s="1733"/>
      <c r="AN5" s="1710"/>
      <c r="AO5" s="1710"/>
      <c r="AP5" s="1782"/>
      <c r="AQ5" s="1905"/>
      <c r="AR5" s="1905"/>
      <c r="AS5" s="1906"/>
      <c r="AT5" s="1905"/>
    </row>
    <row r="6" spans="1:46" ht="43.5" customHeight="1" x14ac:dyDescent="0.3">
      <c r="A6" s="2261"/>
      <c r="B6" s="1218">
        <v>2</v>
      </c>
      <c r="C6" s="1728"/>
      <c r="D6" s="1729"/>
      <c r="E6" s="1729"/>
      <c r="F6" s="1730"/>
      <c r="G6" s="1712"/>
      <c r="H6" s="1723"/>
      <c r="I6" s="1714"/>
      <c r="J6" s="1743"/>
      <c r="K6" s="332"/>
      <c r="L6" s="1733"/>
      <c r="M6" s="1710"/>
      <c r="N6" s="1710"/>
      <c r="O6" s="1721"/>
      <c r="P6" s="1865"/>
      <c r="Q6" s="1713"/>
      <c r="R6" s="1710"/>
      <c r="S6" s="1743"/>
      <c r="T6" s="332"/>
      <c r="U6" s="1733"/>
      <c r="V6" s="1710"/>
      <c r="W6" s="1710"/>
      <c r="X6" s="1721"/>
      <c r="Y6" s="1867"/>
      <c r="Z6" s="1713"/>
      <c r="AA6" s="1738"/>
      <c r="AB6" s="1743"/>
      <c r="AC6" s="332"/>
      <c r="AD6" s="1733"/>
      <c r="AE6" s="1710"/>
      <c r="AF6" s="1710"/>
      <c r="AG6" s="1782"/>
      <c r="AH6" s="1905"/>
      <c r="AI6" s="1905"/>
      <c r="AJ6" s="1899"/>
      <c r="AK6" s="1899"/>
      <c r="AL6" s="1726"/>
      <c r="AM6" s="1733"/>
      <c r="AN6" s="1710"/>
      <c r="AO6" s="1710"/>
      <c r="AP6" s="1782"/>
      <c r="AQ6" s="1906"/>
      <c r="AR6" s="1905"/>
      <c r="AS6" s="1906"/>
      <c r="AT6" s="1905"/>
    </row>
    <row r="7" spans="1:46" ht="44.25" customHeight="1" x14ac:dyDescent="0.3">
      <c r="A7" s="2260">
        <v>45872</v>
      </c>
      <c r="B7" s="1218">
        <v>1</v>
      </c>
      <c r="C7" s="1728"/>
      <c r="D7" s="1729"/>
      <c r="E7" s="1729"/>
      <c r="F7" s="1730"/>
      <c r="G7" s="1712"/>
      <c r="H7" s="1723"/>
      <c r="I7" s="1714"/>
      <c r="J7" s="1743"/>
      <c r="K7" s="332"/>
      <c r="L7" s="1733"/>
      <c r="M7" s="1865"/>
      <c r="N7" s="1710"/>
      <c r="O7" s="1721"/>
      <c r="P7" s="1865"/>
      <c r="Q7" s="1533"/>
      <c r="R7" s="1710"/>
      <c r="S7" s="1742"/>
      <c r="T7" s="332"/>
      <c r="U7" s="1733"/>
      <c r="V7" s="1710"/>
      <c r="W7" s="1710"/>
      <c r="X7" s="1721"/>
      <c r="Y7" s="1867"/>
      <c r="Z7" s="1713"/>
      <c r="AA7" s="1738"/>
      <c r="AB7" s="1742"/>
      <c r="AC7" s="332"/>
      <c r="AD7" s="1733"/>
      <c r="AE7" s="1710"/>
      <c r="AF7" s="1710"/>
      <c r="AG7" s="1782"/>
      <c r="AH7" s="1905"/>
      <c r="AI7" s="1907"/>
      <c r="AJ7" s="1899"/>
      <c r="AK7" s="1905"/>
      <c r="AL7" s="1726"/>
      <c r="AM7" s="1733"/>
      <c r="AN7" s="1710"/>
      <c r="AO7" s="1710"/>
      <c r="AP7" s="1782"/>
      <c r="AQ7" s="1905"/>
      <c r="AR7" s="1905"/>
      <c r="AS7" s="1907"/>
      <c r="AT7" s="1899"/>
    </row>
    <row r="8" spans="1:46" ht="48.75" customHeight="1" x14ac:dyDescent="0.3">
      <c r="A8" s="2261"/>
      <c r="B8" s="1218">
        <v>2</v>
      </c>
      <c r="C8" s="1860"/>
      <c r="D8" s="1750"/>
      <c r="E8" s="1750"/>
      <c r="F8" s="1775"/>
      <c r="G8" s="1771"/>
      <c r="H8" s="1772"/>
      <c r="I8" s="1773"/>
      <c r="J8" s="1770"/>
      <c r="K8" s="332"/>
      <c r="L8" s="1733"/>
      <c r="M8" s="1710"/>
      <c r="N8" s="1710"/>
      <c r="O8" s="1721"/>
      <c r="P8" s="1865"/>
      <c r="Q8" s="1710"/>
      <c r="R8" s="1725"/>
      <c r="S8" s="1742"/>
      <c r="T8" s="332"/>
      <c r="U8" s="1751"/>
      <c r="V8" s="1748"/>
      <c r="W8" s="1865">
        <v>10</v>
      </c>
      <c r="X8" s="1721"/>
      <c r="Y8" s="1867"/>
      <c r="Z8" s="1866"/>
      <c r="AA8" s="1725" t="s">
        <v>388</v>
      </c>
      <c r="AB8" s="1743"/>
      <c r="AC8" s="332"/>
      <c r="AD8" s="1733"/>
      <c r="AE8" s="1710"/>
      <c r="AF8" s="1710"/>
      <c r="AG8" s="1782"/>
      <c r="AH8" s="1905"/>
      <c r="AI8" s="1906"/>
      <c r="AJ8" s="1899"/>
      <c r="AK8" s="1899"/>
      <c r="AL8" s="1726"/>
      <c r="AM8" s="1733"/>
      <c r="AN8" s="1710"/>
      <c r="AO8" s="1710"/>
      <c r="AP8" s="1782"/>
      <c r="AQ8" s="1905"/>
      <c r="AR8" s="1906"/>
      <c r="AS8" s="1905"/>
      <c r="AT8" s="1899"/>
    </row>
    <row r="9" spans="1:46" ht="45" customHeight="1" x14ac:dyDescent="0.25">
      <c r="A9" s="2260">
        <v>45873</v>
      </c>
      <c r="B9" s="1218">
        <v>1</v>
      </c>
      <c r="C9" s="1887"/>
      <c r="D9" s="1888"/>
      <c r="E9" s="1888"/>
      <c r="F9" s="1889"/>
      <c r="G9" s="1890"/>
      <c r="H9" s="1888"/>
      <c r="I9" s="1888"/>
      <c r="J9" s="1888"/>
      <c r="K9" s="1869"/>
      <c r="L9" s="1869"/>
      <c r="M9" s="1869"/>
      <c r="N9" s="1869"/>
      <c r="O9" s="1869"/>
      <c r="P9" s="1869"/>
      <c r="Q9" s="1869"/>
      <c r="R9" s="1869"/>
      <c r="S9" s="1869"/>
      <c r="T9" s="332"/>
      <c r="U9" s="1751"/>
      <c r="V9" s="1865"/>
      <c r="W9" s="1710"/>
      <c r="X9" s="1721"/>
      <c r="Y9" s="1867"/>
      <c r="Z9" s="1710"/>
      <c r="AA9" s="1867"/>
      <c r="AB9" s="1743"/>
      <c r="AC9" s="332"/>
      <c r="AD9" s="1915"/>
      <c r="AE9" s="1757"/>
      <c r="AF9" s="1758"/>
      <c r="AG9" s="1903"/>
      <c r="AH9" s="1899"/>
      <c r="AI9" s="1898"/>
      <c r="AJ9" s="1894"/>
      <c r="AK9" s="1899"/>
      <c r="AL9" s="332"/>
      <c r="AM9" s="1733"/>
      <c r="AN9" s="1710"/>
      <c r="AO9" s="1710"/>
      <c r="AP9" s="1782"/>
      <c r="AQ9" s="1905"/>
      <c r="AR9" s="1905"/>
      <c r="AS9" s="1906"/>
      <c r="AT9" s="1899"/>
    </row>
    <row r="10" spans="1:46" ht="48.75" customHeight="1" x14ac:dyDescent="0.3">
      <c r="A10" s="2261"/>
      <c r="B10" s="1218">
        <v>2</v>
      </c>
      <c r="C10" s="1885"/>
      <c r="D10" s="1886"/>
      <c r="E10" s="1795"/>
      <c r="F10" s="1796"/>
      <c r="G10" s="1892"/>
      <c r="H10" s="1893"/>
      <c r="I10" s="1894"/>
      <c r="J10" s="1895"/>
      <c r="K10" s="332"/>
      <c r="L10" s="1733"/>
      <c r="M10" s="1710"/>
      <c r="N10" s="1710"/>
      <c r="O10" s="1721"/>
      <c r="P10" s="1865"/>
      <c r="Q10" s="1710"/>
      <c r="R10" s="1725"/>
      <c r="S10" s="1743"/>
      <c r="T10" s="332"/>
      <c r="U10" s="1733"/>
      <c r="V10" s="1710"/>
      <c r="W10" s="1710"/>
      <c r="X10" s="1721"/>
      <c r="Y10" s="1867"/>
      <c r="Z10" s="1867"/>
      <c r="AA10" s="1867"/>
      <c r="AB10" s="1743"/>
      <c r="AC10" s="332"/>
      <c r="AD10" s="1733"/>
      <c r="AE10" s="1710"/>
      <c r="AF10" s="1710"/>
      <c r="AG10" s="1782"/>
      <c r="AH10" s="1906"/>
      <c r="AI10" s="1906"/>
      <c r="AJ10" s="1899"/>
      <c r="AK10" s="1899"/>
      <c r="AL10" s="1726"/>
      <c r="AM10" s="1733"/>
      <c r="AN10" s="1710"/>
      <c r="AO10" s="1710"/>
      <c r="AP10" s="1782"/>
      <c r="AQ10" s="1905"/>
      <c r="AR10" s="1905"/>
      <c r="AS10" s="1905"/>
      <c r="AT10" s="1899"/>
    </row>
    <row r="11" spans="1:46" ht="43.5" customHeight="1" x14ac:dyDescent="0.3">
      <c r="A11" s="2260">
        <v>45874</v>
      </c>
      <c r="B11" s="1218">
        <v>1</v>
      </c>
      <c r="C11" s="1870"/>
      <c r="D11" s="1871"/>
      <c r="E11" s="1872"/>
      <c r="F11" s="1873"/>
      <c r="G11" s="1896"/>
      <c r="H11" s="1893"/>
      <c r="I11" s="1893"/>
      <c r="J11" s="1897"/>
      <c r="K11" s="1874"/>
      <c r="L11" s="1875"/>
      <c r="M11" s="1876"/>
      <c r="N11" s="1876"/>
      <c r="O11" s="1877"/>
      <c r="P11" s="1878"/>
      <c r="Q11" s="1876"/>
      <c r="R11" s="1879"/>
      <c r="S11" s="1877"/>
      <c r="T11" s="1874"/>
      <c r="U11" s="1875"/>
      <c r="V11" s="1876"/>
      <c r="W11" s="1876"/>
      <c r="X11" s="1876"/>
      <c r="Y11" s="1877"/>
      <c r="Z11" s="1876"/>
      <c r="AA11" s="1880"/>
      <c r="AB11" s="1877"/>
      <c r="AC11" s="1874"/>
      <c r="AD11" s="1875"/>
      <c r="AE11" s="1876"/>
      <c r="AF11" s="1876"/>
      <c r="AG11" s="1904"/>
      <c r="AH11" s="1908"/>
      <c r="AI11" s="1908"/>
      <c r="AJ11" s="1893"/>
      <c r="AK11" s="1908"/>
      <c r="AL11" s="1881"/>
      <c r="AM11" s="1875"/>
      <c r="AN11" s="1876"/>
      <c r="AO11" s="1876"/>
      <c r="AP11" s="1904"/>
      <c r="AQ11" s="1908"/>
      <c r="AR11" s="1908"/>
      <c r="AS11" s="1908"/>
      <c r="AT11" s="1912"/>
    </row>
    <row r="12" spans="1:46" ht="46.5" customHeight="1" x14ac:dyDescent="0.3">
      <c r="A12" s="2261"/>
      <c r="B12" s="1218">
        <v>2</v>
      </c>
      <c r="C12" s="1728"/>
      <c r="D12" s="1766"/>
      <c r="E12" s="1729"/>
      <c r="F12" s="1730"/>
      <c r="G12" s="1892"/>
      <c r="H12" s="1898"/>
      <c r="I12" s="1894"/>
      <c r="J12" s="1895"/>
      <c r="K12" s="332"/>
      <c r="L12" s="1733"/>
      <c r="M12" s="1710"/>
      <c r="N12" s="1710"/>
      <c r="O12" s="1730"/>
      <c r="P12" s="1865"/>
      <c r="Q12" s="1710"/>
      <c r="R12" s="1725"/>
      <c r="S12" s="1743"/>
      <c r="T12" s="332"/>
      <c r="U12" s="1733"/>
      <c r="V12" s="1710"/>
      <c r="W12" s="1869"/>
      <c r="X12" s="1869"/>
      <c r="Y12" s="1867"/>
      <c r="Z12" s="1723"/>
      <c r="AA12" s="1738"/>
      <c r="AB12" s="1743"/>
      <c r="AC12" s="332"/>
      <c r="AD12" s="1733"/>
      <c r="AE12" s="1710"/>
      <c r="AF12" s="1710"/>
      <c r="AG12" s="1782"/>
      <c r="AH12" s="1905"/>
      <c r="AI12" s="1906"/>
      <c r="AJ12" s="1899"/>
      <c r="AK12" s="1899"/>
      <c r="AL12" s="1726"/>
      <c r="AM12" s="1733"/>
      <c r="AN12" s="1710"/>
      <c r="AO12" s="1710"/>
      <c r="AP12" s="1782"/>
      <c r="AQ12" s="1905"/>
      <c r="AR12" s="1905"/>
      <c r="AS12" s="1906"/>
      <c r="AT12" s="1899"/>
    </row>
    <row r="13" spans="1:46" ht="51" customHeight="1" x14ac:dyDescent="0.3">
      <c r="A13" s="2260">
        <v>45875</v>
      </c>
      <c r="B13" s="1218">
        <v>1</v>
      </c>
      <c r="C13" s="1728"/>
      <c r="D13" s="1729"/>
      <c r="E13" s="1729"/>
      <c r="F13" s="1730"/>
      <c r="G13" s="1892"/>
      <c r="H13" s="1898"/>
      <c r="I13" s="1894"/>
      <c r="J13" s="1895"/>
      <c r="K13" s="332"/>
      <c r="L13" s="1733"/>
      <c r="M13" s="1710"/>
      <c r="N13" s="1710"/>
      <c r="O13" s="1730"/>
      <c r="P13" s="1865"/>
      <c r="Q13" s="1710"/>
      <c r="R13" s="1710"/>
      <c r="S13" s="1743"/>
      <c r="T13" s="332"/>
      <c r="U13" s="1733"/>
      <c r="V13" s="1710"/>
      <c r="W13" s="1710"/>
      <c r="X13" s="1730"/>
      <c r="Y13" s="1867"/>
      <c r="Z13" s="1725"/>
      <c r="AA13" s="1738"/>
      <c r="AB13" s="1743"/>
      <c r="AC13" s="332"/>
      <c r="AD13" s="1733"/>
      <c r="AE13" s="1710"/>
      <c r="AF13" s="1710"/>
      <c r="AG13" s="1903"/>
      <c r="AH13" s="1905"/>
      <c r="AI13" s="1905"/>
      <c r="AJ13" s="1906"/>
      <c r="AK13" s="1899"/>
      <c r="AL13" s="1726"/>
      <c r="AM13" s="1733"/>
      <c r="AN13" s="1710"/>
      <c r="AO13" s="1710"/>
      <c r="AP13" s="1910"/>
      <c r="AQ13" s="1905"/>
      <c r="AR13" s="1905"/>
      <c r="AS13" s="1899"/>
      <c r="AT13" s="1899"/>
    </row>
    <row r="14" spans="1:46" ht="49.15" customHeight="1" x14ac:dyDescent="0.3">
      <c r="A14" s="2261"/>
      <c r="B14" s="1218">
        <v>2</v>
      </c>
      <c r="C14" s="1728"/>
      <c r="D14" s="1729"/>
      <c r="E14" s="1729"/>
      <c r="F14" s="1730"/>
      <c r="G14" s="1892"/>
      <c r="H14" s="1899"/>
      <c r="I14" s="1894"/>
      <c r="J14" s="1895"/>
      <c r="K14" s="332"/>
      <c r="L14" s="1733"/>
      <c r="M14" s="1710"/>
      <c r="N14" s="1710"/>
      <c r="O14" s="1730"/>
      <c r="P14" s="1868"/>
      <c r="Q14" s="1710"/>
      <c r="R14" s="1710"/>
      <c r="S14" s="1743"/>
      <c r="T14" s="332"/>
      <c r="U14" s="1733"/>
      <c r="V14" s="1710"/>
      <c r="W14" s="1710"/>
      <c r="X14" s="1730"/>
      <c r="Y14" s="1868"/>
      <c r="Z14" s="1725"/>
      <c r="AA14" s="1738"/>
      <c r="AB14" s="1743"/>
      <c r="AC14" s="332"/>
      <c r="AD14" s="1733"/>
      <c r="AE14" s="1710"/>
      <c r="AF14" s="1710"/>
      <c r="AG14" s="1903"/>
      <c r="AH14" s="1905"/>
      <c r="AI14" s="1905"/>
      <c r="AJ14" s="1906"/>
      <c r="AK14" s="1899"/>
      <c r="AL14" s="1726"/>
      <c r="AM14" s="1733"/>
      <c r="AN14" s="1710"/>
      <c r="AO14" s="1768"/>
      <c r="AP14" s="1910"/>
      <c r="AQ14" s="1906"/>
      <c r="AR14" s="1905"/>
      <c r="AS14" s="1906"/>
      <c r="AT14" s="1899"/>
    </row>
    <row r="15" spans="1:46" ht="48" customHeight="1" x14ac:dyDescent="0.3">
      <c r="A15" s="2260">
        <v>45876</v>
      </c>
      <c r="B15" s="1218">
        <v>1</v>
      </c>
      <c r="C15" s="1728"/>
      <c r="D15" s="1750"/>
      <c r="E15" s="1741"/>
      <c r="F15" s="1770"/>
      <c r="G15" s="1892"/>
      <c r="H15" s="1899"/>
      <c r="I15" s="1894"/>
      <c r="J15" s="1895"/>
      <c r="K15" s="332"/>
      <c r="L15" s="1774"/>
      <c r="M15" s="1741"/>
      <c r="N15" s="1741"/>
      <c r="O15" s="1775"/>
      <c r="P15" s="1776"/>
      <c r="Q15" s="1772"/>
      <c r="R15" s="1723"/>
      <c r="S15" s="1743"/>
      <c r="T15" s="332"/>
      <c r="U15" s="1733"/>
      <c r="V15" s="1710"/>
      <c r="W15" s="1710"/>
      <c r="X15" s="1730"/>
      <c r="Y15" s="1731"/>
      <c r="Z15" s="1723"/>
      <c r="AA15" s="1738"/>
      <c r="AB15" s="1743"/>
      <c r="AC15" s="332"/>
      <c r="AD15" s="1733"/>
      <c r="AE15" s="1710"/>
      <c r="AF15" s="332"/>
      <c r="AG15" s="1903"/>
      <c r="AH15" s="1898"/>
      <c r="AI15" s="1899"/>
      <c r="AJ15" s="1906"/>
      <c r="AK15" s="1899"/>
      <c r="AL15" s="1726"/>
      <c r="AM15" s="1733"/>
      <c r="AN15" s="1710"/>
      <c r="AO15" s="1777"/>
      <c r="AP15" s="1910"/>
      <c r="AQ15" s="1899"/>
      <c r="AR15" s="1899"/>
      <c r="AS15" s="1899"/>
      <c r="AT15" s="1899"/>
    </row>
    <row r="16" spans="1:46" ht="46.5" customHeight="1" x14ac:dyDescent="0.25">
      <c r="A16" s="2261"/>
      <c r="B16" s="1218">
        <v>2</v>
      </c>
      <c r="C16" s="1756"/>
      <c r="D16" s="1802"/>
      <c r="E16" s="1803"/>
      <c r="F16" s="1804">
        <v>47</v>
      </c>
      <c r="G16" s="1900"/>
      <c r="H16" s="1893"/>
      <c r="I16" s="1894"/>
      <c r="J16" s="1895" t="s">
        <v>975</v>
      </c>
      <c r="K16" s="1809"/>
      <c r="L16" s="1810"/>
      <c r="M16" s="1811"/>
      <c r="N16" s="1811"/>
      <c r="O16" s="1804">
        <v>57</v>
      </c>
      <c r="P16" s="1812"/>
      <c r="Q16" s="1813"/>
      <c r="R16" s="1814"/>
      <c r="S16" s="1743" t="s">
        <v>975</v>
      </c>
      <c r="T16" s="332"/>
      <c r="U16" s="1733"/>
      <c r="V16" s="1710"/>
      <c r="W16" s="1710"/>
      <c r="X16" s="1730">
        <v>50</v>
      </c>
      <c r="Y16" s="1815"/>
      <c r="Z16" s="1762"/>
      <c r="AA16" s="1901"/>
      <c r="AB16" s="1743" t="s">
        <v>975</v>
      </c>
      <c r="AC16" s="332"/>
      <c r="AD16" s="1733"/>
      <c r="AE16" s="1710"/>
      <c r="AF16" s="1710"/>
      <c r="AG16" s="1903">
        <v>59</v>
      </c>
      <c r="AH16" s="1898"/>
      <c r="AI16" s="1905"/>
      <c r="AJ16" s="1905"/>
      <c r="AK16" s="1906" t="s">
        <v>975</v>
      </c>
      <c r="AL16" s="1752"/>
      <c r="AM16" s="1733"/>
      <c r="AN16" s="1710"/>
      <c r="AO16" s="1710"/>
      <c r="AP16" s="1903">
        <v>55</v>
      </c>
      <c r="AQ16" s="1913"/>
      <c r="AR16" s="1893"/>
      <c r="AS16" s="1913"/>
      <c r="AT16" s="1899" t="s">
        <v>975</v>
      </c>
    </row>
    <row r="17" spans="1:46" ht="51" customHeight="1" x14ac:dyDescent="0.3">
      <c r="A17" s="2260">
        <v>45877</v>
      </c>
      <c r="B17" s="1244">
        <v>1</v>
      </c>
      <c r="C17" s="1728"/>
      <c r="D17" s="1794"/>
      <c r="E17" s="1795"/>
      <c r="F17" s="1796"/>
      <c r="G17" s="1900"/>
      <c r="H17" s="1898"/>
      <c r="I17" s="1894"/>
      <c r="J17" s="1895"/>
      <c r="K17" s="332"/>
      <c r="L17" s="1801"/>
      <c r="M17" s="1734"/>
      <c r="N17" s="1734"/>
      <c r="O17" s="1796"/>
      <c r="P17" s="1797"/>
      <c r="Q17" s="1798"/>
      <c r="R17" s="1723"/>
      <c r="S17" s="1743"/>
      <c r="T17" s="332"/>
      <c r="U17" s="1733"/>
      <c r="V17" s="1710"/>
      <c r="W17" s="1710">
        <v>25</v>
      </c>
      <c r="X17" s="1730"/>
      <c r="Y17" s="1731"/>
      <c r="Z17" s="1713"/>
      <c r="AA17" s="1783" t="s">
        <v>152</v>
      </c>
      <c r="AB17" s="1743"/>
      <c r="AC17" s="332"/>
      <c r="AD17" s="1733"/>
      <c r="AE17" s="1710"/>
      <c r="AF17" s="1710"/>
      <c r="AG17" s="1903"/>
      <c r="AH17" s="1898"/>
      <c r="AI17" s="1898"/>
      <c r="AJ17" s="1899"/>
      <c r="AK17" s="1899"/>
      <c r="AL17" s="1726"/>
      <c r="AM17" s="1733"/>
      <c r="AN17" s="1710"/>
      <c r="AO17" s="1768"/>
      <c r="AP17" s="1911"/>
      <c r="AQ17" s="1898"/>
      <c r="AR17" s="1899"/>
      <c r="AS17" s="1906"/>
      <c r="AT17" s="1899"/>
    </row>
    <row r="18" spans="1:46" ht="49.5" customHeight="1" x14ac:dyDescent="0.3">
      <c r="A18" s="2261"/>
      <c r="B18" s="1218">
        <v>2</v>
      </c>
      <c r="C18" s="1728"/>
      <c r="D18" s="1729"/>
      <c r="E18" s="1729">
        <v>17</v>
      </c>
      <c r="F18" s="1730"/>
      <c r="G18" s="1788"/>
      <c r="H18" s="1891"/>
      <c r="I18" s="1799" t="s">
        <v>388</v>
      </c>
      <c r="J18" s="1800"/>
      <c r="K18" s="332"/>
      <c r="L18" s="1733">
        <v>37</v>
      </c>
      <c r="M18" s="1710"/>
      <c r="N18" s="1710"/>
      <c r="O18" s="1730"/>
      <c r="P18" s="1731"/>
      <c r="Q18" s="1723"/>
      <c r="R18" s="1714" t="s">
        <v>1025</v>
      </c>
      <c r="S18" s="1743"/>
      <c r="T18" s="332"/>
      <c r="U18" s="1733"/>
      <c r="V18" s="1710"/>
      <c r="W18" s="1729">
        <v>10</v>
      </c>
      <c r="X18" s="1730"/>
      <c r="Y18" s="1731"/>
      <c r="Z18" s="1723"/>
      <c r="AA18" s="1738" t="s">
        <v>1121</v>
      </c>
      <c r="AB18" s="1743"/>
      <c r="AC18" s="332"/>
      <c r="AD18" s="1733"/>
      <c r="AE18" s="1710"/>
      <c r="AF18" s="1710"/>
      <c r="AG18" s="1903"/>
      <c r="AH18" s="1899"/>
      <c r="AI18" s="1899"/>
      <c r="AJ18" s="1898"/>
      <c r="AK18" s="1899"/>
      <c r="AL18" s="1726"/>
      <c r="AM18" s="1733"/>
      <c r="AN18" s="1710"/>
      <c r="AO18" s="1768"/>
      <c r="AP18" s="1910"/>
      <c r="AQ18" s="1899"/>
      <c r="AR18" s="1893"/>
      <c r="AS18" s="1893"/>
      <c r="AT18" s="1899"/>
    </row>
    <row r="19" spans="1:46" ht="38.25" customHeight="1" x14ac:dyDescent="0.3">
      <c r="A19" s="2260">
        <v>45878</v>
      </c>
      <c r="B19" s="1218">
        <v>1</v>
      </c>
      <c r="C19" s="332"/>
      <c r="D19" s="1729"/>
      <c r="E19" s="1729"/>
      <c r="F19" s="1730"/>
      <c r="G19" s="1784"/>
      <c r="H19" s="1710"/>
      <c r="I19" s="1737"/>
      <c r="J19" s="1743"/>
      <c r="K19" s="332"/>
      <c r="L19" s="1733"/>
      <c r="M19" s="1710"/>
      <c r="N19" s="1710"/>
      <c r="O19" s="1730"/>
      <c r="P19" s="1733"/>
      <c r="Q19" s="1710"/>
      <c r="R19" s="1710"/>
      <c r="S19" s="1743"/>
      <c r="T19" s="332"/>
      <c r="U19" s="1733"/>
      <c r="V19" s="1710"/>
      <c r="W19" s="1710">
        <v>25</v>
      </c>
      <c r="X19" s="1730"/>
      <c r="Y19" s="1733"/>
      <c r="Z19" s="1725"/>
      <c r="AA19" s="1783" t="s">
        <v>1121</v>
      </c>
      <c r="AB19" s="1743"/>
      <c r="AC19" s="332"/>
      <c r="AD19" s="1733"/>
      <c r="AE19" s="1710"/>
      <c r="AF19" s="1710"/>
      <c r="AG19" s="1903"/>
      <c r="AH19" s="1905"/>
      <c r="AI19" s="1905"/>
      <c r="AJ19" s="1906"/>
      <c r="AK19" s="1899"/>
      <c r="AL19" s="1726"/>
      <c r="AM19" s="1733"/>
      <c r="AN19" s="1710"/>
      <c r="AO19" s="1710"/>
      <c r="AP19" s="1903"/>
      <c r="AQ19" s="1905"/>
      <c r="AR19" s="1905"/>
      <c r="AS19" s="1899"/>
      <c r="AT19" s="1899"/>
    </row>
    <row r="20" spans="1:46" ht="44.45" customHeight="1" x14ac:dyDescent="0.3">
      <c r="A20" s="2261"/>
      <c r="B20" s="1218">
        <v>2</v>
      </c>
      <c r="C20" s="1728"/>
      <c r="D20" s="1729"/>
      <c r="E20" s="1729">
        <v>12</v>
      </c>
      <c r="F20" s="1730"/>
      <c r="G20" s="1784"/>
      <c r="H20" s="1725"/>
      <c r="I20" s="1737" t="s">
        <v>388</v>
      </c>
      <c r="J20" s="1743"/>
      <c r="K20" s="332"/>
      <c r="L20" s="1733"/>
      <c r="M20" s="1710"/>
      <c r="N20" s="1710"/>
      <c r="O20" s="1730"/>
      <c r="P20" s="1784"/>
      <c r="Q20" s="1725"/>
      <c r="R20" s="1714"/>
      <c r="S20" s="1743"/>
      <c r="T20" s="332"/>
      <c r="U20" s="1733"/>
      <c r="V20" s="1710"/>
      <c r="W20" s="1710">
        <v>10</v>
      </c>
      <c r="X20" s="1730"/>
      <c r="Y20" s="1784"/>
      <c r="Z20" s="1725"/>
      <c r="AA20" s="1723" t="s">
        <v>1081</v>
      </c>
      <c r="AB20" s="1743"/>
      <c r="AC20" s="332"/>
      <c r="AD20" s="1733"/>
      <c r="AE20" s="1710"/>
      <c r="AF20" s="1710"/>
      <c r="AG20" s="1903"/>
      <c r="AH20" s="1906"/>
      <c r="AI20" s="1906"/>
      <c r="AJ20" s="1894"/>
      <c r="AK20" s="1899"/>
      <c r="AL20" s="1726"/>
      <c r="AM20" s="1733"/>
      <c r="AN20" s="1710"/>
      <c r="AO20" s="1710"/>
      <c r="AP20" s="1903">
        <v>380</v>
      </c>
      <c r="AQ20" s="1906"/>
      <c r="AR20" s="1906"/>
      <c r="AS20" s="1894"/>
      <c r="AT20" s="1899" t="s">
        <v>1118</v>
      </c>
    </row>
    <row r="21" spans="1:46" ht="39" customHeight="1" x14ac:dyDescent="0.3">
      <c r="A21" s="2260">
        <v>45879</v>
      </c>
      <c r="B21" s="1218">
        <v>1</v>
      </c>
      <c r="C21" s="1728"/>
      <c r="D21" s="1729"/>
      <c r="E21" s="1729"/>
      <c r="F21" s="1730"/>
      <c r="G21" s="1789"/>
      <c r="H21" s="1713"/>
      <c r="I21" s="1737"/>
      <c r="J21" s="1790"/>
      <c r="K21" s="332"/>
      <c r="L21" s="1733"/>
      <c r="M21" s="1710"/>
      <c r="N21" s="1710"/>
      <c r="O21" s="1730"/>
      <c r="P21" s="1733"/>
      <c r="Q21" s="1725"/>
      <c r="R21" s="1710"/>
      <c r="S21" s="1790"/>
      <c r="T21" s="332"/>
      <c r="U21" s="1733"/>
      <c r="V21" s="1710"/>
      <c r="W21" s="1710"/>
      <c r="X21" s="1730"/>
      <c r="Y21" s="1784"/>
      <c r="Z21" s="1710"/>
      <c r="AA21" s="1783"/>
      <c r="AB21" s="1790"/>
      <c r="AC21" s="332"/>
      <c r="AD21" s="1733"/>
      <c r="AE21" s="1710"/>
      <c r="AF21" s="1710"/>
      <c r="AG21" s="1903"/>
      <c r="AH21" s="1905"/>
      <c r="AI21" s="1905"/>
      <c r="AJ21" s="1906"/>
      <c r="AK21" s="1909"/>
      <c r="AL21" s="1726"/>
      <c r="AM21" s="1733"/>
      <c r="AN21" s="1710"/>
      <c r="AO21" s="1710"/>
      <c r="AP21" s="1903"/>
      <c r="AQ21" s="1905"/>
      <c r="AR21" s="1906"/>
      <c r="AS21" s="1906"/>
      <c r="AT21" s="1899"/>
    </row>
    <row r="22" spans="1:46" ht="49.9" customHeight="1" x14ac:dyDescent="0.3">
      <c r="A22" s="2261"/>
      <c r="B22" s="1218">
        <v>2</v>
      </c>
      <c r="C22" s="1728"/>
      <c r="D22" s="1729"/>
      <c r="E22" s="1729"/>
      <c r="F22" s="1730"/>
      <c r="G22" s="1788"/>
      <c r="H22" s="1723"/>
      <c r="I22" s="1714"/>
      <c r="J22" s="1743"/>
      <c r="K22" s="332"/>
      <c r="L22" s="1733"/>
      <c r="M22" s="1710"/>
      <c r="N22" s="1710"/>
      <c r="O22" s="1730"/>
      <c r="P22" s="1883"/>
      <c r="Q22" s="1723"/>
      <c r="R22" s="1710"/>
      <c r="S22" s="1743"/>
      <c r="T22" s="332"/>
      <c r="U22" s="1733">
        <v>25</v>
      </c>
      <c r="V22" s="1710"/>
      <c r="W22" s="1710"/>
      <c r="X22" s="1730"/>
      <c r="Y22" s="1784" t="s">
        <v>315</v>
      </c>
      <c r="Z22" s="1723"/>
      <c r="AA22" s="1738"/>
      <c r="AB22" s="1743"/>
      <c r="AC22" s="332"/>
      <c r="AD22" s="1733"/>
      <c r="AE22" s="1710"/>
      <c r="AF22" s="1710"/>
      <c r="AG22" s="1903"/>
      <c r="AH22" s="1905"/>
      <c r="AI22" s="1905"/>
      <c r="AJ22" s="1899"/>
      <c r="AK22" s="1899"/>
      <c r="AL22" s="1726"/>
      <c r="AM22" s="1733"/>
      <c r="AN22" s="1710"/>
      <c r="AO22" s="1710"/>
      <c r="AP22" s="1903">
        <v>43</v>
      </c>
      <c r="AQ22" s="1905"/>
      <c r="AR22" s="1899"/>
      <c r="AS22" s="1905"/>
      <c r="AT22" s="1899" t="s">
        <v>1118</v>
      </c>
    </row>
    <row r="23" spans="1:46" ht="47.45" customHeight="1" x14ac:dyDescent="0.3">
      <c r="A23" s="2260">
        <v>45880</v>
      </c>
      <c r="B23" s="1244">
        <v>1</v>
      </c>
      <c r="C23" s="1728"/>
      <c r="D23" s="1729"/>
      <c r="E23" s="1729"/>
      <c r="F23" s="1730"/>
      <c r="G23" s="1788"/>
      <c r="H23" s="1713"/>
      <c r="I23" s="1737"/>
      <c r="J23" s="1743"/>
      <c r="K23" s="332"/>
      <c r="L23" s="1733"/>
      <c r="M23" s="1710"/>
      <c r="N23" s="1710"/>
      <c r="O23" s="1730"/>
      <c r="P23" s="1712"/>
      <c r="Q23" s="1713"/>
      <c r="R23" s="1723"/>
      <c r="S23" s="1743"/>
      <c r="T23" s="332"/>
      <c r="U23" s="1733"/>
      <c r="V23" s="1710"/>
      <c r="W23" s="1710"/>
      <c r="X23" s="1730"/>
      <c r="Y23" s="1784"/>
      <c r="Z23" s="1714"/>
      <c r="AA23" s="1783"/>
      <c r="AB23" s="1743"/>
      <c r="AC23" s="332"/>
      <c r="AD23" s="1733"/>
      <c r="AE23" s="1710"/>
      <c r="AF23" s="1882"/>
      <c r="AG23" s="1903"/>
      <c r="AH23" s="1905"/>
      <c r="AI23" s="1898"/>
      <c r="AJ23" s="1898"/>
      <c r="AK23" s="1899"/>
      <c r="AL23" s="1726"/>
      <c r="AM23" s="1733"/>
      <c r="AN23" s="1710"/>
      <c r="AO23" s="1710"/>
      <c r="AP23" s="1903">
        <v>14</v>
      </c>
      <c r="AQ23" s="1905"/>
      <c r="AR23" s="1914"/>
      <c r="AS23" s="1899"/>
      <c r="AT23" s="1899" t="s">
        <v>317</v>
      </c>
    </row>
    <row r="24" spans="1:46" ht="49.9" customHeight="1" x14ac:dyDescent="0.3">
      <c r="A24" s="2261"/>
      <c r="B24" s="1218">
        <v>2</v>
      </c>
      <c r="C24" s="1728"/>
      <c r="D24" s="1729"/>
      <c r="E24" s="1729"/>
      <c r="F24" s="1730"/>
      <c r="G24" s="1788"/>
      <c r="H24" s="1723"/>
      <c r="I24" s="1737"/>
      <c r="J24" s="1743"/>
      <c r="K24" s="332"/>
      <c r="L24" s="1733"/>
      <c r="M24" s="1710"/>
      <c r="N24" s="1710"/>
      <c r="O24" s="1730"/>
      <c r="P24" s="1712"/>
      <c r="Q24" s="1713"/>
      <c r="R24" s="1723"/>
      <c r="S24" s="1743"/>
      <c r="T24" s="1785"/>
      <c r="U24" s="1884"/>
      <c r="V24" s="1786"/>
      <c r="W24" s="1783"/>
      <c r="X24" s="1730"/>
      <c r="Y24" s="1714"/>
      <c r="Z24" s="1713"/>
      <c r="AA24" s="1783"/>
      <c r="AB24" s="1743"/>
      <c r="AC24" s="332"/>
      <c r="AD24" s="1733"/>
      <c r="AE24" s="1710"/>
      <c r="AF24" s="1884"/>
      <c r="AG24" s="1903"/>
      <c r="AH24" s="1894"/>
      <c r="AI24" s="1898"/>
      <c r="AJ24" s="1899"/>
      <c r="AK24" s="1899"/>
      <c r="AL24" s="1726"/>
      <c r="AM24" s="1733">
        <v>56</v>
      </c>
      <c r="AN24" s="1710"/>
      <c r="AO24" s="1710"/>
      <c r="AP24" s="1903"/>
      <c r="AQ24" s="1898" t="s">
        <v>813</v>
      </c>
      <c r="AR24" s="1898"/>
      <c r="AS24" s="1899"/>
      <c r="AT24" s="1899"/>
    </row>
    <row r="25" spans="1:46" ht="45" customHeight="1" x14ac:dyDescent="0.3">
      <c r="A25" s="2260">
        <v>45881</v>
      </c>
      <c r="B25" s="1218">
        <v>1</v>
      </c>
      <c r="C25" s="1728"/>
      <c r="D25" s="1729"/>
      <c r="E25" s="1729"/>
      <c r="F25" s="1730"/>
      <c r="G25" s="1712"/>
      <c r="H25" s="1713"/>
      <c r="I25" s="1714"/>
      <c r="J25" s="1743"/>
      <c r="K25" s="332"/>
      <c r="L25" s="1733"/>
      <c r="M25" s="1710"/>
      <c r="N25" s="1710"/>
      <c r="O25" s="1730"/>
      <c r="P25" s="1733"/>
      <c r="Q25" s="1713"/>
      <c r="R25" s="1710"/>
      <c r="S25" s="1743"/>
      <c r="T25" s="332"/>
      <c r="U25" s="1733"/>
      <c r="V25" s="1710"/>
      <c r="W25" s="1710"/>
      <c r="X25" s="1730"/>
      <c r="Y25" s="1784"/>
      <c r="Z25" s="1725"/>
      <c r="AA25" s="1783"/>
      <c r="AB25" s="1743"/>
      <c r="AC25" s="332"/>
      <c r="AD25" s="1733"/>
      <c r="AE25" s="1710"/>
      <c r="AF25" s="1710"/>
      <c r="AG25" s="1903"/>
      <c r="AH25" s="1905"/>
      <c r="AI25" s="1906"/>
      <c r="AJ25" s="1899"/>
      <c r="AK25" s="1899"/>
      <c r="AL25" s="1726"/>
      <c r="AM25" s="1733"/>
      <c r="AN25" s="1710"/>
      <c r="AO25" s="1710"/>
      <c r="AP25" s="1903"/>
      <c r="AQ25" s="1905"/>
      <c r="AR25" s="1905"/>
      <c r="AS25" s="1899"/>
      <c r="AT25" s="1899"/>
    </row>
    <row r="26" spans="1:46" ht="51.75" customHeight="1" x14ac:dyDescent="0.3">
      <c r="A26" s="2261"/>
      <c r="B26" s="1218">
        <v>2</v>
      </c>
      <c r="C26" s="1728"/>
      <c r="D26" s="1729"/>
      <c r="E26" s="1729"/>
      <c r="F26" s="1730"/>
      <c r="G26" s="1712"/>
      <c r="H26" s="1723"/>
      <c r="I26" s="1714"/>
      <c r="J26" s="1743"/>
      <c r="K26" s="332"/>
      <c r="L26" s="1733"/>
      <c r="M26" s="1710"/>
      <c r="N26" s="1710"/>
      <c r="O26" s="1730"/>
      <c r="P26" s="1712"/>
      <c r="Q26" s="1723"/>
      <c r="R26" s="1749"/>
      <c r="S26" s="1743"/>
      <c r="T26" s="332"/>
      <c r="U26" s="1733"/>
      <c r="V26" s="1729"/>
      <c r="W26" s="1710"/>
      <c r="X26" s="1730"/>
      <c r="Y26" s="1714"/>
      <c r="Z26" s="1723"/>
      <c r="AA26" s="1783"/>
      <c r="AB26" s="1743"/>
      <c r="AC26" s="332"/>
      <c r="AD26" s="1733">
        <v>24</v>
      </c>
      <c r="AE26" s="1729"/>
      <c r="AF26" s="1710"/>
      <c r="AG26" s="1903"/>
      <c r="AH26" s="1894" t="s">
        <v>1122</v>
      </c>
      <c r="AI26" s="1899"/>
      <c r="AJ26" s="1899"/>
      <c r="AK26" s="1899"/>
      <c r="AL26" s="1726"/>
      <c r="AM26" s="1733"/>
      <c r="AN26" s="1729"/>
      <c r="AO26" s="1710"/>
      <c r="AP26" s="1903"/>
      <c r="AQ26" s="1898"/>
      <c r="AR26" s="1899"/>
      <c r="AS26" s="1899"/>
      <c r="AT26" s="1899"/>
    </row>
    <row r="27" spans="1:46" ht="49.9" customHeight="1" x14ac:dyDescent="0.3">
      <c r="A27" s="2260">
        <v>45882</v>
      </c>
      <c r="B27" s="1244">
        <v>1</v>
      </c>
      <c r="C27" s="1728"/>
      <c r="D27" s="1729"/>
      <c r="E27" s="1729"/>
      <c r="F27" s="1730"/>
      <c r="G27" s="1712"/>
      <c r="H27" s="1713"/>
      <c r="I27" s="1737"/>
      <c r="J27" s="1743"/>
      <c r="K27" s="332"/>
      <c r="L27" s="1733"/>
      <c r="M27" s="1710"/>
      <c r="N27" s="1710"/>
      <c r="O27" s="1730"/>
      <c r="P27" s="1712"/>
      <c r="Q27" s="1713"/>
      <c r="R27" s="1723"/>
      <c r="S27" s="1743"/>
      <c r="T27" s="332"/>
      <c r="U27" s="1733"/>
      <c r="V27" s="1710"/>
      <c r="W27" s="1710"/>
      <c r="X27" s="1730"/>
      <c r="Y27" s="1712"/>
      <c r="Z27" s="1723"/>
      <c r="AA27" s="1783"/>
      <c r="AB27" s="1743"/>
      <c r="AC27" s="332"/>
      <c r="AD27" s="1733"/>
      <c r="AE27" s="1710"/>
      <c r="AF27" s="1710"/>
      <c r="AG27" s="1903"/>
      <c r="AH27" s="1898"/>
      <c r="AI27" s="1906"/>
      <c r="AJ27" s="1899"/>
      <c r="AK27" s="1899"/>
      <c r="AL27" s="1726"/>
      <c r="AM27" s="1733"/>
      <c r="AN27" s="1710"/>
      <c r="AO27" s="1710"/>
      <c r="AP27" s="1903"/>
      <c r="AQ27" s="1906"/>
      <c r="AR27" s="1905"/>
      <c r="AS27" s="1899"/>
      <c r="AT27" s="1899"/>
    </row>
    <row r="28" spans="1:46" ht="42" customHeight="1" x14ac:dyDescent="0.3">
      <c r="A28" s="2261"/>
      <c r="B28" s="1218">
        <v>2</v>
      </c>
      <c r="C28" s="1728"/>
      <c r="D28" s="1729"/>
      <c r="E28" s="1729"/>
      <c r="F28" s="1730"/>
      <c r="G28" s="1723"/>
      <c r="H28" s="1723"/>
      <c r="I28" s="1749"/>
      <c r="J28" s="1743"/>
      <c r="K28" s="332"/>
      <c r="L28" s="1733"/>
      <c r="M28" s="1710"/>
      <c r="N28" s="1710"/>
      <c r="O28" s="1730"/>
      <c r="P28" s="1723"/>
      <c r="Q28" s="1723"/>
      <c r="R28" s="1723"/>
      <c r="S28" s="1743"/>
      <c r="T28" s="332"/>
      <c r="U28" s="1733"/>
      <c r="V28" s="1710"/>
      <c r="W28" s="332"/>
      <c r="X28" s="1730"/>
      <c r="Y28" s="1723"/>
      <c r="Z28" s="1710"/>
      <c r="AA28" s="1738"/>
      <c r="AB28" s="1743"/>
      <c r="AC28" s="332"/>
      <c r="AD28" s="1733"/>
      <c r="AE28" s="1710"/>
      <c r="AF28" s="1710"/>
      <c r="AG28" s="1903"/>
      <c r="AH28" s="1898"/>
      <c r="AI28" s="1906"/>
      <c r="AJ28" s="1906"/>
      <c r="AK28" s="1899"/>
      <c r="AL28" s="1726"/>
      <c r="AM28" s="1733"/>
      <c r="AN28" s="1710"/>
      <c r="AO28" s="1710"/>
      <c r="AP28" s="1903"/>
      <c r="AQ28" s="1906"/>
      <c r="AR28" s="1905"/>
      <c r="AS28" s="1899"/>
      <c r="AT28" s="1899"/>
    </row>
    <row r="29" spans="1:46" ht="48" customHeight="1" x14ac:dyDescent="0.3">
      <c r="A29" s="2260">
        <v>45883</v>
      </c>
      <c r="B29" s="1218">
        <v>1</v>
      </c>
      <c r="C29" s="1728"/>
      <c r="D29" s="1729"/>
      <c r="E29" s="1729"/>
      <c r="F29" s="1730"/>
      <c r="G29" s="1723"/>
      <c r="H29" s="1713"/>
      <c r="I29" s="1749"/>
      <c r="J29" s="1743"/>
      <c r="K29" s="332"/>
      <c r="L29" s="1733"/>
      <c r="M29" s="1710"/>
      <c r="N29" s="1710"/>
      <c r="O29" s="1730"/>
      <c r="P29" s="1712"/>
      <c r="Q29" s="1723"/>
      <c r="R29" s="1723"/>
      <c r="S29" s="1743"/>
      <c r="T29" s="332"/>
      <c r="U29" s="1733"/>
      <c r="V29" s="1710"/>
      <c r="W29" s="1710"/>
      <c r="X29" s="1730"/>
      <c r="Y29" s="1723"/>
      <c r="Z29" s="1713"/>
      <c r="AA29" s="1738"/>
      <c r="AB29" s="1743"/>
      <c r="AC29" s="332"/>
      <c r="AD29" s="1733"/>
      <c r="AE29" s="1710"/>
      <c r="AF29" s="1710"/>
      <c r="AG29" s="1903"/>
      <c r="AH29" s="1898"/>
      <c r="AI29" s="1898"/>
      <c r="AJ29" s="1905"/>
      <c r="AK29" s="1899"/>
      <c r="AL29" s="1726"/>
      <c r="AM29" s="1733"/>
      <c r="AN29" s="1710"/>
      <c r="AO29" s="1710"/>
      <c r="AP29" s="1903"/>
      <c r="AQ29" s="1906"/>
      <c r="AR29" s="1898"/>
      <c r="AS29" s="1905"/>
      <c r="AT29" s="1899"/>
    </row>
    <row r="30" spans="1:46" ht="39.6" customHeight="1" x14ac:dyDescent="0.3">
      <c r="A30" s="2261"/>
      <c r="B30" s="1244">
        <v>2</v>
      </c>
      <c r="C30" s="1728"/>
      <c r="D30" s="1729"/>
      <c r="E30" s="1729"/>
      <c r="F30" s="1730"/>
      <c r="G30" s="1723"/>
      <c r="H30" s="1713"/>
      <c r="I30" s="1738"/>
      <c r="J30" s="1743"/>
      <c r="K30" s="332"/>
      <c r="L30" s="1733"/>
      <c r="M30" s="1710"/>
      <c r="N30" s="1710"/>
      <c r="O30" s="1730"/>
      <c r="P30" s="1712"/>
      <c r="Q30" s="1723"/>
      <c r="R30" s="1723"/>
      <c r="S30" s="1743"/>
      <c r="T30" s="332"/>
      <c r="U30" s="1733"/>
      <c r="V30" s="1710"/>
      <c r="W30" s="1710"/>
      <c r="X30" s="1730"/>
      <c r="Y30" s="1723"/>
      <c r="Z30" s="1819"/>
      <c r="AA30" s="1919"/>
      <c r="AB30" s="1743"/>
      <c r="AC30" s="332"/>
      <c r="AD30" s="1733"/>
      <c r="AE30" s="1710"/>
      <c r="AF30" s="1710"/>
      <c r="AG30" s="1903"/>
      <c r="AH30" s="1898"/>
      <c r="AI30" s="1899"/>
      <c r="AJ30" s="1905"/>
      <c r="AK30" s="1899"/>
      <c r="AL30" s="1726"/>
      <c r="AM30" s="1733"/>
      <c r="AN30" s="1710"/>
      <c r="AO30" s="1710"/>
      <c r="AP30" s="1903"/>
      <c r="AQ30" s="1906"/>
      <c r="AR30" s="1898"/>
      <c r="AS30" s="1905"/>
      <c r="AT30" s="1906"/>
    </row>
    <row r="31" spans="1:46" ht="39.6" customHeight="1" x14ac:dyDescent="0.3">
      <c r="A31" s="2260">
        <v>45884</v>
      </c>
      <c r="B31" s="1218">
        <v>1</v>
      </c>
      <c r="C31" s="1728"/>
      <c r="D31" s="1729"/>
      <c r="E31" s="1729"/>
      <c r="F31" s="1730"/>
      <c r="G31" s="1712"/>
      <c r="H31" s="1744"/>
      <c r="I31" s="1821"/>
      <c r="J31" s="1743"/>
      <c r="K31" s="332"/>
      <c r="L31" s="1733"/>
      <c r="M31" s="1710"/>
      <c r="N31" s="1710"/>
      <c r="O31" s="1730"/>
      <c r="P31" s="1916"/>
      <c r="Q31" s="1710"/>
      <c r="R31" s="1710"/>
      <c r="S31" s="1743"/>
      <c r="T31" s="332"/>
      <c r="U31" s="1733"/>
      <c r="V31" s="1710"/>
      <c r="W31" s="1710"/>
      <c r="X31" s="1730"/>
      <c r="Y31" s="1917"/>
      <c r="Z31" s="1822"/>
      <c r="AA31" s="1820"/>
      <c r="AB31" s="1752"/>
      <c r="AC31" s="332"/>
      <c r="AD31" s="1733"/>
      <c r="AE31" s="1710"/>
      <c r="AF31" s="1710"/>
      <c r="AG31" s="1903"/>
      <c r="AH31" s="1898"/>
      <c r="AI31" s="1905"/>
      <c r="AJ31" s="1905"/>
      <c r="AK31" s="1899"/>
      <c r="AL31" s="1726"/>
      <c r="AM31" s="1733"/>
      <c r="AN31" s="1710"/>
      <c r="AO31" s="1710"/>
      <c r="AP31" s="1903"/>
      <c r="AQ31" s="1905"/>
      <c r="AR31" s="1898"/>
      <c r="AS31" s="1905"/>
      <c r="AT31" s="1906"/>
    </row>
    <row r="32" spans="1:46" ht="44.25" customHeight="1" x14ac:dyDescent="0.3">
      <c r="A32" s="2261"/>
      <c r="B32" s="1218">
        <v>2</v>
      </c>
      <c r="C32" s="1827"/>
      <c r="D32" s="1758"/>
      <c r="E32" s="1729"/>
      <c r="F32" s="1758"/>
      <c r="G32" s="1712"/>
      <c r="H32" s="1744"/>
      <c r="I32" s="1821"/>
      <c r="J32" s="1743"/>
      <c r="K32" s="332"/>
      <c r="L32" s="1733"/>
      <c r="M32" s="1710"/>
      <c r="N32" s="1710"/>
      <c r="O32" s="1710"/>
      <c r="P32" s="1916"/>
      <c r="Q32" s="1744"/>
      <c r="R32" s="1916"/>
      <c r="S32" s="1743"/>
      <c r="T32" s="332"/>
      <c r="U32" s="1733"/>
      <c r="V32" s="1710"/>
      <c r="W32" s="1729"/>
      <c r="X32" s="1710"/>
      <c r="Y32" s="1816"/>
      <c r="Z32" s="1828"/>
      <c r="AA32" s="1825"/>
      <c r="AB32" s="1752"/>
      <c r="AC32" s="332"/>
      <c r="AD32" s="1733"/>
      <c r="AE32" s="1710"/>
      <c r="AF32" s="1729"/>
      <c r="AG32" s="1782"/>
      <c r="AH32" s="1898"/>
      <c r="AI32" s="1899"/>
      <c r="AJ32" s="1906"/>
      <c r="AK32" s="1899"/>
      <c r="AL32" s="1726"/>
      <c r="AM32" s="1733">
        <v>56</v>
      </c>
      <c r="AN32" s="1710"/>
      <c r="AO32" s="1710"/>
      <c r="AP32" s="1903"/>
      <c r="AQ32" s="1905" t="s">
        <v>513</v>
      </c>
      <c r="AR32" s="1898"/>
      <c r="AS32" s="1899"/>
      <c r="AT32" s="1906"/>
    </row>
    <row r="33" spans="1:46" ht="43.15" customHeight="1" x14ac:dyDescent="0.3">
      <c r="A33" s="2260">
        <v>45885</v>
      </c>
      <c r="B33" s="1218">
        <v>1</v>
      </c>
      <c r="C33" s="1728"/>
      <c r="D33" s="1729"/>
      <c r="E33" s="1729"/>
      <c r="F33" s="1730"/>
      <c r="G33" s="1712"/>
      <c r="H33" s="1744"/>
      <c r="I33" s="1821"/>
      <c r="J33" s="1743"/>
      <c r="K33" s="332"/>
      <c r="L33" s="1733"/>
      <c r="M33" s="1710"/>
      <c r="N33" s="1710"/>
      <c r="O33" s="1730"/>
      <c r="P33" s="1918"/>
      <c r="Q33" s="1710"/>
      <c r="R33" s="1710"/>
      <c r="S33" s="1743"/>
      <c r="T33" s="332"/>
      <c r="U33" s="1733"/>
      <c r="V33" s="1710"/>
      <c r="W33" s="1710"/>
      <c r="X33" s="1730"/>
      <c r="Y33" s="1918"/>
      <c r="Z33" s="1734"/>
      <c r="AA33" s="1825"/>
      <c r="AB33" s="1743"/>
      <c r="AC33" s="332"/>
      <c r="AD33" s="1733"/>
      <c r="AE33" s="1710"/>
      <c r="AF33" s="1710"/>
      <c r="AG33" s="1903"/>
      <c r="AH33" s="1905"/>
      <c r="AI33" s="1906"/>
      <c r="AJ33" s="1906"/>
      <c r="AK33" s="1899"/>
      <c r="AL33" s="1726"/>
      <c r="AM33" s="1733"/>
      <c r="AN33" s="1710"/>
      <c r="AO33" s="1710"/>
      <c r="AP33" s="1903"/>
      <c r="AQ33" s="1905"/>
      <c r="AR33" s="1906"/>
      <c r="AS33" s="1905"/>
      <c r="AT33" s="1906"/>
    </row>
    <row r="34" spans="1:46" ht="43.5" customHeight="1" x14ac:dyDescent="0.3">
      <c r="A34" s="2261"/>
      <c r="B34" s="1244">
        <v>2</v>
      </c>
      <c r="C34" s="1729"/>
      <c r="D34" s="1729"/>
      <c r="E34" s="1729"/>
      <c r="F34" s="1730"/>
      <c r="G34" s="1731"/>
      <c r="H34" s="1723"/>
      <c r="I34" s="1738"/>
      <c r="J34" s="1743"/>
      <c r="K34" s="332"/>
      <c r="L34" s="1733"/>
      <c r="M34" s="1710"/>
      <c r="N34" s="1710"/>
      <c r="O34" s="1730"/>
      <c r="P34" s="1918"/>
      <c r="Q34" s="1723"/>
      <c r="R34" s="1710"/>
      <c r="S34" s="1743"/>
      <c r="T34" s="332"/>
      <c r="U34" s="1733"/>
      <c r="V34" s="1710"/>
      <c r="W34" s="1710">
        <v>5</v>
      </c>
      <c r="X34" s="1730"/>
      <c r="Y34" s="1725"/>
      <c r="Z34" s="1725"/>
      <c r="AA34" s="1825" t="s">
        <v>578</v>
      </c>
      <c r="AB34" s="1743"/>
      <c r="AC34" s="332"/>
      <c r="AD34" s="1733"/>
      <c r="AE34" s="1710"/>
      <c r="AF34" s="1710"/>
      <c r="AG34" s="1903"/>
      <c r="AH34" s="1905"/>
      <c r="AI34" s="1905"/>
      <c r="AJ34" s="1906"/>
      <c r="AK34" s="1899"/>
      <c r="AL34" s="1726"/>
      <c r="AM34" s="1733"/>
      <c r="AN34" s="1710"/>
      <c r="AO34" s="1710"/>
      <c r="AP34" s="1903"/>
      <c r="AQ34" s="1905"/>
      <c r="AR34" s="1906"/>
      <c r="AS34" s="1899"/>
      <c r="AT34" s="1906"/>
    </row>
    <row r="35" spans="1:46" ht="47.25" customHeight="1" x14ac:dyDescent="0.3">
      <c r="A35" s="2260">
        <v>45886</v>
      </c>
      <c r="B35" s="1218">
        <v>1</v>
      </c>
      <c r="C35" s="1729"/>
      <c r="D35" s="1729"/>
      <c r="E35" s="1782"/>
      <c r="F35" s="1730"/>
      <c r="G35" s="1784"/>
      <c r="H35" s="1918"/>
      <c r="I35" s="1738"/>
      <c r="J35" s="1743"/>
      <c r="K35" s="332"/>
      <c r="L35" s="1733"/>
      <c r="M35" s="1710"/>
      <c r="N35" s="1710"/>
      <c r="O35" s="1730"/>
      <c r="P35" s="1784"/>
      <c r="Q35" s="1723"/>
      <c r="R35" s="1723"/>
      <c r="S35" s="1743"/>
      <c r="T35" s="332"/>
      <c r="U35" s="1733"/>
      <c r="V35" s="1710"/>
      <c r="W35" s="1782"/>
      <c r="X35" s="1730"/>
      <c r="Y35" s="1784"/>
      <c r="Z35" s="1725"/>
      <c r="AA35" s="1738"/>
      <c r="AB35" s="1743"/>
      <c r="AC35" s="332"/>
      <c r="AD35" s="1733"/>
      <c r="AE35" s="1710"/>
      <c r="AF35" s="1710"/>
      <c r="AG35" s="1903"/>
      <c r="AH35" s="1906"/>
      <c r="AI35" s="1905"/>
      <c r="AJ35" s="1899"/>
      <c r="AK35" s="1899"/>
      <c r="AL35" s="1726"/>
      <c r="AM35" s="1733"/>
      <c r="AN35" s="1710"/>
      <c r="AO35" s="1710"/>
      <c r="AP35" s="1903"/>
      <c r="AQ35" s="1905"/>
      <c r="AR35" s="1906"/>
      <c r="AS35" s="1906"/>
      <c r="AT35" s="1899"/>
    </row>
    <row r="36" spans="1:46" ht="46.9" customHeight="1" x14ac:dyDescent="0.3">
      <c r="A36" s="2261"/>
      <c r="B36" s="1218">
        <v>2</v>
      </c>
      <c r="C36" s="1782"/>
      <c r="D36" s="1710"/>
      <c r="E36" s="1782"/>
      <c r="F36" s="1730"/>
      <c r="G36" s="1749"/>
      <c r="H36" s="1723"/>
      <c r="I36" s="1749"/>
      <c r="J36" s="1743"/>
      <c r="K36" s="332"/>
      <c r="L36" s="1784"/>
      <c r="M36" s="1710"/>
      <c r="N36" s="1710"/>
      <c r="O36" s="1730"/>
      <c r="P36" s="1784"/>
      <c r="Q36" s="1723"/>
      <c r="R36" s="1725"/>
      <c r="S36" s="1743"/>
      <c r="T36" s="332"/>
      <c r="U36" s="1733"/>
      <c r="V36" s="1710"/>
      <c r="W36" s="1710"/>
      <c r="X36" s="1730"/>
      <c r="Y36" s="1784"/>
      <c r="Z36" s="1723"/>
      <c r="AA36" s="1738"/>
      <c r="AB36" s="1743"/>
      <c r="AC36" s="332"/>
      <c r="AD36" s="1733"/>
      <c r="AE36" s="1710"/>
      <c r="AF36" s="1782"/>
      <c r="AG36" s="1903"/>
      <c r="AH36" s="1906"/>
      <c r="AI36" s="1906"/>
      <c r="AJ36" s="1906"/>
      <c r="AK36" s="1899"/>
      <c r="AL36" s="1726"/>
      <c r="AM36" s="1733"/>
      <c r="AN36" s="1710"/>
      <c r="AO36" s="1710"/>
      <c r="AP36" s="1903"/>
      <c r="AQ36" s="1905"/>
      <c r="AR36" s="1906"/>
      <c r="AS36" s="1906"/>
      <c r="AT36" s="1899"/>
    </row>
    <row r="37" spans="1:46" ht="40.5" customHeight="1" x14ac:dyDescent="0.3">
      <c r="A37" s="2260">
        <v>45887</v>
      </c>
      <c r="B37" s="1244">
        <v>1</v>
      </c>
      <c r="C37" s="1782"/>
      <c r="D37" s="1729"/>
      <c r="E37" s="1782">
        <v>9</v>
      </c>
      <c r="F37" s="1730"/>
      <c r="G37" s="1749"/>
      <c r="H37" s="1921"/>
      <c r="I37" s="1714" t="s">
        <v>336</v>
      </c>
      <c r="J37" s="1743"/>
      <c r="K37" s="332"/>
      <c r="L37" s="1733"/>
      <c r="M37" s="1710"/>
      <c r="N37" s="1710"/>
      <c r="O37" s="1730"/>
      <c r="P37" s="1920"/>
      <c r="Q37" s="1723"/>
      <c r="R37" s="1710"/>
      <c r="S37" s="1743"/>
      <c r="T37" s="332"/>
      <c r="U37" s="1733"/>
      <c r="V37" s="1710"/>
      <c r="W37" s="1710"/>
      <c r="X37" s="1730"/>
      <c r="Y37" s="1920"/>
      <c r="Z37" s="1725"/>
      <c r="AA37" s="1738"/>
      <c r="AB37" s="1743"/>
      <c r="AC37" s="332"/>
      <c r="AD37" s="1733"/>
      <c r="AE37" s="1710"/>
      <c r="AF37" s="1710"/>
      <c r="AG37" s="1903"/>
      <c r="AH37" s="1906"/>
      <c r="AI37" s="1905"/>
      <c r="AJ37" s="1906"/>
      <c r="AK37" s="1899"/>
      <c r="AL37" s="1726"/>
      <c r="AM37" s="1733"/>
      <c r="AN37" s="1710"/>
      <c r="AO37" s="1710"/>
      <c r="AP37" s="1903"/>
      <c r="AQ37" s="1905"/>
      <c r="AR37" s="1906"/>
      <c r="AS37" s="1905"/>
      <c r="AT37" s="1899"/>
    </row>
    <row r="38" spans="1:46" ht="40.5" customHeight="1" x14ac:dyDescent="0.3">
      <c r="A38" s="2261"/>
      <c r="B38" s="1218">
        <v>2</v>
      </c>
      <c r="C38" s="1782"/>
      <c r="D38" s="1729"/>
      <c r="E38" s="1782"/>
      <c r="F38" s="1730"/>
      <c r="G38" s="1749"/>
      <c r="H38" s="1921"/>
      <c r="I38" s="1714"/>
      <c r="J38" s="1743"/>
      <c r="K38" s="332"/>
      <c r="L38" s="1733"/>
      <c r="M38" s="1710"/>
      <c r="N38" s="1710"/>
      <c r="O38" s="1730"/>
      <c r="P38" s="1921"/>
      <c r="Q38" s="1921"/>
      <c r="R38" s="1710"/>
      <c r="S38" s="1743"/>
      <c r="T38" s="332"/>
      <c r="U38" s="1733"/>
      <c r="V38" s="1710"/>
      <c r="W38" s="1710"/>
      <c r="X38" s="1730"/>
      <c r="Y38" s="1921"/>
      <c r="Z38" s="1725"/>
      <c r="AA38" s="1738"/>
      <c r="AB38" s="1743"/>
      <c r="AC38" s="332"/>
      <c r="AD38" s="1733"/>
      <c r="AE38" s="1710"/>
      <c r="AF38" s="1710"/>
      <c r="AG38" s="1903"/>
      <c r="AH38" s="1906"/>
      <c r="AI38" s="1905"/>
      <c r="AJ38" s="1906"/>
      <c r="AK38" s="1899"/>
      <c r="AL38" s="1726"/>
      <c r="AM38" s="1733">
        <v>563</v>
      </c>
      <c r="AN38" s="1710"/>
      <c r="AO38" s="1710"/>
      <c r="AP38" s="1903"/>
      <c r="AQ38" s="1905" t="s">
        <v>1077</v>
      </c>
      <c r="AR38" s="1906"/>
      <c r="AS38" s="1906"/>
      <c r="AT38" s="1899"/>
    </row>
    <row r="39" spans="1:46" ht="42" customHeight="1" x14ac:dyDescent="0.3">
      <c r="A39" s="2260">
        <v>45888</v>
      </c>
      <c r="B39" s="1218">
        <v>1</v>
      </c>
      <c r="C39" s="1782"/>
      <c r="D39" s="1729"/>
      <c r="E39" s="1729"/>
      <c r="F39" s="1730"/>
      <c r="G39" s="1749"/>
      <c r="H39" s="1923"/>
      <c r="I39" s="1714"/>
      <c r="J39" s="1743"/>
      <c r="K39" s="332"/>
      <c r="L39" s="1733"/>
      <c r="M39" s="1710"/>
      <c r="N39" s="1710"/>
      <c r="O39" s="1730"/>
      <c r="P39" s="1749"/>
      <c r="Q39" s="1723"/>
      <c r="R39" s="1710"/>
      <c r="S39" s="1743"/>
      <c r="T39" s="332"/>
      <c r="U39" s="1733"/>
      <c r="V39" s="1710"/>
      <c r="W39" s="1710">
        <v>10</v>
      </c>
      <c r="X39" s="1730"/>
      <c r="Y39" s="1922"/>
      <c r="Z39" s="1723"/>
      <c r="AA39" s="1738" t="s">
        <v>152</v>
      </c>
      <c r="AB39" s="1743"/>
      <c r="AC39" s="332"/>
      <c r="AD39" s="1733"/>
      <c r="AE39" s="1710"/>
      <c r="AF39" s="1710"/>
      <c r="AG39" s="1903"/>
      <c r="AH39" s="1899"/>
      <c r="AI39" s="1898"/>
      <c r="AJ39" s="1906"/>
      <c r="AK39" s="1899"/>
      <c r="AL39" s="1726"/>
      <c r="AM39" s="1733"/>
      <c r="AN39" s="1710">
        <v>10</v>
      </c>
      <c r="AO39" s="1710"/>
      <c r="AP39" s="1903"/>
      <c r="AQ39" s="1905"/>
      <c r="AR39" s="1906" t="s">
        <v>1123</v>
      </c>
      <c r="AS39" s="1906"/>
      <c r="AT39" s="1899"/>
    </row>
    <row r="40" spans="1:46" ht="43.5" customHeight="1" x14ac:dyDescent="0.3">
      <c r="A40" s="2261"/>
      <c r="B40" s="1218">
        <v>2</v>
      </c>
      <c r="C40" s="1729"/>
      <c r="D40" s="1729">
        <v>128</v>
      </c>
      <c r="E40" s="1729"/>
      <c r="F40" s="1730"/>
      <c r="G40" s="1749"/>
      <c r="H40" s="1923" t="s">
        <v>96</v>
      </c>
      <c r="I40" s="1714"/>
      <c r="J40" s="1743"/>
      <c r="K40" s="332"/>
      <c r="L40" s="1733">
        <v>36</v>
      </c>
      <c r="M40" s="1710"/>
      <c r="N40" s="1710"/>
      <c r="O40" s="1730"/>
      <c r="P40" s="1712" t="s">
        <v>113</v>
      </c>
      <c r="Q40" s="1713"/>
      <c r="R40" s="1749"/>
      <c r="S40" s="1743"/>
      <c r="T40" s="332"/>
      <c r="U40" s="1733"/>
      <c r="V40" s="1710">
        <v>68</v>
      </c>
      <c r="W40" s="1710"/>
      <c r="X40" s="1730"/>
      <c r="Y40" s="1923"/>
      <c r="Z40" s="1710" t="s">
        <v>664</v>
      </c>
      <c r="AA40" s="1738"/>
      <c r="AB40" s="1743"/>
      <c r="AC40" s="332"/>
      <c r="AD40" s="1733"/>
      <c r="AE40" s="1710"/>
      <c r="AF40" s="1710"/>
      <c r="AG40" s="1903"/>
      <c r="AH40" s="1906"/>
      <c r="AI40" s="1899"/>
      <c r="AJ40" s="1906"/>
      <c r="AK40" s="1899"/>
      <c r="AL40" s="1726"/>
      <c r="AM40" s="1784"/>
      <c r="AN40" s="1710"/>
      <c r="AO40" s="1710"/>
      <c r="AP40" s="1903"/>
      <c r="AQ40" s="1905"/>
      <c r="AR40" s="1906"/>
      <c r="AS40" s="1899"/>
      <c r="AT40" s="1899"/>
    </row>
    <row r="41" spans="1:46" ht="39.6" customHeight="1" x14ac:dyDescent="0.3">
      <c r="A41" s="2260">
        <v>45889</v>
      </c>
      <c r="B41" s="1218">
        <v>1</v>
      </c>
      <c r="C41" s="1728"/>
      <c r="D41" s="1729"/>
      <c r="E41" s="1729">
        <v>7</v>
      </c>
      <c r="F41" s="1730">
        <v>150</v>
      </c>
      <c r="G41" s="1712"/>
      <c r="H41" s="1723"/>
      <c r="I41" s="1714" t="s">
        <v>325</v>
      </c>
      <c r="J41" s="1743" t="s">
        <v>1124</v>
      </c>
      <c r="K41" s="332"/>
      <c r="L41" s="1733"/>
      <c r="M41" s="1710"/>
      <c r="N41" s="1710"/>
      <c r="O41" s="1730">
        <v>145</v>
      </c>
      <c r="P41" s="1924"/>
      <c r="Q41" s="1710"/>
      <c r="R41" s="1749"/>
      <c r="S41" s="1743" t="s">
        <v>1124</v>
      </c>
      <c r="T41" s="332"/>
      <c r="U41" s="1733"/>
      <c r="V41" s="1710">
        <v>9</v>
      </c>
      <c r="W41" s="1710"/>
      <c r="X41" s="1730">
        <v>155</v>
      </c>
      <c r="Y41" s="1924"/>
      <c r="Z41" s="1725" t="s">
        <v>664</v>
      </c>
      <c r="AA41" s="1738"/>
      <c r="AB41" s="1743" t="s">
        <v>1124</v>
      </c>
      <c r="AC41" s="332"/>
      <c r="AD41" s="1733">
        <v>15</v>
      </c>
      <c r="AE41" s="1710"/>
      <c r="AF41" s="1710"/>
      <c r="AG41" s="1903">
        <v>163</v>
      </c>
      <c r="AH41" s="1906" t="s">
        <v>113</v>
      </c>
      <c r="AI41" s="1906"/>
      <c r="AJ41" s="1905"/>
      <c r="AK41" s="1899" t="s">
        <v>1124</v>
      </c>
      <c r="AL41" s="1726"/>
      <c r="AM41" s="1733"/>
      <c r="AN41" s="1710"/>
      <c r="AO41" s="1710"/>
      <c r="AP41" s="1903">
        <v>166</v>
      </c>
      <c r="AQ41" s="1905"/>
      <c r="AR41" s="1906"/>
      <c r="AS41" s="1899"/>
      <c r="AT41" s="1899" t="s">
        <v>1124</v>
      </c>
    </row>
    <row r="42" spans="1:46" ht="52.9" customHeight="1" x14ac:dyDescent="0.3">
      <c r="A42" s="2261"/>
      <c r="B42" s="1218">
        <v>2</v>
      </c>
      <c r="C42" s="1729"/>
      <c r="D42" s="1729">
        <v>8</v>
      </c>
      <c r="E42" s="1729"/>
      <c r="F42" s="1730"/>
      <c r="G42" s="1712"/>
      <c r="H42" s="1723" t="s">
        <v>866</v>
      </c>
      <c r="I42" s="1749"/>
      <c r="J42" s="1743"/>
      <c r="K42" s="332"/>
      <c r="L42" s="1733"/>
      <c r="M42" s="1710"/>
      <c r="N42" s="1710"/>
      <c r="O42" s="1730"/>
      <c r="P42" s="1924"/>
      <c r="Q42" s="1725"/>
      <c r="R42" s="1710"/>
      <c r="S42" s="1743"/>
      <c r="T42" s="332"/>
      <c r="U42" s="1733"/>
      <c r="V42" s="1710"/>
      <c r="W42" s="1710"/>
      <c r="X42" s="1730"/>
      <c r="Y42" s="1925"/>
      <c r="Z42" s="1710"/>
      <c r="AA42" s="1738"/>
      <c r="AB42" s="1743"/>
      <c r="AC42" s="332"/>
      <c r="AD42" s="1733"/>
      <c r="AE42" s="1710"/>
      <c r="AF42" s="1710">
        <v>5</v>
      </c>
      <c r="AG42" s="1903"/>
      <c r="AH42" s="1905"/>
      <c r="AI42" s="1906"/>
      <c r="AJ42" s="1905" t="s">
        <v>336</v>
      </c>
      <c r="AK42" s="1899"/>
      <c r="AL42" s="1726"/>
      <c r="AM42" s="1733"/>
      <c r="AN42" s="1710">
        <v>45</v>
      </c>
      <c r="AO42" s="1710"/>
      <c r="AP42" s="1903"/>
      <c r="AQ42" s="1905"/>
      <c r="AR42" s="1906" t="s">
        <v>1125</v>
      </c>
      <c r="AS42" s="1905"/>
      <c r="AT42" s="1899"/>
    </row>
    <row r="43" spans="1:46" ht="40.5" customHeight="1" x14ac:dyDescent="0.3">
      <c r="A43" s="2260">
        <v>45890</v>
      </c>
      <c r="B43" s="1218">
        <v>1</v>
      </c>
      <c r="C43" s="1729"/>
      <c r="D43" s="1729"/>
      <c r="E43" s="1729"/>
      <c r="F43" s="1730"/>
      <c r="G43" s="1713"/>
      <c r="H43" s="1713"/>
      <c r="I43" s="1749"/>
      <c r="J43" s="1743"/>
      <c r="K43" s="332"/>
      <c r="L43" s="1733"/>
      <c r="M43" s="1710"/>
      <c r="N43" s="1710"/>
      <c r="O43" s="1730"/>
      <c r="P43" s="1926"/>
      <c r="Q43" s="1710"/>
      <c r="R43" s="1710"/>
      <c r="S43" s="1743"/>
      <c r="T43" s="332"/>
      <c r="U43" s="1733"/>
      <c r="V43" s="1710"/>
      <c r="W43" s="1710"/>
      <c r="X43" s="1730"/>
      <c r="Y43" s="1926"/>
      <c r="Z43" s="1710"/>
      <c r="AA43" s="1738"/>
      <c r="AB43" s="1743"/>
      <c r="AC43" s="332"/>
      <c r="AD43" s="1733"/>
      <c r="AE43" s="1710"/>
      <c r="AF43" s="1710"/>
      <c r="AG43" s="1903"/>
      <c r="AH43" s="1906"/>
      <c r="AI43" s="1899"/>
      <c r="AJ43" s="1905"/>
      <c r="AK43" s="1899"/>
      <c r="AL43" s="1726"/>
      <c r="AM43" s="1733"/>
      <c r="AN43" s="1710"/>
      <c r="AO43" s="1710"/>
      <c r="AP43" s="1903"/>
      <c r="AQ43" s="1906"/>
      <c r="AR43" s="1906"/>
      <c r="AS43" s="1905"/>
      <c r="AT43" s="1899"/>
    </row>
    <row r="44" spans="1:46" ht="45.75" customHeight="1" x14ac:dyDescent="0.3">
      <c r="A44" s="2261"/>
      <c r="B44" s="1218">
        <v>2</v>
      </c>
      <c r="C44" s="1729"/>
      <c r="D44" s="1729"/>
      <c r="E44" s="1729">
        <v>10</v>
      </c>
      <c r="F44" s="1730"/>
      <c r="G44" s="1713"/>
      <c r="H44" s="1927"/>
      <c r="I44" s="1749" t="s">
        <v>152</v>
      </c>
      <c r="J44" s="1743"/>
      <c r="K44" s="332"/>
      <c r="L44" s="1733"/>
      <c r="M44" s="1710"/>
      <c r="N44" s="1710"/>
      <c r="O44" s="1721"/>
      <c r="P44" s="1927"/>
      <c r="Q44" s="1710"/>
      <c r="R44" s="1725"/>
      <c r="S44" s="1743"/>
      <c r="T44" s="332"/>
      <c r="U44" s="1733"/>
      <c r="V44" s="1710"/>
      <c r="W44" s="1729">
        <v>15</v>
      </c>
      <c r="X44" s="1730"/>
      <c r="Y44" s="1713"/>
      <c r="Z44" s="1723"/>
      <c r="AA44" s="1738" t="s">
        <v>152</v>
      </c>
      <c r="AB44" s="1743"/>
      <c r="AC44" s="332"/>
      <c r="AD44" s="1733"/>
      <c r="AE44" s="1710"/>
      <c r="AF44" s="1710"/>
      <c r="AG44" s="1782"/>
      <c r="AH44" s="1905"/>
      <c r="AI44" s="1906"/>
      <c r="AJ44" s="1906"/>
      <c r="AK44" s="1899"/>
      <c r="AL44" s="1726"/>
      <c r="AM44" s="1733"/>
      <c r="AN44" s="1710"/>
      <c r="AO44" s="1710"/>
      <c r="AP44" s="1782"/>
      <c r="AQ44" s="1905"/>
      <c r="AR44" s="1906"/>
      <c r="AS44" s="1906"/>
      <c r="AT44" s="1899"/>
    </row>
    <row r="45" spans="1:46" ht="48.75" customHeight="1" x14ac:dyDescent="0.3">
      <c r="A45" s="2260">
        <v>45891</v>
      </c>
      <c r="B45" s="1218">
        <v>1</v>
      </c>
      <c r="C45" s="1729"/>
      <c r="D45" s="1729"/>
      <c r="E45" s="1729"/>
      <c r="F45" s="1730">
        <v>101</v>
      </c>
      <c r="G45" s="1713"/>
      <c r="H45" s="1713"/>
      <c r="I45" s="1749"/>
      <c r="J45" s="1743" t="s">
        <v>1126</v>
      </c>
      <c r="K45" s="332"/>
      <c r="L45" s="1733"/>
      <c r="M45" s="1710"/>
      <c r="N45" s="1710"/>
      <c r="O45" s="1721">
        <v>93</v>
      </c>
      <c r="P45" s="1926"/>
      <c r="Q45" s="1725" t="s">
        <v>1126</v>
      </c>
      <c r="R45" s="1710"/>
      <c r="S45" s="1743" t="s">
        <v>1126</v>
      </c>
      <c r="T45" s="332"/>
      <c r="U45" s="1733"/>
      <c r="V45" s="1725"/>
      <c r="W45" s="1710"/>
      <c r="X45" s="1730">
        <v>104</v>
      </c>
      <c r="Y45" s="1926"/>
      <c r="Z45" s="1725"/>
      <c r="AA45" s="1738"/>
      <c r="AB45" s="1743" t="s">
        <v>1126</v>
      </c>
      <c r="AC45" s="332"/>
      <c r="AD45" s="1733"/>
      <c r="AE45" s="1710"/>
      <c r="AF45" s="1710">
        <v>7</v>
      </c>
      <c r="AG45" s="1782">
        <v>105</v>
      </c>
      <c r="AH45" s="1905"/>
      <c r="AI45" s="1906"/>
      <c r="AJ45" s="1906" t="s">
        <v>336</v>
      </c>
      <c r="AK45" s="1899" t="s">
        <v>1126</v>
      </c>
      <c r="AL45" s="1726"/>
      <c r="AM45" s="1733"/>
      <c r="AN45" s="1710"/>
      <c r="AO45" s="1710"/>
      <c r="AP45" s="1782">
        <v>98</v>
      </c>
      <c r="AQ45" s="1905"/>
      <c r="AR45" s="1906"/>
      <c r="AS45" s="1905"/>
      <c r="AT45" s="1899" t="s">
        <v>1126</v>
      </c>
    </row>
    <row r="46" spans="1:46" ht="48.6" customHeight="1" x14ac:dyDescent="0.3">
      <c r="A46" s="2261"/>
      <c r="B46" s="1218">
        <v>2</v>
      </c>
      <c r="C46" s="1729"/>
      <c r="D46" s="1729"/>
      <c r="E46" s="1729"/>
      <c r="F46" s="1730"/>
      <c r="G46" s="1713"/>
      <c r="H46" s="1713"/>
      <c r="I46" s="1749"/>
      <c r="J46" s="1743"/>
      <c r="K46" s="332"/>
      <c r="L46" s="1733"/>
      <c r="M46" s="1710"/>
      <c r="N46" s="1710"/>
      <c r="O46" s="1562"/>
      <c r="P46" s="1926"/>
      <c r="Q46" s="1723"/>
      <c r="R46" s="1725"/>
      <c r="S46" s="1743"/>
      <c r="T46" s="332"/>
      <c r="U46" s="1733"/>
      <c r="V46" s="1710"/>
      <c r="W46" s="1710"/>
      <c r="X46" s="1721"/>
      <c r="Y46" s="1710"/>
      <c r="Z46" s="1710"/>
      <c r="AA46" s="1725"/>
      <c r="AB46" s="1743"/>
      <c r="AC46" s="332"/>
      <c r="AD46" s="1733"/>
      <c r="AE46" s="1710"/>
      <c r="AF46" s="1710"/>
      <c r="AG46" s="1782"/>
      <c r="AH46" s="1906"/>
      <c r="AI46" s="1906"/>
      <c r="AJ46" s="1906"/>
      <c r="AK46" s="1899"/>
      <c r="AL46" s="1726"/>
      <c r="AM46" s="1733"/>
      <c r="AN46" s="1710"/>
      <c r="AO46" s="1710"/>
      <c r="AP46" s="1782"/>
      <c r="AQ46" s="1905"/>
      <c r="AR46" s="1899"/>
      <c r="AS46" s="1906"/>
      <c r="AT46" s="1899"/>
    </row>
    <row r="47" spans="1:46" ht="43.5" customHeight="1" x14ac:dyDescent="0.3">
      <c r="A47" s="2260">
        <v>45892</v>
      </c>
      <c r="B47" s="1218">
        <v>1</v>
      </c>
      <c r="C47" s="1729"/>
      <c r="D47" s="1729"/>
      <c r="E47" s="1729">
        <v>7</v>
      </c>
      <c r="F47" s="1730"/>
      <c r="G47" s="1713"/>
      <c r="H47" s="1723"/>
      <c r="I47" s="1749" t="s">
        <v>388</v>
      </c>
      <c r="J47" s="1732"/>
      <c r="K47" s="332"/>
      <c r="L47" s="1733"/>
      <c r="M47" s="1710"/>
      <c r="N47" s="1710"/>
      <c r="O47" s="1721"/>
      <c r="P47" s="1926"/>
      <c r="Q47" s="1710"/>
      <c r="R47" s="1710"/>
      <c r="S47" s="1743"/>
      <c r="T47" s="332"/>
      <c r="U47" s="1733"/>
      <c r="V47" s="1710"/>
      <c r="W47" s="1710">
        <v>11</v>
      </c>
      <c r="X47" s="1721"/>
      <c r="Y47" s="1713"/>
      <c r="Z47" s="1725"/>
      <c r="AA47" s="1725" t="s">
        <v>388</v>
      </c>
      <c r="AB47" s="1743"/>
      <c r="AC47" s="332"/>
      <c r="AD47" s="1733"/>
      <c r="AE47" s="1710"/>
      <c r="AF47" s="1710"/>
      <c r="AG47" s="1782"/>
      <c r="AH47" s="1906"/>
      <c r="AI47" s="1899"/>
      <c r="AJ47" s="1899"/>
      <c r="AK47" s="1905"/>
      <c r="AL47" s="1726"/>
      <c r="AM47" s="1733">
        <v>15</v>
      </c>
      <c r="AN47" s="1710"/>
      <c r="AO47" s="1710"/>
      <c r="AP47" s="1782"/>
      <c r="AQ47" s="1905" t="s">
        <v>1093</v>
      </c>
      <c r="AR47" s="1899"/>
      <c r="AS47" s="1906"/>
      <c r="AT47" s="1899"/>
    </row>
    <row r="48" spans="1:46" ht="34.9" customHeight="1" x14ac:dyDescent="0.3">
      <c r="A48" s="2261"/>
      <c r="B48" s="1218">
        <v>2</v>
      </c>
      <c r="C48" s="1729">
        <v>5</v>
      </c>
      <c r="D48" s="1729"/>
      <c r="E48" s="1729"/>
      <c r="F48" s="1730"/>
      <c r="G48" s="1723" t="s">
        <v>743</v>
      </c>
      <c r="H48" s="1723"/>
      <c r="I48" s="1714"/>
      <c r="J48" s="1743"/>
      <c r="K48" s="332"/>
      <c r="L48" s="1733"/>
      <c r="M48" s="1710"/>
      <c r="N48" s="1710"/>
      <c r="O48" s="1730"/>
      <c r="P48" s="1723"/>
      <c r="Q48" s="1723"/>
      <c r="R48" s="1749"/>
      <c r="S48" s="1743"/>
      <c r="T48" s="332"/>
      <c r="U48" s="1733"/>
      <c r="V48" s="1710"/>
      <c r="W48" s="1710">
        <v>7</v>
      </c>
      <c r="X48" s="1730"/>
      <c r="Y48" s="1723"/>
      <c r="Z48" s="1723"/>
      <c r="AA48" s="1749" t="s">
        <v>388</v>
      </c>
      <c r="AB48" s="1743"/>
      <c r="AC48" s="332"/>
      <c r="AD48" s="1733"/>
      <c r="AE48" s="1710"/>
      <c r="AF48" s="1710"/>
      <c r="AG48" s="1903"/>
      <c r="AH48" s="1906"/>
      <c r="AI48" s="1899"/>
      <c r="AJ48" s="1899"/>
      <c r="AK48" s="1899"/>
      <c r="AL48" s="1726"/>
      <c r="AM48" s="1733"/>
      <c r="AN48" s="1768"/>
      <c r="AO48" s="1926">
        <v>84</v>
      </c>
      <c r="AP48" s="1782"/>
      <c r="AQ48" s="1928"/>
      <c r="AR48" s="1899"/>
      <c r="AS48" s="1906" t="s">
        <v>1130</v>
      </c>
      <c r="AT48" s="1899"/>
    </row>
    <row r="49" spans="1:46" ht="43.15" customHeight="1" x14ac:dyDescent="0.3">
      <c r="A49" s="2260">
        <v>45893</v>
      </c>
      <c r="B49" s="1218">
        <v>1</v>
      </c>
      <c r="C49" s="1729"/>
      <c r="D49" s="1729"/>
      <c r="E49" s="1729"/>
      <c r="F49" s="1730"/>
      <c r="G49" s="1713"/>
      <c r="H49" s="1713"/>
      <c r="I49" s="1714"/>
      <c r="J49" s="1743"/>
      <c r="K49" s="332"/>
      <c r="L49" s="1733"/>
      <c r="M49" s="1710"/>
      <c r="N49" s="1710"/>
      <c r="O49" s="1730"/>
      <c r="P49" s="1723"/>
      <c r="Q49" s="1713"/>
      <c r="R49" s="1749"/>
      <c r="S49" s="1743"/>
      <c r="T49" s="332"/>
      <c r="U49" s="1733"/>
      <c r="V49" s="1710"/>
      <c r="W49" s="1710"/>
      <c r="X49" s="1730"/>
      <c r="Y49" s="1723"/>
      <c r="Z49" s="1725"/>
      <c r="AA49" s="1749"/>
      <c r="AB49" s="1743"/>
      <c r="AC49" s="332"/>
      <c r="AD49" s="1733"/>
      <c r="AE49" s="1710"/>
      <c r="AF49" s="1710"/>
      <c r="AG49" s="1903"/>
      <c r="AH49" s="1906"/>
      <c r="AI49" s="1898"/>
      <c r="AJ49" s="1899"/>
      <c r="AK49" s="1899"/>
      <c r="AL49" s="1726"/>
      <c r="AM49" s="1733"/>
      <c r="AN49" s="1768"/>
      <c r="AO49" s="1926"/>
      <c r="AP49" s="1782"/>
      <c r="AQ49" s="1898"/>
      <c r="AR49" s="1899"/>
      <c r="AS49" s="1899"/>
      <c r="AT49" s="1899"/>
    </row>
    <row r="50" spans="1:46" ht="51.6" customHeight="1" x14ac:dyDescent="0.3">
      <c r="A50" s="2261"/>
      <c r="B50" s="1218">
        <v>2</v>
      </c>
      <c r="C50" s="1729"/>
      <c r="D50" s="1729"/>
      <c r="E50" s="1729">
        <v>51</v>
      </c>
      <c r="F50" s="1730"/>
      <c r="G50" s="1713"/>
      <c r="H50" s="1713"/>
      <c r="I50" s="1714" t="s">
        <v>1127</v>
      </c>
      <c r="J50" s="1743"/>
      <c r="K50" s="332"/>
      <c r="L50" s="1733"/>
      <c r="M50" s="1710"/>
      <c r="N50" s="1710"/>
      <c r="O50" s="1730"/>
      <c r="P50" s="1713"/>
      <c r="Q50" s="1713"/>
      <c r="R50" s="1749"/>
      <c r="S50" s="1743"/>
      <c r="T50" s="332"/>
      <c r="U50" s="1733"/>
      <c r="V50" s="1710"/>
      <c r="W50" s="1710">
        <v>41</v>
      </c>
      <c r="X50" s="1730"/>
      <c r="Y50" s="1713"/>
      <c r="Z50" s="1713"/>
      <c r="AA50" s="1749" t="s">
        <v>1127</v>
      </c>
      <c r="AB50" s="1743"/>
      <c r="AC50" s="332"/>
      <c r="AD50" s="1733"/>
      <c r="AE50" s="1710"/>
      <c r="AF50" s="1710"/>
      <c r="AG50" s="1903"/>
      <c r="AH50" s="1906"/>
      <c r="AI50" s="1898"/>
      <c r="AJ50" s="1899"/>
      <c r="AK50" s="1899"/>
      <c r="AL50" s="1726"/>
      <c r="AM50" s="1733"/>
      <c r="AN50" s="1768"/>
      <c r="AO50" s="1710"/>
      <c r="AP50" s="1782"/>
      <c r="AQ50" s="1898"/>
      <c r="AR50" s="1899"/>
      <c r="AS50" s="1899"/>
      <c r="AT50" s="1899"/>
    </row>
    <row r="51" spans="1:46" ht="34.9" customHeight="1" x14ac:dyDescent="0.3">
      <c r="A51" s="2260">
        <v>45894</v>
      </c>
      <c r="B51" s="1218">
        <v>1</v>
      </c>
      <c r="C51" s="1729"/>
      <c r="D51" s="1729"/>
      <c r="E51" s="1729"/>
      <c r="F51" s="1730"/>
      <c r="G51" s="1713"/>
      <c r="H51" s="1713"/>
      <c r="I51" s="1714"/>
      <c r="J51" s="1743"/>
      <c r="K51" s="332"/>
      <c r="L51" s="1733"/>
      <c r="M51" s="1710"/>
      <c r="N51" s="1710"/>
      <c r="O51" s="1730"/>
      <c r="P51" s="1713"/>
      <c r="Q51" s="1713"/>
      <c r="R51" s="1749"/>
      <c r="S51" s="1743"/>
      <c r="T51" s="332"/>
      <c r="U51" s="1733"/>
      <c r="V51" s="1710"/>
      <c r="W51" s="1710">
        <v>13</v>
      </c>
      <c r="X51" s="1730"/>
      <c r="Y51" s="1713"/>
      <c r="Z51" s="1713"/>
      <c r="AA51" s="1749" t="s">
        <v>152</v>
      </c>
      <c r="AB51" s="1743"/>
      <c r="AC51" s="332"/>
      <c r="AD51" s="1733"/>
      <c r="AE51" s="1710"/>
      <c r="AF51" s="1710"/>
      <c r="AG51" s="1903"/>
      <c r="AH51" s="1898"/>
      <c r="AI51" s="1898"/>
      <c r="AJ51" s="1899"/>
      <c r="AK51" s="1899"/>
      <c r="AL51" s="1726"/>
      <c r="AM51" s="1733"/>
      <c r="AN51" s="1768"/>
      <c r="AO51" s="1741"/>
      <c r="AP51" s="1782"/>
      <c r="AQ51" s="1898"/>
      <c r="AR51" s="1899"/>
      <c r="AS51" s="1899"/>
      <c r="AT51" s="1899"/>
    </row>
    <row r="52" spans="1:46" ht="49.15" customHeight="1" x14ac:dyDescent="0.3">
      <c r="A52" s="2261"/>
      <c r="B52" s="1218">
        <v>2</v>
      </c>
      <c r="C52" s="1729"/>
      <c r="D52" s="1729"/>
      <c r="E52" s="1729"/>
      <c r="F52" s="1730"/>
      <c r="G52" s="1723"/>
      <c r="H52" s="1723"/>
      <c r="I52" s="1714"/>
      <c r="J52" s="1743"/>
      <c r="K52" s="332"/>
      <c r="L52" s="1733"/>
      <c r="M52" s="1710"/>
      <c r="N52" s="1710"/>
      <c r="O52" s="1730"/>
      <c r="P52" s="1723"/>
      <c r="Q52" s="1723"/>
      <c r="R52" s="1749"/>
      <c r="S52" s="1743"/>
      <c r="T52" s="332"/>
      <c r="U52" s="1733"/>
      <c r="V52" s="1710"/>
      <c r="W52" s="1710"/>
      <c r="X52" s="1730"/>
      <c r="Y52" s="1723"/>
      <c r="Z52" s="1723"/>
      <c r="AA52" s="1749"/>
      <c r="AB52" s="1743"/>
      <c r="AC52" s="332"/>
      <c r="AD52" s="1733"/>
      <c r="AE52" s="1710"/>
      <c r="AF52" s="1710"/>
      <c r="AG52" s="1903"/>
      <c r="AH52" s="1899"/>
      <c r="AI52" s="1899"/>
      <c r="AJ52" s="1899"/>
      <c r="AK52" s="1899"/>
      <c r="AL52" s="1726"/>
      <c r="AM52" s="1733"/>
      <c r="AN52" s="1782"/>
      <c r="AO52" s="1746"/>
      <c r="AP52" s="1782"/>
      <c r="AQ52" s="1905"/>
      <c r="AR52" s="1899"/>
      <c r="AS52" s="1899"/>
      <c r="AT52" s="1899"/>
    </row>
    <row r="53" spans="1:46" ht="48" customHeight="1" x14ac:dyDescent="0.3">
      <c r="A53" s="2260">
        <v>45895</v>
      </c>
      <c r="B53" s="1218">
        <v>1</v>
      </c>
      <c r="C53" s="1729"/>
      <c r="D53" s="1729"/>
      <c r="E53" s="1729"/>
      <c r="F53" s="1730"/>
      <c r="G53" s="1713"/>
      <c r="H53" s="1713"/>
      <c r="I53" s="1714"/>
      <c r="J53" s="1743"/>
      <c r="K53" s="332"/>
      <c r="L53" s="1733"/>
      <c r="M53" s="1710"/>
      <c r="N53" s="1710"/>
      <c r="O53" s="1721"/>
      <c r="P53" s="1927"/>
      <c r="Q53" s="1723"/>
      <c r="R53" s="1710"/>
      <c r="S53" s="1743"/>
      <c r="T53" s="332"/>
      <c r="U53" s="1733"/>
      <c r="V53" s="1710"/>
      <c r="W53" s="1710">
        <v>5</v>
      </c>
      <c r="X53" s="1721"/>
      <c r="Y53" s="1927"/>
      <c r="Z53" s="1710"/>
      <c r="AA53" s="1738" t="s">
        <v>578</v>
      </c>
      <c r="AB53" s="1721"/>
      <c r="AC53" s="332"/>
      <c r="AD53" s="1733"/>
      <c r="AE53" s="1725"/>
      <c r="AF53" s="1710"/>
      <c r="AG53" s="1782"/>
      <c r="AH53" s="1905"/>
      <c r="AI53" s="1905"/>
      <c r="AJ53" s="1906"/>
      <c r="AK53" s="1905"/>
      <c r="AL53" s="1726"/>
      <c r="AM53" s="1733"/>
      <c r="AN53" s="1759"/>
      <c r="AO53" s="1763"/>
      <c r="AP53" s="1782"/>
      <c r="AQ53" s="1906"/>
      <c r="AR53" s="1899"/>
      <c r="AS53" s="1905"/>
      <c r="AT53" s="1899"/>
    </row>
    <row r="54" spans="1:46" ht="45.6" customHeight="1" x14ac:dyDescent="0.3">
      <c r="A54" s="2261"/>
      <c r="B54" s="1252">
        <v>2</v>
      </c>
      <c r="C54" s="1729"/>
      <c r="D54" s="1729"/>
      <c r="E54" s="1729"/>
      <c r="F54" s="1730"/>
      <c r="G54" s="1713"/>
      <c r="H54" s="1723"/>
      <c r="I54" s="1714"/>
      <c r="J54" s="1743"/>
      <c r="K54" s="332"/>
      <c r="L54" s="1733"/>
      <c r="M54" s="1710"/>
      <c r="N54" s="1710"/>
      <c r="O54" s="1730"/>
      <c r="P54" s="1713"/>
      <c r="Q54" s="1723"/>
      <c r="R54" s="1713"/>
      <c r="S54" s="1743"/>
      <c r="T54" s="332"/>
      <c r="U54" s="1733"/>
      <c r="V54" s="1710"/>
      <c r="W54" s="1710"/>
      <c r="X54" s="1730"/>
      <c r="Y54" s="1723"/>
      <c r="Z54" s="1723"/>
      <c r="AA54" s="1738"/>
      <c r="AB54" s="1743"/>
      <c r="AC54" s="332"/>
      <c r="AD54" s="1733"/>
      <c r="AE54" s="1710"/>
      <c r="AF54" s="1710"/>
      <c r="AG54" s="1782"/>
      <c r="AH54" s="1905"/>
      <c r="AI54" s="1899"/>
      <c r="AJ54" s="1906"/>
      <c r="AK54" s="1899"/>
      <c r="AL54" s="1726"/>
      <c r="AM54" s="1733"/>
      <c r="AN54" s="1759"/>
      <c r="AO54" s="1734"/>
      <c r="AP54" s="1782"/>
      <c r="AQ54" s="1906"/>
      <c r="AR54" s="1899"/>
      <c r="AS54" s="1899"/>
      <c r="AT54" s="1899"/>
    </row>
    <row r="55" spans="1:46" ht="39.6" customHeight="1" x14ac:dyDescent="0.3">
      <c r="A55" s="2260">
        <v>45896</v>
      </c>
      <c r="B55" s="1218">
        <v>1</v>
      </c>
      <c r="C55" s="1728"/>
      <c r="D55" s="1729"/>
      <c r="E55" s="1729"/>
      <c r="F55" s="1730"/>
      <c r="G55" s="1713"/>
      <c r="H55" s="1713"/>
      <c r="I55" s="1714"/>
      <c r="J55" s="1721"/>
      <c r="K55" s="332"/>
      <c r="L55" s="1733"/>
      <c r="M55" s="1710"/>
      <c r="N55" s="1710"/>
      <c r="O55" s="1721"/>
      <c r="P55" s="1929"/>
      <c r="Q55" s="1723"/>
      <c r="R55" s="1710"/>
      <c r="S55" s="1721"/>
      <c r="T55" s="332"/>
      <c r="U55" s="1733"/>
      <c r="V55" s="1710"/>
      <c r="W55" s="1710">
        <v>10</v>
      </c>
      <c r="X55" s="1721"/>
      <c r="Y55" s="1929"/>
      <c r="Z55" s="1713"/>
      <c r="AA55" s="1738" t="s">
        <v>152</v>
      </c>
      <c r="AB55" s="1721"/>
      <c r="AC55" s="332"/>
      <c r="AD55" s="1733"/>
      <c r="AE55" s="1710"/>
      <c r="AF55" s="1710"/>
      <c r="AG55" s="1782"/>
      <c r="AH55" s="1905"/>
      <c r="AI55" s="1899"/>
      <c r="AJ55" s="1906"/>
      <c r="AK55" s="1905"/>
      <c r="AL55" s="1726"/>
      <c r="AM55" s="1733"/>
      <c r="AN55" s="1759"/>
      <c r="AO55" s="1710"/>
      <c r="AP55" s="1782"/>
      <c r="AQ55" s="1905"/>
      <c r="AR55" s="1899"/>
      <c r="AS55" s="1899"/>
      <c r="AT55" s="1899"/>
    </row>
    <row r="56" spans="1:46" ht="47.25" customHeight="1" x14ac:dyDescent="0.3">
      <c r="A56" s="2261"/>
      <c r="B56" s="1252">
        <v>2</v>
      </c>
      <c r="C56" s="1728"/>
      <c r="D56" s="1729"/>
      <c r="E56" s="1729"/>
      <c r="F56" s="1730"/>
      <c r="G56" s="1723"/>
      <c r="H56" s="1723"/>
      <c r="I56" s="1714"/>
      <c r="J56" s="1743"/>
      <c r="K56" s="332"/>
      <c r="L56" s="1733"/>
      <c r="M56" s="1710"/>
      <c r="N56" s="1710"/>
      <c r="O56" s="1730"/>
      <c r="P56" s="1723"/>
      <c r="Q56" s="1713"/>
      <c r="R56" s="1723"/>
      <c r="S56" s="1743"/>
      <c r="T56" s="332"/>
      <c r="U56" s="1733"/>
      <c r="V56" s="1710"/>
      <c r="W56" s="1710"/>
      <c r="X56" s="1730"/>
      <c r="Y56" s="1931"/>
      <c r="Z56" s="1713"/>
      <c r="AA56" s="1738"/>
      <c r="AB56" s="1743"/>
      <c r="AC56" s="332"/>
      <c r="AD56" s="1733"/>
      <c r="AE56" s="1710"/>
      <c r="AF56" s="1710"/>
      <c r="AG56" s="1903"/>
      <c r="AH56" s="1899"/>
      <c r="AI56" s="1898"/>
      <c r="AJ56" s="1899"/>
      <c r="AK56" s="1899"/>
      <c r="AL56" s="1726"/>
      <c r="AM56" s="1733"/>
      <c r="AN56" s="1759"/>
      <c r="AO56" s="1710"/>
      <c r="AP56" s="1782"/>
      <c r="AQ56" s="1899"/>
      <c r="AR56" s="1899"/>
      <c r="AS56" s="1905"/>
      <c r="AT56" s="1899"/>
    </row>
    <row r="57" spans="1:46" ht="47.25" customHeight="1" x14ac:dyDescent="0.3">
      <c r="A57" s="2268">
        <v>45897</v>
      </c>
      <c r="B57" s="1252">
        <v>1</v>
      </c>
      <c r="C57" s="1728"/>
      <c r="D57" s="1729"/>
      <c r="E57" s="1729"/>
      <c r="F57" s="1730"/>
      <c r="G57" s="1723"/>
      <c r="H57" s="1723"/>
      <c r="I57" s="1714"/>
      <c r="J57" s="1743"/>
      <c r="K57" s="332"/>
      <c r="L57" s="1733"/>
      <c r="M57" s="1710"/>
      <c r="N57" s="1710"/>
      <c r="O57" s="1730"/>
      <c r="P57" s="1723"/>
      <c r="Q57" s="1713"/>
      <c r="R57" s="1723"/>
      <c r="S57" s="1743"/>
      <c r="T57" s="332"/>
      <c r="U57" s="1733"/>
      <c r="V57" s="1710"/>
      <c r="W57" s="1710"/>
      <c r="X57" s="1730"/>
      <c r="Y57" s="1931"/>
      <c r="Z57" s="1713"/>
      <c r="AA57" s="1738"/>
      <c r="AB57" s="1743"/>
      <c r="AC57" s="332"/>
      <c r="AD57" s="1733"/>
      <c r="AE57" s="1710"/>
      <c r="AF57" s="1710">
        <v>7</v>
      </c>
      <c r="AG57" s="1903"/>
      <c r="AH57" s="1899"/>
      <c r="AI57" s="1898"/>
      <c r="AJ57" s="1899" t="s">
        <v>336</v>
      </c>
      <c r="AK57" s="1899"/>
      <c r="AL57" s="1726"/>
      <c r="AM57" s="1733"/>
      <c r="AN57" s="1759"/>
      <c r="AO57" s="1710"/>
      <c r="AP57" s="1782"/>
      <c r="AQ57" s="1899"/>
      <c r="AR57" s="1899"/>
      <c r="AS57" s="1905"/>
      <c r="AT57" s="1899"/>
    </row>
    <row r="58" spans="1:46" ht="47.25" customHeight="1" x14ac:dyDescent="0.3">
      <c r="A58" s="2294"/>
      <c r="B58" s="1252">
        <v>2</v>
      </c>
      <c r="C58" s="1728"/>
      <c r="D58" s="1729"/>
      <c r="E58" s="1729">
        <v>10</v>
      </c>
      <c r="F58" s="1730"/>
      <c r="G58" s="1723"/>
      <c r="H58" s="1723"/>
      <c r="I58" s="1714" t="s">
        <v>152</v>
      </c>
      <c r="J58" s="1743"/>
      <c r="K58" s="332"/>
      <c r="L58" s="1733"/>
      <c r="M58" s="1710"/>
      <c r="N58" s="1710"/>
      <c r="O58" s="1730"/>
      <c r="P58" s="1723"/>
      <c r="Q58" s="1713"/>
      <c r="R58" s="1723"/>
      <c r="S58" s="1743"/>
      <c r="T58" s="332"/>
      <c r="U58" s="1733"/>
      <c r="V58" s="1710"/>
      <c r="W58" s="1710">
        <v>7</v>
      </c>
      <c r="X58" s="1730"/>
      <c r="Y58" s="1931"/>
      <c r="Z58" s="1713"/>
      <c r="AA58" s="1738" t="s">
        <v>388</v>
      </c>
      <c r="AB58" s="1743"/>
      <c r="AC58" s="332"/>
      <c r="AD58" s="1733"/>
      <c r="AE58" s="1710"/>
      <c r="AF58" s="1710"/>
      <c r="AG58" s="1903"/>
      <c r="AH58" s="1899"/>
      <c r="AI58" s="1898"/>
      <c r="AJ58" s="1899"/>
      <c r="AK58" s="1899"/>
      <c r="AL58" s="1726"/>
      <c r="AM58" s="1733"/>
      <c r="AN58" s="1759"/>
      <c r="AO58" s="1710"/>
      <c r="AP58" s="1782"/>
      <c r="AQ58" s="1899"/>
      <c r="AR58" s="1899"/>
      <c r="AS58" s="1905"/>
      <c r="AT58" s="1899"/>
    </row>
    <row r="59" spans="1:46" ht="47.25" customHeight="1" x14ac:dyDescent="0.3">
      <c r="A59" s="2268">
        <v>45898</v>
      </c>
      <c r="B59" s="1252">
        <v>1</v>
      </c>
      <c r="C59" s="1728"/>
      <c r="D59" s="1729"/>
      <c r="E59" s="1729"/>
      <c r="F59" s="1730"/>
      <c r="G59" s="1723"/>
      <c r="H59" s="1723"/>
      <c r="I59" s="1714"/>
      <c r="J59" s="1743"/>
      <c r="K59" s="332"/>
      <c r="L59" s="1733"/>
      <c r="M59" s="1710"/>
      <c r="N59" s="1710"/>
      <c r="O59" s="1730"/>
      <c r="P59" s="1723"/>
      <c r="Q59" s="1713"/>
      <c r="R59" s="1723"/>
      <c r="S59" s="1743"/>
      <c r="T59" s="332"/>
      <c r="U59" s="1733"/>
      <c r="V59" s="1710"/>
      <c r="W59" s="1710"/>
      <c r="X59" s="1730"/>
      <c r="Y59" s="1931"/>
      <c r="Z59" s="1713"/>
      <c r="AA59" s="1738"/>
      <c r="AB59" s="1743"/>
      <c r="AC59" s="332"/>
      <c r="AD59" s="1733"/>
      <c r="AE59" s="1710"/>
      <c r="AF59" s="1710"/>
      <c r="AG59" s="1903"/>
      <c r="AH59" s="1899"/>
      <c r="AI59" s="1898"/>
      <c r="AJ59" s="1899"/>
      <c r="AK59" s="1899"/>
      <c r="AL59" s="1726"/>
      <c r="AM59" s="1733"/>
      <c r="AN59" s="1759"/>
      <c r="AO59" s="1710"/>
      <c r="AP59" s="1782"/>
      <c r="AQ59" s="1899"/>
      <c r="AR59" s="1899"/>
      <c r="AS59" s="1905"/>
      <c r="AT59" s="1899"/>
    </row>
    <row r="60" spans="1:46" ht="47.25" customHeight="1" x14ac:dyDescent="0.3">
      <c r="A60" s="2294"/>
      <c r="B60" s="1252">
        <v>2</v>
      </c>
      <c r="C60" s="1728"/>
      <c r="D60" s="1729"/>
      <c r="E60" s="1729">
        <v>5</v>
      </c>
      <c r="F60" s="1730">
        <v>80</v>
      </c>
      <c r="G60" s="1723"/>
      <c r="H60" s="1723"/>
      <c r="I60" s="1714" t="s">
        <v>152</v>
      </c>
      <c r="J60" s="1743" t="s">
        <v>1128</v>
      </c>
      <c r="K60" s="332"/>
      <c r="L60" s="1733"/>
      <c r="M60" s="1710"/>
      <c r="N60" s="1710"/>
      <c r="O60" s="1730">
        <v>87</v>
      </c>
      <c r="P60" s="1723"/>
      <c r="Q60" s="1713"/>
      <c r="R60" s="1723"/>
      <c r="S60" s="1743" t="s">
        <v>1128</v>
      </c>
      <c r="T60" s="332"/>
      <c r="U60" s="1733"/>
      <c r="V60" s="1710"/>
      <c r="W60" s="1710"/>
      <c r="X60" s="1730">
        <v>84</v>
      </c>
      <c r="Y60" s="1931"/>
      <c r="Z60" s="1713"/>
      <c r="AA60" s="1738"/>
      <c r="AB60" s="1743" t="s">
        <v>1128</v>
      </c>
      <c r="AC60" s="332"/>
      <c r="AD60" s="1733"/>
      <c r="AE60" s="1710">
        <v>24</v>
      </c>
      <c r="AF60" s="1710">
        <v>129</v>
      </c>
      <c r="AG60" s="1903"/>
      <c r="AH60" s="1899"/>
      <c r="AI60" s="1898" t="s">
        <v>866</v>
      </c>
      <c r="AJ60" s="1899" t="s">
        <v>1129</v>
      </c>
      <c r="AK60" s="1899"/>
      <c r="AL60" s="1726"/>
      <c r="AM60" s="1733"/>
      <c r="AN60" s="1759"/>
      <c r="AO60" s="1710"/>
      <c r="AP60" s="1782">
        <v>85</v>
      </c>
      <c r="AQ60" s="1899"/>
      <c r="AR60" s="1899"/>
      <c r="AS60" s="1905"/>
      <c r="AT60" s="1899" t="s">
        <v>1128</v>
      </c>
    </row>
    <row r="61" spans="1:46" ht="47.25" customHeight="1" x14ac:dyDescent="0.3">
      <c r="B61" s="1252">
        <v>1</v>
      </c>
      <c r="C61" s="1728"/>
      <c r="D61" s="1729"/>
      <c r="E61" s="1729"/>
      <c r="F61" s="1730"/>
      <c r="G61" s="1723"/>
      <c r="H61" s="1723"/>
      <c r="I61" s="1714"/>
      <c r="J61" s="1743"/>
      <c r="K61" s="332"/>
      <c r="L61" s="1733"/>
      <c r="M61" s="1710"/>
      <c r="N61" s="1710"/>
      <c r="O61" s="1730"/>
      <c r="P61" s="1723"/>
      <c r="Q61" s="1713"/>
      <c r="R61" s="1723"/>
      <c r="S61" s="1743"/>
      <c r="T61" s="332"/>
      <c r="U61" s="1733"/>
      <c r="V61" s="1710"/>
      <c r="W61" s="1710"/>
      <c r="X61" s="1730"/>
      <c r="Y61" s="1931"/>
      <c r="Z61" s="1713"/>
      <c r="AA61" s="1738"/>
      <c r="AB61" s="1743"/>
      <c r="AC61" s="332"/>
      <c r="AD61" s="1733"/>
      <c r="AE61" s="1710"/>
      <c r="AF61" s="1710"/>
      <c r="AG61" s="1903"/>
      <c r="AH61" s="1899"/>
      <c r="AI61" s="1898"/>
      <c r="AJ61" s="1899"/>
      <c r="AK61" s="1899"/>
      <c r="AL61" s="1726"/>
      <c r="AM61" s="1733"/>
      <c r="AN61" s="1759"/>
      <c r="AO61" s="1710"/>
      <c r="AP61" s="1782"/>
      <c r="AQ61" s="1899"/>
      <c r="AR61" s="1899"/>
      <c r="AS61" s="1905"/>
      <c r="AT61" s="1899"/>
    </row>
    <row r="62" spans="1:46" ht="47.25" customHeight="1" x14ac:dyDescent="0.3">
      <c r="A62" s="1930">
        <v>45899</v>
      </c>
      <c r="B62" s="1252">
        <v>2</v>
      </c>
      <c r="C62" s="1728"/>
      <c r="D62" s="1729"/>
      <c r="E62" s="1729"/>
      <c r="F62" s="1730"/>
      <c r="G62" s="1723"/>
      <c r="H62" s="1723"/>
      <c r="I62" s="1714"/>
      <c r="J62" s="1743"/>
      <c r="K62" s="332"/>
      <c r="L62" s="1733"/>
      <c r="M62" s="1710"/>
      <c r="N62" s="1710"/>
      <c r="O62" s="1730"/>
      <c r="P62" s="1723"/>
      <c r="Q62" s="1713"/>
      <c r="R62" s="1723"/>
      <c r="S62" s="1743"/>
      <c r="T62" s="332"/>
      <c r="U62" s="1733"/>
      <c r="V62" s="1710"/>
      <c r="W62" s="1710"/>
      <c r="X62" s="1730"/>
      <c r="Y62" s="1931"/>
      <c r="Z62" s="1713"/>
      <c r="AA62" s="1738"/>
      <c r="AB62" s="1743"/>
      <c r="AC62" s="332"/>
      <c r="AD62" s="1733"/>
      <c r="AE62" s="1710"/>
      <c r="AF62" s="1710"/>
      <c r="AG62" s="1903"/>
      <c r="AH62" s="1899"/>
      <c r="AI62" s="1898"/>
      <c r="AJ62" s="1899"/>
      <c r="AK62" s="1899"/>
      <c r="AL62" s="1726"/>
      <c r="AM62" s="1733"/>
      <c r="AN62" s="1759"/>
      <c r="AO62" s="1710"/>
      <c r="AP62" s="1782"/>
      <c r="AQ62" s="1899"/>
      <c r="AR62" s="1899"/>
      <c r="AS62" s="1905"/>
      <c r="AT62" s="1899"/>
    </row>
    <row r="63" spans="1:46" ht="42" customHeight="1" x14ac:dyDescent="0.3">
      <c r="A63" s="2260">
        <v>45900</v>
      </c>
      <c r="B63" s="1218">
        <v>1</v>
      </c>
      <c r="C63" s="1728"/>
      <c r="D63" s="1729"/>
      <c r="E63" s="1729"/>
      <c r="F63" s="1730"/>
      <c r="G63" s="1723"/>
      <c r="H63" s="1723"/>
      <c r="I63" s="1714"/>
      <c r="J63" s="1743"/>
      <c r="K63" s="332"/>
      <c r="L63" s="1733"/>
      <c r="M63" s="1710"/>
      <c r="N63" s="1710"/>
      <c r="O63" s="1730"/>
      <c r="P63" s="1723"/>
      <c r="Q63" s="1713"/>
      <c r="R63" s="1723"/>
      <c r="S63" s="1743"/>
      <c r="T63" s="332"/>
      <c r="U63" s="1733"/>
      <c r="V63" s="1710"/>
      <c r="W63" s="1710"/>
      <c r="X63" s="1730"/>
      <c r="Y63" s="1723"/>
      <c r="Z63" s="1713"/>
      <c r="AA63" s="1725"/>
      <c r="AB63" s="1743"/>
      <c r="AC63" s="332"/>
      <c r="AD63" s="1733"/>
      <c r="AE63" s="1710"/>
      <c r="AF63" s="1710"/>
      <c r="AG63" s="1903"/>
      <c r="AH63" s="1899"/>
      <c r="AI63" s="1898"/>
      <c r="AJ63" s="1899"/>
      <c r="AK63" s="1899"/>
      <c r="AL63" s="1726"/>
      <c r="AM63" s="1733"/>
      <c r="AN63" s="1759"/>
      <c r="AO63" s="1710"/>
      <c r="AP63" s="1782"/>
      <c r="AQ63" s="1899"/>
      <c r="AR63" s="1899"/>
      <c r="AS63" s="1905"/>
      <c r="AT63" s="1899"/>
    </row>
    <row r="64" spans="1:46" ht="45" customHeight="1" x14ac:dyDescent="0.3">
      <c r="A64" s="2261"/>
      <c r="B64" s="1218">
        <v>2</v>
      </c>
      <c r="C64" s="1728"/>
      <c r="D64" s="1729"/>
      <c r="E64" s="1729"/>
      <c r="F64" s="1730"/>
      <c r="G64" s="1723"/>
      <c r="H64" s="1723"/>
      <c r="I64" s="1714"/>
      <c r="J64" s="1743"/>
      <c r="K64" s="332"/>
      <c r="L64" s="1733"/>
      <c r="M64" s="1710"/>
      <c r="N64" s="1710"/>
      <c r="O64" s="1730"/>
      <c r="P64" s="1723"/>
      <c r="Q64" s="1713"/>
      <c r="R64" s="1723"/>
      <c r="S64" s="1743"/>
      <c r="T64" s="332"/>
      <c r="U64" s="1733"/>
      <c r="V64" s="1710"/>
      <c r="W64" s="1710"/>
      <c r="X64" s="1730"/>
      <c r="Y64" s="1723"/>
      <c r="Z64" s="1713"/>
      <c r="AA64" s="1725"/>
      <c r="AB64" s="1743"/>
      <c r="AC64" s="332"/>
      <c r="AD64" s="1733"/>
      <c r="AE64" s="1710"/>
      <c r="AF64" s="1710"/>
      <c r="AG64" s="1903"/>
      <c r="AH64" s="1932"/>
      <c r="AI64" s="1933"/>
      <c r="AJ64" s="1934"/>
      <c r="AK64" s="1932"/>
      <c r="AL64" s="1726"/>
      <c r="AM64" s="1733"/>
      <c r="AN64" s="1710"/>
      <c r="AO64" s="1710"/>
      <c r="AP64" s="1782"/>
      <c r="AQ64" s="1932"/>
      <c r="AR64" s="1933"/>
      <c r="AS64" s="1935"/>
      <c r="AT64" s="1932"/>
    </row>
    <row r="65" spans="1:46" ht="18.75" x14ac:dyDescent="0.3">
      <c r="A65" s="301" t="s">
        <v>225</v>
      </c>
      <c r="B65" s="419"/>
      <c r="C65" s="1285">
        <f>SUM(C3:C64)</f>
        <v>5</v>
      </c>
      <c r="D65" s="419">
        <f>SUM(D3:D64)</f>
        <v>136</v>
      </c>
      <c r="E65" s="1285">
        <f>SUM(E3:E64)</f>
        <v>128</v>
      </c>
      <c r="F65" s="419">
        <f>SUM(F3:F64)</f>
        <v>378</v>
      </c>
      <c r="G65" s="301"/>
      <c r="H65" s="301"/>
      <c r="I65" s="301"/>
      <c r="J65" s="301"/>
      <c r="K65" s="301"/>
      <c r="L65" s="419">
        <f>SUM(L3:L64)</f>
        <v>73</v>
      </c>
      <c r="M65" s="419">
        <f>SUM(M3:M64)</f>
        <v>0</v>
      </c>
      <c r="N65" s="419">
        <f>SUM(N3:N64)</f>
        <v>0</v>
      </c>
      <c r="O65" s="419">
        <f>SUM(O3:O64)</f>
        <v>382</v>
      </c>
      <c r="P65" s="301"/>
      <c r="Q65" s="301"/>
      <c r="R65" s="301"/>
      <c r="S65" s="301"/>
      <c r="T65" s="301"/>
      <c r="U65" s="419">
        <f>SUM(U3:U64)</f>
        <v>25</v>
      </c>
      <c r="V65" s="419">
        <f>SUM(V3:V64)</f>
        <v>77</v>
      </c>
      <c r="W65" s="419">
        <f>SUM(W3:W64)</f>
        <v>204</v>
      </c>
      <c r="X65" s="419">
        <f>SUM(X3:X64)</f>
        <v>393</v>
      </c>
      <c r="Y65" s="301"/>
      <c r="Z65" s="301"/>
      <c r="AA65" s="301"/>
      <c r="AB65" s="301"/>
      <c r="AC65" s="301"/>
      <c r="AD65" s="419">
        <f>SUM(AD3:AD64)</f>
        <v>39</v>
      </c>
      <c r="AE65" s="419">
        <f>SUM(AE3:AE64)</f>
        <v>24</v>
      </c>
      <c r="AF65" s="419">
        <f>SUM(AF3:AF64)</f>
        <v>148</v>
      </c>
      <c r="AG65" s="419">
        <f>SUM(AG3:AG64)</f>
        <v>327</v>
      </c>
      <c r="AH65" s="301"/>
      <c r="AI65" s="301"/>
      <c r="AJ65" s="301"/>
      <c r="AK65" s="301"/>
      <c r="AL65" s="301"/>
      <c r="AM65" s="419">
        <f>SUM(AM3:AM64)</f>
        <v>690</v>
      </c>
      <c r="AN65" s="419">
        <f>SUM(AN3:AN64)</f>
        <v>55</v>
      </c>
      <c r="AO65" s="419">
        <f>SUM(AO3:AO64)</f>
        <v>84</v>
      </c>
      <c r="AP65" s="419">
        <f>SUM(AP3:AP64)</f>
        <v>841</v>
      </c>
      <c r="AQ65" s="301"/>
      <c r="AR65" s="301"/>
      <c r="AS65" s="301"/>
      <c r="AT65" s="301"/>
    </row>
    <row r="73" spans="1:46" ht="15.75" thickBot="1" x14ac:dyDescent="0.3"/>
    <row r="74" spans="1:46" ht="19.5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6" ht="19.5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6" ht="18.75" x14ac:dyDescent="0.3">
      <c r="B76" s="651" t="s">
        <v>218</v>
      </c>
      <c r="C76" s="652">
        <f>C65</f>
        <v>5</v>
      </c>
      <c r="D76" s="653">
        <f>C76/60</f>
        <v>8.3333333333333329E-2</v>
      </c>
      <c r="E76" s="652">
        <f>D65</f>
        <v>136</v>
      </c>
      <c r="F76" s="654">
        <f>E76/60</f>
        <v>2.2666666666666666</v>
      </c>
      <c r="G76" s="652">
        <f>E65</f>
        <v>128</v>
      </c>
      <c r="H76" s="653">
        <f>G76/60</f>
        <v>2.1333333333333333</v>
      </c>
      <c r="I76" s="652">
        <f>F65</f>
        <v>378</v>
      </c>
      <c r="J76" s="653">
        <f>I76/60</f>
        <v>6.3</v>
      </c>
    </row>
    <row r="77" spans="1:46" ht="18.75" x14ac:dyDescent="0.3">
      <c r="B77" s="651" t="s">
        <v>219</v>
      </c>
      <c r="C77" s="655">
        <f>L65</f>
        <v>73</v>
      </c>
      <c r="D77" s="656">
        <f>C77/60</f>
        <v>1.2166666666666666</v>
      </c>
      <c r="E77" s="655">
        <f>M65</f>
        <v>0</v>
      </c>
      <c r="F77" s="657">
        <f>E77/60</f>
        <v>0</v>
      </c>
      <c r="G77" s="655">
        <f>N65</f>
        <v>0</v>
      </c>
      <c r="H77" s="656">
        <f>G77/60</f>
        <v>0</v>
      </c>
      <c r="I77" s="655">
        <f>O65</f>
        <v>382</v>
      </c>
      <c r="J77" s="656">
        <f>I77/60</f>
        <v>6.3666666666666663</v>
      </c>
    </row>
    <row r="78" spans="1:46" ht="18.75" x14ac:dyDescent="0.3">
      <c r="B78" s="651" t="s">
        <v>220</v>
      </c>
      <c r="C78" s="655">
        <f>U65</f>
        <v>25</v>
      </c>
      <c r="D78" s="656">
        <f>C78/60</f>
        <v>0.41666666666666669</v>
      </c>
      <c r="E78" s="655">
        <f>V65</f>
        <v>77</v>
      </c>
      <c r="F78" s="657">
        <f>E78/60</f>
        <v>1.2833333333333334</v>
      </c>
      <c r="G78" s="655">
        <f>W65</f>
        <v>204</v>
      </c>
      <c r="H78" s="656">
        <f>G78/60</f>
        <v>3.4</v>
      </c>
      <c r="I78" s="655">
        <f>X65</f>
        <v>393</v>
      </c>
      <c r="J78" s="656">
        <f>I78/60</f>
        <v>6.55</v>
      </c>
    </row>
    <row r="79" spans="1:46" ht="19.5" thickBot="1" x14ac:dyDescent="0.35">
      <c r="B79" s="651" t="s">
        <v>221</v>
      </c>
      <c r="C79" s="658">
        <f>AD65</f>
        <v>39</v>
      </c>
      <c r="D79" s="659">
        <f>C79/60</f>
        <v>0.65</v>
      </c>
      <c r="E79" s="658">
        <f>AE65</f>
        <v>24</v>
      </c>
      <c r="F79" s="660">
        <f>E79/60</f>
        <v>0.4</v>
      </c>
      <c r="G79" s="658">
        <f>AF65</f>
        <v>148</v>
      </c>
      <c r="H79" s="659">
        <f>G79/60</f>
        <v>2.4666666666666668</v>
      </c>
      <c r="I79" s="658">
        <f>AG65</f>
        <v>327</v>
      </c>
      <c r="J79" s="659">
        <f>I79/60</f>
        <v>5.45</v>
      </c>
    </row>
    <row r="80" spans="1:46" ht="19.5" thickBot="1" x14ac:dyDescent="0.35">
      <c r="B80" s="651" t="s">
        <v>488</v>
      </c>
      <c r="C80" s="850">
        <f>AM65</f>
        <v>690</v>
      </c>
      <c r="D80" s="849">
        <f>C80/60</f>
        <v>11.5</v>
      </c>
      <c r="E80" s="850">
        <f>AN65</f>
        <v>55</v>
      </c>
      <c r="F80" s="851">
        <f>E80/60</f>
        <v>0.91666666666666663</v>
      </c>
      <c r="G80" s="850">
        <f>AO65</f>
        <v>84</v>
      </c>
      <c r="H80" s="849">
        <f>G80/60</f>
        <v>1.4</v>
      </c>
      <c r="I80" s="850">
        <f>AP65</f>
        <v>841</v>
      </c>
      <c r="J80" s="849">
        <f>I80/60</f>
        <v>14.016666666666667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13.866666666666667</v>
      </c>
      <c r="E82" s="666"/>
      <c r="F82" s="667">
        <f>SUM(F76:F80)</f>
        <v>4.8666666666666663</v>
      </c>
      <c r="G82" s="666"/>
      <c r="H82" s="667">
        <f>SUM(H76:H80)</f>
        <v>9.4</v>
      </c>
      <c r="I82" s="666"/>
      <c r="J82" s="668">
        <f>AVERAGE(J76:J80)</f>
        <v>7.7366666666666664</v>
      </c>
    </row>
  </sheetData>
  <mergeCells count="44">
    <mergeCell ref="I74:J74"/>
    <mergeCell ref="A53:A54"/>
    <mergeCell ref="A55:A56"/>
    <mergeCell ref="A63:A64"/>
    <mergeCell ref="C74:D74"/>
    <mergeCell ref="E74:F74"/>
    <mergeCell ref="G74:H74"/>
    <mergeCell ref="A57:A58"/>
    <mergeCell ref="A59:A60"/>
    <mergeCell ref="A51:A52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15:A16"/>
    <mergeCell ref="AD1:AG1"/>
    <mergeCell ref="AH1:AK1"/>
    <mergeCell ref="AM1:AP1"/>
    <mergeCell ref="A27:A28"/>
    <mergeCell ref="A7:A8"/>
    <mergeCell ref="A9:A10"/>
    <mergeCell ref="A11:A12"/>
    <mergeCell ref="A13:A14"/>
    <mergeCell ref="A17:A18"/>
    <mergeCell ref="A19:A20"/>
    <mergeCell ref="A21:A22"/>
    <mergeCell ref="A23:A24"/>
    <mergeCell ref="A25:A26"/>
    <mergeCell ref="AQ1:AT1"/>
    <mergeCell ref="A3:A4"/>
    <mergeCell ref="A5:A6"/>
    <mergeCell ref="C1:F1"/>
    <mergeCell ref="G1:J1"/>
    <mergeCell ref="L1:O1"/>
    <mergeCell ref="P1:S1"/>
    <mergeCell ref="U1:X1"/>
    <mergeCell ref="Y1:AB1"/>
  </mergeCell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0"/>
  <sheetViews>
    <sheetView zoomScale="55" zoomScaleNormal="55" workbookViewId="0">
      <pane xSplit="3" ySplit="2" topLeftCell="Z45" activePane="bottomRight" state="frozen"/>
      <selection pane="topRight" activeCell="D1" sqref="D1"/>
      <selection pane="bottomLeft" activeCell="A3" sqref="A3"/>
      <selection pane="bottomRight" activeCell="AR59" sqref="AR59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2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9.425781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6" style="524" bestFit="1" customWidth="1"/>
    <col min="17" max="17" width="42.140625" style="524" bestFit="1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6.140625" style="524" bestFit="1" customWidth="1"/>
    <col min="28" max="28" width="27" style="524" customWidth="1"/>
    <col min="29" max="33" width="10.7109375" style="524" customWidth="1"/>
    <col min="34" max="34" width="31.28515625" style="524" customWidth="1"/>
    <col min="35" max="35" width="23.285156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2" width="10.7109375" style="524" customWidth="1"/>
    <col min="43" max="43" width="32.28515625" style="524" customWidth="1"/>
    <col min="44" max="44" width="26.5703125" style="524" customWidth="1"/>
    <col min="45" max="45" width="31.140625" style="524" customWidth="1"/>
    <col min="46" max="46" width="26.5703125" style="524" customWidth="1"/>
    <col min="47" max="16384" width="8.85546875" style="524"/>
  </cols>
  <sheetData>
    <row r="1" spans="1:46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2" t="s">
        <v>206</v>
      </c>
      <c r="AR1" s="2252"/>
      <c r="AS1" s="2252"/>
      <c r="AT1" s="2253"/>
    </row>
    <row r="2" spans="1:46" ht="42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7" t="s">
        <v>199</v>
      </c>
      <c r="AI2" s="985" t="s">
        <v>200</v>
      </c>
      <c r="AJ2" s="985" t="s">
        <v>201</v>
      </c>
      <c r="AK2" s="985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7" t="s">
        <v>199</v>
      </c>
      <c r="AR2" s="985" t="s">
        <v>200</v>
      </c>
      <c r="AS2" s="985" t="s">
        <v>201</v>
      </c>
      <c r="AT2" s="985" t="s">
        <v>204</v>
      </c>
    </row>
    <row r="3" spans="1:46" ht="30" customHeight="1" x14ac:dyDescent="0.3">
      <c r="A3" s="2260">
        <v>45962</v>
      </c>
      <c r="B3" s="1200">
        <v>1</v>
      </c>
      <c r="C3" s="1708"/>
      <c r="D3" s="1709">
        <v>29</v>
      </c>
      <c r="E3" s="1710"/>
      <c r="F3" s="1711"/>
      <c r="G3" s="1712"/>
      <c r="H3" s="1713" t="s">
        <v>96</v>
      </c>
      <c r="I3" s="1714"/>
      <c r="J3" s="1715"/>
      <c r="K3" s="332"/>
      <c r="L3" s="1716"/>
      <c r="M3" s="1717"/>
      <c r="N3" s="1717"/>
      <c r="O3" s="1718"/>
      <c r="P3" s="1719"/>
      <c r="Q3" s="1720"/>
      <c r="R3" s="1720"/>
      <c r="S3" s="1718"/>
      <c r="T3" s="332"/>
      <c r="U3" s="1716"/>
      <c r="V3" s="1717"/>
      <c r="W3" s="1710">
        <v>12</v>
      </c>
      <c r="X3" s="1721"/>
      <c r="Y3" s="2013"/>
      <c r="Z3" s="1719"/>
      <c r="AA3" s="1723" t="s">
        <v>152</v>
      </c>
      <c r="AB3" s="1724"/>
      <c r="AC3" s="332"/>
      <c r="AD3" s="1716"/>
      <c r="AE3" s="1717"/>
      <c r="AF3" s="1710"/>
      <c r="AG3" s="1902"/>
      <c r="AH3" s="1905"/>
      <c r="AI3" s="1905"/>
      <c r="AJ3" s="1906"/>
      <c r="AK3" s="1905"/>
      <c r="AL3" s="1726"/>
      <c r="AM3" s="1716"/>
      <c r="AN3" s="1717"/>
      <c r="AO3" s="1710"/>
      <c r="AP3" s="1902"/>
      <c r="AQ3" s="1905"/>
      <c r="AR3" s="1906"/>
      <c r="AS3" s="1906"/>
      <c r="AT3" s="1905"/>
    </row>
    <row r="4" spans="1:46" ht="30" customHeight="1" x14ac:dyDescent="0.3">
      <c r="A4" s="2261"/>
      <c r="B4" s="1218">
        <v>2</v>
      </c>
      <c r="C4" s="1728"/>
      <c r="D4" s="1729">
        <v>64</v>
      </c>
      <c r="E4" s="1729"/>
      <c r="F4" s="1730"/>
      <c r="G4" s="1731"/>
      <c r="H4" s="1713" t="s">
        <v>96</v>
      </c>
      <c r="I4" s="1714"/>
      <c r="J4" s="1732"/>
      <c r="K4" s="332"/>
      <c r="L4" s="1733"/>
      <c r="M4" s="1710"/>
      <c r="N4" s="1710"/>
      <c r="O4" s="1721"/>
      <c r="P4" s="2011"/>
      <c r="Q4" s="1713"/>
      <c r="R4" s="1734"/>
      <c r="S4" s="1721"/>
      <c r="T4" s="332"/>
      <c r="U4" s="1733"/>
      <c r="V4" s="1725"/>
      <c r="W4" s="1710">
        <v>27</v>
      </c>
      <c r="X4" s="1721"/>
      <c r="Y4" s="1731"/>
      <c r="Z4" s="1723"/>
      <c r="AA4" s="1723" t="s">
        <v>152</v>
      </c>
      <c r="AB4" s="1735"/>
      <c r="AC4" s="332"/>
      <c r="AD4" s="1733"/>
      <c r="AE4" s="1710"/>
      <c r="AF4" s="1710"/>
      <c r="AG4" s="1782"/>
      <c r="AH4" s="1905"/>
      <c r="AI4" s="1899"/>
      <c r="AJ4" s="1906"/>
      <c r="AK4" s="1905"/>
      <c r="AL4" s="1726"/>
      <c r="AM4" s="1733"/>
      <c r="AN4" s="1710"/>
      <c r="AO4" s="1710"/>
      <c r="AP4" s="1782"/>
      <c r="AQ4" s="1905"/>
      <c r="AR4" s="1899"/>
      <c r="AS4" s="1905"/>
      <c r="AT4" s="1905"/>
    </row>
    <row r="5" spans="1:46" ht="30" customHeight="1" x14ac:dyDescent="0.3">
      <c r="A5" s="2260">
        <v>45963</v>
      </c>
      <c r="B5" s="1218">
        <v>1</v>
      </c>
      <c r="C5" s="1728">
        <v>144</v>
      </c>
      <c r="D5" s="1729"/>
      <c r="E5" s="1729"/>
      <c r="F5" s="1730"/>
      <c r="G5" s="1736" t="s">
        <v>45</v>
      </c>
      <c r="H5" s="1737"/>
      <c r="I5" s="1714"/>
      <c r="J5" s="1732"/>
      <c r="K5" s="332"/>
      <c r="L5" s="1733"/>
      <c r="M5" s="1710"/>
      <c r="N5" s="1710"/>
      <c r="O5" s="1721"/>
      <c r="P5" s="2011"/>
      <c r="Q5" s="1710"/>
      <c r="R5" s="1710"/>
      <c r="S5" s="1721"/>
      <c r="T5" s="332"/>
      <c r="U5" s="1733"/>
      <c r="V5" s="1710"/>
      <c r="W5" s="1710">
        <v>72</v>
      </c>
      <c r="X5" s="1721"/>
      <c r="Y5" s="2013"/>
      <c r="Z5" s="1713"/>
      <c r="AA5" s="1738" t="s">
        <v>1074</v>
      </c>
      <c r="AB5" s="1739"/>
      <c r="AC5" s="332"/>
      <c r="AD5" s="1733"/>
      <c r="AE5" s="1710"/>
      <c r="AF5" s="1710"/>
      <c r="AG5" s="1782"/>
      <c r="AH5" s="1905"/>
      <c r="AI5" s="1905"/>
      <c r="AJ5" s="1906"/>
      <c r="AK5" s="1905"/>
      <c r="AL5" s="1726"/>
      <c r="AM5" s="1733"/>
      <c r="AN5" s="1710"/>
      <c r="AO5" s="1710"/>
      <c r="AP5" s="1782"/>
      <c r="AQ5" s="1905"/>
      <c r="AR5" s="1905"/>
      <c r="AS5" s="1906"/>
      <c r="AT5" s="1905"/>
    </row>
    <row r="6" spans="1:46" ht="30" customHeight="1" x14ac:dyDescent="0.3">
      <c r="A6" s="2261"/>
      <c r="B6" s="1218">
        <v>2</v>
      </c>
      <c r="C6" s="1728">
        <v>720</v>
      </c>
      <c r="D6" s="1729"/>
      <c r="E6" s="1729"/>
      <c r="F6" s="1730"/>
      <c r="G6" s="1712" t="s">
        <v>45</v>
      </c>
      <c r="H6" s="1723"/>
      <c r="I6" s="1714"/>
      <c r="J6" s="1743"/>
      <c r="K6" s="332"/>
      <c r="L6" s="1733"/>
      <c r="M6" s="1710"/>
      <c r="N6" s="1710"/>
      <c r="O6" s="1721"/>
      <c r="P6" s="2011"/>
      <c r="Q6" s="1713"/>
      <c r="R6" s="1710"/>
      <c r="S6" s="1743"/>
      <c r="T6" s="332"/>
      <c r="U6" s="1733"/>
      <c r="V6" s="1710"/>
      <c r="W6" s="1710">
        <v>28</v>
      </c>
      <c r="X6" s="1721"/>
      <c r="Y6" s="2013"/>
      <c r="Z6" s="1713"/>
      <c r="AA6" s="1738" t="s">
        <v>152</v>
      </c>
      <c r="AB6" s="1743"/>
      <c r="AC6" s="332"/>
      <c r="AD6" s="1733"/>
      <c r="AE6" s="1710"/>
      <c r="AF6" s="1710"/>
      <c r="AG6" s="1782"/>
      <c r="AH6" s="1905"/>
      <c r="AI6" s="1905"/>
      <c r="AJ6" s="1899"/>
      <c r="AK6" s="1899"/>
      <c r="AL6" s="1726"/>
      <c r="AM6" s="1733"/>
      <c r="AN6" s="1710"/>
      <c r="AO6" s="1710"/>
      <c r="AP6" s="1782">
        <v>209</v>
      </c>
      <c r="AQ6" s="1906"/>
      <c r="AR6" s="1905"/>
      <c r="AS6" s="1906"/>
      <c r="AT6" s="1905" t="s">
        <v>1144</v>
      </c>
    </row>
    <row r="7" spans="1:46" ht="29.25" customHeight="1" x14ac:dyDescent="0.3">
      <c r="A7" s="2260">
        <v>45964</v>
      </c>
      <c r="B7" s="1218">
        <v>1</v>
      </c>
      <c r="C7" s="1728">
        <v>720</v>
      </c>
      <c r="D7" s="1729"/>
      <c r="E7" s="1729"/>
      <c r="F7" s="1730"/>
      <c r="G7" s="1712" t="s">
        <v>45</v>
      </c>
      <c r="H7" s="1723"/>
      <c r="I7" s="1714"/>
      <c r="J7" s="1743"/>
      <c r="K7" s="332"/>
      <c r="L7" s="1733"/>
      <c r="M7" s="2011"/>
      <c r="N7" s="1710"/>
      <c r="O7" s="1721"/>
      <c r="P7" s="2011"/>
      <c r="Q7" s="1533"/>
      <c r="R7" s="1710"/>
      <c r="S7" s="1742"/>
      <c r="T7" s="332"/>
      <c r="U7" s="1733"/>
      <c r="V7" s="1710"/>
      <c r="W7" s="1710"/>
      <c r="X7" s="1721"/>
      <c r="Y7" s="2013"/>
      <c r="Z7" s="1713"/>
      <c r="AA7" s="1738"/>
      <c r="AB7" s="1742"/>
      <c r="AC7" s="332"/>
      <c r="AD7" s="1733"/>
      <c r="AE7" s="1710"/>
      <c r="AF7" s="1710"/>
      <c r="AG7" s="1782"/>
      <c r="AH7" s="1905"/>
      <c r="AI7" s="1907"/>
      <c r="AJ7" s="1899"/>
      <c r="AK7" s="1905"/>
      <c r="AL7" s="1726"/>
      <c r="AM7" s="1733"/>
      <c r="AN7" s="1710"/>
      <c r="AO7" s="1710"/>
      <c r="AP7" s="1782"/>
      <c r="AQ7" s="1905"/>
      <c r="AR7" s="1905"/>
      <c r="AS7" s="1907"/>
      <c r="AT7" s="1899"/>
    </row>
    <row r="8" spans="1:46" ht="30" customHeight="1" x14ac:dyDescent="0.3">
      <c r="A8" s="2261"/>
      <c r="B8" s="1218">
        <v>2</v>
      </c>
      <c r="C8" s="1860">
        <v>720</v>
      </c>
      <c r="D8" s="1750"/>
      <c r="E8" s="1750"/>
      <c r="F8" s="1775"/>
      <c r="G8" s="1771" t="s">
        <v>45</v>
      </c>
      <c r="H8" s="1772"/>
      <c r="I8" s="1773"/>
      <c r="J8" s="1770"/>
      <c r="K8" s="332"/>
      <c r="L8" s="1733"/>
      <c r="M8" s="1710"/>
      <c r="N8" s="1710"/>
      <c r="O8" s="1721"/>
      <c r="P8" s="2011"/>
      <c r="Q8" s="1710"/>
      <c r="R8" s="1725"/>
      <c r="S8" s="1742"/>
      <c r="T8" s="332"/>
      <c r="U8" s="1751"/>
      <c r="V8" s="1748"/>
      <c r="W8" s="2011"/>
      <c r="X8" s="1721"/>
      <c r="Y8" s="2013"/>
      <c r="Z8" s="2012"/>
      <c r="AA8" s="1725"/>
      <c r="AB8" s="1743"/>
      <c r="AC8" s="332"/>
      <c r="AD8" s="1733"/>
      <c r="AE8" s="1710"/>
      <c r="AF8" s="1710">
        <v>23</v>
      </c>
      <c r="AG8" s="1782"/>
      <c r="AH8" s="1905"/>
      <c r="AI8" s="1906"/>
      <c r="AJ8" s="1899" t="s">
        <v>1035</v>
      </c>
      <c r="AK8" s="1899"/>
      <c r="AL8" s="1726"/>
      <c r="AM8" s="1733"/>
      <c r="AN8" s="1710"/>
      <c r="AO8" s="1710"/>
      <c r="AP8" s="1782"/>
      <c r="AQ8" s="1905"/>
      <c r="AR8" s="1906"/>
      <c r="AS8" s="1905"/>
      <c r="AT8" s="1899"/>
    </row>
    <row r="9" spans="1:46" ht="30" customHeight="1" x14ac:dyDescent="0.3">
      <c r="A9" s="2260">
        <v>45965</v>
      </c>
      <c r="B9" s="1218">
        <v>1</v>
      </c>
      <c r="C9" s="2016">
        <v>720</v>
      </c>
      <c r="D9" s="2017"/>
      <c r="E9" s="2017"/>
      <c r="F9" s="1729"/>
      <c r="G9" s="2018" t="s">
        <v>45</v>
      </c>
      <c r="H9" s="2017"/>
      <c r="I9" s="2017"/>
      <c r="J9" s="1532"/>
      <c r="K9" s="1869"/>
      <c r="L9" s="2019"/>
      <c r="M9" s="1957"/>
      <c r="N9" s="1957"/>
      <c r="O9" s="1729"/>
      <c r="P9" s="1958"/>
      <c r="Q9" s="1957"/>
      <c r="R9" s="1957"/>
      <c r="S9" s="1546"/>
      <c r="T9" s="332"/>
      <c r="U9" s="1751"/>
      <c r="V9" s="2011"/>
      <c r="W9" s="1710">
        <v>10</v>
      </c>
      <c r="X9" s="1721"/>
      <c r="Y9" s="2013"/>
      <c r="Z9" s="1710"/>
      <c r="AA9" s="2013" t="s">
        <v>743</v>
      </c>
      <c r="AB9" s="1532"/>
      <c r="AC9" s="332"/>
      <c r="AD9" s="1915"/>
      <c r="AE9" s="1757"/>
      <c r="AF9" s="1758"/>
      <c r="AG9" s="1903"/>
      <c r="AH9" s="1899"/>
      <c r="AI9" s="1898"/>
      <c r="AJ9" s="1894"/>
      <c r="AK9" s="1532"/>
      <c r="AL9" s="332"/>
      <c r="AM9" s="1733"/>
      <c r="AN9" s="1710"/>
      <c r="AO9" s="1710"/>
      <c r="AP9" s="1782"/>
      <c r="AQ9" s="1905"/>
      <c r="AR9" s="1905"/>
      <c r="AS9" s="1906"/>
      <c r="AT9" s="1532"/>
    </row>
    <row r="10" spans="1:46" ht="29.25" customHeight="1" x14ac:dyDescent="0.3">
      <c r="A10" s="2261"/>
      <c r="B10" s="1218">
        <v>2</v>
      </c>
      <c r="C10" s="1885">
        <v>720</v>
      </c>
      <c r="D10" s="1886"/>
      <c r="E10" s="1795"/>
      <c r="F10" s="1796"/>
      <c r="G10" s="1892" t="s">
        <v>45</v>
      </c>
      <c r="H10" s="1893"/>
      <c r="I10" s="1894"/>
      <c r="J10" s="1895"/>
      <c r="K10" s="332"/>
      <c r="L10" s="1733"/>
      <c r="M10" s="1710"/>
      <c r="N10" s="1710"/>
      <c r="O10" s="1721"/>
      <c r="P10" s="2014"/>
      <c r="Q10" s="1710"/>
      <c r="R10" s="1725"/>
      <c r="S10" s="1743"/>
      <c r="T10" s="332"/>
      <c r="U10" s="1733"/>
      <c r="V10" s="1710"/>
      <c r="W10" s="1710"/>
      <c r="X10" s="1721"/>
      <c r="Y10" s="2015"/>
      <c r="Z10" s="2015"/>
      <c r="AA10" s="2015"/>
      <c r="AB10" s="1743"/>
      <c r="AC10" s="332"/>
      <c r="AD10" s="1733"/>
      <c r="AE10" s="1710"/>
      <c r="AF10" s="1710"/>
      <c r="AG10" s="1782"/>
      <c r="AH10" s="1906"/>
      <c r="AI10" s="1906"/>
      <c r="AJ10" s="1899"/>
      <c r="AK10" s="1899"/>
      <c r="AL10" s="1726"/>
      <c r="AM10" s="1733">
        <v>85</v>
      </c>
      <c r="AN10" s="1710"/>
      <c r="AO10" s="1710"/>
      <c r="AP10" s="1782"/>
      <c r="AQ10" s="1905" t="s">
        <v>1145</v>
      </c>
      <c r="AR10" s="1905"/>
      <c r="AS10" s="1905"/>
      <c r="AT10" s="1899"/>
    </row>
    <row r="11" spans="1:46" ht="29.25" customHeight="1" x14ac:dyDescent="0.3">
      <c r="A11" s="2260">
        <v>45966</v>
      </c>
      <c r="B11" s="1218">
        <v>1</v>
      </c>
      <c r="C11" s="1870">
        <v>205</v>
      </c>
      <c r="D11" s="1871"/>
      <c r="E11" s="1872"/>
      <c r="F11" s="1873"/>
      <c r="G11" s="1896" t="s">
        <v>45</v>
      </c>
      <c r="H11" s="1893"/>
      <c r="I11" s="1893"/>
      <c r="J11" s="1897"/>
      <c r="K11" s="1874"/>
      <c r="L11" s="1875"/>
      <c r="M11" s="1876"/>
      <c r="N11" s="1876"/>
      <c r="O11" s="1877"/>
      <c r="P11" s="1878"/>
      <c r="Q11" s="1876"/>
      <c r="R11" s="1879"/>
      <c r="S11" s="1877"/>
      <c r="T11" s="1874"/>
      <c r="U11" s="1875"/>
      <c r="V11" s="1876"/>
      <c r="W11" s="1876"/>
      <c r="X11" s="1876"/>
      <c r="Y11" s="1877"/>
      <c r="Z11" s="1876"/>
      <c r="AA11" s="1880"/>
      <c r="AB11" s="1877"/>
      <c r="AC11" s="1874"/>
      <c r="AD11" s="1875"/>
      <c r="AE11" s="1876"/>
      <c r="AF11" s="1876"/>
      <c r="AG11" s="1904"/>
      <c r="AH11" s="1908"/>
      <c r="AI11" s="1908"/>
      <c r="AJ11" s="1893"/>
      <c r="AK11" s="1908"/>
      <c r="AL11" s="1881"/>
      <c r="AM11" s="1875"/>
      <c r="AN11" s="1876"/>
      <c r="AO11" s="1876"/>
      <c r="AP11" s="1904"/>
      <c r="AQ11" s="1908"/>
      <c r="AR11" s="1908"/>
      <c r="AS11" s="1908"/>
      <c r="AT11" s="1912"/>
    </row>
    <row r="12" spans="1:46" ht="30" customHeight="1" x14ac:dyDescent="0.3">
      <c r="A12" s="2261"/>
      <c r="B12" s="1218">
        <v>2</v>
      </c>
      <c r="C12" s="1728">
        <v>76</v>
      </c>
      <c r="D12" s="1766"/>
      <c r="E12" s="1729"/>
      <c r="F12" s="1730"/>
      <c r="G12" s="1892" t="s">
        <v>1147</v>
      </c>
      <c r="H12" s="1898"/>
      <c r="I12" s="1894"/>
      <c r="J12" s="1895"/>
      <c r="K12" s="332"/>
      <c r="L12" s="1801"/>
      <c r="M12" s="1734"/>
      <c r="N12" s="1734"/>
      <c r="O12" s="1796"/>
      <c r="P12" s="1959"/>
      <c r="Q12" s="1734"/>
      <c r="R12" s="1738"/>
      <c r="S12" s="1800"/>
      <c r="T12" s="332"/>
      <c r="U12" s="1733"/>
      <c r="V12" s="1710"/>
      <c r="W12" s="1869"/>
      <c r="X12" s="1869"/>
      <c r="Y12" s="2021"/>
      <c r="Z12" s="1723"/>
      <c r="AA12" s="1738"/>
      <c r="AB12" s="1743"/>
      <c r="AC12" s="332"/>
      <c r="AD12" s="1733"/>
      <c r="AE12" s="1710"/>
      <c r="AF12" s="1710"/>
      <c r="AG12" s="1782"/>
      <c r="AH12" s="1905"/>
      <c r="AI12" s="1906"/>
      <c r="AJ12" s="1899"/>
      <c r="AK12" s="1899"/>
      <c r="AL12" s="1726"/>
      <c r="AM12" s="1733"/>
      <c r="AN12" s="1710"/>
      <c r="AO12" s="1710"/>
      <c r="AP12" s="1782"/>
      <c r="AQ12" s="1905"/>
      <c r="AR12" s="1905"/>
      <c r="AS12" s="1906"/>
      <c r="AT12" s="1899"/>
    </row>
    <row r="13" spans="1:46" ht="30.75" customHeight="1" x14ac:dyDescent="0.3">
      <c r="A13" s="2260">
        <v>45967</v>
      </c>
      <c r="B13" s="1218">
        <v>1</v>
      </c>
      <c r="C13" s="1728"/>
      <c r="D13" s="1729"/>
      <c r="E13" s="1729"/>
      <c r="F13" s="1730"/>
      <c r="G13" s="1892"/>
      <c r="H13" s="1898"/>
      <c r="I13" s="1894"/>
      <c r="J13" s="1895"/>
      <c r="K13" s="332"/>
      <c r="L13" s="1733"/>
      <c r="M13" s="1710"/>
      <c r="N13" s="1710"/>
      <c r="O13" s="1730"/>
      <c r="P13" s="2020"/>
      <c r="Q13" s="1710"/>
      <c r="R13" s="1710"/>
      <c r="S13" s="1743"/>
      <c r="T13" s="332"/>
      <c r="U13" s="1733"/>
      <c r="V13" s="1710"/>
      <c r="W13" s="1710">
        <v>13</v>
      </c>
      <c r="X13" s="1730"/>
      <c r="Y13" s="2021"/>
      <c r="Z13" s="1725"/>
      <c r="AA13" s="1738" t="s">
        <v>1097</v>
      </c>
      <c r="AB13" s="1743"/>
      <c r="AC13" s="332"/>
      <c r="AD13" s="1733"/>
      <c r="AE13" s="1710"/>
      <c r="AF13" s="1710"/>
      <c r="AG13" s="1903"/>
      <c r="AH13" s="1905"/>
      <c r="AI13" s="1905"/>
      <c r="AJ13" s="1906"/>
      <c r="AK13" s="1899"/>
      <c r="AL13" s="1726"/>
      <c r="AM13" s="1733"/>
      <c r="AN13" s="1710"/>
      <c r="AO13" s="1710"/>
      <c r="AP13" s="1910"/>
      <c r="AQ13" s="1905"/>
      <c r="AR13" s="1905"/>
      <c r="AS13" s="1899"/>
      <c r="AT13" s="1899"/>
    </row>
    <row r="14" spans="1:46" ht="30" customHeight="1" x14ac:dyDescent="0.3">
      <c r="A14" s="2261"/>
      <c r="B14" s="1218">
        <v>2</v>
      </c>
      <c r="C14" s="1728"/>
      <c r="D14" s="1729"/>
      <c r="E14" s="1729"/>
      <c r="F14" s="1730"/>
      <c r="G14" s="1892"/>
      <c r="H14" s="1899"/>
      <c r="I14" s="1894"/>
      <c r="J14" s="1895"/>
      <c r="K14" s="332"/>
      <c r="L14" s="1733"/>
      <c r="M14" s="1710"/>
      <c r="N14" s="1710"/>
      <c r="O14" s="1730"/>
      <c r="P14" s="2021"/>
      <c r="Q14" s="1710"/>
      <c r="R14" s="1710"/>
      <c r="S14" s="1743"/>
      <c r="T14" s="332"/>
      <c r="U14" s="1733"/>
      <c r="V14" s="1710"/>
      <c r="W14" s="1710"/>
      <c r="X14" s="1730"/>
      <c r="Y14" s="2021"/>
      <c r="Z14" s="1725"/>
      <c r="AA14" s="1738"/>
      <c r="AB14" s="1743"/>
      <c r="AC14" s="332"/>
      <c r="AD14" s="1733"/>
      <c r="AE14" s="1710"/>
      <c r="AF14" s="1710"/>
      <c r="AG14" s="1903"/>
      <c r="AH14" s="1905"/>
      <c r="AI14" s="1905"/>
      <c r="AJ14" s="1906"/>
      <c r="AK14" s="1899"/>
      <c r="AL14" s="1726"/>
      <c r="AM14" s="1733"/>
      <c r="AN14" s="1710"/>
      <c r="AO14" s="1768"/>
      <c r="AP14" s="1910"/>
      <c r="AQ14" s="1906"/>
      <c r="AR14" s="1905"/>
      <c r="AS14" s="1906"/>
      <c r="AT14" s="1899"/>
    </row>
    <row r="15" spans="1:46" ht="30" customHeight="1" x14ac:dyDescent="0.3">
      <c r="A15" s="2260">
        <v>45968</v>
      </c>
      <c r="B15" s="1218">
        <v>1</v>
      </c>
      <c r="C15" s="1728"/>
      <c r="D15" s="1750"/>
      <c r="E15" s="1741"/>
      <c r="F15" s="1770"/>
      <c r="G15" s="1892"/>
      <c r="H15" s="1899"/>
      <c r="I15" s="1894"/>
      <c r="J15" s="1895"/>
      <c r="K15" s="332"/>
      <c r="L15" s="1774"/>
      <c r="M15" s="1741"/>
      <c r="N15" s="1741"/>
      <c r="O15" s="1775"/>
      <c r="P15" s="1776"/>
      <c r="Q15" s="1772"/>
      <c r="R15" s="1723"/>
      <c r="S15" s="1743"/>
      <c r="T15" s="332"/>
      <c r="U15" s="1733"/>
      <c r="V15" s="1710"/>
      <c r="W15" s="1710"/>
      <c r="X15" s="1730"/>
      <c r="Y15" s="1731"/>
      <c r="Z15" s="1723"/>
      <c r="AA15" s="1738"/>
      <c r="AB15" s="1743"/>
      <c r="AC15" s="332"/>
      <c r="AD15" s="1733"/>
      <c r="AE15" s="1710"/>
      <c r="AF15" s="332"/>
      <c r="AG15" s="1903"/>
      <c r="AH15" s="1898"/>
      <c r="AI15" s="1899"/>
      <c r="AJ15" s="1906"/>
      <c r="AK15" s="1899"/>
      <c r="AL15" s="1726"/>
      <c r="AM15" s="1733"/>
      <c r="AN15" s="1710"/>
      <c r="AO15" s="1777"/>
      <c r="AP15" s="1910"/>
      <c r="AQ15" s="1899"/>
      <c r="AR15" s="1899"/>
      <c r="AS15" s="1899"/>
      <c r="AT15" s="1899"/>
    </row>
    <row r="16" spans="1:46" ht="36.75" customHeight="1" x14ac:dyDescent="0.25">
      <c r="A16" s="2261"/>
      <c r="B16" s="1218">
        <v>2</v>
      </c>
      <c r="C16" s="1756"/>
      <c r="D16" s="1802"/>
      <c r="E16" s="1803"/>
      <c r="F16" s="1804"/>
      <c r="G16" s="1900"/>
      <c r="H16" s="1893"/>
      <c r="I16" s="1894"/>
      <c r="J16" s="1895"/>
      <c r="K16" s="1809"/>
      <c r="L16" s="1810"/>
      <c r="M16" s="1811">
        <v>19</v>
      </c>
      <c r="N16" s="1811"/>
      <c r="O16" s="1804"/>
      <c r="P16" s="1812"/>
      <c r="Q16" s="1813" t="s">
        <v>1146</v>
      </c>
      <c r="R16" s="1814"/>
      <c r="S16" s="1743"/>
      <c r="T16" s="332"/>
      <c r="U16" s="1733"/>
      <c r="V16" s="1710"/>
      <c r="W16" s="1710"/>
      <c r="X16" s="1730"/>
      <c r="Y16" s="1815"/>
      <c r="Z16" s="1762"/>
      <c r="AA16" s="1901"/>
      <c r="AB16" s="1743"/>
      <c r="AC16" s="332"/>
      <c r="AD16" s="1733"/>
      <c r="AE16" s="1710"/>
      <c r="AF16" s="1710"/>
      <c r="AG16" s="1903"/>
      <c r="AH16" s="1898"/>
      <c r="AI16" s="1905"/>
      <c r="AJ16" s="1905"/>
      <c r="AK16" s="1906"/>
      <c r="AL16" s="1752"/>
      <c r="AM16" s="1733"/>
      <c r="AN16" s="1710"/>
      <c r="AO16" s="1710"/>
      <c r="AP16" s="1911"/>
      <c r="AQ16" s="1913"/>
      <c r="AR16" s="1893"/>
      <c r="AS16" s="1913"/>
      <c r="AT16" s="1899"/>
    </row>
    <row r="17" spans="1:46" ht="30.75" customHeight="1" x14ac:dyDescent="0.3">
      <c r="A17" s="2260">
        <v>45969</v>
      </c>
      <c r="B17" s="1244">
        <v>1</v>
      </c>
      <c r="C17" s="1728"/>
      <c r="D17" s="1794"/>
      <c r="E17" s="1795">
        <v>27</v>
      </c>
      <c r="F17" s="1796"/>
      <c r="G17" s="1900"/>
      <c r="H17" s="1753"/>
      <c r="I17" s="1894" t="s">
        <v>1097</v>
      </c>
      <c r="J17" s="1895"/>
      <c r="K17" s="332"/>
      <c r="L17" s="1801"/>
      <c r="M17" s="1734"/>
      <c r="N17" s="1734"/>
      <c r="O17" s="1796"/>
      <c r="P17" s="1797"/>
      <c r="Q17" s="1798"/>
      <c r="R17" s="1723"/>
      <c r="S17" s="1743"/>
      <c r="T17" s="332"/>
      <c r="U17" s="1733"/>
      <c r="V17" s="1710"/>
      <c r="W17" s="1710"/>
      <c r="X17" s="1730"/>
      <c r="Y17" s="1731"/>
      <c r="Z17" s="1753"/>
      <c r="AA17" s="1783"/>
      <c r="AB17" s="1743"/>
      <c r="AC17" s="332"/>
      <c r="AD17" s="1733"/>
      <c r="AE17" s="1710"/>
      <c r="AF17" s="1710"/>
      <c r="AG17" s="1903"/>
      <c r="AH17" s="1898"/>
      <c r="AI17" s="1898"/>
      <c r="AJ17" s="1899"/>
      <c r="AK17" s="1899"/>
      <c r="AL17" s="1726"/>
      <c r="AM17" s="1733"/>
      <c r="AN17" s="1710"/>
      <c r="AO17" s="1768"/>
      <c r="AP17" s="1911"/>
      <c r="AQ17" s="1898"/>
      <c r="AR17" s="1899"/>
      <c r="AS17" s="1906"/>
      <c r="AT17" s="1899"/>
    </row>
    <row r="18" spans="1:46" ht="30.75" customHeight="1" x14ac:dyDescent="0.3">
      <c r="A18" s="2261"/>
      <c r="B18" s="1218">
        <v>2</v>
      </c>
      <c r="C18" s="1728"/>
      <c r="D18" s="1729"/>
      <c r="E18" s="1729">
        <v>39</v>
      </c>
      <c r="F18" s="1730"/>
      <c r="G18" s="1788"/>
      <c r="H18" s="1891"/>
      <c r="I18" s="1799" t="s">
        <v>1097</v>
      </c>
      <c r="J18" s="1800"/>
      <c r="K18" s="332"/>
      <c r="L18" s="1733"/>
      <c r="M18" s="1710"/>
      <c r="N18" s="1710"/>
      <c r="O18" s="1730"/>
      <c r="P18" s="1731"/>
      <c r="Q18" s="1723"/>
      <c r="R18" s="1714"/>
      <c r="S18" s="1743"/>
      <c r="T18" s="332"/>
      <c r="U18" s="1733"/>
      <c r="V18" s="1710"/>
      <c r="W18" s="1729">
        <v>40</v>
      </c>
      <c r="X18" s="1730"/>
      <c r="Y18" s="1731"/>
      <c r="Z18" s="1723"/>
      <c r="AA18" s="1738" t="s">
        <v>1097</v>
      </c>
      <c r="AB18" s="1743"/>
      <c r="AC18" s="332"/>
      <c r="AD18" s="1733"/>
      <c r="AE18" s="1710"/>
      <c r="AF18" s="1710"/>
      <c r="AG18" s="1903"/>
      <c r="AH18" s="1899"/>
      <c r="AI18" s="1899"/>
      <c r="AJ18" s="1898"/>
      <c r="AK18" s="1743"/>
      <c r="AL18" s="1726"/>
      <c r="AM18" s="1733"/>
      <c r="AN18" s="1710"/>
      <c r="AO18" s="1768">
        <v>37</v>
      </c>
      <c r="AP18" s="1910"/>
      <c r="AQ18" s="1899"/>
      <c r="AR18" s="1893"/>
      <c r="AS18" s="1893" t="s">
        <v>1097</v>
      </c>
      <c r="AT18" s="1899"/>
    </row>
    <row r="19" spans="1:46" ht="30" customHeight="1" x14ac:dyDescent="0.3">
      <c r="A19" s="2260">
        <v>45970</v>
      </c>
      <c r="B19" s="1218">
        <v>1</v>
      </c>
      <c r="C19" s="332"/>
      <c r="D19" s="1729"/>
      <c r="E19" s="1729"/>
      <c r="F19" s="1730"/>
      <c r="G19" s="1784"/>
      <c r="H19" s="1710"/>
      <c r="I19" s="1737"/>
      <c r="J19" s="1743"/>
      <c r="K19" s="332"/>
      <c r="L19" s="1733"/>
      <c r="M19" s="1710"/>
      <c r="N19" s="1710"/>
      <c r="O19" s="1730"/>
      <c r="P19" s="1733"/>
      <c r="Q19" s="1710"/>
      <c r="R19" s="1710"/>
      <c r="S19" s="1743"/>
      <c r="T19" s="332"/>
      <c r="U19" s="1733"/>
      <c r="V19" s="1710"/>
      <c r="W19" s="1710"/>
      <c r="X19" s="1730"/>
      <c r="Y19" s="1733"/>
      <c r="Z19" s="1725"/>
      <c r="AA19" s="1783"/>
      <c r="AB19" s="1743"/>
      <c r="AC19" s="332"/>
      <c r="AD19" s="1733"/>
      <c r="AE19" s="1710"/>
      <c r="AF19" s="1710"/>
      <c r="AG19" s="1903"/>
      <c r="AH19" s="1905"/>
      <c r="AI19" s="1905"/>
      <c r="AJ19" s="1906"/>
      <c r="AK19" s="1899"/>
      <c r="AL19" s="1726"/>
      <c r="AM19" s="1733"/>
      <c r="AN19" s="1710"/>
      <c r="AO19" s="1710"/>
      <c r="AP19" s="1903"/>
      <c r="AQ19" s="1905"/>
      <c r="AR19" s="1905"/>
      <c r="AS19" s="1899"/>
      <c r="AT19" s="1899"/>
    </row>
    <row r="20" spans="1:46" ht="30.75" customHeight="1" x14ac:dyDescent="0.3">
      <c r="A20" s="2261"/>
      <c r="B20" s="1218">
        <v>2</v>
      </c>
      <c r="C20" s="1728"/>
      <c r="D20" s="1729"/>
      <c r="E20" s="1729">
        <v>35</v>
      </c>
      <c r="F20" s="1730"/>
      <c r="G20" s="1784"/>
      <c r="H20" s="1725"/>
      <c r="I20" s="1737" t="s">
        <v>1097</v>
      </c>
      <c r="J20" s="1743"/>
      <c r="K20" s="332"/>
      <c r="L20" s="1733"/>
      <c r="M20" s="1710"/>
      <c r="N20" s="1710"/>
      <c r="O20" s="1730"/>
      <c r="P20" s="1784"/>
      <c r="Q20" s="1725"/>
      <c r="R20" s="1714"/>
      <c r="S20" s="1743"/>
      <c r="T20" s="332"/>
      <c r="U20" s="1733"/>
      <c r="V20" s="1710"/>
      <c r="W20" s="1710">
        <v>34</v>
      </c>
      <c r="X20" s="1730"/>
      <c r="Y20" s="1784"/>
      <c r="Z20" s="1725"/>
      <c r="AA20" s="1723" t="s">
        <v>1097</v>
      </c>
      <c r="AB20" s="1743"/>
      <c r="AC20" s="332"/>
      <c r="AD20" s="1733"/>
      <c r="AE20" s="1710"/>
      <c r="AF20" s="1710"/>
      <c r="AG20" s="1903"/>
      <c r="AH20" s="1906"/>
      <c r="AI20" s="1906"/>
      <c r="AJ20" s="1894"/>
      <c r="AK20" s="1899"/>
      <c r="AL20" s="1726"/>
      <c r="AM20" s="1733"/>
      <c r="AN20" s="1710"/>
      <c r="AO20" s="1710"/>
      <c r="AP20" s="1903"/>
      <c r="AQ20" s="1906"/>
      <c r="AR20" s="1906"/>
      <c r="AS20" s="1894"/>
      <c r="AT20" s="1899"/>
    </row>
    <row r="21" spans="1:46" ht="29.25" customHeight="1" x14ac:dyDescent="0.3">
      <c r="A21" s="2260">
        <v>45971</v>
      </c>
      <c r="B21" s="1218">
        <v>1</v>
      </c>
      <c r="C21" s="1728"/>
      <c r="D21" s="1729"/>
      <c r="E21" s="1729">
        <v>11</v>
      </c>
      <c r="F21" s="1730"/>
      <c r="G21" s="1789"/>
      <c r="H21" s="1713"/>
      <c r="I21" s="1737" t="s">
        <v>1097</v>
      </c>
      <c r="J21" s="1790"/>
      <c r="K21" s="332"/>
      <c r="L21" s="1733"/>
      <c r="M21" s="1710"/>
      <c r="N21" s="1710"/>
      <c r="O21" s="1730"/>
      <c r="P21" s="1733"/>
      <c r="Q21" s="1725"/>
      <c r="R21" s="1710"/>
      <c r="S21" s="1790"/>
      <c r="T21" s="332"/>
      <c r="U21" s="1733"/>
      <c r="V21" s="1710"/>
      <c r="W21" s="1710"/>
      <c r="X21" s="1730"/>
      <c r="Y21" s="1784"/>
      <c r="Z21" s="1710"/>
      <c r="AA21" s="1783"/>
      <c r="AB21" s="1790"/>
      <c r="AC21" s="332"/>
      <c r="AD21" s="1733"/>
      <c r="AE21" s="1710"/>
      <c r="AF21" s="1710"/>
      <c r="AG21" s="1903"/>
      <c r="AH21" s="1905"/>
      <c r="AI21" s="1905"/>
      <c r="AJ21" s="1906"/>
      <c r="AK21" s="1909"/>
      <c r="AL21" s="1726"/>
      <c r="AM21" s="1733"/>
      <c r="AN21" s="1710"/>
      <c r="AO21" s="1710"/>
      <c r="AP21" s="1903"/>
      <c r="AQ21" s="1905"/>
      <c r="AR21" s="1906"/>
      <c r="AS21" s="1906"/>
      <c r="AT21" s="1899"/>
    </row>
    <row r="22" spans="1:46" ht="30.75" customHeight="1" x14ac:dyDescent="0.3">
      <c r="A22" s="2261"/>
      <c r="B22" s="1218">
        <v>2</v>
      </c>
      <c r="C22" s="1728"/>
      <c r="D22" s="1729"/>
      <c r="E22" s="1729"/>
      <c r="F22" s="1730"/>
      <c r="G22" s="1788"/>
      <c r="H22" s="1723"/>
      <c r="I22" s="1714"/>
      <c r="J22" s="1743"/>
      <c r="K22" s="332"/>
      <c r="L22" s="1733"/>
      <c r="M22" s="1710">
        <v>214</v>
      </c>
      <c r="N22" s="1710"/>
      <c r="O22" s="1730"/>
      <c r="P22" s="2024"/>
      <c r="Q22" s="1723" t="s">
        <v>1148</v>
      </c>
      <c r="R22" s="1710"/>
      <c r="S22" s="1743"/>
      <c r="T22" s="332"/>
      <c r="U22" s="1733"/>
      <c r="V22" s="1710"/>
      <c r="W22" s="1710"/>
      <c r="X22" s="1730"/>
      <c r="Y22" s="1784"/>
      <c r="Z22" s="1723"/>
      <c r="AA22" s="1738"/>
      <c r="AB22" s="1743"/>
      <c r="AC22" s="332"/>
      <c r="AD22" s="1733"/>
      <c r="AE22" s="1710"/>
      <c r="AF22" s="1710"/>
      <c r="AG22" s="1903"/>
      <c r="AH22" s="1905"/>
      <c r="AI22" s="1905"/>
      <c r="AJ22" s="1899"/>
      <c r="AK22" s="1899"/>
      <c r="AL22" s="1726"/>
      <c r="AM22" s="1733"/>
      <c r="AN22" s="1710"/>
      <c r="AO22" s="1710"/>
      <c r="AP22" s="1903"/>
      <c r="AQ22" s="1905"/>
      <c r="AR22" s="1899"/>
      <c r="AS22" s="1905"/>
      <c r="AT22" s="1899"/>
    </row>
    <row r="23" spans="1:46" ht="29.25" customHeight="1" x14ac:dyDescent="0.3">
      <c r="A23" s="2260">
        <v>45972</v>
      </c>
      <c r="B23" s="1244">
        <v>1</v>
      </c>
      <c r="C23" s="1728">
        <v>145</v>
      </c>
      <c r="D23" s="1729"/>
      <c r="E23" s="1729">
        <v>24</v>
      </c>
      <c r="F23" s="1730"/>
      <c r="G23" s="1788" t="s">
        <v>1149</v>
      </c>
      <c r="H23" s="1713"/>
      <c r="I23" s="1737" t="s">
        <v>1097</v>
      </c>
      <c r="J23" s="1743"/>
      <c r="K23" s="332"/>
      <c r="L23" s="1733"/>
      <c r="M23" s="1710"/>
      <c r="N23" s="1710"/>
      <c r="O23" s="1730"/>
      <c r="P23" s="1712"/>
      <c r="Q23" s="1713"/>
      <c r="R23" s="1723"/>
      <c r="S23" s="1743"/>
      <c r="T23" s="332"/>
      <c r="U23" s="1733"/>
      <c r="V23" s="1710"/>
      <c r="W23" s="1710"/>
      <c r="X23" s="1730"/>
      <c r="Y23" s="1784"/>
      <c r="Z23" s="1714"/>
      <c r="AA23" s="1783"/>
      <c r="AB23" s="1743"/>
      <c r="AC23" s="332"/>
      <c r="AD23" s="1733"/>
      <c r="AE23" s="1710"/>
      <c r="AF23" s="2022"/>
      <c r="AG23" s="1903"/>
      <c r="AH23" s="1905"/>
      <c r="AI23" s="1898"/>
      <c r="AJ23" s="1898"/>
      <c r="AK23" s="1899"/>
      <c r="AL23" s="1726"/>
      <c r="AM23" s="1733"/>
      <c r="AN23" s="1710"/>
      <c r="AO23" s="1710"/>
      <c r="AP23" s="1903"/>
      <c r="AQ23" s="1905"/>
      <c r="AR23" s="1914"/>
      <c r="AS23" s="1899"/>
      <c r="AT23" s="1899"/>
    </row>
    <row r="24" spans="1:46" ht="30.75" customHeight="1" x14ac:dyDescent="0.3">
      <c r="A24" s="2261"/>
      <c r="B24" s="1218">
        <v>2</v>
      </c>
      <c r="C24" s="1728">
        <v>146</v>
      </c>
      <c r="D24" s="1729"/>
      <c r="E24" s="1729">
        <v>17</v>
      </c>
      <c r="F24" s="1730"/>
      <c r="G24" s="1788" t="s">
        <v>1149</v>
      </c>
      <c r="H24" s="1723"/>
      <c r="I24" s="1737" t="s">
        <v>1097</v>
      </c>
      <c r="J24" s="1743"/>
      <c r="K24" s="332"/>
      <c r="L24" s="1733"/>
      <c r="M24" s="1710"/>
      <c r="N24" s="1710"/>
      <c r="O24" s="1730"/>
      <c r="P24" s="1712"/>
      <c r="Q24" s="1713"/>
      <c r="R24" s="1723"/>
      <c r="S24" s="1743"/>
      <c r="T24" s="1785"/>
      <c r="U24" s="2022"/>
      <c r="V24" s="1786"/>
      <c r="W24" s="1783"/>
      <c r="X24" s="1730"/>
      <c r="Y24" s="1714"/>
      <c r="Z24" s="1713"/>
      <c r="AA24" s="1783"/>
      <c r="AB24" s="1743"/>
      <c r="AC24" s="332"/>
      <c r="AD24" s="1733"/>
      <c r="AE24" s="1710"/>
      <c r="AF24" s="2022"/>
      <c r="AG24" s="1903"/>
      <c r="AH24" s="1894"/>
      <c r="AI24" s="1898"/>
      <c r="AJ24" s="1899"/>
      <c r="AK24" s="1899"/>
      <c r="AL24" s="1726"/>
      <c r="AM24" s="1733"/>
      <c r="AN24" s="1710"/>
      <c r="AO24" s="1710"/>
      <c r="AP24" s="1903"/>
      <c r="AQ24" s="1898"/>
      <c r="AR24" s="1898"/>
      <c r="AS24" s="1899"/>
      <c r="AT24" s="1899"/>
    </row>
    <row r="25" spans="1:46" ht="30" customHeight="1" x14ac:dyDescent="0.3">
      <c r="A25" s="2260">
        <v>45973</v>
      </c>
      <c r="B25" s="1218">
        <v>1</v>
      </c>
      <c r="C25" s="1728"/>
      <c r="D25" s="1729"/>
      <c r="E25" s="1729">
        <v>10</v>
      </c>
      <c r="F25" s="1730"/>
      <c r="G25" s="1712"/>
      <c r="H25" s="1713"/>
      <c r="I25" s="1737" t="s">
        <v>1097</v>
      </c>
      <c r="J25" s="1743"/>
      <c r="K25" s="332"/>
      <c r="L25" s="1733"/>
      <c r="M25" s="1710"/>
      <c r="N25" s="1710"/>
      <c r="O25" s="1730"/>
      <c r="P25" s="1733"/>
      <c r="Q25" s="1713"/>
      <c r="R25" s="1710"/>
      <c r="S25" s="1743"/>
      <c r="T25" s="332"/>
      <c r="U25" s="1733"/>
      <c r="V25" s="1710"/>
      <c r="W25" s="1710"/>
      <c r="X25" s="1730"/>
      <c r="Y25" s="1784"/>
      <c r="Z25" s="1725"/>
      <c r="AA25" s="1783"/>
      <c r="AB25" s="1743"/>
      <c r="AC25" s="332"/>
      <c r="AD25" s="1733"/>
      <c r="AE25" s="1710"/>
      <c r="AF25" s="1710"/>
      <c r="AG25" s="1903"/>
      <c r="AH25" s="1905"/>
      <c r="AI25" s="1906"/>
      <c r="AJ25" s="1899"/>
      <c r="AK25" s="1899"/>
      <c r="AL25" s="1726"/>
      <c r="AM25" s="1733"/>
      <c r="AN25" s="1710"/>
      <c r="AO25" s="1710"/>
      <c r="AP25" s="1903"/>
      <c r="AQ25" s="1905"/>
      <c r="AR25" s="1905"/>
      <c r="AS25" s="1899"/>
      <c r="AT25" s="1899"/>
    </row>
    <row r="26" spans="1:46" ht="30" customHeight="1" x14ac:dyDescent="0.3">
      <c r="A26" s="2261"/>
      <c r="B26" s="1218">
        <v>2</v>
      </c>
      <c r="C26" s="1728"/>
      <c r="D26" s="1729"/>
      <c r="E26" s="1729">
        <v>10</v>
      </c>
      <c r="F26" s="1730"/>
      <c r="G26" s="1712"/>
      <c r="H26" s="1723"/>
      <c r="I26" s="1737" t="s">
        <v>1097</v>
      </c>
      <c r="J26" s="1743"/>
      <c r="K26" s="332"/>
      <c r="L26" s="1733"/>
      <c r="M26" s="1710">
        <v>90</v>
      </c>
      <c r="N26" s="1710"/>
      <c r="O26" s="1730"/>
      <c r="P26" s="1712"/>
      <c r="Q26" s="1723" t="s">
        <v>1150</v>
      </c>
      <c r="R26" s="1749"/>
      <c r="S26" s="1743"/>
      <c r="T26" s="332"/>
      <c r="U26" s="1733"/>
      <c r="V26" s="1729"/>
      <c r="W26" s="1710"/>
      <c r="X26" s="1730"/>
      <c r="Y26" s="1714"/>
      <c r="Z26" s="1723"/>
      <c r="AA26" s="1783"/>
      <c r="AB26" s="1743"/>
      <c r="AC26" s="332"/>
      <c r="AD26" s="1733"/>
      <c r="AE26" s="1729"/>
      <c r="AF26" s="1710"/>
      <c r="AG26" s="1903"/>
      <c r="AH26" s="1894"/>
      <c r="AI26" s="1899"/>
      <c r="AJ26" s="1899"/>
      <c r="AK26" s="1899"/>
      <c r="AL26" s="1726"/>
      <c r="AM26" s="1733"/>
      <c r="AN26" s="1729"/>
      <c r="AO26" s="1710"/>
      <c r="AP26" s="1903"/>
      <c r="AQ26" s="1898"/>
      <c r="AR26" s="1899"/>
      <c r="AS26" s="1899"/>
      <c r="AT26" s="1899"/>
    </row>
    <row r="27" spans="1:46" ht="30.75" customHeight="1" x14ac:dyDescent="0.3">
      <c r="A27" s="2260">
        <v>45974</v>
      </c>
      <c r="B27" s="1244">
        <v>1</v>
      </c>
      <c r="C27" s="1728"/>
      <c r="D27" s="1729"/>
      <c r="E27" s="1729"/>
      <c r="F27" s="1730"/>
      <c r="G27" s="1712"/>
      <c r="H27" s="1713"/>
      <c r="I27" s="1737"/>
      <c r="J27" s="1743"/>
      <c r="K27" s="332"/>
      <c r="L27" s="1733"/>
      <c r="M27" s="1710"/>
      <c r="N27" s="1710"/>
      <c r="O27" s="1730"/>
      <c r="P27" s="1712"/>
      <c r="Q27" s="1713"/>
      <c r="R27" s="1723"/>
      <c r="S27" s="1743"/>
      <c r="T27" s="332"/>
      <c r="U27" s="1733"/>
      <c r="V27" s="1710"/>
      <c r="W27" s="1710">
        <v>19</v>
      </c>
      <c r="X27" s="1730"/>
      <c r="Y27" s="1712"/>
      <c r="Z27" s="1723"/>
      <c r="AA27" s="1783" t="s">
        <v>1097</v>
      </c>
      <c r="AB27" s="1743"/>
      <c r="AC27" s="332"/>
      <c r="AD27" s="1733"/>
      <c r="AE27" s="1710"/>
      <c r="AF27" s="1710"/>
      <c r="AG27" s="1903"/>
      <c r="AH27" s="1898"/>
      <c r="AI27" s="1906"/>
      <c r="AJ27" s="1899"/>
      <c r="AK27" s="1899"/>
      <c r="AL27" s="1726"/>
      <c r="AM27" s="1733"/>
      <c r="AN27" s="1710"/>
      <c r="AO27" s="1710"/>
      <c r="AP27" s="1903"/>
      <c r="AQ27" s="1906"/>
      <c r="AR27" s="1905"/>
      <c r="AS27" s="1899"/>
      <c r="AT27" s="1899"/>
    </row>
    <row r="28" spans="1:46" ht="30" customHeight="1" x14ac:dyDescent="0.3">
      <c r="A28" s="2261"/>
      <c r="B28" s="1218">
        <v>2</v>
      </c>
      <c r="C28" s="1728"/>
      <c r="D28" s="1729"/>
      <c r="E28" s="1729"/>
      <c r="F28" s="1730"/>
      <c r="G28" s="1723"/>
      <c r="H28" s="1723"/>
      <c r="I28" s="1749"/>
      <c r="J28" s="1743"/>
      <c r="K28" s="332"/>
      <c r="L28" s="1733"/>
      <c r="M28" s="1710"/>
      <c r="N28" s="1710"/>
      <c r="O28" s="1730"/>
      <c r="P28" s="1723"/>
      <c r="Q28" s="1723"/>
      <c r="R28" s="1723"/>
      <c r="S28" s="1743"/>
      <c r="T28" s="332"/>
      <c r="U28" s="1733"/>
      <c r="V28" s="1710"/>
      <c r="W28" s="332">
        <v>16</v>
      </c>
      <c r="X28" s="1730"/>
      <c r="Y28" s="1723"/>
      <c r="Z28" s="1710"/>
      <c r="AA28" s="1783" t="s">
        <v>1097</v>
      </c>
      <c r="AB28" s="1743"/>
      <c r="AC28" s="332"/>
      <c r="AD28" s="1733"/>
      <c r="AE28" s="1710"/>
      <c r="AF28" s="1710"/>
      <c r="AG28" s="1903"/>
      <c r="AH28" s="1898"/>
      <c r="AI28" s="1906"/>
      <c r="AJ28" s="1906"/>
      <c r="AK28" s="1899"/>
      <c r="AL28" s="1726"/>
      <c r="AM28" s="1733"/>
      <c r="AN28" s="1710"/>
      <c r="AO28" s="1710"/>
      <c r="AP28" s="1903"/>
      <c r="AQ28" s="1906"/>
      <c r="AR28" s="1905"/>
      <c r="AS28" s="1899"/>
      <c r="AT28" s="1899"/>
    </row>
    <row r="29" spans="1:46" ht="30" customHeight="1" x14ac:dyDescent="0.3">
      <c r="A29" s="2260">
        <v>45975</v>
      </c>
      <c r="B29" s="1218">
        <v>1</v>
      </c>
      <c r="C29" s="1728"/>
      <c r="D29" s="1729"/>
      <c r="E29" s="1729"/>
      <c r="F29" s="1730"/>
      <c r="G29" s="1723"/>
      <c r="H29" s="1713"/>
      <c r="I29" s="1749"/>
      <c r="J29" s="1743"/>
      <c r="K29" s="332"/>
      <c r="L29" s="1733"/>
      <c r="M29" s="1710"/>
      <c r="N29" s="1710"/>
      <c r="O29" s="1730"/>
      <c r="P29" s="1712"/>
      <c r="Q29" s="1723"/>
      <c r="R29" s="1723"/>
      <c r="S29" s="1743"/>
      <c r="T29" s="332"/>
      <c r="U29" s="1733"/>
      <c r="V29" s="1710"/>
      <c r="W29" s="1710"/>
      <c r="X29" s="1730"/>
      <c r="Y29" s="1723"/>
      <c r="Z29" s="1713"/>
      <c r="AA29" s="1738"/>
      <c r="AB29" s="1743"/>
      <c r="AC29" s="332"/>
      <c r="AD29" s="1733"/>
      <c r="AE29" s="1710"/>
      <c r="AF29" s="1710"/>
      <c r="AG29" s="1903"/>
      <c r="AH29" s="1898"/>
      <c r="AI29" s="1898"/>
      <c r="AJ29" s="1905"/>
      <c r="AK29" s="1899"/>
      <c r="AL29" s="1726"/>
      <c r="AM29" s="1733"/>
      <c r="AN29" s="1710"/>
      <c r="AO29" s="1710"/>
      <c r="AP29" s="1903"/>
      <c r="AQ29" s="1906"/>
      <c r="AR29" s="1898"/>
      <c r="AS29" s="1905"/>
      <c r="AT29" s="1899"/>
    </row>
    <row r="30" spans="1:46" ht="29.25" customHeight="1" x14ac:dyDescent="0.3">
      <c r="A30" s="2261"/>
      <c r="B30" s="1244">
        <v>2</v>
      </c>
      <c r="C30" s="1728"/>
      <c r="D30" s="1729"/>
      <c r="E30" s="1729">
        <v>57</v>
      </c>
      <c r="F30" s="1730"/>
      <c r="G30" s="1723"/>
      <c r="H30" s="1713"/>
      <c r="I30" s="1738" t="s">
        <v>1097</v>
      </c>
      <c r="J30" s="1851" t="s">
        <v>1146</v>
      </c>
      <c r="K30" s="332"/>
      <c r="L30" s="1733"/>
      <c r="M30" s="1710"/>
      <c r="N30" s="1710"/>
      <c r="O30" s="1730">
        <v>16</v>
      </c>
      <c r="P30" s="1712"/>
      <c r="Q30" s="1723"/>
      <c r="R30" s="1723"/>
      <c r="S30" s="1851" t="s">
        <v>1146</v>
      </c>
      <c r="T30" s="332"/>
      <c r="U30" s="1733"/>
      <c r="V30" s="1710"/>
      <c r="W30" s="1710">
        <v>51</v>
      </c>
      <c r="X30" s="1730"/>
      <c r="Y30" s="2027"/>
      <c r="Z30" s="2028"/>
      <c r="AA30" s="2029" t="s">
        <v>1097</v>
      </c>
      <c r="AB30" s="1851" t="s">
        <v>1146</v>
      </c>
      <c r="AC30" s="332"/>
      <c r="AD30" s="1733"/>
      <c r="AE30" s="1710"/>
      <c r="AF30" s="1710"/>
      <c r="AG30" s="1903">
        <v>23</v>
      </c>
      <c r="AH30" s="1898"/>
      <c r="AI30" s="1899"/>
      <c r="AJ30" s="1905"/>
      <c r="AK30" s="2030" t="s">
        <v>1146</v>
      </c>
      <c r="AL30" s="1726"/>
      <c r="AM30" s="1733"/>
      <c r="AN30" s="1710"/>
      <c r="AO30" s="1710"/>
      <c r="AP30" s="1903">
        <v>24</v>
      </c>
      <c r="AQ30" s="1906"/>
      <c r="AR30" s="1898"/>
      <c r="AS30" s="1905"/>
      <c r="AT30" s="2031" t="s">
        <v>1146</v>
      </c>
    </row>
    <row r="31" spans="1:46" ht="29.25" customHeight="1" x14ac:dyDescent="0.3">
      <c r="A31" s="2260">
        <v>45976</v>
      </c>
      <c r="B31" s="1218">
        <v>1</v>
      </c>
      <c r="C31" s="1728"/>
      <c r="D31" s="1729"/>
      <c r="E31" s="1729"/>
      <c r="F31" s="1730"/>
      <c r="G31" s="1712"/>
      <c r="H31" s="1744"/>
      <c r="I31" s="1821"/>
      <c r="J31" s="1743"/>
      <c r="K31" s="332"/>
      <c r="L31" s="1733"/>
      <c r="M31" s="1710"/>
      <c r="N31" s="1710"/>
      <c r="O31" s="1730"/>
      <c r="P31" s="2022"/>
      <c r="Q31" s="1710"/>
      <c r="R31" s="1710"/>
      <c r="S31" s="1743"/>
      <c r="T31" s="332"/>
      <c r="U31" s="1733"/>
      <c r="V31" s="1710"/>
      <c r="W31" s="1710"/>
      <c r="X31" s="1730"/>
      <c r="Y31" s="2023"/>
      <c r="Z31" s="1822"/>
      <c r="AA31" s="1820"/>
      <c r="AB31" s="1752"/>
      <c r="AC31" s="332"/>
      <c r="AD31" s="1733"/>
      <c r="AE31" s="1710"/>
      <c r="AF31" s="1710"/>
      <c r="AG31" s="1903"/>
      <c r="AH31" s="1898"/>
      <c r="AI31" s="1905"/>
      <c r="AJ31" s="1905"/>
      <c r="AK31" s="1899"/>
      <c r="AL31" s="1726"/>
      <c r="AM31" s="1733"/>
      <c r="AN31" s="1710"/>
      <c r="AO31" s="1710"/>
      <c r="AP31" s="1903"/>
      <c r="AQ31" s="1905"/>
      <c r="AR31" s="1898"/>
      <c r="AS31" s="1905"/>
      <c r="AT31" s="1906"/>
    </row>
    <row r="32" spans="1:46" ht="30.75" customHeight="1" x14ac:dyDescent="0.3">
      <c r="A32" s="2261"/>
      <c r="B32" s="1218">
        <v>2</v>
      </c>
      <c r="C32" s="1827"/>
      <c r="D32" s="1758"/>
      <c r="E32" s="1729"/>
      <c r="F32" s="1758"/>
      <c r="G32" s="1712"/>
      <c r="H32" s="1744"/>
      <c r="I32" s="1821"/>
      <c r="J32" s="1743"/>
      <c r="K32" s="332"/>
      <c r="L32" s="1733"/>
      <c r="M32" s="1710"/>
      <c r="N32" s="1710"/>
      <c r="O32" s="1710"/>
      <c r="P32" s="2022"/>
      <c r="Q32" s="1744"/>
      <c r="R32" s="2022"/>
      <c r="S32" s="1743"/>
      <c r="T32" s="332"/>
      <c r="U32" s="1733"/>
      <c r="V32" s="1710"/>
      <c r="W32" s="1729"/>
      <c r="X32" s="1710"/>
      <c r="Y32" s="1816"/>
      <c r="Z32" s="1828"/>
      <c r="AA32" s="1825"/>
      <c r="AB32" s="1752"/>
      <c r="AC32" s="332"/>
      <c r="AD32" s="1733"/>
      <c r="AE32" s="1710"/>
      <c r="AF32" s="1729"/>
      <c r="AG32" s="1782"/>
      <c r="AH32" s="1898"/>
      <c r="AI32" s="1899"/>
      <c r="AJ32" s="1906"/>
      <c r="AK32" s="1899"/>
      <c r="AL32" s="1726"/>
      <c r="AM32" s="1733"/>
      <c r="AN32" s="1710"/>
      <c r="AO32" s="1710"/>
      <c r="AP32" s="1903"/>
      <c r="AQ32" s="1905"/>
      <c r="AR32" s="1898"/>
      <c r="AS32" s="1899"/>
      <c r="AT32" s="1906"/>
    </row>
    <row r="33" spans="1:46" ht="30.75" customHeight="1" x14ac:dyDescent="0.3">
      <c r="A33" s="2260">
        <v>45977</v>
      </c>
      <c r="B33" s="1218">
        <v>1</v>
      </c>
      <c r="C33" s="1728"/>
      <c r="D33" s="1729"/>
      <c r="E33" s="1729"/>
      <c r="F33" s="1730"/>
      <c r="G33" s="1712"/>
      <c r="H33" s="1744"/>
      <c r="I33" s="1821"/>
      <c r="J33" s="1743"/>
      <c r="K33" s="332"/>
      <c r="L33" s="1733"/>
      <c r="M33" s="1710"/>
      <c r="N33" s="1710"/>
      <c r="O33" s="1730"/>
      <c r="P33" s="2022"/>
      <c r="Q33" s="1710"/>
      <c r="R33" s="1710"/>
      <c r="S33" s="1743"/>
      <c r="T33" s="332"/>
      <c r="U33" s="1733"/>
      <c r="V33" s="1710"/>
      <c r="W33" s="1710"/>
      <c r="X33" s="1730"/>
      <c r="Y33" s="2022"/>
      <c r="Z33" s="1734"/>
      <c r="AA33" s="1825"/>
      <c r="AB33" s="1743"/>
      <c r="AC33" s="332"/>
      <c r="AD33" s="1733"/>
      <c r="AE33" s="1710"/>
      <c r="AF33" s="1710"/>
      <c r="AG33" s="1903"/>
      <c r="AH33" s="1905"/>
      <c r="AI33" s="1906"/>
      <c r="AJ33" s="1906"/>
      <c r="AK33" s="1899"/>
      <c r="AL33" s="1726"/>
      <c r="AM33" s="1733"/>
      <c r="AN33" s="1710"/>
      <c r="AO33" s="1710"/>
      <c r="AP33" s="1903"/>
      <c r="AQ33" s="1905"/>
      <c r="AR33" s="1906"/>
      <c r="AS33" s="1905"/>
      <c r="AT33" s="1906"/>
    </row>
    <row r="34" spans="1:46" ht="30" customHeight="1" x14ac:dyDescent="0.3">
      <c r="A34" s="2261"/>
      <c r="B34" s="1244">
        <v>2</v>
      </c>
      <c r="C34" s="1729"/>
      <c r="D34" s="1729"/>
      <c r="E34" s="1729">
        <v>54</v>
      </c>
      <c r="F34" s="1730"/>
      <c r="G34" s="1731"/>
      <c r="H34" s="1723"/>
      <c r="I34" s="1738" t="s">
        <v>1097</v>
      </c>
      <c r="J34" s="1743"/>
      <c r="K34" s="332"/>
      <c r="L34" s="1733"/>
      <c r="M34" s="1710"/>
      <c r="N34" s="1710"/>
      <c r="O34" s="1730"/>
      <c r="P34" s="2022"/>
      <c r="Q34" s="1723"/>
      <c r="R34" s="1710"/>
      <c r="S34" s="1743"/>
      <c r="T34" s="332"/>
      <c r="U34" s="1733"/>
      <c r="V34" s="1710"/>
      <c r="W34" s="1710">
        <v>20</v>
      </c>
      <c r="X34" s="1730"/>
      <c r="Y34" s="1725"/>
      <c r="Z34" s="1725"/>
      <c r="AA34" s="1738" t="s">
        <v>1097</v>
      </c>
      <c r="AB34" s="1743"/>
      <c r="AC34" s="332"/>
      <c r="AD34" s="1733"/>
      <c r="AE34" s="1710"/>
      <c r="AF34" s="1710">
        <v>10</v>
      </c>
      <c r="AG34" s="1903"/>
      <c r="AH34" s="1905"/>
      <c r="AI34" s="1905"/>
      <c r="AJ34" s="1906" t="s">
        <v>1097</v>
      </c>
      <c r="AK34" s="1899"/>
      <c r="AL34" s="1726"/>
      <c r="AM34" s="1733"/>
      <c r="AN34" s="1710">
        <v>21</v>
      </c>
      <c r="AO34" s="1710"/>
      <c r="AP34" s="1903"/>
      <c r="AQ34" s="1905"/>
      <c r="AR34" s="1906"/>
      <c r="AS34" s="1906" t="s">
        <v>1097</v>
      </c>
      <c r="AT34" s="1906"/>
    </row>
    <row r="35" spans="1:46" ht="29.25" customHeight="1" x14ac:dyDescent="0.3">
      <c r="A35" s="2260">
        <v>45978</v>
      </c>
      <c r="B35" s="1218">
        <v>1</v>
      </c>
      <c r="C35" s="1729"/>
      <c r="D35" s="1729"/>
      <c r="E35" s="1782"/>
      <c r="F35" s="1730"/>
      <c r="G35" s="1784"/>
      <c r="H35" s="2022"/>
      <c r="I35" s="1738"/>
      <c r="J35" s="1743"/>
      <c r="K35" s="332"/>
      <c r="L35" s="1733"/>
      <c r="M35" s="1710"/>
      <c r="N35" s="1710"/>
      <c r="O35" s="1730"/>
      <c r="P35" s="1784"/>
      <c r="Q35" s="1723"/>
      <c r="R35" s="1723"/>
      <c r="S35" s="1743"/>
      <c r="T35" s="332"/>
      <c r="U35" s="1733"/>
      <c r="V35" s="1710"/>
      <c r="W35" s="1782">
        <v>16</v>
      </c>
      <c r="X35" s="1730"/>
      <c r="Y35" s="1784"/>
      <c r="Z35" s="1725"/>
      <c r="AA35" s="1738" t="s">
        <v>1097</v>
      </c>
      <c r="AB35" s="1743"/>
      <c r="AC35" s="332"/>
      <c r="AD35" s="1733"/>
      <c r="AE35" s="1710"/>
      <c r="AF35" s="1710"/>
      <c r="AG35" s="1903"/>
      <c r="AH35" s="1906"/>
      <c r="AI35" s="1905"/>
      <c r="AJ35" s="1899"/>
      <c r="AK35" s="1899"/>
      <c r="AL35" s="1726"/>
      <c r="AM35" s="1733"/>
      <c r="AN35" s="1710"/>
      <c r="AO35" s="1710"/>
      <c r="AP35" s="1903"/>
      <c r="AQ35" s="1905"/>
      <c r="AR35" s="1906"/>
      <c r="AS35" s="1906"/>
      <c r="AT35" s="1899"/>
    </row>
    <row r="36" spans="1:46" ht="46.9" customHeight="1" x14ac:dyDescent="0.3">
      <c r="A36" s="2261"/>
      <c r="B36" s="1218">
        <v>2</v>
      </c>
      <c r="C36" s="1782"/>
      <c r="D36" s="1710"/>
      <c r="E36" s="1782">
        <v>10</v>
      </c>
      <c r="F36" s="1730"/>
      <c r="G36" s="1749"/>
      <c r="H36" s="1723"/>
      <c r="I36" s="1749" t="s">
        <v>1097</v>
      </c>
      <c r="J36" s="1743"/>
      <c r="K36" s="332"/>
      <c r="L36" s="1784"/>
      <c r="M36" s="1710"/>
      <c r="N36" s="1710"/>
      <c r="O36" s="1730"/>
      <c r="P36" s="1784"/>
      <c r="Q36" s="1723"/>
      <c r="R36" s="1725"/>
      <c r="S36" s="1743"/>
      <c r="T36" s="332"/>
      <c r="U36" s="1733"/>
      <c r="V36" s="1710"/>
      <c r="W36" s="1710"/>
      <c r="X36" s="1730"/>
      <c r="Y36" s="1784"/>
      <c r="Z36" s="1723"/>
      <c r="AA36" s="1738"/>
      <c r="AB36" s="1743"/>
      <c r="AC36" s="332"/>
      <c r="AD36" s="1733"/>
      <c r="AE36" s="1710"/>
      <c r="AF36" s="1782"/>
      <c r="AG36" s="1903"/>
      <c r="AH36" s="1906"/>
      <c r="AI36" s="1906"/>
      <c r="AJ36" s="1906"/>
      <c r="AK36" s="1899"/>
      <c r="AL36" s="1726"/>
      <c r="AM36" s="1733"/>
      <c r="AN36" s="1710"/>
      <c r="AO36" s="1710"/>
      <c r="AP36" s="1903"/>
      <c r="AQ36" s="1905"/>
      <c r="AR36" s="1906"/>
      <c r="AS36" s="1906"/>
      <c r="AT36" s="1899"/>
    </row>
    <row r="37" spans="1:46" ht="40.5" customHeight="1" x14ac:dyDescent="0.3">
      <c r="A37" s="2260">
        <v>45979</v>
      </c>
      <c r="B37" s="1244">
        <v>1</v>
      </c>
      <c r="C37" s="1782"/>
      <c r="D37" s="1729"/>
      <c r="E37" s="1782"/>
      <c r="F37" s="1730"/>
      <c r="G37" s="1749"/>
      <c r="H37" s="1725"/>
      <c r="I37" s="1714"/>
      <c r="J37" s="1743"/>
      <c r="K37" s="332"/>
      <c r="L37" s="1733"/>
      <c r="M37" s="1710"/>
      <c r="N37" s="1710"/>
      <c r="O37" s="1730"/>
      <c r="P37" s="2025"/>
      <c r="Q37" s="1723"/>
      <c r="R37" s="1710"/>
      <c r="S37" s="1743"/>
      <c r="T37" s="332"/>
      <c r="U37" s="1733"/>
      <c r="V37" s="1710"/>
      <c r="W37" s="1710"/>
      <c r="X37" s="1730"/>
      <c r="Y37" s="2025"/>
      <c r="Z37" s="1725"/>
      <c r="AA37" s="1738"/>
      <c r="AB37" s="1743"/>
      <c r="AC37" s="332"/>
      <c r="AD37" s="1733"/>
      <c r="AE37" s="1710"/>
      <c r="AF37" s="1710"/>
      <c r="AG37" s="1903"/>
      <c r="AH37" s="1906"/>
      <c r="AI37" s="1905"/>
      <c r="AJ37" s="1906"/>
      <c r="AK37" s="1899"/>
      <c r="AL37" s="1726"/>
      <c r="AM37" s="1733"/>
      <c r="AN37" s="1710"/>
      <c r="AO37" s="1710"/>
      <c r="AP37" s="1903"/>
      <c r="AQ37" s="1905"/>
      <c r="AR37" s="1906"/>
      <c r="AS37" s="1905"/>
      <c r="AT37" s="1899"/>
    </row>
    <row r="38" spans="1:46" ht="40.5" customHeight="1" x14ac:dyDescent="0.3">
      <c r="A38" s="2261"/>
      <c r="B38" s="1218">
        <v>2</v>
      </c>
      <c r="C38" s="1782">
        <v>45</v>
      </c>
      <c r="D38" s="1729">
        <v>185</v>
      </c>
      <c r="E38" s="1782">
        <v>15</v>
      </c>
      <c r="F38" s="1730"/>
      <c r="G38" s="1749" t="s">
        <v>1151</v>
      </c>
      <c r="H38" s="1725" t="s">
        <v>601</v>
      </c>
      <c r="I38" s="1714" t="s">
        <v>1085</v>
      </c>
      <c r="J38" s="1743"/>
      <c r="K38" s="332"/>
      <c r="L38" s="1733"/>
      <c r="M38" s="1710"/>
      <c r="N38" s="1710"/>
      <c r="O38" s="1730"/>
      <c r="P38" s="2026"/>
      <c r="Q38" s="2026"/>
      <c r="R38" s="1710"/>
      <c r="S38" s="1743"/>
      <c r="T38" s="332"/>
      <c r="U38" s="1733"/>
      <c r="V38" s="1710"/>
      <c r="W38" s="1710">
        <v>13</v>
      </c>
      <c r="X38" s="1730"/>
      <c r="Y38" s="2026"/>
      <c r="Z38" s="1725"/>
      <c r="AA38" s="1738" t="s">
        <v>1097</v>
      </c>
      <c r="AB38" s="1743"/>
      <c r="AC38" s="332"/>
      <c r="AD38" s="1733"/>
      <c r="AE38" s="1710"/>
      <c r="AF38" s="1710"/>
      <c r="AG38" s="1903"/>
      <c r="AH38" s="1906"/>
      <c r="AI38" s="1905"/>
      <c r="AJ38" s="1906"/>
      <c r="AK38" s="1899"/>
      <c r="AL38" s="1726"/>
      <c r="AM38" s="1733"/>
      <c r="AN38" s="1710"/>
      <c r="AO38" s="1710"/>
      <c r="AP38" s="1903"/>
      <c r="AQ38" s="1905"/>
      <c r="AR38" s="1906"/>
      <c r="AS38" s="1906"/>
      <c r="AT38" s="1899"/>
    </row>
    <row r="39" spans="1:46" ht="42" customHeight="1" x14ac:dyDescent="0.3">
      <c r="A39" s="2260">
        <v>45980</v>
      </c>
      <c r="B39" s="1218">
        <v>1</v>
      </c>
      <c r="C39" s="1782"/>
      <c r="D39" s="1729"/>
      <c r="E39" s="1729">
        <v>21</v>
      </c>
      <c r="F39" s="1730"/>
      <c r="G39" s="1749"/>
      <c r="H39" s="1725"/>
      <c r="I39" s="1714" t="s">
        <v>1097</v>
      </c>
      <c r="J39" s="1743"/>
      <c r="K39" s="332"/>
      <c r="L39" s="1733"/>
      <c r="M39" s="1710"/>
      <c r="N39" s="1710"/>
      <c r="O39" s="1730"/>
      <c r="P39" s="1749"/>
      <c r="Q39" s="1723"/>
      <c r="R39" s="1710"/>
      <c r="S39" s="1743"/>
      <c r="T39" s="332"/>
      <c r="U39" s="1733"/>
      <c r="V39" s="1710"/>
      <c r="W39" s="1710">
        <v>12</v>
      </c>
      <c r="X39" s="1730"/>
      <c r="Y39" s="2025"/>
      <c r="Z39" s="1723"/>
      <c r="AA39" s="1738" t="s">
        <v>1097</v>
      </c>
      <c r="AB39" s="1743"/>
      <c r="AC39" s="332"/>
      <c r="AD39" s="1733"/>
      <c r="AE39" s="1710"/>
      <c r="AF39" s="1710"/>
      <c r="AG39" s="1903"/>
      <c r="AH39" s="1899"/>
      <c r="AI39" s="1898"/>
      <c r="AJ39" s="1906"/>
      <c r="AK39" s="1899"/>
      <c r="AL39" s="1726"/>
      <c r="AM39" s="1733"/>
      <c r="AN39" s="1710"/>
      <c r="AO39" s="1710"/>
      <c r="AP39" s="1903"/>
      <c r="AQ39" s="1905"/>
      <c r="AR39" s="1906"/>
      <c r="AS39" s="1906"/>
      <c r="AT39" s="1899"/>
    </row>
    <row r="40" spans="1:46" ht="43.5" customHeight="1" x14ac:dyDescent="0.3">
      <c r="A40" s="2261"/>
      <c r="B40" s="1218">
        <v>2</v>
      </c>
      <c r="C40" s="1729"/>
      <c r="D40" s="1729"/>
      <c r="E40" s="1729">
        <v>42</v>
      </c>
      <c r="F40" s="1730"/>
      <c r="G40" s="1749"/>
      <c r="H40" s="1725"/>
      <c r="I40" s="1714" t="s">
        <v>1097</v>
      </c>
      <c r="J40" s="1743"/>
      <c r="K40" s="332"/>
      <c r="L40" s="1733"/>
      <c r="M40" s="1710"/>
      <c r="N40" s="1710"/>
      <c r="O40" s="1730"/>
      <c r="P40" s="1712"/>
      <c r="Q40" s="1713"/>
      <c r="R40" s="1749"/>
      <c r="S40" s="1743"/>
      <c r="T40" s="332"/>
      <c r="U40" s="1733"/>
      <c r="V40" s="1710"/>
      <c r="W40" s="1710">
        <v>17</v>
      </c>
      <c r="X40" s="1730"/>
      <c r="Y40" s="2026"/>
      <c r="Z40" s="1710"/>
      <c r="AA40" s="1738" t="s">
        <v>1097</v>
      </c>
      <c r="AB40" s="1743"/>
      <c r="AC40" s="332"/>
      <c r="AD40" s="1733"/>
      <c r="AE40" s="1710"/>
      <c r="AF40" s="1710"/>
      <c r="AG40" s="1903"/>
      <c r="AH40" s="1906"/>
      <c r="AI40" s="1899"/>
      <c r="AJ40" s="1906"/>
      <c r="AK40" s="1899"/>
      <c r="AL40" s="1726"/>
      <c r="AM40" s="1784"/>
      <c r="AN40" s="1710"/>
      <c r="AO40" s="1710"/>
      <c r="AP40" s="1903"/>
      <c r="AQ40" s="1905"/>
      <c r="AR40" s="1906"/>
      <c r="AS40" s="1899"/>
      <c r="AT40" s="1899"/>
    </row>
    <row r="41" spans="1:46" ht="39.6" customHeight="1" x14ac:dyDescent="0.3">
      <c r="A41" s="2260">
        <v>45981</v>
      </c>
      <c r="B41" s="1218">
        <v>1</v>
      </c>
      <c r="C41" s="1728"/>
      <c r="D41" s="1729"/>
      <c r="E41" s="1729"/>
      <c r="F41" s="1730"/>
      <c r="G41" s="1712"/>
      <c r="H41" s="1723"/>
      <c r="I41" s="1714"/>
      <c r="J41" s="1743"/>
      <c r="K41" s="332"/>
      <c r="L41" s="1733"/>
      <c r="M41" s="1710"/>
      <c r="N41" s="1710"/>
      <c r="O41" s="1730"/>
      <c r="P41" s="2025"/>
      <c r="Q41" s="1710"/>
      <c r="R41" s="1749"/>
      <c r="S41" s="1743"/>
      <c r="T41" s="332"/>
      <c r="U41" s="1733"/>
      <c r="V41" s="1710"/>
      <c r="W41" s="1710"/>
      <c r="X41" s="1730"/>
      <c r="Y41" s="2025"/>
      <c r="Z41" s="1725"/>
      <c r="AA41" s="1738"/>
      <c r="AB41" s="1743"/>
      <c r="AC41" s="332"/>
      <c r="AD41" s="1733"/>
      <c r="AE41" s="1710"/>
      <c r="AF41" s="1710"/>
      <c r="AG41" s="1903"/>
      <c r="AH41" s="1906"/>
      <c r="AI41" s="1906"/>
      <c r="AJ41" s="1905"/>
      <c r="AK41" s="1899"/>
      <c r="AL41" s="1726"/>
      <c r="AM41" s="1733"/>
      <c r="AN41" s="1710"/>
      <c r="AO41" s="1710"/>
      <c r="AP41" s="1903"/>
      <c r="AQ41" s="1905"/>
      <c r="AR41" s="1906"/>
      <c r="AS41" s="1899"/>
      <c r="AT41" s="1899"/>
    </row>
    <row r="42" spans="1:46" ht="52.9" customHeight="1" x14ac:dyDescent="0.3">
      <c r="A42" s="2261"/>
      <c r="B42" s="1218">
        <v>2</v>
      </c>
      <c r="C42" s="1729"/>
      <c r="D42" s="1729"/>
      <c r="E42" s="1729">
        <v>66</v>
      </c>
      <c r="F42" s="1730"/>
      <c r="G42" s="1712"/>
      <c r="H42" s="1723"/>
      <c r="I42" s="1749" t="s">
        <v>1097</v>
      </c>
      <c r="J42" s="1743"/>
      <c r="K42" s="332"/>
      <c r="L42" s="1733"/>
      <c r="M42" s="1710"/>
      <c r="N42" s="1710"/>
      <c r="O42" s="1730"/>
      <c r="P42" s="2032"/>
      <c r="Q42" s="1725"/>
      <c r="R42" s="1710"/>
      <c r="S42" s="1743"/>
      <c r="T42" s="332"/>
      <c r="U42" s="1733"/>
      <c r="V42" s="1710"/>
      <c r="W42" s="1710">
        <v>63</v>
      </c>
      <c r="X42" s="1730"/>
      <c r="Y42" s="2032"/>
      <c r="Z42" s="1725"/>
      <c r="AA42" s="1738" t="s">
        <v>1097</v>
      </c>
      <c r="AB42" s="1743"/>
      <c r="AC42" s="332"/>
      <c r="AD42" s="1733"/>
      <c r="AE42" s="1710"/>
      <c r="AF42" s="1710"/>
      <c r="AG42" s="1903"/>
      <c r="AH42" s="1906"/>
      <c r="AI42" s="1906"/>
      <c r="AJ42" s="1905"/>
      <c r="AK42" s="1899"/>
      <c r="AL42" s="1726"/>
      <c r="AM42" s="1733"/>
      <c r="AN42" s="1710"/>
      <c r="AO42" s="1710"/>
      <c r="AP42" s="1903"/>
      <c r="AQ42" s="1905"/>
      <c r="AR42" s="1906"/>
      <c r="AS42" s="1899"/>
      <c r="AT42" s="1899"/>
    </row>
    <row r="43" spans="1:46" ht="40.5" customHeight="1" x14ac:dyDescent="0.3">
      <c r="A43" s="2260">
        <v>45982</v>
      </c>
      <c r="B43" s="1218">
        <v>1</v>
      </c>
      <c r="C43" s="1729"/>
      <c r="D43" s="1729"/>
      <c r="E43" s="1729"/>
      <c r="F43" s="1730"/>
      <c r="G43" s="1712"/>
      <c r="H43" s="1723"/>
      <c r="I43" s="1749"/>
      <c r="J43" s="1743"/>
      <c r="K43" s="332"/>
      <c r="L43" s="1733"/>
      <c r="M43" s="1710"/>
      <c r="N43" s="1710"/>
      <c r="O43" s="1730"/>
      <c r="P43" s="2032"/>
      <c r="Q43" s="1725"/>
      <c r="R43" s="1710"/>
      <c r="S43" s="1743"/>
      <c r="T43" s="332"/>
      <c r="U43" s="1733"/>
      <c r="V43" s="1710"/>
      <c r="W43" s="1710"/>
      <c r="X43" s="1730"/>
      <c r="Y43" s="2032"/>
      <c r="Z43" s="1725"/>
      <c r="AA43" s="1738"/>
      <c r="AB43" s="1743"/>
      <c r="AC43" s="332"/>
      <c r="AD43" s="1733"/>
      <c r="AE43" s="1710"/>
      <c r="AF43" s="1710"/>
      <c r="AG43" s="1903"/>
      <c r="AH43" s="1906"/>
      <c r="AI43" s="1906"/>
      <c r="AJ43" s="1905"/>
      <c r="AK43" s="1899"/>
      <c r="AL43" s="1726"/>
      <c r="AM43" s="1733"/>
      <c r="AN43" s="1710"/>
      <c r="AO43" s="1710"/>
      <c r="AP43" s="1903"/>
      <c r="AQ43" s="1905"/>
      <c r="AR43" s="1906"/>
      <c r="AS43" s="1899"/>
      <c r="AT43" s="1899"/>
    </row>
    <row r="44" spans="1:46" ht="45.75" customHeight="1" x14ac:dyDescent="0.3">
      <c r="A44" s="2261"/>
      <c r="B44" s="1218">
        <v>2</v>
      </c>
      <c r="C44" s="1729"/>
      <c r="D44" s="1729"/>
      <c r="E44" s="1729">
        <v>27</v>
      </c>
      <c r="F44" s="1730"/>
      <c r="G44" s="1712"/>
      <c r="H44" s="1723"/>
      <c r="I44" s="1749" t="s">
        <v>1097</v>
      </c>
      <c r="J44" s="1743"/>
      <c r="K44" s="332"/>
      <c r="L44" s="1733"/>
      <c r="M44" s="1710"/>
      <c r="N44" s="1710"/>
      <c r="O44" s="1730"/>
      <c r="P44" s="2032"/>
      <c r="Q44" s="1725"/>
      <c r="R44" s="1710"/>
      <c r="S44" s="1743"/>
      <c r="T44" s="332"/>
      <c r="U44" s="1733"/>
      <c r="V44" s="1710"/>
      <c r="W44" s="1710"/>
      <c r="X44" s="1730"/>
      <c r="Y44" s="2032"/>
      <c r="Z44" s="1725"/>
      <c r="AA44" s="1738"/>
      <c r="AB44" s="1743"/>
      <c r="AC44" s="332"/>
      <c r="AD44" s="1733"/>
      <c r="AE44" s="1710">
        <v>83</v>
      </c>
      <c r="AF44" s="1710">
        <v>10</v>
      </c>
      <c r="AG44" s="1903"/>
      <c r="AH44" s="1906"/>
      <c r="AI44" s="1906" t="s">
        <v>1152</v>
      </c>
      <c r="AJ44" s="1905" t="s">
        <v>1153</v>
      </c>
      <c r="AK44" s="1899"/>
      <c r="AL44" s="1726"/>
      <c r="AM44" s="1733"/>
      <c r="AN44" s="1710"/>
      <c r="AO44" s="1710"/>
      <c r="AP44" s="1903"/>
      <c r="AQ44" s="1905"/>
      <c r="AR44" s="1906"/>
      <c r="AS44" s="1899"/>
      <c r="AT44" s="1899"/>
    </row>
    <row r="45" spans="1:46" ht="48.75" customHeight="1" x14ac:dyDescent="0.3">
      <c r="A45" s="2260">
        <v>45983</v>
      </c>
      <c r="B45" s="1218">
        <v>1</v>
      </c>
      <c r="C45" s="1729"/>
      <c r="D45" s="1729"/>
      <c r="E45" s="1729"/>
      <c r="F45" s="1730"/>
      <c r="G45" s="1712"/>
      <c r="H45" s="1723"/>
      <c r="I45" s="1749"/>
      <c r="J45" s="1743"/>
      <c r="K45" s="332"/>
      <c r="L45" s="1733"/>
      <c r="M45" s="1710"/>
      <c r="N45" s="1710"/>
      <c r="O45" s="1730"/>
      <c r="P45" s="2032"/>
      <c r="Q45" s="1725"/>
      <c r="R45" s="1710"/>
      <c r="S45" s="1743"/>
      <c r="T45" s="332"/>
      <c r="U45" s="1733"/>
      <c r="V45" s="1710"/>
      <c r="W45" s="1710"/>
      <c r="X45" s="1730"/>
      <c r="Y45" s="2032"/>
      <c r="Z45" s="1725"/>
      <c r="AA45" s="1738"/>
      <c r="AB45" s="1743"/>
      <c r="AC45" s="332"/>
      <c r="AD45" s="1733"/>
      <c r="AE45" s="1710"/>
      <c r="AF45" s="1710"/>
      <c r="AG45" s="1903"/>
      <c r="AH45" s="1906"/>
      <c r="AI45" s="1906"/>
      <c r="AJ45" s="1905"/>
      <c r="AK45" s="1899"/>
      <c r="AL45" s="1726"/>
      <c r="AM45" s="1733"/>
      <c r="AN45" s="1710"/>
      <c r="AO45" s="1710"/>
      <c r="AP45" s="1903"/>
      <c r="AQ45" s="1905"/>
      <c r="AR45" s="1906"/>
      <c r="AS45" s="1899"/>
      <c r="AT45" s="1899"/>
    </row>
    <row r="46" spans="1:46" ht="48.6" customHeight="1" x14ac:dyDescent="0.3">
      <c r="A46" s="2261"/>
      <c r="B46" s="1218">
        <v>2</v>
      </c>
      <c r="C46" s="1729"/>
      <c r="D46" s="1729"/>
      <c r="E46" s="1729">
        <v>57</v>
      </c>
      <c r="F46" s="1730"/>
      <c r="G46" s="1712"/>
      <c r="H46" s="1723"/>
      <c r="I46" s="1749" t="s">
        <v>1097</v>
      </c>
      <c r="J46" s="1743"/>
      <c r="K46" s="332"/>
      <c r="L46" s="1733"/>
      <c r="M46" s="1710"/>
      <c r="N46" s="1710"/>
      <c r="O46" s="1730"/>
      <c r="P46" s="2032"/>
      <c r="Q46" s="1725"/>
      <c r="R46" s="1710"/>
      <c r="S46" s="1743"/>
      <c r="T46" s="332"/>
      <c r="U46" s="1733"/>
      <c r="V46" s="1710"/>
      <c r="W46" s="1710">
        <v>43</v>
      </c>
      <c r="X46" s="1730"/>
      <c r="Y46" s="2032"/>
      <c r="Z46" s="1725"/>
      <c r="AA46" s="1738" t="s">
        <v>1097</v>
      </c>
      <c r="AB46" s="1743"/>
      <c r="AC46" s="332"/>
      <c r="AD46" s="1733"/>
      <c r="AE46" s="1710"/>
      <c r="AF46" s="1710"/>
      <c r="AG46" s="1903"/>
      <c r="AH46" s="1906"/>
      <c r="AI46" s="1906"/>
      <c r="AJ46" s="1905"/>
      <c r="AK46" s="1899"/>
      <c r="AL46" s="1726"/>
      <c r="AM46" s="1733"/>
      <c r="AN46" s="1710"/>
      <c r="AO46" s="1710"/>
      <c r="AP46" s="1903"/>
      <c r="AQ46" s="1905"/>
      <c r="AR46" s="1906"/>
      <c r="AS46" s="1899"/>
      <c r="AT46" s="1899"/>
    </row>
    <row r="47" spans="1:46" ht="43.5" customHeight="1" x14ac:dyDescent="0.3">
      <c r="A47" s="2260">
        <v>45984</v>
      </c>
      <c r="B47" s="1218">
        <v>1</v>
      </c>
      <c r="C47" s="1729"/>
      <c r="D47" s="1729"/>
      <c r="E47" s="1729"/>
      <c r="F47" s="1730"/>
      <c r="G47" s="1712"/>
      <c r="H47" s="1723"/>
      <c r="I47" s="1749"/>
      <c r="J47" s="1743"/>
      <c r="K47" s="332"/>
      <c r="L47" s="1733"/>
      <c r="M47" s="1710"/>
      <c r="N47" s="1710"/>
      <c r="O47" s="1730"/>
      <c r="P47" s="2032"/>
      <c r="Q47" s="1725"/>
      <c r="R47" s="1710"/>
      <c r="S47" s="1743"/>
      <c r="T47" s="332"/>
      <c r="U47" s="1733"/>
      <c r="V47" s="1710"/>
      <c r="W47" s="1710"/>
      <c r="X47" s="1730"/>
      <c r="Y47" s="2032"/>
      <c r="Z47" s="1725"/>
      <c r="AA47" s="1738"/>
      <c r="AB47" s="1743"/>
      <c r="AC47" s="332"/>
      <c r="AD47" s="1733"/>
      <c r="AE47" s="1710"/>
      <c r="AF47" s="1710"/>
      <c r="AG47" s="1903"/>
      <c r="AH47" s="1906"/>
      <c r="AI47" s="1906"/>
      <c r="AJ47" s="1905"/>
      <c r="AK47" s="1899"/>
      <c r="AL47" s="1726"/>
      <c r="AM47" s="1733"/>
      <c r="AN47" s="1710"/>
      <c r="AO47" s="1710"/>
      <c r="AP47" s="1903"/>
      <c r="AQ47" s="1905"/>
      <c r="AR47" s="1906"/>
      <c r="AS47" s="1899"/>
      <c r="AT47" s="1899"/>
    </row>
    <row r="48" spans="1:46" ht="34.9" customHeight="1" x14ac:dyDescent="0.3">
      <c r="A48" s="2261"/>
      <c r="B48" s="1218">
        <v>2</v>
      </c>
      <c r="C48" s="1729"/>
      <c r="D48" s="1729"/>
      <c r="E48" s="1729"/>
      <c r="F48" s="1730"/>
      <c r="G48" s="1712"/>
      <c r="H48" s="1723"/>
      <c r="I48" s="1749"/>
      <c r="J48" s="1743"/>
      <c r="K48" s="332"/>
      <c r="L48" s="1733"/>
      <c r="M48" s="1710"/>
      <c r="N48" s="1710"/>
      <c r="O48" s="1730"/>
      <c r="P48" s="2033"/>
      <c r="Q48" s="1725"/>
      <c r="R48" s="1710"/>
      <c r="S48" s="1743"/>
      <c r="T48" s="332"/>
      <c r="U48" s="1733">
        <v>160</v>
      </c>
      <c r="V48" s="1710">
        <v>332</v>
      </c>
      <c r="W48" s="1710"/>
      <c r="X48" s="1730"/>
      <c r="Y48" s="2033" t="s">
        <v>45</v>
      </c>
      <c r="Z48" s="1725" t="s">
        <v>1154</v>
      </c>
      <c r="AA48" s="1738"/>
      <c r="AB48" s="1743"/>
      <c r="AC48" s="332"/>
      <c r="AD48" s="1733"/>
      <c r="AE48" s="1710"/>
      <c r="AF48" s="1710">
        <v>23</v>
      </c>
      <c r="AG48" s="1903"/>
      <c r="AH48" s="1906"/>
      <c r="AI48" s="1906"/>
      <c r="AJ48" s="1905" t="s">
        <v>1085</v>
      </c>
      <c r="AK48" s="1899"/>
      <c r="AL48" s="1726"/>
      <c r="AM48" s="1733"/>
      <c r="AN48" s="1710"/>
      <c r="AO48" s="1710"/>
      <c r="AP48" s="1903"/>
      <c r="AQ48" s="1905"/>
      <c r="AR48" s="1906"/>
      <c r="AS48" s="1899"/>
      <c r="AT48" s="1899"/>
    </row>
    <row r="49" spans="1:46" ht="43.15" customHeight="1" x14ac:dyDescent="0.3">
      <c r="A49" s="2260">
        <v>45985</v>
      </c>
      <c r="B49" s="1218">
        <v>1</v>
      </c>
      <c r="C49" s="1729"/>
      <c r="D49" s="1729"/>
      <c r="E49" s="1729">
        <v>29</v>
      </c>
      <c r="F49" s="1730"/>
      <c r="G49" s="1712"/>
      <c r="H49" s="1723"/>
      <c r="I49" s="1749" t="s">
        <v>1097</v>
      </c>
      <c r="J49" s="1743"/>
      <c r="K49" s="332"/>
      <c r="L49" s="1733"/>
      <c r="M49" s="1710"/>
      <c r="N49" s="1710"/>
      <c r="O49" s="1730"/>
      <c r="P49" s="2033"/>
      <c r="Q49" s="1725"/>
      <c r="R49" s="1710"/>
      <c r="S49" s="1743"/>
      <c r="T49" s="332"/>
      <c r="U49" s="1733"/>
      <c r="V49" s="1710"/>
      <c r="W49" s="1710"/>
      <c r="X49" s="1730"/>
      <c r="Y49" s="2033"/>
      <c r="Z49" s="1725"/>
      <c r="AA49" s="1738"/>
      <c r="AB49" s="1743"/>
      <c r="AC49" s="332"/>
      <c r="AD49" s="1733"/>
      <c r="AE49" s="1710"/>
      <c r="AF49" s="1710"/>
      <c r="AG49" s="1903"/>
      <c r="AH49" s="1906"/>
      <c r="AI49" s="1906"/>
      <c r="AJ49" s="1905"/>
      <c r="AK49" s="1899"/>
      <c r="AL49" s="1726"/>
      <c r="AM49" s="1733"/>
      <c r="AN49" s="1710"/>
      <c r="AO49" s="1710"/>
      <c r="AP49" s="1903"/>
      <c r="AQ49" s="1905"/>
      <c r="AR49" s="1906"/>
      <c r="AS49" s="1899"/>
      <c r="AT49" s="1899"/>
    </row>
    <row r="50" spans="1:46" ht="51.6" customHeight="1" x14ac:dyDescent="0.3">
      <c r="A50" s="2261"/>
      <c r="B50" s="1218">
        <v>2</v>
      </c>
      <c r="C50" s="1729"/>
      <c r="D50" s="1729"/>
      <c r="E50" s="1729"/>
      <c r="F50" s="1730"/>
      <c r="G50" s="1712"/>
      <c r="H50" s="1723"/>
      <c r="I50" s="1749"/>
      <c r="J50" s="1743"/>
      <c r="K50" s="332"/>
      <c r="L50" s="1733"/>
      <c r="M50" s="1710"/>
      <c r="N50" s="1710"/>
      <c r="O50" s="1730"/>
      <c r="P50" s="2033"/>
      <c r="Q50" s="1725"/>
      <c r="R50" s="1710"/>
      <c r="S50" s="1743"/>
      <c r="T50" s="332"/>
      <c r="U50" s="1733"/>
      <c r="V50" s="1710"/>
      <c r="W50" s="1710"/>
      <c r="X50" s="1730"/>
      <c r="Y50" s="2033"/>
      <c r="Z50" s="1725">
        <v>15</v>
      </c>
      <c r="AA50" s="1738"/>
      <c r="AB50" s="1743" t="s">
        <v>1146</v>
      </c>
      <c r="AC50" s="332"/>
      <c r="AD50" s="1733"/>
      <c r="AE50" s="1710"/>
      <c r="AF50" s="1710"/>
      <c r="AG50" s="1903"/>
      <c r="AH50" s="1906"/>
      <c r="AI50" s="1906"/>
      <c r="AJ50" s="1905"/>
      <c r="AK50" s="1899"/>
      <c r="AL50" s="1726"/>
      <c r="AM50" s="1733"/>
      <c r="AN50" s="1710"/>
      <c r="AO50" s="1710"/>
      <c r="AP50" s="1903"/>
      <c r="AQ50" s="1905"/>
      <c r="AR50" s="1906"/>
      <c r="AS50" s="1899"/>
      <c r="AT50" s="1899"/>
    </row>
    <row r="51" spans="1:46" ht="34.9" customHeight="1" x14ac:dyDescent="0.3">
      <c r="A51" s="2260">
        <v>45986</v>
      </c>
      <c r="B51" s="1218">
        <v>1</v>
      </c>
      <c r="C51" s="1729"/>
      <c r="D51" s="1729"/>
      <c r="E51" s="1729"/>
      <c r="F51" s="1730">
        <v>137</v>
      </c>
      <c r="G51" s="1712"/>
      <c r="H51" s="1723"/>
      <c r="I51" s="1749"/>
      <c r="J51" s="1743" t="s">
        <v>1126</v>
      </c>
      <c r="K51" s="332"/>
      <c r="L51" s="1733"/>
      <c r="M51" s="1710"/>
      <c r="N51" s="1710"/>
      <c r="O51" s="1730">
        <v>128</v>
      </c>
      <c r="P51" s="2033"/>
      <c r="Q51" s="1725"/>
      <c r="R51" s="1710"/>
      <c r="S51" s="1743" t="s">
        <v>1126</v>
      </c>
      <c r="T51" s="332"/>
      <c r="U51" s="1733"/>
      <c r="V51" s="1710"/>
      <c r="W51" s="1710"/>
      <c r="X51" s="1730">
        <v>133</v>
      </c>
      <c r="Y51" s="2033"/>
      <c r="Z51" s="1725"/>
      <c r="AA51" s="1738"/>
      <c r="AB51" s="1743" t="s">
        <v>1126</v>
      </c>
      <c r="AC51" s="332"/>
      <c r="AD51" s="1733"/>
      <c r="AE51" s="1710"/>
      <c r="AF51" s="1710"/>
      <c r="AG51" s="1903">
        <v>146</v>
      </c>
      <c r="AH51" s="1906"/>
      <c r="AI51" s="1906"/>
      <c r="AJ51" s="1905"/>
      <c r="AK51" s="1899" t="s">
        <v>1126</v>
      </c>
      <c r="AL51" s="1726"/>
      <c r="AM51" s="1733"/>
      <c r="AN51" s="1710"/>
      <c r="AO51" s="1710"/>
      <c r="AP51" s="1903">
        <v>139</v>
      </c>
      <c r="AQ51" s="1905"/>
      <c r="AR51" s="1906"/>
      <c r="AS51" s="1899"/>
      <c r="AT51" s="1899" t="s">
        <v>1126</v>
      </c>
    </row>
    <row r="52" spans="1:46" ht="49.15" customHeight="1" x14ac:dyDescent="0.3">
      <c r="A52" s="2261"/>
      <c r="B52" s="1218">
        <v>2</v>
      </c>
      <c r="C52" s="1729"/>
      <c r="D52" s="1729"/>
      <c r="E52" s="1729"/>
      <c r="F52" s="1730"/>
      <c r="G52" s="1712"/>
      <c r="H52" s="1723"/>
      <c r="I52" s="1749"/>
      <c r="J52" s="1743"/>
      <c r="K52" s="332"/>
      <c r="L52" s="1733"/>
      <c r="M52" s="1710"/>
      <c r="N52" s="1710"/>
      <c r="O52" s="1730"/>
      <c r="P52" s="2034"/>
      <c r="Q52" s="1725"/>
      <c r="R52" s="1710"/>
      <c r="S52" s="1743"/>
      <c r="T52" s="332"/>
      <c r="U52" s="1733"/>
      <c r="V52" s="1710"/>
      <c r="W52" s="1710"/>
      <c r="X52" s="1730"/>
      <c r="Y52" s="2034"/>
      <c r="Z52" s="1725"/>
      <c r="AA52" s="1738"/>
      <c r="AB52" s="1743"/>
      <c r="AC52" s="332"/>
      <c r="AD52" s="1733"/>
      <c r="AE52" s="1710"/>
      <c r="AF52" s="1710"/>
      <c r="AG52" s="1903"/>
      <c r="AH52" s="1906"/>
      <c r="AI52" s="1906"/>
      <c r="AJ52" s="1905"/>
      <c r="AK52" s="1899"/>
      <c r="AL52" s="1726"/>
      <c r="AM52" s="1733"/>
      <c r="AN52" s="1710"/>
      <c r="AO52" s="1710"/>
      <c r="AP52" s="1903"/>
      <c r="AQ52" s="1905"/>
      <c r="AR52" s="1906"/>
      <c r="AS52" s="1899"/>
      <c r="AT52" s="1899"/>
    </row>
    <row r="53" spans="1:46" ht="48" customHeight="1" x14ac:dyDescent="0.3">
      <c r="A53" s="2260">
        <v>45987</v>
      </c>
      <c r="B53" s="1218">
        <v>1</v>
      </c>
      <c r="C53" s="1729"/>
      <c r="D53" s="1729"/>
      <c r="E53" s="1729">
        <v>42</v>
      </c>
      <c r="F53" s="1730"/>
      <c r="G53" s="1712"/>
      <c r="H53" s="1723"/>
      <c r="I53" s="1749" t="s">
        <v>1097</v>
      </c>
      <c r="J53" s="1743"/>
      <c r="K53" s="332"/>
      <c r="L53" s="1733"/>
      <c r="M53" s="1710"/>
      <c r="N53" s="1710"/>
      <c r="O53" s="1730"/>
      <c r="P53" s="2034"/>
      <c r="Q53" s="1725"/>
      <c r="R53" s="1710"/>
      <c r="S53" s="1743"/>
      <c r="T53" s="332"/>
      <c r="U53" s="1733"/>
      <c r="V53" s="1710"/>
      <c r="W53" s="1710">
        <v>20</v>
      </c>
      <c r="X53" s="1730"/>
      <c r="Y53" s="2034"/>
      <c r="Z53" s="1725"/>
      <c r="AA53" s="1738" t="s">
        <v>1097</v>
      </c>
      <c r="AB53" s="1743"/>
      <c r="AC53" s="332"/>
      <c r="AD53" s="1733"/>
      <c r="AE53" s="1710"/>
      <c r="AF53" s="1710">
        <v>13</v>
      </c>
      <c r="AG53" s="1903"/>
      <c r="AH53" s="1906"/>
      <c r="AI53" s="1906"/>
      <c r="AJ53" s="1905" t="s">
        <v>842</v>
      </c>
      <c r="AK53" s="1899"/>
      <c r="AL53" s="1726"/>
      <c r="AM53" s="1733"/>
      <c r="AN53" s="1710"/>
      <c r="AO53" s="1710"/>
      <c r="AP53" s="1903"/>
      <c r="AQ53" s="1905"/>
      <c r="AR53" s="1906"/>
      <c r="AS53" s="1899"/>
      <c r="AT53" s="1899"/>
    </row>
    <row r="54" spans="1:46" ht="45.6" customHeight="1" x14ac:dyDescent="0.3">
      <c r="A54" s="2261"/>
      <c r="B54" s="1252">
        <v>2</v>
      </c>
      <c r="C54" s="1729"/>
      <c r="D54" s="1729"/>
      <c r="E54" s="1729"/>
      <c r="F54" s="1730"/>
      <c r="G54" s="1713"/>
      <c r="H54" s="1723"/>
      <c r="I54" s="1714"/>
      <c r="J54" s="1743"/>
      <c r="K54" s="332"/>
      <c r="L54" s="1733"/>
      <c r="M54" s="1710"/>
      <c r="N54" s="1710"/>
      <c r="O54" s="1730"/>
      <c r="P54" s="1713"/>
      <c r="Q54" s="1723"/>
      <c r="R54" s="1713"/>
      <c r="S54" s="1743"/>
      <c r="T54" s="332"/>
      <c r="U54" s="1733"/>
      <c r="V54" s="1710"/>
      <c r="W54" s="1710"/>
      <c r="X54" s="1730"/>
      <c r="Y54" s="1723"/>
      <c r="Z54" s="1723"/>
      <c r="AA54" s="1738"/>
      <c r="AB54" s="1743"/>
      <c r="AC54" s="332"/>
      <c r="AD54" s="1733"/>
      <c r="AE54" s="1710"/>
      <c r="AF54" s="1710"/>
      <c r="AG54" s="1782"/>
      <c r="AH54" s="1905"/>
      <c r="AI54" s="1899"/>
      <c r="AJ54" s="1906"/>
      <c r="AK54" s="1899"/>
      <c r="AL54" s="1726"/>
      <c r="AM54" s="1733"/>
      <c r="AN54" s="1759"/>
      <c r="AO54" s="1734"/>
      <c r="AP54" s="1782"/>
      <c r="AQ54" s="1906"/>
      <c r="AR54" s="1899"/>
      <c r="AS54" s="1899"/>
      <c r="AT54" s="1899"/>
    </row>
    <row r="55" spans="1:46" ht="39.6" customHeight="1" x14ac:dyDescent="0.3">
      <c r="A55" s="2260">
        <v>45988</v>
      </c>
      <c r="B55" s="1218">
        <v>1</v>
      </c>
      <c r="C55" s="1728"/>
      <c r="D55" s="1729"/>
      <c r="E55" s="1729">
        <v>13</v>
      </c>
      <c r="F55" s="1730"/>
      <c r="G55" s="1713"/>
      <c r="H55" s="1713"/>
      <c r="I55" s="1714" t="s">
        <v>1097</v>
      </c>
      <c r="J55" s="1721"/>
      <c r="K55" s="332"/>
      <c r="L55" s="1733"/>
      <c r="M55" s="1710"/>
      <c r="N55" s="1710"/>
      <c r="O55" s="1721"/>
      <c r="P55" s="2034"/>
      <c r="Q55" s="1723"/>
      <c r="R55" s="1710"/>
      <c r="S55" s="1721"/>
      <c r="T55" s="332"/>
      <c r="U55" s="1733"/>
      <c r="V55" s="1710"/>
      <c r="W55" s="1710">
        <v>53</v>
      </c>
      <c r="X55" s="1721"/>
      <c r="Y55" s="2034"/>
      <c r="Z55" s="1713"/>
      <c r="AA55" s="1738" t="s">
        <v>97</v>
      </c>
      <c r="AB55" s="1721"/>
      <c r="AC55" s="332"/>
      <c r="AD55" s="1733"/>
      <c r="AE55" s="1710"/>
      <c r="AF55" s="1710"/>
      <c r="AG55" s="1782"/>
      <c r="AH55" s="1905"/>
      <c r="AI55" s="1899"/>
      <c r="AJ55" s="1906"/>
      <c r="AK55" s="1905"/>
      <c r="AL55" s="1726"/>
      <c r="AM55" s="1733"/>
      <c r="AN55" s="1759"/>
      <c r="AO55" s="1710"/>
      <c r="AP55" s="1782"/>
      <c r="AQ55" s="1905"/>
      <c r="AR55" s="1899"/>
      <c r="AS55" s="1899"/>
      <c r="AT55" s="1899"/>
    </row>
    <row r="56" spans="1:46" ht="47.25" customHeight="1" x14ac:dyDescent="0.3">
      <c r="A56" s="2261"/>
      <c r="B56" s="1252">
        <v>2</v>
      </c>
      <c r="C56" s="1728"/>
      <c r="D56" s="1729"/>
      <c r="E56" s="1729"/>
      <c r="F56" s="1730"/>
      <c r="G56" s="1723"/>
      <c r="H56" s="1723"/>
      <c r="I56" s="1714"/>
      <c r="J56" s="1743"/>
      <c r="K56" s="332"/>
      <c r="L56" s="1733">
        <v>83</v>
      </c>
      <c r="M56" s="1710"/>
      <c r="N56" s="1710"/>
      <c r="O56" s="1730"/>
      <c r="P56" s="1723" t="s">
        <v>1156</v>
      </c>
      <c r="Q56" s="1713"/>
      <c r="R56" s="1723"/>
      <c r="S56" s="1743"/>
      <c r="T56" s="332"/>
      <c r="U56" s="1733"/>
      <c r="V56" s="1710"/>
      <c r="W56" s="1710"/>
      <c r="X56" s="1730"/>
      <c r="Y56" s="2035"/>
      <c r="Z56" s="1713"/>
      <c r="AA56" s="1738"/>
      <c r="AB56" s="1743"/>
      <c r="AC56" s="332"/>
      <c r="AD56" s="1733"/>
      <c r="AE56" s="1710"/>
      <c r="AF56" s="1710"/>
      <c r="AG56" s="1903"/>
      <c r="AH56" s="1905"/>
      <c r="AI56" s="1898"/>
      <c r="AJ56" s="1899"/>
      <c r="AK56" s="1899"/>
      <c r="AL56" s="1726"/>
      <c r="AM56" s="1733"/>
      <c r="AN56" s="1759"/>
      <c r="AO56" s="1710"/>
      <c r="AP56" s="1782"/>
      <c r="AQ56" s="1899"/>
      <c r="AR56" s="1899"/>
      <c r="AS56" s="1905"/>
      <c r="AT56" s="1899"/>
    </row>
    <row r="57" spans="1:46" ht="47.25" customHeight="1" x14ac:dyDescent="0.3">
      <c r="A57" s="2260">
        <v>45989</v>
      </c>
      <c r="B57" s="1252">
        <v>1</v>
      </c>
      <c r="C57" s="1728"/>
      <c r="D57" s="1729"/>
      <c r="E57" s="1729">
        <v>10</v>
      </c>
      <c r="F57" s="1730"/>
      <c r="G57" s="1723"/>
      <c r="H57" s="1723"/>
      <c r="I57" s="1714" t="s">
        <v>388</v>
      </c>
      <c r="J57" s="1743"/>
      <c r="K57" s="332"/>
      <c r="L57" s="1733"/>
      <c r="M57" s="1710"/>
      <c r="N57" s="1710"/>
      <c r="O57" s="1730"/>
      <c r="P57" s="1723"/>
      <c r="Q57" s="1713"/>
      <c r="R57" s="1723"/>
      <c r="S57" s="1743"/>
      <c r="T57" s="332"/>
      <c r="U57" s="1733"/>
      <c r="V57" s="1710"/>
      <c r="W57" s="1710"/>
      <c r="X57" s="1730"/>
      <c r="Y57" s="2035"/>
      <c r="Z57" s="1713"/>
      <c r="AA57" s="1738"/>
      <c r="AB57" s="1743"/>
      <c r="AC57" s="332"/>
      <c r="AD57" s="1733">
        <v>15</v>
      </c>
      <c r="AE57" s="1710"/>
      <c r="AF57" s="1710"/>
      <c r="AG57" s="1903"/>
      <c r="AH57" s="1905" t="s">
        <v>113</v>
      </c>
      <c r="AI57" s="1898"/>
      <c r="AJ57" s="1899"/>
      <c r="AK57" s="1899"/>
      <c r="AL57" s="1726"/>
      <c r="AM57" s="1733"/>
      <c r="AN57" s="1759"/>
      <c r="AO57" s="1710"/>
      <c r="AP57" s="1782"/>
      <c r="AQ57" s="1899"/>
      <c r="AR57" s="1899"/>
      <c r="AS57" s="1905"/>
      <c r="AT57" s="1899"/>
    </row>
    <row r="58" spans="1:46" ht="47.25" customHeight="1" x14ac:dyDescent="0.3">
      <c r="A58" s="2261"/>
      <c r="B58" s="1252">
        <v>2</v>
      </c>
      <c r="C58" s="1728"/>
      <c r="D58" s="1729"/>
      <c r="E58" s="1729">
        <v>12</v>
      </c>
      <c r="F58" s="1730"/>
      <c r="G58" s="1723"/>
      <c r="H58" s="1723"/>
      <c r="I58" s="1714" t="s">
        <v>1097</v>
      </c>
      <c r="J58" s="1743"/>
      <c r="K58" s="332"/>
      <c r="L58" s="1733"/>
      <c r="M58" s="1710"/>
      <c r="N58" s="1710"/>
      <c r="O58" s="1730"/>
      <c r="P58" s="1723"/>
      <c r="Q58" s="1713"/>
      <c r="R58" s="1723"/>
      <c r="S58" s="1743"/>
      <c r="T58" s="332"/>
      <c r="U58" s="1733"/>
      <c r="V58" s="1710"/>
      <c r="W58" s="1710"/>
      <c r="X58" s="1730"/>
      <c r="Y58" s="2035"/>
      <c r="Z58" s="1713"/>
      <c r="AA58" s="1738"/>
      <c r="AB58" s="1743"/>
      <c r="AC58" s="332"/>
      <c r="AD58" s="1733"/>
      <c r="AE58" s="1710"/>
      <c r="AF58" s="1710"/>
      <c r="AG58" s="1903"/>
      <c r="AH58" s="1905"/>
      <c r="AI58" s="1898"/>
      <c r="AJ58" s="1899"/>
      <c r="AK58" s="1899"/>
      <c r="AL58" s="1726"/>
      <c r="AM58" s="1733">
        <v>238</v>
      </c>
      <c r="AN58" s="1759"/>
      <c r="AO58" s="1710"/>
      <c r="AP58" s="1782"/>
      <c r="AQ58" s="1899" t="s">
        <v>45</v>
      </c>
      <c r="AR58" s="1899"/>
      <c r="AS58" s="1905"/>
      <c r="AT58" s="1899"/>
    </row>
    <row r="59" spans="1:46" ht="47.25" customHeight="1" x14ac:dyDescent="0.3">
      <c r="A59" s="2260">
        <v>45990</v>
      </c>
      <c r="B59" s="1252">
        <v>1</v>
      </c>
      <c r="C59" s="1728"/>
      <c r="D59" s="1729"/>
      <c r="E59" s="1729">
        <v>58</v>
      </c>
      <c r="F59" s="1730"/>
      <c r="G59" s="1723"/>
      <c r="H59" s="1723"/>
      <c r="I59" s="1714" t="s">
        <v>1097</v>
      </c>
      <c r="J59" s="1743"/>
      <c r="K59" s="332"/>
      <c r="L59" s="1733"/>
      <c r="M59" s="1710"/>
      <c r="N59" s="1710"/>
      <c r="O59" s="1730"/>
      <c r="P59" s="1723"/>
      <c r="Q59" s="1713"/>
      <c r="R59" s="1723"/>
      <c r="S59" s="1743"/>
      <c r="T59" s="332"/>
      <c r="U59" s="1733"/>
      <c r="V59" s="1710"/>
      <c r="W59" s="1710">
        <v>59</v>
      </c>
      <c r="X59" s="1730"/>
      <c r="Y59" s="2035"/>
      <c r="Z59" s="1713"/>
      <c r="AA59" s="1738" t="s">
        <v>1097</v>
      </c>
      <c r="AB59" s="1743"/>
      <c r="AC59" s="332"/>
      <c r="AD59" s="1733"/>
      <c r="AE59" s="1710"/>
      <c r="AF59" s="1710"/>
      <c r="AG59" s="1903"/>
      <c r="AH59" s="1905"/>
      <c r="AI59" s="1898"/>
      <c r="AJ59" s="1899"/>
      <c r="AK59" s="1899"/>
      <c r="AL59" s="1726"/>
      <c r="AM59" s="1733"/>
      <c r="AN59" s="1759">
        <v>28</v>
      </c>
      <c r="AO59" s="1710"/>
      <c r="AP59" s="1782"/>
      <c r="AQ59" s="1899"/>
      <c r="AR59" s="1899" t="s">
        <v>1155</v>
      </c>
      <c r="AS59" s="1905"/>
      <c r="AT59" s="1899"/>
    </row>
    <row r="60" spans="1:46" ht="47.25" customHeight="1" x14ac:dyDescent="0.3">
      <c r="A60" s="2261"/>
      <c r="B60" s="1252">
        <v>2</v>
      </c>
      <c r="C60" s="1728"/>
      <c r="D60" s="1729"/>
      <c r="E60" s="1729"/>
      <c r="F60" s="1730"/>
      <c r="G60" s="1723"/>
      <c r="H60" s="1723"/>
      <c r="I60" s="1714"/>
      <c r="J60" s="1743"/>
      <c r="K60" s="332"/>
      <c r="L60" s="1733"/>
      <c r="M60" s="1710"/>
      <c r="N60" s="1710"/>
      <c r="O60" s="1730"/>
      <c r="P60" s="1723"/>
      <c r="Q60" s="1713"/>
      <c r="R60" s="1723"/>
      <c r="S60" s="1743"/>
      <c r="T60" s="332"/>
      <c r="U60" s="1733"/>
      <c r="V60" s="1710">
        <v>40</v>
      </c>
      <c r="W60" s="1710">
        <v>10</v>
      </c>
      <c r="X60" s="1730"/>
      <c r="Y60" s="2036"/>
      <c r="Z60" s="1713" t="s">
        <v>1157</v>
      </c>
      <c r="AA60" s="1738" t="s">
        <v>1097</v>
      </c>
      <c r="AB60" s="1743"/>
      <c r="AC60" s="332"/>
      <c r="AD60" s="1733"/>
      <c r="AE60" s="1710"/>
      <c r="AF60" s="1710"/>
      <c r="AG60" s="1903"/>
      <c r="AH60" s="1905"/>
      <c r="AI60" s="1898"/>
      <c r="AJ60" s="1899"/>
      <c r="AK60" s="1899"/>
      <c r="AL60" s="1726"/>
      <c r="AM60" s="1733"/>
      <c r="AN60" s="1759"/>
      <c r="AO60" s="1710">
        <v>12</v>
      </c>
      <c r="AP60" s="1782"/>
      <c r="AQ60" s="1899"/>
      <c r="AR60" s="1899"/>
      <c r="AS60" s="1905" t="s">
        <v>1097</v>
      </c>
      <c r="AT60" s="1899"/>
    </row>
    <row r="61" spans="1:46" ht="47.25" customHeight="1" x14ac:dyDescent="0.3">
      <c r="A61" s="2260">
        <v>45991</v>
      </c>
      <c r="B61" s="1252">
        <v>1</v>
      </c>
      <c r="C61" s="1728"/>
      <c r="D61" s="1729"/>
      <c r="E61" s="1729"/>
      <c r="F61" s="1730"/>
      <c r="G61" s="1723"/>
      <c r="H61" s="1723"/>
      <c r="I61" s="1714"/>
      <c r="J61" s="1743"/>
      <c r="K61" s="332"/>
      <c r="L61" s="1733"/>
      <c r="M61" s="1710"/>
      <c r="N61" s="1710"/>
      <c r="O61" s="1730"/>
      <c r="P61" s="1723"/>
      <c r="Q61" s="1713"/>
      <c r="R61" s="1723"/>
      <c r="S61" s="1743"/>
      <c r="T61" s="332"/>
      <c r="U61" s="1733"/>
      <c r="V61" s="1710"/>
      <c r="W61" s="1710">
        <v>38</v>
      </c>
      <c r="X61" s="1730"/>
      <c r="Y61" s="2036"/>
      <c r="Z61" s="1713"/>
      <c r="AA61" s="1738" t="s">
        <v>1097</v>
      </c>
      <c r="AB61" s="1743"/>
      <c r="AC61" s="332"/>
      <c r="AD61" s="1733"/>
      <c r="AE61" s="1710"/>
      <c r="AF61" s="1710"/>
      <c r="AG61" s="1903"/>
      <c r="AH61" s="1905"/>
      <c r="AI61" s="1898"/>
      <c r="AJ61" s="1899"/>
      <c r="AK61" s="1899"/>
      <c r="AL61" s="1726"/>
      <c r="AM61" s="1733"/>
      <c r="AN61" s="1759"/>
      <c r="AO61" s="1710"/>
      <c r="AP61" s="1782"/>
      <c r="AQ61" s="1899"/>
      <c r="AR61" s="1899"/>
      <c r="AS61" s="1905"/>
      <c r="AT61" s="1899"/>
    </row>
    <row r="62" spans="1:46" ht="47.25" customHeight="1" x14ac:dyDescent="0.3">
      <c r="A62" s="2261"/>
      <c r="B62" s="1218">
        <v>2</v>
      </c>
      <c r="C62" s="1728">
        <v>133</v>
      </c>
      <c r="D62" s="1729">
        <v>132</v>
      </c>
      <c r="E62" s="1729">
        <v>18</v>
      </c>
      <c r="F62" s="1730"/>
      <c r="G62" s="1723" t="s">
        <v>1158</v>
      </c>
      <c r="H62" s="1723" t="s">
        <v>664</v>
      </c>
      <c r="I62" s="1714" t="s">
        <v>1097</v>
      </c>
      <c r="J62" s="1743"/>
      <c r="K62" s="332"/>
      <c r="L62" s="1733"/>
      <c r="M62" s="1710"/>
      <c r="N62" s="1710"/>
      <c r="O62" s="1730"/>
      <c r="P62" s="1723"/>
      <c r="Q62" s="1713"/>
      <c r="R62" s="1723"/>
      <c r="S62" s="1743"/>
      <c r="T62" s="332"/>
      <c r="U62" s="1733"/>
      <c r="V62" s="1710"/>
      <c r="W62" s="1710"/>
      <c r="X62" s="1730"/>
      <c r="Y62" s="2037"/>
      <c r="Z62" s="1713"/>
      <c r="AA62" s="1738"/>
      <c r="AB62" s="1743"/>
      <c r="AC62" s="332"/>
      <c r="AD62" s="1733"/>
      <c r="AE62" s="1710"/>
      <c r="AF62" s="1710"/>
      <c r="AG62" s="1903"/>
      <c r="AH62" s="1905"/>
      <c r="AI62" s="1898"/>
      <c r="AJ62" s="1899"/>
      <c r="AK62" s="1899"/>
      <c r="AL62" s="1726"/>
      <c r="AM62" s="1733"/>
      <c r="AN62" s="1759"/>
      <c r="AO62" s="1710"/>
      <c r="AP62" s="1782"/>
      <c r="AQ62" s="1899"/>
      <c r="AR62" s="1899"/>
      <c r="AS62" s="1905"/>
      <c r="AT62" s="1899"/>
    </row>
    <row r="63" spans="1:46" ht="18.75" x14ac:dyDescent="0.3">
      <c r="A63" s="301" t="s">
        <v>225</v>
      </c>
      <c r="B63" s="419"/>
      <c r="C63" s="1285">
        <f>SUM(C3:C62)</f>
        <v>4494</v>
      </c>
      <c r="D63" s="419">
        <f>SUM(D3:D62)</f>
        <v>410</v>
      </c>
      <c r="E63" s="1285">
        <f>SUM(E3:E62)</f>
        <v>704</v>
      </c>
      <c r="F63" s="419">
        <f>SUM(F3:F62)</f>
        <v>137</v>
      </c>
      <c r="G63" s="301"/>
      <c r="H63" s="301"/>
      <c r="I63" s="301"/>
      <c r="J63" s="301"/>
      <c r="K63" s="301"/>
      <c r="L63" s="419">
        <f>SUM(L3:L62)</f>
        <v>83</v>
      </c>
      <c r="M63" s="419">
        <f>SUM(M3:M62)</f>
        <v>323</v>
      </c>
      <c r="N63" s="419">
        <f>SUM(N3:N62)</f>
        <v>0</v>
      </c>
      <c r="O63" s="419">
        <f>SUM(O3:O62)</f>
        <v>144</v>
      </c>
      <c r="P63" s="301"/>
      <c r="Q63" s="301"/>
      <c r="R63" s="301"/>
      <c r="S63" s="301"/>
      <c r="T63" s="301"/>
      <c r="U63" s="419">
        <f>SUM(U3:U62)</f>
        <v>160</v>
      </c>
      <c r="V63" s="419">
        <f>SUM(V3:V62)</f>
        <v>372</v>
      </c>
      <c r="W63" s="419">
        <f>SUM(W3:W62)</f>
        <v>686</v>
      </c>
      <c r="X63" s="419">
        <f>SUM(X3:X62)</f>
        <v>133</v>
      </c>
      <c r="Y63" s="301"/>
      <c r="Z63" s="301"/>
      <c r="AA63" s="301"/>
      <c r="AB63" s="301"/>
      <c r="AC63" s="301"/>
      <c r="AD63" s="419">
        <f>SUM(AD3:AD62)</f>
        <v>15</v>
      </c>
      <c r="AE63" s="419">
        <f>SUM(AE3:AE62)</f>
        <v>83</v>
      </c>
      <c r="AF63" s="419">
        <f>SUM(AF3:AF62)</f>
        <v>79</v>
      </c>
      <c r="AG63" s="419">
        <f>SUM(AG3:AG62)</f>
        <v>169</v>
      </c>
      <c r="AH63" s="301"/>
      <c r="AI63" s="301"/>
      <c r="AJ63" s="301"/>
      <c r="AK63" s="301"/>
      <c r="AL63" s="301"/>
      <c r="AM63" s="419">
        <f>SUM(AM3:AM62)</f>
        <v>323</v>
      </c>
      <c r="AN63" s="419">
        <f>SUM(AN3:AN62)</f>
        <v>49</v>
      </c>
      <c r="AO63" s="419">
        <f>SUM(AO3:AO62)</f>
        <v>49</v>
      </c>
      <c r="AP63" s="419">
        <f>SUM(AP3:AP62)</f>
        <v>372</v>
      </c>
      <c r="AQ63" s="301"/>
      <c r="AR63" s="301"/>
      <c r="AS63" s="301"/>
      <c r="AT63" s="301"/>
    </row>
    <row r="71" spans="2:10" ht="15.75" thickBot="1" x14ac:dyDescent="0.3"/>
    <row r="72" spans="2:10" ht="19.5" thickBot="1" x14ac:dyDescent="0.35">
      <c r="B72" s="419"/>
      <c r="C72" s="2222" t="s">
        <v>199</v>
      </c>
      <c r="D72" s="2223"/>
      <c r="E72" s="2224" t="s">
        <v>200</v>
      </c>
      <c r="F72" s="2225"/>
      <c r="G72" s="2222" t="s">
        <v>201</v>
      </c>
      <c r="H72" s="2223"/>
      <c r="I72" s="2222" t="s">
        <v>204</v>
      </c>
      <c r="J72" s="2223"/>
    </row>
    <row r="73" spans="2:10" ht="19.5" thickBot="1" x14ac:dyDescent="0.35">
      <c r="B73" s="419"/>
      <c r="C73" s="662" t="s">
        <v>222</v>
      </c>
      <c r="D73" s="663" t="s">
        <v>223</v>
      </c>
      <c r="E73" s="664" t="s">
        <v>222</v>
      </c>
      <c r="F73" s="665" t="s">
        <v>223</v>
      </c>
      <c r="G73" s="662" t="s">
        <v>222</v>
      </c>
      <c r="H73" s="663" t="s">
        <v>223</v>
      </c>
      <c r="I73" s="662" t="s">
        <v>222</v>
      </c>
      <c r="J73" s="663" t="s">
        <v>223</v>
      </c>
    </row>
    <row r="74" spans="2:10" ht="18.75" x14ac:dyDescent="0.3">
      <c r="B74" s="651" t="s">
        <v>218</v>
      </c>
      <c r="C74" s="652">
        <f>C63</f>
        <v>4494</v>
      </c>
      <c r="D74" s="653">
        <f>C74/60</f>
        <v>74.900000000000006</v>
      </c>
      <c r="E74" s="652">
        <f>D63</f>
        <v>410</v>
      </c>
      <c r="F74" s="654">
        <f>E74/60</f>
        <v>6.833333333333333</v>
      </c>
      <c r="G74" s="652">
        <f>E63</f>
        <v>704</v>
      </c>
      <c r="H74" s="653">
        <f>G74/60</f>
        <v>11.733333333333333</v>
      </c>
      <c r="I74" s="652">
        <f>F63</f>
        <v>137</v>
      </c>
      <c r="J74" s="653">
        <f>I74/60</f>
        <v>2.2833333333333332</v>
      </c>
    </row>
    <row r="75" spans="2:10" ht="18.75" x14ac:dyDescent="0.3">
      <c r="B75" s="651" t="s">
        <v>219</v>
      </c>
      <c r="C75" s="655">
        <f>L63</f>
        <v>83</v>
      </c>
      <c r="D75" s="656">
        <f>C75/60</f>
        <v>1.3833333333333333</v>
      </c>
      <c r="E75" s="655">
        <f>M63</f>
        <v>323</v>
      </c>
      <c r="F75" s="657">
        <f>E75/60</f>
        <v>5.3833333333333337</v>
      </c>
      <c r="G75" s="655">
        <f>N63</f>
        <v>0</v>
      </c>
      <c r="H75" s="656">
        <f>G75/60</f>
        <v>0</v>
      </c>
      <c r="I75" s="655">
        <f>O63</f>
        <v>144</v>
      </c>
      <c r="J75" s="656">
        <f>I75/60</f>
        <v>2.4</v>
      </c>
    </row>
    <row r="76" spans="2:10" ht="18.75" x14ac:dyDescent="0.3">
      <c r="B76" s="651" t="s">
        <v>220</v>
      </c>
      <c r="C76" s="655">
        <f>U63</f>
        <v>160</v>
      </c>
      <c r="D76" s="656">
        <f>C76/60</f>
        <v>2.6666666666666665</v>
      </c>
      <c r="E76" s="655">
        <f>V63</f>
        <v>372</v>
      </c>
      <c r="F76" s="657">
        <f>E76/60</f>
        <v>6.2</v>
      </c>
      <c r="G76" s="655">
        <f>W63</f>
        <v>686</v>
      </c>
      <c r="H76" s="656">
        <f>G76/60</f>
        <v>11.433333333333334</v>
      </c>
      <c r="I76" s="655">
        <f>X63</f>
        <v>133</v>
      </c>
      <c r="J76" s="656">
        <f>I76/60</f>
        <v>2.2166666666666668</v>
      </c>
    </row>
    <row r="77" spans="2:10" ht="19.5" thickBot="1" x14ac:dyDescent="0.35">
      <c r="B77" s="651" t="s">
        <v>221</v>
      </c>
      <c r="C77" s="658">
        <f>AD63</f>
        <v>15</v>
      </c>
      <c r="D77" s="659">
        <f>C77/60</f>
        <v>0.25</v>
      </c>
      <c r="E77" s="658">
        <f>AE63</f>
        <v>83</v>
      </c>
      <c r="F77" s="660">
        <f>E77/60</f>
        <v>1.3833333333333333</v>
      </c>
      <c r="G77" s="658">
        <f>AF63</f>
        <v>79</v>
      </c>
      <c r="H77" s="659">
        <f>G77/60</f>
        <v>1.3166666666666667</v>
      </c>
      <c r="I77" s="658">
        <f>AG63</f>
        <v>169</v>
      </c>
      <c r="J77" s="659">
        <f>I77/60</f>
        <v>2.8166666666666669</v>
      </c>
    </row>
    <row r="78" spans="2:10" ht="19.5" thickBot="1" x14ac:dyDescent="0.35">
      <c r="B78" s="651" t="s">
        <v>488</v>
      </c>
      <c r="C78" s="850">
        <f>AM63</f>
        <v>323</v>
      </c>
      <c r="D78" s="849">
        <f>C78/60</f>
        <v>5.3833333333333337</v>
      </c>
      <c r="E78" s="850">
        <f>AN63</f>
        <v>49</v>
      </c>
      <c r="F78" s="851">
        <f>E78/60</f>
        <v>0.81666666666666665</v>
      </c>
      <c r="G78" s="850">
        <f>AO63</f>
        <v>49</v>
      </c>
      <c r="H78" s="849">
        <f>G78/60</f>
        <v>0.81666666666666665</v>
      </c>
      <c r="I78" s="850">
        <f>AP63</f>
        <v>372</v>
      </c>
      <c r="J78" s="849">
        <f>I78/60</f>
        <v>6.2</v>
      </c>
    </row>
    <row r="79" spans="2:10" ht="19.5" thickBot="1" x14ac:dyDescent="0.35">
      <c r="B79" s="419"/>
      <c r="C79" s="301"/>
      <c r="D79" s="301"/>
      <c r="E79" s="301"/>
      <c r="F79" s="301"/>
      <c r="G79" s="301"/>
      <c r="H79" s="301"/>
      <c r="I79" s="301"/>
      <c r="J79" s="301"/>
    </row>
    <row r="80" spans="2:10" ht="19.5" thickBot="1" x14ac:dyDescent="0.35">
      <c r="B80" s="661" t="s">
        <v>217</v>
      </c>
      <c r="C80" s="666"/>
      <c r="D80" s="667">
        <f>SUM(D74:D78)</f>
        <v>84.583333333333357</v>
      </c>
      <c r="E80" s="666"/>
      <c r="F80" s="667">
        <f>SUM(F74:F78)</f>
        <v>20.616666666666667</v>
      </c>
      <c r="G80" s="666"/>
      <c r="H80" s="667">
        <f>SUM(H74:H78)</f>
        <v>25.299999999999997</v>
      </c>
      <c r="I80" s="666"/>
      <c r="J80" s="668">
        <f>AVERAGE(J74:J78)</f>
        <v>3.1833333333333336</v>
      </c>
    </row>
  </sheetData>
  <mergeCells count="44">
    <mergeCell ref="A5:A6"/>
    <mergeCell ref="C1:F1"/>
    <mergeCell ref="G1:J1"/>
    <mergeCell ref="L1:O1"/>
    <mergeCell ref="P1:S1"/>
    <mergeCell ref="AD1:AG1"/>
    <mergeCell ref="AH1:AK1"/>
    <mergeCell ref="AM1:AP1"/>
    <mergeCell ref="AQ1:AT1"/>
    <mergeCell ref="A3:A4"/>
    <mergeCell ref="U1:X1"/>
    <mergeCell ref="Y1:AB1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G72:H72"/>
    <mergeCell ref="I72:J72"/>
    <mergeCell ref="A55:A56"/>
    <mergeCell ref="A57:A58"/>
    <mergeCell ref="A59:A60"/>
    <mergeCell ref="A61:A62"/>
    <mergeCell ref="C72:D72"/>
    <mergeCell ref="E72:F72"/>
  </mergeCells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2"/>
  <sheetViews>
    <sheetView zoomScale="55" zoomScaleNormal="55" workbookViewId="0">
      <pane xSplit="3" ySplit="2" topLeftCell="D51" activePane="bottomRight" state="frozen"/>
      <selection pane="topRight" activeCell="D1" sqref="D1"/>
      <selection pane="bottomLeft" activeCell="A3" sqref="A3"/>
      <selection pane="bottomRight" activeCell="N76" sqref="N76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2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9.425781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6" style="524" bestFit="1" customWidth="1"/>
    <col min="17" max="17" width="42.140625" style="524" bestFit="1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7.140625" style="524" customWidth="1"/>
    <col min="27" max="27" width="36.140625" style="524" bestFit="1" customWidth="1"/>
    <col min="28" max="28" width="27" style="524" customWidth="1"/>
    <col min="29" max="33" width="10.7109375" style="524" customWidth="1"/>
    <col min="34" max="34" width="31.28515625" style="524" customWidth="1"/>
    <col min="35" max="35" width="23.285156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2" width="10.7109375" style="524" customWidth="1"/>
    <col min="43" max="43" width="32.28515625" style="524" customWidth="1"/>
    <col min="44" max="44" width="26.5703125" style="524" customWidth="1"/>
    <col min="45" max="45" width="31.140625" style="524" customWidth="1"/>
    <col min="46" max="46" width="26.5703125" style="524" customWidth="1"/>
    <col min="47" max="16384" width="8.85546875" style="524"/>
  </cols>
  <sheetData>
    <row r="1" spans="1:46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2" t="s">
        <v>206</v>
      </c>
      <c r="AR1" s="2252"/>
      <c r="AS1" s="2252"/>
      <c r="AT1" s="2253"/>
    </row>
    <row r="2" spans="1:46" ht="42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7" t="s">
        <v>199</v>
      </c>
      <c r="AI2" s="985" t="s">
        <v>200</v>
      </c>
      <c r="AJ2" s="985" t="s">
        <v>201</v>
      </c>
      <c r="AK2" s="985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7" t="s">
        <v>199</v>
      </c>
      <c r="AR2" s="985" t="s">
        <v>200</v>
      </c>
      <c r="AS2" s="985" t="s">
        <v>201</v>
      </c>
      <c r="AT2" s="985" t="s">
        <v>204</v>
      </c>
    </row>
    <row r="3" spans="1:46" ht="30" customHeight="1" x14ac:dyDescent="0.3">
      <c r="A3" s="2260">
        <v>45992</v>
      </c>
      <c r="B3" s="1200">
        <v>1</v>
      </c>
      <c r="C3" s="1708"/>
      <c r="D3" s="1709"/>
      <c r="E3" s="1710"/>
      <c r="F3" s="1711"/>
      <c r="G3" s="1712"/>
      <c r="H3" s="1713"/>
      <c r="I3" s="1714"/>
      <c r="J3" s="1715"/>
      <c r="K3" s="332"/>
      <c r="L3" s="1716"/>
      <c r="M3" s="1717"/>
      <c r="N3" s="1717"/>
      <c r="O3" s="1718"/>
      <c r="P3" s="1719"/>
      <c r="Q3" s="1720"/>
      <c r="R3" s="1720"/>
      <c r="S3" s="1718"/>
      <c r="T3" s="332"/>
      <c r="U3" s="1716"/>
      <c r="V3" s="1717"/>
      <c r="W3" s="1710">
        <v>5</v>
      </c>
      <c r="X3" s="1721"/>
      <c r="Y3" s="2039"/>
      <c r="Z3" s="1719"/>
      <c r="AA3" s="1723" t="s">
        <v>152</v>
      </c>
      <c r="AB3" s="1724"/>
      <c r="AC3" s="332"/>
      <c r="AD3" s="1716"/>
      <c r="AE3" s="1717"/>
      <c r="AF3" s="1710"/>
      <c r="AG3" s="1902"/>
      <c r="AH3" s="1905"/>
      <c r="AI3" s="1905"/>
      <c r="AJ3" s="1906"/>
      <c r="AK3" s="1905"/>
      <c r="AL3" s="1726"/>
      <c r="AM3" s="1716"/>
      <c r="AN3" s="1717"/>
      <c r="AO3" s="1710"/>
      <c r="AP3" s="1902"/>
      <c r="AQ3" s="1905"/>
      <c r="AR3" s="1906"/>
      <c r="AS3" s="1906"/>
      <c r="AT3" s="1905"/>
    </row>
    <row r="4" spans="1:46" ht="30" customHeight="1" x14ac:dyDescent="0.3">
      <c r="A4" s="2261"/>
      <c r="B4" s="1218">
        <v>2</v>
      </c>
      <c r="C4" s="1728"/>
      <c r="D4" s="1729"/>
      <c r="E4" s="1729"/>
      <c r="F4" s="1730"/>
      <c r="G4" s="1731"/>
      <c r="H4" s="1713"/>
      <c r="I4" s="1714"/>
      <c r="J4" s="1732"/>
      <c r="K4" s="332"/>
      <c r="L4" s="1733"/>
      <c r="M4" s="1710"/>
      <c r="N4" s="1710"/>
      <c r="O4" s="1721"/>
      <c r="P4" s="2038"/>
      <c r="Q4" s="1713"/>
      <c r="R4" s="1734"/>
      <c r="S4" s="1721"/>
      <c r="T4" s="332"/>
      <c r="U4" s="1733"/>
      <c r="V4" s="1725"/>
      <c r="W4" s="1710">
        <v>10</v>
      </c>
      <c r="X4" s="1721"/>
      <c r="Y4" s="1731"/>
      <c r="Z4" s="1723"/>
      <c r="AA4" s="1723" t="s">
        <v>152</v>
      </c>
      <c r="AB4" s="1735"/>
      <c r="AC4" s="332"/>
      <c r="AD4" s="1733"/>
      <c r="AE4" s="1710"/>
      <c r="AF4" s="1710"/>
      <c r="AG4" s="1782"/>
      <c r="AH4" s="1905"/>
      <c r="AI4" s="1899"/>
      <c r="AJ4" s="1906"/>
      <c r="AK4" s="1905"/>
      <c r="AL4" s="1726"/>
      <c r="AM4" s="1733"/>
      <c r="AN4" s="1710"/>
      <c r="AO4" s="1710"/>
      <c r="AP4" s="1782"/>
      <c r="AQ4" s="1905"/>
      <c r="AR4" s="1899"/>
      <c r="AS4" s="1905"/>
      <c r="AT4" s="1905"/>
    </row>
    <row r="5" spans="1:46" ht="30" customHeight="1" x14ac:dyDescent="0.3">
      <c r="A5" s="2260">
        <v>45993</v>
      </c>
      <c r="B5" s="1218">
        <v>1</v>
      </c>
      <c r="C5" s="1728"/>
      <c r="D5" s="1729"/>
      <c r="E5" s="1729"/>
      <c r="F5" s="1730"/>
      <c r="G5" s="1736"/>
      <c r="H5" s="1737"/>
      <c r="I5" s="1714"/>
      <c r="J5" s="1732"/>
      <c r="K5" s="332"/>
      <c r="L5" s="1733"/>
      <c r="M5" s="1710"/>
      <c r="N5" s="1710"/>
      <c r="O5" s="1721"/>
      <c r="P5" s="2038"/>
      <c r="Q5" s="1710"/>
      <c r="R5" s="1710"/>
      <c r="S5" s="1721"/>
      <c r="T5" s="332"/>
      <c r="U5" s="1733"/>
      <c r="V5" s="1710"/>
      <c r="W5" s="1710">
        <v>20</v>
      </c>
      <c r="X5" s="1721"/>
      <c r="Y5" s="2039"/>
      <c r="Z5" s="1713"/>
      <c r="AA5" s="1738" t="s">
        <v>152</v>
      </c>
      <c r="AB5" s="1739"/>
      <c r="AC5" s="332"/>
      <c r="AD5" s="1733"/>
      <c r="AE5" s="1710"/>
      <c r="AF5" s="1710"/>
      <c r="AG5" s="1782"/>
      <c r="AH5" s="1905"/>
      <c r="AI5" s="1905"/>
      <c r="AJ5" s="1906"/>
      <c r="AK5" s="1905"/>
      <c r="AL5" s="1726"/>
      <c r="AM5" s="1733"/>
      <c r="AN5" s="1710"/>
      <c r="AO5" s="1710"/>
      <c r="AP5" s="1782"/>
      <c r="AQ5" s="1905"/>
      <c r="AR5" s="1905"/>
      <c r="AS5" s="1906"/>
      <c r="AT5" s="1905"/>
    </row>
    <row r="6" spans="1:46" ht="30" customHeight="1" x14ac:dyDescent="0.3">
      <c r="A6" s="2261"/>
      <c r="B6" s="1218">
        <v>2</v>
      </c>
      <c r="C6" s="1728"/>
      <c r="D6" s="1729"/>
      <c r="E6" s="1729"/>
      <c r="F6" s="1730"/>
      <c r="G6" s="1712"/>
      <c r="H6" s="1723"/>
      <c r="I6" s="1714"/>
      <c r="J6" s="1743"/>
      <c r="K6" s="332"/>
      <c r="L6" s="1733"/>
      <c r="M6" s="1710"/>
      <c r="N6" s="1710"/>
      <c r="O6" s="1721"/>
      <c r="P6" s="2038"/>
      <c r="Q6" s="1713"/>
      <c r="R6" s="1710"/>
      <c r="S6" s="1743"/>
      <c r="T6" s="332"/>
      <c r="U6" s="1733"/>
      <c r="V6" s="1710"/>
      <c r="W6" s="1710">
        <v>5</v>
      </c>
      <c r="X6" s="1721"/>
      <c r="Y6" s="2039"/>
      <c r="Z6" s="1713"/>
      <c r="AA6" s="1738" t="s">
        <v>152</v>
      </c>
      <c r="AB6" s="1743"/>
      <c r="AC6" s="332"/>
      <c r="AD6" s="1733"/>
      <c r="AE6" s="1710"/>
      <c r="AF6" s="1710"/>
      <c r="AG6" s="1782"/>
      <c r="AH6" s="1905"/>
      <c r="AI6" s="1905"/>
      <c r="AJ6" s="1899"/>
      <c r="AK6" s="1899"/>
      <c r="AL6" s="1726"/>
      <c r="AM6" s="1733"/>
      <c r="AN6" s="1710"/>
      <c r="AO6" s="1710"/>
      <c r="AP6" s="1782"/>
      <c r="AQ6" s="1906"/>
      <c r="AR6" s="1905"/>
      <c r="AS6" s="1906"/>
      <c r="AT6" s="1905"/>
    </row>
    <row r="7" spans="1:46" ht="29.25" customHeight="1" x14ac:dyDescent="0.3">
      <c r="A7" s="2260">
        <v>45994</v>
      </c>
      <c r="B7" s="1218">
        <v>1</v>
      </c>
      <c r="C7" s="1728"/>
      <c r="D7" s="1729"/>
      <c r="E7" s="1729">
        <v>20</v>
      </c>
      <c r="F7" s="1730"/>
      <c r="G7" s="1712"/>
      <c r="H7" s="1723"/>
      <c r="I7" s="1714" t="s">
        <v>152</v>
      </c>
      <c r="J7" s="1743"/>
      <c r="K7" s="332"/>
      <c r="L7" s="1733"/>
      <c r="M7" s="2038"/>
      <c r="N7" s="1710"/>
      <c r="O7" s="1721"/>
      <c r="P7" s="2038"/>
      <c r="Q7" s="1533"/>
      <c r="R7" s="1710"/>
      <c r="S7" s="1742"/>
      <c r="T7" s="332"/>
      <c r="U7" s="1733"/>
      <c r="V7" s="1710">
        <v>67</v>
      </c>
      <c r="W7" s="1710">
        <v>32</v>
      </c>
      <c r="X7" s="1721"/>
      <c r="Y7" s="2039"/>
      <c r="Z7" s="1713" t="s">
        <v>1160</v>
      </c>
      <c r="AA7" s="1738" t="s">
        <v>1159</v>
      </c>
      <c r="AB7" s="1742"/>
      <c r="AC7" s="332"/>
      <c r="AD7" s="1733"/>
      <c r="AE7" s="1710"/>
      <c r="AF7" s="1710"/>
      <c r="AG7" s="1782"/>
      <c r="AH7" s="1905"/>
      <c r="AI7" s="1907"/>
      <c r="AJ7" s="1899"/>
      <c r="AK7" s="1905"/>
      <c r="AL7" s="1726"/>
      <c r="AM7" s="1733"/>
      <c r="AN7" s="1710"/>
      <c r="AO7" s="1710">
        <v>12</v>
      </c>
      <c r="AP7" s="1782"/>
      <c r="AQ7" s="1905"/>
      <c r="AR7" s="1905"/>
      <c r="AS7" s="1907" t="s">
        <v>388</v>
      </c>
      <c r="AT7" s="1899"/>
    </row>
    <row r="8" spans="1:46" ht="30" customHeight="1" x14ac:dyDescent="0.3">
      <c r="A8" s="2261"/>
      <c r="B8" s="1218">
        <v>2</v>
      </c>
      <c r="C8" s="1860"/>
      <c r="D8" s="1750"/>
      <c r="E8" s="1750">
        <v>30</v>
      </c>
      <c r="F8" s="1775"/>
      <c r="G8" s="1771"/>
      <c r="H8" s="1772"/>
      <c r="I8" s="1773" t="s">
        <v>152</v>
      </c>
      <c r="J8" s="1770"/>
      <c r="K8" s="332"/>
      <c r="L8" s="1733"/>
      <c r="M8" s="1710">
        <v>148</v>
      </c>
      <c r="N8" s="1710"/>
      <c r="O8" s="1721"/>
      <c r="P8" s="2042"/>
      <c r="Q8" s="1710" t="s">
        <v>112</v>
      </c>
      <c r="R8" s="1725"/>
      <c r="S8" s="1742"/>
      <c r="T8" s="332"/>
      <c r="U8" s="1751"/>
      <c r="V8" s="1748"/>
      <c r="W8" s="2042">
        <v>36</v>
      </c>
      <c r="X8" s="1721"/>
      <c r="Y8" s="2044"/>
      <c r="Z8" s="2043"/>
      <c r="AA8" s="1725" t="s">
        <v>1159</v>
      </c>
      <c r="AB8" s="1743"/>
      <c r="AC8" s="332"/>
      <c r="AD8" s="1733"/>
      <c r="AE8" s="1710"/>
      <c r="AF8" s="1710"/>
      <c r="AG8" s="1782"/>
      <c r="AH8" s="1905"/>
      <c r="AI8" s="1906"/>
      <c r="AJ8" s="1899"/>
      <c r="AK8" s="1899"/>
      <c r="AL8" s="1726"/>
      <c r="AM8" s="1733"/>
      <c r="AN8" s="1710"/>
      <c r="AO8" s="1710"/>
      <c r="AP8" s="1782"/>
      <c r="AQ8" s="1905"/>
      <c r="AR8" s="1906"/>
      <c r="AS8" s="1905"/>
      <c r="AT8" s="1899"/>
    </row>
    <row r="9" spans="1:46" ht="30" customHeight="1" x14ac:dyDescent="0.3">
      <c r="A9" s="2260">
        <v>45995</v>
      </c>
      <c r="B9" s="1218">
        <v>1</v>
      </c>
      <c r="C9" s="2016"/>
      <c r="D9" s="2017"/>
      <c r="E9" s="2017"/>
      <c r="F9" s="1729"/>
      <c r="G9" s="2018"/>
      <c r="H9" s="2017"/>
      <c r="I9" s="2017"/>
      <c r="J9" s="1532"/>
      <c r="K9" s="1869"/>
      <c r="L9" s="2019"/>
      <c r="M9" s="1957"/>
      <c r="N9" s="1957"/>
      <c r="O9" s="1729"/>
      <c r="P9" s="1958"/>
      <c r="Q9" s="1957"/>
      <c r="R9" s="1957"/>
      <c r="S9" s="1546"/>
      <c r="T9" s="332"/>
      <c r="U9" s="1751"/>
      <c r="V9" s="2042"/>
      <c r="W9" s="1710">
        <v>14</v>
      </c>
      <c r="X9" s="1721"/>
      <c r="Y9" s="2044"/>
      <c r="Z9" s="1710"/>
      <c r="AA9" s="2044" t="s">
        <v>388</v>
      </c>
      <c r="AB9" s="1532"/>
      <c r="AC9" s="332"/>
      <c r="AD9" s="1915"/>
      <c r="AE9" s="1757"/>
      <c r="AF9" s="1758">
        <v>5</v>
      </c>
      <c r="AG9" s="1903"/>
      <c r="AH9" s="1899"/>
      <c r="AI9" s="1898"/>
      <c r="AJ9" s="1894" t="s">
        <v>336</v>
      </c>
      <c r="AK9" s="1532"/>
      <c r="AL9" s="332"/>
      <c r="AM9" s="1733"/>
      <c r="AN9" s="1710"/>
      <c r="AO9" s="1710">
        <v>10</v>
      </c>
      <c r="AP9" s="1782"/>
      <c r="AQ9" s="1905"/>
      <c r="AR9" s="1905"/>
      <c r="AS9" s="1906" t="s">
        <v>388</v>
      </c>
      <c r="AT9" s="1532"/>
    </row>
    <row r="10" spans="1:46" ht="29.25" customHeight="1" x14ac:dyDescent="0.3">
      <c r="A10" s="2261"/>
      <c r="B10" s="1218">
        <v>2</v>
      </c>
      <c r="C10" s="1885"/>
      <c r="D10" s="1886"/>
      <c r="E10" s="1795">
        <v>5</v>
      </c>
      <c r="F10" s="1796"/>
      <c r="G10" s="1892"/>
      <c r="H10" s="1893"/>
      <c r="I10" s="1894" t="s">
        <v>388</v>
      </c>
      <c r="J10" s="1895"/>
      <c r="K10" s="332"/>
      <c r="L10" s="1733"/>
      <c r="M10" s="1710"/>
      <c r="N10" s="1710">
        <v>32</v>
      </c>
      <c r="O10" s="1721"/>
      <c r="P10" s="2042"/>
      <c r="Q10" s="1710"/>
      <c r="R10" s="1725" t="s">
        <v>1162</v>
      </c>
      <c r="S10" s="1743"/>
      <c r="T10" s="332"/>
      <c r="U10" s="1733"/>
      <c r="V10" s="1710"/>
      <c r="W10" s="1710">
        <v>6</v>
      </c>
      <c r="X10" s="1721"/>
      <c r="Y10" s="2044"/>
      <c r="Z10" s="2044"/>
      <c r="AA10" s="2044" t="s">
        <v>388</v>
      </c>
      <c r="AB10" s="1743"/>
      <c r="AC10" s="332"/>
      <c r="AD10" s="1733"/>
      <c r="AE10" s="1710"/>
      <c r="AF10" s="1710"/>
      <c r="AG10" s="1782"/>
      <c r="AH10" s="1906"/>
      <c r="AI10" s="1906"/>
      <c r="AJ10" s="1899"/>
      <c r="AK10" s="1899"/>
      <c r="AL10" s="1726"/>
      <c r="AM10" s="1733">
        <v>400</v>
      </c>
      <c r="AN10" s="1710">
        <v>4</v>
      </c>
      <c r="AO10" s="1710"/>
      <c r="AP10" s="1782"/>
      <c r="AQ10" s="1905" t="s">
        <v>45</v>
      </c>
      <c r="AR10" s="1905" t="s">
        <v>1161</v>
      </c>
      <c r="AS10" s="1905"/>
      <c r="AT10" s="1899"/>
    </row>
    <row r="11" spans="1:46" ht="29.25" customHeight="1" x14ac:dyDescent="0.3">
      <c r="A11" s="2260">
        <v>45996</v>
      </c>
      <c r="B11" s="1218">
        <v>1</v>
      </c>
      <c r="C11" s="1870"/>
      <c r="D11" s="1871"/>
      <c r="E11" s="1872"/>
      <c r="F11" s="1873"/>
      <c r="G11" s="1896"/>
      <c r="H11" s="1893"/>
      <c r="I11" s="1893"/>
      <c r="J11" s="1897"/>
      <c r="K11" s="1874"/>
      <c r="L11" s="1875"/>
      <c r="M11" s="1876"/>
      <c r="N11" s="1876"/>
      <c r="O11" s="1877"/>
      <c r="P11" s="1878"/>
      <c r="Q11" s="1876"/>
      <c r="R11" s="1879"/>
      <c r="S11" s="1877"/>
      <c r="T11" s="1874"/>
      <c r="U11" s="1875"/>
      <c r="V11" s="1876"/>
      <c r="W11" s="1876">
        <v>8</v>
      </c>
      <c r="X11" s="1876"/>
      <c r="Y11" s="1877"/>
      <c r="Z11" s="1876"/>
      <c r="AA11" s="1880" t="s">
        <v>842</v>
      </c>
      <c r="AB11" s="1877"/>
      <c r="AC11" s="1874"/>
      <c r="AD11" s="1875"/>
      <c r="AE11" s="1876"/>
      <c r="AF11" s="1876"/>
      <c r="AG11" s="1904"/>
      <c r="AH11" s="1908"/>
      <c r="AI11" s="1908"/>
      <c r="AJ11" s="1893"/>
      <c r="AK11" s="1908"/>
      <c r="AL11" s="1881"/>
      <c r="AM11" s="1875"/>
      <c r="AN11" s="1876"/>
      <c r="AO11" s="1876"/>
      <c r="AP11" s="1904"/>
      <c r="AQ11" s="1908"/>
      <c r="AR11" s="1908"/>
      <c r="AS11" s="1908"/>
      <c r="AT11" s="1912"/>
    </row>
    <row r="12" spans="1:46" ht="30" customHeight="1" x14ac:dyDescent="0.3">
      <c r="A12" s="2261"/>
      <c r="B12" s="1218">
        <v>2</v>
      </c>
      <c r="C12" s="1728"/>
      <c r="D12" s="1766"/>
      <c r="E12" s="1729"/>
      <c r="F12" s="1730"/>
      <c r="G12" s="1892"/>
      <c r="H12" s="1898"/>
      <c r="I12" s="1894"/>
      <c r="J12" s="1895"/>
      <c r="K12" s="332"/>
      <c r="L12" s="1801">
        <v>720</v>
      </c>
      <c r="M12" s="1734"/>
      <c r="N12" s="1734"/>
      <c r="O12" s="1796"/>
      <c r="P12" s="1959" t="s">
        <v>45</v>
      </c>
      <c r="Q12" s="1734"/>
      <c r="R12" s="1738"/>
      <c r="S12" s="1800"/>
      <c r="T12" s="332"/>
      <c r="U12" s="1733"/>
      <c r="V12" s="1710"/>
      <c r="W12" s="1869"/>
      <c r="X12" s="1869"/>
      <c r="Y12" s="2041"/>
      <c r="Z12" s="1723"/>
      <c r="AA12" s="1738"/>
      <c r="AB12" s="1743"/>
      <c r="AC12" s="332"/>
      <c r="AD12" s="1733"/>
      <c r="AE12" s="1710"/>
      <c r="AF12" s="1710"/>
      <c r="AG12" s="1782"/>
      <c r="AH12" s="1905"/>
      <c r="AI12" s="1906"/>
      <c r="AJ12" s="1899"/>
      <c r="AK12" s="1899"/>
      <c r="AL12" s="1726"/>
      <c r="AM12" s="1733"/>
      <c r="AN12" s="1710">
        <v>9</v>
      </c>
      <c r="AO12" s="1710"/>
      <c r="AP12" s="1782"/>
      <c r="AQ12" s="1905"/>
      <c r="AR12" s="1905" t="s">
        <v>1161</v>
      </c>
      <c r="AS12" s="1906"/>
      <c r="AT12" s="1899"/>
    </row>
    <row r="13" spans="1:46" ht="30.75" customHeight="1" x14ac:dyDescent="0.3">
      <c r="A13" s="2260">
        <v>45997</v>
      </c>
      <c r="B13" s="1218">
        <v>1</v>
      </c>
      <c r="C13" s="1728"/>
      <c r="D13" s="1729"/>
      <c r="E13" s="1729"/>
      <c r="F13" s="1730"/>
      <c r="G13" s="1892"/>
      <c r="H13" s="1898"/>
      <c r="I13" s="1894"/>
      <c r="J13" s="1895"/>
      <c r="K13" s="332"/>
      <c r="L13" s="1733">
        <v>720</v>
      </c>
      <c r="M13" s="1710"/>
      <c r="N13" s="1710"/>
      <c r="O13" s="1730"/>
      <c r="P13" s="2040" t="s">
        <v>45</v>
      </c>
      <c r="Q13" s="1710"/>
      <c r="R13" s="1710"/>
      <c r="S13" s="1743"/>
      <c r="T13" s="332"/>
      <c r="U13" s="1733"/>
      <c r="V13" s="1710"/>
      <c r="W13" s="1710"/>
      <c r="X13" s="1730"/>
      <c r="Y13" s="2041"/>
      <c r="Z13" s="1725"/>
      <c r="AA13" s="1738"/>
      <c r="AB13" s="1743"/>
      <c r="AC13" s="332"/>
      <c r="AD13" s="1733"/>
      <c r="AE13" s="1710"/>
      <c r="AF13" s="1710"/>
      <c r="AG13" s="1903"/>
      <c r="AH13" s="1905"/>
      <c r="AI13" s="1905"/>
      <c r="AJ13" s="1906"/>
      <c r="AK13" s="1899"/>
      <c r="AL13" s="1726"/>
      <c r="AM13" s="1733"/>
      <c r="AN13" s="1710"/>
      <c r="AO13" s="1710"/>
      <c r="AP13" s="1910"/>
      <c r="AQ13" s="1905"/>
      <c r="AR13" s="1905"/>
      <c r="AS13" s="1899"/>
      <c r="AT13" s="1899"/>
    </row>
    <row r="14" spans="1:46" ht="30" customHeight="1" x14ac:dyDescent="0.3">
      <c r="A14" s="2261"/>
      <c r="B14" s="1218">
        <v>2</v>
      </c>
      <c r="C14" s="1728"/>
      <c r="D14" s="1729"/>
      <c r="E14" s="1729"/>
      <c r="F14" s="1730"/>
      <c r="G14" s="1892"/>
      <c r="H14" s="1899"/>
      <c r="I14" s="1894"/>
      <c r="J14" s="1895"/>
      <c r="K14" s="332"/>
      <c r="L14" s="1733">
        <v>720</v>
      </c>
      <c r="M14" s="1710"/>
      <c r="N14" s="1710"/>
      <c r="O14" s="1730"/>
      <c r="P14" s="2044" t="s">
        <v>45</v>
      </c>
      <c r="Q14" s="1710"/>
      <c r="R14" s="1710"/>
      <c r="S14" s="1743"/>
      <c r="T14" s="332"/>
      <c r="U14" s="1733">
        <v>109</v>
      </c>
      <c r="V14" s="1710"/>
      <c r="W14" s="1710"/>
      <c r="X14" s="1730"/>
      <c r="Y14" s="2044" t="s">
        <v>82</v>
      </c>
      <c r="Z14" s="1725"/>
      <c r="AA14" s="1738"/>
      <c r="AB14" s="1743"/>
      <c r="AC14" s="332"/>
      <c r="AD14" s="1733"/>
      <c r="AE14" s="1710"/>
      <c r="AF14" s="1710"/>
      <c r="AG14" s="1903"/>
      <c r="AH14" s="1905"/>
      <c r="AI14" s="1905"/>
      <c r="AJ14" s="1906"/>
      <c r="AK14" s="1899"/>
      <c r="AL14" s="1726"/>
      <c r="AM14" s="1733"/>
      <c r="AN14" s="1710"/>
      <c r="AO14" s="1768"/>
      <c r="AP14" s="1910"/>
      <c r="AQ14" s="1906"/>
      <c r="AR14" s="1905"/>
      <c r="AS14" s="1906"/>
      <c r="AT14" s="1899"/>
    </row>
    <row r="15" spans="1:46" ht="30" customHeight="1" x14ac:dyDescent="0.3">
      <c r="A15" s="2260">
        <v>45998</v>
      </c>
      <c r="B15" s="1218">
        <v>1</v>
      </c>
      <c r="C15" s="1728"/>
      <c r="D15" s="1750"/>
      <c r="E15" s="1741"/>
      <c r="F15" s="1770"/>
      <c r="G15" s="1892"/>
      <c r="H15" s="1899"/>
      <c r="I15" s="1894"/>
      <c r="J15" s="1895"/>
      <c r="K15" s="332"/>
      <c r="L15" s="1774">
        <v>720</v>
      </c>
      <c r="M15" s="1741"/>
      <c r="N15" s="1741"/>
      <c r="O15" s="1775"/>
      <c r="P15" s="1776" t="s">
        <v>45</v>
      </c>
      <c r="Q15" s="1772"/>
      <c r="R15" s="1723"/>
      <c r="S15" s="1743"/>
      <c r="T15" s="332"/>
      <c r="U15" s="1733"/>
      <c r="V15" s="1710"/>
      <c r="W15" s="1710"/>
      <c r="X15" s="1730"/>
      <c r="Y15" s="1731"/>
      <c r="Z15" s="1723"/>
      <c r="AA15" s="1738"/>
      <c r="AB15" s="1743"/>
      <c r="AC15" s="332"/>
      <c r="AD15" s="1733"/>
      <c r="AE15" s="1710"/>
      <c r="AF15" s="332"/>
      <c r="AG15" s="1903"/>
      <c r="AH15" s="1898"/>
      <c r="AI15" s="1899"/>
      <c r="AJ15" s="1906"/>
      <c r="AK15" s="1899"/>
      <c r="AL15" s="1726"/>
      <c r="AM15" s="1733"/>
      <c r="AN15" s="1710"/>
      <c r="AO15" s="1777"/>
      <c r="AP15" s="1910"/>
      <c r="AQ15" s="1899"/>
      <c r="AR15" s="1899"/>
      <c r="AS15" s="1899"/>
      <c r="AT15" s="1899"/>
    </row>
    <row r="16" spans="1:46" ht="36.75" customHeight="1" x14ac:dyDescent="0.25">
      <c r="A16" s="2261"/>
      <c r="B16" s="1218">
        <v>2</v>
      </c>
      <c r="C16" s="1756"/>
      <c r="D16" s="1802"/>
      <c r="E16" s="1803"/>
      <c r="F16" s="1804"/>
      <c r="G16" s="1900"/>
      <c r="H16" s="1893"/>
      <c r="I16" s="1894"/>
      <c r="J16" s="1895"/>
      <c r="K16" s="1809"/>
      <c r="L16" s="1810">
        <v>236</v>
      </c>
      <c r="M16" s="1811"/>
      <c r="N16" s="1811"/>
      <c r="O16" s="1804"/>
      <c r="P16" s="1805" t="s">
        <v>45</v>
      </c>
      <c r="Q16" s="1813"/>
      <c r="R16" s="1814"/>
      <c r="S16" s="1743"/>
      <c r="T16" s="332"/>
      <c r="U16" s="1733"/>
      <c r="V16" s="1710"/>
      <c r="W16" s="1710"/>
      <c r="X16" s="1730"/>
      <c r="Y16" s="1815"/>
      <c r="Z16" s="1762"/>
      <c r="AA16" s="1901"/>
      <c r="AB16" s="1743"/>
      <c r="AC16" s="332"/>
      <c r="AD16" s="1733"/>
      <c r="AE16" s="1710"/>
      <c r="AF16" s="1710"/>
      <c r="AG16" s="1903"/>
      <c r="AH16" s="1898"/>
      <c r="AI16" s="1905"/>
      <c r="AJ16" s="1905"/>
      <c r="AK16" s="1906"/>
      <c r="AL16" s="1752"/>
      <c r="AM16" s="1733"/>
      <c r="AN16" s="1710"/>
      <c r="AO16" s="1710"/>
      <c r="AP16" s="1911"/>
      <c r="AQ16" s="1913"/>
      <c r="AR16" s="1893"/>
      <c r="AS16" s="1913"/>
      <c r="AT16" s="1899"/>
    </row>
    <row r="17" spans="1:46" ht="30.75" customHeight="1" x14ac:dyDescent="0.3">
      <c r="A17" s="2260">
        <v>45999</v>
      </c>
      <c r="B17" s="1244">
        <v>1</v>
      </c>
      <c r="C17" s="1728"/>
      <c r="D17" s="1794"/>
      <c r="E17" s="1795"/>
      <c r="F17" s="1796"/>
      <c r="G17" s="1900"/>
      <c r="H17" s="1753"/>
      <c r="I17" s="1894"/>
      <c r="J17" s="1895"/>
      <c r="K17" s="332"/>
      <c r="L17" s="1801"/>
      <c r="M17" s="1734"/>
      <c r="N17" s="1734"/>
      <c r="O17" s="1796"/>
      <c r="P17" s="1797"/>
      <c r="Q17" s="1798"/>
      <c r="R17" s="1723"/>
      <c r="S17" s="1743"/>
      <c r="T17" s="332"/>
      <c r="U17" s="1733"/>
      <c r="V17" s="1710"/>
      <c r="W17" s="1710"/>
      <c r="X17" s="1730"/>
      <c r="Y17" s="1731"/>
      <c r="Z17" s="1753"/>
      <c r="AA17" s="1783"/>
      <c r="AB17" s="1743"/>
      <c r="AC17" s="332"/>
      <c r="AD17" s="1733"/>
      <c r="AE17" s="1710"/>
      <c r="AF17" s="1710"/>
      <c r="AG17" s="1903"/>
      <c r="AH17" s="1898"/>
      <c r="AI17" s="1898"/>
      <c r="AJ17" s="1899"/>
      <c r="AK17" s="1899"/>
      <c r="AL17" s="1726"/>
      <c r="AM17" s="1733"/>
      <c r="AN17" s="1710"/>
      <c r="AO17" s="1768"/>
      <c r="AP17" s="1911"/>
      <c r="AQ17" s="1898"/>
      <c r="AR17" s="1899"/>
      <c r="AS17" s="1906"/>
      <c r="AT17" s="1899"/>
    </row>
    <row r="18" spans="1:46" ht="30.75" customHeight="1" x14ac:dyDescent="0.3">
      <c r="A18" s="2261"/>
      <c r="B18" s="1218">
        <v>2</v>
      </c>
      <c r="C18" s="1728">
        <v>260</v>
      </c>
      <c r="D18" s="1729"/>
      <c r="E18" s="1729"/>
      <c r="F18" s="1730"/>
      <c r="G18" s="1788" t="s">
        <v>1077</v>
      </c>
      <c r="H18" s="1891"/>
      <c r="I18" s="1799"/>
      <c r="J18" s="1800"/>
      <c r="K18" s="332"/>
      <c r="L18" s="1733"/>
      <c r="M18" s="1710"/>
      <c r="N18" s="1710"/>
      <c r="O18" s="1730"/>
      <c r="P18" s="1731"/>
      <c r="Q18" s="1723"/>
      <c r="R18" s="1714"/>
      <c r="S18" s="1743"/>
      <c r="T18" s="332"/>
      <c r="U18" s="1733"/>
      <c r="V18" s="1710"/>
      <c r="W18" s="1729"/>
      <c r="X18" s="1730"/>
      <c r="Y18" s="1731"/>
      <c r="Z18" s="1723"/>
      <c r="AA18" s="1738"/>
      <c r="AB18" s="1743"/>
      <c r="AC18" s="332"/>
      <c r="AD18" s="1733"/>
      <c r="AE18" s="1710"/>
      <c r="AF18" s="1710">
        <v>74</v>
      </c>
      <c r="AG18" s="1903"/>
      <c r="AH18" s="1899"/>
      <c r="AI18" s="1899"/>
      <c r="AJ18" s="1898" t="s">
        <v>113</v>
      </c>
      <c r="AK18" s="1743"/>
      <c r="AL18" s="1726"/>
      <c r="AM18" s="1733"/>
      <c r="AN18" s="1710"/>
      <c r="AO18" s="1768"/>
      <c r="AP18" s="1910"/>
      <c r="AQ18" s="1899"/>
      <c r="AR18" s="1893"/>
      <c r="AS18" s="1893"/>
      <c r="AT18" s="1899"/>
    </row>
    <row r="19" spans="1:46" ht="30" customHeight="1" x14ac:dyDescent="0.3">
      <c r="A19" s="2260">
        <v>46000</v>
      </c>
      <c r="B19" s="1218">
        <v>1</v>
      </c>
      <c r="C19" s="332"/>
      <c r="D19" s="1729"/>
      <c r="E19" s="1729"/>
      <c r="F19" s="1730"/>
      <c r="G19" s="1784"/>
      <c r="H19" s="1710"/>
      <c r="I19" s="1737"/>
      <c r="J19" s="1743"/>
      <c r="K19" s="332"/>
      <c r="L19" s="1733"/>
      <c r="M19" s="1710"/>
      <c r="N19" s="1710"/>
      <c r="O19" s="1730"/>
      <c r="P19" s="1733"/>
      <c r="Q19" s="1710"/>
      <c r="R19" s="1710"/>
      <c r="S19" s="1743"/>
      <c r="T19" s="332"/>
      <c r="U19" s="1733"/>
      <c r="V19" s="1710"/>
      <c r="W19" s="1710"/>
      <c r="X19" s="1730"/>
      <c r="Y19" s="1733"/>
      <c r="Z19" s="1725"/>
      <c r="AA19" s="1783"/>
      <c r="AB19" s="1743"/>
      <c r="AC19" s="332"/>
      <c r="AD19" s="1733"/>
      <c r="AE19" s="1710"/>
      <c r="AF19" s="1710"/>
      <c r="AG19" s="1903"/>
      <c r="AH19" s="1905"/>
      <c r="AI19" s="1905"/>
      <c r="AJ19" s="1906"/>
      <c r="AK19" s="1899"/>
      <c r="AL19" s="1726"/>
      <c r="AM19" s="1733"/>
      <c r="AN19" s="1710"/>
      <c r="AO19" s="1710"/>
      <c r="AP19" s="1903"/>
      <c r="AQ19" s="1905"/>
      <c r="AR19" s="1905"/>
      <c r="AS19" s="1899"/>
      <c r="AT19" s="1899"/>
    </row>
    <row r="20" spans="1:46" ht="30.75" customHeight="1" x14ac:dyDescent="0.3">
      <c r="A20" s="2261"/>
      <c r="B20" s="1218">
        <v>2</v>
      </c>
      <c r="C20" s="1728"/>
      <c r="D20" s="1729"/>
      <c r="E20" s="1729"/>
      <c r="F20" s="1730">
        <v>43</v>
      </c>
      <c r="G20" s="1784"/>
      <c r="H20" s="1725"/>
      <c r="I20" s="1737"/>
      <c r="J20" s="1743" t="s">
        <v>1163</v>
      </c>
      <c r="K20" s="332"/>
      <c r="L20" s="1733"/>
      <c r="M20" s="1710"/>
      <c r="N20" s="1710"/>
      <c r="O20" s="1730">
        <v>4</v>
      </c>
      <c r="P20" s="1784"/>
      <c r="Q20" s="1725"/>
      <c r="R20" s="1714"/>
      <c r="S20" s="1743" t="s">
        <v>1163</v>
      </c>
      <c r="T20" s="332"/>
      <c r="U20" s="1733"/>
      <c r="V20" s="1710"/>
      <c r="W20" s="1710"/>
      <c r="X20" s="1730">
        <v>26</v>
      </c>
      <c r="Y20" s="1784"/>
      <c r="Z20" s="1725"/>
      <c r="AA20" s="1723"/>
      <c r="AB20" s="1743" t="s">
        <v>1163</v>
      </c>
      <c r="AC20" s="332"/>
      <c r="AD20" s="1733"/>
      <c r="AE20" s="1710"/>
      <c r="AF20" s="1710"/>
      <c r="AG20" s="1903"/>
      <c r="AH20" s="1906"/>
      <c r="AI20" s="1906"/>
      <c r="AJ20" s="1894"/>
      <c r="AK20" s="1899"/>
      <c r="AL20" s="1726"/>
      <c r="AM20" s="1733"/>
      <c r="AN20" s="1710"/>
      <c r="AO20" s="1710"/>
      <c r="AP20" s="1903">
        <v>32</v>
      </c>
      <c r="AQ20" s="1906"/>
      <c r="AR20" s="1906"/>
      <c r="AS20" s="1894"/>
      <c r="AT20" s="1899" t="s">
        <v>1163</v>
      </c>
    </row>
    <row r="21" spans="1:46" ht="29.25" customHeight="1" x14ac:dyDescent="0.3">
      <c r="A21" s="2260">
        <v>46001</v>
      </c>
      <c r="B21" s="1218">
        <v>1</v>
      </c>
      <c r="C21" s="1728"/>
      <c r="D21" s="1729"/>
      <c r="E21" s="1729"/>
      <c r="F21" s="1730"/>
      <c r="G21" s="1789"/>
      <c r="H21" s="1713"/>
      <c r="I21" s="1737"/>
      <c r="J21" s="1790"/>
      <c r="K21" s="332"/>
      <c r="L21" s="1733"/>
      <c r="M21" s="1710"/>
      <c r="N21" s="1710"/>
      <c r="O21" s="1730"/>
      <c r="P21" s="1733"/>
      <c r="Q21" s="1725"/>
      <c r="R21" s="1710"/>
      <c r="S21" s="1790"/>
      <c r="T21" s="332"/>
      <c r="U21" s="1733"/>
      <c r="V21" s="1710"/>
      <c r="W21" s="1710"/>
      <c r="X21" s="1730"/>
      <c r="Y21" s="1784"/>
      <c r="Z21" s="1710"/>
      <c r="AA21" s="1783"/>
      <c r="AB21" s="1790"/>
      <c r="AC21" s="332"/>
      <c r="AD21" s="1733"/>
      <c r="AE21" s="1710"/>
      <c r="AF21" s="1710"/>
      <c r="AG21" s="1903"/>
      <c r="AH21" s="1905"/>
      <c r="AI21" s="1905"/>
      <c r="AJ21" s="1906"/>
      <c r="AK21" s="1909"/>
      <c r="AL21" s="1726"/>
      <c r="AM21" s="1733">
        <v>16</v>
      </c>
      <c r="AN21" s="1710"/>
      <c r="AO21" s="1710"/>
      <c r="AP21" s="1903"/>
      <c r="AQ21" s="1905"/>
      <c r="AR21" s="1906" t="s">
        <v>1161</v>
      </c>
      <c r="AS21" s="1906"/>
      <c r="AT21" s="1899"/>
    </row>
    <row r="22" spans="1:46" ht="30.75" customHeight="1" x14ac:dyDescent="0.3">
      <c r="A22" s="2261"/>
      <c r="B22" s="1218">
        <v>2</v>
      </c>
      <c r="C22" s="1728"/>
      <c r="D22" s="1729"/>
      <c r="E22" s="1729"/>
      <c r="F22" s="1730"/>
      <c r="G22" s="1788"/>
      <c r="H22" s="1723"/>
      <c r="I22" s="1714"/>
      <c r="J22" s="1743"/>
      <c r="K22" s="332"/>
      <c r="L22" s="1733"/>
      <c r="M22" s="1710"/>
      <c r="N22" s="1710"/>
      <c r="O22" s="1730"/>
      <c r="P22" s="2047"/>
      <c r="Q22" s="1723"/>
      <c r="R22" s="1710"/>
      <c r="S22" s="1743"/>
      <c r="T22" s="332"/>
      <c r="U22" s="1733">
        <v>128</v>
      </c>
      <c r="V22" s="1710"/>
      <c r="W22" s="1710"/>
      <c r="X22" s="1730"/>
      <c r="Y22" s="1784" t="s">
        <v>1165</v>
      </c>
      <c r="Z22" s="1723"/>
      <c r="AA22" s="1738"/>
      <c r="AB22" s="1743"/>
      <c r="AC22" s="332"/>
      <c r="AD22" s="1733"/>
      <c r="AE22" s="1710"/>
      <c r="AF22" s="1710"/>
      <c r="AG22" s="1903"/>
      <c r="AH22" s="1905"/>
      <c r="AI22" s="1905"/>
      <c r="AJ22" s="1899"/>
      <c r="AK22" s="1899"/>
      <c r="AL22" s="1726"/>
      <c r="AM22" s="1733"/>
      <c r="AN22" s="1710">
        <v>215</v>
      </c>
      <c r="AO22" s="1710"/>
      <c r="AP22" s="1903"/>
      <c r="AQ22" s="1905"/>
      <c r="AR22" s="1899" t="s">
        <v>1164</v>
      </c>
      <c r="AS22" s="1905"/>
      <c r="AT22" s="1899"/>
    </row>
    <row r="23" spans="1:46" ht="29.25" customHeight="1" x14ac:dyDescent="0.3">
      <c r="A23" s="2260">
        <v>46002</v>
      </c>
      <c r="B23" s="1244">
        <v>1</v>
      </c>
      <c r="C23" s="1728"/>
      <c r="D23" s="1729"/>
      <c r="E23" s="1729"/>
      <c r="F23" s="1730"/>
      <c r="G23" s="1788"/>
      <c r="H23" s="1713"/>
      <c r="I23" s="1737"/>
      <c r="J23" s="1743"/>
      <c r="K23" s="332"/>
      <c r="L23" s="1733"/>
      <c r="M23" s="1710"/>
      <c r="N23" s="1710"/>
      <c r="O23" s="1730"/>
      <c r="P23" s="1712"/>
      <c r="Q23" s="1713"/>
      <c r="R23" s="1723"/>
      <c r="S23" s="1743"/>
      <c r="T23" s="332"/>
      <c r="U23" s="1733"/>
      <c r="V23" s="1710"/>
      <c r="W23" s="1710"/>
      <c r="X23" s="1730"/>
      <c r="Y23" s="1784"/>
      <c r="Z23" s="1714"/>
      <c r="AA23" s="1783"/>
      <c r="AB23" s="1743"/>
      <c r="AC23" s="332"/>
      <c r="AD23" s="1733"/>
      <c r="AE23" s="1710"/>
      <c r="AF23" s="2045"/>
      <c r="AG23" s="1903"/>
      <c r="AH23" s="1905"/>
      <c r="AI23" s="1898"/>
      <c r="AJ23" s="1898"/>
      <c r="AK23" s="1899"/>
      <c r="AL23" s="1726"/>
      <c r="AM23" s="1733"/>
      <c r="AN23" s="1710">
        <v>15</v>
      </c>
      <c r="AO23" s="1710"/>
      <c r="AP23" s="1903"/>
      <c r="AQ23" s="1905"/>
      <c r="AR23" s="1906" t="s">
        <v>1161</v>
      </c>
      <c r="AS23" s="1899"/>
      <c r="AT23" s="1899"/>
    </row>
    <row r="24" spans="1:46" ht="30.75" customHeight="1" x14ac:dyDescent="0.3">
      <c r="A24" s="2261"/>
      <c r="B24" s="1218">
        <v>2</v>
      </c>
      <c r="C24" s="1728"/>
      <c r="D24" s="1729"/>
      <c r="E24" s="1729"/>
      <c r="F24" s="1730"/>
      <c r="G24" s="1788"/>
      <c r="H24" s="1723"/>
      <c r="I24" s="1737"/>
      <c r="J24" s="1743"/>
      <c r="K24" s="332"/>
      <c r="L24" s="1733"/>
      <c r="M24" s="1710"/>
      <c r="N24" s="1710"/>
      <c r="O24" s="1730"/>
      <c r="P24" s="1712"/>
      <c r="Q24" s="1713"/>
      <c r="R24" s="1723"/>
      <c r="S24" s="1743"/>
      <c r="T24" s="1785"/>
      <c r="U24" s="2045"/>
      <c r="V24" s="1786"/>
      <c r="W24" s="1783" t="s">
        <v>1166</v>
      </c>
      <c r="X24" s="1730"/>
      <c r="Y24" s="1714"/>
      <c r="Z24" s="1713"/>
      <c r="AA24" s="1783" t="s">
        <v>325</v>
      </c>
      <c r="AB24" s="1743"/>
      <c r="AC24" s="332"/>
      <c r="AD24" s="1733"/>
      <c r="AE24" s="1710"/>
      <c r="AF24" s="2045"/>
      <c r="AG24" s="1903"/>
      <c r="AH24" s="1894"/>
      <c r="AI24" s="1898"/>
      <c r="AJ24" s="1899"/>
      <c r="AK24" s="1899"/>
      <c r="AL24" s="1726"/>
      <c r="AM24" s="1733"/>
      <c r="AN24" s="1710">
        <v>28</v>
      </c>
      <c r="AO24" s="1710"/>
      <c r="AP24" s="1903"/>
      <c r="AQ24" s="1898"/>
      <c r="AR24" s="1906" t="s">
        <v>1161</v>
      </c>
      <c r="AS24" s="1899"/>
      <c r="AT24" s="1899"/>
    </row>
    <row r="25" spans="1:46" ht="30" customHeight="1" x14ac:dyDescent="0.3">
      <c r="A25" s="2260">
        <v>46003</v>
      </c>
      <c r="B25" s="1218">
        <v>1</v>
      </c>
      <c r="C25" s="1728"/>
      <c r="D25" s="1729"/>
      <c r="E25" s="1729"/>
      <c r="F25" s="1730"/>
      <c r="G25" s="1712"/>
      <c r="H25" s="1713"/>
      <c r="I25" s="1737"/>
      <c r="J25" s="1743"/>
      <c r="K25" s="332"/>
      <c r="L25" s="1733"/>
      <c r="M25" s="1710"/>
      <c r="N25" s="1710"/>
      <c r="O25" s="1730"/>
      <c r="P25" s="1733"/>
      <c r="Q25" s="1713"/>
      <c r="R25" s="1710"/>
      <c r="S25" s="1743"/>
      <c r="T25" s="332"/>
      <c r="U25" s="1733"/>
      <c r="V25" s="1710"/>
      <c r="W25" s="1710"/>
      <c r="X25" s="1730"/>
      <c r="Y25" s="1784"/>
      <c r="Z25" s="1725"/>
      <c r="AA25" s="1783"/>
      <c r="AB25" s="1743"/>
      <c r="AC25" s="332"/>
      <c r="AD25" s="1733"/>
      <c r="AE25" s="1710"/>
      <c r="AF25" s="1710"/>
      <c r="AG25" s="1903"/>
      <c r="AH25" s="1905"/>
      <c r="AI25" s="1906"/>
      <c r="AJ25" s="1899"/>
      <c r="AK25" s="1899"/>
      <c r="AL25" s="1726"/>
      <c r="AM25" s="1733"/>
      <c r="AN25" s="1710">
        <v>22</v>
      </c>
      <c r="AO25" s="1710"/>
      <c r="AP25" s="1903"/>
      <c r="AQ25" s="1905"/>
      <c r="AR25" s="1906" t="s">
        <v>1161</v>
      </c>
      <c r="AS25" s="1899"/>
      <c r="AT25" s="1899"/>
    </row>
    <row r="26" spans="1:46" ht="30" customHeight="1" x14ac:dyDescent="0.3">
      <c r="A26" s="2261"/>
      <c r="B26" s="1218">
        <v>2</v>
      </c>
      <c r="C26" s="1728"/>
      <c r="D26" s="1729"/>
      <c r="E26" s="1729"/>
      <c r="F26" s="1730"/>
      <c r="G26" s="1712"/>
      <c r="H26" s="1723"/>
      <c r="I26" s="1737"/>
      <c r="J26" s="1743"/>
      <c r="K26" s="332"/>
      <c r="L26" s="1733"/>
      <c r="M26" s="1710"/>
      <c r="N26" s="1710"/>
      <c r="O26" s="1730"/>
      <c r="P26" s="1712"/>
      <c r="Q26" s="1723"/>
      <c r="R26" s="1749"/>
      <c r="S26" s="1743"/>
      <c r="T26" s="332"/>
      <c r="U26" s="1733"/>
      <c r="V26" s="1729"/>
      <c r="W26" s="1710"/>
      <c r="X26" s="1730"/>
      <c r="Y26" s="1714"/>
      <c r="Z26" s="1723"/>
      <c r="AA26" s="1783"/>
      <c r="AB26" s="1743"/>
      <c r="AC26" s="332"/>
      <c r="AD26" s="1733"/>
      <c r="AE26" s="1729"/>
      <c r="AF26" s="1710"/>
      <c r="AG26" s="1903"/>
      <c r="AH26" s="1894"/>
      <c r="AI26" s="1899"/>
      <c r="AJ26" s="1899"/>
      <c r="AK26" s="1899"/>
      <c r="AL26" s="1726"/>
      <c r="AM26" s="1733"/>
      <c r="AN26" s="1729">
        <v>70</v>
      </c>
      <c r="AO26" s="1710"/>
      <c r="AP26" s="1903"/>
      <c r="AQ26" s="1898"/>
      <c r="AR26" s="1899" t="s">
        <v>513</v>
      </c>
      <c r="AS26" s="1899"/>
      <c r="AT26" s="1899"/>
    </row>
    <row r="27" spans="1:46" ht="30.75" customHeight="1" x14ac:dyDescent="0.3">
      <c r="A27" s="2260">
        <v>46004</v>
      </c>
      <c r="B27" s="1244">
        <v>1</v>
      </c>
      <c r="C27" s="1728"/>
      <c r="D27" s="1729"/>
      <c r="E27" s="1729"/>
      <c r="F27" s="1730"/>
      <c r="G27" s="1712"/>
      <c r="H27" s="1713"/>
      <c r="I27" s="1737"/>
      <c r="J27" s="1743"/>
      <c r="K27" s="332"/>
      <c r="L27" s="1733"/>
      <c r="M27" s="1710"/>
      <c r="N27" s="1710"/>
      <c r="O27" s="1730"/>
      <c r="P27" s="1712"/>
      <c r="Q27" s="1713"/>
      <c r="R27" s="1723"/>
      <c r="S27" s="1743"/>
      <c r="T27" s="332"/>
      <c r="U27" s="1733"/>
      <c r="V27" s="1710"/>
      <c r="W27" s="1710"/>
      <c r="X27" s="1730"/>
      <c r="Y27" s="1712"/>
      <c r="Z27" s="1723"/>
      <c r="AA27" s="1783"/>
      <c r="AB27" s="1743"/>
      <c r="AC27" s="332"/>
      <c r="AD27" s="1733"/>
      <c r="AE27" s="1710"/>
      <c r="AF27" s="1710"/>
      <c r="AG27" s="1903"/>
      <c r="AH27" s="1898"/>
      <c r="AI27" s="1906"/>
      <c r="AJ27" s="1899"/>
      <c r="AK27" s="1899"/>
      <c r="AL27" s="1726"/>
      <c r="AM27" s="1733"/>
      <c r="AN27" s="1710"/>
      <c r="AO27" s="1710"/>
      <c r="AP27" s="1903"/>
      <c r="AQ27" s="1906"/>
      <c r="AR27" s="1905"/>
      <c r="AS27" s="1899"/>
      <c r="AT27" s="1899"/>
    </row>
    <row r="28" spans="1:46" ht="30" customHeight="1" x14ac:dyDescent="0.3">
      <c r="A28" s="2261"/>
      <c r="B28" s="1218">
        <v>2</v>
      </c>
      <c r="C28" s="1728"/>
      <c r="D28" s="1729"/>
      <c r="E28" s="1729"/>
      <c r="F28" s="1730"/>
      <c r="G28" s="1723"/>
      <c r="H28" s="1723"/>
      <c r="I28" s="1749"/>
      <c r="J28" s="1743"/>
      <c r="K28" s="332"/>
      <c r="L28" s="1733"/>
      <c r="M28" s="1710"/>
      <c r="N28" s="1710"/>
      <c r="O28" s="1730"/>
      <c r="P28" s="1723"/>
      <c r="Q28" s="1723"/>
      <c r="R28" s="1723"/>
      <c r="S28" s="1743"/>
      <c r="T28" s="332"/>
      <c r="U28" s="1733"/>
      <c r="V28" s="1710"/>
      <c r="W28" s="332"/>
      <c r="X28" s="1730"/>
      <c r="Y28" s="1723"/>
      <c r="Z28" s="1710"/>
      <c r="AA28" s="1783"/>
      <c r="AB28" s="1743"/>
      <c r="AC28" s="332"/>
      <c r="AD28" s="1733">
        <v>93</v>
      </c>
      <c r="AE28" s="1710"/>
      <c r="AF28" s="1710"/>
      <c r="AG28" s="1903"/>
      <c r="AH28" s="1898" t="s">
        <v>1167</v>
      </c>
      <c r="AI28" s="1906"/>
      <c r="AJ28" s="1906"/>
      <c r="AK28" s="1899"/>
      <c r="AL28" s="1726"/>
      <c r="AM28" s="1733"/>
      <c r="AN28" s="1710"/>
      <c r="AO28" s="1710"/>
      <c r="AP28" s="1903"/>
      <c r="AQ28" s="1906"/>
      <c r="AR28" s="1905"/>
      <c r="AS28" s="1899"/>
      <c r="AT28" s="1899"/>
    </row>
    <row r="29" spans="1:46" ht="30" customHeight="1" x14ac:dyDescent="0.3">
      <c r="A29" s="2260">
        <v>46005</v>
      </c>
      <c r="B29" s="1218">
        <v>1</v>
      </c>
      <c r="C29" s="1728"/>
      <c r="D29" s="1729"/>
      <c r="E29" s="1729"/>
      <c r="F29" s="1730"/>
      <c r="G29" s="1723"/>
      <c r="H29" s="1713"/>
      <c r="I29" s="1749"/>
      <c r="J29" s="1743"/>
      <c r="K29" s="332"/>
      <c r="L29" s="1733"/>
      <c r="M29" s="1710"/>
      <c r="N29" s="1710"/>
      <c r="O29" s="1730"/>
      <c r="P29" s="1712"/>
      <c r="Q29" s="1723"/>
      <c r="R29" s="1723"/>
      <c r="S29" s="1743"/>
      <c r="T29" s="332"/>
      <c r="U29" s="1733"/>
      <c r="V29" s="1710"/>
      <c r="W29" s="1710"/>
      <c r="X29" s="1730"/>
      <c r="Y29" s="1723"/>
      <c r="Z29" s="1713"/>
      <c r="AA29" s="1738"/>
      <c r="AB29" s="1743"/>
      <c r="AC29" s="332"/>
      <c r="AD29" s="1733"/>
      <c r="AE29" s="1710"/>
      <c r="AF29" s="1710"/>
      <c r="AG29" s="1903"/>
      <c r="AH29" s="1898"/>
      <c r="AI29" s="1898"/>
      <c r="AJ29" s="1905"/>
      <c r="AK29" s="1899"/>
      <c r="AL29" s="1726"/>
      <c r="AM29" s="1733"/>
      <c r="AN29" s="1710"/>
      <c r="AO29" s="1710"/>
      <c r="AP29" s="1903"/>
      <c r="AQ29" s="1906"/>
      <c r="AR29" s="1898"/>
      <c r="AS29" s="1905"/>
      <c r="AT29" s="1899"/>
    </row>
    <row r="30" spans="1:46" ht="29.25" customHeight="1" x14ac:dyDescent="0.3">
      <c r="A30" s="2261"/>
      <c r="B30" s="1244">
        <v>2</v>
      </c>
      <c r="C30" s="1728"/>
      <c r="D30" s="1729"/>
      <c r="E30" s="1729"/>
      <c r="F30" s="1730"/>
      <c r="G30" s="1723"/>
      <c r="H30" s="1713"/>
      <c r="I30" s="1738"/>
      <c r="J30" s="1851"/>
      <c r="K30" s="332"/>
      <c r="L30" s="1733"/>
      <c r="M30" s="1710"/>
      <c r="N30" s="1710"/>
      <c r="O30" s="1730"/>
      <c r="P30" s="1712"/>
      <c r="Q30" s="1723"/>
      <c r="R30" s="1723"/>
      <c r="S30" s="1851"/>
      <c r="T30" s="332"/>
      <c r="U30" s="1733"/>
      <c r="V30" s="1710"/>
      <c r="W30" s="1710"/>
      <c r="X30" s="1730"/>
      <c r="Y30" s="2027"/>
      <c r="Z30" s="2028"/>
      <c r="AA30" s="2029"/>
      <c r="AB30" s="1851"/>
      <c r="AC30" s="332"/>
      <c r="AD30" s="1733"/>
      <c r="AE30" s="1710"/>
      <c r="AF30" s="1710">
        <v>23</v>
      </c>
      <c r="AG30" s="1903"/>
      <c r="AH30" s="1898"/>
      <c r="AI30" s="1899"/>
      <c r="AJ30" s="1905" t="s">
        <v>331</v>
      </c>
      <c r="AK30" s="2030"/>
      <c r="AL30" s="1726"/>
      <c r="AM30" s="1733"/>
      <c r="AN30" s="1710"/>
      <c r="AO30" s="1710"/>
      <c r="AP30" s="1903"/>
      <c r="AQ30" s="1906"/>
      <c r="AR30" s="1898"/>
      <c r="AS30" s="1905"/>
      <c r="AT30" s="2031"/>
    </row>
    <row r="31" spans="1:46" ht="29.25" customHeight="1" x14ac:dyDescent="0.3">
      <c r="A31" s="2260">
        <v>46006</v>
      </c>
      <c r="B31" s="1218">
        <v>1</v>
      </c>
      <c r="C31" s="1728"/>
      <c r="D31" s="1729"/>
      <c r="E31" s="1729"/>
      <c r="F31" s="1730"/>
      <c r="G31" s="1712"/>
      <c r="H31" s="1744"/>
      <c r="I31" s="1821"/>
      <c r="J31" s="1743"/>
      <c r="K31" s="332"/>
      <c r="L31" s="1733"/>
      <c r="M31" s="1710"/>
      <c r="N31" s="1710"/>
      <c r="O31" s="1730"/>
      <c r="P31" s="2045"/>
      <c r="Q31" s="1710"/>
      <c r="R31" s="1710"/>
      <c r="S31" s="1743"/>
      <c r="T31" s="332"/>
      <c r="U31" s="1733"/>
      <c r="V31" s="1710"/>
      <c r="W31" s="1710">
        <v>20</v>
      </c>
      <c r="X31" s="1730"/>
      <c r="Y31" s="2046"/>
      <c r="Z31" s="1822"/>
      <c r="AA31" s="1820" t="s">
        <v>325</v>
      </c>
      <c r="AB31" s="1752"/>
      <c r="AC31" s="332"/>
      <c r="AD31" s="1733"/>
      <c r="AE31" s="1710"/>
      <c r="AF31" s="1710"/>
      <c r="AG31" s="1903"/>
      <c r="AH31" s="1898"/>
      <c r="AI31" s="1905"/>
      <c r="AJ31" s="1905"/>
      <c r="AK31" s="1899"/>
      <c r="AL31" s="1726"/>
      <c r="AM31" s="1733"/>
      <c r="AN31" s="1710"/>
      <c r="AO31" s="1710"/>
      <c r="AP31" s="1903"/>
      <c r="AQ31" s="1905"/>
      <c r="AR31" s="1898"/>
      <c r="AS31" s="1905"/>
      <c r="AT31" s="1906"/>
    </row>
    <row r="32" spans="1:46" ht="30.75" customHeight="1" x14ac:dyDescent="0.3">
      <c r="A32" s="2261"/>
      <c r="B32" s="1218">
        <v>2</v>
      </c>
      <c r="C32" s="1827"/>
      <c r="D32" s="1758"/>
      <c r="E32" s="1729"/>
      <c r="F32" s="1758"/>
      <c r="G32" s="1712"/>
      <c r="H32" s="1744"/>
      <c r="I32" s="1821"/>
      <c r="J32" s="1743"/>
      <c r="K32" s="332"/>
      <c r="L32" s="1733"/>
      <c r="M32" s="1710"/>
      <c r="N32" s="1710"/>
      <c r="O32" s="1710"/>
      <c r="P32" s="2050"/>
      <c r="Q32" s="1744"/>
      <c r="R32" s="2050"/>
      <c r="S32" s="1743"/>
      <c r="T32" s="332"/>
      <c r="U32" s="1733"/>
      <c r="V32" s="1710"/>
      <c r="W32" s="1729"/>
      <c r="X32" s="1710"/>
      <c r="Y32" s="1816"/>
      <c r="Z32" s="1828"/>
      <c r="AA32" s="1825"/>
      <c r="AB32" s="1752"/>
      <c r="AC32" s="332"/>
      <c r="AD32" s="1733"/>
      <c r="AE32" s="1710"/>
      <c r="AF32" s="1729"/>
      <c r="AG32" s="1782"/>
      <c r="AH32" s="1898"/>
      <c r="AI32" s="1899"/>
      <c r="AJ32" s="1906"/>
      <c r="AK32" s="1899"/>
      <c r="AL32" s="1726"/>
      <c r="AM32" s="1733"/>
      <c r="AN32" s="1710"/>
      <c r="AO32" s="1710"/>
      <c r="AP32" s="1903"/>
      <c r="AQ32" s="1905"/>
      <c r="AR32" s="1898"/>
      <c r="AS32" s="1899"/>
      <c r="AT32" s="1906"/>
    </row>
    <row r="33" spans="1:47" ht="30.75" customHeight="1" x14ac:dyDescent="0.3">
      <c r="A33" s="2260">
        <v>46007</v>
      </c>
      <c r="B33" s="1218">
        <v>1</v>
      </c>
      <c r="C33" s="1728"/>
      <c r="D33" s="1729"/>
      <c r="E33" s="1729"/>
      <c r="F33" s="1730"/>
      <c r="G33" s="1712"/>
      <c r="H33" s="1744"/>
      <c r="I33" s="1821"/>
      <c r="J33" s="1743"/>
      <c r="K33" s="332"/>
      <c r="L33" s="1733"/>
      <c r="M33" s="1710"/>
      <c r="N33" s="1710"/>
      <c r="O33" s="1730"/>
      <c r="P33" s="2050"/>
      <c r="Q33" s="1710"/>
      <c r="R33" s="1710"/>
      <c r="S33" s="1743"/>
      <c r="T33" s="332"/>
      <c r="U33" s="1733"/>
      <c r="V33" s="1710"/>
      <c r="W33" s="1710"/>
      <c r="X33" s="1730"/>
      <c r="Y33" s="2050"/>
      <c r="Z33" s="1734"/>
      <c r="AA33" s="1825"/>
      <c r="AB33" s="1743"/>
      <c r="AC33" s="332"/>
      <c r="AD33" s="1733"/>
      <c r="AE33" s="1710"/>
      <c r="AF33" s="1710"/>
      <c r="AG33" s="1903"/>
      <c r="AH33" s="1905"/>
      <c r="AI33" s="1906"/>
      <c r="AJ33" s="1906"/>
      <c r="AK33" s="1899"/>
      <c r="AL33" s="1726"/>
      <c r="AM33" s="1733"/>
      <c r="AN33" s="1710"/>
      <c r="AO33" s="1710"/>
      <c r="AP33" s="1903"/>
      <c r="AQ33" s="1905"/>
      <c r="AR33" s="1906"/>
      <c r="AS33" s="1905"/>
      <c r="AT33" s="1906"/>
    </row>
    <row r="34" spans="1:47" ht="30" customHeight="1" x14ac:dyDescent="0.3">
      <c r="A34" s="2261"/>
      <c r="B34" s="1244">
        <v>2</v>
      </c>
      <c r="C34" s="1729"/>
      <c r="D34" s="1729"/>
      <c r="E34" s="1729">
        <v>45</v>
      </c>
      <c r="F34" s="1730"/>
      <c r="G34" s="1731"/>
      <c r="H34" s="1723"/>
      <c r="I34" s="1738" t="s">
        <v>152</v>
      </c>
      <c r="J34" s="1743"/>
      <c r="K34" s="332"/>
      <c r="L34" s="1733"/>
      <c r="M34" s="1710"/>
      <c r="N34" s="1710"/>
      <c r="O34" s="1730"/>
      <c r="P34" s="2050"/>
      <c r="Q34" s="1723"/>
      <c r="R34" s="1710"/>
      <c r="S34" s="1743"/>
      <c r="T34" s="332"/>
      <c r="U34" s="1733"/>
      <c r="V34" s="1710"/>
      <c r="W34" s="1710"/>
      <c r="X34" s="1730"/>
      <c r="Y34" s="1725"/>
      <c r="Z34" s="1725"/>
      <c r="AA34" s="1738"/>
      <c r="AB34" s="1743"/>
      <c r="AC34" s="332"/>
      <c r="AD34" s="1733"/>
      <c r="AE34" s="1710"/>
      <c r="AF34" s="1710"/>
      <c r="AG34" s="1903"/>
      <c r="AH34" s="1905"/>
      <c r="AI34" s="1905"/>
      <c r="AJ34" s="1906"/>
      <c r="AK34" s="1899"/>
      <c r="AL34" s="1726"/>
      <c r="AM34" s="1733"/>
      <c r="AN34" s="1710"/>
      <c r="AO34" s="1710"/>
      <c r="AP34" s="1903"/>
      <c r="AQ34" s="1905"/>
      <c r="AR34" s="1906"/>
      <c r="AS34" s="1906"/>
      <c r="AT34" s="1906"/>
    </row>
    <row r="35" spans="1:47" ht="29.25" customHeight="1" x14ac:dyDescent="0.3">
      <c r="A35" s="2260">
        <v>46008</v>
      </c>
      <c r="B35" s="1218">
        <v>1</v>
      </c>
      <c r="C35" s="1729"/>
      <c r="D35" s="1729"/>
      <c r="E35" s="1782"/>
      <c r="F35" s="1730"/>
      <c r="G35" s="1784"/>
      <c r="H35" s="2050"/>
      <c r="I35" s="1738"/>
      <c r="J35" s="1743"/>
      <c r="K35" s="332"/>
      <c r="L35" s="1733"/>
      <c r="M35" s="1710"/>
      <c r="N35" s="1710"/>
      <c r="O35" s="1730"/>
      <c r="P35" s="1784"/>
      <c r="Q35" s="1723"/>
      <c r="R35" s="1723"/>
      <c r="S35" s="1743"/>
      <c r="T35" s="332"/>
      <c r="U35" s="1733">
        <v>268</v>
      </c>
      <c r="V35" s="1710"/>
      <c r="W35" s="1782"/>
      <c r="X35" s="1730"/>
      <c r="Y35" s="1784" t="s">
        <v>1170</v>
      </c>
      <c r="Z35" s="1725"/>
      <c r="AA35" s="1738"/>
      <c r="AB35" s="1743"/>
      <c r="AC35" s="332"/>
      <c r="AD35" s="1733"/>
      <c r="AE35" s="1710"/>
      <c r="AF35" s="1710"/>
      <c r="AG35" s="1903"/>
      <c r="AH35" s="1906"/>
      <c r="AI35" s="1905"/>
      <c r="AJ35" s="1899"/>
      <c r="AK35" s="1899"/>
      <c r="AL35" s="1726"/>
      <c r="AM35" s="1733"/>
      <c r="AN35" s="1710"/>
      <c r="AO35" s="1710"/>
      <c r="AP35" s="1903"/>
      <c r="AQ35" s="1905"/>
      <c r="AR35" s="1906"/>
      <c r="AS35" s="1906"/>
      <c r="AT35" s="1899"/>
    </row>
    <row r="36" spans="1:47" ht="46.9" customHeight="1" x14ac:dyDescent="0.3">
      <c r="A36" s="2261"/>
      <c r="B36" s="1218">
        <v>2</v>
      </c>
      <c r="C36" s="1782"/>
      <c r="D36" s="1710"/>
      <c r="E36" s="1782"/>
      <c r="F36" s="1730"/>
      <c r="G36" s="1749"/>
      <c r="H36" s="1723"/>
      <c r="I36" s="1749"/>
      <c r="J36" s="1743"/>
      <c r="K36" s="332"/>
      <c r="L36" s="1784"/>
      <c r="M36" s="1710"/>
      <c r="N36" s="1710"/>
      <c r="O36" s="1730"/>
      <c r="P36" s="1784"/>
      <c r="Q36" s="1723"/>
      <c r="R36" s="1725"/>
      <c r="S36" s="1743"/>
      <c r="T36" s="332"/>
      <c r="U36" s="1733"/>
      <c r="V36" s="1710"/>
      <c r="W36" s="1710"/>
      <c r="X36" s="1730"/>
      <c r="Y36" s="1784"/>
      <c r="Z36" s="1723"/>
      <c r="AA36" s="1738"/>
      <c r="AB36" s="1743"/>
      <c r="AC36" s="332"/>
      <c r="AD36" s="1733"/>
      <c r="AE36" s="1710"/>
      <c r="AF36" s="1782"/>
      <c r="AG36" s="1903"/>
      <c r="AH36" s="1906"/>
      <c r="AI36" s="1906"/>
      <c r="AJ36" s="1906"/>
      <c r="AK36" s="1899"/>
      <c r="AL36" s="1726"/>
      <c r="AM36" s="1733"/>
      <c r="AN36" s="1710"/>
      <c r="AO36" s="1710"/>
      <c r="AP36" s="1903"/>
      <c r="AQ36" s="1905"/>
      <c r="AR36" s="1906"/>
      <c r="AS36" s="1906"/>
      <c r="AT36" s="1899"/>
    </row>
    <row r="37" spans="1:47" ht="40.5" customHeight="1" x14ac:dyDescent="0.3">
      <c r="A37" s="2260">
        <v>46009</v>
      </c>
      <c r="B37" s="1244">
        <v>1</v>
      </c>
      <c r="C37" s="1782"/>
      <c r="D37" s="1729"/>
      <c r="E37" s="1782"/>
      <c r="F37" s="1730"/>
      <c r="G37" s="1749"/>
      <c r="H37" s="1725"/>
      <c r="I37" s="1714"/>
      <c r="J37" s="1743"/>
      <c r="K37" s="332"/>
      <c r="L37" s="1733"/>
      <c r="M37" s="1710"/>
      <c r="N37" s="1710"/>
      <c r="O37" s="1730"/>
      <c r="P37" s="2050"/>
      <c r="Q37" s="1723"/>
      <c r="R37" s="1710"/>
      <c r="S37" s="1743"/>
      <c r="T37" s="332"/>
      <c r="U37" s="1733"/>
      <c r="V37" s="1710"/>
      <c r="W37" s="1710"/>
      <c r="X37" s="1730"/>
      <c r="Y37" s="2050"/>
      <c r="Z37" s="1725"/>
      <c r="AA37" s="1738"/>
      <c r="AB37" s="1743"/>
      <c r="AC37" s="332"/>
      <c r="AD37" s="1733"/>
      <c r="AE37" s="1710"/>
      <c r="AF37" s="1710"/>
      <c r="AG37" s="1903"/>
      <c r="AH37" s="1906"/>
      <c r="AI37" s="1905"/>
      <c r="AJ37" s="1906"/>
      <c r="AK37" s="1899"/>
      <c r="AL37" s="1726"/>
      <c r="AM37" s="1733"/>
      <c r="AN37" s="1710"/>
      <c r="AO37" s="1710"/>
      <c r="AP37" s="1903"/>
      <c r="AQ37" s="1905"/>
      <c r="AR37" s="1906"/>
      <c r="AS37" s="1905"/>
      <c r="AT37" s="1899"/>
    </row>
    <row r="38" spans="1:47" ht="40.5" customHeight="1" x14ac:dyDescent="0.3">
      <c r="A38" s="2261"/>
      <c r="B38" s="1218">
        <v>2</v>
      </c>
      <c r="C38" s="1782"/>
      <c r="D38" s="1729"/>
      <c r="E38" s="1782"/>
      <c r="F38" s="1730"/>
      <c r="G38" s="1749"/>
      <c r="H38" s="1725"/>
      <c r="I38" s="1714"/>
      <c r="J38" s="1743"/>
      <c r="K38" s="332"/>
      <c r="L38" s="1733">
        <v>688</v>
      </c>
      <c r="M38" s="1710"/>
      <c r="N38" s="1710"/>
      <c r="O38" s="1730"/>
      <c r="P38" s="2050" t="s">
        <v>45</v>
      </c>
      <c r="Q38" s="2051"/>
      <c r="R38" s="1710"/>
      <c r="S38" s="1743"/>
      <c r="T38" s="332"/>
      <c r="U38" s="1733"/>
      <c r="V38" s="1710"/>
      <c r="W38" s="1710"/>
      <c r="X38" s="1730"/>
      <c r="Y38" s="2051"/>
      <c r="Z38" s="1725"/>
      <c r="AA38" s="1738"/>
      <c r="AB38" s="1743"/>
      <c r="AC38" s="332"/>
      <c r="AD38" s="1733"/>
      <c r="AE38" s="1710"/>
      <c r="AF38" s="1710"/>
      <c r="AG38" s="1903"/>
      <c r="AH38" s="1906"/>
      <c r="AI38" s="1905"/>
      <c r="AJ38" s="1906"/>
      <c r="AK38" s="1899"/>
      <c r="AL38" s="1726"/>
      <c r="AM38" s="1733"/>
      <c r="AN38" s="1710"/>
      <c r="AO38" s="1710"/>
      <c r="AP38" s="1903"/>
      <c r="AQ38" s="1905"/>
      <c r="AR38" s="1906"/>
      <c r="AS38" s="1906"/>
      <c r="AT38" s="1899"/>
    </row>
    <row r="39" spans="1:47" ht="42" customHeight="1" x14ac:dyDescent="0.3">
      <c r="A39" s="2260">
        <v>46010</v>
      </c>
      <c r="B39" s="1218">
        <v>1</v>
      </c>
      <c r="C39" s="1782"/>
      <c r="D39" s="1729"/>
      <c r="E39" s="1729"/>
      <c r="F39" s="1730"/>
      <c r="G39" s="1749"/>
      <c r="H39" s="1725"/>
      <c r="I39" s="1714"/>
      <c r="J39" s="1743"/>
      <c r="K39" s="332"/>
      <c r="L39" s="1733">
        <v>720</v>
      </c>
      <c r="M39" s="1710"/>
      <c r="N39" s="1710"/>
      <c r="O39" s="1730"/>
      <c r="P39" s="2048" t="s">
        <v>45</v>
      </c>
      <c r="Q39" s="1723"/>
      <c r="R39" s="1710"/>
      <c r="S39" s="1743"/>
      <c r="T39" s="332"/>
      <c r="U39" s="1733"/>
      <c r="V39" s="1710"/>
      <c r="W39" s="1710"/>
      <c r="X39" s="1730"/>
      <c r="Y39" s="2048"/>
      <c r="Z39" s="1723"/>
      <c r="AA39" s="1738"/>
      <c r="AB39" s="1743"/>
      <c r="AC39" s="332"/>
      <c r="AD39" s="1733"/>
      <c r="AE39" s="1710"/>
      <c r="AF39" s="1710"/>
      <c r="AG39" s="1903"/>
      <c r="AH39" s="1899"/>
      <c r="AI39" s="1898"/>
      <c r="AJ39" s="1906"/>
      <c r="AK39" s="1899"/>
      <c r="AL39" s="1726"/>
      <c r="AM39" s="1733"/>
      <c r="AN39" s="1710"/>
      <c r="AO39" s="1710"/>
      <c r="AP39" s="1903"/>
      <c r="AQ39" s="1905"/>
      <c r="AR39" s="1906"/>
      <c r="AS39" s="1906"/>
      <c r="AT39" s="1899"/>
    </row>
    <row r="40" spans="1:47" ht="43.5" customHeight="1" x14ac:dyDescent="0.3">
      <c r="A40" s="2261"/>
      <c r="B40" s="1218">
        <v>2</v>
      </c>
      <c r="C40" s="1729"/>
      <c r="D40" s="1729"/>
      <c r="E40" s="1729"/>
      <c r="F40" s="1730"/>
      <c r="G40" s="1749"/>
      <c r="H40" s="1725"/>
      <c r="I40" s="1714"/>
      <c r="J40" s="1743"/>
      <c r="K40" s="332"/>
      <c r="L40" s="1733">
        <v>12</v>
      </c>
      <c r="M40" s="1710"/>
      <c r="N40" s="1710"/>
      <c r="O40" s="1730"/>
      <c r="P40" s="2048" t="s">
        <v>45</v>
      </c>
      <c r="Q40" s="1713"/>
      <c r="R40" s="1749"/>
      <c r="S40" s="1743"/>
      <c r="T40" s="332"/>
      <c r="U40" s="1733"/>
      <c r="V40" s="1710"/>
      <c r="W40" s="1710"/>
      <c r="X40" s="1730"/>
      <c r="Y40" s="2049"/>
      <c r="Z40" s="1710"/>
      <c r="AA40" s="1738"/>
      <c r="AB40" s="1743"/>
      <c r="AC40" s="332"/>
      <c r="AD40" s="1733"/>
      <c r="AE40" s="1710"/>
      <c r="AF40" s="1710"/>
      <c r="AG40" s="1903"/>
      <c r="AH40" s="1906"/>
      <c r="AI40" s="1899"/>
      <c r="AJ40" s="1906"/>
      <c r="AK40" s="1899"/>
      <c r="AL40" s="1726"/>
      <c r="AM40" s="1784"/>
      <c r="AN40" s="1710"/>
      <c r="AO40" s="1710"/>
      <c r="AP40" s="1903"/>
      <c r="AQ40" s="1905"/>
      <c r="AR40" s="1906"/>
      <c r="AS40" s="1899"/>
      <c r="AT40" s="1899"/>
    </row>
    <row r="41" spans="1:47" ht="39.6" customHeight="1" x14ac:dyDescent="0.3">
      <c r="A41" s="2260">
        <v>46011</v>
      </c>
      <c r="B41" s="1218">
        <v>1</v>
      </c>
      <c r="C41" s="1728"/>
      <c r="D41" s="1729"/>
      <c r="E41" s="1729"/>
      <c r="F41" s="1730"/>
      <c r="G41" s="1712"/>
      <c r="H41" s="1723"/>
      <c r="I41" s="1714"/>
      <c r="J41" s="1743"/>
      <c r="K41" s="332"/>
      <c r="L41" s="1710">
        <v>476</v>
      </c>
      <c r="M41" s="1710"/>
      <c r="N41" s="1710"/>
      <c r="O41" s="1730"/>
      <c r="P41" s="2048" t="s">
        <v>45</v>
      </c>
      <c r="Q41" s="1710"/>
      <c r="R41" s="1749"/>
      <c r="S41" s="1743"/>
      <c r="T41" s="332"/>
      <c r="U41" s="1733"/>
      <c r="V41" s="1710"/>
      <c r="W41" s="1710"/>
      <c r="X41" s="1730"/>
      <c r="Y41" s="2048"/>
      <c r="Z41" s="1725"/>
      <c r="AA41" s="1738"/>
      <c r="AB41" s="1743"/>
      <c r="AC41" s="332"/>
      <c r="AD41" s="1733"/>
      <c r="AE41" s="1710"/>
      <c r="AF41" s="1710"/>
      <c r="AG41" s="1903"/>
      <c r="AH41" s="1906"/>
      <c r="AI41" s="1906"/>
      <c r="AJ41" s="1905"/>
      <c r="AK41" s="1899"/>
      <c r="AL41" s="1726"/>
      <c r="AM41" s="1733"/>
      <c r="AN41" s="1710"/>
      <c r="AO41" s="1710"/>
      <c r="AP41" s="1903"/>
      <c r="AQ41" s="1905"/>
      <c r="AR41" s="1906"/>
      <c r="AS41" s="1899"/>
      <c r="AT41" s="1899"/>
    </row>
    <row r="42" spans="1:47" ht="52.9" customHeight="1" x14ac:dyDescent="0.3">
      <c r="A42" s="2261"/>
      <c r="B42" s="1218">
        <v>2</v>
      </c>
      <c r="C42" s="1729"/>
      <c r="D42" s="1729"/>
      <c r="E42" s="1729"/>
      <c r="F42" s="1730"/>
      <c r="G42" s="1712"/>
      <c r="H42" s="1723"/>
      <c r="I42" s="1749"/>
      <c r="J42" s="1743"/>
      <c r="K42" s="332"/>
      <c r="L42" s="1733">
        <v>20</v>
      </c>
      <c r="M42" s="1710"/>
      <c r="N42" s="1710"/>
      <c r="O42" s="1730"/>
      <c r="P42" s="2048" t="s">
        <v>1169</v>
      </c>
      <c r="Q42" s="1725"/>
      <c r="R42" s="1710"/>
      <c r="S42" s="1743"/>
      <c r="T42" s="332"/>
      <c r="U42" s="1733"/>
      <c r="V42" s="1710">
        <v>77</v>
      </c>
      <c r="W42" s="1710"/>
      <c r="X42" s="1730"/>
      <c r="Y42" s="2048"/>
      <c r="Z42" s="1723" t="s">
        <v>1155</v>
      </c>
      <c r="AA42" s="1738"/>
      <c r="AB42" s="1743"/>
      <c r="AC42" s="332"/>
      <c r="AD42" s="1733"/>
      <c r="AE42" s="1710"/>
      <c r="AF42" s="1710"/>
      <c r="AG42" s="1903"/>
      <c r="AH42" s="1906"/>
      <c r="AI42" s="1906"/>
      <c r="AJ42" s="1905"/>
      <c r="AK42" s="1899"/>
      <c r="AL42" s="1726"/>
      <c r="AM42" s="1733"/>
      <c r="AN42" s="1710"/>
      <c r="AO42" s="1710"/>
      <c r="AP42" s="1903"/>
      <c r="AQ42" s="1905"/>
      <c r="AR42" s="1906"/>
      <c r="AS42" s="1899"/>
      <c r="AT42" s="1899"/>
    </row>
    <row r="43" spans="1:47" ht="40.5" customHeight="1" x14ac:dyDescent="0.3">
      <c r="A43" s="2260">
        <v>46012</v>
      </c>
      <c r="B43" s="1218">
        <v>1</v>
      </c>
      <c r="C43" s="1729"/>
      <c r="D43" s="1729">
        <v>12</v>
      </c>
      <c r="E43" s="1729"/>
      <c r="F43" s="1730"/>
      <c r="G43" s="1712"/>
      <c r="H43" s="1723" t="s">
        <v>1155</v>
      </c>
      <c r="I43" s="1749"/>
      <c r="J43" s="1743"/>
      <c r="K43" s="332"/>
      <c r="L43" s="1733"/>
      <c r="M43" s="1710"/>
      <c r="N43" s="1710"/>
      <c r="O43" s="1730"/>
      <c r="P43" s="2048"/>
      <c r="Q43" s="1725"/>
      <c r="R43" s="1710"/>
      <c r="S43" s="1743"/>
      <c r="T43" s="332"/>
      <c r="U43" s="1733"/>
      <c r="V43" s="1710"/>
      <c r="W43" s="1710"/>
      <c r="X43" s="1730"/>
      <c r="Y43" s="2048"/>
      <c r="Z43" s="1725"/>
      <c r="AA43" s="1738"/>
      <c r="AB43" s="1743"/>
      <c r="AC43" s="332"/>
      <c r="AD43" s="1733"/>
      <c r="AE43" s="1710"/>
      <c r="AF43" s="1710"/>
      <c r="AG43" s="1903"/>
      <c r="AH43" s="1906"/>
      <c r="AI43" s="1906"/>
      <c r="AJ43" s="1905"/>
      <c r="AK43" s="1899"/>
      <c r="AL43" s="1726"/>
      <c r="AM43" s="1733"/>
      <c r="AN43" s="1710"/>
      <c r="AO43" s="1710"/>
      <c r="AP43" s="1903"/>
      <c r="AQ43" s="1905"/>
      <c r="AR43" s="1906"/>
      <c r="AS43" s="1899"/>
      <c r="AT43" s="1899"/>
      <c r="AU43" s="2052"/>
    </row>
    <row r="44" spans="1:47" ht="45.75" customHeight="1" x14ac:dyDescent="0.3">
      <c r="A44" s="2261"/>
      <c r="B44" s="1218">
        <v>2</v>
      </c>
      <c r="C44" s="1729"/>
      <c r="D44" s="1729">
        <v>215</v>
      </c>
      <c r="E44" s="1729"/>
      <c r="F44" s="1730"/>
      <c r="G44" s="1712"/>
      <c r="H44" s="1723" t="s">
        <v>1155</v>
      </c>
      <c r="I44" s="1749"/>
      <c r="J44" s="1743"/>
      <c r="K44" s="332"/>
      <c r="L44" s="1733"/>
      <c r="M44" s="1710"/>
      <c r="N44" s="1710"/>
      <c r="O44" s="1730"/>
      <c r="P44" s="2048"/>
      <c r="Q44" s="1725"/>
      <c r="R44" s="1710"/>
      <c r="S44" s="1743"/>
      <c r="T44" s="332"/>
      <c r="U44" s="1733"/>
      <c r="V44" s="1710"/>
      <c r="W44" s="1710"/>
      <c r="X44" s="1730"/>
      <c r="Y44" s="2048"/>
      <c r="Z44" s="1725"/>
      <c r="AA44" s="1738"/>
      <c r="AB44" s="1743"/>
      <c r="AC44" s="332"/>
      <c r="AD44" s="1733"/>
      <c r="AE44" s="1710"/>
      <c r="AF44" s="1710"/>
      <c r="AG44" s="1903"/>
      <c r="AH44" s="1906"/>
      <c r="AI44" s="1906"/>
      <c r="AJ44" s="1905"/>
      <c r="AK44" s="1899"/>
      <c r="AL44" s="1726"/>
      <c r="AM44" s="1733"/>
      <c r="AN44" s="1710"/>
      <c r="AO44" s="1710"/>
      <c r="AP44" s="1903"/>
      <c r="AQ44" s="1905"/>
      <c r="AR44" s="1906"/>
      <c r="AS44" s="1899"/>
      <c r="AT44" s="1899"/>
      <c r="AU44" s="2052"/>
    </row>
    <row r="45" spans="1:47" ht="48.75" customHeight="1" x14ac:dyDescent="0.3">
      <c r="A45" s="2260">
        <v>46013</v>
      </c>
      <c r="B45" s="1218">
        <v>1</v>
      </c>
      <c r="C45" s="1729"/>
      <c r="D45" s="1729"/>
      <c r="E45" s="1729"/>
      <c r="F45" s="1730"/>
      <c r="G45" s="1712"/>
      <c r="H45" s="1723"/>
      <c r="I45" s="1749"/>
      <c r="J45" s="1743"/>
      <c r="K45" s="332"/>
      <c r="L45" s="1733"/>
      <c r="M45" s="1710"/>
      <c r="N45" s="1710"/>
      <c r="O45" s="1730"/>
      <c r="P45" s="2048"/>
      <c r="Q45" s="1725"/>
      <c r="R45" s="1710"/>
      <c r="S45" s="1743"/>
      <c r="T45" s="332"/>
      <c r="U45" s="1733"/>
      <c r="V45" s="1710"/>
      <c r="W45" s="1710"/>
      <c r="X45" s="1730"/>
      <c r="Y45" s="2048"/>
      <c r="Z45" s="1725"/>
      <c r="AA45" s="1738"/>
      <c r="AB45" s="1743"/>
      <c r="AC45" s="332"/>
      <c r="AD45" s="1733"/>
      <c r="AE45" s="1710"/>
      <c r="AF45" s="1710"/>
      <c r="AG45" s="1903"/>
      <c r="AH45" s="1906"/>
      <c r="AI45" s="1906"/>
      <c r="AJ45" s="1905"/>
      <c r="AK45" s="1899"/>
      <c r="AL45" s="1726"/>
      <c r="AM45" s="1733"/>
      <c r="AN45" s="1710"/>
      <c r="AO45" s="1710"/>
      <c r="AP45" s="1903"/>
      <c r="AQ45" s="1905"/>
      <c r="AR45" s="1906"/>
      <c r="AS45" s="1899"/>
      <c r="AT45" s="1899"/>
    </row>
    <row r="46" spans="1:47" ht="48.6" customHeight="1" x14ac:dyDescent="0.3">
      <c r="A46" s="2261"/>
      <c r="B46" s="1218">
        <v>2</v>
      </c>
      <c r="C46" s="1729"/>
      <c r="D46" s="1729"/>
      <c r="E46" s="1729"/>
      <c r="F46" s="1730">
        <v>66</v>
      </c>
      <c r="G46" s="1712"/>
      <c r="H46" s="1723"/>
      <c r="I46" s="1749"/>
      <c r="J46" s="1743" t="s">
        <v>1168</v>
      </c>
      <c r="K46" s="332"/>
      <c r="L46" s="1733"/>
      <c r="M46" s="1710"/>
      <c r="N46" s="1710"/>
      <c r="O46" s="1730">
        <v>58</v>
      </c>
      <c r="P46" s="2048"/>
      <c r="Q46" s="1725"/>
      <c r="R46" s="1710"/>
      <c r="S46" s="1743" t="s">
        <v>1168</v>
      </c>
      <c r="T46" s="332"/>
      <c r="U46" s="1733"/>
      <c r="V46" s="1710"/>
      <c r="W46" s="1710"/>
      <c r="X46" s="1730">
        <v>69</v>
      </c>
      <c r="Y46" s="2048"/>
      <c r="Z46" s="1725"/>
      <c r="AA46" s="1738"/>
      <c r="AB46" s="1743" t="s">
        <v>1168</v>
      </c>
      <c r="AC46" s="332"/>
      <c r="AD46" s="1733"/>
      <c r="AE46" s="1710"/>
      <c r="AF46" s="1710"/>
      <c r="AG46" s="1903">
        <v>75</v>
      </c>
      <c r="AH46" s="1906"/>
      <c r="AI46" s="1906"/>
      <c r="AJ46" s="1905"/>
      <c r="AK46" s="1899" t="s">
        <v>1168</v>
      </c>
      <c r="AL46" s="1726"/>
      <c r="AM46" s="1733"/>
      <c r="AN46" s="1710"/>
      <c r="AO46" s="1710"/>
      <c r="AP46" s="1903">
        <v>62</v>
      </c>
      <c r="AQ46" s="1905"/>
      <c r="AR46" s="1906"/>
      <c r="AS46" s="1899"/>
      <c r="AT46" s="1899" t="s">
        <v>1168</v>
      </c>
    </row>
    <row r="47" spans="1:47" ht="43.5" customHeight="1" x14ac:dyDescent="0.3">
      <c r="A47" s="2260">
        <v>46014</v>
      </c>
      <c r="B47" s="1218">
        <v>1</v>
      </c>
      <c r="C47" s="1729"/>
      <c r="D47" s="1729"/>
      <c r="E47" s="1729"/>
      <c r="F47" s="1730"/>
      <c r="G47" s="1712"/>
      <c r="H47" s="1723"/>
      <c r="I47" s="1749"/>
      <c r="J47" s="1743"/>
      <c r="K47" s="332"/>
      <c r="L47" s="1733"/>
      <c r="M47" s="1710"/>
      <c r="N47" s="1710"/>
      <c r="O47" s="1730"/>
      <c r="P47" s="2048"/>
      <c r="Q47" s="1725"/>
      <c r="R47" s="1710"/>
      <c r="S47" s="1743"/>
      <c r="T47" s="332"/>
      <c r="U47" s="1733"/>
      <c r="V47" s="1710"/>
      <c r="W47" s="1710"/>
      <c r="X47" s="1730"/>
      <c r="Y47" s="2048"/>
      <c r="Z47" s="1725"/>
      <c r="AA47" s="1738"/>
      <c r="AB47" s="1743"/>
      <c r="AC47" s="332"/>
      <c r="AD47" s="1733"/>
      <c r="AE47" s="1710"/>
      <c r="AF47" s="1710"/>
      <c r="AG47" s="1903"/>
      <c r="AH47" s="1906"/>
      <c r="AI47" s="1906"/>
      <c r="AJ47" s="1905"/>
      <c r="AK47" s="1899"/>
      <c r="AL47" s="1726"/>
      <c r="AM47" s="1733"/>
      <c r="AN47" s="1710"/>
      <c r="AO47" s="1710"/>
      <c r="AP47" s="1903"/>
      <c r="AQ47" s="1905"/>
      <c r="AR47" s="1906"/>
      <c r="AS47" s="1899"/>
      <c r="AT47" s="1899"/>
    </row>
    <row r="48" spans="1:47" ht="34.9" customHeight="1" x14ac:dyDescent="0.3">
      <c r="A48" s="2261"/>
      <c r="B48" s="1218">
        <v>2</v>
      </c>
      <c r="C48" s="1729"/>
      <c r="D48" s="1729"/>
      <c r="E48" s="1729"/>
      <c r="F48" s="1730"/>
      <c r="G48" s="1712"/>
      <c r="H48" s="1723"/>
      <c r="I48" s="1749"/>
      <c r="J48" s="1743"/>
      <c r="K48" s="332"/>
      <c r="L48" s="1733"/>
      <c r="M48" s="1710"/>
      <c r="N48" s="1710"/>
      <c r="O48" s="1730"/>
      <c r="P48" s="2050"/>
      <c r="Q48" s="1725"/>
      <c r="R48" s="1710"/>
      <c r="S48" s="1743"/>
      <c r="T48" s="332"/>
      <c r="U48" s="1733"/>
      <c r="V48" s="1710"/>
      <c r="W48" s="1710"/>
      <c r="X48" s="1730"/>
      <c r="Y48" s="2050"/>
      <c r="Z48" s="1725"/>
      <c r="AA48" s="1738"/>
      <c r="AB48" s="1743"/>
      <c r="AC48" s="332"/>
      <c r="AD48" s="1733"/>
      <c r="AE48" s="1710"/>
      <c r="AF48" s="1710"/>
      <c r="AG48" s="1903"/>
      <c r="AH48" s="1906"/>
      <c r="AI48" s="1906"/>
      <c r="AJ48" s="1905"/>
      <c r="AK48" s="1899"/>
      <c r="AL48" s="1726"/>
      <c r="AM48" s="1733"/>
      <c r="AN48" s="1710"/>
      <c r="AO48" s="1710"/>
      <c r="AP48" s="1903"/>
      <c r="AQ48" s="1905"/>
      <c r="AR48" s="1906"/>
      <c r="AS48" s="1899"/>
      <c r="AT48" s="1899"/>
    </row>
    <row r="49" spans="1:46" ht="43.15" customHeight="1" x14ac:dyDescent="0.3">
      <c r="A49" s="2260">
        <v>46015</v>
      </c>
      <c r="B49" s="1218">
        <v>1</v>
      </c>
      <c r="C49" s="1729"/>
      <c r="D49" s="1729"/>
      <c r="E49" s="1729"/>
      <c r="F49" s="1730"/>
      <c r="G49" s="1712"/>
      <c r="H49" s="1723"/>
      <c r="I49" s="1749"/>
      <c r="J49" s="1743"/>
      <c r="K49" s="332"/>
      <c r="L49" s="1733"/>
      <c r="M49" s="1710"/>
      <c r="N49" s="1710"/>
      <c r="O49" s="1730"/>
      <c r="P49" s="2050"/>
      <c r="Q49" s="1725"/>
      <c r="R49" s="1710"/>
      <c r="S49" s="1743"/>
      <c r="T49" s="332"/>
      <c r="U49" s="1733"/>
      <c r="V49" s="1710"/>
      <c r="W49" s="1710"/>
      <c r="X49" s="1730"/>
      <c r="Y49" s="2050"/>
      <c r="Z49" s="1725"/>
      <c r="AA49" s="1738"/>
      <c r="AB49" s="1743"/>
      <c r="AC49" s="332"/>
      <c r="AD49" s="1733"/>
      <c r="AE49" s="1710"/>
      <c r="AF49" s="1710">
        <v>40</v>
      </c>
      <c r="AG49" s="1903"/>
      <c r="AH49" s="1906"/>
      <c r="AI49" s="1906"/>
      <c r="AJ49" s="1905" t="s">
        <v>1081</v>
      </c>
      <c r="AK49" s="1899"/>
      <c r="AL49" s="1726"/>
      <c r="AM49" s="1733"/>
      <c r="AN49" s="1710"/>
      <c r="AO49" s="1710"/>
      <c r="AP49" s="1903"/>
      <c r="AQ49" s="1905"/>
      <c r="AR49" s="1906"/>
      <c r="AS49" s="1899"/>
      <c r="AT49" s="1899"/>
    </row>
    <row r="50" spans="1:46" ht="51.6" customHeight="1" x14ac:dyDescent="0.3">
      <c r="A50" s="2261"/>
      <c r="B50" s="1218">
        <v>2</v>
      </c>
      <c r="C50" s="1729"/>
      <c r="D50" s="1729"/>
      <c r="E50" s="1729">
        <v>27</v>
      </c>
      <c r="F50" s="1730"/>
      <c r="G50" s="1712"/>
      <c r="H50" s="1723"/>
      <c r="I50" s="1749" t="s">
        <v>388</v>
      </c>
      <c r="J50" s="1743"/>
      <c r="K50" s="332"/>
      <c r="L50" s="1733"/>
      <c r="M50" s="1710"/>
      <c r="N50" s="1710"/>
      <c r="O50" s="1730"/>
      <c r="P50" s="2053"/>
      <c r="Q50" s="1725"/>
      <c r="R50" s="1710"/>
      <c r="S50" s="1743"/>
      <c r="T50" s="332"/>
      <c r="U50" s="1733"/>
      <c r="V50" s="1710"/>
      <c r="W50" s="1710">
        <v>10</v>
      </c>
      <c r="X50" s="1730"/>
      <c r="Y50" s="2053"/>
      <c r="Z50" s="1725"/>
      <c r="AA50" s="1738" t="s">
        <v>388</v>
      </c>
      <c r="AB50" s="1743"/>
      <c r="AC50" s="332"/>
      <c r="AD50" s="1733"/>
      <c r="AE50" s="1710"/>
      <c r="AF50" s="1710">
        <v>41</v>
      </c>
      <c r="AG50" s="1903"/>
      <c r="AH50" s="1906"/>
      <c r="AI50" s="1906"/>
      <c r="AJ50" s="1905" t="s">
        <v>1081</v>
      </c>
      <c r="AK50" s="1899"/>
      <c r="AL50" s="1726"/>
      <c r="AM50" s="1733"/>
      <c r="AN50" s="1710"/>
      <c r="AO50" s="1710">
        <v>24</v>
      </c>
      <c r="AP50" s="1903"/>
      <c r="AQ50" s="1905"/>
      <c r="AR50" s="1906"/>
      <c r="AS50" s="1899" t="s">
        <v>388</v>
      </c>
      <c r="AT50" s="1899"/>
    </row>
    <row r="51" spans="1:46" ht="34.9" customHeight="1" x14ac:dyDescent="0.3">
      <c r="A51" s="2260">
        <v>46016</v>
      </c>
      <c r="B51" s="1218">
        <v>1</v>
      </c>
      <c r="C51" s="1729"/>
      <c r="D51" s="1729"/>
      <c r="E51" s="1729"/>
      <c r="F51" s="1730"/>
      <c r="G51" s="1712"/>
      <c r="H51" s="1723"/>
      <c r="I51" s="1749"/>
      <c r="J51" s="1743"/>
      <c r="K51" s="332"/>
      <c r="L51" s="1733"/>
      <c r="M51" s="1710"/>
      <c r="N51" s="1710"/>
      <c r="O51" s="1730"/>
      <c r="P51" s="2054"/>
      <c r="Q51" s="1725"/>
      <c r="R51" s="1710"/>
      <c r="S51" s="1743"/>
      <c r="T51" s="332"/>
      <c r="U51" s="1733"/>
      <c r="V51" s="1710"/>
      <c r="W51" s="1710"/>
      <c r="X51" s="1730"/>
      <c r="Y51" s="2054"/>
      <c r="Z51" s="1725"/>
      <c r="AA51" s="1738"/>
      <c r="AB51" s="1743"/>
      <c r="AC51" s="332"/>
      <c r="AD51" s="1733"/>
      <c r="AE51" s="1710"/>
      <c r="AF51" s="1710">
        <v>16</v>
      </c>
      <c r="AG51" s="1903"/>
      <c r="AH51" s="1906"/>
      <c r="AI51" s="1906"/>
      <c r="AJ51" s="1905" t="s">
        <v>1081</v>
      </c>
      <c r="AK51" s="1899"/>
      <c r="AL51" s="1726"/>
      <c r="AM51" s="1733"/>
      <c r="AN51" s="1710"/>
      <c r="AO51" s="1710"/>
      <c r="AP51" s="1903"/>
      <c r="AQ51" s="1905"/>
      <c r="AR51" s="1906"/>
      <c r="AS51" s="1899"/>
      <c r="AT51" s="1899"/>
    </row>
    <row r="52" spans="1:46" ht="49.15" customHeight="1" x14ac:dyDescent="0.3">
      <c r="A52" s="2261"/>
      <c r="B52" s="1218">
        <v>2</v>
      </c>
      <c r="C52" s="1729"/>
      <c r="D52" s="1729"/>
      <c r="E52" s="1729">
        <v>12</v>
      </c>
      <c r="F52" s="1730"/>
      <c r="G52" s="1712"/>
      <c r="H52" s="1723"/>
      <c r="I52" s="1749" t="s">
        <v>388</v>
      </c>
      <c r="J52" s="1743"/>
      <c r="K52" s="332"/>
      <c r="L52" s="1733"/>
      <c r="M52" s="1710">
        <v>19</v>
      </c>
      <c r="N52" s="1710"/>
      <c r="O52" s="1730"/>
      <c r="P52" s="2054"/>
      <c r="Q52" s="1725" t="s">
        <v>317</v>
      </c>
      <c r="R52" s="1710"/>
      <c r="S52" s="1743"/>
      <c r="T52" s="332"/>
      <c r="U52" s="1733"/>
      <c r="V52" s="1710"/>
      <c r="W52" s="1710"/>
      <c r="X52" s="1730"/>
      <c r="Y52" s="2054"/>
      <c r="Z52" s="1725"/>
      <c r="AA52" s="1738"/>
      <c r="AB52" s="1743"/>
      <c r="AC52" s="332"/>
      <c r="AD52" s="1733"/>
      <c r="AE52" s="1710">
        <v>6</v>
      </c>
      <c r="AF52" s="1710">
        <v>64</v>
      </c>
      <c r="AG52" s="1903"/>
      <c r="AH52" s="1906"/>
      <c r="AI52" s="1906" t="s">
        <v>1171</v>
      </c>
      <c r="AJ52" s="1905" t="s">
        <v>1081</v>
      </c>
      <c r="AK52" s="1899"/>
      <c r="AL52" s="1726"/>
      <c r="AM52" s="1733"/>
      <c r="AN52" s="1710"/>
      <c r="AO52" s="1710"/>
      <c r="AP52" s="1903"/>
      <c r="AQ52" s="1905"/>
      <c r="AR52" s="1906"/>
      <c r="AS52" s="1899"/>
      <c r="AT52" s="1899"/>
    </row>
    <row r="53" spans="1:46" ht="48" customHeight="1" x14ac:dyDescent="0.3">
      <c r="A53" s="2260">
        <v>46017</v>
      </c>
      <c r="B53" s="1218">
        <v>1</v>
      </c>
      <c r="C53" s="1729"/>
      <c r="D53" s="1729"/>
      <c r="E53" s="1729">
        <v>7</v>
      </c>
      <c r="F53" s="1730"/>
      <c r="G53" s="1712"/>
      <c r="H53" s="1723"/>
      <c r="I53" s="1749" t="s">
        <v>388</v>
      </c>
      <c r="J53" s="1743"/>
      <c r="K53" s="332"/>
      <c r="L53" s="1733"/>
      <c r="M53" s="1710"/>
      <c r="N53" s="1710"/>
      <c r="O53" s="1730"/>
      <c r="P53" s="2054"/>
      <c r="Q53" s="1725"/>
      <c r="R53" s="1710"/>
      <c r="S53" s="1743"/>
      <c r="T53" s="332"/>
      <c r="U53" s="1733"/>
      <c r="V53" s="1710"/>
      <c r="W53" s="1710"/>
      <c r="X53" s="1730"/>
      <c r="Y53" s="2054"/>
      <c r="Z53" s="1725"/>
      <c r="AA53" s="1738"/>
      <c r="AB53" s="1743"/>
      <c r="AC53" s="332"/>
      <c r="AD53" s="1733"/>
      <c r="AE53" s="1710"/>
      <c r="AF53" s="1710"/>
      <c r="AG53" s="1903"/>
      <c r="AH53" s="1906"/>
      <c r="AI53" s="1906"/>
      <c r="AJ53" s="1905"/>
      <c r="AK53" s="1899"/>
      <c r="AL53" s="1726"/>
      <c r="AM53" s="1733"/>
      <c r="AN53" s="1710"/>
      <c r="AO53" s="1710"/>
      <c r="AP53" s="1903"/>
      <c r="AQ53" s="1905"/>
      <c r="AR53" s="1906"/>
      <c r="AS53" s="1899"/>
      <c r="AT53" s="1899"/>
    </row>
    <row r="54" spans="1:46" ht="45.6" customHeight="1" x14ac:dyDescent="0.3">
      <c r="A54" s="2261"/>
      <c r="B54" s="1252">
        <v>2</v>
      </c>
      <c r="C54" s="1729"/>
      <c r="D54" s="1729"/>
      <c r="E54" s="1729"/>
      <c r="F54" s="1730"/>
      <c r="G54" s="1713"/>
      <c r="H54" s="1723"/>
      <c r="I54" s="1714"/>
      <c r="J54" s="1743"/>
      <c r="K54" s="332"/>
      <c r="L54" s="1733"/>
      <c r="M54" s="1710"/>
      <c r="N54" s="1710"/>
      <c r="O54" s="1730"/>
      <c r="P54" s="1713"/>
      <c r="Q54" s="1723"/>
      <c r="R54" s="1713"/>
      <c r="S54" s="1743"/>
      <c r="T54" s="332"/>
      <c r="U54" s="1733"/>
      <c r="V54" s="1710"/>
      <c r="W54" s="1710">
        <v>12</v>
      </c>
      <c r="X54" s="1730"/>
      <c r="Y54" s="1723"/>
      <c r="Z54" s="1723"/>
      <c r="AA54" s="1738" t="s">
        <v>388</v>
      </c>
      <c r="AB54" s="1743"/>
      <c r="AC54" s="332"/>
      <c r="AD54" s="1733"/>
      <c r="AE54" s="1710"/>
      <c r="AF54" s="1710"/>
      <c r="AG54" s="1782"/>
      <c r="AH54" s="1905"/>
      <c r="AI54" s="1899"/>
      <c r="AJ54" s="1906"/>
      <c r="AK54" s="1899"/>
      <c r="AL54" s="1726"/>
      <c r="AM54" s="1733"/>
      <c r="AN54" s="1759"/>
      <c r="AO54" s="1734"/>
      <c r="AP54" s="1782"/>
      <c r="AQ54" s="1906"/>
      <c r="AR54" s="1899"/>
      <c r="AS54" s="1899"/>
      <c r="AT54" s="1899"/>
    </row>
    <row r="55" spans="1:46" ht="39.6" customHeight="1" x14ac:dyDescent="0.3">
      <c r="A55" s="2260">
        <v>46018</v>
      </c>
      <c r="B55" s="1218">
        <v>1</v>
      </c>
      <c r="C55" s="1728"/>
      <c r="D55" s="1729"/>
      <c r="E55" s="1729"/>
      <c r="F55" s="1730"/>
      <c r="G55" s="1713"/>
      <c r="H55" s="1713"/>
      <c r="I55" s="1714"/>
      <c r="J55" s="1721"/>
      <c r="K55" s="332"/>
      <c r="L55" s="1733"/>
      <c r="M55" s="1710"/>
      <c r="N55" s="1710"/>
      <c r="O55" s="1721"/>
      <c r="P55" s="2055"/>
      <c r="Q55" s="1723"/>
      <c r="R55" s="1710"/>
      <c r="S55" s="1721"/>
      <c r="T55" s="332"/>
      <c r="U55" s="1733"/>
      <c r="V55" s="1710"/>
      <c r="W55" s="1710"/>
      <c r="X55" s="1721"/>
      <c r="Y55" s="2055"/>
      <c r="Z55" s="1713"/>
      <c r="AA55" s="1738"/>
      <c r="AB55" s="1721"/>
      <c r="AC55" s="332"/>
      <c r="AD55" s="1733"/>
      <c r="AE55" s="1710"/>
      <c r="AF55" s="1710"/>
      <c r="AG55" s="1782"/>
      <c r="AH55" s="1905"/>
      <c r="AI55" s="1899"/>
      <c r="AJ55" s="1906"/>
      <c r="AK55" s="1905"/>
      <c r="AL55" s="1726"/>
      <c r="AM55" s="1733"/>
      <c r="AN55" s="1759"/>
      <c r="AO55" s="1710"/>
      <c r="AP55" s="1782"/>
      <c r="AQ55" s="1905"/>
      <c r="AR55" s="1899"/>
      <c r="AS55" s="1899"/>
      <c r="AT55" s="1899"/>
    </row>
    <row r="56" spans="1:46" ht="47.25" customHeight="1" x14ac:dyDescent="0.3">
      <c r="A56" s="2261"/>
      <c r="B56" s="1252">
        <v>2</v>
      </c>
      <c r="C56" s="1728"/>
      <c r="D56" s="1729"/>
      <c r="E56" s="1729">
        <v>7</v>
      </c>
      <c r="F56" s="1730"/>
      <c r="G56" s="1723"/>
      <c r="H56" s="1723"/>
      <c r="I56" s="1714" t="s">
        <v>401</v>
      </c>
      <c r="J56" s="1743"/>
      <c r="K56" s="332"/>
      <c r="L56" s="1733"/>
      <c r="M56" s="1710"/>
      <c r="N56" s="1710"/>
      <c r="O56" s="1730"/>
      <c r="P56" s="1723"/>
      <c r="Q56" s="1713"/>
      <c r="R56" s="1723"/>
      <c r="S56" s="1743"/>
      <c r="T56" s="332"/>
      <c r="U56" s="1733"/>
      <c r="V56" s="1710"/>
      <c r="W56" s="1710">
        <v>5</v>
      </c>
      <c r="X56" s="1730"/>
      <c r="Y56" s="2056"/>
      <c r="Z56" s="1713"/>
      <c r="AA56" s="1738" t="s">
        <v>388</v>
      </c>
      <c r="AB56" s="1743"/>
      <c r="AC56" s="332"/>
      <c r="AD56" s="1733"/>
      <c r="AE56" s="1710"/>
      <c r="AF56" s="1710"/>
      <c r="AG56" s="1903"/>
      <c r="AH56" s="1905"/>
      <c r="AI56" s="1898"/>
      <c r="AJ56" s="1899"/>
      <c r="AK56" s="1899"/>
      <c r="AL56" s="1726"/>
      <c r="AM56" s="1733"/>
      <c r="AN56" s="1759">
        <v>8</v>
      </c>
      <c r="AO56" s="1710">
        <v>20</v>
      </c>
      <c r="AP56" s="1782"/>
      <c r="AQ56" s="1899"/>
      <c r="AR56" s="1899" t="s">
        <v>1172</v>
      </c>
      <c r="AS56" s="1905" t="s">
        <v>388</v>
      </c>
      <c r="AT56" s="1899"/>
    </row>
    <row r="57" spans="1:46" ht="47.25" customHeight="1" x14ac:dyDescent="0.3">
      <c r="A57" s="2260">
        <v>46019</v>
      </c>
      <c r="B57" s="1252">
        <v>1</v>
      </c>
      <c r="C57" s="1728"/>
      <c r="D57" s="1729"/>
      <c r="E57" s="1729">
        <v>5</v>
      </c>
      <c r="F57" s="1730"/>
      <c r="G57" s="1723"/>
      <c r="H57" s="1723"/>
      <c r="I57" s="1714" t="s">
        <v>388</v>
      </c>
      <c r="J57" s="1743"/>
      <c r="K57" s="332"/>
      <c r="L57" s="1733"/>
      <c r="M57" s="1710"/>
      <c r="N57" s="1710"/>
      <c r="O57" s="1730"/>
      <c r="P57" s="1723"/>
      <c r="Q57" s="1713"/>
      <c r="R57" s="1723"/>
      <c r="S57" s="1743"/>
      <c r="T57" s="332"/>
      <c r="U57" s="1733"/>
      <c r="V57" s="1710"/>
      <c r="W57" s="1710"/>
      <c r="X57" s="1730"/>
      <c r="Y57" s="2056"/>
      <c r="Z57" s="1713"/>
      <c r="AA57" s="1738"/>
      <c r="AB57" s="1743"/>
      <c r="AC57" s="332"/>
      <c r="AD57" s="1733"/>
      <c r="AE57" s="1710"/>
      <c r="AF57" s="1710">
        <v>13</v>
      </c>
      <c r="AG57" s="1903"/>
      <c r="AH57" s="1905"/>
      <c r="AI57" s="1898"/>
      <c r="AJ57" s="1899" t="s">
        <v>1081</v>
      </c>
      <c r="AK57" s="1899"/>
      <c r="AL57" s="1726"/>
      <c r="AM57" s="1733"/>
      <c r="AN57" s="1759"/>
      <c r="AO57" s="1710"/>
      <c r="AP57" s="1782"/>
      <c r="AQ57" s="1899"/>
      <c r="AR57" s="1899"/>
      <c r="AS57" s="1905"/>
      <c r="AT57" s="1899"/>
    </row>
    <row r="58" spans="1:46" ht="47.25" customHeight="1" x14ac:dyDescent="0.3">
      <c r="A58" s="2261"/>
      <c r="B58" s="1252">
        <v>2</v>
      </c>
      <c r="C58" s="1728"/>
      <c r="D58" s="1729"/>
      <c r="E58" s="1729">
        <v>11</v>
      </c>
      <c r="F58" s="1730"/>
      <c r="G58" s="1723"/>
      <c r="H58" s="1723"/>
      <c r="I58" s="1714" t="s">
        <v>388</v>
      </c>
      <c r="J58" s="1743"/>
      <c r="K58" s="332"/>
      <c r="L58" s="1733"/>
      <c r="M58" s="1710"/>
      <c r="N58" s="1710"/>
      <c r="O58" s="1730"/>
      <c r="P58" s="1723"/>
      <c r="Q58" s="1713"/>
      <c r="R58" s="1723"/>
      <c r="S58" s="1743"/>
      <c r="T58" s="332"/>
      <c r="U58" s="1733"/>
      <c r="V58" s="1710"/>
      <c r="W58" s="1710"/>
      <c r="X58" s="1730"/>
      <c r="Y58" s="2057"/>
      <c r="Z58" s="1713"/>
      <c r="AA58" s="1738"/>
      <c r="AB58" s="1743"/>
      <c r="AC58" s="332"/>
      <c r="AD58" s="1733"/>
      <c r="AE58" s="1710"/>
      <c r="AF58" s="1710">
        <v>25</v>
      </c>
      <c r="AG58" s="1903"/>
      <c r="AH58" s="1905"/>
      <c r="AI58" s="1898"/>
      <c r="AJ58" s="1899" t="s">
        <v>1081</v>
      </c>
      <c r="AK58" s="1899"/>
      <c r="AL58" s="1726"/>
      <c r="AM58" s="1733"/>
      <c r="AN58" s="1759"/>
      <c r="AO58" s="1710">
        <v>15</v>
      </c>
      <c r="AP58" s="1782"/>
      <c r="AQ58" s="1899"/>
      <c r="AR58" s="1899"/>
      <c r="AS58" s="1905" t="s">
        <v>388</v>
      </c>
      <c r="AT58" s="1899"/>
    </row>
    <row r="59" spans="1:46" ht="47.25" customHeight="1" x14ac:dyDescent="0.3">
      <c r="A59" s="2260">
        <v>46020</v>
      </c>
      <c r="B59" s="1252"/>
      <c r="C59" s="1728"/>
      <c r="D59" s="1729"/>
      <c r="E59" s="1729"/>
      <c r="F59" s="1730"/>
      <c r="G59" s="1723"/>
      <c r="H59" s="1723"/>
      <c r="I59" s="1714"/>
      <c r="J59" s="1743"/>
      <c r="K59" s="332"/>
      <c r="L59" s="1733"/>
      <c r="M59" s="1710"/>
      <c r="N59" s="1710"/>
      <c r="O59" s="1730"/>
      <c r="P59" s="1723"/>
      <c r="Q59" s="1713"/>
      <c r="R59" s="1723"/>
      <c r="S59" s="1743"/>
      <c r="T59" s="332"/>
      <c r="U59" s="1733"/>
      <c r="V59" s="1710"/>
      <c r="W59" s="1710"/>
      <c r="X59" s="1730"/>
      <c r="Y59" s="2057"/>
      <c r="Z59" s="1713"/>
      <c r="AA59" s="1738"/>
      <c r="AB59" s="1743"/>
      <c r="AC59" s="332"/>
      <c r="AD59" s="1733"/>
      <c r="AE59" s="1710"/>
      <c r="AF59" s="1710"/>
      <c r="AG59" s="1903"/>
      <c r="AH59" s="1905"/>
      <c r="AI59" s="1898"/>
      <c r="AJ59" s="1899"/>
      <c r="AK59" s="1899"/>
      <c r="AL59" s="1726"/>
      <c r="AM59" s="1733"/>
      <c r="AN59" s="1759"/>
      <c r="AO59" s="1710"/>
      <c r="AP59" s="1782"/>
      <c r="AQ59" s="1899"/>
      <c r="AR59" s="1899"/>
      <c r="AS59" s="1905"/>
      <c r="AT59" s="1899"/>
    </row>
    <row r="60" spans="1:46" ht="47.25" customHeight="1" x14ac:dyDescent="0.3">
      <c r="A60" s="2261"/>
      <c r="B60" s="1252"/>
      <c r="C60" s="1728"/>
      <c r="D60" s="1729"/>
      <c r="E60" s="1729">
        <v>41</v>
      </c>
      <c r="F60" s="1730"/>
      <c r="G60" s="1723"/>
      <c r="H60" s="1723"/>
      <c r="I60" s="1714" t="s">
        <v>388</v>
      </c>
      <c r="J60" s="1743"/>
      <c r="K60" s="332"/>
      <c r="L60" s="1733"/>
      <c r="M60" s="1710">
        <v>20</v>
      </c>
      <c r="N60" s="1710"/>
      <c r="O60" s="1730"/>
      <c r="P60" s="1723"/>
      <c r="Q60" s="1713" t="s">
        <v>1173</v>
      </c>
      <c r="R60" s="1723"/>
      <c r="S60" s="1743"/>
      <c r="T60" s="332"/>
      <c r="U60" s="1733"/>
      <c r="V60" s="1710"/>
      <c r="W60" s="1710"/>
      <c r="X60" s="1730"/>
      <c r="Y60" s="2057"/>
      <c r="Z60" s="1713"/>
      <c r="AA60" s="1738"/>
      <c r="AB60" s="1743"/>
      <c r="AC60" s="332"/>
      <c r="AD60" s="1733"/>
      <c r="AE60" s="1710"/>
      <c r="AF60" s="1710"/>
      <c r="AG60" s="1903"/>
      <c r="AH60" s="1905"/>
      <c r="AI60" s="1898"/>
      <c r="AJ60" s="1899"/>
      <c r="AK60" s="1899"/>
      <c r="AL60" s="1726"/>
      <c r="AM60" s="1733"/>
      <c r="AN60" s="1759"/>
      <c r="AO60" s="1710"/>
      <c r="AP60" s="1782"/>
      <c r="AQ60" s="1899"/>
      <c r="AR60" s="1899"/>
      <c r="AS60" s="1905"/>
      <c r="AT60" s="1899"/>
    </row>
    <row r="61" spans="1:46" ht="47.25" customHeight="1" x14ac:dyDescent="0.3">
      <c r="A61" s="2260">
        <v>46021</v>
      </c>
      <c r="B61" s="1252">
        <v>1</v>
      </c>
      <c r="C61" s="1728"/>
      <c r="D61" s="1729"/>
      <c r="E61" s="1729">
        <v>19</v>
      </c>
      <c r="F61" s="1730"/>
      <c r="G61" s="1723"/>
      <c r="H61" s="1723"/>
      <c r="I61" s="1714" t="s">
        <v>1174</v>
      </c>
      <c r="J61" s="1743"/>
      <c r="K61" s="332"/>
      <c r="L61" s="1733"/>
      <c r="M61" s="1710"/>
      <c r="N61" s="1710"/>
      <c r="O61" s="1730"/>
      <c r="P61" s="1723"/>
      <c r="Q61" s="1713"/>
      <c r="R61" s="1723"/>
      <c r="S61" s="1743"/>
      <c r="T61" s="332"/>
      <c r="U61" s="1733">
        <v>158</v>
      </c>
      <c r="V61" s="1710"/>
      <c r="W61" s="1710"/>
      <c r="X61" s="1730"/>
      <c r="Y61" s="2058" t="s">
        <v>45</v>
      </c>
      <c r="Z61" s="1713"/>
      <c r="AA61" s="1738"/>
      <c r="AB61" s="1743"/>
      <c r="AC61" s="332"/>
      <c r="AD61" s="1733"/>
      <c r="AE61" s="1710"/>
      <c r="AF61" s="1710"/>
      <c r="AG61" s="1903"/>
      <c r="AH61" s="1905"/>
      <c r="AI61" s="1898"/>
      <c r="AJ61" s="1899"/>
      <c r="AK61" s="1899"/>
      <c r="AL61" s="1726"/>
      <c r="AM61" s="1733"/>
      <c r="AN61" s="1759"/>
      <c r="AO61" s="1710"/>
      <c r="AP61" s="1782"/>
      <c r="AQ61" s="1899"/>
      <c r="AR61" s="1899"/>
      <c r="AS61" s="1905"/>
      <c r="AT61" s="1899"/>
    </row>
    <row r="62" spans="1:46" ht="47.25" customHeight="1" x14ac:dyDescent="0.3">
      <c r="A62" s="2261"/>
      <c r="B62" s="1252">
        <v>2</v>
      </c>
      <c r="C62" s="1728"/>
      <c r="D62" s="1729"/>
      <c r="E62" s="1729">
        <v>17</v>
      </c>
      <c r="F62" s="1730"/>
      <c r="G62" s="1723"/>
      <c r="H62" s="1723"/>
      <c r="I62" s="1714" t="s">
        <v>152</v>
      </c>
      <c r="J62" s="1743"/>
      <c r="K62" s="332"/>
      <c r="L62" s="1733"/>
      <c r="M62" s="1710"/>
      <c r="N62" s="1710"/>
      <c r="O62" s="1730"/>
      <c r="P62" s="1723"/>
      <c r="Q62" s="1713"/>
      <c r="R62" s="1723"/>
      <c r="S62" s="1743"/>
      <c r="T62" s="332"/>
      <c r="U62" s="1733">
        <v>720</v>
      </c>
      <c r="V62" s="1710"/>
      <c r="W62" s="1710"/>
      <c r="X62" s="1730"/>
      <c r="Y62" s="2058" t="s">
        <v>45</v>
      </c>
      <c r="Z62" s="1713"/>
      <c r="AA62" s="1738"/>
      <c r="AB62" s="1743"/>
      <c r="AC62" s="332"/>
      <c r="AD62" s="1733"/>
      <c r="AE62" s="1710"/>
      <c r="AF62" s="1710"/>
      <c r="AG62" s="1903"/>
      <c r="AH62" s="1905"/>
      <c r="AI62" s="1898"/>
      <c r="AJ62" s="1899"/>
      <c r="AK62" s="1899"/>
      <c r="AL62" s="1726"/>
      <c r="AM62" s="1733"/>
      <c r="AN62" s="1759"/>
      <c r="AO62" s="1710"/>
      <c r="AP62" s="1782"/>
      <c r="AQ62" s="1899"/>
      <c r="AR62" s="1899"/>
      <c r="AS62" s="1905"/>
      <c r="AT62" s="1899"/>
    </row>
    <row r="63" spans="1:46" ht="35.25" customHeight="1" x14ac:dyDescent="0.3">
      <c r="A63" s="2260">
        <v>46022</v>
      </c>
      <c r="B63" s="1252">
        <v>1</v>
      </c>
      <c r="C63" s="1728"/>
      <c r="D63" s="1729"/>
      <c r="E63" s="1729"/>
      <c r="F63" s="1730"/>
      <c r="G63" s="1723"/>
      <c r="H63" s="1723"/>
      <c r="I63" s="1714"/>
      <c r="J63" s="1743"/>
      <c r="K63" s="332"/>
      <c r="L63" s="1733"/>
      <c r="M63" s="1710"/>
      <c r="N63" s="1710"/>
      <c r="O63" s="1730"/>
      <c r="P63" s="1723"/>
      <c r="Q63" s="1713"/>
      <c r="R63" s="1723"/>
      <c r="S63" s="1743"/>
      <c r="T63" s="332"/>
      <c r="U63" s="1733">
        <v>720</v>
      </c>
      <c r="V63" s="1710"/>
      <c r="W63" s="1710"/>
      <c r="X63" s="1730"/>
      <c r="Y63" s="2058" t="s">
        <v>45</v>
      </c>
      <c r="Z63" s="1713"/>
      <c r="AA63" s="1738"/>
      <c r="AB63" s="1743"/>
      <c r="AC63" s="332"/>
      <c r="AD63" s="1733"/>
      <c r="AE63" s="1710"/>
      <c r="AF63" s="1710"/>
      <c r="AG63" s="1903"/>
      <c r="AH63" s="1905"/>
      <c r="AI63" s="1898"/>
      <c r="AJ63" s="1899"/>
      <c r="AK63" s="1899"/>
      <c r="AL63" s="1726"/>
      <c r="AM63" s="1733"/>
      <c r="AN63" s="1759"/>
      <c r="AO63" s="1710"/>
      <c r="AP63" s="1782"/>
      <c r="AQ63" s="1899"/>
      <c r="AR63" s="1899"/>
      <c r="AS63" s="1905"/>
      <c r="AT63" s="1899"/>
    </row>
    <row r="64" spans="1:46" ht="40.5" customHeight="1" x14ac:dyDescent="0.3">
      <c r="A64" s="2261"/>
      <c r="B64" s="1218">
        <v>2</v>
      </c>
      <c r="C64" s="1728"/>
      <c r="D64" s="1729"/>
      <c r="E64" s="1729">
        <v>18</v>
      </c>
      <c r="F64" s="1730"/>
      <c r="G64" s="1723"/>
      <c r="H64" s="1723"/>
      <c r="I64" s="1714" t="s">
        <v>152</v>
      </c>
      <c r="J64" s="1743"/>
      <c r="K64" s="332"/>
      <c r="L64" s="1733"/>
      <c r="M64" s="1710"/>
      <c r="N64" s="1710"/>
      <c r="O64" s="1730"/>
      <c r="P64" s="1723"/>
      <c r="Q64" s="1713"/>
      <c r="R64" s="1723"/>
      <c r="S64" s="1743"/>
      <c r="T64" s="332"/>
      <c r="U64" s="1733">
        <v>720</v>
      </c>
      <c r="V64" s="1710"/>
      <c r="W64" s="1710"/>
      <c r="X64" s="1730"/>
      <c r="Y64" s="2059" t="s">
        <v>45</v>
      </c>
      <c r="Z64" s="1713"/>
      <c r="AA64" s="1738"/>
      <c r="AB64" s="1743"/>
      <c r="AC64" s="332"/>
      <c r="AD64" s="1733"/>
      <c r="AE64" s="1710"/>
      <c r="AF64" s="1710"/>
      <c r="AG64" s="1903"/>
      <c r="AH64" s="1905"/>
      <c r="AI64" s="1898"/>
      <c r="AJ64" s="1899"/>
      <c r="AK64" s="1899"/>
      <c r="AL64" s="1726"/>
      <c r="AM64" s="1733"/>
      <c r="AN64" s="1759"/>
      <c r="AO64" s="1710"/>
      <c r="AP64" s="1782"/>
      <c r="AQ64" s="1899"/>
      <c r="AR64" s="1899"/>
      <c r="AS64" s="1905"/>
      <c r="AT64" s="1899"/>
    </row>
    <row r="65" spans="1:46" ht="18.75" x14ac:dyDescent="0.3">
      <c r="A65" s="301" t="s">
        <v>225</v>
      </c>
      <c r="B65" s="419"/>
      <c r="C65" s="1285">
        <f>SUM(C3:C64)</f>
        <v>260</v>
      </c>
      <c r="D65" s="419">
        <f>SUM(D3:D64)</f>
        <v>227</v>
      </c>
      <c r="E65" s="1285">
        <f>SUM(E3:E64)</f>
        <v>264</v>
      </c>
      <c r="F65" s="419">
        <f>SUM(F3:F64)</f>
        <v>109</v>
      </c>
      <c r="G65" s="301"/>
      <c r="H65" s="301"/>
      <c r="I65" s="301"/>
      <c r="J65" s="301"/>
      <c r="K65" s="301"/>
      <c r="L65" s="419">
        <f>SUM(L3:L64)</f>
        <v>5032</v>
      </c>
      <c r="M65" s="419">
        <f>SUM(M3:M64)</f>
        <v>187</v>
      </c>
      <c r="N65" s="419">
        <f>SUM(N3:N64)</f>
        <v>32</v>
      </c>
      <c r="O65" s="419">
        <f>SUM(O3:O64)</f>
        <v>62</v>
      </c>
      <c r="P65" s="301"/>
      <c r="Q65" s="301"/>
      <c r="R65" s="301"/>
      <c r="S65" s="301"/>
      <c r="T65" s="301"/>
      <c r="U65" s="419">
        <f>SUM(U3:U64)</f>
        <v>2823</v>
      </c>
      <c r="V65" s="419">
        <f>SUM(V3:V64)</f>
        <v>144</v>
      </c>
      <c r="W65" s="419">
        <f>SUM(W3:W64)</f>
        <v>183</v>
      </c>
      <c r="X65" s="419">
        <f>SUM(X3:X64)</f>
        <v>95</v>
      </c>
      <c r="Y65" s="301"/>
      <c r="Z65" s="301"/>
      <c r="AA65" s="301"/>
      <c r="AB65" s="301"/>
      <c r="AC65" s="301"/>
      <c r="AD65" s="419">
        <f>SUM(AD3:AD64)</f>
        <v>93</v>
      </c>
      <c r="AE65" s="419">
        <f>SUM(AE3:AE64)</f>
        <v>6</v>
      </c>
      <c r="AF65" s="419">
        <f>SUM(AF3:AF64)</f>
        <v>301</v>
      </c>
      <c r="AG65" s="419">
        <f>SUM(AG3:AG64)</f>
        <v>75</v>
      </c>
      <c r="AH65" s="301"/>
      <c r="AI65" s="301"/>
      <c r="AJ65" s="301"/>
      <c r="AK65" s="301"/>
      <c r="AL65" s="301"/>
      <c r="AM65" s="419">
        <f>SUM(AM3:AM64)</f>
        <v>416</v>
      </c>
      <c r="AN65" s="419">
        <f>SUM(AN3:AN64)</f>
        <v>371</v>
      </c>
      <c r="AO65" s="419">
        <f>SUM(AO3:AO64)</f>
        <v>81</v>
      </c>
      <c r="AP65" s="419">
        <f>SUM(AP3:AP64)</f>
        <v>94</v>
      </c>
      <c r="AQ65" s="301"/>
      <c r="AR65" s="301"/>
      <c r="AS65" s="301"/>
      <c r="AT65" s="301"/>
    </row>
    <row r="73" spans="1:46" ht="15.75" thickBot="1" x14ac:dyDescent="0.3"/>
    <row r="74" spans="1:46" ht="19.5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6" ht="19.5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6" ht="18.75" x14ac:dyDescent="0.3">
      <c r="B76" s="651" t="s">
        <v>218</v>
      </c>
      <c r="C76" s="652">
        <f>C65</f>
        <v>260</v>
      </c>
      <c r="D76" s="653">
        <f>C76/60</f>
        <v>4.333333333333333</v>
      </c>
      <c r="E76" s="652">
        <f>D65</f>
        <v>227</v>
      </c>
      <c r="F76" s="654">
        <f>E76/60</f>
        <v>3.7833333333333332</v>
      </c>
      <c r="G76" s="652">
        <f>E65</f>
        <v>264</v>
      </c>
      <c r="H76" s="653">
        <f>G76/60</f>
        <v>4.4000000000000004</v>
      </c>
      <c r="I76" s="652">
        <f>F65</f>
        <v>109</v>
      </c>
      <c r="J76" s="653">
        <f>I76/60</f>
        <v>1.8166666666666667</v>
      </c>
    </row>
    <row r="77" spans="1:46" ht="18.75" x14ac:dyDescent="0.3">
      <c r="B77" s="651" t="s">
        <v>219</v>
      </c>
      <c r="C77" s="655">
        <f>L65</f>
        <v>5032</v>
      </c>
      <c r="D77" s="656">
        <f>C77/60</f>
        <v>83.86666666666666</v>
      </c>
      <c r="E77" s="655">
        <f>M65</f>
        <v>187</v>
      </c>
      <c r="F77" s="657">
        <f>E77/60</f>
        <v>3.1166666666666667</v>
      </c>
      <c r="G77" s="655">
        <f>N65</f>
        <v>32</v>
      </c>
      <c r="H77" s="656">
        <f>G77/60</f>
        <v>0.53333333333333333</v>
      </c>
      <c r="I77" s="655">
        <f>O65</f>
        <v>62</v>
      </c>
      <c r="J77" s="656">
        <f>I77/60</f>
        <v>1.0333333333333334</v>
      </c>
    </row>
    <row r="78" spans="1:46" ht="18.75" x14ac:dyDescent="0.3">
      <c r="B78" s="651" t="s">
        <v>220</v>
      </c>
      <c r="C78" s="655">
        <f>U65</f>
        <v>2823</v>
      </c>
      <c r="D78" s="656">
        <f>C78/60</f>
        <v>47.05</v>
      </c>
      <c r="E78" s="655">
        <f>V65</f>
        <v>144</v>
      </c>
      <c r="F78" s="657">
        <f>E78/60</f>
        <v>2.4</v>
      </c>
      <c r="G78" s="655">
        <f>W65</f>
        <v>183</v>
      </c>
      <c r="H78" s="656">
        <f>G78/60</f>
        <v>3.05</v>
      </c>
      <c r="I78" s="655">
        <f>X65</f>
        <v>95</v>
      </c>
      <c r="J78" s="656">
        <f>I78/60</f>
        <v>1.5833333333333333</v>
      </c>
    </row>
    <row r="79" spans="1:46" ht="19.5" thickBot="1" x14ac:dyDescent="0.35">
      <c r="B79" s="651" t="s">
        <v>221</v>
      </c>
      <c r="C79" s="658">
        <f>AD65</f>
        <v>93</v>
      </c>
      <c r="D79" s="659">
        <f>C79/60</f>
        <v>1.55</v>
      </c>
      <c r="E79" s="658">
        <f>AE65</f>
        <v>6</v>
      </c>
      <c r="F79" s="660">
        <f>E79/60</f>
        <v>0.1</v>
      </c>
      <c r="G79" s="658">
        <f>AF65</f>
        <v>301</v>
      </c>
      <c r="H79" s="659">
        <f>G79/60</f>
        <v>5.0166666666666666</v>
      </c>
      <c r="I79" s="658">
        <f>AG65</f>
        <v>75</v>
      </c>
      <c r="J79" s="659">
        <f>I79/60</f>
        <v>1.25</v>
      </c>
    </row>
    <row r="80" spans="1:46" ht="19.5" thickBot="1" x14ac:dyDescent="0.35">
      <c r="B80" s="651" t="s">
        <v>488</v>
      </c>
      <c r="C80" s="850">
        <f>AM65</f>
        <v>416</v>
      </c>
      <c r="D80" s="849">
        <f>C80/60</f>
        <v>6.9333333333333336</v>
      </c>
      <c r="E80" s="850">
        <f>AN65</f>
        <v>371</v>
      </c>
      <c r="F80" s="851">
        <f>E80/60</f>
        <v>6.1833333333333336</v>
      </c>
      <c r="G80" s="850">
        <f>AO65</f>
        <v>81</v>
      </c>
      <c r="H80" s="849">
        <f>G80/60</f>
        <v>1.35</v>
      </c>
      <c r="I80" s="850">
        <f>AP65</f>
        <v>94</v>
      </c>
      <c r="J80" s="849">
        <f>I80/60</f>
        <v>1.5666666666666667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143.73333333333335</v>
      </c>
      <c r="E82" s="666"/>
      <c r="F82" s="667">
        <f>SUM(F76:F80)</f>
        <v>15.583333333333334</v>
      </c>
      <c r="G82" s="666"/>
      <c r="H82" s="667">
        <f>SUM(H76:H80)</f>
        <v>14.35</v>
      </c>
      <c r="I82" s="666"/>
      <c r="J82" s="668">
        <f>AVERAGE(J76:J80)</f>
        <v>1.45</v>
      </c>
    </row>
  </sheetData>
  <mergeCells count="45">
    <mergeCell ref="A5:A6"/>
    <mergeCell ref="C1:F1"/>
    <mergeCell ref="G1:J1"/>
    <mergeCell ref="L1:O1"/>
    <mergeCell ref="P1:S1"/>
    <mergeCell ref="AD1:AG1"/>
    <mergeCell ref="AH1:AK1"/>
    <mergeCell ref="AM1:AP1"/>
    <mergeCell ref="AQ1:AT1"/>
    <mergeCell ref="A3:A4"/>
    <mergeCell ref="U1:X1"/>
    <mergeCell ref="Y1:AB1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G74:H74"/>
    <mergeCell ref="I74:J74"/>
    <mergeCell ref="A55:A56"/>
    <mergeCell ref="A57:A58"/>
    <mergeCell ref="A61:A62"/>
    <mergeCell ref="A63:A64"/>
    <mergeCell ref="C74:D74"/>
    <mergeCell ref="E74:F74"/>
    <mergeCell ref="A59:A60"/>
  </mergeCells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2"/>
  <sheetViews>
    <sheetView tabSelected="1" zoomScale="55" zoomScaleNormal="55" workbookViewId="0">
      <pane xSplit="3" ySplit="2" topLeftCell="D18" activePane="bottomRight" state="frozen"/>
      <selection pane="topRight" activeCell="D1" sqref="D1"/>
      <selection pane="bottomLeft" activeCell="A3" sqref="A3"/>
      <selection pane="bottomRight" activeCell="C40" sqref="C40:AT43"/>
    </sheetView>
  </sheetViews>
  <sheetFormatPr defaultColWidth="8.85546875" defaultRowHeight="15" x14ac:dyDescent="0.25"/>
  <cols>
    <col min="1" max="1" width="14.5703125" style="524" customWidth="1"/>
    <col min="2" max="2" width="16" style="525" customWidth="1"/>
    <col min="3" max="3" width="12" style="524" customWidth="1"/>
    <col min="4" max="4" width="17.28515625" style="524" customWidth="1"/>
    <col min="5" max="5" width="19.5703125" style="524" customWidth="1"/>
    <col min="6" max="6" width="19.28515625" style="524" customWidth="1"/>
    <col min="7" max="7" width="30" style="524" customWidth="1"/>
    <col min="8" max="8" width="29.42578125" style="524" customWidth="1"/>
    <col min="9" max="9" width="24.42578125" style="524" customWidth="1"/>
    <col min="10" max="10" width="23.5703125" style="524" customWidth="1"/>
    <col min="11" max="11" width="12.85546875" style="524" customWidth="1"/>
    <col min="12" max="14" width="10.7109375" style="524" customWidth="1"/>
    <col min="15" max="15" width="17" style="524" customWidth="1"/>
    <col min="16" max="16" width="26" style="524" bestFit="1" customWidth="1"/>
    <col min="17" max="17" width="42.140625" style="524" bestFit="1" customWidth="1"/>
    <col min="18" max="18" width="30.42578125" style="524" customWidth="1"/>
    <col min="19" max="19" width="27.7109375" style="524" customWidth="1"/>
    <col min="20" max="24" width="10.7109375" style="524" customWidth="1"/>
    <col min="25" max="25" width="28" style="524" customWidth="1"/>
    <col min="26" max="26" width="29.28515625" style="524" customWidth="1"/>
    <col min="27" max="27" width="36.140625" style="524" bestFit="1" customWidth="1"/>
    <col min="28" max="28" width="27" style="524" customWidth="1"/>
    <col min="29" max="33" width="10.7109375" style="524" customWidth="1"/>
    <col min="34" max="34" width="31.28515625" style="524" customWidth="1"/>
    <col min="35" max="35" width="23.28515625" style="524" customWidth="1"/>
    <col min="36" max="36" width="25.28515625" style="524" customWidth="1"/>
    <col min="37" max="37" width="26" style="524" customWidth="1"/>
    <col min="38" max="38" width="8.85546875" style="524"/>
    <col min="39" max="39" width="13.85546875" style="524" customWidth="1"/>
    <col min="40" max="42" width="10.7109375" style="524" customWidth="1"/>
    <col min="43" max="43" width="32.28515625" style="524" customWidth="1"/>
    <col min="44" max="44" width="26.5703125" style="524" customWidth="1"/>
    <col min="45" max="45" width="31.140625" style="524" customWidth="1"/>
    <col min="46" max="46" width="26.5703125" style="524" customWidth="1"/>
    <col min="47" max="16384" width="8.85546875" style="524"/>
  </cols>
  <sheetData>
    <row r="1" spans="1:46" ht="59.45" customHeight="1" x14ac:dyDescent="0.25">
      <c r="C1" s="2249" t="s">
        <v>1</v>
      </c>
      <c r="D1" s="2250"/>
      <c r="E1" s="2250"/>
      <c r="F1" s="2250"/>
      <c r="G1" s="2251" t="s">
        <v>206</v>
      </c>
      <c r="H1" s="2252"/>
      <c r="I1" s="2252"/>
      <c r="J1" s="2253"/>
      <c r="K1" s="982"/>
      <c r="L1" s="2250" t="s">
        <v>4</v>
      </c>
      <c r="M1" s="2250"/>
      <c r="N1" s="2250"/>
      <c r="O1" s="2250"/>
      <c r="P1" s="2252" t="s">
        <v>206</v>
      </c>
      <c r="Q1" s="2252"/>
      <c r="R1" s="2252"/>
      <c r="S1" s="2253"/>
      <c r="T1" s="982"/>
      <c r="U1" s="2250" t="s">
        <v>2</v>
      </c>
      <c r="V1" s="2250"/>
      <c r="W1" s="2250"/>
      <c r="X1" s="2250"/>
      <c r="Y1" s="2252" t="s">
        <v>206</v>
      </c>
      <c r="Z1" s="2252"/>
      <c r="AA1" s="2252"/>
      <c r="AB1" s="2253"/>
      <c r="AC1" s="982"/>
      <c r="AD1" s="2250" t="s">
        <v>5</v>
      </c>
      <c r="AE1" s="2250"/>
      <c r="AF1" s="2250"/>
      <c r="AG1" s="2250"/>
      <c r="AH1" s="2252" t="s">
        <v>206</v>
      </c>
      <c r="AI1" s="2252"/>
      <c r="AJ1" s="2252"/>
      <c r="AK1" s="2253"/>
      <c r="AL1" s="982"/>
      <c r="AM1" s="2250" t="s">
        <v>482</v>
      </c>
      <c r="AN1" s="2250"/>
      <c r="AO1" s="2250"/>
      <c r="AP1" s="2250"/>
      <c r="AQ1" s="2252" t="s">
        <v>206</v>
      </c>
      <c r="AR1" s="2252"/>
      <c r="AS1" s="2252"/>
      <c r="AT1" s="2253"/>
    </row>
    <row r="2" spans="1:46" ht="42" customHeight="1" x14ac:dyDescent="0.25">
      <c r="A2" s="984" t="s">
        <v>0</v>
      </c>
      <c r="B2" s="988" t="s">
        <v>198</v>
      </c>
      <c r="C2" s="983" t="s">
        <v>199</v>
      </c>
      <c r="D2" s="984" t="s">
        <v>200</v>
      </c>
      <c r="E2" s="984" t="s">
        <v>201</v>
      </c>
      <c r="F2" s="984" t="s">
        <v>204</v>
      </c>
      <c r="G2" s="985" t="s">
        <v>199</v>
      </c>
      <c r="H2" s="985" t="s">
        <v>200</v>
      </c>
      <c r="I2" s="985" t="s">
        <v>201</v>
      </c>
      <c r="J2" s="985" t="s">
        <v>204</v>
      </c>
      <c r="K2" s="982" t="s">
        <v>269</v>
      </c>
      <c r="L2" s="984" t="s">
        <v>199</v>
      </c>
      <c r="M2" s="984" t="s">
        <v>200</v>
      </c>
      <c r="N2" s="984" t="s">
        <v>201</v>
      </c>
      <c r="O2" s="984" t="s">
        <v>204</v>
      </c>
      <c r="P2" s="986" t="s">
        <v>199</v>
      </c>
      <c r="Q2" s="984" t="s">
        <v>200</v>
      </c>
      <c r="R2" s="984" t="s">
        <v>201</v>
      </c>
      <c r="S2" s="984" t="s">
        <v>204</v>
      </c>
      <c r="T2" s="982"/>
      <c r="U2" s="984" t="s">
        <v>199</v>
      </c>
      <c r="V2" s="984" t="s">
        <v>200</v>
      </c>
      <c r="W2" s="984" t="s">
        <v>201</v>
      </c>
      <c r="X2" s="984" t="s">
        <v>204</v>
      </c>
      <c r="Y2" s="987" t="s">
        <v>199</v>
      </c>
      <c r="Z2" s="984" t="s">
        <v>200</v>
      </c>
      <c r="AA2" s="984" t="s">
        <v>201</v>
      </c>
      <c r="AB2" s="984" t="s">
        <v>204</v>
      </c>
      <c r="AC2" s="982"/>
      <c r="AD2" s="984" t="s">
        <v>199</v>
      </c>
      <c r="AE2" s="984" t="s">
        <v>200</v>
      </c>
      <c r="AF2" s="984" t="s">
        <v>201</v>
      </c>
      <c r="AG2" s="984" t="s">
        <v>204</v>
      </c>
      <c r="AH2" s="987" t="s">
        <v>199</v>
      </c>
      <c r="AI2" s="985" t="s">
        <v>200</v>
      </c>
      <c r="AJ2" s="985" t="s">
        <v>201</v>
      </c>
      <c r="AK2" s="985" t="s">
        <v>204</v>
      </c>
      <c r="AL2" s="982"/>
      <c r="AM2" s="984" t="s">
        <v>199</v>
      </c>
      <c r="AN2" s="984" t="s">
        <v>200</v>
      </c>
      <c r="AO2" s="984" t="s">
        <v>201</v>
      </c>
      <c r="AP2" s="984" t="s">
        <v>204</v>
      </c>
      <c r="AQ2" s="987" t="s">
        <v>199</v>
      </c>
      <c r="AR2" s="985" t="s">
        <v>200</v>
      </c>
      <c r="AS2" s="985" t="s">
        <v>201</v>
      </c>
      <c r="AT2" s="985" t="s">
        <v>204</v>
      </c>
    </row>
    <row r="3" spans="1:46" ht="30" customHeight="1" x14ac:dyDescent="0.3">
      <c r="A3" s="2260">
        <v>46023</v>
      </c>
      <c r="B3" s="1200">
        <v>1</v>
      </c>
      <c r="C3" s="1708"/>
      <c r="D3" s="1709"/>
      <c r="E3" s="1710">
        <v>8</v>
      </c>
      <c r="F3" s="1711"/>
      <c r="G3" s="1712"/>
      <c r="H3" s="1713"/>
      <c r="I3" s="1714" t="s">
        <v>388</v>
      </c>
      <c r="J3" s="1715"/>
      <c r="K3" s="332"/>
      <c r="L3" s="1716"/>
      <c r="M3" s="1717"/>
      <c r="N3" s="1717"/>
      <c r="O3" s="1718"/>
      <c r="P3" s="1719"/>
      <c r="Q3" s="1720"/>
      <c r="R3" s="1720"/>
      <c r="S3" s="1718"/>
      <c r="T3" s="332"/>
      <c r="U3" s="1716">
        <v>720</v>
      </c>
      <c r="V3" s="1717"/>
      <c r="W3" s="1710"/>
      <c r="X3" s="1721"/>
      <c r="Y3" s="2061" t="s">
        <v>45</v>
      </c>
      <c r="Z3" s="1719"/>
      <c r="AA3" s="1723"/>
      <c r="AB3" s="1724"/>
      <c r="AC3" s="332"/>
      <c r="AD3" s="1716"/>
      <c r="AE3" s="1717"/>
      <c r="AF3" s="1710"/>
      <c r="AG3" s="1902"/>
      <c r="AH3" s="1905"/>
      <c r="AI3" s="1905"/>
      <c r="AJ3" s="1906"/>
      <c r="AK3" s="1905"/>
      <c r="AL3" s="1726"/>
      <c r="AM3" s="1716"/>
      <c r="AN3" s="1717"/>
      <c r="AO3" s="1710"/>
      <c r="AP3" s="1902"/>
      <c r="AQ3" s="1905"/>
      <c r="AR3" s="1906"/>
      <c r="AS3" s="1906"/>
      <c r="AT3" s="1905"/>
    </row>
    <row r="4" spans="1:46" ht="30" customHeight="1" x14ac:dyDescent="0.3">
      <c r="A4" s="2261"/>
      <c r="B4" s="1218">
        <v>2</v>
      </c>
      <c r="C4" s="1728"/>
      <c r="D4" s="1729"/>
      <c r="E4" s="1729">
        <v>14</v>
      </c>
      <c r="F4" s="1730"/>
      <c r="G4" s="1731"/>
      <c r="H4" s="1713"/>
      <c r="I4" s="1714" t="s">
        <v>152</v>
      </c>
      <c r="J4" s="1732"/>
      <c r="K4" s="332"/>
      <c r="L4" s="1733"/>
      <c r="M4" s="1710"/>
      <c r="N4" s="1710"/>
      <c r="O4" s="1721"/>
      <c r="P4" s="2060"/>
      <c r="Q4" s="1713"/>
      <c r="R4" s="1734"/>
      <c r="S4" s="1721"/>
      <c r="T4" s="332"/>
      <c r="U4" s="1733">
        <v>720</v>
      </c>
      <c r="V4" s="1725"/>
      <c r="W4" s="1710"/>
      <c r="X4" s="1721"/>
      <c r="Y4" s="1731" t="s">
        <v>45</v>
      </c>
      <c r="Z4" s="1723"/>
      <c r="AA4" s="1723"/>
      <c r="AB4" s="1735"/>
      <c r="AC4" s="332"/>
      <c r="AD4" s="1733"/>
      <c r="AE4" s="1710"/>
      <c r="AF4" s="1710"/>
      <c r="AG4" s="1782"/>
      <c r="AH4" s="1905"/>
      <c r="AI4" s="1899"/>
      <c r="AJ4" s="1906"/>
      <c r="AK4" s="1905"/>
      <c r="AL4" s="1726"/>
      <c r="AM4" s="1733"/>
      <c r="AN4" s="1710"/>
      <c r="AO4" s="1710"/>
      <c r="AP4" s="1782"/>
      <c r="AQ4" s="1905"/>
      <c r="AR4" s="1899"/>
      <c r="AS4" s="1905"/>
      <c r="AT4" s="1905"/>
    </row>
    <row r="5" spans="1:46" ht="30" customHeight="1" x14ac:dyDescent="0.3">
      <c r="A5" s="2260">
        <v>46024</v>
      </c>
      <c r="B5" s="1218">
        <v>1</v>
      </c>
      <c r="C5" s="1728"/>
      <c r="D5" s="1729"/>
      <c r="E5" s="1729"/>
      <c r="F5" s="1730"/>
      <c r="G5" s="1736"/>
      <c r="H5" s="1737"/>
      <c r="I5" s="1714"/>
      <c r="J5" s="1732"/>
      <c r="K5" s="332"/>
      <c r="L5" s="1733"/>
      <c r="M5" s="1710"/>
      <c r="N5" s="1710"/>
      <c r="O5" s="1721"/>
      <c r="P5" s="2062"/>
      <c r="Q5" s="1710"/>
      <c r="R5" s="1710"/>
      <c r="S5" s="1721"/>
      <c r="T5" s="332"/>
      <c r="U5" s="1733">
        <v>720</v>
      </c>
      <c r="V5" s="1710"/>
      <c r="W5" s="1710"/>
      <c r="X5" s="1721"/>
      <c r="Y5" s="2063" t="s">
        <v>45</v>
      </c>
      <c r="Z5" s="1713"/>
      <c r="AA5" s="1738"/>
      <c r="AB5" s="1739"/>
      <c r="AC5" s="332"/>
      <c r="AD5" s="1733"/>
      <c r="AE5" s="1710"/>
      <c r="AF5" s="1710"/>
      <c r="AG5" s="1782"/>
      <c r="AH5" s="1905"/>
      <c r="AI5" s="1905"/>
      <c r="AJ5" s="1906"/>
      <c r="AK5" s="1905"/>
      <c r="AL5" s="1726"/>
      <c r="AM5" s="1733"/>
      <c r="AN5" s="1710"/>
      <c r="AO5" s="1710"/>
      <c r="AP5" s="1782"/>
      <c r="AQ5" s="1905"/>
      <c r="AR5" s="1905"/>
      <c r="AS5" s="1906"/>
      <c r="AT5" s="1905"/>
    </row>
    <row r="6" spans="1:46" ht="30" customHeight="1" x14ac:dyDescent="0.3">
      <c r="A6" s="2261"/>
      <c r="B6" s="1218">
        <v>2</v>
      </c>
      <c r="C6" s="1728"/>
      <c r="D6" s="1729"/>
      <c r="E6" s="1729">
        <v>37</v>
      </c>
      <c r="F6" s="1730"/>
      <c r="G6" s="1712"/>
      <c r="H6" s="1723"/>
      <c r="I6" s="1714" t="s">
        <v>152</v>
      </c>
      <c r="J6" s="1743"/>
      <c r="K6" s="332"/>
      <c r="L6" s="1733"/>
      <c r="M6" s="1710"/>
      <c r="N6" s="1710"/>
      <c r="O6" s="1721"/>
      <c r="P6" s="2064"/>
      <c r="Q6" s="1713"/>
      <c r="R6" s="1710"/>
      <c r="S6" s="1743"/>
      <c r="T6" s="332"/>
      <c r="U6" s="1733">
        <v>720</v>
      </c>
      <c r="V6" s="1710"/>
      <c r="W6" s="1710"/>
      <c r="X6" s="1721"/>
      <c r="Y6" s="2065" t="s">
        <v>45</v>
      </c>
      <c r="Z6" s="1713"/>
      <c r="AA6" s="1738"/>
      <c r="AB6" s="1743"/>
      <c r="AC6" s="332"/>
      <c r="AD6" s="1733"/>
      <c r="AE6" s="1710"/>
      <c r="AF6" s="1710"/>
      <c r="AG6" s="1782"/>
      <c r="AH6" s="1905"/>
      <c r="AI6" s="1905"/>
      <c r="AJ6" s="1899"/>
      <c r="AK6" s="1899"/>
      <c r="AL6" s="1726"/>
      <c r="AM6" s="1733"/>
      <c r="AN6" s="1710"/>
      <c r="AO6" s="1710"/>
      <c r="AP6" s="1782"/>
      <c r="AQ6" s="1906"/>
      <c r="AR6" s="1905"/>
      <c r="AS6" s="1906"/>
      <c r="AT6" s="1905"/>
    </row>
    <row r="7" spans="1:46" ht="30.75" customHeight="1" x14ac:dyDescent="0.3">
      <c r="A7" s="2260">
        <v>46025</v>
      </c>
      <c r="B7" s="1218">
        <v>1</v>
      </c>
      <c r="C7" s="1728"/>
      <c r="D7" s="1729"/>
      <c r="E7" s="1729"/>
      <c r="F7" s="1730"/>
      <c r="G7" s="1712"/>
      <c r="H7" s="1723"/>
      <c r="I7" s="1714"/>
      <c r="J7" s="1743"/>
      <c r="K7" s="332"/>
      <c r="L7" s="1733"/>
      <c r="M7" s="2064"/>
      <c r="N7" s="1710"/>
      <c r="O7" s="1721"/>
      <c r="P7" s="2064"/>
      <c r="Q7" s="1533"/>
      <c r="R7" s="1710"/>
      <c r="S7" s="1742"/>
      <c r="T7" s="332"/>
      <c r="U7" s="1733">
        <v>720</v>
      </c>
      <c r="V7" s="1710"/>
      <c r="W7" s="1710"/>
      <c r="X7" s="1721"/>
      <c r="Y7" s="2065" t="s">
        <v>45</v>
      </c>
      <c r="Z7" s="1713"/>
      <c r="AA7" s="1738"/>
      <c r="AB7" s="1742"/>
      <c r="AC7" s="332"/>
      <c r="AD7" s="1733"/>
      <c r="AE7" s="1710"/>
      <c r="AF7" s="1710"/>
      <c r="AG7" s="1782"/>
      <c r="AH7" s="1905"/>
      <c r="AI7" s="1907"/>
      <c r="AJ7" s="1899"/>
      <c r="AK7" s="1905"/>
      <c r="AL7" s="1726"/>
      <c r="AM7" s="1733"/>
      <c r="AN7" s="1710"/>
      <c r="AO7" s="1710"/>
      <c r="AP7" s="1782"/>
      <c r="AQ7" s="1905"/>
      <c r="AR7" s="1905"/>
      <c r="AS7" s="1907"/>
      <c r="AT7" s="1899"/>
    </row>
    <row r="8" spans="1:46" ht="30" customHeight="1" x14ac:dyDescent="0.3">
      <c r="A8" s="2261"/>
      <c r="B8" s="1218">
        <v>2</v>
      </c>
      <c r="C8" s="1860"/>
      <c r="D8" s="1750"/>
      <c r="E8" s="1750"/>
      <c r="F8" s="1775"/>
      <c r="G8" s="1771"/>
      <c r="H8" s="1772"/>
      <c r="I8" s="1773"/>
      <c r="J8" s="1770"/>
      <c r="K8" s="332"/>
      <c r="L8" s="1733"/>
      <c r="M8" s="1710"/>
      <c r="N8" s="1710"/>
      <c r="O8" s="1721"/>
      <c r="P8" s="2066"/>
      <c r="Q8" s="1710"/>
      <c r="R8" s="1725"/>
      <c r="S8" s="1742"/>
      <c r="T8" s="332"/>
      <c r="U8" s="1751">
        <v>505</v>
      </c>
      <c r="V8" s="1748"/>
      <c r="W8" s="2066"/>
      <c r="X8" s="1721"/>
      <c r="Y8" s="2068" t="s">
        <v>45</v>
      </c>
      <c r="Z8" s="2067"/>
      <c r="AA8" s="1725"/>
      <c r="AB8" s="1743"/>
      <c r="AC8" s="332"/>
      <c r="AD8" s="1733">
        <v>32</v>
      </c>
      <c r="AE8" s="1710"/>
      <c r="AF8" s="1710"/>
      <c r="AG8" s="1782"/>
      <c r="AH8" s="1905" t="s">
        <v>1082</v>
      </c>
      <c r="AI8" s="1906"/>
      <c r="AJ8" s="1899"/>
      <c r="AK8" s="1899"/>
      <c r="AL8" s="1726"/>
      <c r="AM8" s="1733"/>
      <c r="AN8" s="1710"/>
      <c r="AO8" s="1710"/>
      <c r="AP8" s="1782"/>
      <c r="AQ8" s="1905"/>
      <c r="AR8" s="1906"/>
      <c r="AS8" s="1905"/>
      <c r="AT8" s="1899"/>
    </row>
    <row r="9" spans="1:46" ht="30" customHeight="1" x14ac:dyDescent="0.3">
      <c r="A9" s="2260">
        <v>46026</v>
      </c>
      <c r="B9" s="1218">
        <v>1</v>
      </c>
      <c r="C9" s="2016"/>
      <c r="D9" s="2017"/>
      <c r="E9" s="2017"/>
      <c r="F9" s="1729"/>
      <c r="G9" s="2018"/>
      <c r="H9" s="2017"/>
      <c r="I9" s="2017"/>
      <c r="J9" s="1532"/>
      <c r="K9" s="1869"/>
      <c r="L9" s="2019"/>
      <c r="M9" s="1957"/>
      <c r="N9" s="1957"/>
      <c r="O9" s="1729"/>
      <c r="P9" s="1958"/>
      <c r="Q9" s="1957"/>
      <c r="R9" s="1957"/>
      <c r="S9" s="1546"/>
      <c r="T9" s="332"/>
      <c r="U9" s="1751"/>
      <c r="V9" s="2069">
        <v>50</v>
      </c>
      <c r="W9" s="1710">
        <v>10</v>
      </c>
      <c r="X9" s="1721"/>
      <c r="Y9" s="2070"/>
      <c r="Z9" s="1710" t="s">
        <v>1175</v>
      </c>
      <c r="AA9" s="2070" t="s">
        <v>1176</v>
      </c>
      <c r="AB9" s="1532"/>
      <c r="AC9" s="332"/>
      <c r="AD9" s="1915"/>
      <c r="AE9" s="1757"/>
      <c r="AF9" s="1758"/>
      <c r="AG9" s="1903"/>
      <c r="AH9" s="1899"/>
      <c r="AI9" s="1898"/>
      <c r="AJ9" s="1894"/>
      <c r="AK9" s="1532"/>
      <c r="AL9" s="332"/>
      <c r="AM9" s="1733"/>
      <c r="AN9" s="1710"/>
      <c r="AO9" s="1710"/>
      <c r="AP9" s="1782"/>
      <c r="AQ9" s="1905"/>
      <c r="AR9" s="1905"/>
      <c r="AS9" s="1906"/>
      <c r="AT9" s="1532"/>
    </row>
    <row r="10" spans="1:46" ht="30.75" customHeight="1" x14ac:dyDescent="0.3">
      <c r="A10" s="2261"/>
      <c r="B10" s="1218">
        <v>2</v>
      </c>
      <c r="C10" s="1885">
        <v>163</v>
      </c>
      <c r="D10" s="1886"/>
      <c r="E10" s="1795"/>
      <c r="F10" s="1796"/>
      <c r="G10" s="1892" t="s">
        <v>45</v>
      </c>
      <c r="H10" s="1893"/>
      <c r="I10" s="1894"/>
      <c r="J10" s="1895"/>
      <c r="K10" s="332"/>
      <c r="L10" s="1733"/>
      <c r="M10" s="1710"/>
      <c r="N10" s="1710"/>
      <c r="O10" s="1721"/>
      <c r="P10" s="2069"/>
      <c r="Q10" s="1710"/>
      <c r="R10" s="1725"/>
      <c r="S10" s="1743"/>
      <c r="T10" s="332"/>
      <c r="U10" s="1733"/>
      <c r="V10" s="1710">
        <v>234</v>
      </c>
      <c r="W10" s="1710"/>
      <c r="X10" s="1721"/>
      <c r="Y10" s="2070"/>
      <c r="Z10" s="2070" t="s">
        <v>366</v>
      </c>
      <c r="AA10" s="2070"/>
      <c r="AB10" s="1743"/>
      <c r="AC10" s="332"/>
      <c r="AD10" s="1733"/>
      <c r="AE10" s="1710">
        <v>187</v>
      </c>
      <c r="AF10" s="1710"/>
      <c r="AG10" s="1782"/>
      <c r="AH10" s="1906" t="s">
        <v>366</v>
      </c>
      <c r="AI10" s="1906"/>
      <c r="AJ10" s="1899"/>
      <c r="AK10" s="1899"/>
      <c r="AL10" s="1726"/>
      <c r="AM10" s="1733"/>
      <c r="AN10" s="1710"/>
      <c r="AO10" s="1710"/>
      <c r="AP10" s="1782"/>
      <c r="AQ10" s="1905"/>
      <c r="AR10" s="1905"/>
      <c r="AS10" s="1905"/>
      <c r="AT10" s="1899"/>
    </row>
    <row r="11" spans="1:46" ht="30.75" customHeight="1" x14ac:dyDescent="0.3">
      <c r="A11" s="2260">
        <v>46027</v>
      </c>
      <c r="B11" s="1218">
        <v>1</v>
      </c>
      <c r="C11" s="1870"/>
      <c r="D11" s="1871"/>
      <c r="E11" s="1872"/>
      <c r="F11" s="1873"/>
      <c r="G11" s="1896"/>
      <c r="H11" s="1893"/>
      <c r="I11" s="1893"/>
      <c r="J11" s="1897"/>
      <c r="K11" s="1874"/>
      <c r="L11" s="1875"/>
      <c r="M11" s="1876"/>
      <c r="N11" s="1876"/>
      <c r="O11" s="1877"/>
      <c r="P11" s="1878"/>
      <c r="Q11" s="1876"/>
      <c r="R11" s="1879"/>
      <c r="S11" s="1877"/>
      <c r="T11" s="1874"/>
      <c r="U11" s="1875">
        <v>20</v>
      </c>
      <c r="V11" s="1876"/>
      <c r="W11" s="1876">
        <v>10</v>
      </c>
      <c r="X11" s="1876"/>
      <c r="Y11" s="1877" t="s">
        <v>1177</v>
      </c>
      <c r="Z11" s="1876"/>
      <c r="AA11" s="1880" t="s">
        <v>388</v>
      </c>
      <c r="AB11" s="1877"/>
      <c r="AC11" s="1874"/>
      <c r="AD11" s="1875"/>
      <c r="AE11" s="1876"/>
      <c r="AF11" s="1876"/>
      <c r="AG11" s="1904"/>
      <c r="AH11" s="1908"/>
      <c r="AI11" s="1908"/>
      <c r="AJ11" s="1893"/>
      <c r="AK11" s="1908"/>
      <c r="AL11" s="1881"/>
      <c r="AM11" s="1875"/>
      <c r="AN11" s="1876"/>
      <c r="AO11" s="1876"/>
      <c r="AP11" s="1904"/>
      <c r="AQ11" s="1908"/>
      <c r="AR11" s="1908"/>
      <c r="AS11" s="1908"/>
      <c r="AT11" s="1912"/>
    </row>
    <row r="12" spans="1:46" ht="30" customHeight="1" x14ac:dyDescent="0.3">
      <c r="A12" s="2261"/>
      <c r="B12" s="1218">
        <v>2</v>
      </c>
      <c r="C12" s="1728">
        <v>216</v>
      </c>
      <c r="D12" s="1766"/>
      <c r="E12" s="1729"/>
      <c r="F12" s="1730"/>
      <c r="G12" s="1892" t="s">
        <v>45</v>
      </c>
      <c r="H12" s="1898"/>
      <c r="I12" s="1894"/>
      <c r="J12" s="1895"/>
      <c r="K12" s="332"/>
      <c r="L12" s="1801"/>
      <c r="M12" s="1734"/>
      <c r="N12" s="1734"/>
      <c r="O12" s="1796"/>
      <c r="P12" s="1959"/>
      <c r="Q12" s="1734"/>
      <c r="R12" s="1738"/>
      <c r="S12" s="1800"/>
      <c r="T12" s="332"/>
      <c r="U12" s="1733"/>
      <c r="V12" s="1710"/>
      <c r="W12" s="1869"/>
      <c r="X12" s="1869"/>
      <c r="Y12" s="2071"/>
      <c r="Z12" s="1723"/>
      <c r="AA12" s="1738"/>
      <c r="AB12" s="1743"/>
      <c r="AC12" s="332"/>
      <c r="AD12" s="1733"/>
      <c r="AE12" s="1710"/>
      <c r="AF12" s="1710"/>
      <c r="AG12" s="1782"/>
      <c r="AH12" s="1905"/>
      <c r="AI12" s="1906"/>
      <c r="AJ12" s="1899"/>
      <c r="AK12" s="1899"/>
      <c r="AL12" s="1726"/>
      <c r="AM12" s="1733"/>
      <c r="AN12" s="1710"/>
      <c r="AO12" s="1710"/>
      <c r="AP12" s="1782"/>
      <c r="AQ12" s="1905"/>
      <c r="AR12" s="1905"/>
      <c r="AS12" s="1906"/>
      <c r="AT12" s="1899"/>
    </row>
    <row r="13" spans="1:46" ht="29.25" customHeight="1" x14ac:dyDescent="0.3">
      <c r="A13" s="2260">
        <v>46028</v>
      </c>
      <c r="B13" s="1218">
        <v>1</v>
      </c>
      <c r="C13" s="1728"/>
      <c r="D13" s="1729"/>
      <c r="E13" s="1729">
        <v>10</v>
      </c>
      <c r="F13" s="1730"/>
      <c r="G13" s="1892"/>
      <c r="H13" s="1898"/>
      <c r="I13" s="1894" t="s">
        <v>388</v>
      </c>
      <c r="J13" s="1895"/>
      <c r="K13" s="332"/>
      <c r="L13" s="1733"/>
      <c r="M13" s="1710"/>
      <c r="N13" s="1710"/>
      <c r="O13" s="1730"/>
      <c r="P13" s="2072"/>
      <c r="Q13" s="1710"/>
      <c r="R13" s="1710"/>
      <c r="S13" s="1743"/>
      <c r="T13" s="332"/>
      <c r="U13" s="1733"/>
      <c r="V13" s="1710"/>
      <c r="W13" s="1710">
        <v>10</v>
      </c>
      <c r="X13" s="1730"/>
      <c r="Y13" s="2073"/>
      <c r="Z13" s="1725"/>
      <c r="AA13" s="1738" t="s">
        <v>388</v>
      </c>
      <c r="AB13" s="1743"/>
      <c r="AC13" s="332"/>
      <c r="AD13" s="1733"/>
      <c r="AE13" s="1710"/>
      <c r="AF13" s="1710"/>
      <c r="AG13" s="1903"/>
      <c r="AH13" s="1905"/>
      <c r="AI13" s="1905"/>
      <c r="AJ13" s="1906"/>
      <c r="AK13" s="1899"/>
      <c r="AL13" s="1726"/>
      <c r="AM13" s="1733"/>
      <c r="AN13" s="1710"/>
      <c r="AO13" s="1710"/>
      <c r="AP13" s="1910"/>
      <c r="AQ13" s="1905"/>
      <c r="AR13" s="1905"/>
      <c r="AS13" s="1899"/>
      <c r="AT13" s="1899"/>
    </row>
    <row r="14" spans="1:46" ht="30" customHeight="1" x14ac:dyDescent="0.3">
      <c r="A14" s="2261"/>
      <c r="B14" s="1218">
        <v>2</v>
      </c>
      <c r="C14" s="1728"/>
      <c r="D14" s="1729">
        <v>297</v>
      </c>
      <c r="E14" s="1729"/>
      <c r="F14" s="1730"/>
      <c r="G14" s="1892"/>
      <c r="H14" s="1899" t="s">
        <v>1178</v>
      </c>
      <c r="I14" s="1894"/>
      <c r="J14" s="1895"/>
      <c r="K14" s="332"/>
      <c r="L14" s="1733">
        <v>74</v>
      </c>
      <c r="M14" s="1710"/>
      <c r="N14" s="1710"/>
      <c r="O14" s="1730"/>
      <c r="P14" s="2073" t="s">
        <v>113</v>
      </c>
      <c r="Q14" s="1710"/>
      <c r="R14" s="1710"/>
      <c r="S14" s="1743"/>
      <c r="T14" s="332"/>
      <c r="U14" s="1733"/>
      <c r="V14" s="1710"/>
      <c r="W14" s="1710"/>
      <c r="X14" s="1730"/>
      <c r="Y14" s="2073"/>
      <c r="Z14" s="1725"/>
      <c r="AA14" s="1738"/>
      <c r="AB14" s="1743"/>
      <c r="AC14" s="332"/>
      <c r="AD14" s="1733"/>
      <c r="AE14" s="1710"/>
      <c r="AF14" s="1710"/>
      <c r="AG14" s="1903"/>
      <c r="AH14" s="1905"/>
      <c r="AI14" s="1905"/>
      <c r="AJ14" s="1906"/>
      <c r="AK14" s="1899"/>
      <c r="AL14" s="1726"/>
      <c r="AM14" s="1733"/>
      <c r="AN14" s="1710"/>
      <c r="AO14" s="1768"/>
      <c r="AP14" s="1910"/>
      <c r="AQ14" s="1906"/>
      <c r="AR14" s="1905"/>
      <c r="AS14" s="1906"/>
      <c r="AT14" s="1899"/>
    </row>
    <row r="15" spans="1:46" ht="30" customHeight="1" x14ac:dyDescent="0.3">
      <c r="A15" s="2260">
        <v>46029</v>
      </c>
      <c r="B15" s="1218">
        <v>1</v>
      </c>
      <c r="C15" s="1728"/>
      <c r="D15" s="1750"/>
      <c r="E15" s="1741">
        <v>91</v>
      </c>
      <c r="F15" s="1770"/>
      <c r="G15" s="1892"/>
      <c r="H15" s="1899"/>
      <c r="I15" s="1894" t="s">
        <v>388</v>
      </c>
      <c r="J15" s="1895"/>
      <c r="K15" s="332"/>
      <c r="L15" s="1774"/>
      <c r="M15" s="1741"/>
      <c r="N15" s="1741"/>
      <c r="O15" s="1775"/>
      <c r="P15" s="1776"/>
      <c r="Q15" s="1772"/>
      <c r="R15" s="1723"/>
      <c r="S15" s="1743"/>
      <c r="T15" s="332"/>
      <c r="U15" s="1733"/>
      <c r="V15" s="1710"/>
      <c r="W15" s="1710">
        <v>91</v>
      </c>
      <c r="X15" s="1730"/>
      <c r="Y15" s="1731"/>
      <c r="Z15" s="1723"/>
      <c r="AA15" s="1738" t="s">
        <v>388</v>
      </c>
      <c r="AB15" s="1743"/>
      <c r="AC15" s="332"/>
      <c r="AD15" s="1733"/>
      <c r="AE15" s="1710"/>
      <c r="AF15" s="332">
        <v>91</v>
      </c>
      <c r="AG15" s="1903"/>
      <c r="AH15" s="1898"/>
      <c r="AI15" s="1899"/>
      <c r="AJ15" s="1906" t="s">
        <v>388</v>
      </c>
      <c r="AK15" s="1899"/>
      <c r="AL15" s="1726"/>
      <c r="AM15" s="1733"/>
      <c r="AN15" s="1710"/>
      <c r="AO15" s="1777">
        <v>91</v>
      </c>
      <c r="AP15" s="1910"/>
      <c r="AQ15" s="1899"/>
      <c r="AR15" s="1899"/>
      <c r="AS15" s="1899" t="s">
        <v>388</v>
      </c>
      <c r="AT15" s="1899"/>
    </row>
    <row r="16" spans="1:46" ht="30" customHeight="1" x14ac:dyDescent="0.25">
      <c r="A16" s="2261"/>
      <c r="B16" s="1218">
        <v>2</v>
      </c>
      <c r="C16" s="1756"/>
      <c r="D16" s="1802"/>
      <c r="E16" s="1803">
        <v>16</v>
      </c>
      <c r="F16" s="1804"/>
      <c r="G16" s="1900"/>
      <c r="H16" s="1893"/>
      <c r="I16" s="1894" t="s">
        <v>388</v>
      </c>
      <c r="J16" s="1895"/>
      <c r="K16" s="1809"/>
      <c r="L16" s="1810"/>
      <c r="M16" s="1811">
        <v>131</v>
      </c>
      <c r="N16" s="1811"/>
      <c r="O16" s="1804"/>
      <c r="P16" s="2076"/>
      <c r="Q16" s="1813" t="s">
        <v>1181</v>
      </c>
      <c r="R16" s="1814"/>
      <c r="S16" s="1743"/>
      <c r="T16" s="332"/>
      <c r="U16" s="1733">
        <v>271</v>
      </c>
      <c r="V16" s="1710"/>
      <c r="W16" s="1710"/>
      <c r="X16" s="1730"/>
      <c r="Y16" s="1815" t="s">
        <v>45</v>
      </c>
      <c r="Z16" s="1762"/>
      <c r="AA16" s="1901"/>
      <c r="AB16" s="1743"/>
      <c r="AC16" s="332"/>
      <c r="AD16" s="1733">
        <v>56</v>
      </c>
      <c r="AE16" s="1710"/>
      <c r="AF16" s="1710"/>
      <c r="AG16" s="1903"/>
      <c r="AH16" s="1898" t="s">
        <v>1179</v>
      </c>
      <c r="AI16" s="1905"/>
      <c r="AJ16" s="1905"/>
      <c r="AK16" s="1906"/>
      <c r="AL16" s="1752"/>
      <c r="AM16" s="1733">
        <v>239</v>
      </c>
      <c r="AN16" s="1710"/>
      <c r="AO16" s="1710"/>
      <c r="AP16" s="1911"/>
      <c r="AQ16" s="1913" t="s">
        <v>45</v>
      </c>
      <c r="AR16" s="1893"/>
      <c r="AS16" s="1913"/>
      <c r="AT16" s="1899"/>
    </row>
    <row r="17" spans="1:46" ht="29.25" customHeight="1" x14ac:dyDescent="0.3">
      <c r="A17" s="2260">
        <v>46030</v>
      </c>
      <c r="B17" s="1244">
        <v>1</v>
      </c>
      <c r="C17" s="1728">
        <v>10</v>
      </c>
      <c r="D17" s="1794"/>
      <c r="E17" s="1795">
        <v>12</v>
      </c>
      <c r="F17" s="1796"/>
      <c r="G17" s="1900" t="s">
        <v>165</v>
      </c>
      <c r="H17" s="1753"/>
      <c r="I17" s="1894" t="s">
        <v>152</v>
      </c>
      <c r="J17" s="1895"/>
      <c r="K17" s="332"/>
      <c r="L17" s="1801"/>
      <c r="M17" s="1734"/>
      <c r="N17" s="1734"/>
      <c r="O17" s="1796"/>
      <c r="P17" s="1797"/>
      <c r="Q17" s="1798"/>
      <c r="R17" s="1723"/>
      <c r="S17" s="1743"/>
      <c r="T17" s="332"/>
      <c r="U17" s="1733">
        <v>132</v>
      </c>
      <c r="V17" s="1710"/>
      <c r="W17" s="1710"/>
      <c r="X17" s="1730"/>
      <c r="Y17" s="1731" t="s">
        <v>45</v>
      </c>
      <c r="Z17" s="1753"/>
      <c r="AA17" s="1783"/>
      <c r="AB17" s="1743"/>
      <c r="AC17" s="332"/>
      <c r="AD17" s="1733"/>
      <c r="AE17" s="1710"/>
      <c r="AF17" s="1710"/>
      <c r="AG17" s="1903"/>
      <c r="AH17" s="1898"/>
      <c r="AI17" s="1898"/>
      <c r="AJ17" s="1899"/>
      <c r="AK17" s="1899"/>
      <c r="AL17" s="1726"/>
      <c r="AM17" s="1733"/>
      <c r="AN17" s="1710"/>
      <c r="AO17" s="1768">
        <v>10</v>
      </c>
      <c r="AP17" s="1911"/>
      <c r="AQ17" s="1898"/>
      <c r="AR17" s="1899"/>
      <c r="AS17" s="1906" t="s">
        <v>388</v>
      </c>
      <c r="AT17" s="1899"/>
    </row>
    <row r="18" spans="1:46" ht="29.25" customHeight="1" x14ac:dyDescent="0.3">
      <c r="A18" s="2261"/>
      <c r="B18" s="1218">
        <v>2</v>
      </c>
      <c r="C18" s="1728"/>
      <c r="D18" s="1729"/>
      <c r="E18" s="1729"/>
      <c r="F18" s="1730"/>
      <c r="G18" s="1788"/>
      <c r="H18" s="1891"/>
      <c r="I18" s="1799"/>
      <c r="J18" s="1800"/>
      <c r="K18" s="332"/>
      <c r="L18" s="1733">
        <v>19</v>
      </c>
      <c r="M18" s="1710"/>
      <c r="N18" s="1710"/>
      <c r="O18" s="1730"/>
      <c r="P18" s="1731" t="s">
        <v>1082</v>
      </c>
      <c r="Q18" s="1723"/>
      <c r="R18" s="1714"/>
      <c r="S18" s="1743"/>
      <c r="T18" s="332"/>
      <c r="U18" s="1733">
        <v>27</v>
      </c>
      <c r="V18" s="1710"/>
      <c r="W18" s="1729">
        <v>13</v>
      </c>
      <c r="X18" s="1730"/>
      <c r="Y18" s="1731" t="s">
        <v>1082</v>
      </c>
      <c r="Z18" s="1723"/>
      <c r="AA18" s="1738" t="s">
        <v>388</v>
      </c>
      <c r="AB18" s="1743"/>
      <c r="AC18" s="332"/>
      <c r="AD18" s="1733"/>
      <c r="AE18" s="1710"/>
      <c r="AF18" s="1710"/>
      <c r="AG18" s="1903"/>
      <c r="AH18" s="1899"/>
      <c r="AI18" s="1899"/>
      <c r="AJ18" s="1898"/>
      <c r="AK18" s="1743"/>
      <c r="AL18" s="1726"/>
      <c r="AM18" s="1733"/>
      <c r="AN18" s="1710"/>
      <c r="AO18" s="1768"/>
      <c r="AP18" s="1910"/>
      <c r="AQ18" s="1899"/>
      <c r="AR18" s="1893"/>
      <c r="AS18" s="1893"/>
      <c r="AT18" s="1899"/>
    </row>
    <row r="19" spans="1:46" ht="30" customHeight="1" x14ac:dyDescent="0.3">
      <c r="A19" s="2260">
        <v>46031</v>
      </c>
      <c r="B19" s="1218">
        <v>1</v>
      </c>
      <c r="C19" s="332"/>
      <c r="D19" s="1729"/>
      <c r="E19" s="1729"/>
      <c r="F19" s="1730"/>
      <c r="G19" s="1784"/>
      <c r="H19" s="1710"/>
      <c r="I19" s="1737"/>
      <c r="J19" s="1743"/>
      <c r="K19" s="332"/>
      <c r="L19" s="1733"/>
      <c r="M19" s="1710"/>
      <c r="N19" s="1710"/>
      <c r="O19" s="1730"/>
      <c r="P19" s="1733"/>
      <c r="Q19" s="1710"/>
      <c r="R19" s="1710"/>
      <c r="S19" s="1743"/>
      <c r="T19" s="332"/>
      <c r="U19" s="1733"/>
      <c r="V19" s="1710"/>
      <c r="W19" s="1710">
        <v>10</v>
      </c>
      <c r="X19" s="1730"/>
      <c r="Y19" s="1733"/>
      <c r="Z19" s="1725"/>
      <c r="AA19" s="1783" t="s">
        <v>152</v>
      </c>
      <c r="AB19" s="1743"/>
      <c r="AC19" s="332"/>
      <c r="AD19" s="1733"/>
      <c r="AE19" s="1710"/>
      <c r="AF19" s="1710"/>
      <c r="AG19" s="1903"/>
      <c r="AH19" s="1905"/>
      <c r="AI19" s="1905"/>
      <c r="AJ19" s="1906"/>
      <c r="AK19" s="1899"/>
      <c r="AL19" s="1726"/>
      <c r="AM19" s="1733"/>
      <c r="AN19" s="1710"/>
      <c r="AO19" s="1710"/>
      <c r="AP19" s="1903"/>
      <c r="AQ19" s="1905"/>
      <c r="AR19" s="1905"/>
      <c r="AS19" s="1899"/>
      <c r="AT19" s="1899"/>
    </row>
    <row r="20" spans="1:46" ht="30.75" customHeight="1" x14ac:dyDescent="0.3">
      <c r="A20" s="2261"/>
      <c r="B20" s="1218">
        <v>2</v>
      </c>
      <c r="C20" s="1728">
        <v>127</v>
      </c>
      <c r="D20" s="1729"/>
      <c r="E20" s="1729"/>
      <c r="F20" s="1730"/>
      <c r="G20" s="1784" t="s">
        <v>45</v>
      </c>
      <c r="H20" s="1725"/>
      <c r="I20" s="1737"/>
      <c r="J20" s="1743"/>
      <c r="K20" s="332"/>
      <c r="L20" s="1733"/>
      <c r="M20" s="1710"/>
      <c r="N20" s="1710"/>
      <c r="O20" s="1730"/>
      <c r="P20" s="1784"/>
      <c r="Q20" s="1725"/>
      <c r="R20" s="1714"/>
      <c r="S20" s="1743"/>
      <c r="T20" s="332"/>
      <c r="U20" s="1733"/>
      <c r="V20" s="1710"/>
      <c r="W20" s="1710"/>
      <c r="X20" s="1730"/>
      <c r="Y20" s="1784"/>
      <c r="Z20" s="1725"/>
      <c r="AA20" s="1723"/>
      <c r="AB20" s="1743"/>
      <c r="AC20" s="332"/>
      <c r="AD20" s="1733"/>
      <c r="AE20" s="1710"/>
      <c r="AF20" s="1710"/>
      <c r="AG20" s="1903"/>
      <c r="AH20" s="1906"/>
      <c r="AI20" s="1906"/>
      <c r="AJ20" s="1894"/>
      <c r="AK20" s="1899"/>
      <c r="AL20" s="1726"/>
      <c r="AM20" s="1733"/>
      <c r="AN20" s="1710"/>
      <c r="AO20" s="1710"/>
      <c r="AP20" s="1903"/>
      <c r="AQ20" s="1906"/>
      <c r="AR20" s="1906"/>
      <c r="AS20" s="1894"/>
      <c r="AT20" s="1899"/>
    </row>
    <row r="21" spans="1:46" ht="37.5" customHeight="1" x14ac:dyDescent="0.3">
      <c r="A21" s="2260">
        <v>46032</v>
      </c>
      <c r="B21" s="1218">
        <v>1</v>
      </c>
      <c r="C21" s="1728">
        <v>32</v>
      </c>
      <c r="D21" s="1729"/>
      <c r="E21" s="1729"/>
      <c r="F21" s="1730"/>
      <c r="G21" s="1789" t="s">
        <v>1180</v>
      </c>
      <c r="H21" s="1713"/>
      <c r="I21" s="1737"/>
      <c r="J21" s="1790"/>
      <c r="K21" s="332"/>
      <c r="L21" s="1733"/>
      <c r="M21" s="1710"/>
      <c r="N21" s="1710"/>
      <c r="O21" s="1730"/>
      <c r="P21" s="1733"/>
      <c r="Q21" s="1725"/>
      <c r="R21" s="1710"/>
      <c r="S21" s="1790"/>
      <c r="T21" s="332"/>
      <c r="U21" s="1733"/>
      <c r="V21" s="1710"/>
      <c r="W21" s="1710">
        <v>31</v>
      </c>
      <c r="X21" s="1730"/>
      <c r="Y21" s="1784"/>
      <c r="Z21" s="1710"/>
      <c r="AA21" s="1783" t="s">
        <v>388</v>
      </c>
      <c r="AB21" s="1790"/>
      <c r="AC21" s="332"/>
      <c r="AD21" s="1733"/>
      <c r="AE21" s="1710"/>
      <c r="AF21" s="1710">
        <v>11</v>
      </c>
      <c r="AG21" s="1903"/>
      <c r="AH21" s="1905"/>
      <c r="AI21" s="1905"/>
      <c r="AJ21" s="1906" t="s">
        <v>388</v>
      </c>
      <c r="AK21" s="1909"/>
      <c r="AL21" s="1726"/>
      <c r="AM21" s="1733"/>
      <c r="AN21" s="1710"/>
      <c r="AO21" s="1710"/>
      <c r="AP21" s="1903"/>
      <c r="AQ21" s="1905"/>
      <c r="AR21" s="1906"/>
      <c r="AS21" s="1906"/>
      <c r="AT21" s="1899"/>
    </row>
    <row r="22" spans="1:46" ht="30.75" customHeight="1" x14ac:dyDescent="0.3">
      <c r="A22" s="2261"/>
      <c r="B22" s="1218">
        <v>2</v>
      </c>
      <c r="C22" s="1728"/>
      <c r="D22" s="1729"/>
      <c r="E22" s="1729"/>
      <c r="F22" s="1730"/>
      <c r="G22" s="1788"/>
      <c r="H22" s="1723"/>
      <c r="I22" s="1714"/>
      <c r="J22" s="1743"/>
      <c r="K22" s="332"/>
      <c r="L22" s="1733">
        <v>196</v>
      </c>
      <c r="M22" s="1710"/>
      <c r="N22" s="1710"/>
      <c r="O22" s="1730"/>
      <c r="P22" s="2075" t="s">
        <v>113</v>
      </c>
      <c r="Q22" s="1723"/>
      <c r="R22" s="1710"/>
      <c r="S22" s="1743"/>
      <c r="T22" s="332"/>
      <c r="U22" s="1733"/>
      <c r="V22" s="1710"/>
      <c r="W22" s="1710"/>
      <c r="X22" s="1730"/>
      <c r="Y22" s="1784"/>
      <c r="Z22" s="1723"/>
      <c r="AA22" s="1738"/>
      <c r="AB22" s="1743"/>
      <c r="AC22" s="332"/>
      <c r="AD22" s="1733"/>
      <c r="AE22" s="1710"/>
      <c r="AF22" s="1710"/>
      <c r="AG22" s="1903"/>
      <c r="AH22" s="1905"/>
      <c r="AI22" s="1905"/>
      <c r="AJ22" s="1899"/>
      <c r="AK22" s="1899"/>
      <c r="AL22" s="1726"/>
      <c r="AM22" s="1733"/>
      <c r="AN22" s="1710"/>
      <c r="AO22" s="1710"/>
      <c r="AP22" s="1903"/>
      <c r="AQ22" s="1905"/>
      <c r="AR22" s="1899"/>
      <c r="AS22" s="1905"/>
      <c r="AT22" s="1899"/>
    </row>
    <row r="23" spans="1:46" ht="29.25" customHeight="1" x14ac:dyDescent="0.3">
      <c r="A23" s="2260">
        <v>46033</v>
      </c>
      <c r="B23" s="1244">
        <v>1</v>
      </c>
      <c r="C23" s="1728"/>
      <c r="D23" s="1729"/>
      <c r="E23" s="1729"/>
      <c r="F23" s="1730"/>
      <c r="G23" s="1788"/>
      <c r="H23" s="1713"/>
      <c r="I23" s="1737"/>
      <c r="J23" s="1743"/>
      <c r="K23" s="332"/>
      <c r="L23" s="1733"/>
      <c r="M23" s="1710"/>
      <c r="N23" s="1710"/>
      <c r="O23" s="1730"/>
      <c r="P23" s="1712"/>
      <c r="Q23" s="1713"/>
      <c r="R23" s="1723"/>
      <c r="S23" s="1743"/>
      <c r="T23" s="332"/>
      <c r="U23" s="1733"/>
      <c r="V23" s="1710"/>
      <c r="W23" s="1710"/>
      <c r="X23" s="1730"/>
      <c r="Y23" s="1784"/>
      <c r="Z23" s="1714"/>
      <c r="AA23" s="1783"/>
      <c r="AB23" s="1743"/>
      <c r="AC23" s="332"/>
      <c r="AD23" s="1733"/>
      <c r="AE23" s="1710"/>
      <c r="AF23" s="2074"/>
      <c r="AG23" s="1903"/>
      <c r="AH23" s="1905"/>
      <c r="AI23" s="1898"/>
      <c r="AJ23" s="1898"/>
      <c r="AK23" s="1899"/>
      <c r="AL23" s="1726"/>
      <c r="AM23" s="1733"/>
      <c r="AN23" s="1710"/>
      <c r="AO23" s="1710"/>
      <c r="AP23" s="1903"/>
      <c r="AQ23" s="1905"/>
      <c r="AR23" s="1906"/>
      <c r="AS23" s="1899"/>
      <c r="AT23" s="1899"/>
    </row>
    <row r="24" spans="1:46" ht="29.25" customHeight="1" x14ac:dyDescent="0.3">
      <c r="A24" s="2261"/>
      <c r="B24" s="1218">
        <v>2</v>
      </c>
      <c r="C24" s="1728"/>
      <c r="D24" s="1729"/>
      <c r="E24" s="1729"/>
      <c r="F24" s="1730"/>
      <c r="G24" s="1788"/>
      <c r="H24" s="1723"/>
      <c r="I24" s="1737"/>
      <c r="J24" s="1743"/>
      <c r="K24" s="332"/>
      <c r="L24" s="1733"/>
      <c r="M24" s="1710"/>
      <c r="N24" s="1710"/>
      <c r="O24" s="1730"/>
      <c r="P24" s="1712"/>
      <c r="Q24" s="1713"/>
      <c r="R24" s="1723"/>
      <c r="S24" s="1743"/>
      <c r="T24" s="1785"/>
      <c r="U24" s="2077"/>
      <c r="V24" s="1786">
        <v>218</v>
      </c>
      <c r="W24" s="1783" t="s">
        <v>1114</v>
      </c>
      <c r="X24" s="1730"/>
      <c r="Y24" s="1714"/>
      <c r="Z24" s="1713" t="s">
        <v>1182</v>
      </c>
      <c r="AA24" s="1783" t="s">
        <v>152</v>
      </c>
      <c r="AB24" s="1743"/>
      <c r="AC24" s="332"/>
      <c r="AD24" s="1733"/>
      <c r="AE24" s="1710"/>
      <c r="AF24" s="2077">
        <v>9</v>
      </c>
      <c r="AG24" s="1903"/>
      <c r="AH24" s="1894"/>
      <c r="AI24" s="1898"/>
      <c r="AJ24" s="1899" t="s">
        <v>152</v>
      </c>
      <c r="AK24" s="1899"/>
      <c r="AL24" s="1726"/>
      <c r="AM24" s="1733"/>
      <c r="AN24" s="1710"/>
      <c r="AO24" s="1710">
        <v>10</v>
      </c>
      <c r="AP24" s="1903"/>
      <c r="AQ24" s="1898"/>
      <c r="AR24" s="1906"/>
      <c r="AS24" s="1899" t="s">
        <v>152</v>
      </c>
      <c r="AT24" s="1899"/>
    </row>
    <row r="25" spans="1:46" ht="30" customHeight="1" x14ac:dyDescent="0.3">
      <c r="A25" s="2260">
        <v>46034</v>
      </c>
      <c r="B25" s="1218">
        <v>1</v>
      </c>
      <c r="C25" s="1728"/>
      <c r="D25" s="1729">
        <v>12</v>
      </c>
      <c r="E25" s="1729"/>
      <c r="F25" s="1730"/>
      <c r="G25" s="1712"/>
      <c r="H25" s="1710" t="s">
        <v>1175</v>
      </c>
      <c r="I25" s="1737"/>
      <c r="J25" s="1743"/>
      <c r="K25" s="332"/>
      <c r="L25" s="1733"/>
      <c r="M25" s="1710"/>
      <c r="N25" s="1710"/>
      <c r="O25" s="1730"/>
      <c r="P25" s="1733"/>
      <c r="Q25" s="1713"/>
      <c r="R25" s="1710"/>
      <c r="S25" s="1743"/>
      <c r="T25" s="332"/>
      <c r="U25" s="1733"/>
      <c r="V25" s="1710"/>
      <c r="W25" s="1710"/>
      <c r="X25" s="1730"/>
      <c r="Y25" s="1784"/>
      <c r="Z25" s="1725"/>
      <c r="AA25" s="1783"/>
      <c r="AB25" s="1743"/>
      <c r="AC25" s="332"/>
      <c r="AD25" s="1733"/>
      <c r="AE25" s="1710"/>
      <c r="AF25" s="1710"/>
      <c r="AG25" s="1903"/>
      <c r="AH25" s="1905"/>
      <c r="AI25" s="1906"/>
      <c r="AJ25" s="1899"/>
      <c r="AK25" s="1899"/>
      <c r="AL25" s="1726"/>
      <c r="AM25" s="1733"/>
      <c r="AN25" s="1710"/>
      <c r="AO25" s="1710"/>
      <c r="AP25" s="1903"/>
      <c r="AQ25" s="1905"/>
      <c r="AR25" s="1906"/>
      <c r="AS25" s="1899"/>
      <c r="AT25" s="1899"/>
    </row>
    <row r="26" spans="1:46" ht="30" customHeight="1" x14ac:dyDescent="0.3">
      <c r="A26" s="2261"/>
      <c r="B26" s="1218">
        <v>2</v>
      </c>
      <c r="C26" s="1728"/>
      <c r="D26" s="1729"/>
      <c r="E26" s="1729">
        <v>7</v>
      </c>
      <c r="F26" s="1730"/>
      <c r="G26" s="1712"/>
      <c r="H26" s="1723"/>
      <c r="I26" s="1737" t="s">
        <v>152</v>
      </c>
      <c r="J26" s="1743"/>
      <c r="K26" s="332"/>
      <c r="L26" s="1733"/>
      <c r="M26" s="1710"/>
      <c r="N26" s="1710"/>
      <c r="O26" s="1730"/>
      <c r="P26" s="1712"/>
      <c r="Q26" s="1723"/>
      <c r="R26" s="1749"/>
      <c r="S26" s="1743"/>
      <c r="T26" s="332"/>
      <c r="U26" s="1733"/>
      <c r="V26" s="1729">
        <v>26</v>
      </c>
      <c r="W26" s="1710"/>
      <c r="X26" s="1730"/>
      <c r="Y26" s="1714"/>
      <c r="Z26" s="1723"/>
      <c r="AA26" s="1783" t="s">
        <v>152</v>
      </c>
      <c r="AB26" s="1743"/>
      <c r="AC26" s="332"/>
      <c r="AD26" s="1733">
        <v>315</v>
      </c>
      <c r="AE26" s="1729">
        <v>183</v>
      </c>
      <c r="AF26" s="1710"/>
      <c r="AG26" s="1903"/>
      <c r="AH26" s="1894" t="s">
        <v>1183</v>
      </c>
      <c r="AI26" s="1899" t="s">
        <v>1184</v>
      </c>
      <c r="AJ26" s="1899"/>
      <c r="AK26" s="1899"/>
      <c r="AL26" s="1726"/>
      <c r="AM26" s="1733"/>
      <c r="AN26" s="1729"/>
      <c r="AO26" s="1710"/>
      <c r="AP26" s="1903"/>
      <c r="AQ26" s="1898"/>
      <c r="AR26" s="1899"/>
      <c r="AS26" s="1899"/>
      <c r="AT26" s="1899"/>
    </row>
    <row r="27" spans="1:46" ht="29.25" customHeight="1" x14ac:dyDescent="0.3">
      <c r="A27" s="2260">
        <v>46035</v>
      </c>
      <c r="B27" s="1244">
        <v>1</v>
      </c>
      <c r="C27" s="1728"/>
      <c r="D27" s="1729"/>
      <c r="E27" s="1729"/>
      <c r="F27" s="1730"/>
      <c r="G27" s="1712"/>
      <c r="H27" s="1713"/>
      <c r="I27" s="1737"/>
      <c r="J27" s="1743"/>
      <c r="K27" s="332"/>
      <c r="L27" s="1733"/>
      <c r="M27" s="1710"/>
      <c r="N27" s="1710"/>
      <c r="O27" s="1730"/>
      <c r="P27" s="1712"/>
      <c r="Q27" s="1713"/>
      <c r="R27" s="1723"/>
      <c r="S27" s="1743"/>
      <c r="T27" s="332"/>
      <c r="U27" s="1733"/>
      <c r="V27" s="1710"/>
      <c r="W27" s="1710"/>
      <c r="X27" s="1730"/>
      <c r="Y27" s="1712"/>
      <c r="Z27" s="1723"/>
      <c r="AA27" s="1783"/>
      <c r="AB27" s="1743"/>
      <c r="AC27" s="332"/>
      <c r="AD27" s="1733"/>
      <c r="AE27" s="1710"/>
      <c r="AF27" s="1710"/>
      <c r="AG27" s="1903"/>
      <c r="AH27" s="1898"/>
      <c r="AI27" s="1906"/>
      <c r="AJ27" s="1899"/>
      <c r="AK27" s="1899"/>
      <c r="AL27" s="1726"/>
      <c r="AM27" s="1733"/>
      <c r="AN27" s="1710"/>
      <c r="AO27" s="1710"/>
      <c r="AP27" s="1903"/>
      <c r="AQ27" s="1906"/>
      <c r="AR27" s="1905"/>
      <c r="AS27" s="1899"/>
      <c r="AT27" s="1899"/>
    </row>
    <row r="28" spans="1:46" ht="30" customHeight="1" x14ac:dyDescent="0.3">
      <c r="A28" s="2261"/>
      <c r="B28" s="1218">
        <v>2</v>
      </c>
      <c r="C28" s="1728"/>
      <c r="D28" s="1729"/>
      <c r="E28" s="1729"/>
      <c r="F28" s="1730"/>
      <c r="G28" s="1723"/>
      <c r="H28" s="1723"/>
      <c r="I28" s="1749"/>
      <c r="J28" s="1743"/>
      <c r="K28" s="332"/>
      <c r="L28" s="1733"/>
      <c r="M28" s="1710"/>
      <c r="N28" s="1710"/>
      <c r="O28" s="1730"/>
      <c r="P28" s="1723"/>
      <c r="Q28" s="1723"/>
      <c r="R28" s="1723"/>
      <c r="S28" s="1743"/>
      <c r="T28" s="332"/>
      <c r="U28" s="1733"/>
      <c r="V28" s="1710">
        <v>180</v>
      </c>
      <c r="W28" s="332"/>
      <c r="X28" s="1730"/>
      <c r="Y28" s="1723"/>
      <c r="Z28" s="1710" t="s">
        <v>1182</v>
      </c>
      <c r="AA28" s="1783"/>
      <c r="AB28" s="1743"/>
      <c r="AC28" s="332"/>
      <c r="AD28" s="1733"/>
      <c r="AE28" s="1710"/>
      <c r="AF28" s="1710"/>
      <c r="AG28" s="1903"/>
      <c r="AH28" s="1898"/>
      <c r="AI28" s="1906"/>
      <c r="AJ28" s="1906"/>
      <c r="AK28" s="1899"/>
      <c r="AL28" s="1726"/>
      <c r="AM28" s="1733">
        <v>29</v>
      </c>
      <c r="AN28" s="1710"/>
      <c r="AO28" s="1710"/>
      <c r="AP28" s="1903"/>
      <c r="AQ28" s="1906" t="s">
        <v>1093</v>
      </c>
      <c r="AR28" s="1905"/>
      <c r="AS28" s="1899"/>
      <c r="AT28" s="1899"/>
    </row>
    <row r="29" spans="1:46" ht="30" customHeight="1" x14ac:dyDescent="0.3">
      <c r="A29" s="2260">
        <v>46036</v>
      </c>
      <c r="B29" s="1218">
        <v>1</v>
      </c>
      <c r="C29" s="1728"/>
      <c r="D29" s="1729"/>
      <c r="E29" s="1729"/>
      <c r="F29" s="1730"/>
      <c r="G29" s="1723"/>
      <c r="H29" s="1713"/>
      <c r="I29" s="1749"/>
      <c r="J29" s="1743"/>
      <c r="K29" s="332"/>
      <c r="L29" s="1733"/>
      <c r="M29" s="1710"/>
      <c r="N29" s="1710"/>
      <c r="O29" s="1730"/>
      <c r="P29" s="1712"/>
      <c r="Q29" s="1723"/>
      <c r="R29" s="1723"/>
      <c r="S29" s="1743"/>
      <c r="T29" s="332"/>
      <c r="U29" s="1733"/>
      <c r="V29" s="1710"/>
      <c r="W29" s="1710"/>
      <c r="X29" s="1730"/>
      <c r="Y29" s="1723"/>
      <c r="Z29" s="1713"/>
      <c r="AA29" s="1738"/>
      <c r="AB29" s="1743"/>
      <c r="AC29" s="332"/>
      <c r="AD29" s="1733"/>
      <c r="AE29" s="1710"/>
      <c r="AF29" s="1710">
        <v>15</v>
      </c>
      <c r="AG29" s="1903"/>
      <c r="AH29" s="1898"/>
      <c r="AI29" s="1898"/>
      <c r="AJ29" s="1905" t="s">
        <v>388</v>
      </c>
      <c r="AK29" s="1899"/>
      <c r="AL29" s="1726"/>
      <c r="AM29" s="1733"/>
      <c r="AN29" s="1710"/>
      <c r="AO29" s="1710"/>
      <c r="AP29" s="1903"/>
      <c r="AQ29" s="1906"/>
      <c r="AR29" s="1898"/>
      <c r="AS29" s="1905"/>
      <c r="AT29" s="1899"/>
    </row>
    <row r="30" spans="1:46" ht="29.25" customHeight="1" x14ac:dyDescent="0.3">
      <c r="A30" s="2261"/>
      <c r="B30" s="1244">
        <v>2</v>
      </c>
      <c r="C30" s="1728"/>
      <c r="D30" s="1729"/>
      <c r="E30" s="1729"/>
      <c r="F30" s="1730"/>
      <c r="G30" s="1723"/>
      <c r="H30" s="1713"/>
      <c r="I30" s="1738"/>
      <c r="J30" s="1851"/>
      <c r="K30" s="332"/>
      <c r="L30" s="1733"/>
      <c r="M30" s="1710"/>
      <c r="N30" s="1710"/>
      <c r="O30" s="1730"/>
      <c r="P30" s="1712"/>
      <c r="Q30" s="1723"/>
      <c r="R30" s="1723"/>
      <c r="S30" s="1851"/>
      <c r="T30" s="332"/>
      <c r="U30" s="1733"/>
      <c r="V30" s="1710"/>
      <c r="W30" s="1710">
        <v>10</v>
      </c>
      <c r="X30" s="1730"/>
      <c r="Y30" s="2027"/>
      <c r="Z30" s="2028"/>
      <c r="AA30" s="1783" t="s">
        <v>152</v>
      </c>
      <c r="AB30" s="1851"/>
      <c r="AC30" s="332"/>
      <c r="AD30" s="1733"/>
      <c r="AE30" s="1710"/>
      <c r="AF30" s="1710"/>
      <c r="AG30" s="1903"/>
      <c r="AH30" s="1898"/>
      <c r="AI30" s="1899"/>
      <c r="AJ30" s="1905"/>
      <c r="AK30" s="2030"/>
      <c r="AL30" s="1726"/>
      <c r="AM30" s="1733"/>
      <c r="AN30" s="1710"/>
      <c r="AO30" s="1710"/>
      <c r="AP30" s="1903"/>
      <c r="AQ30" s="1906"/>
      <c r="AR30" s="1898"/>
      <c r="AS30" s="1905"/>
      <c r="AT30" s="2031"/>
    </row>
    <row r="31" spans="1:46" ht="30.75" customHeight="1" x14ac:dyDescent="0.3">
      <c r="A31" s="2260">
        <v>46037</v>
      </c>
      <c r="B31" s="1218">
        <v>1</v>
      </c>
      <c r="C31" s="1728"/>
      <c r="D31" s="1729"/>
      <c r="E31" s="1729">
        <v>15</v>
      </c>
      <c r="F31" s="1730"/>
      <c r="G31" s="1712"/>
      <c r="H31" s="1744"/>
      <c r="I31" s="1821" t="s">
        <v>152</v>
      </c>
      <c r="J31" s="1743"/>
      <c r="K31" s="332"/>
      <c r="L31" s="1733"/>
      <c r="M31" s="1710"/>
      <c r="N31" s="1710"/>
      <c r="O31" s="1730"/>
      <c r="P31" s="2078"/>
      <c r="Q31" s="1710"/>
      <c r="R31" s="1710"/>
      <c r="S31" s="1743"/>
      <c r="T31" s="332"/>
      <c r="U31" s="1733"/>
      <c r="V31" s="1710"/>
      <c r="W31" s="1710">
        <v>14</v>
      </c>
      <c r="X31" s="1730"/>
      <c r="Y31" s="2079"/>
      <c r="Z31" s="1822"/>
      <c r="AA31" s="1783" t="s">
        <v>152</v>
      </c>
      <c r="AB31" s="1752"/>
      <c r="AC31" s="332"/>
      <c r="AD31" s="1733"/>
      <c r="AE31" s="1710"/>
      <c r="AF31" s="1710"/>
      <c r="AG31" s="1903"/>
      <c r="AH31" s="1898"/>
      <c r="AI31" s="1905"/>
      <c r="AJ31" s="1905"/>
      <c r="AK31" s="1899"/>
      <c r="AL31" s="1726"/>
      <c r="AM31" s="1733"/>
      <c r="AN31" s="1710"/>
      <c r="AO31" s="1710"/>
      <c r="AP31" s="1903"/>
      <c r="AQ31" s="1905"/>
      <c r="AR31" s="1898"/>
      <c r="AS31" s="1905"/>
      <c r="AT31" s="1906"/>
    </row>
    <row r="32" spans="1:46" ht="29.25" customHeight="1" x14ac:dyDescent="0.3">
      <c r="A32" s="2261"/>
      <c r="B32" s="1218">
        <v>2</v>
      </c>
      <c r="C32" s="1827"/>
      <c r="D32" s="1758"/>
      <c r="E32" s="1729">
        <v>20</v>
      </c>
      <c r="F32" s="1758"/>
      <c r="G32" s="1712"/>
      <c r="H32" s="1744"/>
      <c r="I32" s="1821" t="s">
        <v>1121</v>
      </c>
      <c r="J32" s="1743"/>
      <c r="K32" s="332"/>
      <c r="L32" s="1733"/>
      <c r="M32" s="1710"/>
      <c r="N32" s="1710"/>
      <c r="O32" s="1710"/>
      <c r="P32" s="2080"/>
      <c r="Q32" s="1744"/>
      <c r="R32" s="2080"/>
      <c r="S32" s="1743"/>
      <c r="T32" s="332"/>
      <c r="U32" s="1733"/>
      <c r="V32" s="1710"/>
      <c r="W32" s="1729">
        <v>43</v>
      </c>
      <c r="X32" s="1710"/>
      <c r="Y32" s="1816"/>
      <c r="Z32" s="1828"/>
      <c r="AA32" s="1825" t="s">
        <v>1132</v>
      </c>
      <c r="AB32" s="1752"/>
      <c r="AC32" s="332"/>
      <c r="AD32" s="1733"/>
      <c r="AE32" s="1710"/>
      <c r="AF32" s="1729"/>
      <c r="AG32" s="1782"/>
      <c r="AH32" s="1898"/>
      <c r="AI32" s="1899"/>
      <c r="AJ32" s="1906"/>
      <c r="AK32" s="1899"/>
      <c r="AL32" s="1726"/>
      <c r="AM32" s="1733"/>
      <c r="AN32" s="1710"/>
      <c r="AO32" s="1710">
        <v>35</v>
      </c>
      <c r="AP32" s="1903"/>
      <c r="AQ32" s="1905"/>
      <c r="AR32" s="1898"/>
      <c r="AS32" s="1899" t="s">
        <v>388</v>
      </c>
      <c r="AT32" s="1906"/>
    </row>
    <row r="33" spans="1:47" ht="29.25" customHeight="1" x14ac:dyDescent="0.3">
      <c r="A33" s="2260">
        <v>46038</v>
      </c>
      <c r="B33" s="1218">
        <v>1</v>
      </c>
      <c r="C33" s="1728"/>
      <c r="D33" s="1729"/>
      <c r="E33" s="1729">
        <v>63</v>
      </c>
      <c r="F33" s="1730"/>
      <c r="G33" s="1712"/>
      <c r="H33" s="1744"/>
      <c r="I33" s="1821" t="s">
        <v>1121</v>
      </c>
      <c r="J33" s="1743"/>
      <c r="K33" s="332"/>
      <c r="L33" s="1733"/>
      <c r="M33" s="1710"/>
      <c r="N33" s="1710"/>
      <c r="O33" s="1730"/>
      <c r="P33" s="2080"/>
      <c r="Q33" s="1710"/>
      <c r="R33" s="1710"/>
      <c r="S33" s="1743"/>
      <c r="T33" s="332"/>
      <c r="U33" s="1733"/>
      <c r="V33" s="1710"/>
      <c r="W33" s="1710">
        <v>26</v>
      </c>
      <c r="X33" s="1730"/>
      <c r="Y33" s="2080"/>
      <c r="Z33" s="1734"/>
      <c r="AA33" s="1825" t="s">
        <v>388</v>
      </c>
      <c r="AB33" s="1743"/>
      <c r="AC33" s="332"/>
      <c r="AD33" s="1733"/>
      <c r="AE33" s="1710"/>
      <c r="AF33" s="1710"/>
      <c r="AG33" s="1903"/>
      <c r="AH33" s="1905"/>
      <c r="AI33" s="1906"/>
      <c r="AJ33" s="1906"/>
      <c r="AK33" s="1899"/>
      <c r="AL33" s="1726"/>
      <c r="AM33" s="1733"/>
      <c r="AN33" s="1710"/>
      <c r="AO33" s="1710"/>
      <c r="AP33" s="1903"/>
      <c r="AQ33" s="1905"/>
      <c r="AR33" s="1906"/>
      <c r="AS33" s="1905"/>
      <c r="AT33" s="1906"/>
    </row>
    <row r="34" spans="1:47" ht="30" customHeight="1" x14ac:dyDescent="0.3">
      <c r="A34" s="2261"/>
      <c r="B34" s="1244">
        <v>2</v>
      </c>
      <c r="C34" s="1729"/>
      <c r="D34" s="1729"/>
      <c r="E34" s="1729">
        <v>20</v>
      </c>
      <c r="F34" s="1730"/>
      <c r="G34" s="1731"/>
      <c r="H34" s="1723"/>
      <c r="I34" s="1738" t="s">
        <v>1081</v>
      </c>
      <c r="J34" s="1743"/>
      <c r="K34" s="332"/>
      <c r="L34" s="1733"/>
      <c r="M34" s="1710"/>
      <c r="N34" s="1710"/>
      <c r="O34" s="1730"/>
      <c r="P34" s="2080"/>
      <c r="Q34" s="1723"/>
      <c r="R34" s="1710"/>
      <c r="S34" s="1743"/>
      <c r="T34" s="332"/>
      <c r="U34" s="1733"/>
      <c r="V34" s="1710"/>
      <c r="W34" s="1710">
        <v>10</v>
      </c>
      <c r="X34" s="1730"/>
      <c r="Y34" s="1725"/>
      <c r="Z34" s="1725"/>
      <c r="AA34" s="1738" t="s">
        <v>152</v>
      </c>
      <c r="AB34" s="1743"/>
      <c r="AC34" s="332"/>
      <c r="AD34" s="1733"/>
      <c r="AE34" s="1710"/>
      <c r="AF34" s="1710"/>
      <c r="AG34" s="1903"/>
      <c r="AH34" s="1905"/>
      <c r="AI34" s="1905"/>
      <c r="AJ34" s="1906"/>
      <c r="AK34" s="1899"/>
      <c r="AL34" s="1726"/>
      <c r="AM34" s="1733"/>
      <c r="AN34" s="1710"/>
      <c r="AO34" s="1710"/>
      <c r="AP34" s="1903"/>
      <c r="AQ34" s="1905"/>
      <c r="AR34" s="1906"/>
      <c r="AS34" s="1906"/>
      <c r="AT34" s="1906"/>
    </row>
    <row r="35" spans="1:47" ht="29.25" customHeight="1" x14ac:dyDescent="0.3">
      <c r="A35" s="2260">
        <v>46039</v>
      </c>
      <c r="B35" s="1218">
        <v>1</v>
      </c>
      <c r="C35" s="1729"/>
      <c r="D35" s="1729"/>
      <c r="E35" s="1782"/>
      <c r="F35" s="1730"/>
      <c r="G35" s="1784"/>
      <c r="H35" s="2080"/>
      <c r="I35" s="1738"/>
      <c r="J35" s="1743"/>
      <c r="K35" s="332"/>
      <c r="L35" s="1733"/>
      <c r="M35" s="1710"/>
      <c r="N35" s="1710"/>
      <c r="O35" s="1730"/>
      <c r="P35" s="1784"/>
      <c r="Q35" s="1723"/>
      <c r="R35" s="1723"/>
      <c r="S35" s="1743"/>
      <c r="T35" s="332"/>
      <c r="U35" s="1733"/>
      <c r="V35" s="1710"/>
      <c r="W35" s="1782"/>
      <c r="X35" s="1730"/>
      <c r="Y35" s="1784"/>
      <c r="Z35" s="1725"/>
      <c r="AA35" s="1738"/>
      <c r="AB35" s="1743"/>
      <c r="AC35" s="332"/>
      <c r="AD35" s="1733"/>
      <c r="AE35" s="1710"/>
      <c r="AF35" s="1710">
        <v>48</v>
      </c>
      <c r="AG35" s="1903"/>
      <c r="AH35" s="1906"/>
      <c r="AI35" s="1905"/>
      <c r="AJ35" s="1899" t="s">
        <v>152</v>
      </c>
      <c r="AK35" s="1899"/>
      <c r="AL35" s="1726"/>
      <c r="AM35" s="1733"/>
      <c r="AN35" s="1710"/>
      <c r="AO35" s="1710"/>
      <c r="AP35" s="1903"/>
      <c r="AQ35" s="1905"/>
      <c r="AR35" s="1906"/>
      <c r="AS35" s="1906"/>
      <c r="AT35" s="1899"/>
    </row>
    <row r="36" spans="1:47" ht="46.9" customHeight="1" x14ac:dyDescent="0.3">
      <c r="A36" s="2261"/>
      <c r="B36" s="1218">
        <v>2</v>
      </c>
      <c r="C36" s="1782">
        <v>26</v>
      </c>
      <c r="D36" s="1710"/>
      <c r="E36" s="1782">
        <v>10</v>
      </c>
      <c r="F36" s="1730"/>
      <c r="G36" s="1749" t="s">
        <v>1055</v>
      </c>
      <c r="H36" s="1723"/>
      <c r="I36" s="1749" t="s">
        <v>388</v>
      </c>
      <c r="J36" s="1743"/>
      <c r="K36" s="332"/>
      <c r="L36" s="1784"/>
      <c r="M36" s="1710">
        <v>95</v>
      </c>
      <c r="N36" s="1710"/>
      <c r="O36" s="1730"/>
      <c r="P36" s="1784"/>
      <c r="Q36" s="1723" t="s">
        <v>1185</v>
      </c>
      <c r="R36" s="1725"/>
      <c r="S36" s="1743"/>
      <c r="T36" s="332"/>
      <c r="U36" s="1733">
        <v>13</v>
      </c>
      <c r="V36" s="1710"/>
      <c r="W36" s="1710">
        <v>10</v>
      </c>
      <c r="X36" s="1730"/>
      <c r="Y36" s="1784" t="s">
        <v>1082</v>
      </c>
      <c r="Z36" s="1723"/>
      <c r="AA36" s="1738" t="s">
        <v>388</v>
      </c>
      <c r="AB36" s="1743"/>
      <c r="AC36" s="332"/>
      <c r="AD36" s="1733"/>
      <c r="AE36" s="1710"/>
      <c r="AF36" s="1782"/>
      <c r="AG36" s="1903"/>
      <c r="AH36" s="1906"/>
      <c r="AI36" s="1906"/>
      <c r="AJ36" s="1906"/>
      <c r="AK36" s="1899"/>
      <c r="AL36" s="1726"/>
      <c r="AM36" s="1733">
        <v>147</v>
      </c>
      <c r="AN36" s="1710"/>
      <c r="AO36" s="1710"/>
      <c r="AP36" s="1903"/>
      <c r="AQ36" s="1905" t="s">
        <v>45</v>
      </c>
      <c r="AR36" s="1906"/>
      <c r="AS36" s="1906"/>
      <c r="AT36" s="1899"/>
    </row>
    <row r="37" spans="1:47" ht="40.5" customHeight="1" x14ac:dyDescent="0.3">
      <c r="A37" s="2260">
        <v>46040</v>
      </c>
      <c r="B37" s="1244">
        <v>1</v>
      </c>
      <c r="C37" s="1782"/>
      <c r="D37" s="1729"/>
      <c r="E37" s="1782">
        <v>34</v>
      </c>
      <c r="F37" s="1730"/>
      <c r="G37" s="1749"/>
      <c r="H37" s="1725"/>
      <c r="I37" s="1714" t="s">
        <v>152</v>
      </c>
      <c r="J37" s="1743"/>
      <c r="K37" s="332"/>
      <c r="L37" s="1733"/>
      <c r="M37" s="1710">
        <v>18</v>
      </c>
      <c r="N37" s="1710"/>
      <c r="O37" s="1730"/>
      <c r="P37" s="2081"/>
      <c r="Q37" s="1723" t="s">
        <v>1185</v>
      </c>
      <c r="R37" s="1710"/>
      <c r="S37" s="1743"/>
      <c r="T37" s="332"/>
      <c r="U37" s="1733"/>
      <c r="V37" s="1710"/>
      <c r="W37" s="1710">
        <v>30</v>
      </c>
      <c r="X37" s="1730"/>
      <c r="Y37" s="2081"/>
      <c r="Z37" s="1725"/>
      <c r="AA37" s="1738" t="s">
        <v>152</v>
      </c>
      <c r="AB37" s="1743"/>
      <c r="AC37" s="332"/>
      <c r="AD37" s="1733"/>
      <c r="AE37" s="1710"/>
      <c r="AF37" s="1710"/>
      <c r="AG37" s="1903"/>
      <c r="AH37" s="1906"/>
      <c r="AI37" s="1905"/>
      <c r="AJ37" s="1906"/>
      <c r="AK37" s="1899"/>
      <c r="AL37" s="1726"/>
      <c r="AM37" s="1733"/>
      <c r="AN37" s="1710"/>
      <c r="AO37" s="1710">
        <v>45</v>
      </c>
      <c r="AP37" s="1903"/>
      <c r="AQ37" s="1905"/>
      <c r="AR37" s="1906"/>
      <c r="AS37" s="1906" t="s">
        <v>152</v>
      </c>
      <c r="AT37" s="1899"/>
    </row>
    <row r="38" spans="1:47" ht="40.5" customHeight="1" x14ac:dyDescent="0.3">
      <c r="A38" s="2261"/>
      <c r="B38" s="1218">
        <v>2</v>
      </c>
      <c r="C38" s="1782"/>
      <c r="D38" s="1729"/>
      <c r="E38" s="1782">
        <v>28</v>
      </c>
      <c r="F38" s="1730"/>
      <c r="G38" s="1749"/>
      <c r="H38" s="1725"/>
      <c r="I38" s="1714" t="s">
        <v>152</v>
      </c>
      <c r="J38" s="1743"/>
      <c r="K38" s="332"/>
      <c r="L38" s="1733"/>
      <c r="M38" s="1710"/>
      <c r="N38" s="1710"/>
      <c r="O38" s="1730"/>
      <c r="P38" s="2081"/>
      <c r="Q38" s="2082"/>
      <c r="R38" s="1710"/>
      <c r="S38" s="1743"/>
      <c r="T38" s="332"/>
      <c r="U38" s="1733"/>
      <c r="V38" s="1710"/>
      <c r="W38" s="1710">
        <v>58</v>
      </c>
      <c r="X38" s="1730"/>
      <c r="Y38" s="2082"/>
      <c r="Z38" s="1725"/>
      <c r="AA38" s="1738" t="s">
        <v>152</v>
      </c>
      <c r="AB38" s="1743"/>
      <c r="AC38" s="332"/>
      <c r="AD38" s="1733"/>
      <c r="AE38" s="1710"/>
      <c r="AF38" s="1710"/>
      <c r="AG38" s="1903"/>
      <c r="AH38" s="1906"/>
      <c r="AI38" s="1905"/>
      <c r="AJ38" s="1906"/>
      <c r="AK38" s="1899"/>
      <c r="AL38" s="1726"/>
      <c r="AM38" s="1733"/>
      <c r="AN38" s="1710"/>
      <c r="AO38" s="1710">
        <v>35</v>
      </c>
      <c r="AP38" s="1903"/>
      <c r="AQ38" s="1905"/>
      <c r="AR38" s="1906"/>
      <c r="AS38" s="1906" t="s">
        <v>152</v>
      </c>
      <c r="AT38" s="1899"/>
    </row>
    <row r="39" spans="1:47" ht="42" customHeight="1" x14ac:dyDescent="0.3">
      <c r="A39" s="2260">
        <v>46041</v>
      </c>
      <c r="B39" s="1218">
        <v>1</v>
      </c>
      <c r="C39" s="1782"/>
      <c r="D39" s="1729"/>
      <c r="E39" s="1729">
        <v>17</v>
      </c>
      <c r="F39" s="1730"/>
      <c r="G39" s="1749"/>
      <c r="H39" s="1725"/>
      <c r="I39" s="1714" t="s">
        <v>152</v>
      </c>
      <c r="J39" s="1743"/>
      <c r="K39" s="332"/>
      <c r="L39" s="1733"/>
      <c r="M39" s="1710"/>
      <c r="N39" s="1710"/>
      <c r="O39" s="1730"/>
      <c r="P39" s="2081"/>
      <c r="Q39" s="1723"/>
      <c r="R39" s="1710"/>
      <c r="S39" s="1743"/>
      <c r="T39" s="332"/>
      <c r="U39" s="1733"/>
      <c r="V39" s="1710"/>
      <c r="W39" s="1710">
        <v>35</v>
      </c>
      <c r="X39" s="1730"/>
      <c r="Y39" s="2081"/>
      <c r="Z39" s="1723"/>
      <c r="AA39" s="1738" t="s">
        <v>152</v>
      </c>
      <c r="AB39" s="1743"/>
      <c r="AC39" s="332"/>
      <c r="AD39" s="1733"/>
      <c r="AE39" s="1710"/>
      <c r="AF39" s="1710"/>
      <c r="AG39" s="1903"/>
      <c r="AH39" s="1899"/>
      <c r="AI39" s="1898"/>
      <c r="AJ39" s="1906"/>
      <c r="AK39" s="1899"/>
      <c r="AL39" s="1726"/>
      <c r="AM39" s="1733"/>
      <c r="AN39" s="1710"/>
      <c r="AO39" s="1710"/>
      <c r="AP39" s="1903"/>
      <c r="AQ39" s="1905"/>
      <c r="AR39" s="1906"/>
      <c r="AS39" s="1906"/>
      <c r="AT39" s="1899"/>
    </row>
    <row r="40" spans="1:47" ht="43.5" customHeight="1" x14ac:dyDescent="0.3">
      <c r="A40" s="2261"/>
      <c r="B40" s="1218">
        <v>2</v>
      </c>
      <c r="C40" s="1729"/>
      <c r="D40" s="1729"/>
      <c r="E40" s="1729">
        <v>8</v>
      </c>
      <c r="F40" s="1730"/>
      <c r="G40" s="1749"/>
      <c r="H40" s="1725"/>
      <c r="I40" s="1714" t="s">
        <v>388</v>
      </c>
      <c r="J40" s="1743"/>
      <c r="K40" s="332"/>
      <c r="L40" s="1733"/>
      <c r="M40" s="1710">
        <v>169</v>
      </c>
      <c r="N40" s="1710"/>
      <c r="O40" s="1730"/>
      <c r="P40" s="2083"/>
      <c r="Q40" s="1713" t="s">
        <v>513</v>
      </c>
      <c r="R40" s="1749"/>
      <c r="S40" s="1743"/>
      <c r="T40" s="332"/>
      <c r="U40" s="1733"/>
      <c r="V40" s="1710"/>
      <c r="W40" s="1710">
        <v>10</v>
      </c>
      <c r="X40" s="1730"/>
      <c r="Y40" s="2084"/>
      <c r="Z40" s="1710"/>
      <c r="AA40" s="1738" t="s">
        <v>388</v>
      </c>
      <c r="AB40" s="1743"/>
      <c r="AC40" s="332"/>
      <c r="AD40" s="1733"/>
      <c r="AE40" s="1710"/>
      <c r="AF40" s="1710"/>
      <c r="AG40" s="1903"/>
      <c r="AH40" s="1906"/>
      <c r="AI40" s="1899"/>
      <c r="AJ40" s="1906"/>
      <c r="AK40" s="1899"/>
      <c r="AL40" s="1726"/>
      <c r="AM40" s="1784"/>
      <c r="AN40" s="1710"/>
      <c r="AO40" s="1710"/>
      <c r="AP40" s="1903"/>
      <c r="AQ40" s="1905"/>
      <c r="AR40" s="1906"/>
      <c r="AS40" s="1899"/>
      <c r="AT40" s="1899"/>
    </row>
    <row r="41" spans="1:47" ht="39.6" customHeight="1" x14ac:dyDescent="0.3">
      <c r="A41" s="2260">
        <v>46042</v>
      </c>
      <c r="B41" s="1218">
        <v>1</v>
      </c>
      <c r="C41" s="1728"/>
      <c r="D41" s="1729"/>
      <c r="E41" s="1729"/>
      <c r="F41" s="1730"/>
      <c r="G41" s="1712"/>
      <c r="H41" s="1723"/>
      <c r="I41" s="1714"/>
      <c r="J41" s="1743"/>
      <c r="K41" s="332"/>
      <c r="L41" s="1710"/>
      <c r="M41" s="1710"/>
      <c r="N41" s="1710"/>
      <c r="O41" s="1730"/>
      <c r="P41" s="2083"/>
      <c r="Q41" s="1710"/>
      <c r="R41" s="1749"/>
      <c r="S41" s="1743"/>
      <c r="T41" s="332"/>
      <c r="U41" s="1733"/>
      <c r="V41" s="1710"/>
      <c r="W41" s="1710"/>
      <c r="X41" s="1730"/>
      <c r="Y41" s="2083"/>
      <c r="Z41" s="1725"/>
      <c r="AA41" s="1738"/>
      <c r="AB41" s="1743"/>
      <c r="AC41" s="332"/>
      <c r="AD41" s="1733"/>
      <c r="AE41" s="1710"/>
      <c r="AF41" s="1710"/>
      <c r="AG41" s="1903"/>
      <c r="AH41" s="1906"/>
      <c r="AI41" s="1906"/>
      <c r="AJ41" s="1905"/>
      <c r="AK41" s="1899"/>
      <c r="AL41" s="1726"/>
      <c r="AM41" s="1733"/>
      <c r="AN41" s="1710"/>
      <c r="AO41" s="1710"/>
      <c r="AP41" s="1903"/>
      <c r="AQ41" s="1905"/>
      <c r="AR41" s="1906"/>
      <c r="AS41" s="1899"/>
      <c r="AT41" s="1899"/>
    </row>
    <row r="42" spans="1:47" ht="52.9" customHeight="1" x14ac:dyDescent="0.3">
      <c r="A42" s="2261"/>
      <c r="B42" s="1218">
        <v>2</v>
      </c>
      <c r="C42" s="1729">
        <v>100</v>
      </c>
      <c r="D42" s="1729"/>
      <c r="E42" s="1729"/>
      <c r="F42" s="1730"/>
      <c r="G42" s="1712" t="s">
        <v>45</v>
      </c>
      <c r="H42" s="1723"/>
      <c r="I42" s="1749"/>
      <c r="J42" s="1743"/>
      <c r="K42" s="332"/>
      <c r="L42" s="1733"/>
      <c r="M42" s="1710"/>
      <c r="N42" s="1710"/>
      <c r="O42" s="1730"/>
      <c r="P42" s="2083"/>
      <c r="Q42" s="1725"/>
      <c r="R42" s="1710"/>
      <c r="S42" s="1743"/>
      <c r="T42" s="332"/>
      <c r="U42" s="1733"/>
      <c r="V42" s="1710"/>
      <c r="W42" s="1710"/>
      <c r="X42" s="1730"/>
      <c r="Y42" s="2083"/>
      <c r="Z42" s="1723"/>
      <c r="AA42" s="1738"/>
      <c r="AB42" s="1743"/>
      <c r="AC42" s="332"/>
      <c r="AD42" s="1733"/>
      <c r="AE42" s="1710"/>
      <c r="AF42" s="1710"/>
      <c r="AG42" s="1903"/>
      <c r="AH42" s="1906"/>
      <c r="AI42" s="1906"/>
      <c r="AJ42" s="1905"/>
      <c r="AK42" s="1899"/>
      <c r="AL42" s="1726"/>
      <c r="AM42" s="1733"/>
      <c r="AN42" s="1710"/>
      <c r="AO42" s="1710"/>
      <c r="AP42" s="1903"/>
      <c r="AQ42" s="1905"/>
      <c r="AR42" s="1906"/>
      <c r="AS42" s="1899"/>
      <c r="AT42" s="1899"/>
    </row>
    <row r="43" spans="1:47" ht="40.5" customHeight="1" x14ac:dyDescent="0.3">
      <c r="A43" s="2260">
        <v>46043</v>
      </c>
      <c r="B43" s="1218">
        <v>1</v>
      </c>
      <c r="C43" s="1729"/>
      <c r="D43" s="1729"/>
      <c r="E43" s="1729"/>
      <c r="F43" s="1730"/>
      <c r="G43" s="1712"/>
      <c r="H43" s="1723"/>
      <c r="I43" s="1749"/>
      <c r="J43" s="1743"/>
      <c r="K43" s="332"/>
      <c r="L43" s="1733"/>
      <c r="M43" s="1710"/>
      <c r="N43" s="1710"/>
      <c r="O43" s="1730"/>
      <c r="P43" s="2083"/>
      <c r="Q43" s="1725"/>
      <c r="R43" s="1710"/>
      <c r="S43" s="1743"/>
      <c r="T43" s="332"/>
      <c r="U43" s="1733"/>
      <c r="V43" s="1710"/>
      <c r="W43" s="1710">
        <v>18</v>
      </c>
      <c r="X43" s="1730"/>
      <c r="Y43" s="2083"/>
      <c r="Z43" s="1725"/>
      <c r="AA43" s="1738" t="s">
        <v>152</v>
      </c>
      <c r="AB43" s="1743"/>
      <c r="AC43" s="332"/>
      <c r="AD43" s="1733"/>
      <c r="AE43" s="1710"/>
      <c r="AF43" s="1710"/>
      <c r="AG43" s="1903"/>
      <c r="AH43" s="1906"/>
      <c r="AI43" s="1906"/>
      <c r="AJ43" s="1905"/>
      <c r="AK43" s="1899"/>
      <c r="AL43" s="1726"/>
      <c r="AM43" s="1733"/>
      <c r="AN43" s="1710"/>
      <c r="AO43" s="1710"/>
      <c r="AP43" s="1903"/>
      <c r="AQ43" s="1905"/>
      <c r="AR43" s="1906"/>
      <c r="AS43" s="1899"/>
      <c r="AT43" s="1899"/>
      <c r="AU43" s="2052"/>
    </row>
    <row r="44" spans="1:47" ht="45.75" customHeight="1" x14ac:dyDescent="0.3">
      <c r="A44" s="2261"/>
      <c r="B44" s="1218">
        <v>2</v>
      </c>
      <c r="C44" s="1945"/>
      <c r="D44" s="1945"/>
      <c r="E44" s="1945"/>
      <c r="F44" s="1946"/>
      <c r="G44" s="1973"/>
      <c r="H44" s="1942"/>
      <c r="I44" s="1977"/>
      <c r="J44" s="1950"/>
      <c r="K44" s="326"/>
      <c r="L44" s="1947"/>
      <c r="M44" s="1938"/>
      <c r="N44" s="1938"/>
      <c r="O44" s="1946"/>
      <c r="P44" s="1975"/>
      <c r="Q44" s="1976"/>
      <c r="R44" s="1938"/>
      <c r="S44" s="1950"/>
      <c r="T44" s="326"/>
      <c r="U44" s="1947"/>
      <c r="V44" s="1938"/>
      <c r="W44" s="1938"/>
      <c r="X44" s="1946"/>
      <c r="Y44" s="1975"/>
      <c r="Z44" s="1976"/>
      <c r="AA44" s="1949"/>
      <c r="AB44" s="1950"/>
      <c r="AC44" s="326"/>
      <c r="AD44" s="1947"/>
      <c r="AE44" s="1938"/>
      <c r="AF44" s="1938"/>
      <c r="AG44" s="2003"/>
      <c r="AH44" s="2001"/>
      <c r="AI44" s="2001"/>
      <c r="AJ44" s="2000"/>
      <c r="AK44" s="2002"/>
      <c r="AL44" s="1943"/>
      <c r="AM44" s="1947"/>
      <c r="AN44" s="1938"/>
      <c r="AO44" s="1938"/>
      <c r="AP44" s="2003"/>
      <c r="AQ44" s="2000"/>
      <c r="AR44" s="2001"/>
      <c r="AS44" s="2002"/>
      <c r="AT44" s="2002"/>
      <c r="AU44" s="2052"/>
    </row>
    <row r="45" spans="1:47" ht="48.75" customHeight="1" x14ac:dyDescent="0.3">
      <c r="A45" s="2260">
        <v>46044</v>
      </c>
      <c r="B45" s="1218">
        <v>1</v>
      </c>
      <c r="C45" s="1945"/>
      <c r="D45" s="1945"/>
      <c r="E45" s="1945"/>
      <c r="F45" s="1946"/>
      <c r="G45" s="1973"/>
      <c r="H45" s="1942"/>
      <c r="I45" s="1977"/>
      <c r="J45" s="1950"/>
      <c r="K45" s="326"/>
      <c r="L45" s="1947"/>
      <c r="M45" s="1938"/>
      <c r="N45" s="1938"/>
      <c r="O45" s="1946"/>
      <c r="P45" s="1975"/>
      <c r="Q45" s="1976"/>
      <c r="R45" s="1938"/>
      <c r="S45" s="1950"/>
      <c r="T45" s="326"/>
      <c r="U45" s="1947"/>
      <c r="V45" s="1938"/>
      <c r="W45" s="1938"/>
      <c r="X45" s="1946"/>
      <c r="Y45" s="1975"/>
      <c r="Z45" s="1976"/>
      <c r="AA45" s="1949"/>
      <c r="AB45" s="1950"/>
      <c r="AC45" s="326"/>
      <c r="AD45" s="1947"/>
      <c r="AE45" s="1938"/>
      <c r="AF45" s="1938"/>
      <c r="AG45" s="2003"/>
      <c r="AH45" s="2001"/>
      <c r="AI45" s="2001"/>
      <c r="AJ45" s="2000"/>
      <c r="AK45" s="2002"/>
      <c r="AL45" s="1943"/>
      <c r="AM45" s="1947"/>
      <c r="AN45" s="1938"/>
      <c r="AO45" s="1938"/>
      <c r="AP45" s="2003"/>
      <c r="AQ45" s="2000"/>
      <c r="AR45" s="2001"/>
      <c r="AS45" s="2002"/>
      <c r="AT45" s="2002"/>
    </row>
    <row r="46" spans="1:47" ht="48.6" customHeight="1" x14ac:dyDescent="0.3">
      <c r="A46" s="2261"/>
      <c r="B46" s="1218">
        <v>2</v>
      </c>
      <c r="C46" s="1945"/>
      <c r="D46" s="1945"/>
      <c r="E46" s="1945"/>
      <c r="F46" s="1946"/>
      <c r="G46" s="1973"/>
      <c r="H46" s="1942"/>
      <c r="I46" s="1977"/>
      <c r="J46" s="1950"/>
      <c r="K46" s="326"/>
      <c r="L46" s="1947"/>
      <c r="M46" s="1938"/>
      <c r="N46" s="1938"/>
      <c r="O46" s="1946"/>
      <c r="P46" s="1975"/>
      <c r="Q46" s="1976"/>
      <c r="R46" s="1938"/>
      <c r="S46" s="1950"/>
      <c r="T46" s="326"/>
      <c r="U46" s="1947"/>
      <c r="V46" s="1938"/>
      <c r="W46" s="1938"/>
      <c r="X46" s="1946"/>
      <c r="Y46" s="1975"/>
      <c r="Z46" s="1976"/>
      <c r="AA46" s="1949"/>
      <c r="AB46" s="1950"/>
      <c r="AC46" s="326"/>
      <c r="AD46" s="1947"/>
      <c r="AE46" s="1938"/>
      <c r="AF46" s="1938"/>
      <c r="AG46" s="2003"/>
      <c r="AH46" s="2001"/>
      <c r="AI46" s="2001"/>
      <c r="AJ46" s="2000"/>
      <c r="AK46" s="2002"/>
      <c r="AL46" s="1943"/>
      <c r="AM46" s="1947"/>
      <c r="AN46" s="1938"/>
      <c r="AO46" s="1938"/>
      <c r="AP46" s="2003"/>
      <c r="AQ46" s="2000"/>
      <c r="AR46" s="2001"/>
      <c r="AS46" s="2002"/>
      <c r="AT46" s="2002"/>
    </row>
    <row r="47" spans="1:47" ht="43.5" customHeight="1" x14ac:dyDescent="0.3">
      <c r="A47" s="2260">
        <v>46045</v>
      </c>
      <c r="B47" s="1218">
        <v>1</v>
      </c>
      <c r="C47" s="1945"/>
      <c r="D47" s="1945"/>
      <c r="E47" s="1945"/>
      <c r="F47" s="1946"/>
      <c r="G47" s="1973"/>
      <c r="H47" s="1942"/>
      <c r="I47" s="1977"/>
      <c r="J47" s="1950"/>
      <c r="K47" s="326"/>
      <c r="L47" s="1947"/>
      <c r="M47" s="1938"/>
      <c r="N47" s="1938"/>
      <c r="O47" s="1946"/>
      <c r="P47" s="1975"/>
      <c r="Q47" s="1976"/>
      <c r="R47" s="1938"/>
      <c r="S47" s="1950"/>
      <c r="T47" s="326"/>
      <c r="U47" s="1947"/>
      <c r="V47" s="1938"/>
      <c r="W47" s="1938"/>
      <c r="X47" s="1946"/>
      <c r="Y47" s="1975"/>
      <c r="Z47" s="1976"/>
      <c r="AA47" s="1949"/>
      <c r="AB47" s="1950"/>
      <c r="AC47" s="326"/>
      <c r="AD47" s="1947"/>
      <c r="AE47" s="1938"/>
      <c r="AF47" s="1938"/>
      <c r="AG47" s="2003"/>
      <c r="AH47" s="2001"/>
      <c r="AI47" s="2001"/>
      <c r="AJ47" s="2000"/>
      <c r="AK47" s="2002"/>
      <c r="AL47" s="1943"/>
      <c r="AM47" s="1947"/>
      <c r="AN47" s="1938"/>
      <c r="AO47" s="1938"/>
      <c r="AP47" s="2003"/>
      <c r="AQ47" s="2000"/>
      <c r="AR47" s="2001"/>
      <c r="AS47" s="2002"/>
      <c r="AT47" s="2002"/>
    </row>
    <row r="48" spans="1:47" ht="34.9" customHeight="1" x14ac:dyDescent="0.3">
      <c r="A48" s="2261"/>
      <c r="B48" s="1218">
        <v>2</v>
      </c>
      <c r="C48" s="1945"/>
      <c r="D48" s="1945"/>
      <c r="E48" s="1945"/>
      <c r="F48" s="1946"/>
      <c r="G48" s="1973"/>
      <c r="H48" s="1942"/>
      <c r="I48" s="1977"/>
      <c r="J48" s="1950"/>
      <c r="K48" s="326"/>
      <c r="L48" s="1947"/>
      <c r="M48" s="1938"/>
      <c r="N48" s="1938"/>
      <c r="O48" s="1946"/>
      <c r="P48" s="1975"/>
      <c r="Q48" s="1976"/>
      <c r="R48" s="1938"/>
      <c r="S48" s="1950"/>
      <c r="T48" s="326"/>
      <c r="U48" s="1947"/>
      <c r="V48" s="1938"/>
      <c r="W48" s="1938"/>
      <c r="X48" s="1946"/>
      <c r="Y48" s="1975"/>
      <c r="Z48" s="1976"/>
      <c r="AA48" s="1949"/>
      <c r="AB48" s="1950"/>
      <c r="AC48" s="326"/>
      <c r="AD48" s="1947"/>
      <c r="AE48" s="1938"/>
      <c r="AF48" s="1938"/>
      <c r="AG48" s="2003"/>
      <c r="AH48" s="2001"/>
      <c r="AI48" s="2001"/>
      <c r="AJ48" s="2000"/>
      <c r="AK48" s="2002"/>
      <c r="AL48" s="1943"/>
      <c r="AM48" s="1947"/>
      <c r="AN48" s="1938"/>
      <c r="AO48" s="1938"/>
      <c r="AP48" s="2003"/>
      <c r="AQ48" s="2000"/>
      <c r="AR48" s="2001"/>
      <c r="AS48" s="2002"/>
      <c r="AT48" s="2002"/>
    </row>
    <row r="49" spans="1:46" ht="43.15" customHeight="1" x14ac:dyDescent="0.3">
      <c r="A49" s="2260">
        <v>46046</v>
      </c>
      <c r="B49" s="1218">
        <v>1</v>
      </c>
      <c r="C49" s="1945"/>
      <c r="D49" s="1945"/>
      <c r="E49" s="1945"/>
      <c r="F49" s="1946"/>
      <c r="G49" s="1973"/>
      <c r="H49" s="1942"/>
      <c r="I49" s="1977"/>
      <c r="J49" s="1950"/>
      <c r="K49" s="326"/>
      <c r="L49" s="1947"/>
      <c r="M49" s="1938"/>
      <c r="N49" s="1938"/>
      <c r="O49" s="1946"/>
      <c r="P49" s="1975"/>
      <c r="Q49" s="1976"/>
      <c r="R49" s="1938"/>
      <c r="S49" s="1950"/>
      <c r="T49" s="326"/>
      <c r="U49" s="1947"/>
      <c r="V49" s="1938"/>
      <c r="W49" s="1938"/>
      <c r="X49" s="1946"/>
      <c r="Y49" s="1975"/>
      <c r="Z49" s="1976"/>
      <c r="AA49" s="1949"/>
      <c r="AB49" s="1950"/>
      <c r="AC49" s="326"/>
      <c r="AD49" s="1947"/>
      <c r="AE49" s="1938"/>
      <c r="AF49" s="1938"/>
      <c r="AG49" s="2003"/>
      <c r="AH49" s="2001"/>
      <c r="AI49" s="2001"/>
      <c r="AJ49" s="2000"/>
      <c r="AK49" s="2002"/>
      <c r="AL49" s="1943"/>
      <c r="AM49" s="1947"/>
      <c r="AN49" s="1938"/>
      <c r="AO49" s="1938"/>
      <c r="AP49" s="2003"/>
      <c r="AQ49" s="2000"/>
      <c r="AR49" s="2001"/>
      <c r="AS49" s="2002"/>
      <c r="AT49" s="2002"/>
    </row>
    <row r="50" spans="1:46" ht="51.6" customHeight="1" x14ac:dyDescent="0.3">
      <c r="A50" s="2261"/>
      <c r="B50" s="1218">
        <v>2</v>
      </c>
      <c r="C50" s="1945"/>
      <c r="D50" s="1945"/>
      <c r="E50" s="1945"/>
      <c r="F50" s="1946"/>
      <c r="G50" s="1973"/>
      <c r="H50" s="1942"/>
      <c r="I50" s="1977"/>
      <c r="J50" s="1950"/>
      <c r="K50" s="326"/>
      <c r="L50" s="1947"/>
      <c r="M50" s="1938"/>
      <c r="N50" s="1938"/>
      <c r="O50" s="1946"/>
      <c r="P50" s="1975"/>
      <c r="Q50" s="1976"/>
      <c r="R50" s="1938"/>
      <c r="S50" s="1950"/>
      <c r="T50" s="326"/>
      <c r="U50" s="1947"/>
      <c r="V50" s="1938"/>
      <c r="W50" s="1938"/>
      <c r="X50" s="1946"/>
      <c r="Y50" s="1975"/>
      <c r="Z50" s="1976"/>
      <c r="AA50" s="1949"/>
      <c r="AB50" s="1950"/>
      <c r="AC50" s="326"/>
      <c r="AD50" s="1947"/>
      <c r="AE50" s="1938"/>
      <c r="AF50" s="1938"/>
      <c r="AG50" s="2003"/>
      <c r="AH50" s="2001"/>
      <c r="AI50" s="2001"/>
      <c r="AJ50" s="2000"/>
      <c r="AK50" s="2002"/>
      <c r="AL50" s="1943"/>
      <c r="AM50" s="1947"/>
      <c r="AN50" s="1938"/>
      <c r="AO50" s="1938"/>
      <c r="AP50" s="2003"/>
      <c r="AQ50" s="2000"/>
      <c r="AR50" s="2001"/>
      <c r="AS50" s="2002"/>
      <c r="AT50" s="2002"/>
    </row>
    <row r="51" spans="1:46" ht="34.9" customHeight="1" x14ac:dyDescent="0.3">
      <c r="A51" s="2260">
        <v>46047</v>
      </c>
      <c r="B51" s="1218">
        <v>1</v>
      </c>
      <c r="C51" s="1945"/>
      <c r="D51" s="1945"/>
      <c r="E51" s="1945"/>
      <c r="F51" s="1946"/>
      <c r="G51" s="1973"/>
      <c r="H51" s="1942"/>
      <c r="I51" s="1977"/>
      <c r="J51" s="1950"/>
      <c r="K51" s="326"/>
      <c r="L51" s="1947"/>
      <c r="M51" s="1938"/>
      <c r="N51" s="1938"/>
      <c r="O51" s="1946"/>
      <c r="P51" s="1975"/>
      <c r="Q51" s="1976"/>
      <c r="R51" s="1938"/>
      <c r="S51" s="1950"/>
      <c r="T51" s="326"/>
      <c r="U51" s="1947"/>
      <c r="V51" s="1938"/>
      <c r="W51" s="1938"/>
      <c r="X51" s="1946"/>
      <c r="Y51" s="1975"/>
      <c r="Z51" s="1976"/>
      <c r="AA51" s="1949"/>
      <c r="AB51" s="1950"/>
      <c r="AC51" s="326"/>
      <c r="AD51" s="1947"/>
      <c r="AE51" s="1938"/>
      <c r="AF51" s="1938"/>
      <c r="AG51" s="2003"/>
      <c r="AH51" s="2001"/>
      <c r="AI51" s="2001"/>
      <c r="AJ51" s="2000"/>
      <c r="AK51" s="2002"/>
      <c r="AL51" s="1943"/>
      <c r="AM51" s="1947"/>
      <c r="AN51" s="1938"/>
      <c r="AO51" s="1938"/>
      <c r="AP51" s="2003"/>
      <c r="AQ51" s="2000"/>
      <c r="AR51" s="2001"/>
      <c r="AS51" s="2002"/>
      <c r="AT51" s="2002"/>
    </row>
    <row r="52" spans="1:46" ht="49.15" customHeight="1" x14ac:dyDescent="0.3">
      <c r="A52" s="2261"/>
      <c r="B52" s="1218">
        <v>2</v>
      </c>
      <c r="C52" s="1945"/>
      <c r="D52" s="1945"/>
      <c r="E52" s="1945"/>
      <c r="F52" s="1946"/>
      <c r="G52" s="1973"/>
      <c r="H52" s="1942"/>
      <c r="I52" s="1977"/>
      <c r="J52" s="1950"/>
      <c r="K52" s="326"/>
      <c r="L52" s="1947"/>
      <c r="M52" s="1938"/>
      <c r="N52" s="1938"/>
      <c r="O52" s="1946"/>
      <c r="P52" s="1975"/>
      <c r="Q52" s="1976"/>
      <c r="R52" s="1938"/>
      <c r="S52" s="1950"/>
      <c r="T52" s="326"/>
      <c r="U52" s="1947"/>
      <c r="V52" s="1938"/>
      <c r="W52" s="1938"/>
      <c r="X52" s="1946"/>
      <c r="Y52" s="1975"/>
      <c r="Z52" s="1976"/>
      <c r="AA52" s="1949"/>
      <c r="AB52" s="1950"/>
      <c r="AC52" s="326"/>
      <c r="AD52" s="1947"/>
      <c r="AE52" s="1938"/>
      <c r="AF52" s="1938"/>
      <c r="AG52" s="2003"/>
      <c r="AH52" s="2001"/>
      <c r="AI52" s="2001"/>
      <c r="AJ52" s="2000"/>
      <c r="AK52" s="2002"/>
      <c r="AL52" s="1943"/>
      <c r="AM52" s="1947"/>
      <c r="AN52" s="1938"/>
      <c r="AO52" s="1938"/>
      <c r="AP52" s="2003"/>
      <c r="AQ52" s="2000"/>
      <c r="AR52" s="2001"/>
      <c r="AS52" s="2002"/>
      <c r="AT52" s="2002"/>
    </row>
    <row r="53" spans="1:46" ht="48" customHeight="1" x14ac:dyDescent="0.3">
      <c r="A53" s="2260">
        <v>46048</v>
      </c>
      <c r="B53" s="1218">
        <v>1</v>
      </c>
      <c r="C53" s="1945"/>
      <c r="D53" s="1945"/>
      <c r="E53" s="1945"/>
      <c r="F53" s="1946"/>
      <c r="G53" s="1973"/>
      <c r="H53" s="1942"/>
      <c r="I53" s="1977"/>
      <c r="J53" s="1950"/>
      <c r="K53" s="326"/>
      <c r="L53" s="1947"/>
      <c r="M53" s="1938"/>
      <c r="N53" s="1938"/>
      <c r="O53" s="1946"/>
      <c r="P53" s="1975"/>
      <c r="Q53" s="1976"/>
      <c r="R53" s="1938"/>
      <c r="S53" s="1950"/>
      <c r="T53" s="326"/>
      <c r="U53" s="1947"/>
      <c r="V53" s="1938"/>
      <c r="W53" s="1938"/>
      <c r="X53" s="1946"/>
      <c r="Y53" s="1975"/>
      <c r="Z53" s="1976"/>
      <c r="AA53" s="1949"/>
      <c r="AB53" s="1950"/>
      <c r="AC53" s="326"/>
      <c r="AD53" s="1947"/>
      <c r="AE53" s="1938"/>
      <c r="AF53" s="1938"/>
      <c r="AG53" s="2003"/>
      <c r="AH53" s="2001"/>
      <c r="AI53" s="2001"/>
      <c r="AJ53" s="2000"/>
      <c r="AK53" s="2002"/>
      <c r="AL53" s="1943"/>
      <c r="AM53" s="1947"/>
      <c r="AN53" s="1938"/>
      <c r="AO53" s="1938"/>
      <c r="AP53" s="2003"/>
      <c r="AQ53" s="2000"/>
      <c r="AR53" s="2001"/>
      <c r="AS53" s="2002"/>
      <c r="AT53" s="2002"/>
    </row>
    <row r="54" spans="1:46" ht="45.6" customHeight="1" x14ac:dyDescent="0.3">
      <c r="A54" s="2261"/>
      <c r="B54" s="1252">
        <v>2</v>
      </c>
      <c r="C54" s="1945"/>
      <c r="D54" s="1945"/>
      <c r="E54" s="1945"/>
      <c r="F54" s="1946"/>
      <c r="G54" s="1939"/>
      <c r="H54" s="1942"/>
      <c r="I54" s="1940"/>
      <c r="J54" s="1950"/>
      <c r="K54" s="326"/>
      <c r="L54" s="1947"/>
      <c r="M54" s="1938"/>
      <c r="N54" s="1938"/>
      <c r="O54" s="1946"/>
      <c r="P54" s="1939"/>
      <c r="Q54" s="1942"/>
      <c r="R54" s="1939"/>
      <c r="S54" s="1950"/>
      <c r="T54" s="326"/>
      <c r="U54" s="1947"/>
      <c r="V54" s="1938"/>
      <c r="W54" s="1938"/>
      <c r="X54" s="1946"/>
      <c r="Y54" s="1942"/>
      <c r="Z54" s="1942"/>
      <c r="AA54" s="1949"/>
      <c r="AB54" s="1950"/>
      <c r="AC54" s="326"/>
      <c r="AD54" s="1947"/>
      <c r="AE54" s="1938"/>
      <c r="AF54" s="1938"/>
      <c r="AG54" s="1948"/>
      <c r="AH54" s="2000"/>
      <c r="AI54" s="2002"/>
      <c r="AJ54" s="2001"/>
      <c r="AK54" s="2002"/>
      <c r="AL54" s="1943"/>
      <c r="AM54" s="1947"/>
      <c r="AN54" s="1951"/>
      <c r="AO54" s="321"/>
      <c r="AP54" s="1948"/>
      <c r="AQ54" s="2001"/>
      <c r="AR54" s="2002"/>
      <c r="AS54" s="2002"/>
      <c r="AT54" s="2002"/>
    </row>
    <row r="55" spans="1:46" ht="39.6" customHeight="1" x14ac:dyDescent="0.3">
      <c r="A55" s="2260">
        <v>46049</v>
      </c>
      <c r="B55" s="1218">
        <v>1</v>
      </c>
      <c r="C55" s="1944"/>
      <c r="D55" s="1945"/>
      <c r="E55" s="1945"/>
      <c r="F55" s="1946"/>
      <c r="G55" s="1939"/>
      <c r="H55" s="1939"/>
      <c r="I55" s="1940"/>
      <c r="J55" s="1974"/>
      <c r="K55" s="326"/>
      <c r="L55" s="1947"/>
      <c r="M55" s="1938"/>
      <c r="N55" s="1938"/>
      <c r="O55" s="1974"/>
      <c r="P55" s="1975"/>
      <c r="Q55" s="1942"/>
      <c r="R55" s="1938"/>
      <c r="S55" s="1974"/>
      <c r="T55" s="326"/>
      <c r="U55" s="1947"/>
      <c r="V55" s="1938"/>
      <c r="W55" s="1938"/>
      <c r="X55" s="1974"/>
      <c r="Y55" s="1975"/>
      <c r="Z55" s="1939"/>
      <c r="AA55" s="1949"/>
      <c r="AB55" s="1974"/>
      <c r="AC55" s="326"/>
      <c r="AD55" s="1947"/>
      <c r="AE55" s="1938"/>
      <c r="AF55" s="1938"/>
      <c r="AG55" s="1948"/>
      <c r="AH55" s="2000"/>
      <c r="AI55" s="2002"/>
      <c r="AJ55" s="2001"/>
      <c r="AK55" s="2000"/>
      <c r="AL55" s="1943"/>
      <c r="AM55" s="1947"/>
      <c r="AN55" s="1951"/>
      <c r="AO55" s="1938"/>
      <c r="AP55" s="1948"/>
      <c r="AQ55" s="2000"/>
      <c r="AR55" s="2002"/>
      <c r="AS55" s="2002"/>
      <c r="AT55" s="2002"/>
    </row>
    <row r="56" spans="1:46" ht="47.25" customHeight="1" x14ac:dyDescent="0.3">
      <c r="A56" s="2261"/>
      <c r="B56" s="1252">
        <v>2</v>
      </c>
      <c r="C56" s="1944"/>
      <c r="D56" s="1945"/>
      <c r="E56" s="1945"/>
      <c r="F56" s="1946"/>
      <c r="G56" s="1942"/>
      <c r="H56" s="1942"/>
      <c r="I56" s="1940"/>
      <c r="J56" s="1950"/>
      <c r="K56" s="326"/>
      <c r="L56" s="1947"/>
      <c r="M56" s="1938"/>
      <c r="N56" s="1938"/>
      <c r="O56" s="1946"/>
      <c r="P56" s="1942"/>
      <c r="Q56" s="1939"/>
      <c r="R56" s="1942"/>
      <c r="S56" s="1950"/>
      <c r="T56" s="326"/>
      <c r="U56" s="1947"/>
      <c r="V56" s="1938"/>
      <c r="W56" s="1938"/>
      <c r="X56" s="1946"/>
      <c r="Y56" s="1941"/>
      <c r="Z56" s="1939"/>
      <c r="AA56" s="1949"/>
      <c r="AB56" s="1950"/>
      <c r="AC56" s="326"/>
      <c r="AD56" s="1947"/>
      <c r="AE56" s="1938"/>
      <c r="AF56" s="1938"/>
      <c r="AG56" s="2003"/>
      <c r="AH56" s="2000"/>
      <c r="AI56" s="2004"/>
      <c r="AJ56" s="2002"/>
      <c r="AK56" s="2002"/>
      <c r="AL56" s="1943"/>
      <c r="AM56" s="1947"/>
      <c r="AN56" s="1951"/>
      <c r="AO56" s="1938"/>
      <c r="AP56" s="1948"/>
      <c r="AQ56" s="2002"/>
      <c r="AR56" s="2002"/>
      <c r="AS56" s="2000"/>
      <c r="AT56" s="2002"/>
    </row>
    <row r="57" spans="1:46" ht="47.25" customHeight="1" x14ac:dyDescent="0.3">
      <c r="A57" s="2260">
        <v>46050</v>
      </c>
      <c r="B57" s="1252">
        <v>1</v>
      </c>
      <c r="C57" s="1944"/>
      <c r="D57" s="1945"/>
      <c r="E57" s="1945"/>
      <c r="F57" s="1946"/>
      <c r="G57" s="1942"/>
      <c r="H57" s="1942"/>
      <c r="I57" s="1940"/>
      <c r="J57" s="1950"/>
      <c r="K57" s="326"/>
      <c r="L57" s="1947"/>
      <c r="M57" s="1938"/>
      <c r="N57" s="1938"/>
      <c r="O57" s="1946"/>
      <c r="P57" s="1942"/>
      <c r="Q57" s="1939"/>
      <c r="R57" s="1942"/>
      <c r="S57" s="1950"/>
      <c r="T57" s="326"/>
      <c r="U57" s="1947"/>
      <c r="V57" s="1938"/>
      <c r="W57" s="1938"/>
      <c r="X57" s="1946"/>
      <c r="Y57" s="1941"/>
      <c r="Z57" s="1939"/>
      <c r="AA57" s="1949"/>
      <c r="AB57" s="1950"/>
      <c r="AC57" s="326"/>
      <c r="AD57" s="1947"/>
      <c r="AE57" s="1938"/>
      <c r="AF57" s="1938"/>
      <c r="AG57" s="2003"/>
      <c r="AH57" s="2000"/>
      <c r="AI57" s="2004"/>
      <c r="AJ57" s="2002"/>
      <c r="AK57" s="2002"/>
      <c r="AL57" s="1943"/>
      <c r="AM57" s="1947"/>
      <c r="AN57" s="1951"/>
      <c r="AO57" s="1938"/>
      <c r="AP57" s="1948"/>
      <c r="AQ57" s="2002"/>
      <c r="AR57" s="2002"/>
      <c r="AS57" s="2000"/>
      <c r="AT57" s="2002"/>
    </row>
    <row r="58" spans="1:46" ht="47.25" customHeight="1" x14ac:dyDescent="0.3">
      <c r="A58" s="2261"/>
      <c r="B58" s="1252">
        <v>2</v>
      </c>
      <c r="C58" s="1944"/>
      <c r="D58" s="1945"/>
      <c r="E58" s="1945"/>
      <c r="F58" s="1946"/>
      <c r="G58" s="1942"/>
      <c r="H58" s="1942"/>
      <c r="I58" s="1940"/>
      <c r="J58" s="1950"/>
      <c r="K58" s="326"/>
      <c r="L58" s="1947"/>
      <c r="M58" s="1938"/>
      <c r="N58" s="1938"/>
      <c r="O58" s="1946"/>
      <c r="P58" s="1942"/>
      <c r="Q58" s="1939"/>
      <c r="R58" s="1942"/>
      <c r="S58" s="1950"/>
      <c r="T58" s="326"/>
      <c r="U58" s="1947"/>
      <c r="V58" s="1938"/>
      <c r="W58" s="1938"/>
      <c r="X58" s="1946"/>
      <c r="Y58" s="1941"/>
      <c r="Z58" s="1939"/>
      <c r="AA58" s="1949"/>
      <c r="AB58" s="1950"/>
      <c r="AC58" s="326"/>
      <c r="AD58" s="1947"/>
      <c r="AE58" s="1938"/>
      <c r="AF58" s="1938"/>
      <c r="AG58" s="2003"/>
      <c r="AH58" s="2000"/>
      <c r="AI58" s="2004"/>
      <c r="AJ58" s="2002"/>
      <c r="AK58" s="2002"/>
      <c r="AL58" s="1943"/>
      <c r="AM58" s="1947"/>
      <c r="AN58" s="1951"/>
      <c r="AO58" s="1938"/>
      <c r="AP58" s="1948"/>
      <c r="AQ58" s="2002"/>
      <c r="AR58" s="2002"/>
      <c r="AS58" s="2000"/>
      <c r="AT58" s="2002"/>
    </row>
    <row r="59" spans="1:46" ht="47.25" customHeight="1" x14ac:dyDescent="0.3">
      <c r="A59" s="2260">
        <v>46051</v>
      </c>
      <c r="B59" s="1252"/>
      <c r="C59" s="1944"/>
      <c r="D59" s="1945"/>
      <c r="E59" s="1945"/>
      <c r="F59" s="1946"/>
      <c r="G59" s="1942"/>
      <c r="H59" s="1942"/>
      <c r="I59" s="1940"/>
      <c r="J59" s="1950"/>
      <c r="K59" s="326"/>
      <c r="L59" s="1947"/>
      <c r="M59" s="1938"/>
      <c r="N59" s="1938"/>
      <c r="O59" s="1946"/>
      <c r="P59" s="1942"/>
      <c r="Q59" s="1939"/>
      <c r="R59" s="1942"/>
      <c r="S59" s="1950"/>
      <c r="T59" s="326"/>
      <c r="U59" s="1947"/>
      <c r="V59" s="1938"/>
      <c r="W59" s="1938"/>
      <c r="X59" s="1946"/>
      <c r="Y59" s="1941"/>
      <c r="Z59" s="1939"/>
      <c r="AA59" s="1949"/>
      <c r="AB59" s="1950"/>
      <c r="AC59" s="326"/>
      <c r="AD59" s="1947"/>
      <c r="AE59" s="1938"/>
      <c r="AF59" s="1938"/>
      <c r="AG59" s="2003"/>
      <c r="AH59" s="2000"/>
      <c r="AI59" s="2004"/>
      <c r="AJ59" s="2002"/>
      <c r="AK59" s="2002"/>
      <c r="AL59" s="1943"/>
      <c r="AM59" s="1947"/>
      <c r="AN59" s="1951"/>
      <c r="AO59" s="1938"/>
      <c r="AP59" s="1948"/>
      <c r="AQ59" s="2002"/>
      <c r="AR59" s="2002"/>
      <c r="AS59" s="2000"/>
      <c r="AT59" s="2002"/>
    </row>
    <row r="60" spans="1:46" ht="47.25" customHeight="1" x14ac:dyDescent="0.3">
      <c r="A60" s="2261"/>
      <c r="B60" s="1252"/>
      <c r="C60" s="1944"/>
      <c r="D60" s="1945"/>
      <c r="E60" s="1945"/>
      <c r="F60" s="1946"/>
      <c r="G60" s="1942"/>
      <c r="H60" s="1942"/>
      <c r="I60" s="1940"/>
      <c r="J60" s="1950"/>
      <c r="K60" s="326"/>
      <c r="L60" s="1947"/>
      <c r="M60" s="1938"/>
      <c r="N60" s="1938"/>
      <c r="O60" s="1946"/>
      <c r="P60" s="1942"/>
      <c r="Q60" s="1939"/>
      <c r="R60" s="1942"/>
      <c r="S60" s="1950"/>
      <c r="T60" s="326"/>
      <c r="U60" s="1947"/>
      <c r="V60" s="1938"/>
      <c r="W60" s="1938"/>
      <c r="X60" s="1946"/>
      <c r="Y60" s="1941"/>
      <c r="Z60" s="1939"/>
      <c r="AA60" s="1949"/>
      <c r="AB60" s="1950"/>
      <c r="AC60" s="326"/>
      <c r="AD60" s="1947"/>
      <c r="AE60" s="1938"/>
      <c r="AF60" s="1938"/>
      <c r="AG60" s="2003"/>
      <c r="AH60" s="2000"/>
      <c r="AI60" s="2004"/>
      <c r="AJ60" s="2002"/>
      <c r="AK60" s="2002"/>
      <c r="AL60" s="1943"/>
      <c r="AM60" s="1947"/>
      <c r="AN60" s="1951"/>
      <c r="AO60" s="1938"/>
      <c r="AP60" s="1948"/>
      <c r="AQ60" s="2002"/>
      <c r="AR60" s="2002"/>
      <c r="AS60" s="2000"/>
      <c r="AT60" s="2002"/>
    </row>
    <row r="61" spans="1:46" ht="47.25" customHeight="1" x14ac:dyDescent="0.3">
      <c r="A61" s="2260">
        <v>46052</v>
      </c>
      <c r="B61" s="1252">
        <v>1</v>
      </c>
      <c r="C61" s="1944"/>
      <c r="D61" s="1945"/>
      <c r="E61" s="1945"/>
      <c r="F61" s="1946"/>
      <c r="G61" s="1942"/>
      <c r="H61" s="1942"/>
      <c r="I61" s="1940"/>
      <c r="J61" s="1950"/>
      <c r="K61" s="326"/>
      <c r="L61" s="1947"/>
      <c r="M61" s="1938"/>
      <c r="N61" s="1938"/>
      <c r="O61" s="1946"/>
      <c r="P61" s="1942"/>
      <c r="Q61" s="1939"/>
      <c r="R61" s="1942"/>
      <c r="S61" s="1950"/>
      <c r="T61" s="326"/>
      <c r="U61" s="1947"/>
      <c r="V61" s="1938"/>
      <c r="W61" s="1938"/>
      <c r="X61" s="1946"/>
      <c r="Y61" s="1941"/>
      <c r="Z61" s="1939"/>
      <c r="AA61" s="1949"/>
      <c r="AB61" s="1950"/>
      <c r="AC61" s="326"/>
      <c r="AD61" s="1947"/>
      <c r="AE61" s="1938"/>
      <c r="AF61" s="1938"/>
      <c r="AG61" s="2003"/>
      <c r="AH61" s="2000"/>
      <c r="AI61" s="2004"/>
      <c r="AJ61" s="2002"/>
      <c r="AK61" s="2002"/>
      <c r="AL61" s="1943"/>
      <c r="AM61" s="1947"/>
      <c r="AN61" s="1951"/>
      <c r="AO61" s="1938"/>
      <c r="AP61" s="1948"/>
      <c r="AQ61" s="2002"/>
      <c r="AR61" s="2002"/>
      <c r="AS61" s="2000"/>
      <c r="AT61" s="2002"/>
    </row>
    <row r="62" spans="1:46" ht="47.25" customHeight="1" x14ac:dyDescent="0.3">
      <c r="A62" s="2261"/>
      <c r="B62" s="1252">
        <v>2</v>
      </c>
      <c r="C62" s="1944"/>
      <c r="D62" s="1945"/>
      <c r="E62" s="1945"/>
      <c r="F62" s="1946"/>
      <c r="G62" s="1942"/>
      <c r="H62" s="1942"/>
      <c r="I62" s="1940"/>
      <c r="J62" s="1950"/>
      <c r="K62" s="326"/>
      <c r="L62" s="1947"/>
      <c r="M62" s="1938"/>
      <c r="N62" s="1938"/>
      <c r="O62" s="1946"/>
      <c r="P62" s="1942"/>
      <c r="Q62" s="1939"/>
      <c r="R62" s="1942"/>
      <c r="S62" s="1950"/>
      <c r="T62" s="326"/>
      <c r="U62" s="1947"/>
      <c r="V62" s="1938"/>
      <c r="W62" s="1938"/>
      <c r="X62" s="1946"/>
      <c r="Y62" s="1941"/>
      <c r="Z62" s="1939"/>
      <c r="AA62" s="1949"/>
      <c r="AB62" s="1950"/>
      <c r="AC62" s="326"/>
      <c r="AD62" s="1947"/>
      <c r="AE62" s="1938"/>
      <c r="AF62" s="1938"/>
      <c r="AG62" s="2003"/>
      <c r="AH62" s="2000"/>
      <c r="AI62" s="2004"/>
      <c r="AJ62" s="2002"/>
      <c r="AK62" s="2002"/>
      <c r="AL62" s="1943"/>
      <c r="AM62" s="1947"/>
      <c r="AN62" s="1951"/>
      <c r="AO62" s="1938"/>
      <c r="AP62" s="1948"/>
      <c r="AQ62" s="2002"/>
      <c r="AR62" s="2002"/>
      <c r="AS62" s="2000"/>
      <c r="AT62" s="2002"/>
    </row>
    <row r="63" spans="1:46" ht="35.25" customHeight="1" x14ac:dyDescent="0.3">
      <c r="A63" s="2260">
        <v>46053</v>
      </c>
      <c r="B63" s="1252">
        <v>1</v>
      </c>
      <c r="C63" s="1944"/>
      <c r="D63" s="1945"/>
      <c r="E63" s="1945"/>
      <c r="F63" s="1946"/>
      <c r="G63" s="1942"/>
      <c r="H63" s="1942"/>
      <c r="I63" s="1940"/>
      <c r="J63" s="1950"/>
      <c r="K63" s="326"/>
      <c r="L63" s="1947"/>
      <c r="M63" s="1938"/>
      <c r="N63" s="1938"/>
      <c r="O63" s="1946"/>
      <c r="P63" s="1942"/>
      <c r="Q63" s="1939"/>
      <c r="R63" s="1942"/>
      <c r="S63" s="1950"/>
      <c r="T63" s="326"/>
      <c r="U63" s="1947"/>
      <c r="V63" s="1938"/>
      <c r="W63" s="1938"/>
      <c r="X63" s="1946"/>
      <c r="Y63" s="1941"/>
      <c r="Z63" s="1939"/>
      <c r="AA63" s="1949"/>
      <c r="AB63" s="1950"/>
      <c r="AC63" s="326"/>
      <c r="AD63" s="1947"/>
      <c r="AE63" s="1938"/>
      <c r="AF63" s="1938"/>
      <c r="AG63" s="2003"/>
      <c r="AH63" s="2000"/>
      <c r="AI63" s="2004"/>
      <c r="AJ63" s="2002"/>
      <c r="AK63" s="2002"/>
      <c r="AL63" s="1943"/>
      <c r="AM63" s="1947"/>
      <c r="AN63" s="1951"/>
      <c r="AO63" s="1938"/>
      <c r="AP63" s="1948"/>
      <c r="AQ63" s="2002"/>
      <c r="AR63" s="2002"/>
      <c r="AS63" s="2000"/>
      <c r="AT63" s="2002"/>
    </row>
    <row r="64" spans="1:46" ht="40.5" customHeight="1" x14ac:dyDescent="0.3">
      <c r="A64" s="2261"/>
      <c r="B64" s="1218">
        <v>2</v>
      </c>
      <c r="C64" s="1944"/>
      <c r="D64" s="1945"/>
      <c r="E64" s="1945"/>
      <c r="F64" s="1946"/>
      <c r="G64" s="1942"/>
      <c r="H64" s="1942"/>
      <c r="I64" s="1940"/>
      <c r="J64" s="1950"/>
      <c r="K64" s="326"/>
      <c r="L64" s="1947"/>
      <c r="M64" s="1938"/>
      <c r="N64" s="1938"/>
      <c r="O64" s="1946"/>
      <c r="P64" s="1942"/>
      <c r="Q64" s="1939"/>
      <c r="R64" s="1942"/>
      <c r="S64" s="1950"/>
      <c r="T64" s="326"/>
      <c r="U64" s="1947"/>
      <c r="V64" s="1938"/>
      <c r="W64" s="1938"/>
      <c r="X64" s="1946"/>
      <c r="Y64" s="1941"/>
      <c r="Z64" s="1939"/>
      <c r="AA64" s="1949"/>
      <c r="AB64" s="1950"/>
      <c r="AC64" s="326"/>
      <c r="AD64" s="1947"/>
      <c r="AE64" s="1938"/>
      <c r="AF64" s="1938"/>
      <c r="AG64" s="2003"/>
      <c r="AH64" s="2000"/>
      <c r="AI64" s="2004"/>
      <c r="AJ64" s="2002"/>
      <c r="AK64" s="2002"/>
      <c r="AL64" s="1943"/>
      <c r="AM64" s="1947"/>
      <c r="AN64" s="1951"/>
      <c r="AO64" s="1938"/>
      <c r="AP64" s="1948"/>
      <c r="AQ64" s="2002"/>
      <c r="AR64" s="2002"/>
      <c r="AS64" s="2000"/>
      <c r="AT64" s="2002"/>
    </row>
    <row r="65" spans="1:46" ht="18.75" x14ac:dyDescent="0.3">
      <c r="A65" s="301" t="s">
        <v>225</v>
      </c>
      <c r="B65" s="419"/>
      <c r="C65" s="1285">
        <f>SUM(C3:C64)</f>
        <v>674</v>
      </c>
      <c r="D65" s="419">
        <f>SUM(D3:D64)</f>
        <v>309</v>
      </c>
      <c r="E65" s="1285">
        <f>SUM(E3:E64)</f>
        <v>410</v>
      </c>
      <c r="F65" s="419">
        <f>SUM(F3:F64)</f>
        <v>0</v>
      </c>
      <c r="G65" s="301"/>
      <c r="H65" s="301"/>
      <c r="I65" s="301"/>
      <c r="J65" s="301"/>
      <c r="K65" s="301"/>
      <c r="L65" s="419">
        <f>SUM(L3:L64)</f>
        <v>289</v>
      </c>
      <c r="M65" s="419">
        <f>SUM(M3:M64)</f>
        <v>413</v>
      </c>
      <c r="N65" s="419">
        <f>SUM(N3:N64)</f>
        <v>0</v>
      </c>
      <c r="O65" s="419">
        <f>SUM(O3:O64)</f>
        <v>0</v>
      </c>
      <c r="P65" s="301"/>
      <c r="Q65" s="301"/>
      <c r="R65" s="301"/>
      <c r="S65" s="301"/>
      <c r="T65" s="301"/>
      <c r="U65" s="419">
        <f>SUM(U3:U64)</f>
        <v>4568</v>
      </c>
      <c r="V65" s="419">
        <f>SUM(V3:V64)</f>
        <v>708</v>
      </c>
      <c r="W65" s="419">
        <f>SUM(W3:W64)</f>
        <v>439</v>
      </c>
      <c r="X65" s="419">
        <f>SUM(X3:X64)</f>
        <v>0</v>
      </c>
      <c r="Y65" s="301"/>
      <c r="Z65" s="301"/>
      <c r="AA65" s="301"/>
      <c r="AB65" s="301"/>
      <c r="AC65" s="301"/>
      <c r="AD65" s="419">
        <f>SUM(AD3:AD64)</f>
        <v>403</v>
      </c>
      <c r="AE65" s="419">
        <f>SUM(AE3:AE64)</f>
        <v>370</v>
      </c>
      <c r="AF65" s="419">
        <f>SUM(AF3:AF64)</f>
        <v>174</v>
      </c>
      <c r="AG65" s="419">
        <f>SUM(AG3:AG64)</f>
        <v>0</v>
      </c>
      <c r="AH65" s="301"/>
      <c r="AI65" s="301"/>
      <c r="AJ65" s="301"/>
      <c r="AK65" s="301"/>
      <c r="AL65" s="301"/>
      <c r="AM65" s="419">
        <f>SUM(AM3:AM64)</f>
        <v>415</v>
      </c>
      <c r="AN65" s="419">
        <f>SUM(AN3:AN64)</f>
        <v>0</v>
      </c>
      <c r="AO65" s="419">
        <f>SUM(AO3:AO64)</f>
        <v>226</v>
      </c>
      <c r="AP65" s="419">
        <f>SUM(AP3:AP64)</f>
        <v>0</v>
      </c>
      <c r="AQ65" s="301"/>
      <c r="AR65" s="301"/>
      <c r="AS65" s="301"/>
      <c r="AT65" s="301"/>
    </row>
    <row r="73" spans="1:46" ht="15.75" thickBot="1" x14ac:dyDescent="0.3"/>
    <row r="74" spans="1:46" ht="19.5" thickBot="1" x14ac:dyDescent="0.35">
      <c r="B74" s="419"/>
      <c r="C74" s="2222" t="s">
        <v>199</v>
      </c>
      <c r="D74" s="2223"/>
      <c r="E74" s="2224" t="s">
        <v>200</v>
      </c>
      <c r="F74" s="2225"/>
      <c r="G74" s="2222" t="s">
        <v>201</v>
      </c>
      <c r="H74" s="2223"/>
      <c r="I74" s="2222" t="s">
        <v>204</v>
      </c>
      <c r="J74" s="2223"/>
    </row>
    <row r="75" spans="1:46" ht="19.5" thickBot="1" x14ac:dyDescent="0.35">
      <c r="B75" s="419"/>
      <c r="C75" s="662" t="s">
        <v>222</v>
      </c>
      <c r="D75" s="663" t="s">
        <v>223</v>
      </c>
      <c r="E75" s="664" t="s">
        <v>222</v>
      </c>
      <c r="F75" s="665" t="s">
        <v>223</v>
      </c>
      <c r="G75" s="662" t="s">
        <v>222</v>
      </c>
      <c r="H75" s="663" t="s">
        <v>223</v>
      </c>
      <c r="I75" s="662" t="s">
        <v>222</v>
      </c>
      <c r="J75" s="663" t="s">
        <v>223</v>
      </c>
    </row>
    <row r="76" spans="1:46" ht="18.75" x14ac:dyDescent="0.3">
      <c r="B76" s="651" t="s">
        <v>218</v>
      </c>
      <c r="C76" s="652">
        <f>C65</f>
        <v>674</v>
      </c>
      <c r="D76" s="653">
        <f>C76/60</f>
        <v>11.233333333333333</v>
      </c>
      <c r="E76" s="652">
        <f>D65</f>
        <v>309</v>
      </c>
      <c r="F76" s="654">
        <f>E76/60</f>
        <v>5.15</v>
      </c>
      <c r="G76" s="652">
        <f>E65</f>
        <v>410</v>
      </c>
      <c r="H76" s="653">
        <f>G76/60</f>
        <v>6.833333333333333</v>
      </c>
      <c r="I76" s="652">
        <f>F65</f>
        <v>0</v>
      </c>
      <c r="J76" s="653">
        <f>I76/60</f>
        <v>0</v>
      </c>
    </row>
    <row r="77" spans="1:46" ht="18.75" x14ac:dyDescent="0.3">
      <c r="B77" s="651" t="s">
        <v>219</v>
      </c>
      <c r="C77" s="655">
        <f>L65</f>
        <v>289</v>
      </c>
      <c r="D77" s="656">
        <f>C77/60</f>
        <v>4.8166666666666664</v>
      </c>
      <c r="E77" s="655">
        <f>M65</f>
        <v>413</v>
      </c>
      <c r="F77" s="657">
        <f>E77/60</f>
        <v>6.8833333333333337</v>
      </c>
      <c r="G77" s="655">
        <f>N65</f>
        <v>0</v>
      </c>
      <c r="H77" s="656">
        <f>G77/60</f>
        <v>0</v>
      </c>
      <c r="I77" s="655">
        <f>O65</f>
        <v>0</v>
      </c>
      <c r="J77" s="656">
        <f>I77/60</f>
        <v>0</v>
      </c>
    </row>
    <row r="78" spans="1:46" ht="18.75" x14ac:dyDescent="0.3">
      <c r="B78" s="651" t="s">
        <v>220</v>
      </c>
      <c r="C78" s="655">
        <f>U65</f>
        <v>4568</v>
      </c>
      <c r="D78" s="656">
        <f>C78/60</f>
        <v>76.13333333333334</v>
      </c>
      <c r="E78" s="655">
        <f>V65</f>
        <v>708</v>
      </c>
      <c r="F78" s="657">
        <f>E78/60</f>
        <v>11.8</v>
      </c>
      <c r="G78" s="655">
        <f>W65</f>
        <v>439</v>
      </c>
      <c r="H78" s="656">
        <f>G78/60</f>
        <v>7.3166666666666664</v>
      </c>
      <c r="I78" s="655">
        <f>X65</f>
        <v>0</v>
      </c>
      <c r="J78" s="656">
        <f>I78/60</f>
        <v>0</v>
      </c>
    </row>
    <row r="79" spans="1:46" ht="19.5" thickBot="1" x14ac:dyDescent="0.35">
      <c r="B79" s="651" t="s">
        <v>221</v>
      </c>
      <c r="C79" s="658">
        <f>AD65</f>
        <v>403</v>
      </c>
      <c r="D79" s="659">
        <f>C79/60</f>
        <v>6.7166666666666668</v>
      </c>
      <c r="E79" s="658">
        <f>AE65</f>
        <v>370</v>
      </c>
      <c r="F79" s="660">
        <f>E79/60</f>
        <v>6.166666666666667</v>
      </c>
      <c r="G79" s="658">
        <f>AF65</f>
        <v>174</v>
      </c>
      <c r="H79" s="659">
        <f>G79/60</f>
        <v>2.9</v>
      </c>
      <c r="I79" s="658">
        <f>AG65</f>
        <v>0</v>
      </c>
      <c r="J79" s="659">
        <f>I79/60</f>
        <v>0</v>
      </c>
    </row>
    <row r="80" spans="1:46" ht="19.5" thickBot="1" x14ac:dyDescent="0.35">
      <c r="B80" s="651" t="s">
        <v>488</v>
      </c>
      <c r="C80" s="850">
        <f>AM65</f>
        <v>415</v>
      </c>
      <c r="D80" s="849">
        <f>C80/60</f>
        <v>6.916666666666667</v>
      </c>
      <c r="E80" s="850">
        <f>AN65</f>
        <v>0</v>
      </c>
      <c r="F80" s="851">
        <f>E80/60</f>
        <v>0</v>
      </c>
      <c r="G80" s="850">
        <f>AO65</f>
        <v>226</v>
      </c>
      <c r="H80" s="849">
        <f>G80/60</f>
        <v>3.7666666666666666</v>
      </c>
      <c r="I80" s="850">
        <f>AP65</f>
        <v>0</v>
      </c>
      <c r="J80" s="849">
        <f>I80/60</f>
        <v>0</v>
      </c>
    </row>
    <row r="81" spans="2:10" ht="19.5" thickBot="1" x14ac:dyDescent="0.35">
      <c r="B81" s="419"/>
      <c r="C81" s="301"/>
      <c r="D81" s="301"/>
      <c r="E81" s="301"/>
      <c r="F81" s="301"/>
      <c r="G81" s="301"/>
      <c r="H81" s="301"/>
      <c r="I81" s="301"/>
      <c r="J81" s="301"/>
    </row>
    <row r="82" spans="2:10" ht="19.5" thickBot="1" x14ac:dyDescent="0.35">
      <c r="B82" s="661" t="s">
        <v>217</v>
      </c>
      <c r="C82" s="666"/>
      <c r="D82" s="667">
        <f>SUM(D76:D80)</f>
        <v>105.81666666666668</v>
      </c>
      <c r="E82" s="666"/>
      <c r="F82" s="667">
        <f>SUM(F76:F80)</f>
        <v>30.000000000000004</v>
      </c>
      <c r="G82" s="666"/>
      <c r="H82" s="667">
        <f>SUM(H76:H80)</f>
        <v>20.816666666666663</v>
      </c>
      <c r="I82" s="666"/>
      <c r="J82" s="668">
        <f>AVERAGE(J76:J80)</f>
        <v>0</v>
      </c>
    </row>
  </sheetData>
  <mergeCells count="45">
    <mergeCell ref="E74:F74"/>
    <mergeCell ref="G74:H74"/>
    <mergeCell ref="I74:J74"/>
    <mergeCell ref="A55:A56"/>
    <mergeCell ref="A57:A58"/>
    <mergeCell ref="A59:A60"/>
    <mergeCell ref="A61:A62"/>
    <mergeCell ref="A63:A64"/>
    <mergeCell ref="C74:D74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29:A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D1:AG1"/>
    <mergeCell ref="AH1:AK1"/>
    <mergeCell ref="AM1:AP1"/>
    <mergeCell ref="AQ1:AT1"/>
    <mergeCell ref="A3:A4"/>
    <mergeCell ref="U1:X1"/>
    <mergeCell ref="Y1:AB1"/>
    <mergeCell ref="A5:A6"/>
    <mergeCell ref="C1:F1"/>
    <mergeCell ref="G1:J1"/>
    <mergeCell ref="L1:O1"/>
    <mergeCell ref="P1:S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62</vt:i4>
      </vt:variant>
    </vt:vector>
  </HeadingPairs>
  <TitlesOfParts>
    <vt:vector size="62" baseType="lpstr">
      <vt:lpstr>июль 2021 (2)</vt:lpstr>
      <vt:lpstr>январь2021</vt:lpstr>
      <vt:lpstr>февраль 2021</vt:lpstr>
      <vt:lpstr>март 2021</vt:lpstr>
      <vt:lpstr>апрель 2021</vt:lpstr>
      <vt:lpstr>май 2021</vt:lpstr>
      <vt:lpstr>июнь 2021</vt:lpstr>
      <vt:lpstr>июль 2021</vt:lpstr>
      <vt:lpstr>август 2021</vt:lpstr>
      <vt:lpstr>сентябрь 2021</vt:lpstr>
      <vt:lpstr>октябрь 2021</vt:lpstr>
      <vt:lpstr>ноябрь 2021</vt:lpstr>
      <vt:lpstr>Декабрь 2021</vt:lpstr>
      <vt:lpstr>Январь 2022</vt:lpstr>
      <vt:lpstr>февраль 2022</vt:lpstr>
      <vt:lpstr>март 2022 г</vt:lpstr>
      <vt:lpstr>апрель 2022 г</vt:lpstr>
      <vt:lpstr>май 2022г</vt:lpstr>
      <vt:lpstr>июнь 2022г</vt:lpstr>
      <vt:lpstr>июль 2022г</vt:lpstr>
      <vt:lpstr>август 2022г</vt:lpstr>
      <vt:lpstr>сентябрь 2022г</vt:lpstr>
      <vt:lpstr>октябрь 2022г</vt:lpstr>
      <vt:lpstr>ноябрь 2022г</vt:lpstr>
      <vt:lpstr>декабрь 2022г </vt:lpstr>
      <vt:lpstr>январь 2023г</vt:lpstr>
      <vt:lpstr>февраль 2023г </vt:lpstr>
      <vt:lpstr>март 2023г </vt:lpstr>
      <vt:lpstr>апрель 2023г</vt:lpstr>
      <vt:lpstr>май 2023г </vt:lpstr>
      <vt:lpstr>июнь 2023г</vt:lpstr>
      <vt:lpstr>июль 2023г</vt:lpstr>
      <vt:lpstr>август 2023г</vt:lpstr>
      <vt:lpstr>сентябрь 2023г</vt:lpstr>
      <vt:lpstr>октябрь 2023г</vt:lpstr>
      <vt:lpstr>ноябрь 2023г</vt:lpstr>
      <vt:lpstr>декабрь 2023г</vt:lpstr>
      <vt:lpstr>январь 2024г</vt:lpstr>
      <vt:lpstr>февраль 2024г</vt:lpstr>
      <vt:lpstr>март 2024г</vt:lpstr>
      <vt:lpstr>апрель 2024г</vt:lpstr>
      <vt:lpstr>май 2024г</vt:lpstr>
      <vt:lpstr>июнь 2024г</vt:lpstr>
      <vt:lpstr>июль 2024г</vt:lpstr>
      <vt:lpstr>август 2024г</vt:lpstr>
      <vt:lpstr>сентябрь 2024г</vt:lpstr>
      <vt:lpstr>октябрь 2024г</vt:lpstr>
      <vt:lpstr>ноябрь 2024г</vt:lpstr>
      <vt:lpstr>декабрь 2024г</vt:lpstr>
      <vt:lpstr>январь 2025г</vt:lpstr>
      <vt:lpstr>февраль 2025г </vt:lpstr>
      <vt:lpstr>Март 2025г</vt:lpstr>
      <vt:lpstr>Апрель 2025г</vt:lpstr>
      <vt:lpstr>май 2025г</vt:lpstr>
      <vt:lpstr>июнь 2025г</vt:lpstr>
      <vt:lpstr>сентябрь 2025г   </vt:lpstr>
      <vt:lpstr>октябрь 2025г</vt:lpstr>
      <vt:lpstr>июль 2025г </vt:lpstr>
      <vt:lpstr>август 2025г  </vt:lpstr>
      <vt:lpstr>ноябрь 2025г    </vt:lpstr>
      <vt:lpstr>декабрь 2025г     </vt:lpstr>
      <vt:lpstr>Январ 2026 год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2026-01-21T03:34:51Z</dcterms:modified>
</cp:coreProperties>
</file>