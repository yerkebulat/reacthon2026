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924" firstSheet="27" activeTab="40"/>
  </bookViews>
  <sheets>
    <sheet name="01.01.26см1" sheetId="1" r:id="rId1"/>
    <sheet name="01.01.26см2" sheetId="2" r:id="rId2"/>
    <sheet name="02.01.26см1" sheetId="3" r:id="rId3"/>
    <sheet name="02.01.26см2" sheetId="4" r:id="rId4"/>
    <sheet name="03.01.26см1" sheetId="5" r:id="rId5"/>
    <sheet name="03.01.26см2" sheetId="6" r:id="rId6"/>
    <sheet name="04.01.26см1" sheetId="7" r:id="rId7"/>
    <sheet name="04.01.26см2" sheetId="8" r:id="rId8"/>
    <sheet name="05.01.26см1" sheetId="9" r:id="rId9"/>
    <sheet name="05.01.26см2" sheetId="10" r:id="rId10"/>
    <sheet name="06.01.26см1" sheetId="11" r:id="rId11"/>
    <sheet name="06.01.26см2" sheetId="12" r:id="rId12"/>
    <sheet name="07.01.26см1" sheetId="13" r:id="rId13"/>
    <sheet name="07.01.26см2" sheetId="14" r:id="rId14"/>
    <sheet name="08.01.26см1" sheetId="15" r:id="rId15"/>
    <sheet name="08.01.26см2" sheetId="16" r:id="rId16"/>
    <sheet name="09.01.26см1" sheetId="17" r:id="rId17"/>
    <sheet name="09.01.26см2" sheetId="18" r:id="rId18"/>
    <sheet name="10.01.26см1" sheetId="19" r:id="rId19"/>
    <sheet name="10.01.26см2" sheetId="20" r:id="rId20"/>
    <sheet name="11.01.26см1" sheetId="21" r:id="rId21"/>
    <sheet name="11.01.26см2" sheetId="22" r:id="rId22"/>
    <sheet name="12.01.26см1" sheetId="23" r:id="rId23"/>
    <sheet name="12.01.26см2" sheetId="24" r:id="rId24"/>
    <sheet name="13.01.26см1" sheetId="25" r:id="rId25"/>
    <sheet name="13.01.26см2" sheetId="26" r:id="rId26"/>
    <sheet name="14.01.26см1" sheetId="27" r:id="rId27"/>
    <sheet name="14.01.26см2" sheetId="28" r:id="rId28"/>
    <sheet name="15.01.26см1" sheetId="29" r:id="rId29"/>
    <sheet name="15.01.26см2" sheetId="30" r:id="rId30"/>
    <sheet name="16.01.26см1" sheetId="31" r:id="rId31"/>
    <sheet name="16.01.26см2" sheetId="33" r:id="rId32"/>
    <sheet name="17.01.26см1" sheetId="34" r:id="rId33"/>
    <sheet name="17.01.26см2" sheetId="35" r:id="rId34"/>
    <sheet name="18.01.26см1" sheetId="36" r:id="rId35"/>
    <sheet name="18.01.26см2" sheetId="37" r:id="rId36"/>
    <sheet name="19.01.26см1" sheetId="38" r:id="rId37"/>
    <sheet name="19.01.26см2" sheetId="39" r:id="rId38"/>
    <sheet name="20.01.26см1" sheetId="40" r:id="rId39"/>
    <sheet name="20.01.26см2" sheetId="41" r:id="rId40"/>
    <sheet name="21.01.26см1" sheetId="42" r:id="rId41"/>
    <sheet name="21.01.26см2" sheetId="43" r:id="rId42"/>
    <sheet name="22.01.26см1" sheetId="44" r:id="rId43"/>
    <sheet name="22.01.26см2" sheetId="45" r:id="rId44"/>
    <sheet name="23.01.26см1" sheetId="46" r:id="rId45"/>
    <sheet name="23.01.26см2" sheetId="47" r:id="rId46"/>
    <sheet name="24.01.26см1" sheetId="48" r:id="rId47"/>
    <sheet name="24.01.26см2" sheetId="49" r:id="rId48"/>
    <sheet name="25.01.26см1" sheetId="50" r:id="rId49"/>
    <sheet name="25.01.26см2" sheetId="51" r:id="rId50"/>
    <sheet name="26.01.26см1" sheetId="52" r:id="rId51"/>
    <sheet name="26.01.26см2" sheetId="53" r:id="rId52"/>
    <sheet name="27.01.26см1" sheetId="54" r:id="rId53"/>
    <sheet name="27.01.26см2" sheetId="55" r:id="rId54"/>
    <sheet name="28.01.26см1" sheetId="56" r:id="rId55"/>
    <sheet name="28.01.26см2" sheetId="57" r:id="rId56"/>
    <sheet name="29.01.26см1" sheetId="58" r:id="rId57"/>
    <sheet name="29.01.26см2" sheetId="59" r:id="rId58"/>
    <sheet name="30.01.26см1" sheetId="60" r:id="rId59"/>
    <sheet name="30.01.26см2" sheetId="61" r:id="rId60"/>
    <sheet name="31.01.26см1" sheetId="62" r:id="rId61"/>
    <sheet name="31.01.26см2" sheetId="63" r:id="rId62"/>
    <sheet name="01.02.26см1" sheetId="64" r:id="rId63"/>
    <sheet name="01.02.26см2" sheetId="65" r:id="rId64"/>
    <sheet name="02.02.26см1" sheetId="66" r:id="rId65"/>
    <sheet name="02.02.26см2" sheetId="67" r:id="rId66"/>
    <sheet name="Лист1" sheetId="68" r:id="rId67"/>
  </sheets>
  <externalReferences>
    <externalReference r:id="rId68"/>
  </externalReferences>
  <calcPr calcId="152511"/>
</workbook>
</file>

<file path=xl/calcChain.xml><?xml version="1.0" encoding="utf-8"?>
<calcChain xmlns="http://schemas.openxmlformats.org/spreadsheetml/2006/main">
  <c r="X8" i="42" l="1"/>
  <c r="X7" i="42"/>
  <c r="X6" i="42"/>
  <c r="X5" i="42"/>
  <c r="D40" i="42"/>
  <c r="X8" i="41" l="1"/>
  <c r="X7" i="41"/>
  <c r="X6" i="41"/>
  <c r="X5" i="41"/>
  <c r="X8" i="40" l="1"/>
  <c r="X7" i="40"/>
  <c r="X6" i="40"/>
  <c r="X5" i="40"/>
  <c r="D40" i="40"/>
  <c r="U15" i="39"/>
  <c r="X8" i="39" l="1"/>
  <c r="X7" i="39"/>
  <c r="X6" i="39"/>
  <c r="X5" i="39"/>
  <c r="X8" i="38"/>
  <c r="X7" i="38"/>
  <c r="X6" i="38"/>
  <c r="X5" i="38"/>
  <c r="D40" i="38"/>
  <c r="X8" i="37"/>
  <c r="X7" i="37"/>
  <c r="X6" i="37"/>
  <c r="X5" i="37"/>
  <c r="X8" i="36" l="1"/>
  <c r="X7" i="36"/>
  <c r="X6" i="36"/>
  <c r="X5" i="36"/>
  <c r="D40" i="36"/>
  <c r="X8" i="35" l="1"/>
  <c r="X7" i="35"/>
  <c r="X6" i="35"/>
  <c r="X5" i="35"/>
  <c r="X8" i="34" l="1"/>
  <c r="X7" i="34"/>
  <c r="X6" i="34"/>
  <c r="X5" i="34"/>
  <c r="D40" i="34"/>
  <c r="X8" i="33" l="1"/>
  <c r="X7" i="33"/>
  <c r="X6" i="33"/>
  <c r="X5" i="33"/>
  <c r="AF4" i="30"/>
  <c r="AF5" i="30"/>
  <c r="AF6" i="30"/>
  <c r="AF7" i="30"/>
  <c r="AF8" i="30"/>
  <c r="AF9" i="30"/>
  <c r="AF10" i="30"/>
  <c r="AF11" i="30"/>
  <c r="AF12" i="30"/>
  <c r="AF13" i="30"/>
  <c r="AF14" i="30"/>
  <c r="AF15" i="30"/>
  <c r="AF16" i="30"/>
  <c r="AF17" i="30"/>
  <c r="AF18" i="30"/>
  <c r="AF19" i="30"/>
  <c r="AF20" i="30"/>
  <c r="AF21" i="30"/>
  <c r="AF22" i="30"/>
  <c r="AF23" i="30"/>
  <c r="AF24" i="30"/>
  <c r="AF25" i="30"/>
  <c r="AF26" i="30"/>
  <c r="AF27" i="30"/>
  <c r="AF28" i="30"/>
  <c r="AF29" i="30"/>
  <c r="AF30" i="30"/>
  <c r="AF31" i="30"/>
  <c r="AF32" i="30"/>
  <c r="AF33" i="30"/>
  <c r="AF34" i="30"/>
  <c r="AF35" i="30"/>
  <c r="AF36" i="30"/>
  <c r="AF37" i="30"/>
  <c r="AF38" i="30"/>
  <c r="AF39" i="30"/>
  <c r="AF40" i="30"/>
  <c r="AF41" i="30"/>
  <c r="AF42" i="30"/>
  <c r="AF43" i="30"/>
  <c r="AF44" i="30"/>
  <c r="AF45" i="30"/>
  <c r="AF46" i="30"/>
  <c r="AF47" i="30"/>
  <c r="AF48" i="30"/>
  <c r="AF49" i="30"/>
  <c r="AF50" i="30"/>
  <c r="AF51" i="30"/>
  <c r="AF52" i="30"/>
  <c r="AF53" i="30"/>
  <c r="AF54" i="30"/>
  <c r="AF55" i="30"/>
  <c r="AF56" i="30"/>
  <c r="AF57" i="30"/>
  <c r="AF58" i="30"/>
  <c r="AF59" i="30"/>
  <c r="AF60" i="30"/>
  <c r="AF3" i="30"/>
  <c r="AA18" i="30" l="1"/>
  <c r="X8" i="30" l="1"/>
  <c r="X7" i="30"/>
  <c r="X6" i="30"/>
  <c r="X5" i="30"/>
  <c r="X8" i="28" l="1"/>
  <c r="X6" i="28"/>
  <c r="X5" i="28"/>
  <c r="D40" i="26" l="1"/>
  <c r="X8" i="26"/>
  <c r="X7" i="26"/>
  <c r="X6" i="26"/>
  <c r="X5" i="26"/>
  <c r="AA24" i="24" l="1"/>
  <c r="AA30" i="24"/>
  <c r="D40" i="24" l="1"/>
  <c r="X8" i="24"/>
  <c r="X7" i="24"/>
  <c r="X6" i="24"/>
  <c r="X5" i="24"/>
  <c r="AF4" i="22" l="1"/>
  <c r="AF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35" i="22"/>
  <c r="AF36" i="22"/>
  <c r="AF37" i="22"/>
  <c r="AF38" i="22"/>
  <c r="AF39" i="22"/>
  <c r="AF40" i="22"/>
  <c r="AF41" i="22"/>
  <c r="AF42" i="22"/>
  <c r="AF43" i="22"/>
  <c r="AF44" i="22"/>
  <c r="AF45" i="22"/>
  <c r="AF46" i="22"/>
  <c r="AF47" i="22"/>
  <c r="AF48" i="22"/>
  <c r="AF49" i="22"/>
  <c r="AF50" i="22"/>
  <c r="AF51" i="22"/>
  <c r="AF52" i="22"/>
  <c r="AF53" i="22"/>
  <c r="AF54" i="22"/>
  <c r="AF55" i="22"/>
  <c r="AF56" i="22"/>
  <c r="AF57" i="22"/>
  <c r="AF58" i="22"/>
  <c r="AF59" i="22"/>
  <c r="AF60" i="22"/>
  <c r="AF3" i="22"/>
  <c r="AA24" i="22"/>
  <c r="D40" i="22" l="1"/>
  <c r="X8" i="22"/>
  <c r="X7" i="22"/>
  <c r="X6" i="22"/>
  <c r="X5" i="22"/>
  <c r="AF4" i="20" l="1"/>
  <c r="AF5" i="20"/>
  <c r="AF6" i="20"/>
  <c r="AF7" i="20"/>
  <c r="AF8" i="20"/>
  <c r="AF9" i="20"/>
  <c r="AF10" i="20"/>
  <c r="AF11" i="20"/>
  <c r="AF12" i="20"/>
  <c r="AF13" i="20"/>
  <c r="AF14" i="20"/>
  <c r="AF15" i="20"/>
  <c r="AF16" i="20"/>
  <c r="AF17" i="20"/>
  <c r="AF18" i="20"/>
  <c r="AF19" i="20"/>
  <c r="AF20" i="20"/>
  <c r="AF21" i="20"/>
  <c r="AF22" i="20"/>
  <c r="AF23" i="20"/>
  <c r="AF24" i="20"/>
  <c r="AF25" i="20"/>
  <c r="AF26" i="20"/>
  <c r="AF27" i="20"/>
  <c r="AF28" i="20"/>
  <c r="AF29" i="20"/>
  <c r="AF30" i="20"/>
  <c r="AF31" i="20"/>
  <c r="AF32" i="20"/>
  <c r="AF33" i="20"/>
  <c r="AF34" i="20"/>
  <c r="AF35" i="20"/>
  <c r="AF36" i="20"/>
  <c r="AF37" i="20"/>
  <c r="AF38" i="20"/>
  <c r="AF39" i="20"/>
  <c r="AF40" i="20"/>
  <c r="AF41" i="20"/>
  <c r="AF42" i="20"/>
  <c r="AF43" i="20"/>
  <c r="AF44" i="20"/>
  <c r="AF45" i="20"/>
  <c r="AF46" i="20"/>
  <c r="AF47" i="20"/>
  <c r="AF48" i="20"/>
  <c r="AF49" i="20"/>
  <c r="AF50" i="20"/>
  <c r="AF51" i="20"/>
  <c r="AF52" i="20"/>
  <c r="AF53" i="20"/>
  <c r="AF54" i="20"/>
  <c r="AF55" i="20"/>
  <c r="AF56" i="20"/>
  <c r="AF57" i="20"/>
  <c r="AF58" i="20"/>
  <c r="AF59" i="20"/>
  <c r="AF60" i="20"/>
  <c r="AF3" i="20"/>
  <c r="X8" i="20"/>
  <c r="X7" i="20"/>
  <c r="X6" i="20"/>
  <c r="X5" i="20"/>
  <c r="D40" i="20"/>
  <c r="AA35" i="66"/>
  <c r="AA34" i="66"/>
  <c r="AA33" i="66"/>
  <c r="AA32" i="66"/>
  <c r="AA36" i="66" s="1"/>
  <c r="AA29" i="66"/>
  <c r="AA28" i="66"/>
  <c r="AA27" i="66"/>
  <c r="AA26" i="66"/>
  <c r="AA30" i="66" s="1"/>
  <c r="AA23" i="66"/>
  <c r="AA22" i="66"/>
  <c r="AA21" i="66"/>
  <c r="AA20" i="66"/>
  <c r="AA24" i="66" s="1"/>
  <c r="AA18" i="66"/>
  <c r="AA17" i="66"/>
  <c r="AA16" i="66"/>
  <c r="AA15" i="66"/>
  <c r="AA14" i="66"/>
  <c r="AA35" i="64"/>
  <c r="AA34" i="64"/>
  <c r="AA33" i="64"/>
  <c r="AA32" i="64"/>
  <c r="AA36" i="64" s="1"/>
  <c r="AA29" i="64"/>
  <c r="AA28" i="64"/>
  <c r="AA30" i="64" s="1"/>
  <c r="AA27" i="64"/>
  <c r="AA26" i="64"/>
  <c r="AA23" i="64"/>
  <c r="AA22" i="64"/>
  <c r="AA21" i="64"/>
  <c r="AA20" i="64"/>
  <c r="AA24" i="64" s="1"/>
  <c r="AA18" i="64"/>
  <c r="AA17" i="64"/>
  <c r="AA16" i="64"/>
  <c r="AA15" i="64"/>
  <c r="AA14" i="64"/>
  <c r="AA35" i="62"/>
  <c r="AA34" i="62"/>
  <c r="AA33" i="62"/>
  <c r="AA32" i="62"/>
  <c r="AA36" i="62" s="1"/>
  <c r="AA29" i="62"/>
  <c r="AA28" i="62"/>
  <c r="AA30" i="62" s="1"/>
  <c r="AA27" i="62"/>
  <c r="AA26" i="62"/>
  <c r="AA23" i="62"/>
  <c r="AA22" i="62"/>
  <c r="AA21" i="62"/>
  <c r="AA20" i="62"/>
  <c r="AA24" i="62" s="1"/>
  <c r="AA18" i="62"/>
  <c r="AA17" i="62"/>
  <c r="AA16" i="62"/>
  <c r="AA15" i="62"/>
  <c r="AA14" i="62"/>
  <c r="AA35" i="60"/>
  <c r="AA34" i="60"/>
  <c r="AA33" i="60"/>
  <c r="AA32" i="60"/>
  <c r="AA36" i="60" s="1"/>
  <c r="AA29" i="60"/>
  <c r="AA28" i="60"/>
  <c r="AA27" i="60"/>
  <c r="AA26" i="60"/>
  <c r="AA30" i="60" s="1"/>
  <c r="AA23" i="60"/>
  <c r="AA22" i="60"/>
  <c r="AA21" i="60"/>
  <c r="AA20" i="60"/>
  <c r="AA24" i="60" s="1"/>
  <c r="AA18" i="60"/>
  <c r="AA17" i="60"/>
  <c r="AA16" i="60"/>
  <c r="AA15" i="60"/>
  <c r="AA14" i="60"/>
  <c r="AA35" i="58"/>
  <c r="AA34" i="58"/>
  <c r="AA33" i="58"/>
  <c r="AA32" i="58"/>
  <c r="AA36" i="58" s="1"/>
  <c r="AA29" i="58"/>
  <c r="AA28" i="58"/>
  <c r="AA30" i="58" s="1"/>
  <c r="AA27" i="58"/>
  <c r="AA26" i="58"/>
  <c r="AA23" i="58"/>
  <c r="AA22" i="58"/>
  <c r="AA21" i="58"/>
  <c r="AA20" i="58"/>
  <c r="AA24" i="58" s="1"/>
  <c r="AA18" i="58"/>
  <c r="AA17" i="58"/>
  <c r="AA16" i="58"/>
  <c r="AA15" i="58"/>
  <c r="AA14" i="58"/>
  <c r="AA35" i="56"/>
  <c r="AA34" i="56"/>
  <c r="AA33" i="56"/>
  <c r="AA32" i="56"/>
  <c r="AA36" i="56" s="1"/>
  <c r="AA29" i="56"/>
  <c r="AA28" i="56"/>
  <c r="AA30" i="56" s="1"/>
  <c r="AA27" i="56"/>
  <c r="AA26" i="56"/>
  <c r="AA23" i="56"/>
  <c r="AA22" i="56"/>
  <c r="AA21" i="56"/>
  <c r="AA20" i="56"/>
  <c r="AA24" i="56" s="1"/>
  <c r="AA18" i="56"/>
  <c r="AA17" i="56"/>
  <c r="AA16" i="56"/>
  <c r="AA15" i="56"/>
  <c r="AA14" i="56"/>
  <c r="AA35" i="54"/>
  <c r="AA34" i="54"/>
  <c r="AA33" i="54"/>
  <c r="AA32" i="54"/>
  <c r="AA36" i="54" s="1"/>
  <c r="AA29" i="54"/>
  <c r="AA28" i="54"/>
  <c r="AA30" i="54" s="1"/>
  <c r="AA27" i="54"/>
  <c r="AA26" i="54"/>
  <c r="AA23" i="54"/>
  <c r="AA22" i="54"/>
  <c r="AA21" i="54"/>
  <c r="AA20" i="54"/>
  <c r="AA24" i="54" s="1"/>
  <c r="AA18" i="54"/>
  <c r="AA17" i="54"/>
  <c r="AA16" i="54"/>
  <c r="AA15" i="54"/>
  <c r="AA14" i="54"/>
  <c r="AA35" i="52"/>
  <c r="AA34" i="52"/>
  <c r="AA33" i="52"/>
  <c r="AA32" i="52"/>
  <c r="AA36" i="52" s="1"/>
  <c r="AA29" i="52"/>
  <c r="AA28" i="52"/>
  <c r="AA30" i="52" s="1"/>
  <c r="AA27" i="52"/>
  <c r="AA26" i="52"/>
  <c r="AA23" i="52"/>
  <c r="AA22" i="52"/>
  <c r="AA21" i="52"/>
  <c r="AA20" i="52"/>
  <c r="AA24" i="52" s="1"/>
  <c r="AA18" i="52"/>
  <c r="AA17" i="52"/>
  <c r="AA16" i="52"/>
  <c r="AA15" i="52"/>
  <c r="AA14" i="52"/>
  <c r="AA35" i="50"/>
  <c r="AA34" i="50"/>
  <c r="AA33" i="50"/>
  <c r="AA32" i="50"/>
  <c r="AA36" i="50" s="1"/>
  <c r="AA29" i="50"/>
  <c r="AA28" i="50"/>
  <c r="AA30" i="50" s="1"/>
  <c r="AA27" i="50"/>
  <c r="AA26" i="50"/>
  <c r="AA23" i="50"/>
  <c r="AA22" i="50"/>
  <c r="AA21" i="50"/>
  <c r="AA20" i="50"/>
  <c r="AA24" i="50" s="1"/>
  <c r="AA18" i="50"/>
  <c r="AA17" i="50"/>
  <c r="AA16" i="50"/>
  <c r="AA15" i="50"/>
  <c r="AA14" i="50"/>
  <c r="AA35" i="48"/>
  <c r="AA34" i="48"/>
  <c r="AA33" i="48"/>
  <c r="AA32" i="48"/>
  <c r="AA36" i="48" s="1"/>
  <c r="AA29" i="48"/>
  <c r="AA28" i="48"/>
  <c r="AA30" i="48" s="1"/>
  <c r="AA27" i="48"/>
  <c r="AA26" i="48"/>
  <c r="AA23" i="48"/>
  <c r="AA22" i="48"/>
  <c r="AA21" i="48"/>
  <c r="AA20" i="48"/>
  <c r="AA24" i="48" s="1"/>
  <c r="AA18" i="48"/>
  <c r="AA17" i="48"/>
  <c r="AA16" i="48"/>
  <c r="AA15" i="48"/>
  <c r="AA14" i="48"/>
  <c r="AA36" i="46"/>
  <c r="AA35" i="46"/>
  <c r="AA34" i="46"/>
  <c r="AA33" i="46"/>
  <c r="AA32" i="46"/>
  <c r="AA29" i="46"/>
  <c r="AA28" i="46"/>
  <c r="AA27" i="46"/>
  <c r="AA30" i="46" s="1"/>
  <c r="AA26" i="46"/>
  <c r="AA23" i="46"/>
  <c r="AA22" i="46"/>
  <c r="AA21" i="46"/>
  <c r="AA20" i="46"/>
  <c r="AA24" i="46" s="1"/>
  <c r="AA17" i="46"/>
  <c r="AA18" i="46" s="1"/>
  <c r="AA16" i="46"/>
  <c r="AA15" i="46"/>
  <c r="AA14" i="46"/>
  <c r="AA35" i="44"/>
  <c r="AA34" i="44"/>
  <c r="AA33" i="44"/>
  <c r="AA32" i="44"/>
  <c r="AA36" i="44" s="1"/>
  <c r="AA29" i="44"/>
  <c r="AA28" i="44"/>
  <c r="AA30" i="44" s="1"/>
  <c r="AA27" i="44"/>
  <c r="AA26" i="44"/>
  <c r="AA23" i="44"/>
  <c r="AA22" i="44"/>
  <c r="AA21" i="44"/>
  <c r="AA20" i="44"/>
  <c r="AA24" i="44" s="1"/>
  <c r="AA18" i="44"/>
  <c r="AA17" i="44"/>
  <c r="AA16" i="44"/>
  <c r="AA15" i="44"/>
  <c r="AA14" i="44"/>
  <c r="AA35" i="42"/>
  <c r="AA34" i="42"/>
  <c r="AA33" i="42"/>
  <c r="AA32" i="42"/>
  <c r="AA36" i="42" s="1"/>
  <c r="AA29" i="42"/>
  <c r="AA28" i="42"/>
  <c r="AA27" i="42"/>
  <c r="AA26" i="42"/>
  <c r="AA23" i="42"/>
  <c r="AA22" i="42"/>
  <c r="AA21" i="42"/>
  <c r="AA20" i="42"/>
  <c r="AA24" i="42" s="1"/>
  <c r="AA17" i="42"/>
  <c r="AA16" i="42"/>
  <c r="AA15" i="42"/>
  <c r="AA14" i="42"/>
  <c r="AA35" i="40"/>
  <c r="AA34" i="40"/>
  <c r="AA33" i="40"/>
  <c r="AA32" i="40"/>
  <c r="AA36" i="40" s="1"/>
  <c r="AA29" i="40"/>
  <c r="AA28" i="40"/>
  <c r="AA27" i="40"/>
  <c r="AA26" i="40"/>
  <c r="AA23" i="40"/>
  <c r="AA22" i="40"/>
  <c r="AA21" i="40"/>
  <c r="AA20" i="40"/>
  <c r="AA24" i="40" s="1"/>
  <c r="AA17" i="40"/>
  <c r="AA16" i="40"/>
  <c r="AA15" i="40"/>
  <c r="AA14" i="40"/>
  <c r="AA18" i="40" s="1"/>
  <c r="AA35" i="38"/>
  <c r="AA34" i="38"/>
  <c r="AA33" i="38"/>
  <c r="AA32" i="38"/>
  <c r="AA29" i="38"/>
  <c r="AA28" i="38"/>
  <c r="AA27" i="38"/>
  <c r="AA26" i="38"/>
  <c r="AA23" i="38"/>
  <c r="AA22" i="38"/>
  <c r="AA21" i="38"/>
  <c r="AA20" i="38"/>
  <c r="AA17" i="38"/>
  <c r="AA16" i="38"/>
  <c r="AA15" i="38"/>
  <c r="AA14" i="38"/>
  <c r="AA18" i="38" s="1"/>
  <c r="AA35" i="36"/>
  <c r="AA34" i="36"/>
  <c r="AA33" i="36"/>
  <c r="AA32" i="36"/>
  <c r="AA29" i="36"/>
  <c r="AA28" i="36"/>
  <c r="AA27" i="36"/>
  <c r="AA26" i="36"/>
  <c r="AA23" i="36"/>
  <c r="AA22" i="36"/>
  <c r="AA21" i="36"/>
  <c r="AA20" i="36"/>
  <c r="AA17" i="36"/>
  <c r="AA16" i="36"/>
  <c r="AA15" i="36"/>
  <c r="AA14" i="36"/>
  <c r="AA18" i="36" s="1"/>
  <c r="AA35" i="34"/>
  <c r="AA34" i="34"/>
  <c r="AA33" i="34"/>
  <c r="AA32" i="34"/>
  <c r="AA29" i="34"/>
  <c r="AA28" i="34"/>
  <c r="AA27" i="34"/>
  <c r="AA26" i="34"/>
  <c r="AA23" i="34"/>
  <c r="AA22" i="34"/>
  <c r="AA21" i="34"/>
  <c r="AA20" i="34"/>
  <c r="AA17" i="34"/>
  <c r="AA16" i="34"/>
  <c r="AA15" i="34"/>
  <c r="AA14" i="34"/>
  <c r="AA18" i="34" s="1"/>
  <c r="AA35" i="31"/>
  <c r="AA34" i="31"/>
  <c r="AA33" i="31"/>
  <c r="AA32" i="31"/>
  <c r="AA29" i="31"/>
  <c r="AA28" i="31"/>
  <c r="AA27" i="31"/>
  <c r="AA26" i="31"/>
  <c r="AA23" i="31"/>
  <c r="AA22" i="31"/>
  <c r="AA21" i="31"/>
  <c r="AA20" i="31"/>
  <c r="AA17" i="31"/>
  <c r="AA16" i="31"/>
  <c r="AA15" i="31"/>
  <c r="AA18" i="31" s="1"/>
  <c r="AA14" i="31"/>
  <c r="AA35" i="29"/>
  <c r="AA34" i="29"/>
  <c r="AA33" i="29"/>
  <c r="AA32" i="29"/>
  <c r="AA29" i="29"/>
  <c r="AA28" i="29"/>
  <c r="AA27" i="29"/>
  <c r="AA26" i="29"/>
  <c r="AA23" i="29"/>
  <c r="AA22" i="29"/>
  <c r="AA21" i="29"/>
  <c r="AA20" i="29"/>
  <c r="AA24" i="29" s="1"/>
  <c r="AA17" i="29"/>
  <c r="AA16" i="29"/>
  <c r="AA15" i="29"/>
  <c r="AA14" i="29"/>
  <c r="AA35" i="27"/>
  <c r="AA34" i="27"/>
  <c r="AA33" i="27"/>
  <c r="AA32" i="27"/>
  <c r="AA36" i="27" s="1"/>
  <c r="AA29" i="27"/>
  <c r="AA28" i="27"/>
  <c r="AA30" i="27" s="1"/>
  <c r="AA27" i="27"/>
  <c r="AA26" i="27"/>
  <c r="AA23" i="27"/>
  <c r="AA22" i="27"/>
  <c r="AA21" i="27"/>
  <c r="AA20" i="27"/>
  <c r="AA24" i="27" s="1"/>
  <c r="AA17" i="27"/>
  <c r="AA18" i="27" s="1"/>
  <c r="AA16" i="27"/>
  <c r="AA15" i="27"/>
  <c r="AA14" i="27"/>
  <c r="AA35" i="25"/>
  <c r="AA34" i="25"/>
  <c r="AA33" i="25"/>
  <c r="AA32" i="25"/>
  <c r="AA36" i="25" s="1"/>
  <c r="AA29" i="25"/>
  <c r="AA28" i="25"/>
  <c r="AA27" i="25"/>
  <c r="AA26" i="25"/>
  <c r="AA23" i="25"/>
  <c r="AA22" i="25"/>
  <c r="AA21" i="25"/>
  <c r="AA20" i="25"/>
  <c r="AA24" i="25" s="1"/>
  <c r="AA17" i="25"/>
  <c r="AA16" i="25"/>
  <c r="AA15" i="25"/>
  <c r="AA14" i="25"/>
  <c r="AA35" i="23"/>
  <c r="AA34" i="23"/>
  <c r="AA33" i="23"/>
  <c r="AA32" i="23"/>
  <c r="AA36" i="23" s="1"/>
  <c r="AA29" i="23"/>
  <c r="AA28" i="23"/>
  <c r="AA27" i="23"/>
  <c r="AA26" i="23"/>
  <c r="AA23" i="23"/>
  <c r="AA22" i="23"/>
  <c r="AA21" i="23"/>
  <c r="AA20" i="23"/>
  <c r="AA24" i="23" s="1"/>
  <c r="AA17" i="23"/>
  <c r="AA16" i="23"/>
  <c r="AA15" i="23"/>
  <c r="AA14" i="23"/>
  <c r="AA35" i="21"/>
  <c r="AA34" i="21"/>
  <c r="AA33" i="21"/>
  <c r="AA32" i="21"/>
  <c r="AA29" i="21"/>
  <c r="AA28" i="21"/>
  <c r="AA27" i="21"/>
  <c r="AA26" i="21"/>
  <c r="AA23" i="21"/>
  <c r="AA22" i="21"/>
  <c r="AA21" i="21"/>
  <c r="AA20" i="21"/>
  <c r="AA17" i="21"/>
  <c r="AA16" i="21"/>
  <c r="AA15" i="21"/>
  <c r="AA14" i="21"/>
  <c r="AA18" i="21" s="1"/>
  <c r="AA35" i="19"/>
  <c r="AA34" i="19"/>
  <c r="AA33" i="19"/>
  <c r="AA32" i="19"/>
  <c r="AA29" i="19"/>
  <c r="AA28" i="19"/>
  <c r="AA27" i="19"/>
  <c r="AA26" i="19"/>
  <c r="AA23" i="19"/>
  <c r="AA22" i="19"/>
  <c r="AA21" i="19"/>
  <c r="AA20" i="19"/>
  <c r="AA17" i="19"/>
  <c r="AA16" i="19"/>
  <c r="AA15" i="19"/>
  <c r="AA14" i="19"/>
  <c r="AA18" i="19" s="1"/>
  <c r="AA30" i="42" l="1"/>
  <c r="AA18" i="42"/>
  <c r="AA30" i="40"/>
  <c r="AA36" i="38"/>
  <c r="AA30" i="38"/>
  <c r="AA24" i="38"/>
  <c r="AA36" i="36"/>
  <c r="AA30" i="36"/>
  <c r="AA24" i="36"/>
  <c r="AA36" i="34"/>
  <c r="AA30" i="34"/>
  <c r="AA24" i="34"/>
  <c r="AA36" i="31"/>
  <c r="AA30" i="31"/>
  <c r="AA24" i="31"/>
  <c r="AA36" i="29"/>
  <c r="AA30" i="29"/>
  <c r="AA18" i="29"/>
  <c r="AA30" i="25"/>
  <c r="AA18" i="25"/>
  <c r="AA30" i="23"/>
  <c r="AA18" i="23"/>
  <c r="AA36" i="21"/>
  <c r="AA30" i="21"/>
  <c r="AA24" i="21"/>
  <c r="AA36" i="19"/>
  <c r="AA30" i="19"/>
  <c r="AA24" i="19"/>
  <c r="X8" i="18"/>
  <c r="X7" i="18"/>
  <c r="X6" i="18"/>
  <c r="X5" i="18"/>
  <c r="AA35" i="17"/>
  <c r="AA34" i="17"/>
  <c r="AA33" i="17"/>
  <c r="AA32" i="17"/>
  <c r="AA36" i="17" l="1"/>
  <c r="AF60" i="67"/>
  <c r="AF59" i="67"/>
  <c r="AF58" i="67"/>
  <c r="AF57" i="67"/>
  <c r="AF56" i="67"/>
  <c r="AF55" i="67"/>
  <c r="AF54" i="67"/>
  <c r="AF53" i="67"/>
  <c r="AF52" i="67"/>
  <c r="AF51" i="67"/>
  <c r="AF50" i="67"/>
  <c r="AF49" i="67"/>
  <c r="AF48" i="67"/>
  <c r="AF47" i="67"/>
  <c r="AF46" i="67"/>
  <c r="AF45" i="67"/>
  <c r="AF44" i="67"/>
  <c r="AF43" i="67"/>
  <c r="AF42" i="67"/>
  <c r="Q42" i="67"/>
  <c r="AF41" i="67"/>
  <c r="D41" i="67"/>
  <c r="D44" i="67" s="1"/>
  <c r="AF40" i="67"/>
  <c r="AF39" i="67"/>
  <c r="AF38" i="67"/>
  <c r="AF37" i="67"/>
  <c r="AF36" i="67"/>
  <c r="AF35" i="67"/>
  <c r="AA35" i="67"/>
  <c r="AF34" i="67"/>
  <c r="AA34" i="67"/>
  <c r="AF33" i="67"/>
  <c r="AA33" i="67"/>
  <c r="AF32" i="67"/>
  <c r="AA32" i="67"/>
  <c r="AA36" i="67" s="1"/>
  <c r="AF31" i="67"/>
  <c r="AF30" i="67"/>
  <c r="AF29" i="67"/>
  <c r="AA29" i="67"/>
  <c r="AF28" i="67"/>
  <c r="AA28" i="67"/>
  <c r="AF27" i="67"/>
  <c r="AA27" i="67"/>
  <c r="AF26" i="67"/>
  <c r="AA26" i="67"/>
  <c r="AA30" i="67" s="1"/>
  <c r="AF25" i="67"/>
  <c r="AF24" i="67"/>
  <c r="J24" i="67"/>
  <c r="K24" i="67" s="1"/>
  <c r="AF23" i="67"/>
  <c r="AA23" i="67"/>
  <c r="AF22" i="67"/>
  <c r="AA22" i="67"/>
  <c r="K22" i="67"/>
  <c r="J22" i="67"/>
  <c r="AF21" i="67"/>
  <c r="AA21" i="67"/>
  <c r="AF20" i="67"/>
  <c r="AA20" i="67"/>
  <c r="AA24" i="67" s="1"/>
  <c r="P20" i="67"/>
  <c r="AF19" i="67"/>
  <c r="AF18" i="67"/>
  <c r="AF17" i="67"/>
  <c r="AA17" i="67"/>
  <c r="V17" i="67"/>
  <c r="T17" i="67"/>
  <c r="T20" i="67" s="1"/>
  <c r="S17" i="67"/>
  <c r="S20" i="67" s="1"/>
  <c r="R17" i="67"/>
  <c r="R20" i="67" s="1"/>
  <c r="Q17" i="67"/>
  <c r="P17" i="67"/>
  <c r="Y5" i="67" s="1"/>
  <c r="Z5" i="67" s="1"/>
  <c r="O17" i="67"/>
  <c r="N17" i="67"/>
  <c r="M17" i="67"/>
  <c r="L17" i="67"/>
  <c r="K17" i="67"/>
  <c r="J17" i="67"/>
  <c r="I17" i="67"/>
  <c r="H17" i="67"/>
  <c r="G17" i="67"/>
  <c r="F17" i="67"/>
  <c r="E17" i="67"/>
  <c r="D17" i="67"/>
  <c r="C17" i="67"/>
  <c r="B17" i="67"/>
  <c r="AF16" i="67"/>
  <c r="AA16" i="67"/>
  <c r="U16" i="67"/>
  <c r="AF15" i="67"/>
  <c r="AA15" i="67"/>
  <c r="U15" i="67"/>
  <c r="AF14" i="67"/>
  <c r="AA14" i="67"/>
  <c r="AA18" i="67" s="1"/>
  <c r="U14" i="67"/>
  <c r="AF13" i="67"/>
  <c r="U13" i="67"/>
  <c r="AF12" i="67"/>
  <c r="U12" i="67"/>
  <c r="AF11" i="67"/>
  <c r="U11" i="67"/>
  <c r="AF10" i="67"/>
  <c r="U10" i="67"/>
  <c r="AF9" i="67"/>
  <c r="U9" i="67"/>
  <c r="AF8" i="67"/>
  <c r="Z8" i="67"/>
  <c r="Y8" i="67"/>
  <c r="U8" i="67"/>
  <c r="AF7" i="67"/>
  <c r="U7" i="67"/>
  <c r="AF6" i="67"/>
  <c r="U6" i="67"/>
  <c r="AF5" i="67"/>
  <c r="U5" i="67"/>
  <c r="AF4" i="67"/>
  <c r="AF3" i="67"/>
  <c r="AF60" i="66"/>
  <c r="AF59" i="66"/>
  <c r="AF58" i="66"/>
  <c r="AF57" i="66"/>
  <c r="AF56" i="66"/>
  <c r="AF55" i="66"/>
  <c r="AF54" i="66"/>
  <c r="AF53" i="66"/>
  <c r="AF52" i="66"/>
  <c r="AF51" i="66"/>
  <c r="AF50" i="66"/>
  <c r="AF49" i="66"/>
  <c r="AF48" i="66"/>
  <c r="AF47" i="66"/>
  <c r="AF46" i="66"/>
  <c r="AF45" i="66"/>
  <c r="AF44" i="66"/>
  <c r="AF43" i="66"/>
  <c r="AF42" i="66"/>
  <c r="Q42" i="66"/>
  <c r="AF41" i="66"/>
  <c r="D41" i="66"/>
  <c r="D44" i="66" s="1"/>
  <c r="AF40" i="66"/>
  <c r="AF39" i="66"/>
  <c r="AF38" i="66"/>
  <c r="AF37" i="66"/>
  <c r="AF36" i="66"/>
  <c r="AF35" i="66"/>
  <c r="AF34" i="66"/>
  <c r="AF33" i="66"/>
  <c r="AF32" i="66"/>
  <c r="AF31" i="66"/>
  <c r="AF30" i="66"/>
  <c r="AF29" i="66"/>
  <c r="AF28" i="66"/>
  <c r="AF27" i="66"/>
  <c r="AF26" i="66"/>
  <c r="AF25" i="66"/>
  <c r="AF24" i="66"/>
  <c r="J24" i="66"/>
  <c r="K24" i="66" s="1"/>
  <c r="AF23" i="66"/>
  <c r="AF22" i="66"/>
  <c r="K22" i="66"/>
  <c r="J22" i="66"/>
  <c r="AF21" i="66"/>
  <c r="AF20" i="66"/>
  <c r="P20" i="66"/>
  <c r="AF19" i="66"/>
  <c r="AF18" i="66"/>
  <c r="AF17" i="66"/>
  <c r="V17" i="66"/>
  <c r="T17" i="66"/>
  <c r="T20" i="66" s="1"/>
  <c r="S17" i="66"/>
  <c r="S20" i="66" s="1"/>
  <c r="R17" i="66"/>
  <c r="U17" i="66" s="1"/>
  <c r="Q17" i="66"/>
  <c r="P17" i="66"/>
  <c r="O17" i="66"/>
  <c r="N17" i="66"/>
  <c r="M17" i="66"/>
  <c r="L17" i="66"/>
  <c r="K17" i="66"/>
  <c r="J17" i="66"/>
  <c r="I17" i="66"/>
  <c r="H17" i="66"/>
  <c r="G17" i="66"/>
  <c r="F17" i="66"/>
  <c r="E17" i="66"/>
  <c r="D17" i="66"/>
  <c r="C17" i="66"/>
  <c r="B17" i="66"/>
  <c r="AF16" i="66"/>
  <c r="U16" i="66"/>
  <c r="AF15" i="66"/>
  <c r="U15" i="66"/>
  <c r="AF14" i="66"/>
  <c r="U14" i="66"/>
  <c r="AF13" i="66"/>
  <c r="U13" i="66"/>
  <c r="AF12" i="66"/>
  <c r="U12" i="66"/>
  <c r="AF11" i="66"/>
  <c r="U11" i="66"/>
  <c r="AF10" i="66"/>
  <c r="U10" i="66"/>
  <c r="AF9" i="66"/>
  <c r="U9" i="66"/>
  <c r="AF8" i="66"/>
  <c r="Z8" i="66"/>
  <c r="X8" i="66"/>
  <c r="Y8" i="66" s="1"/>
  <c r="U8" i="66"/>
  <c r="AF7" i="66"/>
  <c r="X7" i="66"/>
  <c r="Y7" i="66" s="1"/>
  <c r="Z7" i="66" s="1"/>
  <c r="U7" i="66"/>
  <c r="AF6" i="66"/>
  <c r="X6" i="66"/>
  <c r="Y6" i="66" s="1"/>
  <c r="Z6" i="66" s="1"/>
  <c r="U6" i="66"/>
  <c r="AF5" i="66"/>
  <c r="X5" i="66"/>
  <c r="Y5" i="66" s="1"/>
  <c r="Z5" i="66" s="1"/>
  <c r="U5" i="66"/>
  <c r="AF4" i="66"/>
  <c r="AF3" i="66"/>
  <c r="AF60" i="65"/>
  <c r="AF59" i="65"/>
  <c r="AF58" i="65"/>
  <c r="AF57" i="65"/>
  <c r="AF56" i="65"/>
  <c r="AF55" i="65"/>
  <c r="AF54" i="65"/>
  <c r="AF53" i="65"/>
  <c r="AF52" i="65"/>
  <c r="AF51" i="65"/>
  <c r="AF50" i="65"/>
  <c r="AF49" i="65"/>
  <c r="AF48" i="65"/>
  <c r="AF47" i="65"/>
  <c r="AF46" i="65"/>
  <c r="AF45" i="65"/>
  <c r="AF44" i="65"/>
  <c r="AF43" i="65"/>
  <c r="AF42" i="65"/>
  <c r="Q42" i="65"/>
  <c r="AF41" i="65"/>
  <c r="D41" i="65"/>
  <c r="D44" i="65" s="1"/>
  <c r="AF40" i="65"/>
  <c r="AF39" i="65"/>
  <c r="AF38" i="65"/>
  <c r="AF37" i="65"/>
  <c r="AF36" i="65"/>
  <c r="AF35" i="65"/>
  <c r="AA35" i="65"/>
  <c r="AF34" i="65"/>
  <c r="AA34" i="65"/>
  <c r="AF33" i="65"/>
  <c r="AA33" i="65"/>
  <c r="AF32" i="65"/>
  <c r="AA32" i="65"/>
  <c r="AA36" i="65" s="1"/>
  <c r="AF31" i="65"/>
  <c r="AF30" i="65"/>
  <c r="AF29" i="65"/>
  <c r="AA29" i="65"/>
  <c r="AF28" i="65"/>
  <c r="AA28" i="65"/>
  <c r="AF27" i="65"/>
  <c r="AA27" i="65"/>
  <c r="AF26" i="65"/>
  <c r="AA26" i="65"/>
  <c r="AA30" i="65" s="1"/>
  <c r="AF25" i="65"/>
  <c r="AF24" i="65"/>
  <c r="J24" i="65"/>
  <c r="K24" i="65" s="1"/>
  <c r="AF23" i="65"/>
  <c r="AA23" i="65"/>
  <c r="AF22" i="65"/>
  <c r="AA22" i="65"/>
  <c r="K22" i="65"/>
  <c r="J22" i="65"/>
  <c r="AF21" i="65"/>
  <c r="AA21" i="65"/>
  <c r="AF20" i="65"/>
  <c r="AA20" i="65"/>
  <c r="AA24" i="65" s="1"/>
  <c r="P20" i="65"/>
  <c r="AF19" i="65"/>
  <c r="AF18" i="65"/>
  <c r="AF17" i="65"/>
  <c r="AA17" i="65"/>
  <c r="V17" i="65"/>
  <c r="T17" i="65"/>
  <c r="T20" i="65" s="1"/>
  <c r="S17" i="65"/>
  <c r="S20" i="65" s="1"/>
  <c r="R17" i="65"/>
  <c r="U17" i="65" s="1"/>
  <c r="Q17" i="65"/>
  <c r="P17" i="65"/>
  <c r="Y5" i="65" s="1"/>
  <c r="Z5" i="65" s="1"/>
  <c r="O17" i="65"/>
  <c r="N17" i="65"/>
  <c r="M17" i="65"/>
  <c r="L17" i="65"/>
  <c r="K17" i="65"/>
  <c r="J17" i="65"/>
  <c r="I17" i="65"/>
  <c r="H17" i="65"/>
  <c r="G17" i="65"/>
  <c r="F17" i="65"/>
  <c r="E17" i="65"/>
  <c r="D17" i="65"/>
  <c r="C17" i="65"/>
  <c r="B17" i="65"/>
  <c r="AF16" i="65"/>
  <c r="AA16" i="65"/>
  <c r="U16" i="65"/>
  <c r="AF15" i="65"/>
  <c r="AA15" i="65"/>
  <c r="U15" i="65"/>
  <c r="AF14" i="65"/>
  <c r="AA14" i="65"/>
  <c r="AA18" i="65" s="1"/>
  <c r="U14" i="65"/>
  <c r="AF13" i="65"/>
  <c r="U13" i="65"/>
  <c r="AF12" i="65"/>
  <c r="U12" i="65"/>
  <c r="AF11" i="65"/>
  <c r="U11" i="65"/>
  <c r="AF10" i="65"/>
  <c r="U10" i="65"/>
  <c r="AF9" i="65"/>
  <c r="U9" i="65"/>
  <c r="AF8" i="65"/>
  <c r="Z8" i="65"/>
  <c r="Y8" i="65"/>
  <c r="U8" i="65"/>
  <c r="AF7" i="65"/>
  <c r="U7" i="65"/>
  <c r="AF6" i="65"/>
  <c r="U6" i="65"/>
  <c r="AF5" i="65"/>
  <c r="U5" i="65"/>
  <c r="AF4" i="65"/>
  <c r="AF3" i="65"/>
  <c r="AF60" i="64"/>
  <c r="AF59" i="64"/>
  <c r="AF58" i="64"/>
  <c r="AF57" i="64"/>
  <c r="AF56" i="64"/>
  <c r="AF55" i="64"/>
  <c r="AF54" i="64"/>
  <c r="AF53" i="64"/>
  <c r="AF52" i="64"/>
  <c r="AF51" i="64"/>
  <c r="AF50" i="64"/>
  <c r="AF49" i="64"/>
  <c r="AF48" i="64"/>
  <c r="AF47" i="64"/>
  <c r="AF46" i="64"/>
  <c r="AF45" i="64"/>
  <c r="AF44" i="64"/>
  <c r="AF43" i="64"/>
  <c r="AF42" i="64"/>
  <c r="Q42" i="64"/>
  <c r="AF41" i="64"/>
  <c r="D41" i="64"/>
  <c r="D44" i="64" s="1"/>
  <c r="AF40" i="64"/>
  <c r="AF39" i="64"/>
  <c r="AF38" i="64"/>
  <c r="AF37" i="64"/>
  <c r="AF36" i="64"/>
  <c r="AF35" i="64"/>
  <c r="AF34" i="64"/>
  <c r="AF33" i="64"/>
  <c r="AF32" i="64"/>
  <c r="AF31" i="64"/>
  <c r="AF30" i="64"/>
  <c r="AF29" i="64"/>
  <c r="AF28" i="64"/>
  <c r="AF27" i="64"/>
  <c r="AF26" i="64"/>
  <c r="AF25" i="64"/>
  <c r="AF24" i="64"/>
  <c r="J24" i="64"/>
  <c r="K24" i="64" s="1"/>
  <c r="AF23" i="64"/>
  <c r="AF22" i="64"/>
  <c r="K22" i="64"/>
  <c r="J22" i="64"/>
  <c r="AF21" i="64"/>
  <c r="AF20" i="64"/>
  <c r="P20" i="64"/>
  <c r="AF19" i="64"/>
  <c r="AF18" i="64"/>
  <c r="AF17" i="64"/>
  <c r="V17" i="64"/>
  <c r="T17" i="64"/>
  <c r="T20" i="64" s="1"/>
  <c r="S17" i="64"/>
  <c r="S20" i="64" s="1"/>
  <c r="R17" i="64"/>
  <c r="R20" i="64" s="1"/>
  <c r="Q17" i="64"/>
  <c r="P17" i="64"/>
  <c r="O17" i="64"/>
  <c r="N17" i="64"/>
  <c r="M17" i="64"/>
  <c r="L17" i="64"/>
  <c r="K17" i="64"/>
  <c r="J17" i="64"/>
  <c r="I17" i="64"/>
  <c r="H17" i="64"/>
  <c r="G17" i="64"/>
  <c r="F17" i="64"/>
  <c r="E17" i="64"/>
  <c r="D17" i="64"/>
  <c r="C17" i="64"/>
  <c r="B17" i="64"/>
  <c r="AF16" i="64"/>
  <c r="U16" i="64"/>
  <c r="AF15" i="64"/>
  <c r="U15" i="64"/>
  <c r="AF14" i="64"/>
  <c r="U14" i="64"/>
  <c r="AF13" i="64"/>
  <c r="U13" i="64"/>
  <c r="AF12" i="64"/>
  <c r="U12" i="64"/>
  <c r="AF11" i="64"/>
  <c r="U11" i="64"/>
  <c r="AF10" i="64"/>
  <c r="U10" i="64"/>
  <c r="AF9" i="64"/>
  <c r="U9" i="64"/>
  <c r="AF8" i="64"/>
  <c r="Z8" i="64"/>
  <c r="X8" i="64"/>
  <c r="Y8" i="64" s="1"/>
  <c r="U8" i="64"/>
  <c r="AF7" i="64"/>
  <c r="X7" i="64"/>
  <c r="Y7" i="64" s="1"/>
  <c r="Z7" i="64" s="1"/>
  <c r="U7" i="64"/>
  <c r="AF6" i="64"/>
  <c r="X6" i="64"/>
  <c r="Y6" i="64" s="1"/>
  <c r="Z6" i="64" s="1"/>
  <c r="U6" i="64"/>
  <c r="AF5" i="64"/>
  <c r="X5" i="64"/>
  <c r="Y5" i="64" s="1"/>
  <c r="Z5" i="64" s="1"/>
  <c r="U5" i="64"/>
  <c r="AF4" i="64"/>
  <c r="AF3" i="64"/>
  <c r="AF60" i="63"/>
  <c r="AF59" i="63"/>
  <c r="AF58" i="63"/>
  <c r="AF57" i="63"/>
  <c r="AF56" i="63"/>
  <c r="AF55" i="63"/>
  <c r="AF54" i="63"/>
  <c r="AF53" i="63"/>
  <c r="AF52" i="63"/>
  <c r="AF51" i="63"/>
  <c r="AF50" i="63"/>
  <c r="AF49" i="63"/>
  <c r="AF48" i="63"/>
  <c r="AF47" i="63"/>
  <c r="AF46" i="63"/>
  <c r="AF45" i="63"/>
  <c r="AF44" i="63"/>
  <c r="AF43" i="63"/>
  <c r="AF42" i="63"/>
  <c r="Q42" i="63"/>
  <c r="AF41" i="63"/>
  <c r="D41" i="63"/>
  <c r="D44" i="63" s="1"/>
  <c r="AF40" i="63"/>
  <c r="AF39" i="63"/>
  <c r="AF38" i="63"/>
  <c r="AF37" i="63"/>
  <c r="AF36" i="63"/>
  <c r="AF35" i="63"/>
  <c r="AA35" i="63"/>
  <c r="AF34" i="63"/>
  <c r="AA34" i="63"/>
  <c r="AF33" i="63"/>
  <c r="AA33" i="63"/>
  <c r="AF32" i="63"/>
  <c r="AA32" i="63"/>
  <c r="AA36" i="63" s="1"/>
  <c r="AF31" i="63"/>
  <c r="AF30" i="63"/>
  <c r="AF29" i="63"/>
  <c r="AA29" i="63"/>
  <c r="AF28" i="63"/>
  <c r="AA28" i="63"/>
  <c r="AF27" i="63"/>
  <c r="AA27" i="63"/>
  <c r="AF26" i="63"/>
  <c r="AA26" i="63"/>
  <c r="AA30" i="63" s="1"/>
  <c r="AF25" i="63"/>
  <c r="AF24" i="63"/>
  <c r="J24" i="63"/>
  <c r="K24" i="63" s="1"/>
  <c r="AF23" i="63"/>
  <c r="AA23" i="63"/>
  <c r="AF22" i="63"/>
  <c r="AA22" i="63"/>
  <c r="K22" i="63"/>
  <c r="J22" i="63"/>
  <c r="AF21" i="63"/>
  <c r="AA21" i="63"/>
  <c r="AF20" i="63"/>
  <c r="AA20" i="63"/>
  <c r="AA24" i="63" s="1"/>
  <c r="P20" i="63"/>
  <c r="AF19" i="63"/>
  <c r="AF18" i="63"/>
  <c r="AF17" i="63"/>
  <c r="AA17" i="63"/>
  <c r="V17" i="63"/>
  <c r="T17" i="63"/>
  <c r="T20" i="63" s="1"/>
  <c r="S17" i="63"/>
  <c r="S20" i="63" s="1"/>
  <c r="R17" i="63"/>
  <c r="U17" i="63" s="1"/>
  <c r="Q17" i="63"/>
  <c r="P17" i="63"/>
  <c r="Y5" i="63" s="1"/>
  <c r="Z5" i="63" s="1"/>
  <c r="O17" i="63"/>
  <c r="N17" i="63"/>
  <c r="M17" i="63"/>
  <c r="L17" i="63"/>
  <c r="K17" i="63"/>
  <c r="J17" i="63"/>
  <c r="I17" i="63"/>
  <c r="H17" i="63"/>
  <c r="G17" i="63"/>
  <c r="F17" i="63"/>
  <c r="E17" i="63"/>
  <c r="D17" i="63"/>
  <c r="C17" i="63"/>
  <c r="B17" i="63"/>
  <c r="AF16" i="63"/>
  <c r="AA16" i="63"/>
  <c r="U16" i="63"/>
  <c r="AF15" i="63"/>
  <c r="AA15" i="63"/>
  <c r="U15" i="63"/>
  <c r="AF14" i="63"/>
  <c r="AA14" i="63"/>
  <c r="AA18" i="63" s="1"/>
  <c r="U14" i="63"/>
  <c r="AF13" i="63"/>
  <c r="U13" i="63"/>
  <c r="AF12" i="63"/>
  <c r="U12" i="63"/>
  <c r="AF11" i="63"/>
  <c r="U11" i="63"/>
  <c r="AF10" i="63"/>
  <c r="U10" i="63"/>
  <c r="AF9" i="63"/>
  <c r="U9" i="63"/>
  <c r="AF8" i="63"/>
  <c r="Z8" i="63"/>
  <c r="Y8" i="63"/>
  <c r="U8" i="63"/>
  <c r="AF7" i="63"/>
  <c r="U7" i="63"/>
  <c r="AF6" i="63"/>
  <c r="U6" i="63"/>
  <c r="AF5" i="63"/>
  <c r="U5" i="63"/>
  <c r="AF4" i="63"/>
  <c r="AF3" i="63"/>
  <c r="AF60" i="62"/>
  <c r="AF59" i="62"/>
  <c r="AF58" i="62"/>
  <c r="AF57" i="62"/>
  <c r="AF56" i="62"/>
  <c r="AF55" i="62"/>
  <c r="AF54" i="62"/>
  <c r="AF53" i="62"/>
  <c r="AF52" i="62"/>
  <c r="AF51" i="62"/>
  <c r="AF50" i="62"/>
  <c r="AF49" i="62"/>
  <c r="AF48" i="62"/>
  <c r="AF47" i="62"/>
  <c r="AF46" i="62"/>
  <c r="AF45" i="62"/>
  <c r="AF44" i="62"/>
  <c r="AF43" i="62"/>
  <c r="AF42" i="62"/>
  <c r="Q42" i="62"/>
  <c r="AF41" i="62"/>
  <c r="D41" i="62"/>
  <c r="D44" i="62" s="1"/>
  <c r="AF40" i="62"/>
  <c r="AF39" i="62"/>
  <c r="AF38" i="62"/>
  <c r="AF37" i="62"/>
  <c r="AF36" i="62"/>
  <c r="AF35" i="62"/>
  <c r="AF34" i="62"/>
  <c r="AF33" i="62"/>
  <c r="AF32" i="62"/>
  <c r="AF31" i="62"/>
  <c r="AF30" i="62"/>
  <c r="AF29" i="62"/>
  <c r="AF28" i="62"/>
  <c r="AF27" i="62"/>
  <c r="AF26" i="62"/>
  <c r="AF25" i="62"/>
  <c r="AF24" i="62"/>
  <c r="J24" i="62"/>
  <c r="K24" i="62" s="1"/>
  <c r="AF23" i="62"/>
  <c r="AF22" i="62"/>
  <c r="K22" i="62"/>
  <c r="J22" i="62"/>
  <c r="AF21" i="62"/>
  <c r="AF20" i="62"/>
  <c r="P20" i="62"/>
  <c r="AF19" i="62"/>
  <c r="AF18" i="62"/>
  <c r="AF17" i="62"/>
  <c r="V17" i="62"/>
  <c r="T17" i="62"/>
  <c r="T20" i="62" s="1"/>
  <c r="S17" i="62"/>
  <c r="S20" i="62" s="1"/>
  <c r="R17" i="62"/>
  <c r="R20" i="62" s="1"/>
  <c r="Q17" i="62"/>
  <c r="P17" i="62"/>
  <c r="O17" i="62"/>
  <c r="N17" i="62"/>
  <c r="M17" i="62"/>
  <c r="L17" i="62"/>
  <c r="K17" i="62"/>
  <c r="J17" i="62"/>
  <c r="I17" i="62"/>
  <c r="H17" i="62"/>
  <c r="G17" i="62"/>
  <c r="F17" i="62"/>
  <c r="E17" i="62"/>
  <c r="D17" i="62"/>
  <c r="C17" i="62"/>
  <c r="B17" i="62"/>
  <c r="AF16" i="62"/>
  <c r="U16" i="62"/>
  <c r="AF15" i="62"/>
  <c r="U15" i="62"/>
  <c r="AF14" i="62"/>
  <c r="U14" i="62"/>
  <c r="AF13" i="62"/>
  <c r="U13" i="62"/>
  <c r="AF12" i="62"/>
  <c r="U12" i="62"/>
  <c r="AF11" i="62"/>
  <c r="U11" i="62"/>
  <c r="AF10" i="62"/>
  <c r="U10" i="62"/>
  <c r="AF9" i="62"/>
  <c r="U9" i="62"/>
  <c r="AF8" i="62"/>
  <c r="Z8" i="62"/>
  <c r="X8" i="62"/>
  <c r="Y8" i="62" s="1"/>
  <c r="U8" i="62"/>
  <c r="AF7" i="62"/>
  <c r="X7" i="62"/>
  <c r="Y7" i="62" s="1"/>
  <c r="Z7" i="62" s="1"/>
  <c r="U7" i="62"/>
  <c r="AF6" i="62"/>
  <c r="X6" i="62"/>
  <c r="Y6" i="62" s="1"/>
  <c r="Z6" i="62" s="1"/>
  <c r="U6" i="62"/>
  <c r="AF5" i="62"/>
  <c r="X5" i="62"/>
  <c r="Y5" i="62" s="1"/>
  <c r="Z5" i="62" s="1"/>
  <c r="U5" i="62"/>
  <c r="AF4" i="62"/>
  <c r="AF3" i="62"/>
  <c r="AF60" i="61"/>
  <c r="AF59" i="61"/>
  <c r="AF58" i="61"/>
  <c r="AF57" i="61"/>
  <c r="AF56" i="61"/>
  <c r="AF55" i="61"/>
  <c r="AF54" i="61"/>
  <c r="AF53" i="61"/>
  <c r="AF52" i="61"/>
  <c r="AF51" i="61"/>
  <c r="AF50" i="61"/>
  <c r="AF49" i="61"/>
  <c r="AF48" i="61"/>
  <c r="AF47" i="61"/>
  <c r="AF46" i="61"/>
  <c r="AF45" i="61"/>
  <c r="AF44" i="61"/>
  <c r="AF43" i="61"/>
  <c r="AF42" i="61"/>
  <c r="Q42" i="61"/>
  <c r="AF41" i="61"/>
  <c r="D41" i="61"/>
  <c r="D44" i="61" s="1"/>
  <c r="AF40" i="61"/>
  <c r="AF39" i="61"/>
  <c r="AF38" i="61"/>
  <c r="AF37" i="61"/>
  <c r="AF36" i="61"/>
  <c r="AF35" i="61"/>
  <c r="AA35" i="61"/>
  <c r="AF34" i="61"/>
  <c r="AA34" i="61"/>
  <c r="AF33" i="61"/>
  <c r="AA33" i="61"/>
  <c r="AF32" i="61"/>
  <c r="AA32" i="61"/>
  <c r="AA36" i="61" s="1"/>
  <c r="AF31" i="61"/>
  <c r="AF30" i="61"/>
  <c r="AF29" i="61"/>
  <c r="AA29" i="61"/>
  <c r="AF28" i="61"/>
  <c r="AA28" i="61"/>
  <c r="AF27" i="61"/>
  <c r="AA27" i="61"/>
  <c r="AF26" i="61"/>
  <c r="AA26" i="61"/>
  <c r="AA30" i="61" s="1"/>
  <c r="AF25" i="61"/>
  <c r="AF24" i="61"/>
  <c r="J24" i="61"/>
  <c r="K24" i="61" s="1"/>
  <c r="AF23" i="61"/>
  <c r="AA23" i="61"/>
  <c r="AF22" i="61"/>
  <c r="AA22" i="61"/>
  <c r="K22" i="61"/>
  <c r="J22" i="61"/>
  <c r="AF21" i="61"/>
  <c r="AA21" i="61"/>
  <c r="AF20" i="61"/>
  <c r="AA20" i="61"/>
  <c r="AA24" i="61" s="1"/>
  <c r="P20" i="61"/>
  <c r="AF19" i="61"/>
  <c r="AF18" i="61"/>
  <c r="AF17" i="61"/>
  <c r="AA17" i="61"/>
  <c r="V17" i="61"/>
  <c r="T17" i="61"/>
  <c r="T20" i="61" s="1"/>
  <c r="S17" i="61"/>
  <c r="S20" i="61" s="1"/>
  <c r="R17" i="61"/>
  <c r="U17" i="61" s="1"/>
  <c r="Q17" i="61"/>
  <c r="P17" i="61"/>
  <c r="Y5" i="61" s="1"/>
  <c r="Z5" i="61" s="1"/>
  <c r="O17" i="61"/>
  <c r="N17" i="61"/>
  <c r="M17" i="61"/>
  <c r="L17" i="61"/>
  <c r="K17" i="61"/>
  <c r="J17" i="61"/>
  <c r="I17" i="61"/>
  <c r="H17" i="61"/>
  <c r="G17" i="61"/>
  <c r="F17" i="61"/>
  <c r="E17" i="61"/>
  <c r="D17" i="61"/>
  <c r="C17" i="61"/>
  <c r="B17" i="61"/>
  <c r="AF16" i="61"/>
  <c r="AA16" i="61"/>
  <c r="U16" i="61"/>
  <c r="AF15" i="61"/>
  <c r="AA15" i="61"/>
  <c r="U15" i="61"/>
  <c r="AF14" i="61"/>
  <c r="AA14" i="61"/>
  <c r="AA18" i="61" s="1"/>
  <c r="U14" i="61"/>
  <c r="AF13" i="61"/>
  <c r="U13" i="61"/>
  <c r="AF12" i="61"/>
  <c r="U12" i="61"/>
  <c r="AF11" i="61"/>
  <c r="U11" i="61"/>
  <c r="AF10" i="61"/>
  <c r="U10" i="61"/>
  <c r="AF9" i="61"/>
  <c r="U9" i="61"/>
  <c r="AF8" i="61"/>
  <c r="Z8" i="61"/>
  <c r="Y8" i="61"/>
  <c r="U8" i="61"/>
  <c r="AF7" i="61"/>
  <c r="U7" i="61"/>
  <c r="AF6" i="61"/>
  <c r="U6" i="61"/>
  <c r="AF5" i="61"/>
  <c r="U5" i="61"/>
  <c r="AF4" i="61"/>
  <c r="AF3" i="61"/>
  <c r="AF60" i="60"/>
  <c r="AF59" i="60"/>
  <c r="AF58" i="60"/>
  <c r="AF57" i="60"/>
  <c r="AF56" i="60"/>
  <c r="AF55" i="60"/>
  <c r="AF54" i="60"/>
  <c r="AF53" i="60"/>
  <c r="AF52" i="60"/>
  <c r="AF51" i="60"/>
  <c r="AF50" i="60"/>
  <c r="AF49" i="60"/>
  <c r="AF48" i="60"/>
  <c r="AF47" i="60"/>
  <c r="AF46" i="60"/>
  <c r="AF45" i="60"/>
  <c r="AF44" i="60"/>
  <c r="AF43" i="60"/>
  <c r="AF42" i="60"/>
  <c r="Q42" i="60"/>
  <c r="AF41" i="60"/>
  <c r="D41" i="60"/>
  <c r="D44" i="60" s="1"/>
  <c r="AF40" i="60"/>
  <c r="AF39" i="60"/>
  <c r="AF38" i="60"/>
  <c r="AF37" i="60"/>
  <c r="AF36" i="60"/>
  <c r="AF35" i="60"/>
  <c r="AF34" i="60"/>
  <c r="AF33" i="60"/>
  <c r="AF32" i="60"/>
  <c r="AF31" i="60"/>
  <c r="AF30" i="60"/>
  <c r="AF29" i="60"/>
  <c r="AF28" i="60"/>
  <c r="AF27" i="60"/>
  <c r="AF26" i="60"/>
  <c r="AF25" i="60"/>
  <c r="AF24" i="60"/>
  <c r="J24" i="60"/>
  <c r="K24" i="60" s="1"/>
  <c r="AF23" i="60"/>
  <c r="AF22" i="60"/>
  <c r="K22" i="60"/>
  <c r="J22" i="60"/>
  <c r="AF21" i="60"/>
  <c r="AF20" i="60"/>
  <c r="P20" i="60"/>
  <c r="AF19" i="60"/>
  <c r="AF18" i="60"/>
  <c r="AF17" i="60"/>
  <c r="V17" i="60"/>
  <c r="T17" i="60"/>
  <c r="T20" i="60" s="1"/>
  <c r="S17" i="60"/>
  <c r="S20" i="60" s="1"/>
  <c r="R17" i="60"/>
  <c r="U17" i="60" s="1"/>
  <c r="Q17" i="60"/>
  <c r="P17" i="60"/>
  <c r="O17" i="60"/>
  <c r="N17" i="60"/>
  <c r="M17" i="60"/>
  <c r="L17" i="60"/>
  <c r="K17" i="60"/>
  <c r="J17" i="60"/>
  <c r="I17" i="60"/>
  <c r="H17" i="60"/>
  <c r="G17" i="60"/>
  <c r="F17" i="60"/>
  <c r="E17" i="60"/>
  <c r="D17" i="60"/>
  <c r="C17" i="60"/>
  <c r="B17" i="60"/>
  <c r="AF16" i="60"/>
  <c r="U16" i="60"/>
  <c r="AF15" i="60"/>
  <c r="U15" i="60"/>
  <c r="AF14" i="60"/>
  <c r="U14" i="60"/>
  <c r="AF13" i="60"/>
  <c r="U13" i="60"/>
  <c r="AF12" i="60"/>
  <c r="U12" i="60"/>
  <c r="AF11" i="60"/>
  <c r="U11" i="60"/>
  <c r="AF10" i="60"/>
  <c r="U10" i="60"/>
  <c r="AF9" i="60"/>
  <c r="U9" i="60"/>
  <c r="AF8" i="60"/>
  <c r="Z8" i="60"/>
  <c r="X8" i="60"/>
  <c r="Y8" i="60" s="1"/>
  <c r="U8" i="60"/>
  <c r="AF7" i="60"/>
  <c r="X7" i="60"/>
  <c r="Y7" i="60" s="1"/>
  <c r="Z7" i="60" s="1"/>
  <c r="U7" i="60"/>
  <c r="AF6" i="60"/>
  <c r="X6" i="60"/>
  <c r="Y6" i="60" s="1"/>
  <c r="Z6" i="60" s="1"/>
  <c r="U6" i="60"/>
  <c r="AF5" i="60"/>
  <c r="X5" i="60"/>
  <c r="Y5" i="60" s="1"/>
  <c r="Z5" i="60" s="1"/>
  <c r="U5" i="60"/>
  <c r="AF4" i="60"/>
  <c r="AF3" i="60"/>
  <c r="AF60" i="59"/>
  <c r="AF59" i="59"/>
  <c r="AF58" i="59"/>
  <c r="AF57" i="59"/>
  <c r="AF56" i="59"/>
  <c r="AF55" i="59"/>
  <c r="AF54" i="59"/>
  <c r="AF53" i="59"/>
  <c r="AF52" i="59"/>
  <c r="AF51" i="59"/>
  <c r="AF50" i="59"/>
  <c r="AF49" i="59"/>
  <c r="AF48" i="59"/>
  <c r="AF47" i="59"/>
  <c r="AF46" i="59"/>
  <c r="AF45" i="59"/>
  <c r="AF44" i="59"/>
  <c r="AF43" i="59"/>
  <c r="AF42" i="59"/>
  <c r="Q42" i="59"/>
  <c r="AF41" i="59"/>
  <c r="D41" i="59"/>
  <c r="D44" i="59" s="1"/>
  <c r="AF40" i="59"/>
  <c r="AF39" i="59"/>
  <c r="AF38" i="59"/>
  <c r="AF37" i="59"/>
  <c r="AF36" i="59"/>
  <c r="AF35" i="59"/>
  <c r="AA35" i="59"/>
  <c r="AF34" i="59"/>
  <c r="AA34" i="59"/>
  <c r="AF33" i="59"/>
  <c r="AA33" i="59"/>
  <c r="AF32" i="59"/>
  <c r="AA32" i="59"/>
  <c r="AA36" i="59" s="1"/>
  <c r="AF31" i="59"/>
  <c r="AF30" i="59"/>
  <c r="AF29" i="59"/>
  <c r="AA29" i="59"/>
  <c r="AF28" i="59"/>
  <c r="AA28" i="59"/>
  <c r="AF27" i="59"/>
  <c r="AA27" i="59"/>
  <c r="AF26" i="59"/>
  <c r="AA26" i="59"/>
  <c r="AA30" i="59" s="1"/>
  <c r="AF25" i="59"/>
  <c r="AF24" i="59"/>
  <c r="J24" i="59"/>
  <c r="K24" i="59" s="1"/>
  <c r="AF23" i="59"/>
  <c r="AA23" i="59"/>
  <c r="AF22" i="59"/>
  <c r="AA22" i="59"/>
  <c r="J22" i="59"/>
  <c r="K22" i="59" s="1"/>
  <c r="AF21" i="59"/>
  <c r="AA21" i="59"/>
  <c r="AF20" i="59"/>
  <c r="AA20" i="59"/>
  <c r="AA24" i="59" s="1"/>
  <c r="P20" i="59"/>
  <c r="AF19" i="59"/>
  <c r="AF18" i="59"/>
  <c r="AF17" i="59"/>
  <c r="AA17" i="59"/>
  <c r="V17" i="59"/>
  <c r="T17" i="59"/>
  <c r="T20" i="59" s="1"/>
  <c r="S17" i="59"/>
  <c r="S20" i="59" s="1"/>
  <c r="R17" i="59"/>
  <c r="R20" i="59" s="1"/>
  <c r="Q17" i="59"/>
  <c r="P17" i="59"/>
  <c r="O17" i="59"/>
  <c r="N17" i="59"/>
  <c r="M17" i="59"/>
  <c r="L17" i="59"/>
  <c r="K17" i="59"/>
  <c r="J17" i="59"/>
  <c r="I17" i="59"/>
  <c r="H17" i="59"/>
  <c r="G17" i="59"/>
  <c r="F17" i="59"/>
  <c r="E17" i="59"/>
  <c r="D17" i="59"/>
  <c r="C17" i="59"/>
  <c r="B17" i="59"/>
  <c r="AF16" i="59"/>
  <c r="AA16" i="59"/>
  <c r="U16" i="59"/>
  <c r="AF15" i="59"/>
  <c r="AA15" i="59"/>
  <c r="U15" i="59"/>
  <c r="AF14" i="59"/>
  <c r="AA14" i="59"/>
  <c r="AA18" i="59" s="1"/>
  <c r="U14" i="59"/>
  <c r="AF13" i="59"/>
  <c r="U13" i="59"/>
  <c r="AF12" i="59"/>
  <c r="U12" i="59"/>
  <c r="AF11" i="59"/>
  <c r="U11" i="59"/>
  <c r="AF10" i="59"/>
  <c r="U10" i="59"/>
  <c r="AF9" i="59"/>
  <c r="U9" i="59"/>
  <c r="AF8" i="59"/>
  <c r="Z8" i="59"/>
  <c r="Y8" i="59"/>
  <c r="U8" i="59"/>
  <c r="AF7" i="59"/>
  <c r="U7" i="59"/>
  <c r="AF6" i="59"/>
  <c r="U6" i="59"/>
  <c r="AF5" i="59"/>
  <c r="Y5" i="59"/>
  <c r="Z5" i="59" s="1"/>
  <c r="U5" i="59"/>
  <c r="AF4" i="59"/>
  <c r="AF3" i="59"/>
  <c r="AF60" i="58"/>
  <c r="AF59" i="58"/>
  <c r="AF58" i="58"/>
  <c r="AF57" i="58"/>
  <c r="AF56" i="58"/>
  <c r="AF55" i="58"/>
  <c r="AF54" i="58"/>
  <c r="AF53" i="58"/>
  <c r="AF52" i="58"/>
  <c r="AF51" i="58"/>
  <c r="AF50" i="58"/>
  <c r="AF49" i="58"/>
  <c r="AF48" i="58"/>
  <c r="AF47" i="58"/>
  <c r="AF46" i="58"/>
  <c r="AF45" i="58"/>
  <c r="AF44" i="58"/>
  <c r="AF43" i="58"/>
  <c r="AF42" i="58"/>
  <c r="Q42" i="58"/>
  <c r="AF41" i="58"/>
  <c r="D41" i="58"/>
  <c r="D44" i="58" s="1"/>
  <c r="AF40" i="58"/>
  <c r="AF39" i="58"/>
  <c r="AF38" i="58"/>
  <c r="AF37" i="58"/>
  <c r="AF36" i="58"/>
  <c r="AF35" i="58"/>
  <c r="AF34" i="58"/>
  <c r="AF33" i="58"/>
  <c r="AF32" i="58"/>
  <c r="AF31" i="58"/>
  <c r="AF30" i="58"/>
  <c r="AF29" i="58"/>
  <c r="AF28" i="58"/>
  <c r="AF27" i="58"/>
  <c r="AF26" i="58"/>
  <c r="AF25" i="58"/>
  <c r="AF24" i="58"/>
  <c r="J24" i="58"/>
  <c r="K24" i="58" s="1"/>
  <c r="AF23" i="58"/>
  <c r="AF22" i="58"/>
  <c r="K22" i="58"/>
  <c r="J22" i="58"/>
  <c r="AF21" i="58"/>
  <c r="AF20" i="58"/>
  <c r="P20" i="58"/>
  <c r="AF19" i="58"/>
  <c r="AF18" i="58"/>
  <c r="AF17" i="58"/>
  <c r="V17" i="58"/>
  <c r="T17" i="58"/>
  <c r="T20" i="58" s="1"/>
  <c r="S17" i="58"/>
  <c r="S20" i="58" s="1"/>
  <c r="R17" i="58"/>
  <c r="U17" i="58" s="1"/>
  <c r="Q17" i="58"/>
  <c r="P17" i="58"/>
  <c r="O17" i="58"/>
  <c r="N17" i="58"/>
  <c r="M17" i="58"/>
  <c r="L17" i="58"/>
  <c r="K17" i="58"/>
  <c r="J17" i="58"/>
  <c r="I17" i="58"/>
  <c r="H17" i="58"/>
  <c r="G17" i="58"/>
  <c r="F17" i="58"/>
  <c r="E17" i="58"/>
  <c r="D17" i="58"/>
  <c r="C17" i="58"/>
  <c r="B17" i="58"/>
  <c r="AF16" i="58"/>
  <c r="U16" i="58"/>
  <c r="AF15" i="58"/>
  <c r="U15" i="58"/>
  <c r="AF14" i="58"/>
  <c r="U14" i="58"/>
  <c r="AF13" i="58"/>
  <c r="U13" i="58"/>
  <c r="AF12" i="58"/>
  <c r="U12" i="58"/>
  <c r="AF11" i="58"/>
  <c r="U11" i="58"/>
  <c r="AF10" i="58"/>
  <c r="U10" i="58"/>
  <c r="AF9" i="58"/>
  <c r="U9" i="58"/>
  <c r="AF8" i="58"/>
  <c r="Z8" i="58"/>
  <c r="X8" i="58"/>
  <c r="Y8" i="58" s="1"/>
  <c r="U8" i="58"/>
  <c r="AF7" i="58"/>
  <c r="X7" i="58"/>
  <c r="Y7" i="58" s="1"/>
  <c r="Z7" i="58" s="1"/>
  <c r="U7" i="58"/>
  <c r="AF6" i="58"/>
  <c r="X6" i="58"/>
  <c r="Y6" i="58" s="1"/>
  <c r="Z6" i="58" s="1"/>
  <c r="U6" i="58"/>
  <c r="AF5" i="58"/>
  <c r="X5" i="58"/>
  <c r="Y5" i="58" s="1"/>
  <c r="Z5" i="58" s="1"/>
  <c r="U5" i="58"/>
  <c r="AF4" i="58"/>
  <c r="AF3" i="58"/>
  <c r="AF60" i="57"/>
  <c r="AF59" i="57"/>
  <c r="AF58" i="57"/>
  <c r="AF57" i="57"/>
  <c r="AF56" i="57"/>
  <c r="AF55" i="57"/>
  <c r="AF54" i="57"/>
  <c r="AF53" i="57"/>
  <c r="AF52" i="57"/>
  <c r="AF51" i="57"/>
  <c r="AF50" i="57"/>
  <c r="AF49" i="57"/>
  <c r="AF48" i="57"/>
  <c r="AF47" i="57"/>
  <c r="AF46" i="57"/>
  <c r="AF45" i="57"/>
  <c r="AF44" i="57"/>
  <c r="AF43" i="57"/>
  <c r="AF42" i="57"/>
  <c r="Q42" i="57"/>
  <c r="AF41" i="57"/>
  <c r="AF40" i="57"/>
  <c r="AF39" i="57"/>
  <c r="AF38" i="57"/>
  <c r="AF37" i="57"/>
  <c r="AF36" i="57"/>
  <c r="AF35" i="57"/>
  <c r="AA35" i="57"/>
  <c r="AF34" i="57"/>
  <c r="AA34" i="57"/>
  <c r="AF33" i="57"/>
  <c r="AA33" i="57"/>
  <c r="AF32" i="57"/>
  <c r="AA32" i="57"/>
  <c r="AA36" i="57" s="1"/>
  <c r="AF31" i="57"/>
  <c r="AF30" i="57"/>
  <c r="AF29" i="57"/>
  <c r="AA29" i="57"/>
  <c r="AF28" i="57"/>
  <c r="AA28" i="57"/>
  <c r="AF27" i="57"/>
  <c r="AA27" i="57"/>
  <c r="AF26" i="57"/>
  <c r="AA26" i="57"/>
  <c r="AA30" i="57" s="1"/>
  <c r="AF25" i="57"/>
  <c r="AF24" i="57"/>
  <c r="J24" i="57"/>
  <c r="K24" i="57" s="1"/>
  <c r="AF23" i="57"/>
  <c r="AA23" i="57"/>
  <c r="AF22" i="57"/>
  <c r="AA22" i="57"/>
  <c r="J22" i="57"/>
  <c r="K22" i="57" s="1"/>
  <c r="AF21" i="57"/>
  <c r="AA21" i="57"/>
  <c r="AA24" i="57" s="1"/>
  <c r="AF20" i="57"/>
  <c r="AA20" i="57"/>
  <c r="T20" i="57"/>
  <c r="S20" i="57"/>
  <c r="R20" i="57"/>
  <c r="P20" i="57"/>
  <c r="U20" i="57" s="1"/>
  <c r="AF19" i="57"/>
  <c r="AF18" i="57"/>
  <c r="AF17" i="57"/>
  <c r="AA17" i="57"/>
  <c r="V17" i="57"/>
  <c r="D41" i="57" s="1"/>
  <c r="D44" i="57" s="1"/>
  <c r="U17" i="57"/>
  <c r="T17" i="57"/>
  <c r="S17" i="57"/>
  <c r="R17" i="57"/>
  <c r="Y6" i="57" s="1"/>
  <c r="Z6" i="57" s="1"/>
  <c r="Q17" i="57"/>
  <c r="P17" i="57"/>
  <c r="O17" i="57"/>
  <c r="N17" i="57"/>
  <c r="M17" i="57"/>
  <c r="L17" i="57"/>
  <c r="K17" i="57"/>
  <c r="J17" i="57"/>
  <c r="I17" i="57"/>
  <c r="H17" i="57"/>
  <c r="G17" i="57"/>
  <c r="F17" i="57"/>
  <c r="E17" i="57"/>
  <c r="D17" i="57"/>
  <c r="C17" i="57"/>
  <c r="B17" i="57"/>
  <c r="AF16" i="57"/>
  <c r="AA16" i="57"/>
  <c r="U16" i="57"/>
  <c r="AF15" i="57"/>
  <c r="AA15" i="57"/>
  <c r="U15" i="57"/>
  <c r="AF14" i="57"/>
  <c r="AA14" i="57"/>
  <c r="AA18" i="57" s="1"/>
  <c r="U14" i="57"/>
  <c r="AF13" i="57"/>
  <c r="U13" i="57"/>
  <c r="AF12" i="57"/>
  <c r="U12" i="57"/>
  <c r="AF11" i="57"/>
  <c r="U11" i="57"/>
  <c r="AF10" i="57"/>
  <c r="U10" i="57"/>
  <c r="AF9" i="57"/>
  <c r="U9" i="57"/>
  <c r="AF8" i="57"/>
  <c r="Z8" i="57"/>
  <c r="Y8" i="57"/>
  <c r="U8" i="57"/>
  <c r="AF7" i="57"/>
  <c r="Y7" i="57"/>
  <c r="Z7" i="57" s="1"/>
  <c r="U7" i="57"/>
  <c r="AF6" i="57"/>
  <c r="U6" i="57"/>
  <c r="AF5" i="57"/>
  <c r="Y5" i="57"/>
  <c r="Z5" i="57" s="1"/>
  <c r="U5" i="57"/>
  <c r="AF4" i="57"/>
  <c r="AF3" i="57"/>
  <c r="AF60" i="56"/>
  <c r="AF59" i="56"/>
  <c r="AF58" i="56"/>
  <c r="AF57" i="56"/>
  <c r="AF56" i="56"/>
  <c r="AF55" i="56"/>
  <c r="AF54" i="56"/>
  <c r="AF53" i="56"/>
  <c r="AF52" i="56"/>
  <c r="AF51" i="56"/>
  <c r="AF50" i="56"/>
  <c r="AF49" i="56"/>
  <c r="AF48" i="56"/>
  <c r="AF47" i="56"/>
  <c r="AF46" i="56"/>
  <c r="AF45" i="56"/>
  <c r="AF44" i="56"/>
  <c r="AF43" i="56"/>
  <c r="AF42" i="56"/>
  <c r="Q42" i="56"/>
  <c r="AF41" i="56"/>
  <c r="D41" i="56"/>
  <c r="D44" i="56" s="1"/>
  <c r="AF40" i="56"/>
  <c r="AF39" i="56"/>
  <c r="AF38" i="56"/>
  <c r="AF37" i="56"/>
  <c r="AF36" i="56"/>
  <c r="AF35" i="56"/>
  <c r="AF34" i="56"/>
  <c r="AF33" i="56"/>
  <c r="AF32" i="56"/>
  <c r="AF31" i="56"/>
  <c r="AF30" i="56"/>
  <c r="AF29" i="56"/>
  <c r="AF28" i="56"/>
  <c r="AF27" i="56"/>
  <c r="AF26" i="56"/>
  <c r="AF25" i="56"/>
  <c r="AF24" i="56"/>
  <c r="J24" i="56"/>
  <c r="K24" i="56" s="1"/>
  <c r="AF23" i="56"/>
  <c r="AF22" i="56"/>
  <c r="K22" i="56"/>
  <c r="J22" i="56"/>
  <c r="AF21" i="56"/>
  <c r="AF20" i="56"/>
  <c r="P20" i="56"/>
  <c r="AF19" i="56"/>
  <c r="AF18" i="56"/>
  <c r="AF17" i="56"/>
  <c r="V17" i="56"/>
  <c r="T17" i="56"/>
  <c r="T20" i="56" s="1"/>
  <c r="S17" i="56"/>
  <c r="S20" i="56" s="1"/>
  <c r="R17" i="56"/>
  <c r="U17" i="56" s="1"/>
  <c r="Q17" i="56"/>
  <c r="P17" i="56"/>
  <c r="O17" i="56"/>
  <c r="N17" i="56"/>
  <c r="M17" i="56"/>
  <c r="L17" i="56"/>
  <c r="K17" i="56"/>
  <c r="J17" i="56"/>
  <c r="I17" i="56"/>
  <c r="H17" i="56"/>
  <c r="G17" i="56"/>
  <c r="F17" i="56"/>
  <c r="E17" i="56"/>
  <c r="D17" i="56"/>
  <c r="C17" i="56"/>
  <c r="B17" i="56"/>
  <c r="AF16" i="56"/>
  <c r="U16" i="56"/>
  <c r="AF15" i="56"/>
  <c r="U15" i="56"/>
  <c r="AF14" i="56"/>
  <c r="U14" i="56"/>
  <c r="AF13" i="56"/>
  <c r="U13" i="56"/>
  <c r="AF12" i="56"/>
  <c r="U12" i="56"/>
  <c r="AF11" i="56"/>
  <c r="U11" i="56"/>
  <c r="AF10" i="56"/>
  <c r="U10" i="56"/>
  <c r="AF9" i="56"/>
  <c r="U9" i="56"/>
  <c r="AF8" i="56"/>
  <c r="Z8" i="56"/>
  <c r="X8" i="56"/>
  <c r="Y8" i="56" s="1"/>
  <c r="U8" i="56"/>
  <c r="AF7" i="56"/>
  <c r="X7" i="56"/>
  <c r="Y7" i="56" s="1"/>
  <c r="Z7" i="56" s="1"/>
  <c r="U7" i="56"/>
  <c r="AF6" i="56"/>
  <c r="X6" i="56"/>
  <c r="Y6" i="56" s="1"/>
  <c r="Z6" i="56" s="1"/>
  <c r="U6" i="56"/>
  <c r="AF5" i="56"/>
  <c r="X5" i="56"/>
  <c r="Y5" i="56" s="1"/>
  <c r="Z5" i="56" s="1"/>
  <c r="U5" i="56"/>
  <c r="AF4" i="56"/>
  <c r="AF3" i="56"/>
  <c r="AF60" i="55"/>
  <c r="AF59" i="55"/>
  <c r="AF58" i="55"/>
  <c r="AF57" i="55"/>
  <c r="AF56" i="55"/>
  <c r="AF55" i="55"/>
  <c r="AF54" i="55"/>
  <c r="AF53" i="55"/>
  <c r="AF52" i="55"/>
  <c r="AF51" i="55"/>
  <c r="AF50" i="55"/>
  <c r="AF49" i="55"/>
  <c r="AF48" i="55"/>
  <c r="AF47" i="55"/>
  <c r="AF46" i="55"/>
  <c r="AF45" i="55"/>
  <c r="AF44" i="55"/>
  <c r="AF43" i="55"/>
  <c r="AF42" i="55"/>
  <c r="Q42" i="55"/>
  <c r="AF41" i="55"/>
  <c r="D41" i="55"/>
  <c r="D44" i="55" s="1"/>
  <c r="AF40" i="55"/>
  <c r="AF39" i="55"/>
  <c r="AF38" i="55"/>
  <c r="AF37" i="55"/>
  <c r="AF36" i="55"/>
  <c r="AF35" i="55"/>
  <c r="AA35" i="55"/>
  <c r="AF34" i="55"/>
  <c r="AA34" i="55"/>
  <c r="AF33" i="55"/>
  <c r="AA33" i="55"/>
  <c r="AF32" i="55"/>
  <c r="AA32" i="55"/>
  <c r="AA36" i="55" s="1"/>
  <c r="AF31" i="55"/>
  <c r="AF30" i="55"/>
  <c r="AF29" i="55"/>
  <c r="AA29" i="55"/>
  <c r="AF28" i="55"/>
  <c r="AA28" i="55"/>
  <c r="AF27" i="55"/>
  <c r="AA27" i="55"/>
  <c r="AF26" i="55"/>
  <c r="AA26" i="55"/>
  <c r="AA30" i="55" s="1"/>
  <c r="AF25" i="55"/>
  <c r="AF24" i="55"/>
  <c r="J24" i="55"/>
  <c r="K24" i="55" s="1"/>
  <c r="AF23" i="55"/>
  <c r="AA23" i="55"/>
  <c r="AF22" i="55"/>
  <c r="AA22" i="55"/>
  <c r="K22" i="55"/>
  <c r="J22" i="55"/>
  <c r="AF21" i="55"/>
  <c r="AA21" i="55"/>
  <c r="AF20" i="55"/>
  <c r="AA20" i="55"/>
  <c r="AA24" i="55" s="1"/>
  <c r="P20" i="55"/>
  <c r="AF19" i="55"/>
  <c r="AF18" i="55"/>
  <c r="AF17" i="55"/>
  <c r="AA17" i="55"/>
  <c r="V17" i="55"/>
  <c r="T17" i="55"/>
  <c r="T20" i="55" s="1"/>
  <c r="S17" i="55"/>
  <c r="S20" i="55" s="1"/>
  <c r="R17" i="55"/>
  <c r="Y6" i="55" s="1"/>
  <c r="Z6" i="55" s="1"/>
  <c r="Q17" i="55"/>
  <c r="P17" i="55"/>
  <c r="Y5" i="55" s="1"/>
  <c r="Z5" i="55" s="1"/>
  <c r="O17" i="55"/>
  <c r="N17" i="55"/>
  <c r="M17" i="55"/>
  <c r="L17" i="55"/>
  <c r="K17" i="55"/>
  <c r="J17" i="55"/>
  <c r="I17" i="55"/>
  <c r="H17" i="55"/>
  <c r="G17" i="55"/>
  <c r="F17" i="55"/>
  <c r="E17" i="55"/>
  <c r="D17" i="55"/>
  <c r="C17" i="55"/>
  <c r="B17" i="55"/>
  <c r="AF16" i="55"/>
  <c r="AA16" i="55"/>
  <c r="U16" i="55"/>
  <c r="AF15" i="55"/>
  <c r="AA15" i="55"/>
  <c r="U15" i="55"/>
  <c r="AF14" i="55"/>
  <c r="AA14" i="55"/>
  <c r="AA18" i="55" s="1"/>
  <c r="U14" i="55"/>
  <c r="AF13" i="55"/>
  <c r="U13" i="55"/>
  <c r="AF12" i="55"/>
  <c r="U12" i="55"/>
  <c r="AF11" i="55"/>
  <c r="U11" i="55"/>
  <c r="AF10" i="55"/>
  <c r="U10" i="55"/>
  <c r="AF9" i="55"/>
  <c r="U9" i="55"/>
  <c r="AF8" i="55"/>
  <c r="Z8" i="55"/>
  <c r="Y8" i="55"/>
  <c r="U8" i="55"/>
  <c r="AF7" i="55"/>
  <c r="U7" i="55"/>
  <c r="AF6" i="55"/>
  <c r="U6" i="55"/>
  <c r="AF5" i="55"/>
  <c r="U5" i="55"/>
  <c r="AF4" i="55"/>
  <c r="AF3" i="55"/>
  <c r="AF60" i="54"/>
  <c r="AF59" i="54"/>
  <c r="AF58" i="54"/>
  <c r="AF57" i="54"/>
  <c r="AF56" i="54"/>
  <c r="AF55" i="54"/>
  <c r="AF54" i="54"/>
  <c r="AF53" i="54"/>
  <c r="AF52" i="54"/>
  <c r="AF51" i="54"/>
  <c r="AF50" i="54"/>
  <c r="AF49" i="54"/>
  <c r="AF48" i="54"/>
  <c r="AF47" i="54"/>
  <c r="AF46" i="54"/>
  <c r="AF45" i="54"/>
  <c r="AF44" i="54"/>
  <c r="AF43" i="54"/>
  <c r="AF42" i="54"/>
  <c r="Q42" i="54"/>
  <c r="AF41" i="54"/>
  <c r="D41" i="54"/>
  <c r="D44" i="54" s="1"/>
  <c r="AF40" i="54"/>
  <c r="AF39" i="54"/>
  <c r="AF38" i="54"/>
  <c r="AF37" i="54"/>
  <c r="AF36" i="54"/>
  <c r="AF35" i="54"/>
  <c r="AF34" i="54"/>
  <c r="AF33" i="54"/>
  <c r="AF32" i="54"/>
  <c r="AF31" i="54"/>
  <c r="AF30" i="54"/>
  <c r="AF29" i="54"/>
  <c r="AF28" i="54"/>
  <c r="AF27" i="54"/>
  <c r="AF26" i="54"/>
  <c r="AF25" i="54"/>
  <c r="AF24" i="54"/>
  <c r="J24" i="54"/>
  <c r="K24" i="54" s="1"/>
  <c r="AF23" i="54"/>
  <c r="AF22" i="54"/>
  <c r="J22" i="54"/>
  <c r="K22" i="54" s="1"/>
  <c r="AF21" i="54"/>
  <c r="AF20" i="54"/>
  <c r="P20" i="54"/>
  <c r="AF19" i="54"/>
  <c r="AF18" i="54"/>
  <c r="AF17" i="54"/>
  <c r="V17" i="54"/>
  <c r="T17" i="54"/>
  <c r="T20" i="54" s="1"/>
  <c r="S17" i="54"/>
  <c r="S20" i="54" s="1"/>
  <c r="R17" i="54"/>
  <c r="Y6" i="54" s="1"/>
  <c r="Z6" i="54" s="1"/>
  <c r="Q17" i="54"/>
  <c r="U17" i="54" s="1"/>
  <c r="P17" i="54"/>
  <c r="O17" i="54"/>
  <c r="N17" i="54"/>
  <c r="M17" i="54"/>
  <c r="L17" i="54"/>
  <c r="K17" i="54"/>
  <c r="J17" i="54"/>
  <c r="I17" i="54"/>
  <c r="H17" i="54"/>
  <c r="G17" i="54"/>
  <c r="F17" i="54"/>
  <c r="E17" i="54"/>
  <c r="D17" i="54"/>
  <c r="C17" i="54"/>
  <c r="B17" i="54"/>
  <c r="AF16" i="54"/>
  <c r="U16" i="54"/>
  <c r="AF15" i="54"/>
  <c r="U15" i="54"/>
  <c r="AF14" i="54"/>
  <c r="U14" i="54"/>
  <c r="AF13" i="54"/>
  <c r="U13" i="54"/>
  <c r="AF12" i="54"/>
  <c r="U12" i="54"/>
  <c r="AF11" i="54"/>
  <c r="U11" i="54"/>
  <c r="AF10" i="54"/>
  <c r="U10" i="54"/>
  <c r="AF9" i="54"/>
  <c r="U9" i="54"/>
  <c r="AF8" i="54"/>
  <c r="Z8" i="54"/>
  <c r="X8" i="54"/>
  <c r="Y8" i="54" s="1"/>
  <c r="U8" i="54"/>
  <c r="AF7" i="54"/>
  <c r="X7" i="54"/>
  <c r="Y7" i="54" s="1"/>
  <c r="Z7" i="54" s="1"/>
  <c r="U7" i="54"/>
  <c r="AF6" i="54"/>
  <c r="X6" i="54"/>
  <c r="U6" i="54"/>
  <c r="AF5" i="54"/>
  <c r="X5" i="54"/>
  <c r="Y5" i="54" s="1"/>
  <c r="Z5" i="54" s="1"/>
  <c r="U5" i="54"/>
  <c r="AF4" i="54"/>
  <c r="AF3" i="54"/>
  <c r="AF60" i="53"/>
  <c r="AF59" i="53"/>
  <c r="AF58" i="53"/>
  <c r="AF57" i="53"/>
  <c r="AF56" i="53"/>
  <c r="AF55" i="53"/>
  <c r="AF54" i="53"/>
  <c r="AF53" i="53"/>
  <c r="AF52" i="53"/>
  <c r="AF51" i="53"/>
  <c r="AF50" i="53"/>
  <c r="AF49" i="53"/>
  <c r="AF48" i="53"/>
  <c r="AF47" i="53"/>
  <c r="AF46" i="53"/>
  <c r="AF45" i="53"/>
  <c r="AF44" i="53"/>
  <c r="AF43" i="53"/>
  <c r="AF42" i="53"/>
  <c r="Q42" i="53"/>
  <c r="AF41" i="53"/>
  <c r="D41" i="53"/>
  <c r="D44" i="53" s="1"/>
  <c r="AF40" i="53"/>
  <c r="AF39" i="53"/>
  <c r="AF38" i="53"/>
  <c r="AF37" i="53"/>
  <c r="AF36" i="53"/>
  <c r="AF35" i="53"/>
  <c r="AA35" i="53"/>
  <c r="AF34" i="53"/>
  <c r="AA34" i="53"/>
  <c r="AF33" i="53"/>
  <c r="AA33" i="53"/>
  <c r="AF32" i="53"/>
  <c r="AA32" i="53"/>
  <c r="AA36" i="53" s="1"/>
  <c r="AF31" i="53"/>
  <c r="AF30" i="53"/>
  <c r="AF29" i="53"/>
  <c r="AA29" i="53"/>
  <c r="AF28" i="53"/>
  <c r="AA28" i="53"/>
  <c r="AF27" i="53"/>
  <c r="AA27" i="53"/>
  <c r="AF26" i="53"/>
  <c r="AA26" i="53"/>
  <c r="AA30" i="53" s="1"/>
  <c r="AF25" i="53"/>
  <c r="AF24" i="53"/>
  <c r="J24" i="53"/>
  <c r="K24" i="53" s="1"/>
  <c r="AF23" i="53"/>
  <c r="AA23" i="53"/>
  <c r="AF22" i="53"/>
  <c r="AA22" i="53"/>
  <c r="J22" i="53"/>
  <c r="K22" i="53" s="1"/>
  <c r="AF21" i="53"/>
  <c r="AA21" i="53"/>
  <c r="AF20" i="53"/>
  <c r="AA20" i="53"/>
  <c r="AA24" i="53" s="1"/>
  <c r="P20" i="53"/>
  <c r="AF19" i="53"/>
  <c r="AF18" i="53"/>
  <c r="AF17" i="53"/>
  <c r="AA17" i="53"/>
  <c r="V17" i="53"/>
  <c r="T17" i="53"/>
  <c r="T20" i="53" s="1"/>
  <c r="S17" i="53"/>
  <c r="S20" i="53" s="1"/>
  <c r="R17" i="53"/>
  <c r="Y6" i="53" s="1"/>
  <c r="Z6" i="53" s="1"/>
  <c r="Q17" i="53"/>
  <c r="U17" i="53" s="1"/>
  <c r="P17" i="53"/>
  <c r="O17" i="53"/>
  <c r="N17" i="53"/>
  <c r="M17" i="53"/>
  <c r="L17" i="53"/>
  <c r="K17" i="53"/>
  <c r="J17" i="53"/>
  <c r="I17" i="53"/>
  <c r="H17" i="53"/>
  <c r="G17" i="53"/>
  <c r="F17" i="53"/>
  <c r="E17" i="53"/>
  <c r="D17" i="53"/>
  <c r="C17" i="53"/>
  <c r="B17" i="53"/>
  <c r="AF16" i="53"/>
  <c r="AA16" i="53"/>
  <c r="U16" i="53"/>
  <c r="AF15" i="53"/>
  <c r="AA15" i="53"/>
  <c r="U15" i="53"/>
  <c r="AF14" i="53"/>
  <c r="AA14" i="53"/>
  <c r="AA18" i="53" s="1"/>
  <c r="U14" i="53"/>
  <c r="AF13" i="53"/>
  <c r="U13" i="53"/>
  <c r="AF12" i="53"/>
  <c r="U12" i="53"/>
  <c r="AF11" i="53"/>
  <c r="U11" i="53"/>
  <c r="AF10" i="53"/>
  <c r="U10" i="53"/>
  <c r="AF9" i="53"/>
  <c r="U9" i="53"/>
  <c r="AF8" i="53"/>
  <c r="Z8" i="53"/>
  <c r="Y8" i="53"/>
  <c r="U8" i="53"/>
  <c r="AF7" i="53"/>
  <c r="U7" i="53"/>
  <c r="AF6" i="53"/>
  <c r="U6" i="53"/>
  <c r="AF5" i="53"/>
  <c r="Y5" i="53"/>
  <c r="Z5" i="53" s="1"/>
  <c r="U5" i="53"/>
  <c r="AF4" i="53"/>
  <c r="AF3" i="53"/>
  <c r="AF60" i="52"/>
  <c r="AF59" i="52"/>
  <c r="AF58" i="52"/>
  <c r="AF57" i="52"/>
  <c r="AF56" i="52"/>
  <c r="AF55" i="52"/>
  <c r="AF54" i="52"/>
  <c r="AF53" i="52"/>
  <c r="AF52" i="52"/>
  <c r="AF51" i="52"/>
  <c r="AF50" i="52"/>
  <c r="AF49" i="52"/>
  <c r="AF48" i="52"/>
  <c r="AF47" i="52"/>
  <c r="AF46" i="52"/>
  <c r="AF45" i="52"/>
  <c r="AF44" i="52"/>
  <c r="AF43" i="52"/>
  <c r="AF42" i="52"/>
  <c r="Q42" i="52"/>
  <c r="AF41" i="52"/>
  <c r="D41" i="52"/>
  <c r="D44" i="52" s="1"/>
  <c r="AF40" i="52"/>
  <c r="AF39" i="52"/>
  <c r="AF38" i="52"/>
  <c r="AF37" i="52"/>
  <c r="AF36" i="52"/>
  <c r="AF35" i="52"/>
  <c r="AF34" i="52"/>
  <c r="AF33" i="52"/>
  <c r="AF32" i="52"/>
  <c r="AF31" i="52"/>
  <c r="AF30" i="52"/>
  <c r="AF29" i="52"/>
  <c r="AF28" i="52"/>
  <c r="AF27" i="52"/>
  <c r="AF26" i="52"/>
  <c r="AF25" i="52"/>
  <c r="AF24" i="52"/>
  <c r="J24" i="52"/>
  <c r="K24" i="52" s="1"/>
  <c r="AF23" i="52"/>
  <c r="AF22" i="52"/>
  <c r="J22" i="52"/>
  <c r="K22" i="52" s="1"/>
  <c r="AF21" i="52"/>
  <c r="AF20" i="52"/>
  <c r="P20" i="52"/>
  <c r="AF19" i="52"/>
  <c r="AF18" i="52"/>
  <c r="AF17" i="52"/>
  <c r="V17" i="52"/>
  <c r="T17" i="52"/>
  <c r="T20" i="52" s="1"/>
  <c r="S17" i="52"/>
  <c r="S20" i="52" s="1"/>
  <c r="R17" i="52"/>
  <c r="Y6" i="52" s="1"/>
  <c r="Z6" i="52" s="1"/>
  <c r="Q17" i="52"/>
  <c r="P17" i="52"/>
  <c r="O17" i="52"/>
  <c r="N17" i="52"/>
  <c r="M17" i="52"/>
  <c r="L17" i="52"/>
  <c r="K17" i="52"/>
  <c r="J17" i="52"/>
  <c r="I17" i="52"/>
  <c r="H17" i="52"/>
  <c r="G17" i="52"/>
  <c r="F17" i="52"/>
  <c r="E17" i="52"/>
  <c r="D17" i="52"/>
  <c r="C17" i="52"/>
  <c r="B17" i="52"/>
  <c r="AF16" i="52"/>
  <c r="U16" i="52"/>
  <c r="AF15" i="52"/>
  <c r="U15" i="52"/>
  <c r="AF14" i="52"/>
  <c r="U14" i="52"/>
  <c r="AF13" i="52"/>
  <c r="U13" i="52"/>
  <c r="AF12" i="52"/>
  <c r="U12" i="52"/>
  <c r="AF11" i="52"/>
  <c r="U11" i="52"/>
  <c r="AF10" i="52"/>
  <c r="U10" i="52"/>
  <c r="AF9" i="52"/>
  <c r="U9" i="52"/>
  <c r="AF8" i="52"/>
  <c r="Z8" i="52"/>
  <c r="X8" i="52"/>
  <c r="Y8" i="52" s="1"/>
  <c r="U8" i="52"/>
  <c r="AF7" i="52"/>
  <c r="X7" i="52"/>
  <c r="Y7" i="52" s="1"/>
  <c r="Z7" i="52" s="1"/>
  <c r="U7" i="52"/>
  <c r="AF6" i="52"/>
  <c r="X6" i="52"/>
  <c r="U6" i="52"/>
  <c r="AF5" i="52"/>
  <c r="X5" i="52"/>
  <c r="Y5" i="52" s="1"/>
  <c r="Z5" i="52" s="1"/>
  <c r="U5" i="52"/>
  <c r="AF4" i="52"/>
  <c r="AF3" i="52"/>
  <c r="AF60" i="51"/>
  <c r="AF59" i="51"/>
  <c r="AF58" i="51"/>
  <c r="AF57" i="51"/>
  <c r="AF56" i="51"/>
  <c r="AF55" i="51"/>
  <c r="AF54" i="51"/>
  <c r="AF53" i="51"/>
  <c r="AF52" i="51"/>
  <c r="AF51" i="51"/>
  <c r="AF50" i="51"/>
  <c r="AF49" i="51"/>
  <c r="AF48" i="51"/>
  <c r="AF47" i="51"/>
  <c r="AF46" i="51"/>
  <c r="AF45" i="51"/>
  <c r="AF44" i="51"/>
  <c r="AF43" i="51"/>
  <c r="AF42" i="51"/>
  <c r="Q42" i="51"/>
  <c r="AF41" i="51"/>
  <c r="D41" i="51"/>
  <c r="D44" i="51" s="1"/>
  <c r="AF40" i="51"/>
  <c r="AF39" i="51"/>
  <c r="AF38" i="51"/>
  <c r="AF37" i="51"/>
  <c r="AF36" i="51"/>
  <c r="AF35" i="51"/>
  <c r="AA35" i="51"/>
  <c r="AF34" i="51"/>
  <c r="AA34" i="51"/>
  <c r="AF33" i="51"/>
  <c r="AA33" i="51"/>
  <c r="AF32" i="51"/>
  <c r="AA32" i="51"/>
  <c r="AA36" i="51" s="1"/>
  <c r="AF31" i="51"/>
  <c r="AF30" i="51"/>
  <c r="AF29" i="51"/>
  <c r="AA29" i="51"/>
  <c r="AF28" i="51"/>
  <c r="AA28" i="51"/>
  <c r="AF27" i="51"/>
  <c r="AA27" i="51"/>
  <c r="AF26" i="51"/>
  <c r="AA26" i="51"/>
  <c r="AA30" i="51" s="1"/>
  <c r="AF25" i="51"/>
  <c r="AF24" i="51"/>
  <c r="J24" i="51"/>
  <c r="K24" i="51" s="1"/>
  <c r="AF23" i="51"/>
  <c r="AA23" i="51"/>
  <c r="AF22" i="51"/>
  <c r="AA22" i="51"/>
  <c r="J22" i="51"/>
  <c r="K22" i="51" s="1"/>
  <c r="AF21" i="51"/>
  <c r="AA21" i="51"/>
  <c r="AF20" i="51"/>
  <c r="AA20" i="51"/>
  <c r="AA24" i="51" s="1"/>
  <c r="P20" i="51"/>
  <c r="AF19" i="51"/>
  <c r="AF18" i="51"/>
  <c r="AF17" i="51"/>
  <c r="AA17" i="51"/>
  <c r="V17" i="51"/>
  <c r="T17" i="51"/>
  <c r="T20" i="51" s="1"/>
  <c r="S17" i="51"/>
  <c r="S20" i="51" s="1"/>
  <c r="R17" i="51"/>
  <c r="Y6" i="51" s="1"/>
  <c r="Z6" i="51" s="1"/>
  <c r="Q17" i="51"/>
  <c r="U17" i="51" s="1"/>
  <c r="P17" i="51"/>
  <c r="O17" i="51"/>
  <c r="N17" i="51"/>
  <c r="M17" i="51"/>
  <c r="L17" i="51"/>
  <c r="K17" i="51"/>
  <c r="J17" i="51"/>
  <c r="I17" i="51"/>
  <c r="H17" i="51"/>
  <c r="G17" i="51"/>
  <c r="F17" i="51"/>
  <c r="E17" i="51"/>
  <c r="D17" i="51"/>
  <c r="C17" i="51"/>
  <c r="B17" i="51"/>
  <c r="AF16" i="51"/>
  <c r="AA16" i="51"/>
  <c r="U16" i="51"/>
  <c r="AF15" i="51"/>
  <c r="AA15" i="51"/>
  <c r="U15" i="51"/>
  <c r="AF14" i="51"/>
  <c r="AA14" i="51"/>
  <c r="AA18" i="51" s="1"/>
  <c r="U14" i="51"/>
  <c r="AF13" i="51"/>
  <c r="U13" i="51"/>
  <c r="AF12" i="51"/>
  <c r="U12" i="51"/>
  <c r="AF11" i="51"/>
  <c r="U11" i="51"/>
  <c r="AF10" i="51"/>
  <c r="U10" i="51"/>
  <c r="AF9" i="51"/>
  <c r="U9" i="51"/>
  <c r="AF8" i="51"/>
  <c r="Z8" i="51"/>
  <c r="Y8" i="51"/>
  <c r="U8" i="51"/>
  <c r="AF7" i="51"/>
  <c r="U7" i="51"/>
  <c r="AF6" i="51"/>
  <c r="U6" i="51"/>
  <c r="AF5" i="51"/>
  <c r="Y5" i="51"/>
  <c r="Z5" i="51" s="1"/>
  <c r="U5" i="51"/>
  <c r="AF4" i="51"/>
  <c r="AF3" i="51"/>
  <c r="AF60" i="50"/>
  <c r="AF59" i="50"/>
  <c r="AF58" i="50"/>
  <c r="AF57" i="50"/>
  <c r="AF56" i="50"/>
  <c r="AF55" i="50"/>
  <c r="AF54" i="50"/>
  <c r="AF53" i="50"/>
  <c r="AF52" i="50"/>
  <c r="AF51" i="50"/>
  <c r="AF50" i="50"/>
  <c r="AF49" i="50"/>
  <c r="AF48" i="50"/>
  <c r="AF47" i="50"/>
  <c r="AF46" i="50"/>
  <c r="AF45" i="50"/>
  <c r="AF44" i="50"/>
  <c r="AF43" i="50"/>
  <c r="AF42" i="50"/>
  <c r="Q42" i="50"/>
  <c r="AF41" i="50"/>
  <c r="D41" i="50"/>
  <c r="D44" i="50" s="1"/>
  <c r="AF40" i="50"/>
  <c r="AF39" i="50"/>
  <c r="AF38" i="50"/>
  <c r="AF37" i="50"/>
  <c r="AF36" i="50"/>
  <c r="AF35" i="50"/>
  <c r="AF34" i="50"/>
  <c r="AF33" i="50"/>
  <c r="AF32" i="50"/>
  <c r="AF31" i="50"/>
  <c r="AF30" i="50"/>
  <c r="AF29" i="50"/>
  <c r="AF28" i="50"/>
  <c r="AF27" i="50"/>
  <c r="AF26" i="50"/>
  <c r="AF25" i="50"/>
  <c r="AF24" i="50"/>
  <c r="J24" i="50"/>
  <c r="K24" i="50" s="1"/>
  <c r="AF23" i="50"/>
  <c r="AF22" i="50"/>
  <c r="K22" i="50"/>
  <c r="J22" i="50"/>
  <c r="AF21" i="50"/>
  <c r="AF20" i="50"/>
  <c r="P20" i="50"/>
  <c r="AF19" i="50"/>
  <c r="AF18" i="50"/>
  <c r="AF17" i="50"/>
  <c r="V17" i="50"/>
  <c r="T17" i="50"/>
  <c r="T20" i="50" s="1"/>
  <c r="S17" i="50"/>
  <c r="S20" i="50" s="1"/>
  <c r="R17" i="50"/>
  <c r="R20" i="50" s="1"/>
  <c r="Q17" i="50"/>
  <c r="P17" i="50"/>
  <c r="O17" i="50"/>
  <c r="N17" i="50"/>
  <c r="M17" i="50"/>
  <c r="L17" i="50"/>
  <c r="K17" i="50"/>
  <c r="J17" i="50"/>
  <c r="I17" i="50"/>
  <c r="H17" i="50"/>
  <c r="G17" i="50"/>
  <c r="F17" i="50"/>
  <c r="E17" i="50"/>
  <c r="D17" i="50"/>
  <c r="C17" i="50"/>
  <c r="B17" i="50"/>
  <c r="AF16" i="50"/>
  <c r="U16" i="50"/>
  <c r="AF15" i="50"/>
  <c r="U15" i="50"/>
  <c r="AF14" i="50"/>
  <c r="U14" i="50"/>
  <c r="AF13" i="50"/>
  <c r="U13" i="50"/>
  <c r="AF12" i="50"/>
  <c r="U12" i="50"/>
  <c r="AF11" i="50"/>
  <c r="U11" i="50"/>
  <c r="AF10" i="50"/>
  <c r="U10" i="50"/>
  <c r="AF9" i="50"/>
  <c r="U9" i="50"/>
  <c r="AF8" i="50"/>
  <c r="Z8" i="50"/>
  <c r="X8" i="50"/>
  <c r="Y8" i="50" s="1"/>
  <c r="U8" i="50"/>
  <c r="AF7" i="50"/>
  <c r="X7" i="50"/>
  <c r="Y7" i="50" s="1"/>
  <c r="Z7" i="50" s="1"/>
  <c r="U7" i="50"/>
  <c r="AF6" i="50"/>
  <c r="X6" i="50"/>
  <c r="Y6" i="50" s="1"/>
  <c r="Z6" i="50" s="1"/>
  <c r="U6" i="50"/>
  <c r="AF5" i="50"/>
  <c r="X5" i="50"/>
  <c r="Y5" i="50" s="1"/>
  <c r="Z5" i="50" s="1"/>
  <c r="U5" i="50"/>
  <c r="AF4" i="50"/>
  <c r="AF3" i="50"/>
  <c r="AF60" i="49"/>
  <c r="AF59" i="49"/>
  <c r="AF58" i="49"/>
  <c r="AF57" i="49"/>
  <c r="AF56" i="49"/>
  <c r="AF55" i="49"/>
  <c r="AF54" i="49"/>
  <c r="AF53" i="49"/>
  <c r="AF52" i="49"/>
  <c r="AF51" i="49"/>
  <c r="AF50" i="49"/>
  <c r="AF49" i="49"/>
  <c r="AF48" i="49"/>
  <c r="AF47" i="49"/>
  <c r="AF46" i="49"/>
  <c r="AF45" i="49"/>
  <c r="AF44" i="49"/>
  <c r="AF43" i="49"/>
  <c r="AF42" i="49"/>
  <c r="Q42" i="49"/>
  <c r="AF41" i="49"/>
  <c r="D41" i="49"/>
  <c r="D44" i="49" s="1"/>
  <c r="AF40" i="49"/>
  <c r="AF39" i="49"/>
  <c r="AF38" i="49"/>
  <c r="AF37" i="49"/>
  <c r="AF36" i="49"/>
  <c r="AF35" i="49"/>
  <c r="AA35" i="49"/>
  <c r="AF34" i="49"/>
  <c r="AA34" i="49"/>
  <c r="AF33" i="49"/>
  <c r="AA33" i="49"/>
  <c r="AF32" i="49"/>
  <c r="AA32" i="49"/>
  <c r="AA36" i="49" s="1"/>
  <c r="AF31" i="49"/>
  <c r="AF30" i="49"/>
  <c r="AF29" i="49"/>
  <c r="AA29" i="49"/>
  <c r="AF28" i="49"/>
  <c r="AA28" i="49"/>
  <c r="AF27" i="49"/>
  <c r="AA27" i="49"/>
  <c r="AF26" i="49"/>
  <c r="AA26" i="49"/>
  <c r="AA30" i="49" s="1"/>
  <c r="AF25" i="49"/>
  <c r="AF24" i="49"/>
  <c r="J24" i="49"/>
  <c r="K24" i="49" s="1"/>
  <c r="AF23" i="49"/>
  <c r="AA23" i="49"/>
  <c r="AF22" i="49"/>
  <c r="AA22" i="49"/>
  <c r="K22" i="49"/>
  <c r="J22" i="49"/>
  <c r="AF21" i="49"/>
  <c r="AA21" i="49"/>
  <c r="AF20" i="49"/>
  <c r="AA20" i="49"/>
  <c r="AA24" i="49" s="1"/>
  <c r="P20" i="49"/>
  <c r="AF19" i="49"/>
  <c r="AF18" i="49"/>
  <c r="AF17" i="49"/>
  <c r="AA17" i="49"/>
  <c r="V17" i="49"/>
  <c r="T17" i="49"/>
  <c r="T20" i="49" s="1"/>
  <c r="S17" i="49"/>
  <c r="S20" i="49" s="1"/>
  <c r="R17" i="49"/>
  <c r="U17" i="49" s="1"/>
  <c r="Q17" i="49"/>
  <c r="P17" i="49"/>
  <c r="Y5" i="49" s="1"/>
  <c r="Z5" i="49" s="1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B17" i="49"/>
  <c r="AF16" i="49"/>
  <c r="AA16" i="49"/>
  <c r="U16" i="49"/>
  <c r="AF15" i="49"/>
  <c r="AA15" i="49"/>
  <c r="U15" i="49"/>
  <c r="AF14" i="49"/>
  <c r="AA14" i="49"/>
  <c r="AA18" i="49" s="1"/>
  <c r="U14" i="49"/>
  <c r="AF13" i="49"/>
  <c r="U13" i="49"/>
  <c r="AF12" i="49"/>
  <c r="U12" i="49"/>
  <c r="AF11" i="49"/>
  <c r="U11" i="49"/>
  <c r="AF10" i="49"/>
  <c r="U10" i="49"/>
  <c r="AF9" i="49"/>
  <c r="U9" i="49"/>
  <c r="AF8" i="49"/>
  <c r="Z8" i="49"/>
  <c r="Y8" i="49"/>
  <c r="U8" i="49"/>
  <c r="AF7" i="49"/>
  <c r="U7" i="49"/>
  <c r="AF6" i="49"/>
  <c r="U6" i="49"/>
  <c r="AF5" i="49"/>
  <c r="U5" i="49"/>
  <c r="AF4" i="49"/>
  <c r="AF3" i="49"/>
  <c r="AF60" i="48"/>
  <c r="AF59" i="48"/>
  <c r="AF58" i="48"/>
  <c r="AF57" i="48"/>
  <c r="AF56" i="48"/>
  <c r="AF55" i="48"/>
  <c r="AF54" i="48"/>
  <c r="AF53" i="48"/>
  <c r="AF52" i="48"/>
  <c r="AF51" i="48"/>
  <c r="AF50" i="48"/>
  <c r="AF49" i="48"/>
  <c r="AF48" i="48"/>
  <c r="AF47" i="48"/>
  <c r="AF46" i="48"/>
  <c r="AF45" i="48"/>
  <c r="AF44" i="48"/>
  <c r="AF43" i="48"/>
  <c r="AF42" i="48"/>
  <c r="Q42" i="48"/>
  <c r="AF41" i="48"/>
  <c r="D41" i="48"/>
  <c r="D44" i="48" s="1"/>
  <c r="AF40" i="48"/>
  <c r="AF39" i="48"/>
  <c r="AF38" i="48"/>
  <c r="AF37" i="48"/>
  <c r="AF36" i="48"/>
  <c r="AF35" i="48"/>
  <c r="AF34" i="48"/>
  <c r="AF33" i="48"/>
  <c r="AF32" i="48"/>
  <c r="AF31" i="48"/>
  <c r="AF30" i="48"/>
  <c r="AF29" i="48"/>
  <c r="AF28" i="48"/>
  <c r="AF27" i="48"/>
  <c r="AF26" i="48"/>
  <c r="AF25" i="48"/>
  <c r="AF24" i="48"/>
  <c r="J24" i="48"/>
  <c r="K24" i="48" s="1"/>
  <c r="AF23" i="48"/>
  <c r="AF22" i="48"/>
  <c r="K22" i="48"/>
  <c r="J22" i="48"/>
  <c r="AF21" i="48"/>
  <c r="AF20" i="48"/>
  <c r="P20" i="48"/>
  <c r="AF19" i="48"/>
  <c r="AF18" i="48"/>
  <c r="AF17" i="48"/>
  <c r="V17" i="48"/>
  <c r="T17" i="48"/>
  <c r="T20" i="48" s="1"/>
  <c r="S17" i="48"/>
  <c r="S20" i="48" s="1"/>
  <c r="R17" i="48"/>
  <c r="R20" i="48" s="1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C17" i="48"/>
  <c r="B17" i="48"/>
  <c r="AF16" i="48"/>
  <c r="U16" i="48"/>
  <c r="AF15" i="48"/>
  <c r="U15" i="48"/>
  <c r="AF14" i="48"/>
  <c r="U14" i="48"/>
  <c r="AF13" i="48"/>
  <c r="U13" i="48"/>
  <c r="AF12" i="48"/>
  <c r="U12" i="48"/>
  <c r="AF11" i="48"/>
  <c r="U11" i="48"/>
  <c r="AF10" i="48"/>
  <c r="U10" i="48"/>
  <c r="AF9" i="48"/>
  <c r="U9" i="48"/>
  <c r="AF8" i="48"/>
  <c r="Z8" i="48"/>
  <c r="X8" i="48"/>
  <c r="Y8" i="48" s="1"/>
  <c r="U8" i="48"/>
  <c r="AF7" i="48"/>
  <c r="X7" i="48"/>
  <c r="Y7" i="48" s="1"/>
  <c r="Z7" i="48" s="1"/>
  <c r="U7" i="48"/>
  <c r="AF6" i="48"/>
  <c r="X6" i="48"/>
  <c r="Y6" i="48" s="1"/>
  <c r="Z6" i="48" s="1"/>
  <c r="U6" i="48"/>
  <c r="AF5" i="48"/>
  <c r="X5" i="48"/>
  <c r="Y5" i="48" s="1"/>
  <c r="Z5" i="48" s="1"/>
  <c r="U5" i="48"/>
  <c r="AF4" i="48"/>
  <c r="AF3" i="48"/>
  <c r="AF60" i="47"/>
  <c r="AF59" i="47"/>
  <c r="AF58" i="47"/>
  <c r="AF57" i="47"/>
  <c r="AF56" i="47"/>
  <c r="AF55" i="47"/>
  <c r="AF54" i="47"/>
  <c r="AF53" i="47"/>
  <c r="AF52" i="47"/>
  <c r="AF51" i="47"/>
  <c r="AF50" i="47"/>
  <c r="AF49" i="47"/>
  <c r="AF48" i="47"/>
  <c r="AF47" i="47"/>
  <c r="AF46" i="47"/>
  <c r="AF45" i="47"/>
  <c r="AF44" i="47"/>
  <c r="AF43" i="47"/>
  <c r="AF42" i="47"/>
  <c r="Q42" i="47"/>
  <c r="AF41" i="47"/>
  <c r="D41" i="47"/>
  <c r="D44" i="47" s="1"/>
  <c r="AF40" i="47"/>
  <c r="AF39" i="47"/>
  <c r="AF38" i="47"/>
  <c r="AF37" i="47"/>
  <c r="AF36" i="47"/>
  <c r="AF35" i="47"/>
  <c r="AA35" i="47"/>
  <c r="AF34" i="47"/>
  <c r="AA34" i="47"/>
  <c r="AF33" i="47"/>
  <c r="AA33" i="47"/>
  <c r="AF32" i="47"/>
  <c r="AA32" i="47"/>
  <c r="AA36" i="47" s="1"/>
  <c r="AF31" i="47"/>
  <c r="AF30" i="47"/>
  <c r="AF29" i="47"/>
  <c r="AA29" i="47"/>
  <c r="AF28" i="47"/>
  <c r="AA28" i="47"/>
  <c r="AF27" i="47"/>
  <c r="AA27" i="47"/>
  <c r="AF26" i="47"/>
  <c r="AA26" i="47"/>
  <c r="AA30" i="47" s="1"/>
  <c r="AF25" i="47"/>
  <c r="AF24" i="47"/>
  <c r="J24" i="47"/>
  <c r="K24" i="47" s="1"/>
  <c r="AF23" i="47"/>
  <c r="AA23" i="47"/>
  <c r="AF22" i="47"/>
  <c r="AA22" i="47"/>
  <c r="K22" i="47"/>
  <c r="J22" i="47"/>
  <c r="AF21" i="47"/>
  <c r="AA21" i="47"/>
  <c r="AF20" i="47"/>
  <c r="AA20" i="47"/>
  <c r="AA24" i="47" s="1"/>
  <c r="P20" i="47"/>
  <c r="AF19" i="47"/>
  <c r="AF18" i="47"/>
  <c r="AF17" i="47"/>
  <c r="AA17" i="47"/>
  <c r="V17" i="47"/>
  <c r="T17" i="47"/>
  <c r="T20" i="47" s="1"/>
  <c r="S17" i="47"/>
  <c r="S20" i="47" s="1"/>
  <c r="R17" i="47"/>
  <c r="U17" i="47" s="1"/>
  <c r="Q17" i="47"/>
  <c r="P17" i="47"/>
  <c r="Y5" i="47" s="1"/>
  <c r="Z5" i="47" s="1"/>
  <c r="O17" i="47"/>
  <c r="N17" i="47"/>
  <c r="M17" i="47"/>
  <c r="L17" i="47"/>
  <c r="K17" i="47"/>
  <c r="J17" i="47"/>
  <c r="I17" i="47"/>
  <c r="H17" i="47"/>
  <c r="G17" i="47"/>
  <c r="F17" i="47"/>
  <c r="E17" i="47"/>
  <c r="D17" i="47"/>
  <c r="C17" i="47"/>
  <c r="B17" i="47"/>
  <c r="AF16" i="47"/>
  <c r="AA16" i="47"/>
  <c r="U16" i="47"/>
  <c r="AF15" i="47"/>
  <c r="AA15" i="47"/>
  <c r="U15" i="47"/>
  <c r="AF14" i="47"/>
  <c r="AA14" i="47"/>
  <c r="AA18" i="47" s="1"/>
  <c r="U14" i="47"/>
  <c r="AF13" i="47"/>
  <c r="U13" i="47"/>
  <c r="AF12" i="47"/>
  <c r="U12" i="47"/>
  <c r="AF11" i="47"/>
  <c r="U11" i="47"/>
  <c r="AF10" i="47"/>
  <c r="U10" i="47"/>
  <c r="AF9" i="47"/>
  <c r="U9" i="47"/>
  <c r="AF8" i="47"/>
  <c r="Z8" i="47"/>
  <c r="Y8" i="47"/>
  <c r="U8" i="47"/>
  <c r="AF7" i="47"/>
  <c r="U7" i="47"/>
  <c r="AF6" i="47"/>
  <c r="U6" i="47"/>
  <c r="AF5" i="47"/>
  <c r="U5" i="47"/>
  <c r="AF4" i="47"/>
  <c r="AF3" i="47"/>
  <c r="AF60" i="46"/>
  <c r="AF59" i="46"/>
  <c r="AF58" i="46"/>
  <c r="AF57" i="46"/>
  <c r="AF56" i="46"/>
  <c r="AF55" i="46"/>
  <c r="AF54" i="46"/>
  <c r="AF53" i="46"/>
  <c r="AF52" i="46"/>
  <c r="AF51" i="46"/>
  <c r="AF50" i="46"/>
  <c r="AF49" i="46"/>
  <c r="AF48" i="46"/>
  <c r="AF47" i="46"/>
  <c r="AF46" i="46"/>
  <c r="AF45" i="46"/>
  <c r="AF44" i="46"/>
  <c r="AF43" i="46"/>
  <c r="AF42" i="46"/>
  <c r="Q42" i="46"/>
  <c r="AF41" i="46"/>
  <c r="D41" i="46"/>
  <c r="D44" i="46" s="1"/>
  <c r="AF40" i="46"/>
  <c r="AF39" i="46"/>
  <c r="AF38" i="46"/>
  <c r="AF37" i="46"/>
  <c r="AF36" i="46"/>
  <c r="AF35" i="46"/>
  <c r="AF34" i="46"/>
  <c r="AF33" i="46"/>
  <c r="AF32" i="46"/>
  <c r="AF31" i="46"/>
  <c r="AF30" i="46"/>
  <c r="AF29" i="46"/>
  <c r="AF28" i="46"/>
  <c r="AF27" i="46"/>
  <c r="AF26" i="46"/>
  <c r="AF25" i="46"/>
  <c r="AF24" i="46"/>
  <c r="J24" i="46"/>
  <c r="K24" i="46" s="1"/>
  <c r="AF23" i="46"/>
  <c r="AF22" i="46"/>
  <c r="K22" i="46"/>
  <c r="J22" i="46"/>
  <c r="AF21" i="46"/>
  <c r="AF20" i="46"/>
  <c r="P20" i="46"/>
  <c r="AF19" i="46"/>
  <c r="AF18" i="46"/>
  <c r="AF17" i="46"/>
  <c r="V17" i="46"/>
  <c r="T17" i="46"/>
  <c r="T20" i="46" s="1"/>
  <c r="S17" i="46"/>
  <c r="S20" i="46" s="1"/>
  <c r="R17" i="46"/>
  <c r="R20" i="46" s="1"/>
  <c r="Q17" i="46"/>
  <c r="P17" i="46"/>
  <c r="O17" i="46"/>
  <c r="N17" i="46"/>
  <c r="M17" i="46"/>
  <c r="L17" i="46"/>
  <c r="K17" i="46"/>
  <c r="J17" i="46"/>
  <c r="I17" i="46"/>
  <c r="H17" i="46"/>
  <c r="G17" i="46"/>
  <c r="F17" i="46"/>
  <c r="E17" i="46"/>
  <c r="D17" i="46"/>
  <c r="C17" i="46"/>
  <c r="B17" i="46"/>
  <c r="AF16" i="46"/>
  <c r="U16" i="46"/>
  <c r="AF15" i="46"/>
  <c r="U15" i="46"/>
  <c r="AF14" i="46"/>
  <c r="U14" i="46"/>
  <c r="AF13" i="46"/>
  <c r="U13" i="46"/>
  <c r="AF12" i="46"/>
  <c r="U12" i="46"/>
  <c r="AF11" i="46"/>
  <c r="U11" i="46"/>
  <c r="AF10" i="46"/>
  <c r="U10" i="46"/>
  <c r="AF9" i="46"/>
  <c r="U9" i="46"/>
  <c r="AF8" i="46"/>
  <c r="Z8" i="46"/>
  <c r="X8" i="46"/>
  <c r="Y8" i="46" s="1"/>
  <c r="U8" i="46"/>
  <c r="AF7" i="46"/>
  <c r="X7" i="46"/>
  <c r="Y7" i="46" s="1"/>
  <c r="Z7" i="46" s="1"/>
  <c r="U7" i="46"/>
  <c r="AF6" i="46"/>
  <c r="X6" i="46"/>
  <c r="Y6" i="46" s="1"/>
  <c r="Z6" i="46" s="1"/>
  <c r="U6" i="46"/>
  <c r="AF5" i="46"/>
  <c r="X5" i="46"/>
  <c r="Y5" i="46" s="1"/>
  <c r="Z5" i="46" s="1"/>
  <c r="U5" i="46"/>
  <c r="AF4" i="46"/>
  <c r="AF3" i="46"/>
  <c r="AF60" i="45"/>
  <c r="AF59" i="45"/>
  <c r="AF58" i="45"/>
  <c r="AF57" i="45"/>
  <c r="AF56" i="45"/>
  <c r="AF55" i="45"/>
  <c r="AF54" i="45"/>
  <c r="AF53" i="45"/>
  <c r="AF52" i="45"/>
  <c r="AF51" i="45"/>
  <c r="AF50" i="45"/>
  <c r="AF49" i="45"/>
  <c r="AF48" i="45"/>
  <c r="AF47" i="45"/>
  <c r="AF46" i="45"/>
  <c r="AF45" i="45"/>
  <c r="AF44" i="45"/>
  <c r="AF43" i="45"/>
  <c r="AF42" i="45"/>
  <c r="Q42" i="45"/>
  <c r="AF41" i="45"/>
  <c r="D41" i="45"/>
  <c r="D44" i="45" s="1"/>
  <c r="AF40" i="45"/>
  <c r="AF39" i="45"/>
  <c r="AF38" i="45"/>
  <c r="AF37" i="45"/>
  <c r="AF36" i="45"/>
  <c r="AF35" i="45"/>
  <c r="AA35" i="45"/>
  <c r="AF34" i="45"/>
  <c r="AA34" i="45"/>
  <c r="AF33" i="45"/>
  <c r="AA33" i="45"/>
  <c r="AF32" i="45"/>
  <c r="AA32" i="45"/>
  <c r="AA36" i="45" s="1"/>
  <c r="AF31" i="45"/>
  <c r="AF30" i="45"/>
  <c r="AF29" i="45"/>
  <c r="AA29" i="45"/>
  <c r="AF28" i="45"/>
  <c r="AA28" i="45"/>
  <c r="AF27" i="45"/>
  <c r="AA27" i="45"/>
  <c r="AF26" i="45"/>
  <c r="AA26" i="45"/>
  <c r="AA30" i="45" s="1"/>
  <c r="AF25" i="45"/>
  <c r="AF24" i="45"/>
  <c r="J24" i="45"/>
  <c r="K24" i="45" s="1"/>
  <c r="AF23" i="45"/>
  <c r="AA23" i="45"/>
  <c r="AF22" i="45"/>
  <c r="AA22" i="45"/>
  <c r="J22" i="45"/>
  <c r="K22" i="45" s="1"/>
  <c r="AF21" i="45"/>
  <c r="AA21" i="45"/>
  <c r="AF20" i="45"/>
  <c r="AA20" i="45"/>
  <c r="AA24" i="45" s="1"/>
  <c r="P20" i="45"/>
  <c r="AF19" i="45"/>
  <c r="AF18" i="45"/>
  <c r="AF17" i="45"/>
  <c r="AA17" i="45"/>
  <c r="V17" i="45"/>
  <c r="U17" i="45"/>
  <c r="T17" i="45"/>
  <c r="T20" i="45" s="1"/>
  <c r="S17" i="45"/>
  <c r="S20" i="45" s="1"/>
  <c r="R17" i="45"/>
  <c r="R20" i="45" s="1"/>
  <c r="Q17" i="45"/>
  <c r="P17" i="45"/>
  <c r="O17" i="45"/>
  <c r="N17" i="45"/>
  <c r="M17" i="45"/>
  <c r="L17" i="45"/>
  <c r="K17" i="45"/>
  <c r="J17" i="45"/>
  <c r="I17" i="45"/>
  <c r="H17" i="45"/>
  <c r="G17" i="45"/>
  <c r="F17" i="45"/>
  <c r="E17" i="45"/>
  <c r="D17" i="45"/>
  <c r="C17" i="45"/>
  <c r="B17" i="45"/>
  <c r="AF16" i="45"/>
  <c r="AA16" i="45"/>
  <c r="U16" i="45"/>
  <c r="AF15" i="45"/>
  <c r="AA15" i="45"/>
  <c r="U15" i="45"/>
  <c r="AF14" i="45"/>
  <c r="AA14" i="45"/>
  <c r="AA18" i="45" s="1"/>
  <c r="U14" i="45"/>
  <c r="AF13" i="45"/>
  <c r="U13" i="45"/>
  <c r="AF12" i="45"/>
  <c r="U12" i="45"/>
  <c r="AF11" i="45"/>
  <c r="U11" i="45"/>
  <c r="AF10" i="45"/>
  <c r="U10" i="45"/>
  <c r="AF9" i="45"/>
  <c r="U9" i="45"/>
  <c r="AF8" i="45"/>
  <c r="Z8" i="45"/>
  <c r="Y8" i="45"/>
  <c r="U8" i="45"/>
  <c r="AF7" i="45"/>
  <c r="U7" i="45"/>
  <c r="AF6" i="45"/>
  <c r="U6" i="45"/>
  <c r="AF5" i="45"/>
  <c r="Y5" i="45"/>
  <c r="Z5" i="45" s="1"/>
  <c r="U5" i="45"/>
  <c r="AF4" i="45"/>
  <c r="AF3" i="45"/>
  <c r="AF60" i="44"/>
  <c r="AF59" i="44"/>
  <c r="AF58" i="44"/>
  <c r="AF57" i="44"/>
  <c r="AF56" i="44"/>
  <c r="AF55" i="44"/>
  <c r="AF54" i="44"/>
  <c r="AF53" i="44"/>
  <c r="AF52" i="44"/>
  <c r="AF51" i="44"/>
  <c r="AF50" i="44"/>
  <c r="AF49" i="44"/>
  <c r="AF48" i="44"/>
  <c r="AF47" i="44"/>
  <c r="AF46" i="44"/>
  <c r="AF45" i="44"/>
  <c r="AF44" i="44"/>
  <c r="AF43" i="44"/>
  <c r="AF42" i="44"/>
  <c r="Q42" i="44"/>
  <c r="AF41" i="44"/>
  <c r="D41" i="44"/>
  <c r="D44" i="44" s="1"/>
  <c r="AF40" i="44"/>
  <c r="AF39" i="44"/>
  <c r="AF38" i="44"/>
  <c r="AF37" i="44"/>
  <c r="AF36" i="44"/>
  <c r="AF35" i="44"/>
  <c r="AF34" i="44"/>
  <c r="AF33" i="44"/>
  <c r="AF32" i="44"/>
  <c r="AF31" i="44"/>
  <c r="AF30" i="44"/>
  <c r="AF29" i="44"/>
  <c r="AF28" i="44"/>
  <c r="AF27" i="44"/>
  <c r="AF26" i="44"/>
  <c r="AF25" i="44"/>
  <c r="AF24" i="44"/>
  <c r="J24" i="44"/>
  <c r="K24" i="44" s="1"/>
  <c r="AF23" i="44"/>
  <c r="AF22" i="44"/>
  <c r="K22" i="44"/>
  <c r="J22" i="44"/>
  <c r="AF21" i="44"/>
  <c r="AF20" i="44"/>
  <c r="AF19" i="44"/>
  <c r="AF18" i="44"/>
  <c r="AF17" i="44"/>
  <c r="V17" i="44"/>
  <c r="T17" i="44"/>
  <c r="T20" i="44" s="1"/>
  <c r="S17" i="44"/>
  <c r="S20" i="44" s="1"/>
  <c r="R17" i="44"/>
  <c r="R20" i="44" s="1"/>
  <c r="Q17" i="44"/>
  <c r="P17" i="44"/>
  <c r="P20" i="44" s="1"/>
  <c r="O17" i="44"/>
  <c r="N17" i="44"/>
  <c r="M17" i="44"/>
  <c r="L17" i="44"/>
  <c r="K17" i="44"/>
  <c r="J17" i="44"/>
  <c r="I17" i="44"/>
  <c r="H17" i="44"/>
  <c r="G17" i="44"/>
  <c r="F17" i="44"/>
  <c r="E17" i="44"/>
  <c r="D17" i="44"/>
  <c r="C17" i="44"/>
  <c r="B17" i="44"/>
  <c r="AF16" i="44"/>
  <c r="U16" i="44"/>
  <c r="AF15" i="44"/>
  <c r="U15" i="44"/>
  <c r="AF14" i="44"/>
  <c r="U14" i="44"/>
  <c r="AF13" i="44"/>
  <c r="U13" i="44"/>
  <c r="AF12" i="44"/>
  <c r="U12" i="44"/>
  <c r="AF11" i="44"/>
  <c r="U11" i="44"/>
  <c r="AF10" i="44"/>
  <c r="U10" i="44"/>
  <c r="AF9" i="44"/>
  <c r="U9" i="44"/>
  <c r="AF8" i="44"/>
  <c r="Z8" i="44"/>
  <c r="X8" i="44"/>
  <c r="Y8" i="44" s="1"/>
  <c r="U8" i="44"/>
  <c r="AF7" i="44"/>
  <c r="X7" i="44"/>
  <c r="Y7" i="44" s="1"/>
  <c r="Z7" i="44" s="1"/>
  <c r="U7" i="44"/>
  <c r="AF6" i="44"/>
  <c r="X6" i="44"/>
  <c r="Y6" i="44" s="1"/>
  <c r="Z6" i="44" s="1"/>
  <c r="U6" i="44"/>
  <c r="AF5" i="44"/>
  <c r="X5" i="44"/>
  <c r="Y5" i="44" s="1"/>
  <c r="Z5" i="44" s="1"/>
  <c r="Z9" i="44" s="1"/>
  <c r="U5" i="44"/>
  <c r="AF4" i="44"/>
  <c r="AF3" i="44"/>
  <c r="AF60" i="43"/>
  <c r="AF59" i="43"/>
  <c r="AF58" i="43"/>
  <c r="AF57" i="43"/>
  <c r="AF56" i="43"/>
  <c r="AF55" i="43"/>
  <c r="AF54" i="43"/>
  <c r="AF53" i="43"/>
  <c r="AF52" i="43"/>
  <c r="AF51" i="43"/>
  <c r="AF50" i="43"/>
  <c r="AF49" i="43"/>
  <c r="AF48" i="43"/>
  <c r="AF47" i="43"/>
  <c r="AF46" i="43"/>
  <c r="AF45" i="43"/>
  <c r="AF44" i="43"/>
  <c r="AF43" i="43"/>
  <c r="AF42" i="43"/>
  <c r="Q42" i="43"/>
  <c r="AF41" i="43"/>
  <c r="D41" i="43"/>
  <c r="D44" i="43" s="1"/>
  <c r="AF40" i="43"/>
  <c r="AF39" i="43"/>
  <c r="AF38" i="43"/>
  <c r="AF37" i="43"/>
  <c r="AF36" i="43"/>
  <c r="AF35" i="43"/>
  <c r="AA35" i="43"/>
  <c r="AF34" i="43"/>
  <c r="AA34" i="43"/>
  <c r="AF33" i="43"/>
  <c r="AA33" i="43"/>
  <c r="AF32" i="43"/>
  <c r="AA32" i="43"/>
  <c r="AA36" i="43" s="1"/>
  <c r="AF31" i="43"/>
  <c r="AF30" i="43"/>
  <c r="AF29" i="43"/>
  <c r="AA29" i="43"/>
  <c r="AF28" i="43"/>
  <c r="AA28" i="43"/>
  <c r="AF27" i="43"/>
  <c r="AA27" i="43"/>
  <c r="AF26" i="43"/>
  <c r="AA26" i="43"/>
  <c r="AA30" i="43" s="1"/>
  <c r="AF25" i="43"/>
  <c r="AF24" i="43"/>
  <c r="J24" i="43"/>
  <c r="K24" i="43" s="1"/>
  <c r="AF23" i="43"/>
  <c r="AA23" i="43"/>
  <c r="AF22" i="43"/>
  <c r="AA22" i="43"/>
  <c r="K22" i="43"/>
  <c r="J22" i="43"/>
  <c r="AF21" i="43"/>
  <c r="AA21" i="43"/>
  <c r="AF20" i="43"/>
  <c r="AA20" i="43"/>
  <c r="AA24" i="43" s="1"/>
  <c r="P20" i="43"/>
  <c r="AF19" i="43"/>
  <c r="AF18" i="43"/>
  <c r="AF17" i="43"/>
  <c r="AA17" i="43"/>
  <c r="V17" i="43"/>
  <c r="T17" i="43"/>
  <c r="T20" i="43" s="1"/>
  <c r="S17" i="43"/>
  <c r="S20" i="43" s="1"/>
  <c r="R17" i="43"/>
  <c r="U17" i="43" s="1"/>
  <c r="Q17" i="43"/>
  <c r="P17" i="43"/>
  <c r="Y5" i="43" s="1"/>
  <c r="Z5" i="43" s="1"/>
  <c r="O17" i="43"/>
  <c r="N17" i="43"/>
  <c r="M17" i="43"/>
  <c r="L17" i="43"/>
  <c r="K17" i="43"/>
  <c r="J17" i="43"/>
  <c r="I17" i="43"/>
  <c r="H17" i="43"/>
  <c r="G17" i="43"/>
  <c r="F17" i="43"/>
  <c r="E17" i="43"/>
  <c r="D17" i="43"/>
  <c r="C17" i="43"/>
  <c r="B17" i="43"/>
  <c r="AF16" i="43"/>
  <c r="AA16" i="43"/>
  <c r="U16" i="43"/>
  <c r="AF15" i="43"/>
  <c r="AA15" i="43"/>
  <c r="U15" i="43"/>
  <c r="AF14" i="43"/>
  <c r="AA14" i="43"/>
  <c r="AA18" i="43" s="1"/>
  <c r="U14" i="43"/>
  <c r="AF13" i="43"/>
  <c r="U13" i="43"/>
  <c r="AF12" i="43"/>
  <c r="U12" i="43"/>
  <c r="AF11" i="43"/>
  <c r="U11" i="43"/>
  <c r="AF10" i="43"/>
  <c r="U10" i="43"/>
  <c r="AF9" i="43"/>
  <c r="U9" i="43"/>
  <c r="AF8" i="43"/>
  <c r="Z8" i="43"/>
  <c r="Y8" i="43"/>
  <c r="U8" i="43"/>
  <c r="AF7" i="43"/>
  <c r="U7" i="43"/>
  <c r="AF6" i="43"/>
  <c r="U6" i="43"/>
  <c r="AF5" i="43"/>
  <c r="U5" i="43"/>
  <c r="AF4" i="43"/>
  <c r="AF3" i="43"/>
  <c r="AF60" i="42"/>
  <c r="AF59" i="42"/>
  <c r="AF58" i="42"/>
  <c r="AF57" i="42"/>
  <c r="AF56" i="42"/>
  <c r="AF55" i="42"/>
  <c r="AF54" i="42"/>
  <c r="AF53" i="42"/>
  <c r="AF52" i="42"/>
  <c r="AF51" i="42"/>
  <c r="AF50" i="42"/>
  <c r="AF49" i="42"/>
  <c r="AF48" i="42"/>
  <c r="AF47" i="42"/>
  <c r="AF46" i="42"/>
  <c r="AF45" i="42"/>
  <c r="AF44" i="42"/>
  <c r="AF43" i="42"/>
  <c r="AF42" i="42"/>
  <c r="Q42" i="42"/>
  <c r="AF41" i="42"/>
  <c r="AF40" i="42"/>
  <c r="AF39" i="42"/>
  <c r="AF38" i="42"/>
  <c r="AF37" i="42"/>
  <c r="AF36" i="42"/>
  <c r="AF35" i="42"/>
  <c r="AF34" i="42"/>
  <c r="AF33" i="42"/>
  <c r="AF32" i="42"/>
  <c r="AF31" i="42"/>
  <c r="AF30" i="42"/>
  <c r="AF29" i="42"/>
  <c r="AF28" i="42"/>
  <c r="AF27" i="42"/>
  <c r="AF26" i="42"/>
  <c r="AF25" i="42"/>
  <c r="AF24" i="42"/>
  <c r="J24" i="42"/>
  <c r="K24" i="42" s="1"/>
  <c r="AF23" i="42"/>
  <c r="AF22" i="42"/>
  <c r="J22" i="42"/>
  <c r="K22" i="42" s="1"/>
  <c r="AF21" i="42"/>
  <c r="AF20" i="42"/>
  <c r="AF19" i="42"/>
  <c r="AF18" i="42"/>
  <c r="AF17" i="42"/>
  <c r="V17" i="42"/>
  <c r="D41" i="42" s="1"/>
  <c r="D44" i="42" s="1"/>
  <c r="T17" i="42"/>
  <c r="T20" i="42" s="1"/>
  <c r="S17" i="42"/>
  <c r="S20" i="42" s="1"/>
  <c r="R17" i="42"/>
  <c r="R20" i="42" s="1"/>
  <c r="Q17" i="42"/>
  <c r="P17" i="42"/>
  <c r="Y5" i="42" s="1"/>
  <c r="Z5" i="42" s="1"/>
  <c r="O17" i="42"/>
  <c r="N17" i="42"/>
  <c r="M17" i="42"/>
  <c r="L17" i="42"/>
  <c r="K17" i="42"/>
  <c r="J17" i="42"/>
  <c r="I17" i="42"/>
  <c r="H17" i="42"/>
  <c r="G17" i="42"/>
  <c r="F17" i="42"/>
  <c r="E17" i="42"/>
  <c r="D17" i="42"/>
  <c r="C17" i="42"/>
  <c r="B17" i="42"/>
  <c r="AF16" i="42"/>
  <c r="U16" i="42"/>
  <c r="AF15" i="42"/>
  <c r="U15" i="42"/>
  <c r="AF14" i="42"/>
  <c r="U14" i="42"/>
  <c r="AF13" i="42"/>
  <c r="U13" i="42"/>
  <c r="AF12" i="42"/>
  <c r="U12" i="42"/>
  <c r="AF11" i="42"/>
  <c r="U11" i="42"/>
  <c r="AF10" i="42"/>
  <c r="U10" i="42"/>
  <c r="AF9" i="42"/>
  <c r="U9" i="42"/>
  <c r="AF8" i="42"/>
  <c r="U8" i="42"/>
  <c r="AF7" i="42"/>
  <c r="U7" i="42"/>
  <c r="AF6" i="42"/>
  <c r="U6" i="42"/>
  <c r="AF5" i="42"/>
  <c r="U5" i="42"/>
  <c r="AF4" i="42"/>
  <c r="AF3" i="42"/>
  <c r="AF60" i="41"/>
  <c r="AF59" i="41"/>
  <c r="AF58" i="41"/>
  <c r="AF57" i="41"/>
  <c r="AF56" i="41"/>
  <c r="AF55" i="41"/>
  <c r="AF54" i="41"/>
  <c r="AF53" i="41"/>
  <c r="AF52" i="41"/>
  <c r="AF51" i="41"/>
  <c r="AF50" i="41"/>
  <c r="AF49" i="41"/>
  <c r="AF48" i="41"/>
  <c r="AF47" i="41"/>
  <c r="AF46" i="41"/>
  <c r="AF45" i="41"/>
  <c r="AF44" i="41"/>
  <c r="AF43" i="41"/>
  <c r="AF42" i="41"/>
  <c r="Q42" i="41"/>
  <c r="AF41" i="41"/>
  <c r="AF40" i="41"/>
  <c r="AF39" i="41"/>
  <c r="AF38" i="41"/>
  <c r="AF37" i="41"/>
  <c r="AF36" i="41"/>
  <c r="AF35" i="41"/>
  <c r="AA35" i="41"/>
  <c r="AF34" i="41"/>
  <c r="AA34" i="41"/>
  <c r="AF33" i="41"/>
  <c r="AA33" i="41"/>
  <c r="AF32" i="41"/>
  <c r="AA32" i="41"/>
  <c r="AA36" i="41" s="1"/>
  <c r="AF31" i="41"/>
  <c r="AF30" i="41"/>
  <c r="AF29" i="41"/>
  <c r="AA29" i="41"/>
  <c r="AF28" i="41"/>
  <c r="AA28" i="41"/>
  <c r="AF27" i="41"/>
  <c r="AA27" i="41"/>
  <c r="AF26" i="41"/>
  <c r="AA26" i="41"/>
  <c r="AF25" i="41"/>
  <c r="AF24" i="41"/>
  <c r="J24" i="41"/>
  <c r="K24" i="41" s="1"/>
  <c r="AF23" i="41"/>
  <c r="AA23" i="41"/>
  <c r="AF22" i="41"/>
  <c r="AA22" i="41"/>
  <c r="J22" i="41"/>
  <c r="K22" i="41" s="1"/>
  <c r="AF21" i="41"/>
  <c r="AA21" i="41"/>
  <c r="AF20" i="41"/>
  <c r="AA20" i="41"/>
  <c r="AA24" i="41" s="1"/>
  <c r="AF19" i="41"/>
  <c r="AF18" i="41"/>
  <c r="AF17" i="41"/>
  <c r="AA17" i="41"/>
  <c r="V17" i="41"/>
  <c r="D41" i="41" s="1"/>
  <c r="D44" i="41" s="1"/>
  <c r="T17" i="41"/>
  <c r="T20" i="41" s="1"/>
  <c r="S17" i="41"/>
  <c r="S20" i="41" s="1"/>
  <c r="R17" i="41"/>
  <c r="R20" i="41" s="1"/>
  <c r="Q17" i="41"/>
  <c r="P17" i="41"/>
  <c r="Y5" i="41" s="1"/>
  <c r="Z5" i="41" s="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AF16" i="41"/>
  <c r="AA16" i="41"/>
  <c r="U16" i="41"/>
  <c r="AF15" i="41"/>
  <c r="AA15" i="41"/>
  <c r="U15" i="41"/>
  <c r="AF14" i="41"/>
  <c r="AA14" i="41"/>
  <c r="U14" i="41"/>
  <c r="AF13" i="41"/>
  <c r="U13" i="41"/>
  <c r="AF12" i="41"/>
  <c r="U12" i="41"/>
  <c r="AF11" i="41"/>
  <c r="U11" i="41"/>
  <c r="AF10" i="41"/>
  <c r="U10" i="41"/>
  <c r="AF9" i="41"/>
  <c r="U9" i="41"/>
  <c r="AF8" i="41"/>
  <c r="U8" i="41"/>
  <c r="AF7" i="41"/>
  <c r="U7" i="41"/>
  <c r="AF6" i="41"/>
  <c r="U6" i="41"/>
  <c r="AF5" i="41"/>
  <c r="U5" i="41"/>
  <c r="AF4" i="41"/>
  <c r="AF3" i="41"/>
  <c r="AF60" i="40"/>
  <c r="AF59" i="40"/>
  <c r="AF58" i="40"/>
  <c r="AF57" i="40"/>
  <c r="AF56" i="40"/>
  <c r="AF55" i="40"/>
  <c r="AF54" i="40"/>
  <c r="AF53" i="40"/>
  <c r="AF52" i="40"/>
  <c r="AF51" i="40"/>
  <c r="AF50" i="40"/>
  <c r="AF49" i="40"/>
  <c r="AF48" i="40"/>
  <c r="AF47" i="40"/>
  <c r="AF46" i="40"/>
  <c r="AF45" i="40"/>
  <c r="AF44" i="40"/>
  <c r="AF43" i="40"/>
  <c r="AF42" i="40"/>
  <c r="Q42" i="40"/>
  <c r="AF41" i="40"/>
  <c r="AF40" i="40"/>
  <c r="AF39" i="40"/>
  <c r="AF38" i="40"/>
  <c r="AF37" i="40"/>
  <c r="AF36" i="40"/>
  <c r="AF35" i="40"/>
  <c r="AF34" i="40"/>
  <c r="AF33" i="40"/>
  <c r="AF32" i="40"/>
  <c r="AF31" i="40"/>
  <c r="AF30" i="40"/>
  <c r="AF29" i="40"/>
  <c r="AF28" i="40"/>
  <c r="AF27" i="40"/>
  <c r="AF26" i="40"/>
  <c r="AF25" i="40"/>
  <c r="AF24" i="40"/>
  <c r="J24" i="40"/>
  <c r="K24" i="40" s="1"/>
  <c r="AF23" i="40"/>
  <c r="AF22" i="40"/>
  <c r="J22" i="40"/>
  <c r="K22" i="40" s="1"/>
  <c r="AF21" i="40"/>
  <c r="AF20" i="40"/>
  <c r="AF19" i="40"/>
  <c r="AF18" i="40"/>
  <c r="AF17" i="40"/>
  <c r="V17" i="40"/>
  <c r="D41" i="40" s="1"/>
  <c r="D44" i="40" s="1"/>
  <c r="T17" i="40"/>
  <c r="T20" i="40" s="1"/>
  <c r="S17" i="40"/>
  <c r="S20" i="40" s="1"/>
  <c r="R17" i="40"/>
  <c r="R20" i="40" s="1"/>
  <c r="Q17" i="40"/>
  <c r="P17" i="40"/>
  <c r="P20" i="40" s="1"/>
  <c r="O17" i="40"/>
  <c r="N17" i="40"/>
  <c r="M17" i="40"/>
  <c r="L17" i="40"/>
  <c r="K17" i="40"/>
  <c r="J17" i="40"/>
  <c r="I17" i="40"/>
  <c r="H17" i="40"/>
  <c r="G17" i="40"/>
  <c r="F17" i="40"/>
  <c r="E17" i="40"/>
  <c r="D17" i="40"/>
  <c r="C17" i="40"/>
  <c r="B17" i="40"/>
  <c r="AF16" i="40"/>
  <c r="U16" i="40"/>
  <c r="AF15" i="40"/>
  <c r="U15" i="40"/>
  <c r="AF14" i="40"/>
  <c r="U14" i="40"/>
  <c r="AF13" i="40"/>
  <c r="U13" i="40"/>
  <c r="AF12" i="40"/>
  <c r="U12" i="40"/>
  <c r="AF11" i="40"/>
  <c r="U11" i="40"/>
  <c r="AF10" i="40"/>
  <c r="U10" i="40"/>
  <c r="AF9" i="40"/>
  <c r="U9" i="40"/>
  <c r="AF8" i="40"/>
  <c r="U8" i="40"/>
  <c r="AF7" i="40"/>
  <c r="U7" i="40"/>
  <c r="AF6" i="40"/>
  <c r="Y6" i="40"/>
  <c r="Z6" i="40" s="1"/>
  <c r="U6" i="40"/>
  <c r="AF5" i="40"/>
  <c r="U5" i="40"/>
  <c r="AF4" i="40"/>
  <c r="AF3" i="40"/>
  <c r="AF60" i="39"/>
  <c r="AF59" i="39"/>
  <c r="AF58" i="39"/>
  <c r="AF57" i="39"/>
  <c r="AF56" i="39"/>
  <c r="AF55" i="39"/>
  <c r="AF54" i="39"/>
  <c r="AF53" i="39"/>
  <c r="AF52" i="39"/>
  <c r="AF51" i="39"/>
  <c r="AF50" i="39"/>
  <c r="AF49" i="39"/>
  <c r="AF48" i="39"/>
  <c r="AF47" i="39"/>
  <c r="AF46" i="39"/>
  <c r="AF45" i="39"/>
  <c r="AF44" i="39"/>
  <c r="AF43" i="39"/>
  <c r="AF42" i="39"/>
  <c r="Q42" i="39"/>
  <c r="AF41" i="39"/>
  <c r="AF40" i="39"/>
  <c r="AF39" i="39"/>
  <c r="AF38" i="39"/>
  <c r="AF37" i="39"/>
  <c r="AF36" i="39"/>
  <c r="AF35" i="39"/>
  <c r="AA35" i="39"/>
  <c r="AF34" i="39"/>
  <c r="AA34" i="39"/>
  <c r="AF33" i="39"/>
  <c r="AA33" i="39"/>
  <c r="AF32" i="39"/>
  <c r="AA32" i="39"/>
  <c r="AF31" i="39"/>
  <c r="AF30" i="39"/>
  <c r="AF29" i="39"/>
  <c r="AA29" i="39"/>
  <c r="AF28" i="39"/>
  <c r="AA28" i="39"/>
  <c r="AF27" i="39"/>
  <c r="AA27" i="39"/>
  <c r="AF26" i="39"/>
  <c r="AA26" i="39"/>
  <c r="AA30" i="39" s="1"/>
  <c r="AF25" i="39"/>
  <c r="AF24" i="39"/>
  <c r="J24" i="39"/>
  <c r="K24" i="39" s="1"/>
  <c r="AF23" i="39"/>
  <c r="AA23" i="39"/>
  <c r="AF22" i="39"/>
  <c r="AA22" i="39"/>
  <c r="J22" i="39"/>
  <c r="K22" i="39" s="1"/>
  <c r="AF21" i="39"/>
  <c r="AA21" i="39"/>
  <c r="AF20" i="39"/>
  <c r="AA20" i="39"/>
  <c r="AF19" i="39"/>
  <c r="AF18" i="39"/>
  <c r="AF17" i="39"/>
  <c r="AA17" i="39"/>
  <c r="V17" i="39"/>
  <c r="D41" i="39" s="1"/>
  <c r="D44" i="39" s="1"/>
  <c r="T17" i="39"/>
  <c r="T20" i="39" s="1"/>
  <c r="S17" i="39"/>
  <c r="S20" i="39" s="1"/>
  <c r="R17" i="39"/>
  <c r="R20" i="39" s="1"/>
  <c r="Q17" i="39"/>
  <c r="P17" i="39"/>
  <c r="Y5" i="39" s="1"/>
  <c r="Z5" i="39" s="1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B17" i="39"/>
  <c r="AF16" i="39"/>
  <c r="AA16" i="39"/>
  <c r="U16" i="39"/>
  <c r="AF15" i="39"/>
  <c r="AA15" i="39"/>
  <c r="AF14" i="39"/>
  <c r="AA14" i="39"/>
  <c r="U14" i="39"/>
  <c r="AF13" i="39"/>
  <c r="U13" i="39"/>
  <c r="AF12" i="39"/>
  <c r="U12" i="39"/>
  <c r="AF11" i="39"/>
  <c r="U11" i="39"/>
  <c r="AF10" i="39"/>
  <c r="U10" i="39"/>
  <c r="AF9" i="39"/>
  <c r="U9" i="39"/>
  <c r="AF8" i="39"/>
  <c r="U8" i="39"/>
  <c r="AF7" i="39"/>
  <c r="U7" i="39"/>
  <c r="AF6" i="39"/>
  <c r="U6" i="39"/>
  <c r="AF5" i="39"/>
  <c r="U5" i="39"/>
  <c r="AF4" i="39"/>
  <c r="AF3" i="39"/>
  <c r="AF60" i="38"/>
  <c r="AF59" i="38"/>
  <c r="AF58" i="38"/>
  <c r="AF57" i="38"/>
  <c r="AF56" i="38"/>
  <c r="AF55" i="38"/>
  <c r="AF54" i="38"/>
  <c r="AF53" i="38"/>
  <c r="AF52" i="38"/>
  <c r="AF51" i="38"/>
  <c r="AF50" i="38"/>
  <c r="AF49" i="38"/>
  <c r="AF48" i="38"/>
  <c r="AF47" i="38"/>
  <c r="AF46" i="38"/>
  <c r="AF45" i="38"/>
  <c r="AF44" i="38"/>
  <c r="AF43" i="38"/>
  <c r="AF42" i="38"/>
  <c r="Q42" i="38"/>
  <c r="AF41" i="38"/>
  <c r="AF40" i="38"/>
  <c r="AF39" i="38"/>
  <c r="AF38" i="38"/>
  <c r="AF37" i="38"/>
  <c r="AF36" i="38"/>
  <c r="AF35" i="38"/>
  <c r="AF34" i="38"/>
  <c r="AF33" i="38"/>
  <c r="AF32" i="38"/>
  <c r="AF31" i="38"/>
  <c r="AF30" i="38"/>
  <c r="AF29" i="38"/>
  <c r="AF28" i="38"/>
  <c r="AF27" i="38"/>
  <c r="AF26" i="38"/>
  <c r="AF25" i="38"/>
  <c r="AF24" i="38"/>
  <c r="J24" i="38"/>
  <c r="K24" i="38" s="1"/>
  <c r="AF23" i="38"/>
  <c r="AF22" i="38"/>
  <c r="J22" i="38"/>
  <c r="K22" i="38" s="1"/>
  <c r="AF21" i="38"/>
  <c r="AF20" i="38"/>
  <c r="AF19" i="38"/>
  <c r="AF18" i="38"/>
  <c r="AF17" i="38"/>
  <c r="V17" i="38"/>
  <c r="D41" i="38" s="1"/>
  <c r="D44" i="38" s="1"/>
  <c r="T17" i="38"/>
  <c r="T20" i="38" s="1"/>
  <c r="S17" i="38"/>
  <c r="S20" i="38" s="1"/>
  <c r="R17" i="38"/>
  <c r="R20" i="38" s="1"/>
  <c r="Q17" i="38"/>
  <c r="P17" i="38"/>
  <c r="P20" i="38" s="1"/>
  <c r="O17" i="38"/>
  <c r="N17" i="38"/>
  <c r="M17" i="38"/>
  <c r="L17" i="38"/>
  <c r="K17" i="38"/>
  <c r="J17" i="38"/>
  <c r="I17" i="38"/>
  <c r="H17" i="38"/>
  <c r="G17" i="38"/>
  <c r="F17" i="38"/>
  <c r="E17" i="38"/>
  <c r="D17" i="38"/>
  <c r="C17" i="38"/>
  <c r="B17" i="38"/>
  <c r="AF16" i="38"/>
  <c r="U16" i="38"/>
  <c r="AF15" i="38"/>
  <c r="U15" i="38"/>
  <c r="AF14" i="38"/>
  <c r="U14" i="38"/>
  <c r="AF13" i="38"/>
  <c r="U13" i="38"/>
  <c r="AF12" i="38"/>
  <c r="U12" i="38"/>
  <c r="AF11" i="38"/>
  <c r="U11" i="38"/>
  <c r="AF10" i="38"/>
  <c r="U10" i="38"/>
  <c r="AF9" i="38"/>
  <c r="U9" i="38"/>
  <c r="AF8" i="38"/>
  <c r="U8" i="38"/>
  <c r="AF7" i="38"/>
  <c r="U7" i="38"/>
  <c r="AF6" i="38"/>
  <c r="U6" i="38"/>
  <c r="AF5" i="38"/>
  <c r="Y5" i="38"/>
  <c r="Z5" i="38" s="1"/>
  <c r="U5" i="38"/>
  <c r="AF4" i="38"/>
  <c r="AF3" i="38"/>
  <c r="AF60" i="37"/>
  <c r="AF59" i="37"/>
  <c r="AF58" i="37"/>
  <c r="AF57" i="37"/>
  <c r="AF56" i="37"/>
  <c r="AF55" i="37"/>
  <c r="AF54" i="37"/>
  <c r="AF53" i="37"/>
  <c r="AF52" i="37"/>
  <c r="AF51" i="37"/>
  <c r="AF50" i="37"/>
  <c r="AF49" i="37"/>
  <c r="AF48" i="37"/>
  <c r="AF47" i="37"/>
  <c r="AF46" i="37"/>
  <c r="AF45" i="37"/>
  <c r="AF44" i="37"/>
  <c r="AF43" i="37"/>
  <c r="AF42" i="37"/>
  <c r="Q42" i="37"/>
  <c r="AF41" i="37"/>
  <c r="AF40" i="37"/>
  <c r="AF39" i="37"/>
  <c r="AF38" i="37"/>
  <c r="AF37" i="37"/>
  <c r="AF36" i="37"/>
  <c r="AF35" i="37"/>
  <c r="AA35" i="37"/>
  <c r="AF34" i="37"/>
  <c r="AA34" i="37"/>
  <c r="AF33" i="37"/>
  <c r="AA33" i="37"/>
  <c r="AF32" i="37"/>
  <c r="AA32" i="37"/>
  <c r="AF31" i="37"/>
  <c r="AF30" i="37"/>
  <c r="AF29" i="37"/>
  <c r="AA29" i="37"/>
  <c r="AF28" i="37"/>
  <c r="AA28" i="37"/>
  <c r="AF27" i="37"/>
  <c r="AA27" i="37"/>
  <c r="AF26" i="37"/>
  <c r="AA26" i="37"/>
  <c r="AF25" i="37"/>
  <c r="AF24" i="37"/>
  <c r="J24" i="37"/>
  <c r="K24" i="37" s="1"/>
  <c r="AF23" i="37"/>
  <c r="AA23" i="37"/>
  <c r="AF22" i="37"/>
  <c r="AA22" i="37"/>
  <c r="J22" i="37"/>
  <c r="K22" i="37" s="1"/>
  <c r="AF21" i="37"/>
  <c r="AA21" i="37"/>
  <c r="AF20" i="37"/>
  <c r="AA20" i="37"/>
  <c r="AF19" i="37"/>
  <c r="AF18" i="37"/>
  <c r="AF17" i="37"/>
  <c r="AA17" i="37"/>
  <c r="V17" i="37"/>
  <c r="D41" i="37" s="1"/>
  <c r="D44" i="37" s="1"/>
  <c r="T17" i="37"/>
  <c r="T20" i="37" s="1"/>
  <c r="S17" i="37"/>
  <c r="S20" i="37" s="1"/>
  <c r="R17" i="37"/>
  <c r="Q17" i="37"/>
  <c r="P17" i="37"/>
  <c r="Y5" i="37" s="1"/>
  <c r="Z5" i="37" s="1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F16" i="37"/>
  <c r="AA16" i="37"/>
  <c r="U16" i="37"/>
  <c r="AF15" i="37"/>
  <c r="AA15" i="37"/>
  <c r="U15" i="37"/>
  <c r="AF14" i="37"/>
  <c r="AA14" i="37"/>
  <c r="U14" i="37"/>
  <c r="AF13" i="37"/>
  <c r="U13" i="37"/>
  <c r="AF12" i="37"/>
  <c r="U12" i="37"/>
  <c r="AF11" i="37"/>
  <c r="U11" i="37"/>
  <c r="AF10" i="37"/>
  <c r="U10" i="37"/>
  <c r="AF9" i="37"/>
  <c r="U9" i="37"/>
  <c r="AF8" i="37"/>
  <c r="U8" i="37"/>
  <c r="AF7" i="37"/>
  <c r="U7" i="37"/>
  <c r="AF6" i="37"/>
  <c r="U6" i="37"/>
  <c r="AF5" i="37"/>
  <c r="U5" i="37"/>
  <c r="AF4" i="37"/>
  <c r="AF3" i="37"/>
  <c r="AF60" i="36"/>
  <c r="AF59" i="36"/>
  <c r="AF58" i="36"/>
  <c r="AF57" i="36"/>
  <c r="AF56" i="36"/>
  <c r="AF55" i="36"/>
  <c r="AF54" i="36"/>
  <c r="AF53" i="36"/>
  <c r="AF52" i="36"/>
  <c r="AF51" i="36"/>
  <c r="AF50" i="36"/>
  <c r="AF49" i="36"/>
  <c r="AF48" i="36"/>
  <c r="AF47" i="36"/>
  <c r="AF46" i="36"/>
  <c r="AF45" i="36"/>
  <c r="AF44" i="36"/>
  <c r="AF43" i="36"/>
  <c r="AF42" i="36"/>
  <c r="Q42" i="36"/>
  <c r="AF41" i="36"/>
  <c r="AF40" i="36"/>
  <c r="AF39" i="36"/>
  <c r="AF38" i="36"/>
  <c r="AF37" i="36"/>
  <c r="AF36" i="36"/>
  <c r="AF35" i="36"/>
  <c r="AF34" i="36"/>
  <c r="AF33" i="36"/>
  <c r="AF32" i="36"/>
  <c r="AF31" i="36"/>
  <c r="AF30" i="36"/>
  <c r="AF29" i="36"/>
  <c r="AF28" i="36"/>
  <c r="AF27" i="36"/>
  <c r="AF26" i="36"/>
  <c r="AF25" i="36"/>
  <c r="AF24" i="36"/>
  <c r="J24" i="36"/>
  <c r="K24" i="36" s="1"/>
  <c r="AF23" i="36"/>
  <c r="AF22" i="36"/>
  <c r="J22" i="36"/>
  <c r="K22" i="36" s="1"/>
  <c r="AF21" i="36"/>
  <c r="AF20" i="36"/>
  <c r="AF19" i="36"/>
  <c r="AF18" i="36"/>
  <c r="AF17" i="36"/>
  <c r="V17" i="36"/>
  <c r="D41" i="36" s="1"/>
  <c r="D44" i="36" s="1"/>
  <c r="T17" i="36"/>
  <c r="T20" i="36" s="1"/>
  <c r="S17" i="36"/>
  <c r="S20" i="36" s="1"/>
  <c r="R17" i="36"/>
  <c r="R20" i="36" s="1"/>
  <c r="Q17" i="36"/>
  <c r="P17" i="36"/>
  <c r="P20" i="36" s="1"/>
  <c r="O17" i="36"/>
  <c r="N17" i="36"/>
  <c r="M17" i="36"/>
  <c r="L17" i="36"/>
  <c r="K17" i="36"/>
  <c r="J17" i="36"/>
  <c r="I17" i="36"/>
  <c r="H17" i="36"/>
  <c r="G17" i="36"/>
  <c r="F17" i="36"/>
  <c r="E17" i="36"/>
  <c r="D17" i="36"/>
  <c r="C17" i="36"/>
  <c r="B17" i="36"/>
  <c r="AF16" i="36"/>
  <c r="U16" i="36"/>
  <c r="AF15" i="36"/>
  <c r="U15" i="36"/>
  <c r="AF14" i="36"/>
  <c r="U14" i="36"/>
  <c r="AF13" i="36"/>
  <c r="U13" i="36"/>
  <c r="AF12" i="36"/>
  <c r="U12" i="36"/>
  <c r="AF11" i="36"/>
  <c r="U11" i="36"/>
  <c r="AF10" i="36"/>
  <c r="U10" i="36"/>
  <c r="AF9" i="36"/>
  <c r="U9" i="36"/>
  <c r="AF8" i="36"/>
  <c r="U8" i="36"/>
  <c r="AF7" i="36"/>
  <c r="U7" i="36"/>
  <c r="AF6" i="36"/>
  <c r="U6" i="36"/>
  <c r="AF5" i="36"/>
  <c r="U5" i="36"/>
  <c r="AF4" i="36"/>
  <c r="AF3" i="36"/>
  <c r="P20" i="42" l="1"/>
  <c r="Y6" i="42"/>
  <c r="Z6" i="42" s="1"/>
  <c r="Y8" i="42"/>
  <c r="Z8" i="42"/>
  <c r="Y7" i="42"/>
  <c r="Z7" i="42" s="1"/>
  <c r="AA18" i="41"/>
  <c r="Y8" i="41"/>
  <c r="P20" i="41"/>
  <c r="U20" i="41" s="1"/>
  <c r="Y5" i="40"/>
  <c r="Z5" i="40" s="1"/>
  <c r="Z8" i="40"/>
  <c r="Y8" i="40"/>
  <c r="Y7" i="40"/>
  <c r="Z7" i="40" s="1"/>
  <c r="AA36" i="39"/>
  <c r="AA24" i="39"/>
  <c r="Y8" i="39"/>
  <c r="P20" i="39"/>
  <c r="U20" i="39" s="1"/>
  <c r="AA18" i="39"/>
  <c r="Z8" i="39"/>
  <c r="Y8" i="38"/>
  <c r="Z8" i="38"/>
  <c r="Y7" i="38"/>
  <c r="Z7" i="38" s="1"/>
  <c r="Y6" i="38"/>
  <c r="Z6" i="38" s="1"/>
  <c r="U17" i="38"/>
  <c r="AA36" i="37"/>
  <c r="AA30" i="37"/>
  <c r="AA24" i="37"/>
  <c r="AA18" i="37"/>
  <c r="Y8" i="37"/>
  <c r="Z8" i="37"/>
  <c r="P20" i="37"/>
  <c r="U17" i="37"/>
  <c r="Y5" i="36"/>
  <c r="Z5" i="36" s="1"/>
  <c r="Y8" i="36"/>
  <c r="Z8" i="36"/>
  <c r="Y7" i="36"/>
  <c r="Z7" i="36" s="1"/>
  <c r="Y6" i="36"/>
  <c r="Z6" i="36" s="1"/>
  <c r="U20" i="67"/>
  <c r="Y7" i="67"/>
  <c r="Z7" i="67" s="1"/>
  <c r="Y6" i="67"/>
  <c r="Z6" i="67" s="1"/>
  <c r="Z9" i="67" s="1"/>
  <c r="U17" i="67"/>
  <c r="Z9" i="66"/>
  <c r="R20" i="66"/>
  <c r="U20" i="66" s="1"/>
  <c r="U19" i="66" s="1"/>
  <c r="P21" i="66" s="1"/>
  <c r="R20" i="65"/>
  <c r="U20" i="65" s="1"/>
  <c r="U19" i="65" s="1"/>
  <c r="P21" i="65" s="1"/>
  <c r="Y7" i="65"/>
  <c r="Z7" i="65" s="1"/>
  <c r="Y6" i="65"/>
  <c r="Z6" i="65" s="1"/>
  <c r="Z9" i="65" s="1"/>
  <c r="U20" i="64"/>
  <c r="Z9" i="64"/>
  <c r="U17" i="64"/>
  <c r="R20" i="63"/>
  <c r="U20" i="63" s="1"/>
  <c r="U19" i="63" s="1"/>
  <c r="P21" i="63" s="1"/>
  <c r="Y7" i="63"/>
  <c r="Z7" i="63" s="1"/>
  <c r="Y6" i="63"/>
  <c r="Z6" i="63" s="1"/>
  <c r="Z9" i="63" s="1"/>
  <c r="U20" i="62"/>
  <c r="Z9" i="62"/>
  <c r="U17" i="62"/>
  <c r="Y6" i="61"/>
  <c r="Z6" i="61" s="1"/>
  <c r="Z9" i="61" s="1"/>
  <c r="R20" i="61"/>
  <c r="U20" i="61" s="1"/>
  <c r="U19" i="61" s="1"/>
  <c r="P21" i="61" s="1"/>
  <c r="Y7" i="61"/>
  <c r="Z7" i="61" s="1"/>
  <c r="Z9" i="60"/>
  <c r="R20" i="60"/>
  <c r="U20" i="60" s="1"/>
  <c r="U19" i="60" s="1"/>
  <c r="P21" i="60" s="1"/>
  <c r="U20" i="59"/>
  <c r="Y6" i="59"/>
  <c r="Z6" i="59" s="1"/>
  <c r="Z9" i="59" s="1"/>
  <c r="U17" i="59"/>
  <c r="Y7" i="59"/>
  <c r="Z7" i="59" s="1"/>
  <c r="Z9" i="58"/>
  <c r="R20" i="58"/>
  <c r="U20" i="58" s="1"/>
  <c r="U19" i="58" s="1"/>
  <c r="P21" i="58" s="1"/>
  <c r="Z9" i="57"/>
  <c r="U19" i="57"/>
  <c r="P21" i="57" s="1"/>
  <c r="Z9" i="56"/>
  <c r="R20" i="56"/>
  <c r="U20" i="56" s="1"/>
  <c r="U19" i="56" s="1"/>
  <c r="P21" i="56" s="1"/>
  <c r="U17" i="55"/>
  <c r="R20" i="55"/>
  <c r="U20" i="55" s="1"/>
  <c r="Y7" i="55"/>
  <c r="Z7" i="55" s="1"/>
  <c r="Z9" i="55" s="1"/>
  <c r="Z9" i="54"/>
  <c r="R20" i="54"/>
  <c r="U20" i="54" s="1"/>
  <c r="U19" i="54" s="1"/>
  <c r="P21" i="54" s="1"/>
  <c r="R20" i="53"/>
  <c r="U20" i="53" s="1"/>
  <c r="U19" i="53" s="1"/>
  <c r="P21" i="53" s="1"/>
  <c r="Y7" i="53"/>
  <c r="Z7" i="53" s="1"/>
  <c r="Z9" i="53" s="1"/>
  <c r="Z9" i="52"/>
  <c r="R20" i="52"/>
  <c r="U20" i="52" s="1"/>
  <c r="U17" i="52"/>
  <c r="R20" i="51"/>
  <c r="U20" i="51" s="1"/>
  <c r="U19" i="51" s="1"/>
  <c r="P21" i="51" s="1"/>
  <c r="Y7" i="51"/>
  <c r="Z7" i="51" s="1"/>
  <c r="Z9" i="51" s="1"/>
  <c r="U20" i="50"/>
  <c r="Z9" i="50"/>
  <c r="U17" i="50"/>
  <c r="U20" i="49"/>
  <c r="U19" i="49" s="1"/>
  <c r="P21" i="49" s="1"/>
  <c r="Y6" i="49"/>
  <c r="Z6" i="49" s="1"/>
  <c r="Z9" i="49" s="1"/>
  <c r="R20" i="49"/>
  <c r="Y7" i="49"/>
  <c r="Z7" i="49" s="1"/>
  <c r="Z9" i="48"/>
  <c r="U20" i="48"/>
  <c r="U17" i="48"/>
  <c r="R20" i="47"/>
  <c r="U20" i="47" s="1"/>
  <c r="U19" i="47" s="1"/>
  <c r="P21" i="47" s="1"/>
  <c r="Y7" i="47"/>
  <c r="Z7" i="47" s="1"/>
  <c r="Y6" i="47"/>
  <c r="Z6" i="47" s="1"/>
  <c r="Z9" i="47" s="1"/>
  <c r="U20" i="46"/>
  <c r="Z9" i="46"/>
  <c r="U17" i="46"/>
  <c r="U20" i="45"/>
  <c r="Y6" i="45"/>
  <c r="Z6" i="45" s="1"/>
  <c r="Z9" i="45" s="1"/>
  <c r="U19" i="45"/>
  <c r="P21" i="45" s="1"/>
  <c r="Y7" i="45"/>
  <c r="Z7" i="45" s="1"/>
  <c r="U20" i="44"/>
  <c r="U17" i="44"/>
  <c r="R20" i="43"/>
  <c r="U20" i="43" s="1"/>
  <c r="U19" i="43" s="1"/>
  <c r="P21" i="43" s="1"/>
  <c r="Y7" i="43"/>
  <c r="Z7" i="43" s="1"/>
  <c r="Y6" i="43"/>
  <c r="Z6" i="43" s="1"/>
  <c r="Z9" i="43" s="1"/>
  <c r="U20" i="42"/>
  <c r="U17" i="42"/>
  <c r="Y6" i="41"/>
  <c r="Z6" i="41" s="1"/>
  <c r="U17" i="41"/>
  <c r="Y7" i="41"/>
  <c r="Z7" i="41" s="1"/>
  <c r="Z8" i="41"/>
  <c r="U20" i="40"/>
  <c r="U17" i="40"/>
  <c r="Y6" i="39"/>
  <c r="Z6" i="39" s="1"/>
  <c r="U17" i="39"/>
  <c r="Y7" i="39"/>
  <c r="Z7" i="39" s="1"/>
  <c r="U20" i="38"/>
  <c r="Y6" i="37"/>
  <c r="Z6" i="37" s="1"/>
  <c r="R20" i="37"/>
  <c r="Y7" i="37"/>
  <c r="Z7" i="37" s="1"/>
  <c r="U20" i="36"/>
  <c r="U17" i="36"/>
  <c r="AF4" i="16"/>
  <c r="AF5" i="16"/>
  <c r="AF6" i="16"/>
  <c r="AF7" i="16"/>
  <c r="AF8" i="16"/>
  <c r="AF9" i="16"/>
  <c r="AF10" i="16"/>
  <c r="AF11" i="16"/>
  <c r="AF12" i="16"/>
  <c r="AF13" i="16"/>
  <c r="AF14" i="16"/>
  <c r="AF15" i="16"/>
  <c r="AF16" i="16"/>
  <c r="AF17" i="16"/>
  <c r="AF18" i="16"/>
  <c r="AF19" i="16"/>
  <c r="AF20" i="16"/>
  <c r="AF21" i="16"/>
  <c r="AF22" i="16"/>
  <c r="AF23" i="16"/>
  <c r="AF24" i="16"/>
  <c r="AF25" i="16"/>
  <c r="AF26" i="16"/>
  <c r="AF27" i="16"/>
  <c r="AF28" i="16"/>
  <c r="AF29" i="16"/>
  <c r="AF30" i="16"/>
  <c r="AF31" i="16"/>
  <c r="AF32" i="16"/>
  <c r="AF33" i="16"/>
  <c r="AF34" i="16"/>
  <c r="AF35" i="16"/>
  <c r="AF36" i="16"/>
  <c r="AF37" i="16"/>
  <c r="AF38" i="16"/>
  <c r="AF39" i="16"/>
  <c r="AF40" i="16"/>
  <c r="AF41" i="16"/>
  <c r="AF42" i="16"/>
  <c r="AF43" i="16"/>
  <c r="AF44" i="16"/>
  <c r="AF45" i="16"/>
  <c r="AF46" i="16"/>
  <c r="AF47" i="16"/>
  <c r="AF48" i="16"/>
  <c r="AF49" i="16"/>
  <c r="AF50" i="16"/>
  <c r="AF51" i="16"/>
  <c r="AF52" i="16"/>
  <c r="AF53" i="16"/>
  <c r="AF54" i="16"/>
  <c r="AF55" i="16"/>
  <c r="AF56" i="16"/>
  <c r="AF57" i="16"/>
  <c r="AF58" i="16"/>
  <c r="AF59" i="16"/>
  <c r="AF60" i="16"/>
  <c r="AF3" i="16"/>
  <c r="X8" i="16"/>
  <c r="X7" i="16"/>
  <c r="X6" i="16"/>
  <c r="X5" i="16"/>
  <c r="D40" i="16"/>
  <c r="AA30" i="15"/>
  <c r="D40" i="15"/>
  <c r="X6" i="15"/>
  <c r="Z9" i="42" l="1"/>
  <c r="Z9" i="41"/>
  <c r="Z9" i="40"/>
  <c r="Z9" i="39"/>
  <c r="Z9" i="38"/>
  <c r="U19" i="38"/>
  <c r="P21" i="38" s="1"/>
  <c r="U20" i="37"/>
  <c r="U19" i="37" s="1"/>
  <c r="P21" i="37" s="1"/>
  <c r="Z9" i="37"/>
  <c r="Z9" i="36"/>
  <c r="U19" i="67"/>
  <c r="P21" i="67" s="1"/>
  <c r="U19" i="64"/>
  <c r="P21" i="64" s="1"/>
  <c r="U19" i="62"/>
  <c r="P21" i="62" s="1"/>
  <c r="U19" i="59"/>
  <c r="P21" i="59" s="1"/>
  <c r="U19" i="55"/>
  <c r="P21" i="55" s="1"/>
  <c r="U19" i="52"/>
  <c r="P21" i="52" s="1"/>
  <c r="U19" i="50"/>
  <c r="P21" i="50" s="1"/>
  <c r="U19" i="48"/>
  <c r="P21" i="48" s="1"/>
  <c r="U19" i="46"/>
  <c r="P21" i="46" s="1"/>
  <c r="U19" i="44"/>
  <c r="P21" i="44"/>
  <c r="U19" i="42"/>
  <c r="P21" i="42" s="1"/>
  <c r="U19" i="41"/>
  <c r="P21" i="41" s="1"/>
  <c r="U19" i="40"/>
  <c r="P21" i="40" s="1"/>
  <c r="U19" i="39"/>
  <c r="P21" i="39" s="1"/>
  <c r="U19" i="36"/>
  <c r="P21" i="36" s="1"/>
  <c r="AF4" i="13" l="1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3" i="13"/>
  <c r="X8" i="13"/>
  <c r="X7" i="13"/>
  <c r="X6" i="13"/>
  <c r="X5" i="13"/>
  <c r="X6" i="11" l="1"/>
  <c r="X5" i="11"/>
  <c r="X8" i="9" l="1"/>
  <c r="X7" i="9"/>
  <c r="X6" i="9"/>
  <c r="AA17" i="8" l="1"/>
  <c r="AA16" i="8"/>
  <c r="AA15" i="8"/>
  <c r="AA14" i="8"/>
  <c r="AA36" i="7" l="1"/>
  <c r="AA30" i="7"/>
  <c r="AA24" i="7"/>
  <c r="AA18" i="7"/>
  <c r="X8" i="7" l="1"/>
  <c r="X7" i="7"/>
  <c r="X6" i="7"/>
  <c r="X5" i="7"/>
  <c r="Y7" i="5" l="1"/>
  <c r="X7" i="5"/>
  <c r="X8" i="5"/>
  <c r="X6" i="5"/>
  <c r="X5" i="5"/>
  <c r="AF61" i="35" l="1"/>
  <c r="AF60" i="35"/>
  <c r="AF59" i="35"/>
  <c r="AF58" i="35"/>
  <c r="AF57" i="35"/>
  <c r="AF56" i="35"/>
  <c r="AF55" i="35"/>
  <c r="AF54" i="35"/>
  <c r="AF53" i="35"/>
  <c r="AF52" i="35"/>
  <c r="AF51" i="35"/>
  <c r="AF50" i="35"/>
  <c r="AF49" i="35"/>
  <c r="AF48" i="35"/>
  <c r="AF47" i="35"/>
  <c r="AF46" i="35"/>
  <c r="AF45" i="35"/>
  <c r="AF44" i="35"/>
  <c r="AF43" i="35"/>
  <c r="Q43" i="35"/>
  <c r="AF42" i="35"/>
  <c r="AF41" i="35"/>
  <c r="AF40" i="35"/>
  <c r="AF38" i="35"/>
  <c r="AF37" i="35"/>
  <c r="AF36" i="35"/>
  <c r="AF35" i="35"/>
  <c r="AA35" i="35"/>
  <c r="AF34" i="35"/>
  <c r="AA34" i="35"/>
  <c r="AF33" i="35"/>
  <c r="AA33" i="35"/>
  <c r="AF32" i="35"/>
  <c r="AA32" i="35"/>
  <c r="AF31" i="35"/>
  <c r="AF30" i="35"/>
  <c r="AF29" i="35"/>
  <c r="AA29" i="35"/>
  <c r="AF28" i="35"/>
  <c r="AA28" i="35"/>
  <c r="AF27" i="35"/>
  <c r="AA27" i="35"/>
  <c r="AF26" i="35"/>
  <c r="AA26" i="35"/>
  <c r="AF25" i="35"/>
  <c r="AF24" i="35"/>
  <c r="J24" i="35"/>
  <c r="K24" i="35" s="1"/>
  <c r="AF23" i="35"/>
  <c r="AA23" i="35"/>
  <c r="AF22" i="35"/>
  <c r="AA22" i="35"/>
  <c r="J22" i="35"/>
  <c r="K22" i="35" s="1"/>
  <c r="AF21" i="35"/>
  <c r="AA21" i="35"/>
  <c r="AF20" i="35"/>
  <c r="AA20" i="35"/>
  <c r="AA24" i="35" s="1"/>
  <c r="AF19" i="35"/>
  <c r="AF18" i="35"/>
  <c r="AF17" i="35"/>
  <c r="AA17" i="35"/>
  <c r="V17" i="35"/>
  <c r="D42" i="35" s="1"/>
  <c r="D45" i="35" s="1"/>
  <c r="T17" i="35"/>
  <c r="T20" i="35" s="1"/>
  <c r="S17" i="35"/>
  <c r="S20" i="35" s="1"/>
  <c r="R17" i="35"/>
  <c r="Y6" i="35" s="1"/>
  <c r="Z6" i="35" s="1"/>
  <c r="Q17" i="35"/>
  <c r="P17" i="35"/>
  <c r="P20" i="35" s="1"/>
  <c r="O17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B17" i="35"/>
  <c r="AF16" i="35"/>
  <c r="AA16" i="35"/>
  <c r="U16" i="35"/>
  <c r="AF15" i="35"/>
  <c r="AA15" i="35"/>
  <c r="U15" i="35"/>
  <c r="AF14" i="35"/>
  <c r="AA14" i="35"/>
  <c r="AA18" i="35" s="1"/>
  <c r="U14" i="35"/>
  <c r="AF13" i="35"/>
  <c r="U13" i="35"/>
  <c r="AF12" i="35"/>
  <c r="U12" i="35"/>
  <c r="AF11" i="35"/>
  <c r="U11" i="35"/>
  <c r="AF10" i="35"/>
  <c r="U10" i="35"/>
  <c r="AF9" i="35"/>
  <c r="U9" i="35"/>
  <c r="AF8" i="35"/>
  <c r="U8" i="35"/>
  <c r="AF7" i="35"/>
  <c r="U7" i="35"/>
  <c r="AF6" i="35"/>
  <c r="U6" i="35"/>
  <c r="AF5" i="35"/>
  <c r="U5" i="35"/>
  <c r="AF4" i="35"/>
  <c r="AF3" i="35"/>
  <c r="AF60" i="34"/>
  <c r="AF59" i="34"/>
  <c r="AF58" i="34"/>
  <c r="AF57" i="34"/>
  <c r="AF56" i="34"/>
  <c r="AF55" i="34"/>
  <c r="AF54" i="34"/>
  <c r="AF53" i="34"/>
  <c r="AF52" i="34"/>
  <c r="AF51" i="34"/>
  <c r="AF50" i="34"/>
  <c r="AF49" i="34"/>
  <c r="AF48" i="34"/>
  <c r="AF47" i="34"/>
  <c r="AF46" i="34"/>
  <c r="AF45" i="34"/>
  <c r="AF44" i="34"/>
  <c r="AF43" i="34"/>
  <c r="AF42" i="34"/>
  <c r="Q42" i="34"/>
  <c r="AF41" i="34"/>
  <c r="D41" i="34"/>
  <c r="D44" i="34" s="1"/>
  <c r="AF40" i="34"/>
  <c r="AF39" i="34"/>
  <c r="AF38" i="34"/>
  <c r="AF37" i="34"/>
  <c r="AF36" i="34"/>
  <c r="AF35" i="34"/>
  <c r="AF34" i="34"/>
  <c r="AF33" i="34"/>
  <c r="AF32" i="34"/>
  <c r="AF31" i="34"/>
  <c r="AF30" i="34"/>
  <c r="AF29" i="34"/>
  <c r="AF28" i="34"/>
  <c r="AF27" i="34"/>
  <c r="AF26" i="34"/>
  <c r="AF25" i="34"/>
  <c r="AF24" i="34"/>
  <c r="J24" i="34"/>
  <c r="K24" i="34" s="1"/>
  <c r="AF23" i="34"/>
  <c r="AF22" i="34"/>
  <c r="J22" i="34"/>
  <c r="K22" i="34" s="1"/>
  <c r="AF21" i="34"/>
  <c r="AF20" i="34"/>
  <c r="AF19" i="34"/>
  <c r="AF18" i="34"/>
  <c r="AF17" i="34"/>
  <c r="V17" i="34"/>
  <c r="T17" i="34"/>
  <c r="T20" i="34" s="1"/>
  <c r="S17" i="34"/>
  <c r="S20" i="34" s="1"/>
  <c r="R17" i="34"/>
  <c r="Y6" i="34" s="1"/>
  <c r="Z6" i="34" s="1"/>
  <c r="Q17" i="34"/>
  <c r="P17" i="34"/>
  <c r="P20" i="34" s="1"/>
  <c r="O17" i="34"/>
  <c r="N17" i="34"/>
  <c r="M17" i="34"/>
  <c r="L17" i="34"/>
  <c r="K17" i="34"/>
  <c r="J17" i="34"/>
  <c r="I17" i="34"/>
  <c r="H17" i="34"/>
  <c r="G17" i="34"/>
  <c r="F17" i="34"/>
  <c r="E17" i="34"/>
  <c r="D17" i="34"/>
  <c r="C17" i="34"/>
  <c r="B17" i="34"/>
  <c r="AF16" i="34"/>
  <c r="U16" i="34"/>
  <c r="AF15" i="34"/>
  <c r="U15" i="34"/>
  <c r="AF14" i="34"/>
  <c r="U14" i="34"/>
  <c r="AF13" i="34"/>
  <c r="U13" i="34"/>
  <c r="AF12" i="34"/>
  <c r="U12" i="34"/>
  <c r="AF11" i="34"/>
  <c r="U11" i="34"/>
  <c r="AF10" i="34"/>
  <c r="U10" i="34"/>
  <c r="AF9" i="34"/>
  <c r="U9" i="34"/>
  <c r="AF8" i="34"/>
  <c r="U8" i="34"/>
  <c r="AF7" i="34"/>
  <c r="U7" i="34"/>
  <c r="AF6" i="34"/>
  <c r="U6" i="34"/>
  <c r="AF5" i="34"/>
  <c r="U5" i="34"/>
  <c r="AF4" i="34"/>
  <c r="AF3" i="34"/>
  <c r="AF60" i="33"/>
  <c r="AF59" i="33"/>
  <c r="AF58" i="33"/>
  <c r="AF57" i="33"/>
  <c r="AF56" i="33"/>
  <c r="AF55" i="33"/>
  <c r="AF54" i="33"/>
  <c r="AF53" i="33"/>
  <c r="AF52" i="33"/>
  <c r="AF51" i="33"/>
  <c r="AF50" i="33"/>
  <c r="AF49" i="33"/>
  <c r="AF48" i="33"/>
  <c r="AF47" i="33"/>
  <c r="AF46" i="33"/>
  <c r="AF45" i="33"/>
  <c r="AF44" i="33"/>
  <c r="AF43" i="33"/>
  <c r="AF42" i="33"/>
  <c r="Q42" i="33"/>
  <c r="AF41" i="33"/>
  <c r="AF40" i="33"/>
  <c r="AF39" i="33"/>
  <c r="AF38" i="33"/>
  <c r="AF37" i="33"/>
  <c r="AF36" i="33"/>
  <c r="AF35" i="33"/>
  <c r="AA35" i="33"/>
  <c r="AF34" i="33"/>
  <c r="AA34" i="33"/>
  <c r="AF33" i="33"/>
  <c r="AA33" i="33"/>
  <c r="AF32" i="33"/>
  <c r="AA32" i="33"/>
  <c r="AA36" i="33" s="1"/>
  <c r="AF31" i="33"/>
  <c r="AF30" i="33"/>
  <c r="AF29" i="33"/>
  <c r="AA29" i="33"/>
  <c r="AF28" i="33"/>
  <c r="AA28" i="33"/>
  <c r="AF27" i="33"/>
  <c r="AA27" i="33"/>
  <c r="AF26" i="33"/>
  <c r="AA26" i="33"/>
  <c r="AF25" i="33"/>
  <c r="AF24" i="33"/>
  <c r="J24" i="33"/>
  <c r="K24" i="33" s="1"/>
  <c r="AF23" i="33"/>
  <c r="AA23" i="33"/>
  <c r="AF22" i="33"/>
  <c r="AA22" i="33"/>
  <c r="J22" i="33"/>
  <c r="K22" i="33" s="1"/>
  <c r="AF21" i="33"/>
  <c r="AA21" i="33"/>
  <c r="AF20" i="33"/>
  <c r="AA20" i="33"/>
  <c r="AF19" i="33"/>
  <c r="AF18" i="33"/>
  <c r="AF17" i="33"/>
  <c r="AA17" i="33"/>
  <c r="V17" i="33"/>
  <c r="D41" i="33" s="1"/>
  <c r="D44" i="33" s="1"/>
  <c r="T17" i="33"/>
  <c r="T20" i="33" s="1"/>
  <c r="S17" i="33"/>
  <c r="S20" i="33" s="1"/>
  <c r="R17" i="33"/>
  <c r="Y6" i="33" s="1"/>
  <c r="Z6" i="33" s="1"/>
  <c r="Q17" i="33"/>
  <c r="P17" i="33"/>
  <c r="Y5" i="33" s="1"/>
  <c r="Z5" i="33" s="1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B17" i="33"/>
  <c r="AF16" i="33"/>
  <c r="AA16" i="33"/>
  <c r="U16" i="33"/>
  <c r="AF15" i="33"/>
  <c r="AA15" i="33"/>
  <c r="U15" i="33"/>
  <c r="AF14" i="33"/>
  <c r="AA14" i="33"/>
  <c r="AA18" i="33" s="1"/>
  <c r="U14" i="33"/>
  <c r="AF13" i="33"/>
  <c r="U13" i="33"/>
  <c r="AF12" i="33"/>
  <c r="U12" i="33"/>
  <c r="AF11" i="33"/>
  <c r="U11" i="33"/>
  <c r="AF10" i="33"/>
  <c r="U10" i="33"/>
  <c r="AF9" i="33"/>
  <c r="U9" i="33"/>
  <c r="AF8" i="33"/>
  <c r="U8" i="33"/>
  <c r="AF7" i="33"/>
  <c r="U7" i="33"/>
  <c r="AF6" i="33"/>
  <c r="U6" i="33"/>
  <c r="AF5" i="33"/>
  <c r="U5" i="33"/>
  <c r="AF4" i="33"/>
  <c r="AF3" i="33"/>
  <c r="AF60" i="31"/>
  <c r="AF59" i="31"/>
  <c r="AF58" i="31"/>
  <c r="AF57" i="31"/>
  <c r="AF56" i="31"/>
  <c r="AF55" i="31"/>
  <c r="AF54" i="31"/>
  <c r="AF53" i="31"/>
  <c r="AF52" i="31"/>
  <c r="AF51" i="31"/>
  <c r="AF50" i="31"/>
  <c r="AF49" i="31"/>
  <c r="AF48" i="31"/>
  <c r="AF47" i="31"/>
  <c r="AF46" i="31"/>
  <c r="AF45" i="31"/>
  <c r="AF44" i="31"/>
  <c r="AF43" i="31"/>
  <c r="AF42" i="31"/>
  <c r="Q42" i="31"/>
  <c r="AF41" i="31"/>
  <c r="D41" i="31"/>
  <c r="D44" i="31" s="1"/>
  <c r="AF40" i="31"/>
  <c r="AF39" i="31"/>
  <c r="AF38" i="31"/>
  <c r="AF37" i="31"/>
  <c r="AF36" i="31"/>
  <c r="AF35" i="31"/>
  <c r="AF34" i="31"/>
  <c r="AF33" i="31"/>
  <c r="AF32" i="31"/>
  <c r="AF31" i="31"/>
  <c r="AF30" i="31"/>
  <c r="AF29" i="31"/>
  <c r="AF28" i="31"/>
  <c r="AF27" i="31"/>
  <c r="AF26" i="31"/>
  <c r="AF25" i="31"/>
  <c r="AF24" i="31"/>
  <c r="J24" i="31"/>
  <c r="K24" i="31" s="1"/>
  <c r="AF23" i="31"/>
  <c r="AF22" i="31"/>
  <c r="J22" i="31"/>
  <c r="K22" i="31" s="1"/>
  <c r="AF21" i="31"/>
  <c r="AF20" i="31"/>
  <c r="AF19" i="31"/>
  <c r="AF18" i="31"/>
  <c r="AF17" i="31"/>
  <c r="V17" i="31"/>
  <c r="T17" i="31"/>
  <c r="T20" i="31" s="1"/>
  <c r="S17" i="31"/>
  <c r="S20" i="31" s="1"/>
  <c r="R17" i="31"/>
  <c r="Y6" i="31" s="1"/>
  <c r="Z6" i="31" s="1"/>
  <c r="Q17" i="31"/>
  <c r="P17" i="31"/>
  <c r="P20" i="31" s="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AF16" i="31"/>
  <c r="U16" i="31"/>
  <c r="AF15" i="31"/>
  <c r="U15" i="31"/>
  <c r="AF14" i="31"/>
  <c r="U14" i="31"/>
  <c r="AF13" i="31"/>
  <c r="U13" i="31"/>
  <c r="AF12" i="31"/>
  <c r="U12" i="31"/>
  <c r="AF11" i="31"/>
  <c r="U11" i="31"/>
  <c r="AF10" i="31"/>
  <c r="U10" i="31"/>
  <c r="AF9" i="31"/>
  <c r="U9" i="31"/>
  <c r="AF8" i="31"/>
  <c r="Z8" i="31"/>
  <c r="Y8" i="31"/>
  <c r="U8" i="31"/>
  <c r="AF7" i="31"/>
  <c r="U7" i="31"/>
  <c r="AF6" i="31"/>
  <c r="U6" i="31"/>
  <c r="AF5" i="31"/>
  <c r="U5" i="31"/>
  <c r="AF4" i="31"/>
  <c r="AF3" i="31"/>
  <c r="Q42" i="30"/>
  <c r="AA35" i="30"/>
  <c r="AA34" i="30"/>
  <c r="AA33" i="30"/>
  <c r="AA32" i="30"/>
  <c r="AA29" i="30"/>
  <c r="AA28" i="30"/>
  <c r="AA27" i="30"/>
  <c r="AA26" i="30"/>
  <c r="AA30" i="30" s="1"/>
  <c r="J24" i="30"/>
  <c r="K24" i="30" s="1"/>
  <c r="AA23" i="30"/>
  <c r="AA22" i="30"/>
  <c r="J22" i="30"/>
  <c r="K22" i="30" s="1"/>
  <c r="AA21" i="30"/>
  <c r="AA20" i="30"/>
  <c r="AA17" i="30"/>
  <c r="V17" i="30"/>
  <c r="D41" i="30" s="1"/>
  <c r="D44" i="30" s="1"/>
  <c r="T17" i="30"/>
  <c r="T20" i="30" s="1"/>
  <c r="S17" i="30"/>
  <c r="S20" i="30" s="1"/>
  <c r="R17" i="30"/>
  <c r="Q17" i="30"/>
  <c r="P17" i="30"/>
  <c r="P20" i="30" s="1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AA16" i="30"/>
  <c r="U16" i="30"/>
  <c r="AA15" i="30"/>
  <c r="U15" i="30"/>
  <c r="AA14" i="30"/>
  <c r="U14" i="30"/>
  <c r="U13" i="30"/>
  <c r="U12" i="30"/>
  <c r="U11" i="30"/>
  <c r="U10" i="30"/>
  <c r="U9" i="30"/>
  <c r="U8" i="30"/>
  <c r="U7" i="30"/>
  <c r="U6" i="30"/>
  <c r="U5" i="30"/>
  <c r="AF60" i="29"/>
  <c r="AF59" i="29"/>
  <c r="AF58" i="29"/>
  <c r="AF57" i="29"/>
  <c r="AF56" i="29"/>
  <c r="AF55" i="29"/>
  <c r="AF54" i="29"/>
  <c r="AF53" i="29"/>
  <c r="AF52" i="29"/>
  <c r="AF51" i="29"/>
  <c r="AF50" i="29"/>
  <c r="AF49" i="29"/>
  <c r="AF48" i="29"/>
  <c r="AF47" i="29"/>
  <c r="AF46" i="29"/>
  <c r="AF45" i="29"/>
  <c r="AF44" i="29"/>
  <c r="AF43" i="29"/>
  <c r="AF42" i="29"/>
  <c r="Q42" i="29"/>
  <c r="AF41" i="29"/>
  <c r="AF40" i="29"/>
  <c r="AF39" i="29"/>
  <c r="AF38" i="29"/>
  <c r="AF37" i="29"/>
  <c r="AF36" i="29"/>
  <c r="AF35" i="29"/>
  <c r="AF34" i="29"/>
  <c r="AF33" i="29"/>
  <c r="AF32" i="29"/>
  <c r="AF31" i="29"/>
  <c r="AF30" i="29"/>
  <c r="AF29" i="29"/>
  <c r="AF28" i="29"/>
  <c r="AF27" i="29"/>
  <c r="AF26" i="29"/>
  <c r="AF25" i="29"/>
  <c r="AF24" i="29"/>
  <c r="J24" i="29"/>
  <c r="K24" i="29" s="1"/>
  <c r="AF23" i="29"/>
  <c r="AF22" i="29"/>
  <c r="J22" i="29"/>
  <c r="K22" i="29" s="1"/>
  <c r="AF21" i="29"/>
  <c r="AF20" i="29"/>
  <c r="AF19" i="29"/>
  <c r="AF18" i="29"/>
  <c r="AF17" i="29"/>
  <c r="V17" i="29"/>
  <c r="D41" i="29" s="1"/>
  <c r="D44" i="29" s="1"/>
  <c r="T17" i="29"/>
  <c r="T20" i="29" s="1"/>
  <c r="S17" i="29"/>
  <c r="S20" i="29" s="1"/>
  <c r="R17" i="29"/>
  <c r="Y6" i="29" s="1"/>
  <c r="Z6" i="29" s="1"/>
  <c r="Q17" i="29"/>
  <c r="P17" i="29"/>
  <c r="Y5" i="29" s="1"/>
  <c r="Z5" i="29" s="1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AF16" i="29"/>
  <c r="U16" i="29"/>
  <c r="AF15" i="29"/>
  <c r="U15" i="29"/>
  <c r="AF14" i="29"/>
  <c r="U14" i="29"/>
  <c r="AF13" i="29"/>
  <c r="U13" i="29"/>
  <c r="AF12" i="29"/>
  <c r="U12" i="29"/>
  <c r="AF11" i="29"/>
  <c r="U11" i="29"/>
  <c r="AF10" i="29"/>
  <c r="U10" i="29"/>
  <c r="AF9" i="29"/>
  <c r="U9" i="29"/>
  <c r="AF8" i="29"/>
  <c r="U8" i="29"/>
  <c r="AF7" i="29"/>
  <c r="U7" i="29"/>
  <c r="AF6" i="29"/>
  <c r="U6" i="29"/>
  <c r="AF5" i="29"/>
  <c r="U5" i="29"/>
  <c r="AF4" i="29"/>
  <c r="AF3" i="29"/>
  <c r="AF60" i="28"/>
  <c r="AF59" i="28"/>
  <c r="AF58" i="28"/>
  <c r="AF57" i="28"/>
  <c r="AF56" i="28"/>
  <c r="AF55" i="28"/>
  <c r="AF54" i="28"/>
  <c r="AF53" i="28"/>
  <c r="AF52" i="28"/>
  <c r="AF51" i="28"/>
  <c r="AF50" i="28"/>
  <c r="AF49" i="28"/>
  <c r="AF48" i="28"/>
  <c r="AF47" i="28"/>
  <c r="AF46" i="28"/>
  <c r="AF45" i="28"/>
  <c r="AF44" i="28"/>
  <c r="AF43" i="28"/>
  <c r="AF42" i="28"/>
  <c r="Q42" i="28"/>
  <c r="AF41" i="28"/>
  <c r="AF40" i="28"/>
  <c r="AF39" i="28"/>
  <c r="AF38" i="28"/>
  <c r="AF37" i="28"/>
  <c r="AF36" i="28"/>
  <c r="AF35" i="28"/>
  <c r="AA35" i="28"/>
  <c r="AF34" i="28"/>
  <c r="AA34" i="28"/>
  <c r="AF33" i="28"/>
  <c r="AA33" i="28"/>
  <c r="AF32" i="28"/>
  <c r="AA32" i="28"/>
  <c r="AF31" i="28"/>
  <c r="AF30" i="28"/>
  <c r="AF29" i="28"/>
  <c r="AA29" i="28"/>
  <c r="AF28" i="28"/>
  <c r="AA28" i="28"/>
  <c r="AF27" i="28"/>
  <c r="AA27" i="28"/>
  <c r="AF26" i="28"/>
  <c r="AA26" i="28"/>
  <c r="AF25" i="28"/>
  <c r="AF24" i="28"/>
  <c r="J24" i="28"/>
  <c r="K24" i="28" s="1"/>
  <c r="AF23" i="28"/>
  <c r="AA23" i="28"/>
  <c r="AF22" i="28"/>
  <c r="AA22" i="28"/>
  <c r="J22" i="28"/>
  <c r="K22" i="28" s="1"/>
  <c r="AF21" i="28"/>
  <c r="AA21" i="28"/>
  <c r="AF20" i="28"/>
  <c r="AA20" i="28"/>
  <c r="AF19" i="28"/>
  <c r="AF18" i="28"/>
  <c r="AF17" i="28"/>
  <c r="AA17" i="28"/>
  <c r="V17" i="28"/>
  <c r="D41" i="28" s="1"/>
  <c r="D44" i="28" s="1"/>
  <c r="T17" i="28"/>
  <c r="Z8" i="28" s="1"/>
  <c r="S17" i="28"/>
  <c r="S20" i="28" s="1"/>
  <c r="R17" i="28"/>
  <c r="R20" i="28" s="1"/>
  <c r="Q17" i="28"/>
  <c r="P17" i="28"/>
  <c r="Y5" i="28" s="1"/>
  <c r="Z5" i="28" s="1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AF16" i="28"/>
  <c r="AA16" i="28"/>
  <c r="U16" i="28"/>
  <c r="AF15" i="28"/>
  <c r="AA15" i="28"/>
  <c r="U15" i="28"/>
  <c r="AF14" i="28"/>
  <c r="AA14" i="28"/>
  <c r="U14" i="28"/>
  <c r="AF13" i="28"/>
  <c r="U13" i="28"/>
  <c r="AF12" i="28"/>
  <c r="U12" i="28"/>
  <c r="AF11" i="28"/>
  <c r="U11" i="28"/>
  <c r="AF10" i="28"/>
  <c r="U10" i="28"/>
  <c r="AF9" i="28"/>
  <c r="U9" i="28"/>
  <c r="AF8" i="28"/>
  <c r="U8" i="28"/>
  <c r="AF7" i="28"/>
  <c r="U7" i="28"/>
  <c r="AF6" i="28"/>
  <c r="U6" i="28"/>
  <c r="AF5" i="28"/>
  <c r="U5" i="28"/>
  <c r="AF4" i="28"/>
  <c r="AF3" i="28"/>
  <c r="AF60" i="27"/>
  <c r="AF59" i="27"/>
  <c r="AF58" i="27"/>
  <c r="AF57" i="27"/>
  <c r="AF56" i="27"/>
  <c r="AF55" i="27"/>
  <c r="AF54" i="27"/>
  <c r="AF53" i="27"/>
  <c r="AF52" i="27"/>
  <c r="AF51" i="27"/>
  <c r="AF50" i="27"/>
  <c r="AF49" i="27"/>
  <c r="AF48" i="27"/>
  <c r="AF47" i="27"/>
  <c r="AF46" i="27"/>
  <c r="AF45" i="27"/>
  <c r="AF44" i="27"/>
  <c r="AF43" i="27"/>
  <c r="AF42" i="27"/>
  <c r="Q42" i="27"/>
  <c r="AF41" i="27"/>
  <c r="AF40" i="27"/>
  <c r="AF39" i="27"/>
  <c r="AF38" i="27"/>
  <c r="AF37" i="27"/>
  <c r="AF36" i="27"/>
  <c r="AF35" i="27"/>
  <c r="AF34" i="27"/>
  <c r="AF33" i="27"/>
  <c r="AF32" i="27"/>
  <c r="AF31" i="27"/>
  <c r="AF30" i="27"/>
  <c r="AF29" i="27"/>
  <c r="AF28" i="27"/>
  <c r="AF27" i="27"/>
  <c r="AF26" i="27"/>
  <c r="AF25" i="27"/>
  <c r="AF24" i="27"/>
  <c r="J24" i="27"/>
  <c r="K24" i="27" s="1"/>
  <c r="AF23" i="27"/>
  <c r="AF22" i="27"/>
  <c r="J22" i="27"/>
  <c r="K22" i="27" s="1"/>
  <c r="AF21" i="27"/>
  <c r="AF20" i="27"/>
  <c r="AF19" i="27"/>
  <c r="AF18" i="27"/>
  <c r="AF17" i="27"/>
  <c r="V17" i="27"/>
  <c r="D41" i="27" s="1"/>
  <c r="D44" i="27" s="1"/>
  <c r="T17" i="27"/>
  <c r="T20" i="27" s="1"/>
  <c r="S17" i="27"/>
  <c r="S20" i="27" s="1"/>
  <c r="R17" i="27"/>
  <c r="Y6" i="27" s="1"/>
  <c r="Z6" i="27" s="1"/>
  <c r="Q17" i="27"/>
  <c r="P17" i="27"/>
  <c r="P20" i="27" s="1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AF16" i="27"/>
  <c r="U16" i="27"/>
  <c r="AF15" i="27"/>
  <c r="U15" i="27"/>
  <c r="AF14" i="27"/>
  <c r="U14" i="27"/>
  <c r="AF13" i="27"/>
  <c r="U13" i="27"/>
  <c r="AF12" i="27"/>
  <c r="U12" i="27"/>
  <c r="AF11" i="27"/>
  <c r="U11" i="27"/>
  <c r="AF10" i="27"/>
  <c r="U10" i="27"/>
  <c r="AF9" i="27"/>
  <c r="U9" i="27"/>
  <c r="AF8" i="27"/>
  <c r="U8" i="27"/>
  <c r="AF7" i="27"/>
  <c r="U7" i="27"/>
  <c r="AF6" i="27"/>
  <c r="U6" i="27"/>
  <c r="AF5" i="27"/>
  <c r="U5" i="27"/>
  <c r="AF4" i="27"/>
  <c r="AF3" i="27"/>
  <c r="AF60" i="26"/>
  <c r="AF59" i="26"/>
  <c r="AF58" i="26"/>
  <c r="AF57" i="26"/>
  <c r="AF56" i="26"/>
  <c r="AF55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Q42" i="26"/>
  <c r="AF41" i="26"/>
  <c r="AF40" i="26"/>
  <c r="AF39" i="26"/>
  <c r="AF38" i="26"/>
  <c r="AF37" i="26"/>
  <c r="AF36" i="26"/>
  <c r="AF35" i="26"/>
  <c r="AA35" i="26"/>
  <c r="AF34" i="26"/>
  <c r="AA34" i="26"/>
  <c r="AF33" i="26"/>
  <c r="AA33" i="26"/>
  <c r="AF32" i="26"/>
  <c r="AA32" i="26"/>
  <c r="AF31" i="26"/>
  <c r="AF30" i="26"/>
  <c r="AF29" i="26"/>
  <c r="AA29" i="26"/>
  <c r="AF28" i="26"/>
  <c r="AA28" i="26"/>
  <c r="AF27" i="26"/>
  <c r="AA27" i="26"/>
  <c r="AF26" i="26"/>
  <c r="AA26" i="26"/>
  <c r="AF25" i="26"/>
  <c r="AF24" i="26"/>
  <c r="J24" i="26"/>
  <c r="K24" i="26" s="1"/>
  <c r="AF23" i="26"/>
  <c r="AA23" i="26"/>
  <c r="AF22" i="26"/>
  <c r="AA22" i="26"/>
  <c r="J22" i="26"/>
  <c r="K22" i="26" s="1"/>
  <c r="AF21" i="26"/>
  <c r="AA21" i="26"/>
  <c r="AF20" i="26"/>
  <c r="AA20" i="26"/>
  <c r="AF19" i="26"/>
  <c r="AF18" i="26"/>
  <c r="AF17" i="26"/>
  <c r="AA17" i="26"/>
  <c r="V17" i="26"/>
  <c r="D41" i="26" s="1"/>
  <c r="D44" i="26" s="1"/>
  <c r="T17" i="26"/>
  <c r="T20" i="26" s="1"/>
  <c r="S17" i="26"/>
  <c r="S20" i="26" s="1"/>
  <c r="R17" i="26"/>
  <c r="Y6" i="26" s="1"/>
  <c r="Z6" i="26" s="1"/>
  <c r="Q17" i="26"/>
  <c r="P17" i="26"/>
  <c r="Y5" i="26" s="1"/>
  <c r="Z5" i="26" s="1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AF16" i="26"/>
  <c r="AA16" i="26"/>
  <c r="U16" i="26"/>
  <c r="AF15" i="26"/>
  <c r="AA15" i="26"/>
  <c r="U15" i="26"/>
  <c r="AF14" i="26"/>
  <c r="AA14" i="26"/>
  <c r="U14" i="26"/>
  <c r="AF13" i="26"/>
  <c r="U13" i="26"/>
  <c r="AF12" i="26"/>
  <c r="U12" i="26"/>
  <c r="AF11" i="26"/>
  <c r="U11" i="26"/>
  <c r="AF10" i="26"/>
  <c r="U10" i="26"/>
  <c r="AF9" i="26"/>
  <c r="U9" i="26"/>
  <c r="AF8" i="26"/>
  <c r="U8" i="26"/>
  <c r="AF7" i="26"/>
  <c r="U7" i="26"/>
  <c r="AF6" i="26"/>
  <c r="U6" i="26"/>
  <c r="AF5" i="26"/>
  <c r="U5" i="26"/>
  <c r="AF4" i="26"/>
  <c r="AF3" i="26"/>
  <c r="AF60" i="25"/>
  <c r="AF59" i="25"/>
  <c r="AF58" i="25"/>
  <c r="AF57" i="25"/>
  <c r="AF56" i="25"/>
  <c r="AF55" i="25"/>
  <c r="AF54" i="25"/>
  <c r="AF53" i="25"/>
  <c r="AF52" i="25"/>
  <c r="AF51" i="25"/>
  <c r="AF50" i="25"/>
  <c r="AF49" i="25"/>
  <c r="AF48" i="25"/>
  <c r="AF47" i="25"/>
  <c r="AF46" i="25"/>
  <c r="AF45" i="25"/>
  <c r="AF44" i="25"/>
  <c r="AF43" i="25"/>
  <c r="AF42" i="25"/>
  <c r="Q42" i="25"/>
  <c r="AF41" i="25"/>
  <c r="AF40" i="25"/>
  <c r="AF39" i="25"/>
  <c r="AF38" i="25"/>
  <c r="AF37" i="25"/>
  <c r="AF36" i="25"/>
  <c r="AF35" i="25"/>
  <c r="AF34" i="25"/>
  <c r="AF33" i="25"/>
  <c r="AF32" i="25"/>
  <c r="AF31" i="25"/>
  <c r="AF30" i="25"/>
  <c r="AF29" i="25"/>
  <c r="AF28" i="25"/>
  <c r="AF27" i="25"/>
  <c r="AF26" i="25"/>
  <c r="AF25" i="25"/>
  <c r="AF24" i="25"/>
  <c r="J24" i="25"/>
  <c r="K24" i="25" s="1"/>
  <c r="AF23" i="25"/>
  <c r="AF22" i="25"/>
  <c r="J22" i="25"/>
  <c r="K22" i="25" s="1"/>
  <c r="AF21" i="25"/>
  <c r="AF20" i="25"/>
  <c r="P20" i="25"/>
  <c r="AF19" i="25"/>
  <c r="AF18" i="25"/>
  <c r="AF17" i="25"/>
  <c r="V17" i="25"/>
  <c r="D41" i="25" s="1"/>
  <c r="D44" i="25" s="1"/>
  <c r="T17" i="25"/>
  <c r="T20" i="25" s="1"/>
  <c r="S17" i="25"/>
  <c r="S20" i="25" s="1"/>
  <c r="R17" i="25"/>
  <c r="R20" i="25" s="1"/>
  <c r="Q17" i="25"/>
  <c r="P17" i="25"/>
  <c r="Y5" i="25" s="1"/>
  <c r="Z5" i="25" s="1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AF16" i="25"/>
  <c r="U16" i="25"/>
  <c r="AF15" i="25"/>
  <c r="U15" i="25"/>
  <c r="AF14" i="25"/>
  <c r="U14" i="25"/>
  <c r="AF13" i="25"/>
  <c r="U13" i="25"/>
  <c r="AF12" i="25"/>
  <c r="U12" i="25"/>
  <c r="AF11" i="25"/>
  <c r="U11" i="25"/>
  <c r="AF10" i="25"/>
  <c r="U10" i="25"/>
  <c r="AF9" i="25"/>
  <c r="U9" i="25"/>
  <c r="AF8" i="25"/>
  <c r="U8" i="25"/>
  <c r="AF7" i="25"/>
  <c r="U7" i="25"/>
  <c r="AF6" i="25"/>
  <c r="U6" i="25"/>
  <c r="AF5" i="25"/>
  <c r="U5" i="25"/>
  <c r="AF4" i="25"/>
  <c r="AF3" i="25"/>
  <c r="AF60" i="24"/>
  <c r="AF59" i="24"/>
  <c r="AF58" i="24"/>
  <c r="AF57" i="24"/>
  <c r="AF56" i="24"/>
  <c r="AF55" i="24"/>
  <c r="AF54" i="24"/>
  <c r="AF53" i="24"/>
  <c r="AF52" i="24"/>
  <c r="AF51" i="24"/>
  <c r="AF50" i="24"/>
  <c r="AF49" i="24"/>
  <c r="AF48" i="24"/>
  <c r="AF47" i="24"/>
  <c r="AF46" i="24"/>
  <c r="AF45" i="24"/>
  <c r="AF44" i="24"/>
  <c r="AF43" i="24"/>
  <c r="AF42" i="24"/>
  <c r="Q42" i="24"/>
  <c r="AF41" i="24"/>
  <c r="AF40" i="24"/>
  <c r="AF39" i="24"/>
  <c r="AF38" i="24"/>
  <c r="AF37" i="24"/>
  <c r="AF36" i="24"/>
  <c r="AF35" i="24"/>
  <c r="AA35" i="24"/>
  <c r="AF34" i="24"/>
  <c r="AA34" i="24"/>
  <c r="AF33" i="24"/>
  <c r="AA33" i="24"/>
  <c r="AF32" i="24"/>
  <c r="AA32" i="24"/>
  <c r="AF31" i="24"/>
  <c r="AF30" i="24"/>
  <c r="AF29" i="24"/>
  <c r="AA29" i="24"/>
  <c r="AF28" i="24"/>
  <c r="AA28" i="24"/>
  <c r="AF27" i="24"/>
  <c r="AA27" i="24"/>
  <c r="AF26" i="24"/>
  <c r="AA26" i="24"/>
  <c r="AF25" i="24"/>
  <c r="AF24" i="24"/>
  <c r="J24" i="24"/>
  <c r="K24" i="24" s="1"/>
  <c r="AF23" i="24"/>
  <c r="AA23" i="24"/>
  <c r="AF22" i="24"/>
  <c r="AA22" i="24"/>
  <c r="J22" i="24"/>
  <c r="K22" i="24" s="1"/>
  <c r="AF21" i="24"/>
  <c r="AA21" i="24"/>
  <c r="AF20" i="24"/>
  <c r="AA20" i="24"/>
  <c r="AF19" i="24"/>
  <c r="AF18" i="24"/>
  <c r="AF17" i="24"/>
  <c r="AA17" i="24"/>
  <c r="V17" i="24"/>
  <c r="T17" i="24"/>
  <c r="T20" i="24" s="1"/>
  <c r="S17" i="24"/>
  <c r="S20" i="24" s="1"/>
  <c r="R17" i="24"/>
  <c r="R20" i="24" s="1"/>
  <c r="Q17" i="24"/>
  <c r="P17" i="24"/>
  <c r="Y5" i="24" s="1"/>
  <c r="Z5" i="24" s="1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AF16" i="24"/>
  <c r="AA16" i="24"/>
  <c r="U16" i="24"/>
  <c r="AF15" i="24"/>
  <c r="AA15" i="24"/>
  <c r="U15" i="24"/>
  <c r="AF14" i="24"/>
  <c r="AA14" i="24"/>
  <c r="AA18" i="24" s="1"/>
  <c r="U14" i="24"/>
  <c r="AF13" i="24"/>
  <c r="U13" i="24"/>
  <c r="AF12" i="24"/>
  <c r="U12" i="24"/>
  <c r="AF11" i="24"/>
  <c r="U11" i="24"/>
  <c r="AF10" i="24"/>
  <c r="U10" i="24"/>
  <c r="AF9" i="24"/>
  <c r="U9" i="24"/>
  <c r="AF8" i="24"/>
  <c r="U8" i="24"/>
  <c r="AF7" i="24"/>
  <c r="U7" i="24"/>
  <c r="AF6" i="24"/>
  <c r="U6" i="24"/>
  <c r="AF5" i="24"/>
  <c r="U5" i="24"/>
  <c r="AF4" i="24"/>
  <c r="AF3" i="24"/>
  <c r="AF60" i="23"/>
  <c r="AF59" i="23"/>
  <c r="AF58" i="23"/>
  <c r="AF57" i="23"/>
  <c r="AF56" i="23"/>
  <c r="AF55" i="23"/>
  <c r="AF54" i="23"/>
  <c r="AF53" i="23"/>
  <c r="AF52" i="23"/>
  <c r="AF51" i="23"/>
  <c r="AF50" i="23"/>
  <c r="AF49" i="23"/>
  <c r="AF48" i="23"/>
  <c r="AF47" i="23"/>
  <c r="AF46" i="23"/>
  <c r="AF45" i="23"/>
  <c r="AF44" i="23"/>
  <c r="AF43" i="23"/>
  <c r="AF42" i="23"/>
  <c r="Q42" i="23"/>
  <c r="AF41" i="23"/>
  <c r="AF40" i="23"/>
  <c r="AF39" i="23"/>
  <c r="AF38" i="23"/>
  <c r="AF37" i="23"/>
  <c r="AF36" i="23"/>
  <c r="AF35" i="23"/>
  <c r="AF34" i="23"/>
  <c r="AF33" i="23"/>
  <c r="AF32" i="23"/>
  <c r="AF31" i="23"/>
  <c r="AF30" i="23"/>
  <c r="AF29" i="23"/>
  <c r="AF28" i="23"/>
  <c r="AF27" i="23"/>
  <c r="AF26" i="23"/>
  <c r="AF25" i="23"/>
  <c r="AF24" i="23"/>
  <c r="J24" i="23"/>
  <c r="K24" i="23" s="1"/>
  <c r="AF23" i="23"/>
  <c r="AF22" i="23"/>
  <c r="J22" i="23"/>
  <c r="K22" i="23" s="1"/>
  <c r="AF21" i="23"/>
  <c r="AF20" i="23"/>
  <c r="AF19" i="23"/>
  <c r="AF18" i="23"/>
  <c r="AF17" i="23"/>
  <c r="V17" i="23"/>
  <c r="D41" i="23" s="1"/>
  <c r="D44" i="23" s="1"/>
  <c r="T17" i="23"/>
  <c r="S17" i="23"/>
  <c r="S20" i="23" s="1"/>
  <c r="R17" i="23"/>
  <c r="Q17" i="23"/>
  <c r="P17" i="23"/>
  <c r="P20" i="23" s="1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AF16" i="23"/>
  <c r="U16" i="23"/>
  <c r="AF15" i="23"/>
  <c r="U15" i="23"/>
  <c r="AF14" i="23"/>
  <c r="U14" i="23"/>
  <c r="AF13" i="23"/>
  <c r="U13" i="23"/>
  <c r="AF12" i="23"/>
  <c r="U12" i="23"/>
  <c r="AF11" i="23"/>
  <c r="U11" i="23"/>
  <c r="AF10" i="23"/>
  <c r="U10" i="23"/>
  <c r="AF9" i="23"/>
  <c r="U9" i="23"/>
  <c r="AF8" i="23"/>
  <c r="Z8" i="23"/>
  <c r="Y8" i="23"/>
  <c r="U8" i="23"/>
  <c r="AF7" i="23"/>
  <c r="U7" i="23"/>
  <c r="AF6" i="23"/>
  <c r="U6" i="23"/>
  <c r="AF5" i="23"/>
  <c r="U5" i="23"/>
  <c r="AF4" i="23"/>
  <c r="AF3" i="23"/>
  <c r="Q42" i="22"/>
  <c r="AA35" i="22"/>
  <c r="AA34" i="22"/>
  <c r="AA33" i="22"/>
  <c r="AA32" i="22"/>
  <c r="AA29" i="22"/>
  <c r="AA28" i="22"/>
  <c r="AA27" i="22"/>
  <c r="AA26" i="22"/>
  <c r="AA30" i="22" s="1"/>
  <c r="J24" i="22"/>
  <c r="K24" i="22" s="1"/>
  <c r="AA23" i="22"/>
  <c r="AA22" i="22"/>
  <c r="K22" i="22"/>
  <c r="J22" i="22"/>
  <c r="AA21" i="22"/>
  <c r="AA20" i="22"/>
  <c r="AA17" i="22"/>
  <c r="V17" i="22"/>
  <c r="D41" i="22" s="1"/>
  <c r="D44" i="22" s="1"/>
  <c r="T17" i="22"/>
  <c r="Y8" i="22" s="1"/>
  <c r="S17" i="22"/>
  <c r="S20" i="22" s="1"/>
  <c r="R17" i="22"/>
  <c r="R20" i="22" s="1"/>
  <c r="Q17" i="22"/>
  <c r="P17" i="22"/>
  <c r="Y5" i="22" s="1"/>
  <c r="Z5" i="22" s="1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AA16" i="22"/>
  <c r="U16" i="22"/>
  <c r="AA15" i="22"/>
  <c r="U15" i="22"/>
  <c r="AA14" i="22"/>
  <c r="U14" i="22"/>
  <c r="U13" i="22"/>
  <c r="U12" i="22"/>
  <c r="U11" i="22"/>
  <c r="U10" i="22"/>
  <c r="U9" i="22"/>
  <c r="U8" i="22"/>
  <c r="U7" i="22"/>
  <c r="U6" i="22"/>
  <c r="U5" i="22"/>
  <c r="X8" i="3"/>
  <c r="X5" i="3"/>
  <c r="AF60" i="21"/>
  <c r="AF59" i="21"/>
  <c r="AF58" i="21"/>
  <c r="AF57" i="21"/>
  <c r="AF56" i="21"/>
  <c r="AF55" i="21"/>
  <c r="AF54" i="21"/>
  <c r="AF53" i="21"/>
  <c r="AF52" i="21"/>
  <c r="AF51" i="21"/>
  <c r="AF50" i="21"/>
  <c r="AF49" i="21"/>
  <c r="AF48" i="21"/>
  <c r="AF47" i="21"/>
  <c r="AF46" i="21"/>
  <c r="AF45" i="21"/>
  <c r="AF44" i="21"/>
  <c r="AF43" i="21"/>
  <c r="AF42" i="21"/>
  <c r="Q42" i="21"/>
  <c r="AF41" i="21"/>
  <c r="D41" i="21"/>
  <c r="D44" i="21" s="1"/>
  <c r="AF40" i="21"/>
  <c r="AF39" i="21"/>
  <c r="AF38" i="21"/>
  <c r="AF37" i="21"/>
  <c r="AF36" i="21"/>
  <c r="AF35" i="21"/>
  <c r="AF34" i="21"/>
  <c r="AF33" i="21"/>
  <c r="AF32" i="21"/>
  <c r="AF31" i="21"/>
  <c r="AF30" i="21"/>
  <c r="AF29" i="21"/>
  <c r="AF28" i="21"/>
  <c r="AF27" i="21"/>
  <c r="AF26" i="21"/>
  <c r="AF25" i="21"/>
  <c r="AF24" i="21"/>
  <c r="J24" i="21"/>
  <c r="K24" i="21" s="1"/>
  <c r="AF23" i="21"/>
  <c r="AF22" i="21"/>
  <c r="J22" i="21"/>
  <c r="K22" i="21" s="1"/>
  <c r="AF21" i="21"/>
  <c r="AF20" i="21"/>
  <c r="AF19" i="21"/>
  <c r="AF18" i="21"/>
  <c r="AF17" i="21"/>
  <c r="V17" i="21"/>
  <c r="T17" i="21"/>
  <c r="T20" i="21" s="1"/>
  <c r="S17" i="21"/>
  <c r="S20" i="21" s="1"/>
  <c r="R17" i="21"/>
  <c r="Q17" i="21"/>
  <c r="P17" i="21"/>
  <c r="Y5" i="21" s="1"/>
  <c r="Z5" i="21" s="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F16" i="21"/>
  <c r="U16" i="21"/>
  <c r="AF15" i="21"/>
  <c r="U15" i="21"/>
  <c r="AF14" i="21"/>
  <c r="U14" i="21"/>
  <c r="AF13" i="21"/>
  <c r="U13" i="21"/>
  <c r="AF12" i="21"/>
  <c r="U12" i="21"/>
  <c r="AF11" i="21"/>
  <c r="U11" i="21"/>
  <c r="AF10" i="21"/>
  <c r="U10" i="21"/>
  <c r="AF9" i="21"/>
  <c r="U9" i="21"/>
  <c r="AF8" i="21"/>
  <c r="Z8" i="21"/>
  <c r="Y8" i="21"/>
  <c r="U8" i="21"/>
  <c r="AF7" i="21"/>
  <c r="U7" i="21"/>
  <c r="AF6" i="21"/>
  <c r="U6" i="21"/>
  <c r="AF5" i="21"/>
  <c r="U5" i="21"/>
  <c r="AF4" i="21"/>
  <c r="AF3" i="21"/>
  <c r="Q42" i="20"/>
  <c r="AA35" i="20"/>
  <c r="AA34" i="20"/>
  <c r="AA33" i="20"/>
  <c r="AA32" i="20"/>
  <c r="AA29" i="20"/>
  <c r="AA28" i="20"/>
  <c r="AA27" i="20"/>
  <c r="AA26" i="20"/>
  <c r="AA30" i="20" s="1"/>
  <c r="J24" i="20"/>
  <c r="K24" i="20" s="1"/>
  <c r="AA23" i="20"/>
  <c r="AA22" i="20"/>
  <c r="K22" i="20"/>
  <c r="J22" i="20"/>
  <c r="AA21" i="20"/>
  <c r="AA20" i="20"/>
  <c r="AA17" i="20"/>
  <c r="V17" i="20"/>
  <c r="D41" i="20" s="1"/>
  <c r="D44" i="20" s="1"/>
  <c r="T17" i="20"/>
  <c r="T20" i="20" s="1"/>
  <c r="S17" i="20"/>
  <c r="S20" i="20" s="1"/>
  <c r="R17" i="20"/>
  <c r="Y6" i="20" s="1"/>
  <c r="Z6" i="20" s="1"/>
  <c r="Q17" i="20"/>
  <c r="P17" i="20"/>
  <c r="Y5" i="20" s="1"/>
  <c r="Z5" i="20" s="1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AA16" i="20"/>
  <c r="U16" i="20"/>
  <c r="AA15" i="20"/>
  <c r="U15" i="20"/>
  <c r="AA14" i="20"/>
  <c r="U14" i="20"/>
  <c r="U13" i="20"/>
  <c r="U12" i="20"/>
  <c r="U11" i="20"/>
  <c r="U10" i="20"/>
  <c r="U9" i="20"/>
  <c r="U8" i="20"/>
  <c r="U7" i="20"/>
  <c r="U6" i="20"/>
  <c r="U5" i="20"/>
  <c r="AF60" i="19"/>
  <c r="AF59" i="19"/>
  <c r="AF58" i="19"/>
  <c r="AF57" i="19"/>
  <c r="AF56" i="19"/>
  <c r="AF55" i="19"/>
  <c r="AF54" i="19"/>
  <c r="AF53" i="19"/>
  <c r="AF52" i="19"/>
  <c r="AF51" i="19"/>
  <c r="AF50" i="19"/>
  <c r="AF49" i="19"/>
  <c r="AF48" i="19"/>
  <c r="AF47" i="19"/>
  <c r="AF46" i="19"/>
  <c r="AF45" i="19"/>
  <c r="AF44" i="19"/>
  <c r="AF43" i="19"/>
  <c r="AF42" i="19"/>
  <c r="Q42" i="19"/>
  <c r="AF41" i="19"/>
  <c r="AF40" i="19"/>
  <c r="AF39" i="19"/>
  <c r="AF38" i="19"/>
  <c r="AF37" i="19"/>
  <c r="AF36" i="19"/>
  <c r="AF35" i="19"/>
  <c r="AF34" i="19"/>
  <c r="AF33" i="19"/>
  <c r="AF32" i="19"/>
  <c r="AF31" i="19"/>
  <c r="AF30" i="19"/>
  <c r="AF29" i="19"/>
  <c r="AF28" i="19"/>
  <c r="AF27" i="19"/>
  <c r="AF26" i="19"/>
  <c r="AF25" i="19"/>
  <c r="AF24" i="19"/>
  <c r="J24" i="19"/>
  <c r="K24" i="19" s="1"/>
  <c r="AF23" i="19"/>
  <c r="AF22" i="19"/>
  <c r="K22" i="19"/>
  <c r="J22" i="19"/>
  <c r="AF21" i="19"/>
  <c r="AF20" i="19"/>
  <c r="AF19" i="19"/>
  <c r="AF18" i="19"/>
  <c r="AF17" i="19"/>
  <c r="V17" i="19"/>
  <c r="D41" i="19" s="1"/>
  <c r="D44" i="19" s="1"/>
  <c r="T17" i="19"/>
  <c r="T20" i="19" s="1"/>
  <c r="S17" i="19"/>
  <c r="S20" i="19" s="1"/>
  <c r="R17" i="19"/>
  <c r="R20" i="19" s="1"/>
  <c r="Q17" i="19"/>
  <c r="P17" i="19"/>
  <c r="Y5" i="19" s="1"/>
  <c r="Z5" i="19" s="1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AF16" i="19"/>
  <c r="U16" i="19"/>
  <c r="AF15" i="19"/>
  <c r="U15" i="19"/>
  <c r="AF14" i="19"/>
  <c r="U14" i="19"/>
  <c r="AF13" i="19"/>
  <c r="U13" i="19"/>
  <c r="AF12" i="19"/>
  <c r="U12" i="19"/>
  <c r="AF11" i="19"/>
  <c r="U11" i="19"/>
  <c r="AF10" i="19"/>
  <c r="U10" i="19"/>
  <c r="AF9" i="19"/>
  <c r="U9" i="19"/>
  <c r="AF8" i="19"/>
  <c r="U8" i="19"/>
  <c r="AF7" i="19"/>
  <c r="U7" i="19"/>
  <c r="AF6" i="19"/>
  <c r="U6" i="19"/>
  <c r="AF5" i="19"/>
  <c r="U5" i="19"/>
  <c r="AF4" i="19"/>
  <c r="AF3" i="19"/>
  <c r="AF60" i="18"/>
  <c r="AF59" i="18"/>
  <c r="AF58" i="18"/>
  <c r="AF57" i="18"/>
  <c r="AF56" i="18"/>
  <c r="AF55" i="18"/>
  <c r="AF54" i="18"/>
  <c r="AF53" i="18"/>
  <c r="AF52" i="18"/>
  <c r="AF51" i="18"/>
  <c r="AF50" i="18"/>
  <c r="AF49" i="18"/>
  <c r="AF48" i="18"/>
  <c r="AF47" i="18"/>
  <c r="AF46" i="18"/>
  <c r="AF45" i="18"/>
  <c r="AF44" i="18"/>
  <c r="AF43" i="18"/>
  <c r="AF42" i="18"/>
  <c r="Q42" i="18"/>
  <c r="AF41" i="18"/>
  <c r="AF40" i="18"/>
  <c r="AF39" i="18"/>
  <c r="AF38" i="18"/>
  <c r="AF37" i="18"/>
  <c r="AF36" i="18"/>
  <c r="AF35" i="18"/>
  <c r="AA35" i="18"/>
  <c r="AF34" i="18"/>
  <c r="AA34" i="18"/>
  <c r="AF33" i="18"/>
  <c r="AA33" i="18"/>
  <c r="AF32" i="18"/>
  <c r="AA32" i="18"/>
  <c r="AA36" i="18" s="1"/>
  <c r="AF31" i="18"/>
  <c r="AF30" i="18"/>
  <c r="AF29" i="18"/>
  <c r="AA29" i="18"/>
  <c r="AF28" i="18"/>
  <c r="AA28" i="18"/>
  <c r="AF27" i="18"/>
  <c r="AA27" i="18"/>
  <c r="AF26" i="18"/>
  <c r="AA26" i="18"/>
  <c r="AF25" i="18"/>
  <c r="AF24" i="18"/>
  <c r="J24" i="18"/>
  <c r="K24" i="18" s="1"/>
  <c r="AF23" i="18"/>
  <c r="AA23" i="18"/>
  <c r="AF22" i="18"/>
  <c r="AA22" i="18"/>
  <c r="J22" i="18"/>
  <c r="K22" i="18" s="1"/>
  <c r="AF21" i="18"/>
  <c r="AA21" i="18"/>
  <c r="AF20" i="18"/>
  <c r="AA20" i="18"/>
  <c r="AF19" i="18"/>
  <c r="AF18" i="18"/>
  <c r="AF17" i="18"/>
  <c r="AA17" i="18"/>
  <c r="V17" i="18"/>
  <c r="D41" i="18" s="1"/>
  <c r="D44" i="18" s="1"/>
  <c r="T17" i="18"/>
  <c r="T20" i="18" s="1"/>
  <c r="S17" i="18"/>
  <c r="S20" i="18" s="1"/>
  <c r="R17" i="18"/>
  <c r="Q17" i="18"/>
  <c r="P17" i="18"/>
  <c r="Y5" i="18" s="1"/>
  <c r="Z5" i="18" s="1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AF16" i="18"/>
  <c r="AA16" i="18"/>
  <c r="U16" i="18"/>
  <c r="AF15" i="18"/>
  <c r="AA15" i="18"/>
  <c r="U15" i="18"/>
  <c r="AF14" i="18"/>
  <c r="AA14" i="18"/>
  <c r="U14" i="18"/>
  <c r="AF13" i="18"/>
  <c r="U13" i="18"/>
  <c r="AF12" i="18"/>
  <c r="U12" i="18"/>
  <c r="AF11" i="18"/>
  <c r="U11" i="18"/>
  <c r="AF10" i="18"/>
  <c r="U10" i="18"/>
  <c r="AF9" i="18"/>
  <c r="U9" i="18"/>
  <c r="AF8" i="18"/>
  <c r="U8" i="18"/>
  <c r="AF7" i="18"/>
  <c r="U7" i="18"/>
  <c r="AF6" i="18"/>
  <c r="U6" i="18"/>
  <c r="AF5" i="18"/>
  <c r="U5" i="18"/>
  <c r="AF4" i="18"/>
  <c r="AF3" i="18"/>
  <c r="AF60" i="17"/>
  <c r="AF59" i="17"/>
  <c r="AF58" i="17"/>
  <c r="AF57" i="17"/>
  <c r="AF56" i="17"/>
  <c r="AF55" i="17"/>
  <c r="AF54" i="17"/>
  <c r="AF53" i="17"/>
  <c r="AF52" i="17"/>
  <c r="AF51" i="17"/>
  <c r="AF50" i="17"/>
  <c r="AF49" i="17"/>
  <c r="AF48" i="17"/>
  <c r="AF47" i="17"/>
  <c r="AF46" i="17"/>
  <c r="AF45" i="17"/>
  <c r="AF44" i="17"/>
  <c r="AF43" i="17"/>
  <c r="AF42" i="17"/>
  <c r="Q42" i="17"/>
  <c r="AF41" i="17"/>
  <c r="AF40" i="17"/>
  <c r="AF39" i="17"/>
  <c r="AF38" i="17"/>
  <c r="AF37" i="17"/>
  <c r="AF36" i="17"/>
  <c r="AF35" i="17"/>
  <c r="AF34" i="17"/>
  <c r="AF33" i="17"/>
  <c r="AF32" i="17"/>
  <c r="AF31" i="17"/>
  <c r="AF30" i="17"/>
  <c r="AF29" i="17"/>
  <c r="AA29" i="17"/>
  <c r="AF28" i="17"/>
  <c r="AA28" i="17"/>
  <c r="AF27" i="17"/>
  <c r="AA27" i="17"/>
  <c r="AF26" i="17"/>
  <c r="AA26" i="17"/>
  <c r="AF25" i="17"/>
  <c r="AF24" i="17"/>
  <c r="J24" i="17"/>
  <c r="K24" i="17" s="1"/>
  <c r="AF23" i="17"/>
  <c r="AA23" i="17"/>
  <c r="AF22" i="17"/>
  <c r="AA22" i="17"/>
  <c r="J22" i="17"/>
  <c r="K22" i="17" s="1"/>
  <c r="AF21" i="17"/>
  <c r="AA21" i="17"/>
  <c r="AF20" i="17"/>
  <c r="AA20" i="17"/>
  <c r="AF19" i="17"/>
  <c r="AF18" i="17"/>
  <c r="AF17" i="17"/>
  <c r="AA17" i="17"/>
  <c r="V17" i="17"/>
  <c r="D41" i="17" s="1"/>
  <c r="D44" i="17" s="1"/>
  <c r="T17" i="17"/>
  <c r="T20" i="17" s="1"/>
  <c r="S17" i="17"/>
  <c r="S20" i="17" s="1"/>
  <c r="R17" i="17"/>
  <c r="R20" i="17" s="1"/>
  <c r="Q17" i="17"/>
  <c r="P17" i="17"/>
  <c r="Y5" i="17" s="1"/>
  <c r="Z5" i="17" s="1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F16" i="17"/>
  <c r="AA16" i="17"/>
  <c r="U16" i="17"/>
  <c r="AF15" i="17"/>
  <c r="AA15" i="17"/>
  <c r="U15" i="17"/>
  <c r="AF14" i="17"/>
  <c r="AA14" i="17"/>
  <c r="U14" i="17"/>
  <c r="AF13" i="17"/>
  <c r="U13" i="17"/>
  <c r="AF12" i="17"/>
  <c r="U12" i="17"/>
  <c r="AF11" i="17"/>
  <c r="U11" i="17"/>
  <c r="AF10" i="17"/>
  <c r="U10" i="17"/>
  <c r="AF9" i="17"/>
  <c r="U9" i="17"/>
  <c r="AF8" i="17"/>
  <c r="U8" i="17"/>
  <c r="AF7" i="17"/>
  <c r="U7" i="17"/>
  <c r="AF6" i="17"/>
  <c r="U6" i="17"/>
  <c r="AF5" i="17"/>
  <c r="U5" i="17"/>
  <c r="AF4" i="17"/>
  <c r="AF3" i="17"/>
  <c r="Q42" i="16"/>
  <c r="AA35" i="16"/>
  <c r="AA34" i="16"/>
  <c r="AA33" i="16"/>
  <c r="AA32" i="16"/>
  <c r="AA29" i="16"/>
  <c r="AA28" i="16"/>
  <c r="AA27" i="16"/>
  <c r="AA26" i="16"/>
  <c r="AA30" i="16" s="1"/>
  <c r="J24" i="16"/>
  <c r="K24" i="16" s="1"/>
  <c r="AA23" i="16"/>
  <c r="AA22" i="16"/>
  <c r="J22" i="16"/>
  <c r="K22" i="16" s="1"/>
  <c r="AA21" i="16"/>
  <c r="AA20" i="16"/>
  <c r="AA17" i="16"/>
  <c r="V17" i="16"/>
  <c r="D41" i="16" s="1"/>
  <c r="D44" i="16" s="1"/>
  <c r="T17" i="16"/>
  <c r="Z8" i="16" s="1"/>
  <c r="S17" i="16"/>
  <c r="S20" i="16" s="1"/>
  <c r="R17" i="16"/>
  <c r="R20" i="16" s="1"/>
  <c r="Q17" i="16"/>
  <c r="P17" i="16"/>
  <c r="Y5" i="16" s="1"/>
  <c r="Z5" i="16" s="1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AA16" i="16"/>
  <c r="AA18" i="16" s="1"/>
  <c r="U16" i="16"/>
  <c r="AA15" i="16"/>
  <c r="U15" i="16"/>
  <c r="AA14" i="16"/>
  <c r="U14" i="16"/>
  <c r="U13" i="16"/>
  <c r="U12" i="16"/>
  <c r="U11" i="16"/>
  <c r="U10" i="16"/>
  <c r="U9" i="16"/>
  <c r="U8" i="16"/>
  <c r="U7" i="16"/>
  <c r="U6" i="16"/>
  <c r="U5" i="16"/>
  <c r="AF60" i="15"/>
  <c r="AF59" i="15"/>
  <c r="AF58" i="15"/>
  <c r="AF57" i="15"/>
  <c r="AF56" i="15"/>
  <c r="AF55" i="15"/>
  <c r="AF54" i="15"/>
  <c r="AF53" i="15"/>
  <c r="AF52" i="15"/>
  <c r="AF51" i="15"/>
  <c r="AF50" i="15"/>
  <c r="AF49" i="15"/>
  <c r="AF48" i="15"/>
  <c r="AF47" i="15"/>
  <c r="AF46" i="15"/>
  <c r="AF45" i="15"/>
  <c r="AF44" i="15"/>
  <c r="AF43" i="15"/>
  <c r="AF42" i="15"/>
  <c r="Q42" i="15"/>
  <c r="AF41" i="15"/>
  <c r="AF40" i="15"/>
  <c r="AF39" i="15"/>
  <c r="AF38" i="15"/>
  <c r="AF37" i="15"/>
  <c r="AF36" i="15"/>
  <c r="AF35" i="15"/>
  <c r="AA35" i="15"/>
  <c r="AF34" i="15"/>
  <c r="AA34" i="15"/>
  <c r="AF33" i="15"/>
  <c r="AA33" i="15"/>
  <c r="AF32" i="15"/>
  <c r="AA32" i="15"/>
  <c r="AA36" i="15" s="1"/>
  <c r="AF31" i="15"/>
  <c r="AF30" i="15"/>
  <c r="AF29" i="15"/>
  <c r="AA29" i="15"/>
  <c r="AF28" i="15"/>
  <c r="AA28" i="15"/>
  <c r="AF27" i="15"/>
  <c r="AA27" i="15"/>
  <c r="AF26" i="15"/>
  <c r="AA26" i="15"/>
  <c r="AF25" i="15"/>
  <c r="AF24" i="15"/>
  <c r="J24" i="15"/>
  <c r="K24" i="15" s="1"/>
  <c r="AF23" i="15"/>
  <c r="AA23" i="15"/>
  <c r="AF22" i="15"/>
  <c r="AA22" i="15"/>
  <c r="J22" i="15"/>
  <c r="K22" i="15" s="1"/>
  <c r="AF21" i="15"/>
  <c r="AA21" i="15"/>
  <c r="AF20" i="15"/>
  <c r="AA20" i="15"/>
  <c r="AF19" i="15"/>
  <c r="AF18" i="15"/>
  <c r="AF17" i="15"/>
  <c r="AA17" i="15"/>
  <c r="V17" i="15"/>
  <c r="D41" i="15" s="1"/>
  <c r="D44" i="15" s="1"/>
  <c r="T17" i="15"/>
  <c r="T20" i="15" s="1"/>
  <c r="S17" i="15"/>
  <c r="S20" i="15" s="1"/>
  <c r="R17" i="15"/>
  <c r="R20" i="15" s="1"/>
  <c r="Q17" i="15"/>
  <c r="P17" i="15"/>
  <c r="P20" i="15" s="1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F16" i="15"/>
  <c r="AA16" i="15"/>
  <c r="U16" i="15"/>
  <c r="AF15" i="15"/>
  <c r="AA15" i="15"/>
  <c r="U15" i="15"/>
  <c r="AF14" i="15"/>
  <c r="AA14" i="15"/>
  <c r="AA18" i="15" s="1"/>
  <c r="U14" i="15"/>
  <c r="AF13" i="15"/>
  <c r="U13" i="15"/>
  <c r="AF12" i="15"/>
  <c r="U12" i="15"/>
  <c r="AF11" i="15"/>
  <c r="U11" i="15"/>
  <c r="AF10" i="15"/>
  <c r="U10" i="15"/>
  <c r="AF9" i="15"/>
  <c r="U9" i="15"/>
  <c r="AF8" i="15"/>
  <c r="U8" i="15"/>
  <c r="AF7" i="15"/>
  <c r="U7" i="15"/>
  <c r="AF6" i="15"/>
  <c r="U6" i="15"/>
  <c r="AF5" i="15"/>
  <c r="U5" i="15"/>
  <c r="AF4" i="15"/>
  <c r="AF3" i="15"/>
  <c r="AA36" i="35" l="1"/>
  <c r="AA30" i="35"/>
  <c r="Y5" i="35"/>
  <c r="Z5" i="35" s="1"/>
  <c r="Y8" i="35"/>
  <c r="Z8" i="35"/>
  <c r="U17" i="35"/>
  <c r="Y8" i="34"/>
  <c r="Z8" i="34"/>
  <c r="Y7" i="34"/>
  <c r="Z7" i="34" s="1"/>
  <c r="Y5" i="34"/>
  <c r="Z5" i="34" s="1"/>
  <c r="AA30" i="33"/>
  <c r="AA24" i="33"/>
  <c r="Y8" i="33"/>
  <c r="Z8" i="33"/>
  <c r="P20" i="33"/>
  <c r="Y5" i="31"/>
  <c r="Z5" i="31" s="1"/>
  <c r="Y7" i="31"/>
  <c r="Z7" i="31" s="1"/>
  <c r="AA36" i="30"/>
  <c r="AA24" i="30"/>
  <c r="Y8" i="30"/>
  <c r="Z8" i="30"/>
  <c r="Y5" i="30"/>
  <c r="Z5" i="30" s="1"/>
  <c r="Z8" i="29"/>
  <c r="Y8" i="29"/>
  <c r="P20" i="29"/>
  <c r="Y7" i="29"/>
  <c r="Z7" i="29" s="1"/>
  <c r="Z9" i="29" s="1"/>
  <c r="AA36" i="28"/>
  <c r="AA30" i="28"/>
  <c r="AA24" i="28"/>
  <c r="Y8" i="28"/>
  <c r="AA18" i="28"/>
  <c r="T20" i="28"/>
  <c r="Y8" i="27"/>
  <c r="Z8" i="27"/>
  <c r="Y5" i="27"/>
  <c r="Z5" i="27" s="1"/>
  <c r="Y7" i="27"/>
  <c r="Z7" i="27" s="1"/>
  <c r="AA36" i="26"/>
  <c r="AA30" i="26"/>
  <c r="AA24" i="26"/>
  <c r="AA18" i="26"/>
  <c r="Z8" i="26"/>
  <c r="Y8" i="26"/>
  <c r="P20" i="26"/>
  <c r="Y6" i="25"/>
  <c r="Z6" i="25" s="1"/>
  <c r="Y8" i="25"/>
  <c r="Z8" i="25"/>
  <c r="Y7" i="25"/>
  <c r="Z7" i="25" s="1"/>
  <c r="D41" i="24"/>
  <c r="D44" i="24" s="1"/>
  <c r="AA36" i="24"/>
  <c r="Z8" i="24"/>
  <c r="Y8" i="24"/>
  <c r="Y5" i="23"/>
  <c r="Z5" i="23" s="1"/>
  <c r="Y7" i="23"/>
  <c r="Z7" i="23" s="1"/>
  <c r="T20" i="22"/>
  <c r="AA36" i="22"/>
  <c r="AA18" i="22"/>
  <c r="Z8" i="22"/>
  <c r="P20" i="21"/>
  <c r="U17" i="21"/>
  <c r="Y7" i="21"/>
  <c r="Z7" i="21" s="1"/>
  <c r="AA36" i="20"/>
  <c r="AA24" i="20"/>
  <c r="P20" i="20"/>
  <c r="Z8" i="20"/>
  <c r="Y8" i="20"/>
  <c r="Y7" i="19"/>
  <c r="Z7" i="19" s="1"/>
  <c r="Y6" i="19"/>
  <c r="Z6" i="19" s="1"/>
  <c r="Y8" i="19"/>
  <c r="Z8" i="19"/>
  <c r="U17" i="19"/>
  <c r="AA30" i="18"/>
  <c r="AA24" i="18"/>
  <c r="AA18" i="18"/>
  <c r="Y8" i="18"/>
  <c r="P20" i="18"/>
  <c r="Z8" i="18"/>
  <c r="P20" i="17"/>
  <c r="U20" i="17" s="1"/>
  <c r="U17" i="18"/>
  <c r="U17" i="23"/>
  <c r="U17" i="27"/>
  <c r="U17" i="30"/>
  <c r="U17" i="34"/>
  <c r="Z8" i="17"/>
  <c r="Y8" i="17"/>
  <c r="Y7" i="17"/>
  <c r="Z7" i="17" s="1"/>
  <c r="Y6" i="17"/>
  <c r="Z6" i="17" s="1"/>
  <c r="U17" i="17"/>
  <c r="AA36" i="16"/>
  <c r="T20" i="16"/>
  <c r="AA24" i="16"/>
  <c r="Y8" i="16"/>
  <c r="AA24" i="15"/>
  <c r="Y7" i="15"/>
  <c r="Z7" i="15" s="1"/>
  <c r="Y5" i="15"/>
  <c r="Z5" i="15" s="1"/>
  <c r="Z8" i="15"/>
  <c r="Y6" i="15"/>
  <c r="Z6" i="15" s="1"/>
  <c r="U20" i="15"/>
  <c r="AA18" i="20"/>
  <c r="Y6" i="21"/>
  <c r="Z6" i="21" s="1"/>
  <c r="Y6" i="23"/>
  <c r="Z6" i="23" s="1"/>
  <c r="Y7" i="35"/>
  <c r="Z7" i="35" s="1"/>
  <c r="R20" i="35"/>
  <c r="U20" i="35" s="1"/>
  <c r="R20" i="34"/>
  <c r="U20" i="34" s="1"/>
  <c r="U17" i="33"/>
  <c r="R20" i="33"/>
  <c r="Y7" i="33"/>
  <c r="Z7" i="33" s="1"/>
  <c r="R20" i="31"/>
  <c r="U20" i="31" s="1"/>
  <c r="U17" i="31"/>
  <c r="Y7" i="30"/>
  <c r="Z7" i="30" s="1"/>
  <c r="R20" i="30"/>
  <c r="U20" i="30" s="1"/>
  <c r="Y6" i="30"/>
  <c r="Z6" i="30" s="1"/>
  <c r="U17" i="29"/>
  <c r="R20" i="29"/>
  <c r="Y6" i="28"/>
  <c r="Z6" i="28" s="1"/>
  <c r="P20" i="28"/>
  <c r="U17" i="28"/>
  <c r="Y7" i="28"/>
  <c r="Z7" i="28" s="1"/>
  <c r="R20" i="27"/>
  <c r="U20" i="27" s="1"/>
  <c r="U17" i="26"/>
  <c r="R20" i="26"/>
  <c r="Y7" i="26"/>
  <c r="Z7" i="26" s="1"/>
  <c r="U20" i="25"/>
  <c r="Z9" i="25"/>
  <c r="U17" i="25"/>
  <c r="Y6" i="24"/>
  <c r="Z6" i="24" s="1"/>
  <c r="P20" i="24"/>
  <c r="U20" i="24" s="1"/>
  <c r="U17" i="24"/>
  <c r="Y7" i="24"/>
  <c r="Z7" i="24" s="1"/>
  <c r="R20" i="23"/>
  <c r="T20" i="23"/>
  <c r="Y6" i="22"/>
  <c r="Z6" i="22" s="1"/>
  <c r="P20" i="22"/>
  <c r="U17" i="22"/>
  <c r="Y7" i="22"/>
  <c r="Z7" i="22" s="1"/>
  <c r="R20" i="21"/>
  <c r="U17" i="20"/>
  <c r="R20" i="20"/>
  <c r="Y7" i="20"/>
  <c r="Z7" i="20" s="1"/>
  <c r="Z9" i="20" s="1"/>
  <c r="P20" i="19"/>
  <c r="U20" i="19" s="1"/>
  <c r="Y6" i="18"/>
  <c r="Z6" i="18" s="1"/>
  <c r="Y7" i="18"/>
  <c r="Z7" i="18" s="1"/>
  <c r="R20" i="18"/>
  <c r="U20" i="18" s="1"/>
  <c r="Y6" i="16"/>
  <c r="Z6" i="16" s="1"/>
  <c r="U17" i="16"/>
  <c r="P20" i="16"/>
  <c r="Y7" i="16"/>
  <c r="Z7" i="16" s="1"/>
  <c r="U17" i="15"/>
  <c r="U19" i="35" l="1"/>
  <c r="P21" i="35" s="1"/>
  <c r="Z9" i="35"/>
  <c r="Z9" i="34"/>
  <c r="U19" i="34"/>
  <c r="P21" i="34" s="1"/>
  <c r="U20" i="33"/>
  <c r="Z9" i="33"/>
  <c r="Z9" i="31"/>
  <c r="U19" i="30"/>
  <c r="P21" i="30" s="1"/>
  <c r="Z9" i="30"/>
  <c r="U20" i="29"/>
  <c r="U19" i="29" s="1"/>
  <c r="P21" i="29" s="1"/>
  <c r="Z9" i="28"/>
  <c r="U20" i="28"/>
  <c r="U19" i="28" s="1"/>
  <c r="P21" i="28" s="1"/>
  <c r="Z9" i="27"/>
  <c r="U19" i="27"/>
  <c r="P21" i="27" s="1"/>
  <c r="Z9" i="26"/>
  <c r="U20" i="26"/>
  <c r="U19" i="26" s="1"/>
  <c r="P21" i="26" s="1"/>
  <c r="Z9" i="24"/>
  <c r="Z9" i="23"/>
  <c r="U20" i="23"/>
  <c r="U19" i="23" s="1"/>
  <c r="P21" i="23" s="1"/>
  <c r="U20" i="22"/>
  <c r="U19" i="22" s="1"/>
  <c r="P21" i="22" s="1"/>
  <c r="Z9" i="22"/>
  <c r="U20" i="21"/>
  <c r="U19" i="21" s="1"/>
  <c r="P21" i="21" s="1"/>
  <c r="Z9" i="21"/>
  <c r="U20" i="20"/>
  <c r="U19" i="20" s="1"/>
  <c r="P21" i="20" s="1"/>
  <c r="Z9" i="19"/>
  <c r="U19" i="19"/>
  <c r="P21" i="19" s="1"/>
  <c r="U19" i="18"/>
  <c r="P21" i="18" s="1"/>
  <c r="Z9" i="18"/>
  <c r="Z9" i="17"/>
  <c r="U19" i="17"/>
  <c r="P21" i="17" s="1"/>
  <c r="U20" i="16"/>
  <c r="U19" i="16" s="1"/>
  <c r="P21" i="16" s="1"/>
  <c r="Z9" i="16"/>
  <c r="Z9" i="15"/>
  <c r="U19" i="33"/>
  <c r="P21" i="33" s="1"/>
  <c r="U19" i="31"/>
  <c r="P21" i="31" s="1"/>
  <c r="U19" i="25"/>
  <c r="P21" i="25" s="1"/>
  <c r="U19" i="15"/>
  <c r="P21" i="15" s="1"/>
  <c r="X7" i="1"/>
  <c r="AA17" i="2" l="1"/>
  <c r="AA16" i="2"/>
  <c r="AA15" i="2"/>
  <c r="AA14" i="2"/>
  <c r="AF60" i="14"/>
  <c r="AF59" i="14"/>
  <c r="AF58" i="14"/>
  <c r="AF57" i="14"/>
  <c r="AF56" i="14"/>
  <c r="AF55" i="14"/>
  <c r="AF54" i="14"/>
  <c r="AF53" i="14"/>
  <c r="AF52" i="14"/>
  <c r="AF51" i="14"/>
  <c r="AF50" i="14"/>
  <c r="AF49" i="14"/>
  <c r="AF48" i="14"/>
  <c r="AF47" i="14"/>
  <c r="AF46" i="14"/>
  <c r="AF45" i="14"/>
  <c r="AF44" i="14"/>
  <c r="AF43" i="14"/>
  <c r="AF42" i="14"/>
  <c r="Q42" i="14"/>
  <c r="AF41" i="14"/>
  <c r="AF40" i="14"/>
  <c r="AF39" i="14"/>
  <c r="AF38" i="14"/>
  <c r="AF37" i="14"/>
  <c r="AF36" i="14"/>
  <c r="AF35" i="14"/>
  <c r="AA35" i="14"/>
  <c r="AF34" i="14"/>
  <c r="AA34" i="14"/>
  <c r="AF33" i="14"/>
  <c r="AA33" i="14"/>
  <c r="AF32" i="14"/>
  <c r="AA32" i="14"/>
  <c r="AF31" i="14"/>
  <c r="AF30" i="14"/>
  <c r="AF29" i="14"/>
  <c r="AA29" i="14"/>
  <c r="AF28" i="14"/>
  <c r="AA28" i="14"/>
  <c r="AF27" i="14"/>
  <c r="AA27" i="14"/>
  <c r="AF26" i="14"/>
  <c r="AA26" i="14"/>
  <c r="AA30" i="14" s="1"/>
  <c r="AF25" i="14"/>
  <c r="AF24" i="14"/>
  <c r="J24" i="14"/>
  <c r="K24" i="14" s="1"/>
  <c r="AF23" i="14"/>
  <c r="AA23" i="14"/>
  <c r="AF22" i="14"/>
  <c r="AA22" i="14"/>
  <c r="K22" i="14"/>
  <c r="J22" i="14"/>
  <c r="AF21" i="14"/>
  <c r="AA21" i="14"/>
  <c r="AF20" i="14"/>
  <c r="AA20" i="14"/>
  <c r="AF19" i="14"/>
  <c r="AF18" i="14"/>
  <c r="AF17" i="14"/>
  <c r="AA17" i="14"/>
  <c r="V17" i="14"/>
  <c r="D41" i="14" s="1"/>
  <c r="D44" i="14" s="1"/>
  <c r="T17" i="14"/>
  <c r="T20" i="14" s="1"/>
  <c r="S17" i="14"/>
  <c r="S20" i="14" s="1"/>
  <c r="R17" i="14"/>
  <c r="R20" i="14" s="1"/>
  <c r="Q17" i="14"/>
  <c r="P17" i="14"/>
  <c r="Y5" i="14" s="1"/>
  <c r="Z5" i="14" s="1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F16" i="14"/>
  <c r="AA16" i="14"/>
  <c r="U16" i="14"/>
  <c r="AF15" i="14"/>
  <c r="AA15" i="14"/>
  <c r="U15" i="14"/>
  <c r="AF14" i="14"/>
  <c r="AA14" i="14"/>
  <c r="U14" i="14"/>
  <c r="AF13" i="14"/>
  <c r="U13" i="14"/>
  <c r="AF12" i="14"/>
  <c r="U12" i="14"/>
  <c r="AF11" i="14"/>
  <c r="U11" i="14"/>
  <c r="AF10" i="14"/>
  <c r="U10" i="14"/>
  <c r="AF9" i="14"/>
  <c r="U9" i="14"/>
  <c r="AF8" i="14"/>
  <c r="U8" i="14"/>
  <c r="AF7" i="14"/>
  <c r="U7" i="14"/>
  <c r="AF6" i="14"/>
  <c r="U6" i="14"/>
  <c r="AF5" i="14"/>
  <c r="U5" i="14"/>
  <c r="AF4" i="14"/>
  <c r="AF3" i="14"/>
  <c r="Q42" i="13"/>
  <c r="AA35" i="13"/>
  <c r="AA34" i="13"/>
  <c r="AA33" i="13"/>
  <c r="AA32" i="13"/>
  <c r="AA29" i="13"/>
  <c r="AA28" i="13"/>
  <c r="AA27" i="13"/>
  <c r="AA26" i="13"/>
  <c r="J24" i="13"/>
  <c r="K24" i="13" s="1"/>
  <c r="AA23" i="13"/>
  <c r="AA22" i="13"/>
  <c r="J22" i="13"/>
  <c r="K22" i="13" s="1"/>
  <c r="AA21" i="13"/>
  <c r="AA20" i="13"/>
  <c r="AA17" i="13"/>
  <c r="V17" i="13"/>
  <c r="D41" i="13" s="1"/>
  <c r="D44" i="13" s="1"/>
  <c r="T17" i="13"/>
  <c r="T20" i="13" s="1"/>
  <c r="S17" i="13"/>
  <c r="S20" i="13" s="1"/>
  <c r="R17" i="13"/>
  <c r="R20" i="13" s="1"/>
  <c r="Q17" i="13"/>
  <c r="P17" i="13"/>
  <c r="P20" i="13" s="1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A16" i="13"/>
  <c r="U16" i="13"/>
  <c r="AA15" i="13"/>
  <c r="U15" i="13"/>
  <c r="AA14" i="13"/>
  <c r="AA18" i="13" s="1"/>
  <c r="U14" i="13"/>
  <c r="U13" i="13"/>
  <c r="U12" i="13"/>
  <c r="U11" i="13"/>
  <c r="U10" i="13"/>
  <c r="U9" i="13"/>
  <c r="U8" i="13"/>
  <c r="U7" i="13"/>
  <c r="U6" i="13"/>
  <c r="U5" i="13"/>
  <c r="AF60" i="12"/>
  <c r="AF59" i="12"/>
  <c r="AF58" i="12"/>
  <c r="AF57" i="12"/>
  <c r="AF56" i="12"/>
  <c r="AF55" i="12"/>
  <c r="AF54" i="12"/>
  <c r="AF53" i="12"/>
  <c r="AF52" i="12"/>
  <c r="AF51" i="12"/>
  <c r="AF50" i="12"/>
  <c r="AF49" i="12"/>
  <c r="AF48" i="12"/>
  <c r="AF47" i="12"/>
  <c r="AF46" i="12"/>
  <c r="AF45" i="12"/>
  <c r="AF44" i="12"/>
  <c r="AF43" i="12"/>
  <c r="AF42" i="12"/>
  <c r="Q42" i="12"/>
  <c r="AF41" i="12"/>
  <c r="AF40" i="12"/>
  <c r="AF39" i="12"/>
  <c r="AF38" i="12"/>
  <c r="AF37" i="12"/>
  <c r="AF36" i="12"/>
  <c r="AF35" i="12"/>
  <c r="AA35" i="12"/>
  <c r="AF34" i="12"/>
  <c r="AA34" i="12"/>
  <c r="AF33" i="12"/>
  <c r="AA33" i="12"/>
  <c r="AF32" i="12"/>
  <c r="AA32" i="12"/>
  <c r="AF31" i="12"/>
  <c r="AF30" i="12"/>
  <c r="AF29" i="12"/>
  <c r="AA29" i="12"/>
  <c r="AF28" i="12"/>
  <c r="AA28" i="12"/>
  <c r="AF27" i="12"/>
  <c r="AA27" i="12"/>
  <c r="AF26" i="12"/>
  <c r="AA26" i="12"/>
  <c r="AA30" i="12" s="1"/>
  <c r="AF25" i="12"/>
  <c r="AF24" i="12"/>
  <c r="J24" i="12"/>
  <c r="K24" i="12" s="1"/>
  <c r="AF23" i="12"/>
  <c r="AA23" i="12"/>
  <c r="AF22" i="12"/>
  <c r="AA22" i="12"/>
  <c r="J22" i="12"/>
  <c r="K22" i="12" s="1"/>
  <c r="AF21" i="12"/>
  <c r="AA21" i="12"/>
  <c r="AF20" i="12"/>
  <c r="AA20" i="12"/>
  <c r="AF19" i="12"/>
  <c r="AF18" i="12"/>
  <c r="AF17" i="12"/>
  <c r="AA17" i="12"/>
  <c r="V17" i="12"/>
  <c r="D41" i="12" s="1"/>
  <c r="D44" i="12" s="1"/>
  <c r="T17" i="12"/>
  <c r="T20" i="12" s="1"/>
  <c r="S17" i="12"/>
  <c r="S20" i="12" s="1"/>
  <c r="R17" i="12"/>
  <c r="Q17" i="12"/>
  <c r="P17" i="12"/>
  <c r="Y5" i="12" s="1"/>
  <c r="Z5" i="12" s="1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F16" i="12"/>
  <c r="AA16" i="12"/>
  <c r="U16" i="12"/>
  <c r="AF15" i="12"/>
  <c r="AA15" i="12"/>
  <c r="U15" i="12"/>
  <c r="AF14" i="12"/>
  <c r="AA14" i="12"/>
  <c r="U14" i="12"/>
  <c r="AF13" i="12"/>
  <c r="U13" i="12"/>
  <c r="AF12" i="12"/>
  <c r="U12" i="12"/>
  <c r="AF11" i="12"/>
  <c r="U11" i="12"/>
  <c r="AF10" i="12"/>
  <c r="U10" i="12"/>
  <c r="AF9" i="12"/>
  <c r="U9" i="12"/>
  <c r="AF8" i="12"/>
  <c r="U8" i="12"/>
  <c r="AF7" i="12"/>
  <c r="U7" i="12"/>
  <c r="AF6" i="12"/>
  <c r="U6" i="12"/>
  <c r="AF5" i="12"/>
  <c r="U5" i="12"/>
  <c r="AF4" i="12"/>
  <c r="AF3" i="12"/>
  <c r="AF60" i="11"/>
  <c r="AF59" i="11"/>
  <c r="AF58" i="11"/>
  <c r="AF57" i="11"/>
  <c r="AF56" i="11"/>
  <c r="AF55" i="11"/>
  <c r="AF54" i="11"/>
  <c r="AF53" i="11"/>
  <c r="AF52" i="11"/>
  <c r="AF51" i="11"/>
  <c r="AF50" i="11"/>
  <c r="AF49" i="11"/>
  <c r="AF48" i="11"/>
  <c r="AF47" i="11"/>
  <c r="AF46" i="11"/>
  <c r="AF45" i="11"/>
  <c r="AF44" i="11"/>
  <c r="AF43" i="11"/>
  <c r="AF42" i="11"/>
  <c r="Q42" i="11"/>
  <c r="AF41" i="11"/>
  <c r="AF40" i="11"/>
  <c r="AF39" i="11"/>
  <c r="AF38" i="11"/>
  <c r="AF37" i="11"/>
  <c r="AF36" i="11"/>
  <c r="AF35" i="11"/>
  <c r="AA35" i="11"/>
  <c r="AF34" i="11"/>
  <c r="AA34" i="11"/>
  <c r="AF33" i="11"/>
  <c r="AA33" i="11"/>
  <c r="AF32" i="11"/>
  <c r="AA32" i="11"/>
  <c r="AA36" i="11" s="1"/>
  <c r="AF31" i="11"/>
  <c r="AF30" i="11"/>
  <c r="AF29" i="11"/>
  <c r="AA29" i="11"/>
  <c r="AF28" i="11"/>
  <c r="AA28" i="11"/>
  <c r="AF27" i="11"/>
  <c r="AA27" i="11"/>
  <c r="AF26" i="11"/>
  <c r="AA26" i="11"/>
  <c r="AF25" i="11"/>
  <c r="AF24" i="11"/>
  <c r="J24" i="11"/>
  <c r="K24" i="11" s="1"/>
  <c r="AF23" i="11"/>
  <c r="AA23" i="11"/>
  <c r="AF22" i="11"/>
  <c r="AA22" i="11"/>
  <c r="J22" i="11"/>
  <c r="K22" i="11" s="1"/>
  <c r="AF21" i="11"/>
  <c r="AA21" i="11"/>
  <c r="AF20" i="11"/>
  <c r="AA20" i="11"/>
  <c r="AF19" i="11"/>
  <c r="AF18" i="11"/>
  <c r="AF17" i="11"/>
  <c r="AA17" i="11"/>
  <c r="V17" i="11"/>
  <c r="D41" i="11" s="1"/>
  <c r="D44" i="11" s="1"/>
  <c r="T17" i="11"/>
  <c r="T20" i="11" s="1"/>
  <c r="S17" i="11"/>
  <c r="S20" i="11" s="1"/>
  <c r="R17" i="11"/>
  <c r="R20" i="11" s="1"/>
  <c r="Q17" i="11"/>
  <c r="P17" i="11"/>
  <c r="Y5" i="11" s="1"/>
  <c r="Z5" i="11" s="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F16" i="11"/>
  <c r="AA16" i="11"/>
  <c r="U16" i="11"/>
  <c r="AF15" i="11"/>
  <c r="AA15" i="11"/>
  <c r="U15" i="11"/>
  <c r="AF14" i="11"/>
  <c r="AA14" i="11"/>
  <c r="U14" i="11"/>
  <c r="AF13" i="11"/>
  <c r="U13" i="11"/>
  <c r="AF12" i="11"/>
  <c r="U12" i="11"/>
  <c r="AF11" i="11"/>
  <c r="U11" i="11"/>
  <c r="AF10" i="11"/>
  <c r="U10" i="11"/>
  <c r="AF9" i="11"/>
  <c r="U9" i="11"/>
  <c r="AF8" i="11"/>
  <c r="U8" i="11"/>
  <c r="AF7" i="11"/>
  <c r="U7" i="11"/>
  <c r="AF6" i="11"/>
  <c r="U6" i="11"/>
  <c r="AF5" i="11"/>
  <c r="U5" i="11"/>
  <c r="AF4" i="11"/>
  <c r="AF3" i="11"/>
  <c r="AF60" i="10"/>
  <c r="AF59" i="10"/>
  <c r="AF58" i="10"/>
  <c r="AF57" i="10"/>
  <c r="AF56" i="10"/>
  <c r="AF55" i="10"/>
  <c r="AF54" i="10"/>
  <c r="AF53" i="10"/>
  <c r="AF52" i="10"/>
  <c r="AF51" i="10"/>
  <c r="AF50" i="10"/>
  <c r="AF49" i="10"/>
  <c r="AF48" i="10"/>
  <c r="AF47" i="10"/>
  <c r="AF46" i="10"/>
  <c r="AF45" i="10"/>
  <c r="AF44" i="10"/>
  <c r="AF43" i="10"/>
  <c r="AF42" i="10"/>
  <c r="Q42" i="10"/>
  <c r="AF41" i="10"/>
  <c r="AF40" i="10"/>
  <c r="AF39" i="10"/>
  <c r="AF38" i="10"/>
  <c r="AF37" i="10"/>
  <c r="AF36" i="10"/>
  <c r="AF35" i="10"/>
  <c r="AA35" i="10"/>
  <c r="AF34" i="10"/>
  <c r="AA34" i="10"/>
  <c r="AF33" i="10"/>
  <c r="AA33" i="10"/>
  <c r="AF32" i="10"/>
  <c r="AA32" i="10"/>
  <c r="AF31" i="10"/>
  <c r="AF30" i="10"/>
  <c r="AF29" i="10"/>
  <c r="AA29" i="10"/>
  <c r="AF28" i="10"/>
  <c r="AA28" i="10"/>
  <c r="AF27" i="10"/>
  <c r="AA27" i="10"/>
  <c r="AF26" i="10"/>
  <c r="AA26" i="10"/>
  <c r="AF25" i="10"/>
  <c r="AF24" i="10"/>
  <c r="J24" i="10"/>
  <c r="K24" i="10" s="1"/>
  <c r="AF23" i="10"/>
  <c r="AA23" i="10"/>
  <c r="AF22" i="10"/>
  <c r="AA22" i="10"/>
  <c r="J22" i="10"/>
  <c r="K22" i="10" s="1"/>
  <c r="AF21" i="10"/>
  <c r="AA21" i="10"/>
  <c r="AF20" i="10"/>
  <c r="AA20" i="10"/>
  <c r="AF19" i="10"/>
  <c r="AF18" i="10"/>
  <c r="AF17" i="10"/>
  <c r="AA17" i="10"/>
  <c r="V17" i="10"/>
  <c r="D41" i="10" s="1"/>
  <c r="D44" i="10" s="1"/>
  <c r="T17" i="10"/>
  <c r="T20" i="10" s="1"/>
  <c r="S17" i="10"/>
  <c r="S20" i="10" s="1"/>
  <c r="R17" i="10"/>
  <c r="Y6" i="10" s="1"/>
  <c r="Z6" i="10" s="1"/>
  <c r="Q17" i="10"/>
  <c r="P17" i="10"/>
  <c r="Y5" i="10" s="1"/>
  <c r="Z5" i="10" s="1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F16" i="10"/>
  <c r="AA16" i="10"/>
  <c r="U16" i="10"/>
  <c r="AF15" i="10"/>
  <c r="AA15" i="10"/>
  <c r="U15" i="10"/>
  <c r="AF14" i="10"/>
  <c r="AA14" i="10"/>
  <c r="U14" i="10"/>
  <c r="AF13" i="10"/>
  <c r="U13" i="10"/>
  <c r="AF12" i="10"/>
  <c r="U12" i="10"/>
  <c r="AF11" i="10"/>
  <c r="U11" i="10"/>
  <c r="AF10" i="10"/>
  <c r="U10" i="10"/>
  <c r="AF9" i="10"/>
  <c r="U9" i="10"/>
  <c r="AF8" i="10"/>
  <c r="U8" i="10"/>
  <c r="AF7" i="10"/>
  <c r="U7" i="10"/>
  <c r="AF6" i="10"/>
  <c r="U6" i="10"/>
  <c r="AF5" i="10"/>
  <c r="U5" i="10"/>
  <c r="AF4" i="10"/>
  <c r="AF3" i="10"/>
  <c r="AF60" i="9"/>
  <c r="AF59" i="9"/>
  <c r="AF58" i="9"/>
  <c r="AF57" i="9"/>
  <c r="AF56" i="9"/>
  <c r="AF55" i="9"/>
  <c r="AF54" i="9"/>
  <c r="AF53" i="9"/>
  <c r="AF52" i="9"/>
  <c r="AF51" i="9"/>
  <c r="AF50" i="9"/>
  <c r="AF49" i="9"/>
  <c r="AF48" i="9"/>
  <c r="AF47" i="9"/>
  <c r="AF46" i="9"/>
  <c r="AF45" i="9"/>
  <c r="AF44" i="9"/>
  <c r="AF43" i="9"/>
  <c r="AF42" i="9"/>
  <c r="Q42" i="9"/>
  <c r="AF41" i="9"/>
  <c r="AF40" i="9"/>
  <c r="AF39" i="9"/>
  <c r="AF38" i="9"/>
  <c r="AF37" i="9"/>
  <c r="AF36" i="9"/>
  <c r="AF35" i="9"/>
  <c r="AA35" i="9"/>
  <c r="AF34" i="9"/>
  <c r="AA34" i="9"/>
  <c r="AF33" i="9"/>
  <c r="AA33" i="9"/>
  <c r="AF32" i="9"/>
  <c r="AA32" i="9"/>
  <c r="AF31" i="9"/>
  <c r="AF30" i="9"/>
  <c r="AF29" i="9"/>
  <c r="AA29" i="9"/>
  <c r="AF28" i="9"/>
  <c r="AA28" i="9"/>
  <c r="AF27" i="9"/>
  <c r="AA27" i="9"/>
  <c r="AF26" i="9"/>
  <c r="AA26" i="9"/>
  <c r="AA30" i="9" s="1"/>
  <c r="AF25" i="9"/>
  <c r="AF24" i="9"/>
  <c r="J24" i="9"/>
  <c r="K24" i="9" s="1"/>
  <c r="AF23" i="9"/>
  <c r="AA23" i="9"/>
  <c r="AF22" i="9"/>
  <c r="AA22" i="9"/>
  <c r="J22" i="9"/>
  <c r="K22" i="9" s="1"/>
  <c r="AF21" i="9"/>
  <c r="AA21" i="9"/>
  <c r="AF20" i="9"/>
  <c r="AA20" i="9"/>
  <c r="AF19" i="9"/>
  <c r="AF18" i="9"/>
  <c r="AF17" i="9"/>
  <c r="AA17" i="9"/>
  <c r="V17" i="9"/>
  <c r="D41" i="9" s="1"/>
  <c r="D44" i="9" s="1"/>
  <c r="T17" i="9"/>
  <c r="T20" i="9" s="1"/>
  <c r="S17" i="9"/>
  <c r="S20" i="9" s="1"/>
  <c r="R17" i="9"/>
  <c r="R20" i="9" s="1"/>
  <c r="Q17" i="9"/>
  <c r="P17" i="9"/>
  <c r="Y5" i="9" s="1"/>
  <c r="Z5" i="9" s="1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F16" i="9"/>
  <c r="AA16" i="9"/>
  <c r="U16" i="9"/>
  <c r="AF15" i="9"/>
  <c r="AA15" i="9"/>
  <c r="U15" i="9"/>
  <c r="AF14" i="9"/>
  <c r="AA14" i="9"/>
  <c r="U14" i="9"/>
  <c r="AF13" i="9"/>
  <c r="U13" i="9"/>
  <c r="AF12" i="9"/>
  <c r="U12" i="9"/>
  <c r="AF11" i="9"/>
  <c r="U11" i="9"/>
  <c r="AF10" i="9"/>
  <c r="U10" i="9"/>
  <c r="AF9" i="9"/>
  <c r="U9" i="9"/>
  <c r="AF8" i="9"/>
  <c r="Z8" i="9"/>
  <c r="Y8" i="9"/>
  <c r="U8" i="9"/>
  <c r="AF7" i="9"/>
  <c r="U7" i="9"/>
  <c r="AF6" i="9"/>
  <c r="Y6" i="9"/>
  <c r="Z6" i="9" s="1"/>
  <c r="U6" i="9"/>
  <c r="AF5" i="9"/>
  <c r="U5" i="9"/>
  <c r="AF4" i="9"/>
  <c r="AF3" i="9"/>
  <c r="AF60" i="8"/>
  <c r="AF59" i="8"/>
  <c r="AF58" i="8"/>
  <c r="AF57" i="8"/>
  <c r="AF56" i="8"/>
  <c r="AF55" i="8"/>
  <c r="AF54" i="8"/>
  <c r="AF53" i="8"/>
  <c r="AF52" i="8"/>
  <c r="AF51" i="8"/>
  <c r="AF50" i="8"/>
  <c r="AF49" i="8"/>
  <c r="AF48" i="8"/>
  <c r="AF47" i="8"/>
  <c r="AF46" i="8"/>
  <c r="AF45" i="8"/>
  <c r="AF44" i="8"/>
  <c r="AF43" i="8"/>
  <c r="AF42" i="8"/>
  <c r="Q42" i="8"/>
  <c r="AF41" i="8"/>
  <c r="AF40" i="8"/>
  <c r="AF39" i="8"/>
  <c r="AF38" i="8"/>
  <c r="AF37" i="8"/>
  <c r="AF36" i="8"/>
  <c r="AF35" i="8"/>
  <c r="AA35" i="8"/>
  <c r="AF34" i="8"/>
  <c r="AA34" i="8"/>
  <c r="AF33" i="8"/>
  <c r="AA33" i="8"/>
  <c r="AF32" i="8"/>
  <c r="AA32" i="8"/>
  <c r="AF31" i="8"/>
  <c r="AF30" i="8"/>
  <c r="AF29" i="8"/>
  <c r="AA29" i="8"/>
  <c r="AF28" i="8"/>
  <c r="AA28" i="8"/>
  <c r="AF27" i="8"/>
  <c r="AA27" i="8"/>
  <c r="AF26" i="8"/>
  <c r="AA26" i="8"/>
  <c r="AF25" i="8"/>
  <c r="AF24" i="8"/>
  <c r="J24" i="8"/>
  <c r="K24" i="8" s="1"/>
  <c r="AF23" i="8"/>
  <c r="AA23" i="8"/>
  <c r="AF22" i="8"/>
  <c r="AA22" i="8"/>
  <c r="J22" i="8"/>
  <c r="K22" i="8" s="1"/>
  <c r="AF21" i="8"/>
  <c r="AA21" i="8"/>
  <c r="AF20" i="8"/>
  <c r="AA20" i="8"/>
  <c r="AF19" i="8"/>
  <c r="AF18" i="8"/>
  <c r="AF17" i="8"/>
  <c r="V17" i="8"/>
  <c r="D41" i="8" s="1"/>
  <c r="D44" i="8" s="1"/>
  <c r="T17" i="8"/>
  <c r="T20" i="8" s="1"/>
  <c r="S17" i="8"/>
  <c r="S20" i="8" s="1"/>
  <c r="R17" i="8"/>
  <c r="Y6" i="8" s="1"/>
  <c r="Z6" i="8" s="1"/>
  <c r="Q17" i="8"/>
  <c r="P17" i="8"/>
  <c r="Y5" i="8" s="1"/>
  <c r="Z5" i="8" s="1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F16" i="8"/>
  <c r="U16" i="8"/>
  <c r="AF15" i="8"/>
  <c r="U15" i="8"/>
  <c r="AF14" i="8"/>
  <c r="U14" i="8"/>
  <c r="AF13" i="8"/>
  <c r="U13" i="8"/>
  <c r="AF12" i="8"/>
  <c r="U12" i="8"/>
  <c r="AF11" i="8"/>
  <c r="U11" i="8"/>
  <c r="AF10" i="8"/>
  <c r="U10" i="8"/>
  <c r="AF9" i="8"/>
  <c r="U9" i="8"/>
  <c r="AF8" i="8"/>
  <c r="U8" i="8"/>
  <c r="AF7" i="8"/>
  <c r="U7" i="8"/>
  <c r="AF6" i="8"/>
  <c r="U6" i="8"/>
  <c r="AF5" i="8"/>
  <c r="U5" i="8"/>
  <c r="AF4" i="8"/>
  <c r="AF3" i="8"/>
  <c r="AF60" i="7"/>
  <c r="AF59" i="7"/>
  <c r="AF58" i="7"/>
  <c r="AF57" i="7"/>
  <c r="AF56" i="7"/>
  <c r="AF55" i="7"/>
  <c r="AF54" i="7"/>
  <c r="AF53" i="7"/>
  <c r="AF52" i="7"/>
  <c r="AF51" i="7"/>
  <c r="AF50" i="7"/>
  <c r="AF49" i="7"/>
  <c r="AF48" i="7"/>
  <c r="AF47" i="7"/>
  <c r="AF46" i="7"/>
  <c r="AF45" i="7"/>
  <c r="AF44" i="7"/>
  <c r="AF43" i="7"/>
  <c r="AF42" i="7"/>
  <c r="Q42" i="7"/>
  <c r="AF41" i="7"/>
  <c r="AF40" i="7"/>
  <c r="AF39" i="7"/>
  <c r="AF38" i="7"/>
  <c r="AF37" i="7"/>
  <c r="AF36" i="7"/>
  <c r="AF35" i="7"/>
  <c r="AA35" i="7"/>
  <c r="AF34" i="7"/>
  <c r="AA34" i="7"/>
  <c r="AF33" i="7"/>
  <c r="AA33" i="7"/>
  <c r="AF32" i="7"/>
  <c r="AA32" i="7"/>
  <c r="AF31" i="7"/>
  <c r="AF30" i="7"/>
  <c r="AF29" i="7"/>
  <c r="AA29" i="7"/>
  <c r="AF28" i="7"/>
  <c r="AA28" i="7"/>
  <c r="AF27" i="7"/>
  <c r="AA27" i="7"/>
  <c r="AF26" i="7"/>
  <c r="AA26" i="7"/>
  <c r="AF25" i="7"/>
  <c r="AF24" i="7"/>
  <c r="J24" i="7"/>
  <c r="K24" i="7" s="1"/>
  <c r="AF23" i="7"/>
  <c r="AA23" i="7"/>
  <c r="AF22" i="7"/>
  <c r="AA22" i="7"/>
  <c r="J22" i="7"/>
  <c r="K22" i="7" s="1"/>
  <c r="AF21" i="7"/>
  <c r="AA21" i="7"/>
  <c r="AF20" i="7"/>
  <c r="AA20" i="7"/>
  <c r="AF19" i="7"/>
  <c r="AF18" i="7"/>
  <c r="AF17" i="7"/>
  <c r="AA17" i="7"/>
  <c r="V17" i="7"/>
  <c r="D41" i="7" s="1"/>
  <c r="D44" i="7" s="1"/>
  <c r="T17" i="7"/>
  <c r="T20" i="7" s="1"/>
  <c r="S17" i="7"/>
  <c r="S20" i="7" s="1"/>
  <c r="R17" i="7"/>
  <c r="R20" i="7" s="1"/>
  <c r="Q17" i="7"/>
  <c r="P17" i="7"/>
  <c r="Y5" i="7" s="1"/>
  <c r="Z5" i="7" s="1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F16" i="7"/>
  <c r="AA16" i="7"/>
  <c r="U16" i="7"/>
  <c r="AF15" i="7"/>
  <c r="AA15" i="7"/>
  <c r="U15" i="7"/>
  <c r="AF14" i="7"/>
  <c r="AA14" i="7"/>
  <c r="U14" i="7"/>
  <c r="AF13" i="7"/>
  <c r="U13" i="7"/>
  <c r="AF12" i="7"/>
  <c r="U12" i="7"/>
  <c r="AF11" i="7"/>
  <c r="U11" i="7"/>
  <c r="AF10" i="7"/>
  <c r="U10" i="7"/>
  <c r="AF9" i="7"/>
  <c r="U9" i="7"/>
  <c r="AF8" i="7"/>
  <c r="U8" i="7"/>
  <c r="AF7" i="7"/>
  <c r="U7" i="7"/>
  <c r="AF6" i="7"/>
  <c r="U6" i="7"/>
  <c r="AF5" i="7"/>
  <c r="U5" i="7"/>
  <c r="AF4" i="7"/>
  <c r="AF3" i="7"/>
  <c r="AF60" i="6"/>
  <c r="AF59" i="6"/>
  <c r="AF58" i="6"/>
  <c r="AF57" i="6"/>
  <c r="AF56" i="6"/>
  <c r="AF55" i="6"/>
  <c r="AF54" i="6"/>
  <c r="AF53" i="6"/>
  <c r="AF52" i="6"/>
  <c r="AF51" i="6"/>
  <c r="AF50" i="6"/>
  <c r="AF49" i="6"/>
  <c r="AF48" i="6"/>
  <c r="AF47" i="6"/>
  <c r="AF46" i="6"/>
  <c r="AF45" i="6"/>
  <c r="AF44" i="6"/>
  <c r="AF43" i="6"/>
  <c r="AF42" i="6"/>
  <c r="Q42" i="6"/>
  <c r="AF41" i="6"/>
  <c r="AF40" i="6"/>
  <c r="AF39" i="6"/>
  <c r="AF38" i="6"/>
  <c r="AF37" i="6"/>
  <c r="AF36" i="6"/>
  <c r="AF35" i="6"/>
  <c r="AA35" i="6"/>
  <c r="AF34" i="6"/>
  <c r="AA34" i="6"/>
  <c r="AF33" i="6"/>
  <c r="AA33" i="6"/>
  <c r="AF32" i="6"/>
  <c r="AA32" i="6"/>
  <c r="AA36" i="6" s="1"/>
  <c r="AF31" i="6"/>
  <c r="AF30" i="6"/>
  <c r="AF29" i="6"/>
  <c r="AA29" i="6"/>
  <c r="AF28" i="6"/>
  <c r="AA28" i="6"/>
  <c r="AF27" i="6"/>
  <c r="AA27" i="6"/>
  <c r="AF26" i="6"/>
  <c r="AA26" i="6"/>
  <c r="AF25" i="6"/>
  <c r="AF24" i="6"/>
  <c r="J24" i="6"/>
  <c r="K24" i="6" s="1"/>
  <c r="AF23" i="6"/>
  <c r="AA23" i="6"/>
  <c r="AF22" i="6"/>
  <c r="AA22" i="6"/>
  <c r="J22" i="6"/>
  <c r="K22" i="6" s="1"/>
  <c r="AF21" i="6"/>
  <c r="AA21" i="6"/>
  <c r="AF20" i="6"/>
  <c r="AA20" i="6"/>
  <c r="AF19" i="6"/>
  <c r="AF18" i="6"/>
  <c r="AF17" i="6"/>
  <c r="AA17" i="6"/>
  <c r="V17" i="6"/>
  <c r="D41" i="6" s="1"/>
  <c r="D44" i="6" s="1"/>
  <c r="T17" i="6"/>
  <c r="T20" i="6" s="1"/>
  <c r="S17" i="6"/>
  <c r="S20" i="6" s="1"/>
  <c r="R17" i="6"/>
  <c r="Q17" i="6"/>
  <c r="P17" i="6"/>
  <c r="Y5" i="6" s="1"/>
  <c r="Z5" i="6" s="1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F16" i="6"/>
  <c r="AA16" i="6"/>
  <c r="U16" i="6"/>
  <c r="AF15" i="6"/>
  <c r="AA15" i="6"/>
  <c r="U15" i="6"/>
  <c r="AF14" i="6"/>
  <c r="AA14" i="6"/>
  <c r="U14" i="6"/>
  <c r="AF13" i="6"/>
  <c r="U13" i="6"/>
  <c r="AF12" i="6"/>
  <c r="U12" i="6"/>
  <c r="AF11" i="6"/>
  <c r="U11" i="6"/>
  <c r="AF10" i="6"/>
  <c r="U10" i="6"/>
  <c r="AF9" i="6"/>
  <c r="U9" i="6"/>
  <c r="AF8" i="6"/>
  <c r="U8" i="6"/>
  <c r="AF7" i="6"/>
  <c r="U7" i="6"/>
  <c r="AF6" i="6"/>
  <c r="U6" i="6"/>
  <c r="AF5" i="6"/>
  <c r="U5" i="6"/>
  <c r="AF4" i="6"/>
  <c r="AF3" i="6"/>
  <c r="AF60" i="5"/>
  <c r="AF59" i="5"/>
  <c r="AF58" i="5"/>
  <c r="AF57" i="5"/>
  <c r="AF56" i="5"/>
  <c r="AF55" i="5"/>
  <c r="AF54" i="5"/>
  <c r="AF53" i="5"/>
  <c r="AF52" i="5"/>
  <c r="AF51" i="5"/>
  <c r="AF50" i="5"/>
  <c r="AF49" i="5"/>
  <c r="AF48" i="5"/>
  <c r="AF47" i="5"/>
  <c r="AF46" i="5"/>
  <c r="AF45" i="5"/>
  <c r="AF44" i="5"/>
  <c r="AF43" i="5"/>
  <c r="AF42" i="5"/>
  <c r="Q42" i="5"/>
  <c r="AF41" i="5"/>
  <c r="AF40" i="5"/>
  <c r="AF39" i="5"/>
  <c r="AF38" i="5"/>
  <c r="AF37" i="5"/>
  <c r="AF36" i="5"/>
  <c r="AF35" i="5"/>
  <c r="AA35" i="5"/>
  <c r="AF34" i="5"/>
  <c r="AA34" i="5"/>
  <c r="AF33" i="5"/>
  <c r="AA33" i="5"/>
  <c r="AF32" i="5"/>
  <c r="AA32" i="5"/>
  <c r="AF31" i="5"/>
  <c r="AF30" i="5"/>
  <c r="AF29" i="5"/>
  <c r="AA29" i="5"/>
  <c r="AF28" i="5"/>
  <c r="AA28" i="5"/>
  <c r="AF27" i="5"/>
  <c r="AA27" i="5"/>
  <c r="AF26" i="5"/>
  <c r="AA26" i="5"/>
  <c r="AF25" i="5"/>
  <c r="AF24" i="5"/>
  <c r="J24" i="5"/>
  <c r="K24" i="5" s="1"/>
  <c r="AF23" i="5"/>
  <c r="AA23" i="5"/>
  <c r="AF22" i="5"/>
  <c r="AA22" i="5"/>
  <c r="J22" i="5"/>
  <c r="K22" i="5" s="1"/>
  <c r="AF21" i="5"/>
  <c r="AA21" i="5"/>
  <c r="AF20" i="5"/>
  <c r="AA20" i="5"/>
  <c r="AF19" i="5"/>
  <c r="AF18" i="5"/>
  <c r="AF17" i="5"/>
  <c r="AA17" i="5"/>
  <c r="V17" i="5"/>
  <c r="D41" i="5" s="1"/>
  <c r="D44" i="5" s="1"/>
  <c r="T17" i="5"/>
  <c r="Z8" i="5" s="1"/>
  <c r="S17" i="5"/>
  <c r="S20" i="5" s="1"/>
  <c r="R17" i="5"/>
  <c r="R20" i="5" s="1"/>
  <c r="Q17" i="5"/>
  <c r="P17" i="5"/>
  <c r="P20" i="5" s="1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F16" i="5"/>
  <c r="AA16" i="5"/>
  <c r="U16" i="5"/>
  <c r="AF15" i="5"/>
  <c r="AA15" i="5"/>
  <c r="U15" i="5"/>
  <c r="AF14" i="5"/>
  <c r="AA14" i="5"/>
  <c r="U14" i="5"/>
  <c r="AF13" i="5"/>
  <c r="U13" i="5"/>
  <c r="AF12" i="5"/>
  <c r="U12" i="5"/>
  <c r="AF11" i="5"/>
  <c r="U11" i="5"/>
  <c r="AF10" i="5"/>
  <c r="U10" i="5"/>
  <c r="AF9" i="5"/>
  <c r="U9" i="5"/>
  <c r="AF8" i="5"/>
  <c r="U8" i="5"/>
  <c r="AF7" i="5"/>
  <c r="Z7" i="5"/>
  <c r="U7" i="5"/>
  <c r="AF6" i="5"/>
  <c r="U6" i="5"/>
  <c r="AF5" i="5"/>
  <c r="U5" i="5"/>
  <c r="AF4" i="5"/>
  <c r="AF3" i="5"/>
  <c r="P20" i="14" l="1"/>
  <c r="U20" i="14" s="1"/>
  <c r="Y8" i="14"/>
  <c r="Y8" i="15" s="1"/>
  <c r="Z8" i="14"/>
  <c r="AA36" i="13"/>
  <c r="AA30" i="13"/>
  <c r="AA24" i="13"/>
  <c r="Y5" i="13"/>
  <c r="Z5" i="13" s="1"/>
  <c r="Y7" i="13"/>
  <c r="Z7" i="13" s="1"/>
  <c r="Z8" i="13"/>
  <c r="Y8" i="13"/>
  <c r="Y6" i="13"/>
  <c r="Z6" i="13" s="1"/>
  <c r="AA36" i="12"/>
  <c r="Y8" i="12"/>
  <c r="Z8" i="12"/>
  <c r="P20" i="12"/>
  <c r="U17" i="12"/>
  <c r="AA30" i="11"/>
  <c r="AA24" i="11"/>
  <c r="AA18" i="11"/>
  <c r="Y7" i="11"/>
  <c r="Z7" i="11" s="1"/>
  <c r="Z8" i="11"/>
  <c r="Y8" i="11"/>
  <c r="Y6" i="11"/>
  <c r="Z6" i="11" s="1"/>
  <c r="Z9" i="11" s="1"/>
  <c r="AA36" i="10"/>
  <c r="AA30" i="10"/>
  <c r="AA24" i="10"/>
  <c r="Y8" i="10"/>
  <c r="Z8" i="10"/>
  <c r="AA18" i="10"/>
  <c r="P20" i="10"/>
  <c r="AA36" i="9"/>
  <c r="AA24" i="9"/>
  <c r="AA18" i="9"/>
  <c r="Y7" i="9"/>
  <c r="Z7" i="9" s="1"/>
  <c r="P20" i="9"/>
  <c r="U20" i="9" s="1"/>
  <c r="U17" i="9"/>
  <c r="P20" i="8"/>
  <c r="Y8" i="8"/>
  <c r="Z8" i="8"/>
  <c r="Y8" i="7"/>
  <c r="Z8" i="7"/>
  <c r="Y6" i="7"/>
  <c r="Z6" i="7" s="1"/>
  <c r="U17" i="11"/>
  <c r="Y7" i="7"/>
  <c r="Z7" i="7" s="1"/>
  <c r="P20" i="7"/>
  <c r="U20" i="7" s="1"/>
  <c r="Z8" i="6"/>
  <c r="Y8" i="6"/>
  <c r="P20" i="6"/>
  <c r="AA36" i="5"/>
  <c r="AA30" i="5"/>
  <c r="AA24" i="5"/>
  <c r="Y6" i="5"/>
  <c r="Z6" i="5" s="1"/>
  <c r="T20" i="5"/>
  <c r="U20" i="5" s="1"/>
  <c r="AA18" i="5"/>
  <c r="Y8" i="5"/>
  <c r="Y5" i="5"/>
  <c r="Z5" i="5" s="1"/>
  <c r="U17" i="6"/>
  <c r="Z9" i="9"/>
  <c r="Y6" i="14"/>
  <c r="Z6" i="14" s="1"/>
  <c r="U17" i="14"/>
  <c r="Y7" i="14"/>
  <c r="Z7" i="14" s="1"/>
  <c r="U20" i="13"/>
  <c r="U17" i="13"/>
  <c r="Y6" i="12"/>
  <c r="Z6" i="12" s="1"/>
  <c r="R20" i="12"/>
  <c r="U20" i="12" s="1"/>
  <c r="U19" i="12" s="1"/>
  <c r="P21" i="12" s="1"/>
  <c r="Y7" i="12"/>
  <c r="Z7" i="12" s="1"/>
  <c r="P20" i="11"/>
  <c r="U20" i="11" s="1"/>
  <c r="U17" i="10"/>
  <c r="R20" i="10"/>
  <c r="Y7" i="10"/>
  <c r="Z7" i="10" s="1"/>
  <c r="U17" i="8"/>
  <c r="R20" i="8"/>
  <c r="U20" i="8" s="1"/>
  <c r="Y7" i="8"/>
  <c r="Z7" i="8" s="1"/>
  <c r="U17" i="7"/>
  <c r="Y6" i="6"/>
  <c r="Z6" i="6" s="1"/>
  <c r="R20" i="6"/>
  <c r="Y7" i="6"/>
  <c r="Z7" i="6" s="1"/>
  <c r="U17" i="5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Q42" i="4"/>
  <c r="AF41" i="4"/>
  <c r="AF40" i="4"/>
  <c r="AF39" i="4"/>
  <c r="AF38" i="4"/>
  <c r="AF37" i="4"/>
  <c r="AF36" i="4"/>
  <c r="AF35" i="4"/>
  <c r="AA35" i="4"/>
  <c r="AF34" i="4"/>
  <c r="AA34" i="4"/>
  <c r="AF33" i="4"/>
  <c r="AA33" i="4"/>
  <c r="AF32" i="4"/>
  <c r="AA32" i="4"/>
  <c r="AF31" i="4"/>
  <c r="AF30" i="4"/>
  <c r="AF29" i="4"/>
  <c r="AA29" i="4"/>
  <c r="AF28" i="4"/>
  <c r="AA28" i="4"/>
  <c r="AF27" i="4"/>
  <c r="AA27" i="4"/>
  <c r="AF26" i="4"/>
  <c r="AA26" i="4"/>
  <c r="AF25" i="4"/>
  <c r="AF24" i="4"/>
  <c r="J24" i="4"/>
  <c r="K24" i="4" s="1"/>
  <c r="AF23" i="4"/>
  <c r="AA23" i="4"/>
  <c r="AF22" i="4"/>
  <c r="AA22" i="4"/>
  <c r="J22" i="4"/>
  <c r="K22" i="4" s="1"/>
  <c r="AF21" i="4"/>
  <c r="AA21" i="4"/>
  <c r="AF20" i="4"/>
  <c r="AA20" i="4"/>
  <c r="AF19" i="4"/>
  <c r="AF18" i="4"/>
  <c r="AF17" i="4"/>
  <c r="AA17" i="4"/>
  <c r="V17" i="4"/>
  <c r="D41" i="4" s="1"/>
  <c r="D44" i="4" s="1"/>
  <c r="T17" i="4"/>
  <c r="T20" i="4" s="1"/>
  <c r="S17" i="4"/>
  <c r="S20" i="4" s="1"/>
  <c r="R17" i="4"/>
  <c r="R20" i="4" s="1"/>
  <c r="Q17" i="4"/>
  <c r="P17" i="4"/>
  <c r="P20" i="4" s="1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F16" i="4"/>
  <c r="AA16" i="4"/>
  <c r="U16" i="4"/>
  <c r="AF15" i="4"/>
  <c r="AA15" i="4"/>
  <c r="U15" i="4"/>
  <c r="AF14" i="4"/>
  <c r="AA14" i="4"/>
  <c r="U14" i="4"/>
  <c r="AF13" i="4"/>
  <c r="U13" i="4"/>
  <c r="AF12" i="4"/>
  <c r="U12" i="4"/>
  <c r="AF11" i="4"/>
  <c r="U11" i="4"/>
  <c r="AF10" i="4"/>
  <c r="U10" i="4"/>
  <c r="AF9" i="4"/>
  <c r="U9" i="4"/>
  <c r="AF8" i="4"/>
  <c r="U8" i="4"/>
  <c r="AF7" i="4"/>
  <c r="U7" i="4"/>
  <c r="AF6" i="4"/>
  <c r="U6" i="4"/>
  <c r="AF5" i="4"/>
  <c r="U5" i="4"/>
  <c r="AF4" i="4"/>
  <c r="AF3" i="4"/>
  <c r="AF60" i="3"/>
  <c r="AF59" i="3"/>
  <c r="AF58" i="3"/>
  <c r="AF57" i="3"/>
  <c r="AF56" i="3"/>
  <c r="AF55" i="3"/>
  <c r="AF54" i="3"/>
  <c r="AF53" i="3"/>
  <c r="AF52" i="3"/>
  <c r="AF51" i="3"/>
  <c r="AF50" i="3"/>
  <c r="AF49" i="3"/>
  <c r="AF48" i="3"/>
  <c r="AF47" i="3"/>
  <c r="AF46" i="3"/>
  <c r="AF45" i="3"/>
  <c r="AF44" i="3"/>
  <c r="AF43" i="3"/>
  <c r="AF42" i="3"/>
  <c r="Q42" i="3"/>
  <c r="AF41" i="3"/>
  <c r="AF40" i="3"/>
  <c r="AF39" i="3"/>
  <c r="AF38" i="3"/>
  <c r="AF37" i="3"/>
  <c r="AF36" i="3"/>
  <c r="AF35" i="3"/>
  <c r="AA35" i="3"/>
  <c r="AF34" i="3"/>
  <c r="AA34" i="3"/>
  <c r="AF33" i="3"/>
  <c r="AA33" i="3"/>
  <c r="AF32" i="3"/>
  <c r="AA32" i="3"/>
  <c r="AF31" i="3"/>
  <c r="AF30" i="3"/>
  <c r="AF29" i="3"/>
  <c r="AA29" i="3"/>
  <c r="AF28" i="3"/>
  <c r="AA28" i="3"/>
  <c r="AF27" i="3"/>
  <c r="AA27" i="3"/>
  <c r="AF26" i="3"/>
  <c r="AA26" i="3"/>
  <c r="AF25" i="3"/>
  <c r="AF24" i="3"/>
  <c r="J24" i="3"/>
  <c r="K24" i="3" s="1"/>
  <c r="AF23" i="3"/>
  <c r="AA23" i="3"/>
  <c r="AF22" i="3"/>
  <c r="AA22" i="3"/>
  <c r="J22" i="3"/>
  <c r="K22" i="3" s="1"/>
  <c r="AF21" i="3"/>
  <c r="AA21" i="3"/>
  <c r="AF20" i="3"/>
  <c r="AA20" i="3"/>
  <c r="AF19" i="3"/>
  <c r="AF18" i="3"/>
  <c r="AF17" i="3"/>
  <c r="AA17" i="3"/>
  <c r="V17" i="3"/>
  <c r="D41" i="3" s="1"/>
  <c r="D44" i="3" s="1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F16" i="3"/>
  <c r="AA16" i="3"/>
  <c r="U16" i="3"/>
  <c r="AF15" i="3"/>
  <c r="AA15" i="3"/>
  <c r="U15" i="3"/>
  <c r="AF14" i="3"/>
  <c r="AA14" i="3"/>
  <c r="U14" i="3"/>
  <c r="AF13" i="3"/>
  <c r="U13" i="3"/>
  <c r="AF12" i="3"/>
  <c r="U12" i="3"/>
  <c r="AF11" i="3"/>
  <c r="U11" i="3"/>
  <c r="AF10" i="3"/>
  <c r="U10" i="3"/>
  <c r="AF9" i="3"/>
  <c r="U9" i="3"/>
  <c r="AF8" i="3"/>
  <c r="U8" i="3"/>
  <c r="AF7" i="3"/>
  <c r="U7" i="3"/>
  <c r="AF6" i="3"/>
  <c r="X6" i="3"/>
  <c r="U6" i="3"/>
  <c r="AF5" i="3"/>
  <c r="U5" i="3"/>
  <c r="AF4" i="3"/>
  <c r="AF3" i="3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Q42" i="2"/>
  <c r="AF41" i="2"/>
  <c r="AF40" i="2"/>
  <c r="AF39" i="2"/>
  <c r="AF38" i="2"/>
  <c r="AF37" i="2"/>
  <c r="AF36" i="2"/>
  <c r="AF35" i="2"/>
  <c r="AA35" i="2"/>
  <c r="AF34" i="2"/>
  <c r="AA34" i="2"/>
  <c r="AF33" i="2"/>
  <c r="AA33" i="2"/>
  <c r="AF32" i="2"/>
  <c r="AA32" i="2"/>
  <c r="AF31" i="2"/>
  <c r="AF30" i="2"/>
  <c r="AF29" i="2"/>
  <c r="AA29" i="2"/>
  <c r="AF28" i="2"/>
  <c r="AA28" i="2"/>
  <c r="AF27" i="2"/>
  <c r="AA27" i="2"/>
  <c r="AF26" i="2"/>
  <c r="AA26" i="2"/>
  <c r="AF25" i="2"/>
  <c r="AF24" i="2"/>
  <c r="J24" i="2"/>
  <c r="K24" i="2" s="1"/>
  <c r="AF23" i="2"/>
  <c r="AA23" i="2"/>
  <c r="AF22" i="2"/>
  <c r="AA22" i="2"/>
  <c r="J22" i="2"/>
  <c r="K22" i="2" s="1"/>
  <c r="AF21" i="2"/>
  <c r="AA21" i="2"/>
  <c r="AF20" i="2"/>
  <c r="AA20" i="2"/>
  <c r="AF19" i="2"/>
  <c r="AF18" i="2"/>
  <c r="AF17" i="2"/>
  <c r="V17" i="2"/>
  <c r="D41" i="2" s="1"/>
  <c r="D44" i="2" s="1"/>
  <c r="T17" i="2"/>
  <c r="T20" i="2" s="1"/>
  <c r="S17" i="2"/>
  <c r="R17" i="2"/>
  <c r="R20" i="2" s="1"/>
  <c r="Q17" i="2"/>
  <c r="P17" i="2"/>
  <c r="P20" i="2" s="1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F16" i="2"/>
  <c r="U16" i="2"/>
  <c r="AF15" i="2"/>
  <c r="U15" i="2"/>
  <c r="AF14" i="2"/>
  <c r="U14" i="2"/>
  <c r="AF13" i="2"/>
  <c r="U13" i="2"/>
  <c r="AF12" i="2"/>
  <c r="U12" i="2"/>
  <c r="AF11" i="2"/>
  <c r="U11" i="2"/>
  <c r="AF10" i="2"/>
  <c r="U10" i="2"/>
  <c r="AF9" i="2"/>
  <c r="U9" i="2"/>
  <c r="AF8" i="2"/>
  <c r="U8" i="2"/>
  <c r="AF7" i="2"/>
  <c r="U7" i="2"/>
  <c r="AF6" i="2"/>
  <c r="U6" i="2"/>
  <c r="AF5" i="2"/>
  <c r="U5" i="2"/>
  <c r="AF4" i="2"/>
  <c r="AF3" i="2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Q42" i="1"/>
  <c r="AF41" i="1"/>
  <c r="AF40" i="1"/>
  <c r="AF39" i="1"/>
  <c r="AF38" i="1"/>
  <c r="AF37" i="1"/>
  <c r="AF36" i="1"/>
  <c r="AF35" i="1"/>
  <c r="AA35" i="1"/>
  <c r="AF34" i="1"/>
  <c r="AA34" i="1"/>
  <c r="AF33" i="1"/>
  <c r="AA33" i="1"/>
  <c r="AF32" i="1"/>
  <c r="AA32" i="1"/>
  <c r="AA36" i="1" s="1"/>
  <c r="AF31" i="1"/>
  <c r="AF30" i="1"/>
  <c r="AF29" i="1"/>
  <c r="AA29" i="1"/>
  <c r="AF28" i="1"/>
  <c r="AA28" i="1"/>
  <c r="AF27" i="1"/>
  <c r="AA27" i="1"/>
  <c r="AF26" i="1"/>
  <c r="AA26" i="1"/>
  <c r="AA30" i="1" s="1"/>
  <c r="AF25" i="1"/>
  <c r="AF24" i="1"/>
  <c r="J24" i="1"/>
  <c r="K24" i="1" s="1"/>
  <c r="AF23" i="1"/>
  <c r="AA23" i="1"/>
  <c r="AF22" i="1"/>
  <c r="AA22" i="1"/>
  <c r="J22" i="1"/>
  <c r="K22" i="1" s="1"/>
  <c r="AF21" i="1"/>
  <c r="AA21" i="1"/>
  <c r="AF20" i="1"/>
  <c r="AA20" i="1"/>
  <c r="AA24" i="1" s="1"/>
  <c r="S20" i="1"/>
  <c r="P20" i="1"/>
  <c r="AF19" i="1"/>
  <c r="AF18" i="1"/>
  <c r="AF17" i="1"/>
  <c r="AA17" i="1"/>
  <c r="V17" i="1"/>
  <c r="D41" i="1" s="1"/>
  <c r="D44" i="1" s="1"/>
  <c r="T17" i="1"/>
  <c r="T20" i="1" s="1"/>
  <c r="S17" i="1"/>
  <c r="R17" i="1"/>
  <c r="R20" i="1" s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F16" i="1"/>
  <c r="AA16" i="1"/>
  <c r="U16" i="1"/>
  <c r="AF15" i="1"/>
  <c r="AA15" i="1"/>
  <c r="U15" i="1"/>
  <c r="AF14" i="1"/>
  <c r="AA14" i="1"/>
  <c r="AA18" i="1" s="1"/>
  <c r="U14" i="1"/>
  <c r="AF13" i="1"/>
  <c r="U13" i="1"/>
  <c r="AF12" i="1"/>
  <c r="U12" i="1"/>
  <c r="AF11" i="1"/>
  <c r="U11" i="1"/>
  <c r="AF10" i="1"/>
  <c r="U10" i="1"/>
  <c r="AF9" i="1"/>
  <c r="U9" i="1"/>
  <c r="AF8" i="1"/>
  <c r="Z8" i="1"/>
  <c r="X8" i="1"/>
  <c r="Y8" i="1" s="1"/>
  <c r="U8" i="1"/>
  <c r="AF7" i="1"/>
  <c r="Y7" i="1"/>
  <c r="U7" i="1"/>
  <c r="AF6" i="1"/>
  <c r="X6" i="1"/>
  <c r="Y6" i="1" s="1"/>
  <c r="Z6" i="1" s="1"/>
  <c r="U6" i="1"/>
  <c r="AF5" i="1"/>
  <c r="X5" i="1"/>
  <c r="Y5" i="1" s="1"/>
  <c r="Z5" i="1" s="1"/>
  <c r="U5" i="1"/>
  <c r="AF4" i="1"/>
  <c r="AF3" i="1"/>
  <c r="Z9" i="14" l="1"/>
  <c r="Z9" i="13"/>
  <c r="Z9" i="12"/>
  <c r="U19" i="11"/>
  <c r="P21" i="11" s="1"/>
  <c r="U20" i="10"/>
  <c r="U19" i="10" s="1"/>
  <c r="P21" i="10" s="1"/>
  <c r="Z9" i="10"/>
  <c r="U19" i="9"/>
  <c r="P21" i="9" s="1"/>
  <c r="Z9" i="8"/>
  <c r="Z7" i="1"/>
  <c r="X7" i="2"/>
  <c r="Y7" i="2"/>
  <c r="Z9" i="7"/>
  <c r="U20" i="6"/>
  <c r="U19" i="6" s="1"/>
  <c r="P21" i="6" s="1"/>
  <c r="Z9" i="6"/>
  <c r="Z9" i="5"/>
  <c r="AA36" i="4"/>
  <c r="Y5" i="4"/>
  <c r="Z5" i="4" s="1"/>
  <c r="Y8" i="4"/>
  <c r="AA24" i="3"/>
  <c r="Z8" i="3"/>
  <c r="Y8" i="3"/>
  <c r="S20" i="3"/>
  <c r="R20" i="3"/>
  <c r="Y6" i="3"/>
  <c r="Z6" i="3" s="1"/>
  <c r="P20" i="3"/>
  <c r="Y5" i="3"/>
  <c r="Z5" i="3" s="1"/>
  <c r="Z5" i="2"/>
  <c r="U19" i="14"/>
  <c r="P21" i="14" s="1"/>
  <c r="U19" i="13"/>
  <c r="P21" i="13" s="1"/>
  <c r="U19" i="8"/>
  <c r="P21" i="8" s="1"/>
  <c r="U19" i="7"/>
  <c r="P21" i="7" s="1"/>
  <c r="U19" i="5"/>
  <c r="P21" i="5" s="1"/>
  <c r="Z8" i="4"/>
  <c r="U20" i="4"/>
  <c r="Y6" i="4"/>
  <c r="Z6" i="4" s="1"/>
  <c r="U17" i="4"/>
  <c r="Y7" i="4"/>
  <c r="Z7" i="4" s="1"/>
  <c r="AA30" i="3"/>
  <c r="AA18" i="3"/>
  <c r="AA36" i="3"/>
  <c r="T20" i="3"/>
  <c r="U17" i="3"/>
  <c r="Y8" i="2"/>
  <c r="Z8" i="2"/>
  <c r="Y6" i="2"/>
  <c r="Z6" i="2" s="1"/>
  <c r="U17" i="2"/>
  <c r="S20" i="2"/>
  <c r="U20" i="2" s="1"/>
  <c r="Z9" i="1"/>
  <c r="U20" i="1"/>
  <c r="U17" i="1"/>
  <c r="Z7" i="2" l="1"/>
  <c r="X7" i="3"/>
  <c r="Y7" i="3" s="1"/>
  <c r="Z7" i="3" s="1"/>
  <c r="U20" i="3"/>
  <c r="U19" i="3" s="1"/>
  <c r="P21" i="3" s="1"/>
  <c r="U19" i="2"/>
  <c r="P21" i="2" s="1"/>
  <c r="Z9" i="3"/>
  <c r="Z9" i="4"/>
  <c r="U19" i="4"/>
  <c r="P21" i="4" s="1"/>
  <c r="Z9" i="2"/>
  <c r="U19" i="1"/>
  <c r="P21" i="1"/>
</calcChain>
</file>

<file path=xl/sharedStrings.xml><?xml version="1.0" encoding="utf-8"?>
<sst xmlns="http://schemas.openxmlformats.org/spreadsheetml/2006/main" count="10471" uniqueCount="373">
  <si>
    <t>Дата</t>
  </si>
  <si>
    <t>01.01.2026</t>
  </si>
  <si>
    <t>Смена</t>
  </si>
  <si>
    <t>Мельница №5</t>
  </si>
  <si>
    <t>Плотность, %</t>
  </si>
  <si>
    <t>Ситовой анализ, % -74мкм</t>
  </si>
  <si>
    <t>Производительность мельниц, тн/ч</t>
  </si>
  <si>
    <t xml:space="preserve"> все мельницы</t>
  </si>
  <si>
    <t>Выпуск МКР</t>
  </si>
  <si>
    <t>Время</t>
  </si>
  <si>
    <t>на начало смены</t>
  </si>
  <si>
    <t>на конец смены</t>
  </si>
  <si>
    <t>переработка по счетчику</t>
  </si>
  <si>
    <t xml:space="preserve">№ </t>
  </si>
  <si>
    <t xml:space="preserve"> Переработка Ручной замер</t>
  </si>
  <si>
    <t>мин</t>
  </si>
  <si>
    <t>тонн</t>
  </si>
  <si>
    <t>Слив мельниц</t>
  </si>
  <si>
    <t>Слив гидроциклона</t>
  </si>
  <si>
    <t>Сгуститель</t>
  </si>
  <si>
    <t>Классификатор</t>
  </si>
  <si>
    <t>Гидроциклон</t>
  </si>
  <si>
    <t>МШР</t>
  </si>
  <si>
    <t>1ст</t>
  </si>
  <si>
    <t>2ст</t>
  </si>
  <si>
    <t>Мельница</t>
  </si>
  <si>
    <t>Ручной</t>
  </si>
  <si>
    <t>21</t>
  </si>
  <si>
    <t>22</t>
  </si>
  <si>
    <t>23</t>
  </si>
  <si>
    <t>№1</t>
  </si>
  <si>
    <t>24</t>
  </si>
  <si>
    <t>№3</t>
  </si>
  <si>
    <t>1</t>
  </si>
  <si>
    <t>Итого производ - ность за смену</t>
  </si>
  <si>
    <t>№4</t>
  </si>
  <si>
    <t>2</t>
  </si>
  <si>
    <t>№5</t>
  </si>
  <si>
    <t>3</t>
  </si>
  <si>
    <t>Руда с конвейера   Сито 12 мм</t>
  </si>
  <si>
    <t>4</t>
  </si>
  <si>
    <t>5</t>
  </si>
  <si>
    <t>+</t>
  </si>
  <si>
    <t>-</t>
  </si>
  <si>
    <t>6</t>
  </si>
  <si>
    <t>Исходная руда №1</t>
  </si>
  <si>
    <t>7</t>
  </si>
  <si>
    <t>Исходная руда №3</t>
  </si>
  <si>
    <t>8</t>
  </si>
  <si>
    <t>Исходная руда №4</t>
  </si>
  <si>
    <t>среднее</t>
  </si>
  <si>
    <t>Исходная руда №5</t>
  </si>
  <si>
    <t>Загрузка шаров мельниц</t>
  </si>
  <si>
    <t>Ø, мм</t>
  </si>
  <si>
    <t>тн</t>
  </si>
  <si>
    <t>Примечание</t>
  </si>
  <si>
    <t>Ситовый анализ 31.12.25 см 2</t>
  </si>
  <si>
    <t>Влага руды, %</t>
  </si>
  <si>
    <t>новые</t>
  </si>
  <si>
    <t>%</t>
  </si>
  <si>
    <t>Итого СМТ по весам за смену</t>
  </si>
  <si>
    <t>№2</t>
  </si>
  <si>
    <t>ГЦ№1</t>
  </si>
  <si>
    <t>Итого СМТ  замер за смену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</si>
  <si>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</si>
  <si>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</si>
  <si>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ГЦ№2</t>
  </si>
  <si>
    <t>Итого за сутки:</t>
  </si>
  <si>
    <t>Итого с начала месяца:</t>
  </si>
  <si>
    <t>Простой мельниц</t>
  </si>
  <si>
    <t>с</t>
  </si>
  <si>
    <t>до</t>
  </si>
  <si>
    <t>кол-во мин</t>
  </si>
  <si>
    <t>Причины простоя</t>
  </si>
  <si>
    <t xml:space="preserve">12часов </t>
  </si>
  <si>
    <t>МШР стоит - ППР.</t>
  </si>
  <si>
    <t xml:space="preserve">МШР №4 ручной замер - сбой эл счетчика. </t>
  </si>
  <si>
    <r>
      <t xml:space="preserve">В 20:20-20:29 шуровка бункера МШР №1. </t>
    </r>
    <r>
      <rPr>
        <b/>
        <sz val="14"/>
        <color rgb="FFFF0000"/>
        <rFont val="Times New Roman"/>
        <family val="1"/>
        <charset val="204"/>
      </rPr>
      <t xml:space="preserve">8 мин </t>
    </r>
    <r>
      <rPr>
        <b/>
        <sz val="14"/>
        <rFont val="Times New Roman"/>
        <family val="1"/>
      </rPr>
      <t/>
    </r>
  </si>
  <si>
    <t xml:space="preserve">  </t>
  </si>
  <si>
    <t>В 1:00 обнулился счетчик на МШР №5</t>
  </si>
  <si>
    <t xml:space="preserve">   </t>
  </si>
  <si>
    <t>Остаток МКР на начало смены</t>
  </si>
  <si>
    <t>Выпуск МКР за смену</t>
  </si>
  <si>
    <t>03:00</t>
  </si>
  <si>
    <t>05:00</t>
  </si>
  <si>
    <t>07:00</t>
  </si>
  <si>
    <t>ср.значение</t>
  </si>
  <si>
    <t>Отгружено МКР за смену</t>
  </si>
  <si>
    <t>рН слива ГЦ-1</t>
  </si>
  <si>
    <t>Количество автомашин</t>
  </si>
  <si>
    <t>Старший контролер ОТК:  Тусупбаева А.</t>
  </si>
  <si>
    <t>Остаток МКР на конец смены</t>
  </si>
  <si>
    <t>Контролер ОТК: Макулбеков Б.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</si>
  <si>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</si>
  <si>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</si>
  <si>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</si>
  <si>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</si>
  <si>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</si>
  <si>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</si>
  <si>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</si>
  <si>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</si>
  <si>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</si>
  <si>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</si>
  <si>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</si>
  <si>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</si>
  <si>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Ситовый анализ 01.01.26 см 1</t>
  </si>
  <si>
    <t>15:00</t>
  </si>
  <si>
    <t>17:00</t>
  </si>
  <si>
    <t>19:00</t>
  </si>
  <si>
    <t>Старший контролер ОТК: Хамзина Л.</t>
  </si>
  <si>
    <t>Контролер ОТК: Навроцкая Т.</t>
  </si>
  <si>
    <t>02.01.2026</t>
  </si>
  <si>
    <t>Ситовый анализ 02.01.26 см 1</t>
  </si>
  <si>
    <t>Ситовый анализ 01.01.26 см 2</t>
  </si>
  <si>
    <t xml:space="preserve"> С 10:00 МШР №4 ручной замер - сбой эл счетчика. </t>
  </si>
  <si>
    <r>
      <t>В 14:32 - 14:37 шуровка бункера МШР №1</t>
    </r>
    <r>
      <rPr>
        <b/>
        <sz val="14"/>
        <color rgb="FFFF0000"/>
        <rFont val="Times New Roman"/>
        <family val="1"/>
      </rPr>
      <t xml:space="preserve"> 5мин</t>
    </r>
    <r>
      <rPr>
        <b/>
        <sz val="14"/>
        <color theme="1"/>
        <rFont val="Times New Roman"/>
        <family val="1"/>
        <charset val="204"/>
      </rPr>
      <t>.</t>
    </r>
  </si>
  <si>
    <r>
      <t xml:space="preserve">В 17:30-17:39 остановили питание МШР №1 - перегруз. </t>
    </r>
    <r>
      <rPr>
        <b/>
        <sz val="14"/>
        <color rgb="FFFF0000"/>
        <rFont val="Times New Roman"/>
        <family val="1"/>
      </rPr>
      <t>9 мин</t>
    </r>
  </si>
  <si>
    <t>12 часов</t>
  </si>
  <si>
    <t xml:space="preserve"> МШР №4 ручной замер - сбой эл счетчика. </t>
  </si>
  <si>
    <r>
      <t xml:space="preserve">В 20:30-20:35 остановили питание МШР №1 - перегруз. </t>
    </r>
    <r>
      <rPr>
        <b/>
        <sz val="14"/>
        <color rgb="FFFF0000"/>
        <rFont val="Times New Roman"/>
        <family val="1"/>
      </rPr>
      <t>5 мин</t>
    </r>
  </si>
  <si>
    <t>В 09:20 перешли на 1 секцию флотации. В 9:30 остановили 2 секцию флотации.</t>
  </si>
  <si>
    <r>
      <t>В 09:36 - 09:48 остановили питание МШР №1 - перегруз.</t>
    </r>
    <r>
      <rPr>
        <b/>
        <sz val="14"/>
        <color rgb="FFFF0000"/>
        <rFont val="Times New Roman"/>
        <family val="1"/>
      </rPr>
      <t>12мин</t>
    </r>
    <r>
      <rPr>
        <b/>
        <sz val="14"/>
        <rFont val="Times New Roman"/>
        <family val="1"/>
      </rPr>
      <t xml:space="preserve">,11:25:11:30. </t>
    </r>
    <r>
      <rPr>
        <b/>
        <sz val="14"/>
        <color rgb="FFFF0000"/>
        <rFont val="Times New Roman"/>
        <family val="1"/>
      </rPr>
      <t>5мин</t>
    </r>
    <r>
      <rPr>
        <b/>
        <sz val="14"/>
        <rFont val="Times New Roman"/>
        <family val="1"/>
      </rPr>
      <t xml:space="preserve"> 15:30 - 15:39. </t>
    </r>
    <r>
      <rPr>
        <b/>
        <sz val="14"/>
        <color rgb="FFFF0000"/>
        <rFont val="Times New Roman"/>
        <family val="1"/>
      </rPr>
      <t xml:space="preserve">9мин </t>
    </r>
    <r>
      <rPr>
        <b/>
        <sz val="14"/>
        <rFont val="Times New Roman"/>
        <family val="1"/>
      </rPr>
      <t xml:space="preserve">16:05-16:16. </t>
    </r>
    <r>
      <rPr>
        <b/>
        <sz val="14"/>
        <color rgb="FFFF0000"/>
        <rFont val="Times New Roman"/>
        <family val="1"/>
      </rPr>
      <t>11 мин</t>
    </r>
  </si>
  <si>
    <t>03.01.2026</t>
  </si>
  <si>
    <t>Ситовый анализ 02.01.26 см 2</t>
  </si>
  <si>
    <t>8 часов 25 мин</t>
  </si>
  <si>
    <t>32 мин</t>
  </si>
  <si>
    <t xml:space="preserve">Остановили МШР №4 по мех части - подтяжка анкерных болтов </t>
  </si>
  <si>
    <t>04.01.2026</t>
  </si>
  <si>
    <t>Ситовый анализ 03.01.26 см 2</t>
  </si>
  <si>
    <t xml:space="preserve">Самопроизвольная остановка мельницы </t>
  </si>
  <si>
    <r>
      <t xml:space="preserve">В 21:10 - 21:20 остановка питание на ленте №17 МШР №3 - забился песковый насадка </t>
    </r>
    <r>
      <rPr>
        <b/>
        <sz val="14"/>
        <color rgb="FFFF0000"/>
        <rFont val="Times New Roman"/>
        <family val="1"/>
        <charset val="204"/>
      </rPr>
      <t>10мин</t>
    </r>
  </si>
  <si>
    <t>50 мин</t>
  </si>
  <si>
    <t>Ситовый анализ 04.01.26 см 1</t>
  </si>
  <si>
    <t>Ситовый анализ 03.01.26 см 1</t>
  </si>
  <si>
    <t>05.01.2026</t>
  </si>
  <si>
    <t>Ситовый анализ 05.01.26 см 1</t>
  </si>
  <si>
    <t>06.01.2026</t>
  </si>
  <si>
    <t>Ситовый анализ 06.01.26 см 1</t>
  </si>
  <si>
    <t>07.01.2026</t>
  </si>
  <si>
    <t>Ситовый анализ 07.01.26 см 1</t>
  </si>
  <si>
    <t>08.01.2026</t>
  </si>
  <si>
    <t>Ситовый анализ 08.01.26 см 1</t>
  </si>
  <si>
    <t>09.01.2026</t>
  </si>
  <si>
    <t>Ситовый анализ 08.01.26 см 2</t>
  </si>
  <si>
    <t>10.01.2026</t>
  </si>
  <si>
    <t>Ситовый анализ 09.01.26 см 2</t>
  </si>
  <si>
    <t>11.01.2026</t>
  </si>
  <si>
    <t>Ситовый анализ 10.01.26 см 2</t>
  </si>
  <si>
    <t>12.01.2026</t>
  </si>
  <si>
    <t>Ситовый анализ 11.01.26 см 2</t>
  </si>
  <si>
    <t>13.01.2026</t>
  </si>
  <si>
    <t>Ситовый анализ 12.01.26 см 2</t>
  </si>
  <si>
    <t>14.01.2026</t>
  </si>
  <si>
    <t>Ситовый анализ 13.01.26 см 2</t>
  </si>
  <si>
    <t>15.01.2026</t>
  </si>
  <si>
    <t>Ситовый анализ 14.01.26 см 2</t>
  </si>
  <si>
    <t>16.01.2026</t>
  </si>
  <si>
    <t>Ситовый анализ 15.01.26 см 2</t>
  </si>
  <si>
    <t>17.01.2026</t>
  </si>
  <si>
    <t>Ситовый анализ 16.01.26 см 2</t>
  </si>
  <si>
    <t>3 часа 07 мин</t>
  </si>
  <si>
    <t>МШР стоит по эл части - замена камеры, замена сцепления барабана.</t>
  </si>
  <si>
    <t>3 часа 54 мин</t>
  </si>
  <si>
    <t>Самопроизвольная остановка МШР по эл части - замена камеры, замена сцепления барабана.</t>
  </si>
  <si>
    <t>2 часа 43 мин</t>
  </si>
  <si>
    <t>Остановили МШР - ППР. Питание остановили в 14:02 - 17:03. В 16:00 закончили по мех части.</t>
  </si>
  <si>
    <t xml:space="preserve">С 18:00 МШР №1 ручной замер - сбой эл счетчика. </t>
  </si>
  <si>
    <t>Ситовый анализ 04.01.26 см 2</t>
  </si>
  <si>
    <t>В 06:25 поставили на выработку МШР №3</t>
  </si>
  <si>
    <t>20мин</t>
  </si>
  <si>
    <t xml:space="preserve">Остановка мельницы по тех.части - подтяжка болтов на барабане </t>
  </si>
  <si>
    <r>
      <t xml:space="preserve">В 23:30- 23:40 шуровка бункера МШР №3 </t>
    </r>
    <r>
      <rPr>
        <b/>
        <sz val="14"/>
        <color rgb="FFFF0000"/>
        <rFont val="Times New Roman"/>
        <family val="1"/>
        <charset val="204"/>
      </rPr>
      <t>10мин</t>
    </r>
  </si>
  <si>
    <t>Остановили МШЦ - ППР снизили Q МШР №1, МШР№3 до 36 тн/ч</t>
  </si>
  <si>
    <r>
      <t xml:space="preserve">В 10:25 - 10:33 шуровка бункера МШР №1. </t>
    </r>
    <r>
      <rPr>
        <b/>
        <sz val="14"/>
        <color rgb="FFFF0000"/>
        <rFont val="Times New Roman"/>
        <family val="1"/>
      </rPr>
      <t>8мин</t>
    </r>
  </si>
  <si>
    <t>МШР №4 ручной замер - сбой эл счетчика. Калибровка эл счетчика. С 12:00 Q по счетчику.</t>
  </si>
  <si>
    <t>3 часа 36 мин</t>
  </si>
  <si>
    <t>С 12:00 МШР №5 ручной замер - сбой эл счетчика. Калибровка эл счетчика. С 15:00 Q по счетчику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</si>
  <si>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</si>
  <si>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Ситовый анализ 05.01.26 см 2</t>
  </si>
  <si>
    <r>
      <t xml:space="preserve">В 20:30- 20:40 шуровка бункера МШР №3 </t>
    </r>
    <r>
      <rPr>
        <b/>
        <sz val="14"/>
        <color rgb="FFFF0000"/>
        <rFont val="Times New Roman"/>
        <family val="1"/>
        <charset val="204"/>
      </rPr>
      <t>10мин</t>
    </r>
  </si>
  <si>
    <r>
      <t xml:space="preserve">В 24:20- 24:30 шуровка бункера МШР №1 </t>
    </r>
    <r>
      <rPr>
        <b/>
        <sz val="14"/>
        <color rgb="FFFF0000"/>
        <rFont val="Times New Roman"/>
        <family val="1"/>
        <charset val="204"/>
      </rPr>
      <t>10мин</t>
    </r>
  </si>
  <si>
    <t xml:space="preserve">В 1:17 запустили №2 секцию флотации </t>
  </si>
  <si>
    <t xml:space="preserve">№1 </t>
  </si>
  <si>
    <t>С 13:00 МШР №4 ручной замер - сбой эл счетчика.</t>
  </si>
  <si>
    <t>4 часа 57 мин</t>
  </si>
  <si>
    <t>Остановили МШЦ по мех части - сварочные работы на течке, подтяжка болтов на бутаре.</t>
  </si>
  <si>
    <t xml:space="preserve">Остановили МШР по эл части - центровка привода. Питание остановили в 08:40.  </t>
  </si>
  <si>
    <t>1 час 04 мин</t>
  </si>
  <si>
    <t>С 17:00 МШР №1 ручной замер - сбой эл счетчика.</t>
  </si>
  <si>
    <t>С 19:00 МШР №3 ручной замер - сбой эл счетчика.</t>
  </si>
  <si>
    <t>Ситовый анализ 06.01.26 см 2</t>
  </si>
  <si>
    <r>
      <t xml:space="preserve">В 20:00 - 20:07 шуровка бункеров МШР №1,3,4  </t>
    </r>
    <r>
      <rPr>
        <b/>
        <sz val="14"/>
        <color rgb="FFFF0000"/>
        <rFont val="Times New Roman"/>
        <family val="1"/>
      </rPr>
      <t>7мин</t>
    </r>
  </si>
  <si>
    <t>МШР №1,№3,№4 ручной замер - сбой эл счетчика.</t>
  </si>
  <si>
    <t>С 03:00 МШР №5 ручной замер - сбой эл счетчика.</t>
  </si>
  <si>
    <r>
      <t xml:space="preserve">С 1:00 - 6:00 в течение часа шуровка всех бункеров </t>
    </r>
    <r>
      <rPr>
        <b/>
        <sz val="14"/>
        <color rgb="FFFF0000"/>
        <rFont val="Times New Roman"/>
        <family val="1"/>
      </rPr>
      <t>15мин. 18мин. 11мин.20мин.20мин</t>
    </r>
  </si>
  <si>
    <t>С 07:00 - 08:00 в течении часа шуровка бункера МШР №4.</t>
  </si>
  <si>
    <t xml:space="preserve"> МШР №4 ручной замер - сбой эл счетчика.</t>
  </si>
  <si>
    <t>3 часа 59 мин</t>
  </si>
  <si>
    <r>
      <t>В 12:26 - 12:42 шуровка бункера МШР №1.</t>
    </r>
    <r>
      <rPr>
        <b/>
        <sz val="14"/>
        <color rgb="FFFF0000"/>
        <rFont val="Times New Roman"/>
        <family val="1"/>
      </rPr>
      <t>16мин</t>
    </r>
  </si>
  <si>
    <t>Остановили МШР - ППР. Питание остановили в 08:20. В 10:30 закончили по мех части.</t>
  </si>
  <si>
    <t>С 10:00 - 11:00 шуровка бункера МШР №1, МШР №4.</t>
  </si>
  <si>
    <t>С 08:00 - 10:00 шуровка бункеров всех мельниц.</t>
  </si>
  <si>
    <t>С 14:00 - 15:00 шуровка бункеров всех мельниц.</t>
  </si>
  <si>
    <t>Остановили МШР - ППР. Питание остановили в 15:20</t>
  </si>
  <si>
    <t xml:space="preserve"> МШР №4 ручной замер - сбой эл счетчика. Калибровка эл счетчика. С 12:00 Q по счетчику.</t>
  </si>
  <si>
    <t>Остановка МШР - обрыв конвейерной ленты №18.</t>
  </si>
  <si>
    <t>С 18:00 - 19:00 в течении часа шуровка бункера МШР №1, МШР №5.</t>
  </si>
  <si>
    <t>Самопроизвольная остановка МШЦ по эл части - замена обратного, распределительного клапана.</t>
  </si>
  <si>
    <t>4 часа 31 мин</t>
  </si>
  <si>
    <t>2 часа 11 мин</t>
  </si>
  <si>
    <t>56 мин</t>
  </si>
  <si>
    <t>Ситовый анализ 07.01.26 см 2</t>
  </si>
  <si>
    <t>04мин</t>
  </si>
  <si>
    <t>Остановка МШЦ по эл части - замена обратного, распределительного клапана.</t>
  </si>
  <si>
    <t>Остановили МШР - ППР</t>
  </si>
  <si>
    <t>6час 12мин</t>
  </si>
  <si>
    <t xml:space="preserve"> С 03:00 МШР №1 ручной замер - сбой эл счетчика.</t>
  </si>
  <si>
    <t xml:space="preserve"> С 04:00 МШР №4 ручной замер - сбой эл счетчика.</t>
  </si>
  <si>
    <r>
      <t>В 20:25 - 20:35 шуровка бункера МШР №5 .</t>
    </r>
    <r>
      <rPr>
        <b/>
        <sz val="14"/>
        <color rgb="FFFF0000"/>
        <rFont val="Times New Roman"/>
        <family val="1"/>
        <charset val="204"/>
      </rPr>
      <t>10мин</t>
    </r>
  </si>
  <si>
    <r>
      <t>В 01:25 - 01:37 перегруз МШР №1 .</t>
    </r>
    <r>
      <rPr>
        <b/>
        <sz val="14"/>
        <color rgb="FFFF0000"/>
        <rFont val="Times New Roman"/>
        <family val="1"/>
        <charset val="204"/>
      </rPr>
      <t>12мин</t>
    </r>
  </si>
  <si>
    <r>
      <t>В  20:35 - 20:45 остановка конвейерной ленты №15 МШР №1 установили заклепки</t>
    </r>
    <r>
      <rPr>
        <b/>
        <sz val="14"/>
        <color rgb="FFFF0000"/>
        <rFont val="Times New Roman"/>
        <family val="1"/>
        <charset val="204"/>
      </rPr>
      <t xml:space="preserve"> 10мин</t>
    </r>
  </si>
  <si>
    <t>МШР №1, №4  ручной замер - сбой эл.счетчика.</t>
  </si>
  <si>
    <t>В 08:20 поставили на выработку МШР №3</t>
  </si>
  <si>
    <t xml:space="preserve">Остановка мельницы по мех.части - подтяжка анкерных болтов </t>
  </si>
  <si>
    <r>
      <t xml:space="preserve">В 08:10 - 08:15 произвели калибровку эл.весов МШР №1 </t>
    </r>
    <r>
      <rPr>
        <b/>
        <sz val="14"/>
        <color rgb="FFFF0000"/>
        <rFont val="Times New Roman"/>
        <family val="1"/>
      </rPr>
      <t>5мин</t>
    </r>
  </si>
  <si>
    <r>
      <t xml:space="preserve">С 12:20 - 12:33 шуровка бункера МШР №3 </t>
    </r>
    <r>
      <rPr>
        <b/>
        <sz val="14"/>
        <color rgb="FFFF0000"/>
        <rFont val="Times New Roman"/>
        <family val="1"/>
      </rPr>
      <t>13мин</t>
    </r>
  </si>
  <si>
    <t>С 14:00 - 16:00 шуровка бункеров МШР №1, МШР №3, МШР №4</t>
  </si>
  <si>
    <t>Остановили МШЦ по мех части - подтяжка анкерных болтов. Снизили Q МШР №1,МШР №3 до 36 тн/ч.</t>
  </si>
  <si>
    <t>27 мин</t>
  </si>
  <si>
    <t>19 мин</t>
  </si>
  <si>
    <r>
      <t xml:space="preserve">В 20:05 - 20:15 остановили питание МШР №3 - перегруз </t>
    </r>
    <r>
      <rPr>
        <b/>
        <sz val="14"/>
        <color rgb="FFFF0000"/>
        <rFont val="Times New Roman"/>
        <family val="1"/>
      </rPr>
      <t>10мин</t>
    </r>
    <r>
      <rPr>
        <b/>
        <sz val="14"/>
        <color theme="1"/>
        <rFont val="Times New Roman"/>
        <family val="1"/>
        <charset val="204"/>
      </rPr>
      <t>.</t>
    </r>
  </si>
  <si>
    <t>01.02.2026</t>
  </si>
  <si>
    <t>Ситовый анализ 31.01.26 см 2</t>
  </si>
  <si>
    <t>Ситовый анализ 01.02.26 см 1</t>
  </si>
  <si>
    <t>02.02.2026</t>
  </si>
  <si>
    <t>Ситовый анализ 01.02.26 см 2</t>
  </si>
  <si>
    <t>Ситовый анализ 02.02.26 см 1</t>
  </si>
  <si>
    <t>Ситовый анализ 09.01.26 см 1</t>
  </si>
  <si>
    <t>В 08:52 поставили на выработку МШР №1</t>
  </si>
  <si>
    <t>Остановка мельницы - ППР</t>
  </si>
  <si>
    <t>2час 07мин</t>
  </si>
  <si>
    <t>В 12:30 Произвели калибровку эл.весов МШР №1</t>
  </si>
  <si>
    <t>С 14:00 МШР №1 ручной замер - сбой эл счетчика.</t>
  </si>
  <si>
    <t xml:space="preserve"> МШР №1 ручной замер - сбой эл счетчика.</t>
  </si>
  <si>
    <r>
      <t xml:space="preserve">В 23:14 - 23:25 шуровка бункера МШР №4. </t>
    </r>
    <r>
      <rPr>
        <b/>
        <sz val="14"/>
        <color rgb="FFFF0000"/>
        <rFont val="Times New Roman"/>
        <family val="1"/>
      </rPr>
      <t>11мин</t>
    </r>
    <r>
      <rPr>
        <b/>
        <sz val="14"/>
        <color theme="1"/>
        <rFont val="Times New Roman"/>
        <family val="1"/>
        <charset val="204"/>
      </rPr>
      <t>.</t>
    </r>
  </si>
  <si>
    <t>Остановили МШР  - замена болта на соединении улиткового питателя с горловиной. Замена пускателя.</t>
  </si>
  <si>
    <t>С 05:00 МШР №4 ручной замер - сбой эл счетчика.</t>
  </si>
  <si>
    <r>
      <t>В 20:22 - 20:37 шуровка бункера МШР №3.</t>
    </r>
    <r>
      <rPr>
        <b/>
        <sz val="14"/>
        <color rgb="FFFF0000"/>
        <rFont val="Times New Roman"/>
        <family val="1"/>
      </rPr>
      <t xml:space="preserve"> 15мин</t>
    </r>
    <r>
      <rPr>
        <b/>
        <sz val="14"/>
        <color theme="1"/>
        <rFont val="Times New Roman"/>
        <family val="1"/>
        <charset val="204"/>
      </rPr>
      <t xml:space="preserve">. 23:31 - 23:47. </t>
    </r>
    <r>
      <rPr>
        <b/>
        <sz val="14"/>
        <color rgb="FFFF0000"/>
        <rFont val="Times New Roman"/>
        <family val="1"/>
      </rPr>
      <t>16мин</t>
    </r>
    <r>
      <rPr>
        <b/>
        <sz val="14"/>
        <color theme="1"/>
        <rFont val="Times New Roman"/>
        <family val="1"/>
        <charset val="204"/>
      </rPr>
      <t xml:space="preserve">. </t>
    </r>
  </si>
  <si>
    <t>Ситовый анализ 10.01.26 см 1</t>
  </si>
  <si>
    <r>
      <t xml:space="preserve">В 10:10 - 10:19 перегруз МШР №1 </t>
    </r>
    <r>
      <rPr>
        <b/>
        <sz val="14"/>
        <color rgb="FFFF0000"/>
        <rFont val="Times New Roman"/>
        <family val="1"/>
      </rPr>
      <t>9мин</t>
    </r>
  </si>
  <si>
    <r>
      <t xml:space="preserve">В 10:10 - 10:21 перегруз МШР №3 </t>
    </r>
    <r>
      <rPr>
        <b/>
        <sz val="14"/>
        <color rgb="FFFF0000"/>
        <rFont val="Times New Roman"/>
        <family val="1"/>
      </rPr>
      <t>11мин</t>
    </r>
  </si>
  <si>
    <t xml:space="preserve">В 10:10 произвели калибровку эл.весов МШР №1,№3,№4 </t>
  </si>
  <si>
    <t xml:space="preserve">С 13:00 МШР №3 ручной замер - сбой эл.счетчика </t>
  </si>
  <si>
    <t xml:space="preserve"> МШР №1, №4 ручной замер - сбой эл счетчика.  </t>
  </si>
  <si>
    <t xml:space="preserve">Остановка мельницы по мех.части - сварочные работы на течке </t>
  </si>
  <si>
    <t>3час 16мин</t>
  </si>
  <si>
    <t xml:space="preserve">С 07:00 снизили Q по всем мельницам </t>
  </si>
  <si>
    <t>Ситовый анализ 11.01.26 см 1</t>
  </si>
  <si>
    <t>В 08:40 поставили на выработку МШР №1</t>
  </si>
  <si>
    <t xml:space="preserve">Остановка мельницы по эл.части - центровка электродвигателя </t>
  </si>
  <si>
    <t xml:space="preserve">С 11:00 МШР №3 ручной замер - сбой эл.счетчика </t>
  </si>
  <si>
    <t>3час 38мин</t>
  </si>
  <si>
    <r>
      <t xml:space="preserve">В 15:20 - 15:30 перегруз МШР №3 </t>
    </r>
    <r>
      <rPr>
        <b/>
        <sz val="14"/>
        <color rgb="FFFF0000"/>
        <rFont val="Times New Roman"/>
        <family val="1"/>
      </rPr>
      <t>10мин</t>
    </r>
  </si>
  <si>
    <r>
      <t>В 15:15 - 15:24 перегруз МШР №4</t>
    </r>
    <r>
      <rPr>
        <b/>
        <sz val="14"/>
        <color rgb="FFFF0000"/>
        <rFont val="Times New Roman"/>
        <family val="1"/>
      </rPr>
      <t xml:space="preserve"> 9мин</t>
    </r>
  </si>
  <si>
    <r>
      <t xml:space="preserve">В 17:45 - 17:55 перегруз МШР №5 </t>
    </r>
    <r>
      <rPr>
        <b/>
        <sz val="14"/>
        <color rgb="FFFF0000"/>
        <rFont val="Times New Roman"/>
        <family val="1"/>
      </rPr>
      <t>10мин</t>
    </r>
  </si>
  <si>
    <r>
      <t>В 02:50 - 02:59 остановили питание МШР №3 - перегруз.</t>
    </r>
    <r>
      <rPr>
        <b/>
        <sz val="14"/>
        <color rgb="FFFF0000"/>
        <rFont val="Times New Roman"/>
        <family val="1"/>
      </rPr>
      <t xml:space="preserve"> 9мин</t>
    </r>
  </si>
  <si>
    <t>12 мин</t>
  </si>
  <si>
    <t>Самопроизвольная остановка МШР по эл части - МТЗ.</t>
  </si>
  <si>
    <t>Ситовый анализ 12.01.26 см 1</t>
  </si>
  <si>
    <t>В 08:00 поставили на выработку МШР №4</t>
  </si>
  <si>
    <r>
      <t xml:space="preserve">В 08:00 - 08:26 перегруз МШР №3 </t>
    </r>
    <r>
      <rPr>
        <b/>
        <sz val="14"/>
        <color rgb="FFFF0000"/>
        <rFont val="Times New Roman"/>
        <family val="1"/>
      </rPr>
      <t>26мин</t>
    </r>
  </si>
  <si>
    <r>
      <t xml:space="preserve">В 08:15 - 08:22 перегруз МШР №1 </t>
    </r>
    <r>
      <rPr>
        <b/>
        <sz val="14"/>
        <color rgb="FFFF0000"/>
        <rFont val="Times New Roman"/>
        <family val="1"/>
      </rPr>
      <t>7мин</t>
    </r>
  </si>
  <si>
    <t>C 11:00- ручной замер №1 №3 - сбой эл. счетчика</t>
  </si>
  <si>
    <t>Остановка мельницы по мех части - замена питательной ленты №18 (13:35 закончили по мех.части)</t>
  </si>
  <si>
    <t xml:space="preserve">8час 16мин </t>
  </si>
  <si>
    <t>В 16:30 произвели корректировку эл.весов МШР №1,№3</t>
  </si>
  <si>
    <r>
      <t>В 22:01 - 22:09 остановили питание МШР №4 - заклинило кнопку включателя конвейерной ленты.</t>
    </r>
    <r>
      <rPr>
        <b/>
        <sz val="14"/>
        <color rgb="FFFF0000"/>
        <rFont val="Times New Roman"/>
        <family val="1"/>
      </rPr>
      <t>8мин</t>
    </r>
  </si>
  <si>
    <t>Ситовый анализ 13.01.26 см 1</t>
  </si>
  <si>
    <t>В 15:26 поставили на выработку МШР №5</t>
  </si>
  <si>
    <r>
      <t xml:space="preserve">В 13:04 - 13:14 перегруз МШР №1 </t>
    </r>
    <r>
      <rPr>
        <b/>
        <sz val="14"/>
        <color rgb="FFFF0000"/>
        <rFont val="Times New Roman"/>
        <family val="1"/>
        <charset val="204"/>
      </rPr>
      <t>10мин</t>
    </r>
  </si>
  <si>
    <t>Остановка мельницы по тех.части - подтяжка анкерных болтов (15:00 закончили по мех.части)</t>
  </si>
  <si>
    <t>В 16:04 поставили на выработку МШР №3</t>
  </si>
  <si>
    <t>3 часа 02 мин</t>
  </si>
  <si>
    <t>29 мин</t>
  </si>
  <si>
    <r>
      <t>В 20:15 - 20:30 шуровка бункера МШР №4.</t>
    </r>
    <r>
      <rPr>
        <b/>
        <sz val="14"/>
        <color rgb="FFFF0000"/>
        <rFont val="Times New Roman"/>
        <family val="1"/>
      </rPr>
      <t>15мин</t>
    </r>
  </si>
  <si>
    <t>С 23:00 МШР №4 ручной замер - сбой эл счетчика.</t>
  </si>
  <si>
    <t>Ситовый анализ 14.01.26 см 1</t>
  </si>
  <si>
    <t>МШР №4 ручной замер - сбой эл счетчика.</t>
  </si>
  <si>
    <r>
      <t xml:space="preserve">В 09:30 - 09:36 перегруз МШР №1 </t>
    </r>
    <r>
      <rPr>
        <b/>
        <sz val="14"/>
        <color rgb="FFFF0000"/>
        <rFont val="Times New Roman"/>
        <family val="1"/>
      </rPr>
      <t>6мин</t>
    </r>
  </si>
  <si>
    <r>
      <t xml:space="preserve">В 09:10 - 09:20 перегруз МШР №3 </t>
    </r>
    <r>
      <rPr>
        <b/>
        <sz val="14"/>
        <color rgb="FFFF0000"/>
        <rFont val="Times New Roman"/>
        <family val="1"/>
      </rPr>
      <t>10мин</t>
    </r>
  </si>
  <si>
    <r>
      <t>В 20:55 - 21:09 остановили питание МШР №3 - перегруз.</t>
    </r>
    <r>
      <rPr>
        <b/>
        <sz val="14"/>
        <color rgb="FFFF0000"/>
        <rFont val="Times New Roman"/>
        <family val="1"/>
      </rPr>
      <t>14мин</t>
    </r>
  </si>
  <si>
    <r>
      <t>В 20:50 - 21:05 остановили питание МШР №1 - перегруз.</t>
    </r>
    <r>
      <rPr>
        <b/>
        <sz val="14"/>
        <color rgb="FFFF0000"/>
        <rFont val="Times New Roman"/>
        <family val="1"/>
      </rPr>
      <t>15мин</t>
    </r>
  </si>
  <si>
    <t>Ситовый анализ 15.01.26 см 1</t>
  </si>
  <si>
    <t xml:space="preserve">В 08:00 - 09:00 в течение часа нехватка руды МШР №1 </t>
  </si>
  <si>
    <r>
      <t xml:space="preserve">В 09:20 - 09:30 шуровка бункера МШР №1. </t>
    </r>
    <r>
      <rPr>
        <b/>
        <sz val="14"/>
        <color rgb="FFFF0000"/>
        <rFont val="Times New Roman"/>
        <family val="1"/>
      </rPr>
      <t>10мин</t>
    </r>
  </si>
  <si>
    <r>
      <t xml:space="preserve">В 09:10 - 09:30 перегруз МШР №5 </t>
    </r>
    <r>
      <rPr>
        <b/>
        <sz val="14"/>
        <color rgb="FFFF0000"/>
        <rFont val="Times New Roman"/>
        <family val="1"/>
      </rPr>
      <t>20мин</t>
    </r>
  </si>
  <si>
    <t xml:space="preserve">В 09:20 - 11:20 Остановка КСН №5 -  по мех.части </t>
  </si>
  <si>
    <r>
      <t xml:space="preserve">В 09:25 - 09:37 шуровка бункера МШР №3. </t>
    </r>
    <r>
      <rPr>
        <b/>
        <sz val="14"/>
        <color rgb="FFFF0000"/>
        <rFont val="Times New Roman"/>
        <family val="1"/>
      </rPr>
      <t xml:space="preserve">12мин. </t>
    </r>
    <r>
      <rPr>
        <b/>
        <sz val="14"/>
        <rFont val="Times New Roman"/>
        <family val="1"/>
      </rPr>
      <t>10:00 - 10:09</t>
    </r>
    <r>
      <rPr>
        <b/>
        <sz val="14"/>
        <color rgb="FFFF0000"/>
        <rFont val="Times New Roman"/>
        <family val="1"/>
      </rPr>
      <t xml:space="preserve"> 9мин. </t>
    </r>
    <r>
      <rPr>
        <b/>
        <sz val="14"/>
        <rFont val="Times New Roman"/>
        <family val="1"/>
      </rPr>
      <t>13:40 - 13:52</t>
    </r>
    <r>
      <rPr>
        <b/>
        <sz val="14"/>
        <color rgb="FFFF0000"/>
        <rFont val="Times New Roman"/>
        <family val="1"/>
      </rPr>
      <t xml:space="preserve"> 12мин</t>
    </r>
  </si>
  <si>
    <r>
      <t xml:space="preserve">В 18:10 - 09:25 шуровка бункера МШР №5 </t>
    </r>
    <r>
      <rPr>
        <b/>
        <sz val="14"/>
        <color rgb="FFFF0000"/>
        <rFont val="Times New Roman"/>
        <family val="1"/>
      </rPr>
      <t>15мин</t>
    </r>
  </si>
  <si>
    <r>
      <t>В19:08 - 19:18 перегруз МШР №1.</t>
    </r>
    <r>
      <rPr>
        <b/>
        <sz val="14"/>
        <color rgb="FFFF0000"/>
        <rFont val="Times New Roman"/>
        <family val="1"/>
      </rPr>
      <t>10мин</t>
    </r>
  </si>
  <si>
    <r>
      <t>В 19:11 - 19:21 перегруз МШР №3.</t>
    </r>
    <r>
      <rPr>
        <b/>
        <sz val="14"/>
        <color rgb="FFFF0000"/>
        <rFont val="Times New Roman"/>
        <family val="1"/>
      </rPr>
      <t>10мин</t>
    </r>
  </si>
  <si>
    <t>С 01:00 МШР №4 ручной замер - сбой эл счетчика.</t>
  </si>
  <si>
    <r>
      <t>В 20:50 - 20:59 шуровка бункера МШР №3.</t>
    </r>
    <r>
      <rPr>
        <b/>
        <sz val="14"/>
        <color rgb="FFFF0000"/>
        <rFont val="Times New Roman"/>
        <family val="1"/>
      </rPr>
      <t xml:space="preserve"> 9мин</t>
    </r>
    <r>
      <rPr>
        <b/>
        <sz val="14"/>
        <rFont val="Times New Roman"/>
        <family val="1"/>
      </rPr>
      <t>, 21:09 - 21:16</t>
    </r>
    <r>
      <rPr>
        <b/>
        <sz val="14"/>
        <color rgb="FFFF0000"/>
        <rFont val="Times New Roman"/>
        <family val="1"/>
      </rPr>
      <t xml:space="preserve"> 7мин </t>
    </r>
    <r>
      <rPr>
        <b/>
        <sz val="14"/>
        <rFont val="Times New Roman"/>
        <family val="1"/>
      </rPr>
      <t>01:32 - 01:42</t>
    </r>
    <r>
      <rPr>
        <b/>
        <sz val="14"/>
        <color rgb="FFFF0000"/>
        <rFont val="Times New Roman"/>
        <family val="1"/>
      </rPr>
      <t xml:space="preserve"> 10мин</t>
    </r>
  </si>
  <si>
    <r>
      <t xml:space="preserve">В 20:41 - 20:54 шуровка бункера МШР №1. </t>
    </r>
    <r>
      <rPr>
        <b/>
        <sz val="14"/>
        <color rgb="FFFF0000"/>
        <rFont val="Times New Roman"/>
        <family val="1"/>
      </rPr>
      <t>13м</t>
    </r>
    <r>
      <rPr>
        <b/>
        <sz val="14"/>
        <rFont val="Times New Roman"/>
        <family val="1"/>
      </rPr>
      <t xml:space="preserve">, 21:15 - 21:23 </t>
    </r>
    <r>
      <rPr>
        <b/>
        <sz val="14"/>
        <color rgb="FFFF0000"/>
        <rFont val="Times New Roman"/>
        <family val="1"/>
      </rPr>
      <t>8м</t>
    </r>
    <r>
      <rPr>
        <b/>
        <sz val="14"/>
        <rFont val="Times New Roman"/>
        <family val="1"/>
      </rPr>
      <t xml:space="preserve"> 00:10 - 00:26.</t>
    </r>
    <r>
      <rPr>
        <b/>
        <sz val="14"/>
        <color rgb="FFFF0000"/>
        <rFont val="Times New Roman"/>
        <family val="1"/>
      </rPr>
      <t>16м</t>
    </r>
    <r>
      <rPr>
        <b/>
        <sz val="14"/>
        <rFont val="Times New Roman"/>
        <family val="1"/>
      </rPr>
      <t xml:space="preserve"> 02:26 - 02:37.</t>
    </r>
    <r>
      <rPr>
        <b/>
        <sz val="14"/>
        <color rgb="FFFF0000"/>
        <rFont val="Times New Roman"/>
        <family val="1"/>
      </rPr>
      <t xml:space="preserve">11м </t>
    </r>
    <r>
      <rPr>
        <b/>
        <sz val="14"/>
        <rFont val="Times New Roman"/>
        <family val="1"/>
      </rPr>
      <t>03:32-03:39.</t>
    </r>
    <r>
      <rPr>
        <b/>
        <sz val="14"/>
        <color rgb="FFFF0000"/>
        <rFont val="Times New Roman"/>
        <family val="1"/>
      </rPr>
      <t>7м</t>
    </r>
  </si>
  <si>
    <r>
      <t>В 05:15-05:23 шуровка бункера МШР №1.</t>
    </r>
    <r>
      <rPr>
        <b/>
        <sz val="14"/>
        <color rgb="FFFF0000"/>
        <rFont val="Times New Roman"/>
        <family val="1"/>
      </rPr>
      <t>8мин</t>
    </r>
  </si>
  <si>
    <t>Ситовый анализ 16.01.26 см 1</t>
  </si>
  <si>
    <r>
      <t>В 12:25 - 12:35 перегруз МШР №3.</t>
    </r>
    <r>
      <rPr>
        <b/>
        <sz val="14"/>
        <color rgb="FFFF0000"/>
        <rFont val="Times New Roman"/>
        <family val="1"/>
      </rPr>
      <t>10мин</t>
    </r>
  </si>
  <si>
    <r>
      <t>В 12:30-12:40 шуровка бункера МШР №1.</t>
    </r>
    <r>
      <rPr>
        <b/>
        <sz val="14"/>
        <color rgb="FFFF0000"/>
        <rFont val="Times New Roman"/>
        <family val="1"/>
      </rPr>
      <t xml:space="preserve">10мин </t>
    </r>
    <r>
      <rPr>
        <b/>
        <sz val="14"/>
        <color theme="1"/>
        <rFont val="Times New Roman"/>
        <family val="1"/>
      </rPr>
      <t xml:space="preserve">14:35 - 14:45  </t>
    </r>
    <r>
      <rPr>
        <b/>
        <sz val="14"/>
        <color rgb="FFFF0000"/>
        <rFont val="Times New Roman"/>
        <family val="1"/>
      </rPr>
      <t>10мин</t>
    </r>
  </si>
  <si>
    <t>Старший контролер ОТК: Медетбаева Л.</t>
  </si>
  <si>
    <t>Контролер ОТК:Мухтар Б.</t>
  </si>
  <si>
    <r>
      <t xml:space="preserve">В 21:50 - 22:00  перегруз МШР №4   </t>
    </r>
    <r>
      <rPr>
        <b/>
        <sz val="14"/>
        <color rgb="FFFF0000"/>
        <rFont val="Times New Roman"/>
        <family val="1"/>
      </rPr>
      <t xml:space="preserve">10мин  </t>
    </r>
    <r>
      <rPr>
        <b/>
        <sz val="14"/>
        <color theme="1"/>
        <rFont val="Times New Roman"/>
        <family val="1"/>
      </rPr>
      <t xml:space="preserve"> В   22:00 - 22:02 </t>
    </r>
    <r>
      <rPr>
        <b/>
        <sz val="14"/>
        <color rgb="FFFF0000"/>
        <rFont val="Times New Roman"/>
        <family val="1"/>
      </rPr>
      <t xml:space="preserve">  2 мин   </t>
    </r>
    <r>
      <rPr>
        <b/>
        <sz val="14"/>
        <color theme="1"/>
        <rFont val="Times New Roman"/>
        <family val="1"/>
      </rPr>
      <t xml:space="preserve">В 00:00 - 00:28 </t>
    </r>
    <r>
      <rPr>
        <b/>
        <sz val="14"/>
        <color rgb="FFFF0000"/>
        <rFont val="Times New Roman"/>
        <family val="1"/>
      </rPr>
      <t xml:space="preserve">   28 мин</t>
    </r>
  </si>
  <si>
    <r>
      <t xml:space="preserve">В 04:52 - 05:00  забилась насадка МШР №4   </t>
    </r>
    <r>
      <rPr>
        <b/>
        <sz val="14"/>
        <color rgb="FFFF0000"/>
        <rFont val="Times New Roman"/>
        <family val="1"/>
      </rPr>
      <t xml:space="preserve">8мин  </t>
    </r>
    <r>
      <rPr>
        <b/>
        <sz val="14"/>
        <color theme="1"/>
        <rFont val="Times New Roman"/>
        <family val="1"/>
      </rPr>
      <t xml:space="preserve"> </t>
    </r>
  </si>
  <si>
    <t>\7</t>
  </si>
  <si>
    <r>
      <t xml:space="preserve">В 07:30 - 07:40  перегруз МШР №3   </t>
    </r>
    <r>
      <rPr>
        <b/>
        <sz val="14"/>
        <color rgb="FFFF0000"/>
        <rFont val="Times New Roman"/>
        <family val="1"/>
      </rPr>
      <t xml:space="preserve">10мин  </t>
    </r>
    <r>
      <rPr>
        <b/>
        <sz val="14"/>
        <color theme="1"/>
        <rFont val="Times New Roman"/>
        <family val="1"/>
      </rPr>
      <t/>
    </r>
  </si>
  <si>
    <t>Старший контролер ОТК:  Матковская Л.</t>
  </si>
  <si>
    <t>Ситовый анализ 17.01.26 см 1</t>
  </si>
  <si>
    <t>Остановка мельницы - по мех. части</t>
  </si>
  <si>
    <t xml:space="preserve">№5 </t>
  </si>
  <si>
    <t>В 08:30 МШР №5 - поставили на выработку</t>
  </si>
  <si>
    <r>
      <t xml:space="preserve">В 08:40 - 08:50  перегруз МШР №1   </t>
    </r>
    <r>
      <rPr>
        <b/>
        <sz val="14"/>
        <color rgb="FFFF0000"/>
        <rFont val="Times New Roman"/>
        <family val="1"/>
      </rPr>
      <t xml:space="preserve">10мин  </t>
    </r>
    <r>
      <rPr>
        <b/>
        <sz val="14"/>
        <color theme="1"/>
        <rFont val="Times New Roman"/>
        <family val="1"/>
      </rPr>
      <t/>
    </r>
  </si>
  <si>
    <t>18.01.2026</t>
  </si>
  <si>
    <t>Ситовый анализ 18.01.26 см 1</t>
  </si>
  <si>
    <r>
      <t>В 09:35- 09:45 шуровка бункера МШР №3.</t>
    </r>
    <r>
      <rPr>
        <b/>
        <sz val="14"/>
        <color rgb="FFFF0000"/>
        <rFont val="Times New Roman"/>
        <family val="1"/>
      </rPr>
      <t xml:space="preserve">10мин </t>
    </r>
  </si>
  <si>
    <t>2час 27мин</t>
  </si>
  <si>
    <t>1мин</t>
  </si>
  <si>
    <t>В 11:18 МШР №1 - поставили на выработку</t>
  </si>
  <si>
    <t>26мин</t>
  </si>
  <si>
    <t>В 14:16 МШР №3 - поставили на выработку</t>
  </si>
  <si>
    <t>Остановка мельницы - по мех.части, подтяжка анкерных болтов</t>
  </si>
  <si>
    <t>13мин</t>
  </si>
  <si>
    <t>Самопроизвольная остановка</t>
  </si>
  <si>
    <t>8мин</t>
  </si>
  <si>
    <t>Самопроизвольная остановка - прессостат датчик давления</t>
  </si>
  <si>
    <t>1 час 26 мин</t>
  </si>
  <si>
    <t>Снизили переработку МШР №1,№3</t>
  </si>
  <si>
    <t>Ситовый анализ 17.01.26 см 2</t>
  </si>
  <si>
    <t>№ 2</t>
  </si>
  <si>
    <t>18 мин</t>
  </si>
  <si>
    <t>МШЦ стоит - прессостат датчик давления</t>
  </si>
  <si>
    <r>
      <t xml:space="preserve">В 23:50-24:05 остановка питание на ленте №15 МШР 1- перегруз  </t>
    </r>
    <r>
      <rPr>
        <b/>
        <sz val="14"/>
        <color rgb="FFFF0000"/>
        <rFont val="Times New Roman"/>
        <family val="1"/>
      </rPr>
      <t xml:space="preserve">15 мин  </t>
    </r>
    <r>
      <rPr>
        <b/>
        <sz val="14"/>
        <rFont val="Times New Roman"/>
        <family val="1"/>
      </rPr>
      <t>02:51-03:00</t>
    </r>
    <r>
      <rPr>
        <b/>
        <sz val="14"/>
        <color rgb="FFFF0000"/>
        <rFont val="Times New Roman"/>
        <family val="1"/>
      </rPr>
      <t xml:space="preserve"> 9 мин   </t>
    </r>
    <r>
      <rPr>
        <b/>
        <sz val="14"/>
        <rFont val="Times New Roman"/>
        <family val="1"/>
      </rPr>
      <t xml:space="preserve">03:22 - 03:32  </t>
    </r>
    <r>
      <rPr>
        <b/>
        <sz val="14"/>
        <color rgb="FFFF0000"/>
        <rFont val="Times New Roman"/>
        <family val="1"/>
      </rPr>
      <t xml:space="preserve"> 10 мин</t>
    </r>
  </si>
  <si>
    <r>
      <t xml:space="preserve">В 24:24-24:34 остановка питание на ленте №17 МШР 3- перегруз  </t>
    </r>
    <r>
      <rPr>
        <b/>
        <sz val="14"/>
        <color rgb="FFFF0000"/>
        <rFont val="Times New Roman"/>
        <family val="1"/>
      </rPr>
      <t xml:space="preserve">10 мин  </t>
    </r>
    <r>
      <rPr>
        <b/>
        <sz val="14"/>
        <rFont val="Times New Roman"/>
        <family val="1"/>
      </rPr>
      <t>02:55-03:00</t>
    </r>
    <r>
      <rPr>
        <b/>
        <sz val="14"/>
        <color rgb="FFFF0000"/>
        <rFont val="Times New Roman"/>
        <family val="1"/>
      </rPr>
      <t xml:space="preserve"> 5 мин    </t>
    </r>
    <r>
      <rPr>
        <b/>
        <sz val="14"/>
        <rFont val="Times New Roman"/>
        <family val="1"/>
      </rPr>
      <t xml:space="preserve">03:42 -   03:57 </t>
    </r>
    <r>
      <rPr>
        <b/>
        <sz val="14"/>
        <color rgb="FFFF0000"/>
        <rFont val="Times New Roman"/>
        <family val="1"/>
      </rPr>
      <t xml:space="preserve">   15 мин</t>
    </r>
  </si>
  <si>
    <r>
      <t xml:space="preserve">В  04:40 - 05:00  остановка питание на ленте №24 МШР 5- перегруз </t>
    </r>
    <r>
      <rPr>
        <b/>
        <sz val="14"/>
        <color rgb="FFFF0000"/>
        <rFont val="Times New Roman"/>
        <family val="1"/>
      </rPr>
      <t xml:space="preserve">  20 мин   </t>
    </r>
    <r>
      <rPr>
        <b/>
        <sz val="14"/>
        <rFont val="Times New Roman"/>
        <family val="1"/>
      </rPr>
      <t xml:space="preserve">05:00 - 05:15 </t>
    </r>
    <r>
      <rPr>
        <b/>
        <sz val="14"/>
        <color rgb="FFFF0000"/>
        <rFont val="Times New Roman"/>
        <family val="1"/>
      </rPr>
      <t xml:space="preserve"> 15 мин </t>
    </r>
    <r>
      <rPr>
        <b/>
        <sz val="14"/>
        <rFont val="Times New Roman"/>
        <family val="1"/>
      </rPr>
      <t>06:40-06:50</t>
    </r>
    <r>
      <rPr>
        <b/>
        <sz val="14"/>
        <color rgb="FFFF0000"/>
        <rFont val="Times New Roman"/>
        <family val="1"/>
      </rPr>
      <t xml:space="preserve"> 10 мин</t>
    </r>
  </si>
  <si>
    <r>
      <t xml:space="preserve">В 08:40 - 08:50  перегруз МШР №3  </t>
    </r>
    <r>
      <rPr>
        <b/>
        <sz val="14"/>
        <color rgb="FFFF0000"/>
        <rFont val="Times New Roman"/>
        <family val="1"/>
      </rPr>
      <t xml:space="preserve"> 10мин  </t>
    </r>
    <r>
      <rPr>
        <b/>
        <sz val="14"/>
        <rFont val="Times New Roman"/>
        <family val="1"/>
      </rPr>
      <t>12:40 - 12:45</t>
    </r>
    <r>
      <rPr>
        <b/>
        <sz val="14"/>
        <color rgb="FFFF0000"/>
        <rFont val="Times New Roman"/>
        <family val="1"/>
      </rPr>
      <t xml:space="preserve"> 5мин    </t>
    </r>
    <r>
      <rPr>
        <b/>
        <sz val="14"/>
        <rFont val="Times New Roman"/>
        <family val="1"/>
      </rPr>
      <t xml:space="preserve"> В 10:30 - 10:40 </t>
    </r>
    <r>
      <rPr>
        <b/>
        <sz val="14"/>
        <color rgb="FFFF0000"/>
        <rFont val="Times New Roman"/>
        <family val="1"/>
      </rPr>
      <t xml:space="preserve">   10мин     </t>
    </r>
    <r>
      <rPr>
        <b/>
        <sz val="14"/>
        <rFont val="Times New Roman"/>
        <family val="1"/>
      </rPr>
      <t>В 11:20 - 11:27</t>
    </r>
    <r>
      <rPr>
        <b/>
        <sz val="14"/>
        <color rgb="FFFF0000"/>
        <rFont val="Times New Roman"/>
        <family val="1"/>
      </rPr>
      <t xml:space="preserve">    7мин </t>
    </r>
  </si>
  <si>
    <r>
      <t xml:space="preserve">В 08:40 - 08:50  перегруз МШР №5   </t>
    </r>
    <r>
      <rPr>
        <b/>
        <sz val="14"/>
        <color rgb="FFFF0000"/>
        <rFont val="Times New Roman"/>
        <family val="1"/>
      </rPr>
      <t xml:space="preserve">10мин  </t>
    </r>
    <r>
      <rPr>
        <b/>
        <sz val="14"/>
        <rFont val="Times New Roman"/>
        <family val="1"/>
      </rPr>
      <t>09:30- 09:40</t>
    </r>
    <r>
      <rPr>
        <b/>
        <sz val="14"/>
        <color rgb="FFFF0000"/>
        <rFont val="Times New Roman"/>
        <family val="1"/>
      </rPr>
      <t xml:space="preserve"> 10мин </t>
    </r>
    <r>
      <rPr>
        <b/>
        <sz val="14"/>
        <rFont val="Times New Roman"/>
        <family val="1"/>
      </rPr>
      <t xml:space="preserve">     В 10:40 - 10:50   </t>
    </r>
    <r>
      <rPr>
        <b/>
        <sz val="14"/>
        <color rgb="FFFF0000"/>
        <rFont val="Times New Roman"/>
        <family val="1"/>
      </rPr>
      <t xml:space="preserve">10мин       </t>
    </r>
    <r>
      <rPr>
        <b/>
        <sz val="14"/>
        <rFont val="Times New Roman"/>
        <family val="1"/>
      </rPr>
      <t xml:space="preserve"> В 15:40 - 15:45 </t>
    </r>
    <r>
      <rPr>
        <b/>
        <sz val="14"/>
        <color rgb="FFFF0000"/>
        <rFont val="Times New Roman"/>
        <family val="1"/>
      </rPr>
      <t xml:space="preserve">    5мин</t>
    </r>
  </si>
  <si>
    <r>
      <t xml:space="preserve">В 08:40 - 08:50  перегруз МШР №1   </t>
    </r>
    <r>
      <rPr>
        <b/>
        <sz val="14"/>
        <color rgb="FFFF0000"/>
        <rFont val="Times New Roman"/>
        <family val="1"/>
      </rPr>
      <t xml:space="preserve">10мин  </t>
    </r>
    <r>
      <rPr>
        <b/>
        <sz val="14"/>
        <rFont val="Times New Roman"/>
        <family val="1"/>
      </rPr>
      <t>09:25 - 09:35</t>
    </r>
    <r>
      <rPr>
        <b/>
        <sz val="14"/>
        <color rgb="FFFF0000"/>
        <rFont val="Times New Roman"/>
        <family val="1"/>
      </rPr>
      <t xml:space="preserve"> 10мин</t>
    </r>
    <r>
      <rPr>
        <b/>
        <sz val="14"/>
        <rFont val="Times New Roman"/>
        <family val="1"/>
      </rPr>
      <t xml:space="preserve"> 16:30 - 16:38</t>
    </r>
    <r>
      <rPr>
        <b/>
        <sz val="14"/>
        <color rgb="FFFF0000"/>
        <rFont val="Times New Roman"/>
        <family val="1"/>
      </rPr>
      <t xml:space="preserve"> 8мин</t>
    </r>
  </si>
  <si>
    <r>
      <t xml:space="preserve">В 13:40 - 13:47  перегруз МШР №3  </t>
    </r>
    <r>
      <rPr>
        <b/>
        <sz val="14"/>
        <color rgb="FFFF0000"/>
        <rFont val="Times New Roman"/>
        <family val="1"/>
      </rPr>
      <t xml:space="preserve"> 7мин      </t>
    </r>
    <r>
      <rPr>
        <b/>
        <sz val="14"/>
        <rFont val="Times New Roman"/>
        <family val="1"/>
      </rPr>
      <t>В 15:55 - 16:00</t>
    </r>
    <r>
      <rPr>
        <b/>
        <sz val="14"/>
        <color rgb="FFFF0000"/>
        <rFont val="Times New Roman"/>
        <family val="1"/>
      </rPr>
      <t xml:space="preserve">     5мин </t>
    </r>
    <r>
      <rPr>
        <b/>
        <sz val="14"/>
        <rFont val="Times New Roman"/>
        <family val="1"/>
      </rPr>
      <t>16:35 - 16-45</t>
    </r>
    <r>
      <rPr>
        <b/>
        <sz val="14"/>
        <color rgb="FFFF0000"/>
        <rFont val="Times New Roman"/>
        <family val="1"/>
      </rPr>
      <t xml:space="preserve"> 10мин В</t>
    </r>
    <r>
      <rPr>
        <b/>
        <sz val="14"/>
        <rFont val="Times New Roman"/>
        <family val="1"/>
      </rPr>
      <t xml:space="preserve"> 17:35 - 17:40 </t>
    </r>
    <r>
      <rPr>
        <b/>
        <sz val="14"/>
        <color rgb="FFFF0000"/>
        <rFont val="Times New Roman"/>
        <family val="1"/>
      </rPr>
      <t>5мин</t>
    </r>
  </si>
  <si>
    <t>19.01.2026</t>
  </si>
  <si>
    <t>Ситовый анализ 18.01.26 см 2</t>
  </si>
  <si>
    <r>
      <t xml:space="preserve">В 20:40 - 20:50 остановка питание на ленте №15 МШР 1- перегруз   </t>
    </r>
    <r>
      <rPr>
        <b/>
        <sz val="14"/>
        <color rgb="FFFF0000"/>
        <rFont val="Times New Roman"/>
        <family val="1"/>
      </rPr>
      <t xml:space="preserve">10мин    </t>
    </r>
    <r>
      <rPr>
        <b/>
        <sz val="14"/>
        <color theme="1"/>
        <rFont val="Times New Roman"/>
        <family val="1"/>
      </rPr>
      <t>00:34 - 00:41</t>
    </r>
    <r>
      <rPr>
        <b/>
        <sz val="14"/>
        <color rgb="FFFF0000"/>
        <rFont val="Times New Roman"/>
        <family val="1"/>
      </rPr>
      <t xml:space="preserve">   7 мин</t>
    </r>
  </si>
  <si>
    <r>
      <t xml:space="preserve">В 20:32 - 20:45 остановка питание на ленте №17 МШР 3- перегруз  </t>
    </r>
    <r>
      <rPr>
        <b/>
        <sz val="14"/>
        <color rgb="FFFF0000"/>
        <rFont val="Times New Roman"/>
        <family val="1"/>
      </rPr>
      <t xml:space="preserve"> 13мин    </t>
    </r>
    <r>
      <rPr>
        <b/>
        <sz val="14"/>
        <rFont val="Times New Roman"/>
        <family val="1"/>
      </rPr>
      <t xml:space="preserve">21:15 - 21:23 </t>
    </r>
    <r>
      <rPr>
        <b/>
        <sz val="14"/>
        <color rgb="FFFF0000"/>
        <rFont val="Times New Roman"/>
        <family val="1"/>
      </rPr>
      <t xml:space="preserve">  8 мин  </t>
    </r>
    <r>
      <rPr>
        <b/>
        <sz val="14"/>
        <color theme="1"/>
        <rFont val="Times New Roman"/>
        <family val="1"/>
      </rPr>
      <t xml:space="preserve">00:22 - 00:30 </t>
    </r>
    <r>
      <rPr>
        <b/>
        <sz val="14"/>
        <color rgb="FFFF0000"/>
        <rFont val="Times New Roman"/>
        <family val="1"/>
      </rPr>
      <t xml:space="preserve">  8 мин</t>
    </r>
  </si>
  <si>
    <r>
      <t xml:space="preserve">В 02:30 - 02:34 остановка питание на ленте №17 МШР 3- перегруз  </t>
    </r>
    <r>
      <rPr>
        <b/>
        <sz val="14"/>
        <color rgb="FFFF0000"/>
        <rFont val="Times New Roman"/>
        <family val="1"/>
      </rPr>
      <t xml:space="preserve"> 6 мин    </t>
    </r>
    <r>
      <rPr>
        <b/>
        <sz val="14"/>
        <rFont val="Times New Roman"/>
        <family val="1"/>
      </rPr>
      <t/>
    </r>
  </si>
  <si>
    <t>Ситовый анализ 19.01.26 см 1</t>
  </si>
  <si>
    <t>Снизили переработку  МШР №1,3 - 35 тн/ч</t>
  </si>
  <si>
    <t>Остановка мельницы - ревезия по эл. части</t>
  </si>
  <si>
    <t>12;00</t>
  </si>
  <si>
    <t>2час  49мин</t>
  </si>
  <si>
    <r>
      <t xml:space="preserve">В 08:30 - 08:38 шуровка бункера МШР №1 </t>
    </r>
    <r>
      <rPr>
        <b/>
        <sz val="14"/>
        <color rgb="FFFF0000"/>
        <rFont val="Times New Roman"/>
        <family val="1"/>
      </rPr>
      <t>8 мин</t>
    </r>
  </si>
  <si>
    <r>
      <t xml:space="preserve">В 08:35 - 08:45 шуровка бункера МШР </t>
    </r>
    <r>
      <rPr>
        <b/>
        <sz val="14"/>
        <rFont val="Times New Roman"/>
        <family val="1"/>
      </rPr>
      <t>№3</t>
    </r>
    <r>
      <rPr>
        <b/>
        <sz val="14"/>
        <color rgb="FFFF0000"/>
        <rFont val="Times New Roman"/>
        <family val="1"/>
      </rPr>
      <t xml:space="preserve"> 10 мин</t>
    </r>
  </si>
  <si>
    <t>20.01.2026</t>
  </si>
  <si>
    <t>Ситовый анализ 19.01.26 см 2</t>
  </si>
  <si>
    <r>
      <t xml:space="preserve">В 02:40- 02:47 остановка питание на ленте №17 МШР 3- перегруз  </t>
    </r>
    <r>
      <rPr>
        <b/>
        <sz val="14"/>
        <color rgb="FFFF0000"/>
        <rFont val="Times New Roman"/>
        <family val="1"/>
      </rPr>
      <t xml:space="preserve"> 7 мин    </t>
    </r>
    <r>
      <rPr>
        <b/>
        <sz val="14"/>
        <rFont val="Times New Roman"/>
        <family val="1"/>
      </rPr>
      <t/>
    </r>
  </si>
  <si>
    <t>Ситовый анализ 20.01.26 см 1</t>
  </si>
  <si>
    <r>
      <t xml:space="preserve">В 09:35 - 09:45 шуровка бункера МШР </t>
    </r>
    <r>
      <rPr>
        <b/>
        <sz val="14"/>
        <rFont val="Times New Roman"/>
        <family val="1"/>
      </rPr>
      <t>№1</t>
    </r>
    <r>
      <rPr>
        <b/>
        <sz val="14"/>
        <color rgb="FFFF0000"/>
        <rFont val="Times New Roman"/>
        <family val="1"/>
      </rPr>
      <t xml:space="preserve"> 5мин</t>
    </r>
  </si>
  <si>
    <t>Снизили переработку МШР №1 30 тн/ч - остановка КСН №1 - ревизия по мех. части</t>
  </si>
  <si>
    <t>В 14:30 МШР №1 - поставили на выработку</t>
  </si>
  <si>
    <t>Остановка мельницы - сварочные работы       Подняли переработку  40 - 41тн/ч</t>
  </si>
  <si>
    <r>
      <t xml:space="preserve">В 18:30 - 18:35 МШР №3 - калибровка счетчика    </t>
    </r>
    <r>
      <rPr>
        <b/>
        <sz val="14"/>
        <color rgb="FFFF0000"/>
        <rFont val="Times New Roman"/>
        <family val="1"/>
      </rPr>
      <t>5мин</t>
    </r>
  </si>
  <si>
    <r>
      <t xml:space="preserve">В  08:50 - 09:00  отсутствие питания на ленте № 15,17  МШР №1,3 - нехватка руды    </t>
    </r>
    <r>
      <rPr>
        <b/>
        <sz val="14"/>
        <color rgb="FFFF0000"/>
        <rFont val="Times New Roman"/>
        <family val="1"/>
      </rPr>
      <t>10мин</t>
    </r>
  </si>
  <si>
    <t>1час 40мин</t>
  </si>
  <si>
    <t>21.01.2026</t>
  </si>
  <si>
    <t>Ситовый анализ 20.01.26 см 2</t>
  </si>
  <si>
    <r>
      <t xml:space="preserve">В 00:20 - 00:30 остановка питание на ленте №17 МШР 3- перегруз  </t>
    </r>
    <r>
      <rPr>
        <b/>
        <sz val="14"/>
        <color rgb="FFFF0000"/>
        <rFont val="Times New Roman"/>
        <family val="1"/>
      </rPr>
      <t xml:space="preserve"> 10 мин  </t>
    </r>
    <r>
      <rPr>
        <b/>
        <sz val="14"/>
        <color theme="1"/>
        <rFont val="Times New Roman"/>
        <family val="1"/>
      </rPr>
      <t xml:space="preserve">02:32 - 02:40 </t>
    </r>
    <r>
      <rPr>
        <b/>
        <sz val="14"/>
        <color rgb="FFFF0000"/>
        <rFont val="Times New Roman"/>
        <family val="1"/>
      </rPr>
      <t xml:space="preserve">  8 мин</t>
    </r>
  </si>
  <si>
    <r>
      <t xml:space="preserve">В 06:40-06:45 шуровка бункера МШР 5  </t>
    </r>
    <r>
      <rPr>
        <b/>
        <sz val="14"/>
        <color rgb="FFFF0000"/>
        <rFont val="Times New Roman"/>
        <family val="1"/>
      </rPr>
      <t>5 мин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</si>
</sst>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₸_-;\-* #,##0.00\ _₸_-;_-* &quot;-&quot;??\ _₸_-;_-@_-"/>
    <numFmt numFmtId="164" formatCode="0.000"/>
    <numFmt numFmtId="165" formatCode="#,##0.000_ ;\-#,##0.000\ "/>
    <numFmt numFmtId="166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2"/>
      <color indexed="8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4"/>
      <name val="Times New Roman"/>
      <family val="1"/>
    </font>
    <font>
      <sz val="12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b/>
      <u/>
      <sz val="16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4"/>
      <color rgb="FFFF0000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7">
    <xf numFmtId="0" fontId="0" fillId="0" borderId="0" xfId="0"/>
    <xf numFmtId="0" fontId="3" fillId="0" borderId="0" xfId="0" applyFont="1" applyAlignment="1">
      <alignment horizontal="center" vertical="center"/>
    </xf>
    <xf numFmtId="14" fontId="3" fillId="3" borderId="0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20" fontId="8" fillId="2" borderId="17" xfId="0" applyNumberFormat="1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20" fontId="6" fillId="2" borderId="25" xfId="0" applyNumberFormat="1" applyFont="1" applyFill="1" applyBorder="1" applyAlignment="1">
      <alignment horizontal="left" wrapText="1" indent="2"/>
    </xf>
    <xf numFmtId="0" fontId="2" fillId="4" borderId="28" xfId="0" applyFont="1" applyFill="1" applyBorder="1" applyAlignment="1">
      <alignment horizontal="center"/>
    </xf>
    <xf numFmtId="164" fontId="2" fillId="4" borderId="28" xfId="0" applyNumberFormat="1" applyFont="1" applyFill="1" applyBorder="1" applyAlignment="1">
      <alignment horizont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20" fontId="8" fillId="2" borderId="34" xfId="0" applyNumberFormat="1" applyFont="1" applyFill="1" applyBorder="1" applyAlignment="1">
      <alignment horizontal="left" wrapText="1" indent="2"/>
    </xf>
    <xf numFmtId="49" fontId="3" fillId="0" borderId="35" xfId="0" applyNumberFormat="1" applyFont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164" fontId="3" fillId="2" borderId="39" xfId="0" applyNumberFormat="1" applyFont="1" applyFill="1" applyBorder="1" applyAlignment="1">
      <alignment horizontal="center" vertical="center"/>
    </xf>
    <xf numFmtId="1" fontId="3" fillId="2" borderId="40" xfId="0" applyNumberFormat="1" applyFont="1" applyFill="1" applyBorder="1" applyAlignment="1">
      <alignment horizontal="center" vertical="center"/>
    </xf>
    <xf numFmtId="164" fontId="3" fillId="2" borderId="40" xfId="0" applyNumberFormat="1" applyFont="1" applyFill="1" applyBorder="1" applyAlignment="1">
      <alignment horizontal="center" vertical="center"/>
    </xf>
    <xf numFmtId="164" fontId="3" fillId="2" borderId="41" xfId="0" applyNumberFormat="1" applyFont="1" applyFill="1" applyBorder="1" applyAlignment="1">
      <alignment horizontal="center" vertical="center"/>
    </xf>
    <xf numFmtId="1" fontId="3" fillId="5" borderId="35" xfId="0" applyNumberFormat="1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165" fontId="11" fillId="0" borderId="42" xfId="1" applyNumberFormat="1" applyFont="1" applyBorder="1" applyAlignment="1">
      <alignment horizontal="center" vertical="center"/>
    </xf>
    <xf numFmtId="165" fontId="11" fillId="0" borderId="28" xfId="1" applyNumberFormat="1" applyFont="1" applyBorder="1" applyAlignment="1">
      <alignment horizontal="center" vertical="center" wrapText="1"/>
    </xf>
    <xf numFmtId="0" fontId="8" fillId="0" borderId="35" xfId="0" applyNumberFormat="1" applyFont="1" applyBorder="1" applyAlignment="1">
      <alignment horizontal="center" vertical="center"/>
    </xf>
    <xf numFmtId="49" fontId="3" fillId="0" borderId="43" xfId="0" applyNumberFormat="1" applyFont="1" applyBorder="1" applyAlignment="1">
      <alignment horizontal="center" vertical="center"/>
    </xf>
    <xf numFmtId="0" fontId="10" fillId="3" borderId="4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/>
    </xf>
    <xf numFmtId="0" fontId="10" fillId="3" borderId="46" xfId="0" applyFont="1" applyFill="1" applyBorder="1" applyAlignment="1">
      <alignment horizontal="center" vertical="center"/>
    </xf>
    <xf numFmtId="0" fontId="10" fillId="3" borderId="47" xfId="0" applyFont="1" applyFill="1" applyBorder="1" applyAlignment="1">
      <alignment horizontal="center" vertical="center"/>
    </xf>
    <xf numFmtId="0" fontId="10" fillId="3" borderId="48" xfId="0" applyFont="1" applyFill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165" fontId="11" fillId="0" borderId="17" xfId="1" applyNumberFormat="1" applyFont="1" applyBorder="1" applyAlignment="1">
      <alignment horizontal="center" vertical="center"/>
    </xf>
    <xf numFmtId="165" fontId="11" fillId="0" borderId="28" xfId="1" applyNumberFormat="1" applyFont="1" applyBorder="1" applyAlignment="1">
      <alignment horizontal="center" vertical="center"/>
    </xf>
    <xf numFmtId="0" fontId="8" fillId="0" borderId="43" xfId="0" applyNumberFormat="1" applyFont="1" applyBorder="1" applyAlignment="1">
      <alignment horizontal="center" vertical="center"/>
    </xf>
    <xf numFmtId="165" fontId="11" fillId="0" borderId="32" xfId="1" applyNumberFormat="1" applyFont="1" applyBorder="1" applyAlignment="1">
      <alignment horizontal="center" vertical="center"/>
    </xf>
    <xf numFmtId="0" fontId="11" fillId="0" borderId="35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64" fontId="3" fillId="2" borderId="47" xfId="0" applyNumberFormat="1" applyFont="1" applyFill="1" applyBorder="1" applyAlignment="1">
      <alignment horizontal="center" vertical="center"/>
    </xf>
    <xf numFmtId="164" fontId="11" fillId="0" borderId="28" xfId="0" applyNumberFormat="1" applyFont="1" applyBorder="1" applyAlignment="1">
      <alignment horizontal="center" vertical="center"/>
    </xf>
    <xf numFmtId="0" fontId="0" fillId="0" borderId="32" xfId="0" applyBorder="1"/>
    <xf numFmtId="0" fontId="0" fillId="0" borderId="0" xfId="0" applyBorder="1"/>
    <xf numFmtId="0" fontId="11" fillId="0" borderId="32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20" fontId="8" fillId="0" borderId="42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11" fillId="0" borderId="5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6" fontId="11" fillId="0" borderId="12" xfId="0" applyNumberFormat="1" applyFont="1" applyBorder="1" applyAlignment="1">
      <alignment horizontal="center" vertical="center"/>
    </xf>
    <xf numFmtId="2" fontId="11" fillId="0" borderId="35" xfId="0" applyNumberFormat="1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166" fontId="11" fillId="0" borderId="21" xfId="0" applyNumberFormat="1" applyFont="1" applyBorder="1" applyAlignment="1">
      <alignment horizontal="center" vertical="center"/>
    </xf>
    <xf numFmtId="2" fontId="11" fillId="0" borderId="43" xfId="0" applyNumberFormat="1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49" xfId="0" applyFont="1" applyFill="1" applyBorder="1" applyAlignment="1">
      <alignment horizontal="center" vertical="center"/>
    </xf>
    <xf numFmtId="164" fontId="3" fillId="2" borderId="29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20" fontId="8" fillId="0" borderId="0" xfId="0" applyNumberFormat="1" applyFont="1" applyBorder="1" applyAlignment="1">
      <alignment horizontal="center" vertical="center"/>
    </xf>
    <xf numFmtId="0" fontId="11" fillId="0" borderId="25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10" fillId="6" borderId="51" xfId="0" applyFont="1" applyFill="1" applyBorder="1" applyAlignment="1">
      <alignment horizontal="center" vertical="center"/>
    </xf>
    <xf numFmtId="0" fontId="10" fillId="6" borderId="52" xfId="0" applyFont="1" applyFill="1" applyBorder="1" applyAlignment="1">
      <alignment horizontal="center" vertical="center"/>
    </xf>
    <xf numFmtId="164" fontId="3" fillId="5" borderId="6" xfId="0" applyNumberFormat="1" applyFont="1" applyFill="1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/>
    </xf>
    <xf numFmtId="164" fontId="3" fillId="5" borderId="53" xfId="0" applyNumberFormat="1" applyFont="1" applyFill="1" applyBorder="1" applyAlignment="1">
      <alignment horizontal="center" vertical="center"/>
    </xf>
    <xf numFmtId="164" fontId="3" fillId="5" borderId="54" xfId="0" applyNumberFormat="1" applyFont="1" applyFill="1" applyBorder="1" applyAlignment="1">
      <alignment horizontal="center" vertical="center"/>
    </xf>
    <xf numFmtId="1" fontId="3" fillId="5" borderId="17" xfId="0" applyNumberFormat="1" applyFont="1" applyFill="1" applyBorder="1" applyAlignment="1">
      <alignment horizontal="center" vertical="center"/>
    </xf>
    <xf numFmtId="166" fontId="11" fillId="0" borderId="23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2" fontId="11" fillId="0" borderId="26" xfId="0" applyNumberFormat="1" applyFont="1" applyBorder="1" applyAlignment="1">
      <alignment horizontal="center" vertical="center"/>
    </xf>
    <xf numFmtId="2" fontId="11" fillId="0" borderId="32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166" fontId="14" fillId="7" borderId="43" xfId="0" applyNumberFormat="1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164" fontId="3" fillId="8" borderId="17" xfId="0" applyNumberFormat="1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164" fontId="3" fillId="8" borderId="59" xfId="0" applyNumberFormat="1" applyFont="1" applyFill="1" applyBorder="1" applyAlignment="1">
      <alignment horizontal="center" vertical="center"/>
    </xf>
    <xf numFmtId="1" fontId="15" fillId="0" borderId="16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16" fillId="9" borderId="60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1" fontId="15" fillId="8" borderId="28" xfId="0" applyNumberFormat="1" applyFont="1" applyFill="1" applyBorder="1" applyAlignment="1">
      <alignment horizontal="center" vertical="top"/>
    </xf>
    <xf numFmtId="0" fontId="4" fillId="0" borderId="3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" fontId="4" fillId="3" borderId="8" xfId="0" applyNumberFormat="1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/>
    </xf>
    <xf numFmtId="0" fontId="0" fillId="0" borderId="0" xfId="0" applyAlignment="1"/>
    <xf numFmtId="0" fontId="0" fillId="0" borderId="5" xfId="0" applyBorder="1" applyAlignment="1"/>
    <xf numFmtId="20" fontId="8" fillId="0" borderId="2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0" fontId="7" fillId="0" borderId="35" xfId="0" applyNumberFormat="1" applyFont="1" applyBorder="1" applyAlignment="1">
      <alignment horizontal="center" vertical="center"/>
    </xf>
    <xf numFmtId="20" fontId="3" fillId="0" borderId="43" xfId="0" applyNumberFormat="1" applyFont="1" applyBorder="1" applyAlignment="1">
      <alignment horizontal="center" vertical="center"/>
    </xf>
    <xf numFmtId="166" fontId="11" fillId="0" borderId="43" xfId="0" applyNumberFormat="1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166" fontId="11" fillId="0" borderId="34" xfId="0" applyNumberFormat="1" applyFont="1" applyBorder="1" applyAlignment="1">
      <alignment horizontal="center" vertical="center"/>
    </xf>
    <xf numFmtId="0" fontId="0" fillId="0" borderId="10" xfId="0" applyBorder="1"/>
    <xf numFmtId="0" fontId="3" fillId="0" borderId="35" xfId="0" applyFont="1" applyBorder="1" applyAlignment="1">
      <alignment horizontal="center" vertical="center"/>
    </xf>
    <xf numFmtId="166" fontId="11" fillId="0" borderId="22" xfId="0" applyNumberFormat="1" applyFont="1" applyBorder="1" applyAlignment="1">
      <alignment horizontal="center" vertical="center"/>
    </xf>
    <xf numFmtId="0" fontId="0" fillId="0" borderId="34" xfId="0" applyBorder="1"/>
    <xf numFmtId="164" fontId="0" fillId="0" borderId="27" xfId="0" applyNumberFormat="1" applyBorder="1"/>
    <xf numFmtId="0" fontId="2" fillId="0" borderId="27" xfId="0" applyFont="1" applyBorder="1" applyAlignment="1">
      <alignment horizontal="center" vertical="center"/>
    </xf>
    <xf numFmtId="20" fontId="8" fillId="0" borderId="0" xfId="0" applyNumberFormat="1" applyFont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20" fontId="3" fillId="0" borderId="32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20" fontId="7" fillId="0" borderId="54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2" fontId="7" fillId="0" borderId="61" xfId="0" applyNumberFormat="1" applyFont="1" applyBorder="1" applyAlignment="1">
      <alignment horizontal="center" vertical="center"/>
    </xf>
    <xf numFmtId="2" fontId="7" fillId="0" borderId="6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47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20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1" fillId="0" borderId="0" xfId="0" applyFont="1" applyAlignment="1"/>
    <xf numFmtId="0" fontId="21" fillId="0" borderId="0" xfId="0" applyFont="1" applyAlignment="1">
      <alignment horizontal="left" vertical="center"/>
    </xf>
    <xf numFmtId="0" fontId="22" fillId="0" borderId="0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20" fontId="21" fillId="0" borderId="43" xfId="0" applyNumberFormat="1" applyFont="1" applyBorder="1" applyAlignment="1">
      <alignment horizontal="center" vertical="center"/>
    </xf>
    <xf numFmtId="20" fontId="7" fillId="0" borderId="43" xfId="0" applyNumberFormat="1" applyFont="1" applyBorder="1" applyAlignment="1">
      <alignment horizontal="center" vertical="center"/>
    </xf>
    <xf numFmtId="20" fontId="7" fillId="0" borderId="32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47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20" fontId="8" fillId="0" borderId="23" xfId="0" applyNumberFormat="1" applyFont="1" applyBorder="1" applyAlignment="1">
      <alignment horizontal="center" vertical="center"/>
    </xf>
    <xf numFmtId="20" fontId="8" fillId="0" borderId="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1" fillId="0" borderId="0" xfId="0" applyFont="1" applyAlignment="1"/>
    <xf numFmtId="0" fontId="7" fillId="0" borderId="2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6" fontId="11" fillId="2" borderId="28" xfId="0" applyNumberFormat="1" applyFont="1" applyFill="1" applyBorder="1" applyAlignment="1">
      <alignment horizontal="center" vertical="center"/>
    </xf>
    <xf numFmtId="166" fontId="3" fillId="2" borderId="28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47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20" fontId="8" fillId="0" borderId="23" xfId="0" applyNumberFormat="1" applyFont="1" applyBorder="1" applyAlignment="1">
      <alignment horizontal="center" vertical="center"/>
    </xf>
    <xf numFmtId="20" fontId="8" fillId="0" borderId="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1" fillId="0" borderId="0" xfId="0" applyFont="1" applyAlignment="1"/>
    <xf numFmtId="0" fontId="7" fillId="0" borderId="2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1" fillId="0" borderId="0" xfId="0" applyFont="1" applyAlignment="1"/>
    <xf numFmtId="2" fontId="11" fillId="0" borderId="13" xfId="0" applyNumberFormat="1" applyFont="1" applyBorder="1" applyAlignment="1">
      <alignment horizontal="center" vertical="center"/>
    </xf>
    <xf numFmtId="2" fontId="11" fillId="0" borderId="22" xfId="0" applyNumberFormat="1" applyFont="1" applyBorder="1" applyAlignment="1">
      <alignment horizontal="center" vertical="center"/>
    </xf>
    <xf numFmtId="0" fontId="8" fillId="0" borderId="42" xfId="0" applyFont="1" applyBorder="1" applyAlignment="1">
      <alignment horizontal="center"/>
    </xf>
    <xf numFmtId="0" fontId="11" fillId="0" borderId="15" xfId="0" applyFont="1" applyBorder="1" applyAlignment="1">
      <alignment horizontal="center" vertical="center"/>
    </xf>
    <xf numFmtId="166" fontId="11" fillId="0" borderId="32" xfId="0" applyNumberFormat="1" applyFont="1" applyFill="1" applyBorder="1" applyAlignment="1">
      <alignment horizontal="center" vertical="center"/>
    </xf>
    <xf numFmtId="166" fontId="11" fillId="0" borderId="33" xfId="0" applyNumberFormat="1" applyFont="1" applyBorder="1" applyAlignment="1">
      <alignment horizontal="center" vertical="center"/>
    </xf>
    <xf numFmtId="20" fontId="21" fillId="0" borderId="35" xfId="0" applyNumberFormat="1" applyFont="1" applyBorder="1" applyAlignment="1">
      <alignment horizontal="center" vertical="center"/>
    </xf>
    <xf numFmtId="20" fontId="21" fillId="0" borderId="32" xfId="0" applyNumberFormat="1" applyFont="1" applyBorder="1" applyAlignment="1">
      <alignment horizontal="center" vertical="center"/>
    </xf>
    <xf numFmtId="0" fontId="21" fillId="0" borderId="0" xfId="0" applyFont="1" applyAlignment="1"/>
    <xf numFmtId="14" fontId="3" fillId="2" borderId="1" xfId="0" applyNumberFormat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3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6" xfId="0" applyFont="1" applyBorder="1" applyAlignment="1">
      <alignment horizontal="left" vertical="center"/>
    </xf>
    <xf numFmtId="0" fontId="3" fillId="0" borderId="54" xfId="0" applyFont="1" applyBorder="1" applyAlignment="1">
      <alignment horizontal="left" vertical="center"/>
    </xf>
    <xf numFmtId="0" fontId="3" fillId="0" borderId="57" xfId="0" applyFont="1" applyBorder="1" applyAlignment="1">
      <alignment horizontal="left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20" fontId="8" fillId="0" borderId="14" xfId="0" applyNumberFormat="1" applyFont="1" applyBorder="1" applyAlignment="1">
      <alignment horizontal="center" vertical="center"/>
    </xf>
    <xf numFmtId="20" fontId="8" fillId="0" borderId="23" xfId="0" applyNumberFormat="1" applyFont="1" applyBorder="1" applyAlignment="1">
      <alignment horizontal="center" vertical="center"/>
    </xf>
    <xf numFmtId="20" fontId="8" fillId="0" borderId="26" xfId="0" applyNumberFormat="1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20" fontId="8" fillId="0" borderId="0" xfId="0" applyNumberFormat="1" applyFont="1" applyBorder="1" applyAlignment="1">
      <alignment horizontal="center" vertical="center"/>
    </xf>
    <xf numFmtId="20" fontId="8" fillId="0" borderId="5" xfId="0" applyNumberFormat="1" applyFont="1" applyBorder="1" applyAlignment="1">
      <alignment horizontal="center" vertical="center"/>
    </xf>
    <xf numFmtId="20" fontId="8" fillId="3" borderId="17" xfId="0" applyNumberFormat="1" applyFont="1" applyFill="1" applyBorder="1" applyAlignment="1">
      <alignment horizontal="center" vertical="center"/>
    </xf>
    <xf numFmtId="20" fontId="8" fillId="3" borderId="25" xfId="0" applyNumberFormat="1" applyFont="1" applyFill="1" applyBorder="1" applyAlignment="1">
      <alignment horizontal="center" vertical="center"/>
    </xf>
    <xf numFmtId="20" fontId="8" fillId="3" borderId="34" xfId="0" applyNumberFormat="1" applyFont="1" applyFill="1" applyBorder="1" applyAlignment="1">
      <alignment horizontal="center" vertical="center"/>
    </xf>
    <xf numFmtId="20" fontId="8" fillId="0" borderId="15" xfId="0" applyNumberFormat="1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64" fontId="3" fillId="0" borderId="44" xfId="0" applyNumberFormat="1" applyFont="1" applyBorder="1" applyAlignment="1">
      <alignment horizontal="center" vertical="center"/>
    </xf>
    <xf numFmtId="164" fontId="3" fillId="0" borderId="45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66" fontId="4" fillId="10" borderId="42" xfId="0" applyNumberFormat="1" applyFont="1" applyFill="1" applyBorder="1" applyAlignment="1">
      <alignment horizontal="center" vertical="center"/>
    </xf>
    <xf numFmtId="166" fontId="4" fillId="10" borderId="11" xfId="0" applyNumberFormat="1" applyFont="1" applyFill="1" applyBorder="1" applyAlignment="1">
      <alignment horizontal="center" vertical="center"/>
    </xf>
    <xf numFmtId="0" fontId="13" fillId="0" borderId="29" xfId="0" applyFont="1" applyBorder="1" applyAlignment="1">
      <alignment horizontal="right" vertical="center" wrapText="1"/>
    </xf>
    <xf numFmtId="0" fontId="13" fillId="0" borderId="31" xfId="0" applyFont="1" applyBorder="1" applyAlignment="1">
      <alignment horizontal="right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164" fontId="11" fillId="0" borderId="5" xfId="0" applyNumberFormat="1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4" fillId="0" borderId="56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20" fontId="3" fillId="0" borderId="44" xfId="0" applyNumberFormat="1" applyFont="1" applyBorder="1" applyAlignment="1">
      <alignment horizontal="center" vertical="center"/>
    </xf>
    <xf numFmtId="20" fontId="3" fillId="0" borderId="45" xfId="0" applyNumberFormat="1" applyFont="1" applyBorder="1" applyAlignment="1">
      <alignment horizontal="center" vertical="center"/>
    </xf>
    <xf numFmtId="20" fontId="3" fillId="0" borderId="47" xfId="0" applyNumberFormat="1" applyFont="1" applyBorder="1" applyAlignment="1">
      <alignment horizontal="center"/>
    </xf>
    <xf numFmtId="20" fontId="3" fillId="0" borderId="46" xfId="0" applyNumberFormat="1" applyFont="1" applyBorder="1" applyAlignment="1">
      <alignment horizontal="center"/>
    </xf>
    <xf numFmtId="20" fontId="7" fillId="0" borderId="60" xfId="0" applyNumberFormat="1" applyFont="1" applyBorder="1" applyAlignment="1">
      <alignment horizontal="center"/>
    </xf>
    <xf numFmtId="20" fontId="7" fillId="0" borderId="64" xfId="0" applyNumberFormat="1" applyFont="1" applyBorder="1" applyAlignment="1">
      <alignment horizontal="center"/>
    </xf>
    <xf numFmtId="20" fontId="7" fillId="0" borderId="40" xfId="0" applyNumberFormat="1" applyFont="1" applyBorder="1" applyAlignment="1">
      <alignment horizontal="center" vertical="center"/>
    </xf>
    <xf numFmtId="20" fontId="7" fillId="0" borderId="64" xfId="0" applyNumberFormat="1" applyFont="1" applyBorder="1" applyAlignment="1">
      <alignment horizontal="center" vertical="center"/>
    </xf>
    <xf numFmtId="20" fontId="7" fillId="0" borderId="8" xfId="0" applyNumberFormat="1" applyFont="1" applyBorder="1" applyAlignment="1">
      <alignment horizontal="center"/>
    </xf>
    <xf numFmtId="20" fontId="7" fillId="0" borderId="7" xfId="0" applyNumberFormat="1" applyFont="1" applyBorder="1" applyAlignment="1">
      <alignment horizontal="center"/>
    </xf>
    <xf numFmtId="0" fontId="7" fillId="0" borderId="21" xfId="0" applyFont="1" applyBorder="1" applyAlignment="1"/>
    <xf numFmtId="0" fontId="7" fillId="0" borderId="48" xfId="0" applyFont="1" applyBorder="1" applyAlignment="1"/>
    <xf numFmtId="0" fontId="7" fillId="0" borderId="22" xfId="0" applyFont="1" applyBorder="1" applyAlignment="1"/>
    <xf numFmtId="20" fontId="3" fillId="0" borderId="4" xfId="0" applyNumberFormat="1" applyFont="1" applyBorder="1" applyAlignment="1">
      <alignment horizontal="center"/>
    </xf>
    <xf numFmtId="20" fontId="3" fillId="0" borderId="45" xfId="0" applyNumberFormat="1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47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7" fillId="0" borderId="48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47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46" xfId="0" applyFont="1" applyBorder="1" applyAlignment="1">
      <alignment horizontal="left"/>
    </xf>
    <xf numFmtId="0" fontId="7" fillId="0" borderId="8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1" fontId="7" fillId="0" borderId="37" xfId="0" applyNumberFormat="1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7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46" xfId="0" applyNumberFormat="1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66" xfId="0" applyFont="1" applyBorder="1" applyAlignment="1">
      <alignment horizontal="center" vertical="center"/>
    </xf>
    <xf numFmtId="20" fontId="7" fillId="0" borderId="9" xfId="0" applyNumberFormat="1" applyFont="1" applyBorder="1" applyAlignment="1">
      <alignment horizontal="center" vertical="center"/>
    </xf>
    <xf numFmtId="20" fontId="7" fillId="0" borderId="66" xfId="0" applyNumberFormat="1" applyFont="1" applyBorder="1" applyAlignment="1">
      <alignment horizontal="center" vertical="center"/>
    </xf>
    <xf numFmtId="0" fontId="7" fillId="0" borderId="47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46" xfId="0" applyFont="1" applyBorder="1" applyAlignment="1">
      <alignment horizontal="left" vertical="top"/>
    </xf>
    <xf numFmtId="0" fontId="20" fillId="0" borderId="30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top"/>
    </xf>
    <xf numFmtId="0" fontId="11" fillId="0" borderId="30" xfId="0" applyFont="1" applyBorder="1" applyAlignment="1">
      <alignment horizontal="center" vertical="top"/>
    </xf>
    <xf numFmtId="0" fontId="11" fillId="0" borderId="31" xfId="0" applyFont="1" applyBorder="1" applyAlignment="1">
      <alignment horizontal="center" vertical="top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1" fontId="7" fillId="0" borderId="30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2" fontId="7" fillId="0" borderId="66" xfId="0" applyNumberFormat="1" applyFont="1" applyBorder="1" applyAlignment="1">
      <alignment horizontal="center" vertical="center"/>
    </xf>
    <xf numFmtId="2" fontId="7" fillId="0" borderId="42" xfId="0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0" fontId="7" fillId="0" borderId="44" xfId="0" applyNumberFormat="1" applyFont="1" applyBorder="1" applyAlignment="1">
      <alignment horizontal="center" vertical="center"/>
    </xf>
    <xf numFmtId="20" fontId="7" fillId="0" borderId="45" xfId="0" applyNumberFormat="1" applyFont="1" applyBorder="1" applyAlignment="1">
      <alignment horizontal="center" vertical="center"/>
    </xf>
    <xf numFmtId="20" fontId="7" fillId="0" borderId="47" xfId="0" applyNumberFormat="1" applyFont="1" applyBorder="1" applyAlignment="1">
      <alignment horizontal="center"/>
    </xf>
    <xf numFmtId="20" fontId="7" fillId="0" borderId="46" xfId="0" applyNumberFormat="1" applyFont="1" applyBorder="1" applyAlignment="1">
      <alignment horizontal="center"/>
    </xf>
    <xf numFmtId="20" fontId="21" fillId="0" borderId="4" xfId="0" applyNumberFormat="1" applyFont="1" applyBorder="1" applyAlignment="1">
      <alignment horizontal="center"/>
    </xf>
    <xf numFmtId="20" fontId="21" fillId="0" borderId="45" xfId="0" applyNumberFormat="1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20" fontId="7" fillId="0" borderId="4" xfId="0" applyNumberFormat="1" applyFont="1" applyBorder="1" applyAlignment="1">
      <alignment horizontal="center"/>
    </xf>
    <xf numFmtId="20" fontId="7" fillId="0" borderId="45" xfId="0" applyNumberFormat="1" applyFont="1" applyBorder="1" applyAlignment="1">
      <alignment horizontal="center"/>
    </xf>
    <xf numFmtId="20" fontId="8" fillId="3" borderId="23" xfId="0" applyNumberFormat="1" applyFont="1" applyFill="1" applyBorder="1" applyAlignment="1">
      <alignment horizontal="center" vertical="center"/>
    </xf>
    <xf numFmtId="20" fontId="8" fillId="3" borderId="26" xfId="0" applyNumberFormat="1" applyFont="1" applyFill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20" fontId="7" fillId="0" borderId="1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top"/>
    </xf>
    <xf numFmtId="0" fontId="8" fillId="0" borderId="30" xfId="0" applyFont="1" applyBorder="1" applyAlignment="1">
      <alignment horizontal="center" vertical="top"/>
    </xf>
    <xf numFmtId="0" fontId="8" fillId="0" borderId="31" xfId="0" applyFont="1" applyBorder="1" applyAlignment="1">
      <alignment horizontal="center" vertical="top"/>
    </xf>
    <xf numFmtId="0" fontId="21" fillId="0" borderId="0" xfId="0" applyFont="1" applyAlignment="1"/>
    <xf numFmtId="20" fontId="21" fillId="0" borderId="44" xfId="0" applyNumberFormat="1" applyFont="1" applyBorder="1" applyAlignment="1">
      <alignment horizontal="center" vertical="center"/>
    </xf>
    <xf numFmtId="20" fontId="21" fillId="0" borderId="45" xfId="0" applyNumberFormat="1" applyFont="1" applyBorder="1" applyAlignment="1">
      <alignment horizontal="center" vertical="center"/>
    </xf>
    <xf numFmtId="0" fontId="21" fillId="0" borderId="47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20" fontId="23" fillId="0" borderId="4" xfId="0" applyNumberFormat="1" applyFont="1" applyBorder="1" applyAlignment="1">
      <alignment horizontal="center"/>
    </xf>
    <xf numFmtId="20" fontId="23" fillId="0" borderId="45" xfId="0" applyNumberFormat="1" applyFont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7" fillId="0" borderId="21" xfId="0" applyFont="1" applyBorder="1" applyAlignment="1">
      <alignment horizontal="left"/>
    </xf>
    <xf numFmtId="0" fontId="26" fillId="0" borderId="30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20" fontId="21" fillId="0" borderId="47" xfId="0" applyNumberFormat="1" applyFont="1" applyBorder="1" applyAlignment="1">
      <alignment horizontal="center"/>
    </xf>
    <xf numFmtId="20" fontId="21" fillId="0" borderId="46" xfId="0" applyNumberFormat="1" applyFont="1" applyBorder="1" applyAlignment="1">
      <alignment horizontal="center"/>
    </xf>
    <xf numFmtId="20" fontId="21" fillId="0" borderId="60" xfId="0" applyNumberFormat="1" applyFont="1" applyBorder="1" applyAlignment="1">
      <alignment horizontal="center"/>
    </xf>
    <xf numFmtId="20" fontId="21" fillId="0" borderId="64" xfId="0" applyNumberFormat="1" applyFont="1" applyBorder="1" applyAlignment="1">
      <alignment horizontal="center"/>
    </xf>
    <xf numFmtId="20" fontId="21" fillId="0" borderId="40" xfId="0" applyNumberFormat="1" applyFont="1" applyBorder="1" applyAlignment="1">
      <alignment horizontal="center" vertical="center"/>
    </xf>
    <xf numFmtId="20" fontId="21" fillId="0" borderId="64" xfId="0" applyNumberFormat="1" applyFont="1" applyBorder="1" applyAlignment="1">
      <alignment horizontal="center" vertical="center"/>
    </xf>
    <xf numFmtId="20" fontId="21" fillId="0" borderId="8" xfId="0" applyNumberFormat="1" applyFont="1" applyBorder="1" applyAlignment="1">
      <alignment horizontal="center"/>
    </xf>
    <xf numFmtId="20" fontId="21" fillId="0" borderId="7" xfId="0" applyNumberFormat="1" applyFont="1" applyBorder="1" applyAlignment="1">
      <alignment horizontal="center"/>
    </xf>
    <xf numFmtId="0" fontId="28" fillId="0" borderId="30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20" fontId="21" fillId="0" borderId="3" xfId="0" applyNumberFormat="1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07\04_otk\&#1058;&#1077;&#1093;%20&#1078;&#1091;&#1088;&#1085;&#1072;&#1083;%202025&#1075;%20(&#1040;&#1074;&#1090;&#1086;&#1089;&#1086;&#1093;&#1088;&#1072;&#1085;&#1077;&#1085;&#1085;&#1099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09.25см1 (2)"/>
      <sheetName val="31.12.2024 см2"/>
      <sheetName val="01.01.25см1"/>
      <sheetName val="01.01.25см2"/>
      <sheetName val="02.01.25см1"/>
      <sheetName val="02.01.25см2"/>
      <sheetName val="03.01.25см1"/>
      <sheetName val="03.01.25см2"/>
      <sheetName val="04.01.25см1 "/>
      <sheetName val="04.01.25см2"/>
      <sheetName val="05.01.25см1  "/>
      <sheetName val="05.01.25см2 "/>
      <sheetName val="06.01.25 см1"/>
      <sheetName val="06.01.25 см2"/>
      <sheetName val="07.01.25см1   "/>
      <sheetName val="07.01.25см2  "/>
      <sheetName val="08.01.25см1  "/>
      <sheetName val="08.01.25см2 "/>
      <sheetName val="09.01.25см1 "/>
      <sheetName val="09.01.25см2 "/>
      <sheetName val="10.01.25см1  "/>
      <sheetName val="10.01.25см2  "/>
      <sheetName val="11.01.25см1"/>
      <sheetName val="11.01.25см2"/>
      <sheetName val="12.01.25см1 "/>
      <sheetName val="14.01.25см2"/>
      <sheetName val="12.01.25см2 "/>
      <sheetName val="13.01.25см1"/>
      <sheetName val="13.01.25см2"/>
      <sheetName val="14.01.25см1"/>
      <sheetName val="15.01.25см1"/>
      <sheetName val="15.01.25см2"/>
      <sheetName val="16.01.25см1"/>
      <sheetName val="16.01.25см2"/>
      <sheetName val="17.01.25см1"/>
      <sheetName val="17.01.25см2"/>
      <sheetName val="18.01.25см1"/>
      <sheetName val="18.01.25см2"/>
      <sheetName val="19.01.25см1"/>
      <sheetName val="19.01.25см2"/>
      <sheetName val="20.01.25см1"/>
      <sheetName val="21.01.25см1"/>
      <sheetName val="20.01.25см2"/>
      <sheetName val="21.01.25см2"/>
      <sheetName val="22.01.25см1"/>
      <sheetName val="22.01.25см2"/>
      <sheetName val="23.01.25см1"/>
      <sheetName val="23.01.25см2"/>
      <sheetName val="24.01.25см1"/>
      <sheetName val="24.01.25см2"/>
      <sheetName val="25.01.25см2"/>
      <sheetName val="25.01.25см1"/>
      <sheetName val="26.01.25см1"/>
      <sheetName val="26.01.25см2"/>
      <sheetName val="27.01.25см1"/>
      <sheetName val="27.01.25см2"/>
      <sheetName val="28.01.25см1"/>
      <sheetName val="28.01.25см2"/>
      <sheetName val="29.01.25см1"/>
      <sheetName val="29.01.25см2"/>
      <sheetName val="30.01.25см1"/>
      <sheetName val="30.01.25см2"/>
      <sheetName val="31.01.25см1"/>
      <sheetName val="31.01.25см2"/>
      <sheetName val="01.02.25см1"/>
      <sheetName val="01.02.25см2"/>
      <sheetName val="02.02.25см1"/>
      <sheetName val="02.02.25см2"/>
      <sheetName val="03.02.25см1"/>
      <sheetName val="03.02.25см2"/>
      <sheetName val="04.02.25см1"/>
      <sheetName val="04.02.25см2"/>
      <sheetName val="05.02.25см1"/>
      <sheetName val="05.02.25см2"/>
      <sheetName val="06.02.25см1"/>
      <sheetName val="06.02.25см2"/>
      <sheetName val="07.02.25см1"/>
      <sheetName val="07.02.25см2"/>
      <sheetName val="08.02.25см1"/>
      <sheetName val="08.02.25см2"/>
      <sheetName val="09.02.25см1"/>
      <sheetName val="09.02.25см2"/>
      <sheetName val="10.02.25см1"/>
      <sheetName val="10.02.25см2"/>
      <sheetName val="11.02.25см1"/>
      <sheetName val="11.02.25см2"/>
      <sheetName val="12.02.25см1"/>
      <sheetName val="12.02.25см2"/>
      <sheetName val="13.02.25см2"/>
      <sheetName val="13.02.25см1"/>
      <sheetName val="14.02.25см1"/>
      <sheetName val="14.02.25см2"/>
      <sheetName val="15.02.25см1"/>
      <sheetName val="15.02.25см2"/>
      <sheetName val="16.02.25см1"/>
      <sheetName val="16.02.25см2"/>
      <sheetName val="17.02.25см1"/>
      <sheetName val="17.02.25см2"/>
      <sheetName val="18.02.25см1"/>
      <sheetName val="18.02.25см2"/>
      <sheetName val="19.02.25см1"/>
      <sheetName val="19.02.25см2"/>
      <sheetName val="20.02.25см1"/>
      <sheetName val="20.02.25см2"/>
      <sheetName val="21.02.25см1"/>
      <sheetName val="21.02.25см2"/>
      <sheetName val="22.02.25см1"/>
      <sheetName val="22.02.25см2"/>
      <sheetName val="23.02.25см1"/>
      <sheetName val="23.02.25см2"/>
      <sheetName val="24.02.25см1"/>
      <sheetName val="24.02.25см2"/>
      <sheetName val="25.02.25.см1"/>
      <sheetName val="25.02.25см2"/>
      <sheetName val="26.02.25см1"/>
      <sheetName val="26.02.25см2"/>
      <sheetName val="27.02.25см1"/>
      <sheetName val="27.02.25см2"/>
      <sheetName val="28.02.25см1"/>
      <sheetName val="28.02.25см2"/>
      <sheetName val="01.03.25см1"/>
      <sheetName val="01.03.25см2"/>
      <sheetName val="02.03.25см1"/>
      <sheetName val="02.03.25см2"/>
      <sheetName val="03.03.25см1"/>
      <sheetName val="03.03.25см2"/>
      <sheetName val="04.03.25см1"/>
      <sheetName val="04.03.25см2"/>
      <sheetName val="05.03.25см1"/>
      <sheetName val="05.03.25см2"/>
      <sheetName val="06.03.25см1"/>
      <sheetName val="06.03.25см2"/>
      <sheetName val="07.03.25см1"/>
      <sheetName val="07.03.25см2"/>
      <sheetName val="08.03.25см1"/>
      <sheetName val="08.03.25см2"/>
      <sheetName val="09.03.25см1"/>
      <sheetName val="09.03.25см2"/>
      <sheetName val="10.03.25см1"/>
      <sheetName val="10.03.25см2"/>
      <sheetName val="11.03.25см1"/>
      <sheetName val="11.03.25см2"/>
      <sheetName val="12.03.25см1"/>
      <sheetName val="12.03.25см2"/>
      <sheetName val="13.03.25см1"/>
      <sheetName val="13.03.25см2"/>
      <sheetName val="14.03.25см1"/>
      <sheetName val="14.03.25см2"/>
      <sheetName val="15.03.25см1"/>
      <sheetName val="15.03.25см2"/>
      <sheetName val="16.03.25см1"/>
      <sheetName val="16.03.25см2"/>
      <sheetName val="17.03.25см1"/>
      <sheetName val="17.03.25см2"/>
      <sheetName val="18.03.25см1"/>
      <sheetName val="18.03.25см2"/>
      <sheetName val="19.03.25см1"/>
      <sheetName val="19.03.25см2"/>
      <sheetName val="20.03.25см1"/>
      <sheetName val="20.03.25см2"/>
      <sheetName val="21.03.25см1"/>
      <sheetName val="21.03.25см2"/>
      <sheetName val="22.03.25см1"/>
      <sheetName val="22.03.25см2"/>
      <sheetName val="23.03.25см1"/>
      <sheetName val="23.03.25см2"/>
      <sheetName val="24.03.25см1"/>
      <sheetName val="24.03.25см2"/>
      <sheetName val="25.03.25см1"/>
      <sheetName val="25.03.25см2"/>
      <sheetName val="26.03.25см1"/>
      <sheetName val="26.03.25см2"/>
      <sheetName val="27.03.25см1"/>
      <sheetName val="27.03.25см2"/>
      <sheetName val="28.03.25см1"/>
      <sheetName val="28.03.25см2"/>
      <sheetName val="29.03.25см1"/>
      <sheetName val="29.03.25см2"/>
      <sheetName val="30.03.25см1"/>
      <sheetName val="30.03.25см2"/>
      <sheetName val="31.03.25см1"/>
      <sheetName val="31.03.25см2"/>
      <sheetName val="01.04.25см1"/>
      <sheetName val="01.04.25см2"/>
      <sheetName val="02.04.25см1"/>
      <sheetName val="02.04.25см2"/>
      <sheetName val="03.04.25см1"/>
      <sheetName val="03.04.25см2"/>
      <sheetName val="04.04.25см1"/>
      <sheetName val="04.04.25см2"/>
      <sheetName val="05.04.25см1"/>
      <sheetName val="05.04.25см2"/>
      <sheetName val="06.04.25см1"/>
      <sheetName val="06.04.25см2"/>
      <sheetName val="07.04.25см1"/>
      <sheetName val="07.04.25см2"/>
      <sheetName val="08.04.25см1"/>
      <sheetName val="08.04.25см2"/>
      <sheetName val="09.04.25см1"/>
      <sheetName val="09.04.25см2"/>
      <sheetName val="10.04.25см1"/>
      <sheetName val="10.04.25см2"/>
      <sheetName val="11.04.25см1"/>
      <sheetName val="11.04.25см2"/>
      <sheetName val="12.04.25см1"/>
      <sheetName val="12.04.25см2"/>
      <sheetName val="13.04.25см1"/>
      <sheetName val="13.04.25см2"/>
      <sheetName val="14.04.25см1"/>
      <sheetName val="14.04.25см2"/>
      <sheetName val="15.04.25см1"/>
      <sheetName val="15.04.25см2"/>
      <sheetName val="16.04.25см1"/>
      <sheetName val="16.04.25см2"/>
      <sheetName val="17.04.25см1"/>
      <sheetName val="17.04.25см2"/>
      <sheetName val="18.04.25см1"/>
      <sheetName val="18.04.25см2"/>
      <sheetName val="19.04.25см1"/>
      <sheetName val="19.04.25см2"/>
      <sheetName val="20.04.25см1"/>
      <sheetName val="20.04.25см2"/>
      <sheetName val="21.04.25см1"/>
      <sheetName val="21.04.25см2"/>
      <sheetName val="22.04.25см1"/>
      <sheetName val="22.04.25см2"/>
      <sheetName val="23.04.25см1"/>
      <sheetName val="23.04.25см2"/>
      <sheetName val="24.04.25см1"/>
      <sheetName val="24.04.25см2"/>
      <sheetName val="25.04.25см1"/>
      <sheetName val="25.04.25см2"/>
      <sheetName val="26.04.25см1"/>
      <sheetName val="26.04.25см2"/>
      <sheetName val="27.04.25см1"/>
      <sheetName val="27.04.25см2"/>
      <sheetName val="28.04.25см1"/>
      <sheetName val="28.04.25см2"/>
      <sheetName val="29.04.25см1"/>
      <sheetName val="29.04.25см2"/>
      <sheetName val="30.04.25см1"/>
      <sheetName val="30.04.25см2"/>
      <sheetName val="01.05.25см1"/>
      <sheetName val="01.05.25см2"/>
      <sheetName val="02.05.25см1"/>
      <sheetName val="02.05.25см2"/>
      <sheetName val="03.05.25см1"/>
      <sheetName val="03.05.25см2"/>
      <sheetName val="04.05.25см1"/>
      <sheetName val="04.05.25см2"/>
      <sheetName val="05.05.25см1"/>
      <sheetName val="05.05.25см2"/>
      <sheetName val="06.05.25см1"/>
      <sheetName val="06.05.25см2"/>
      <sheetName val="07.05.25см1"/>
      <sheetName val="07.05.25см2"/>
      <sheetName val="08.05.25см1"/>
      <sheetName val="08.05.25см2"/>
      <sheetName val="09.05.25см1"/>
      <sheetName val="09.05.25см2"/>
      <sheetName val="10.05.25см1"/>
      <sheetName val="10.05.25см2"/>
      <sheetName val="11.05.25см1"/>
      <sheetName val="11.05.25см2"/>
      <sheetName val="12.05.25см1"/>
      <sheetName val="12.05.25см2"/>
      <sheetName val="13.05.25см1"/>
      <sheetName val="13.05.25см2"/>
      <sheetName val="14.05.25см1"/>
      <sheetName val="14.05.25см2"/>
      <sheetName val="15.05.25см1"/>
      <sheetName val="15.05.25см2"/>
      <sheetName val="16.05.25см1"/>
      <sheetName val="16.05.25см2"/>
      <sheetName val="17.05.25см1"/>
      <sheetName val="17.05.25см2"/>
      <sheetName val="18.05.25см1"/>
      <sheetName val="18.05.25см2"/>
      <sheetName val="19.05.25см1"/>
      <sheetName val="19.05.25см2"/>
      <sheetName val="20.05.25см1"/>
      <sheetName val="20.05.25см2"/>
      <sheetName val="21.05.25см1"/>
      <sheetName val="21.05.25см2"/>
      <sheetName val="22.05.25см1"/>
      <sheetName val="22.05.25см2"/>
      <sheetName val="23.05.25см1"/>
      <sheetName val="23.05.25см2"/>
      <sheetName val="24.05.25см1"/>
      <sheetName val="24.05.25см2"/>
      <sheetName val="25.05.25см1"/>
      <sheetName val="25.05.25см2"/>
      <sheetName val="26.05.25см1"/>
      <sheetName val="26.05.25см2"/>
      <sheetName val="27.05.25см1"/>
      <sheetName val="27.05.25см2"/>
      <sheetName val="28.05.25см1"/>
      <sheetName val="28.05.25см2"/>
      <sheetName val="29.05.25см1"/>
      <sheetName val="29.05.25см2"/>
      <sheetName val="30.05.25см1"/>
      <sheetName val="30.05.25см2"/>
      <sheetName val="31.05.25см1"/>
      <sheetName val="31.05.25см2"/>
      <sheetName val="01.06.25см1"/>
      <sheetName val="01.06.25см2"/>
      <sheetName val="02.06.25см1"/>
      <sheetName val="02.06.25см2"/>
      <sheetName val="03.06.25 см1"/>
      <sheetName val="03.06.25 см2"/>
      <sheetName val="04.06.25 см1"/>
      <sheetName val="04.06.25 см2"/>
      <sheetName val="05.06.25 см1"/>
      <sheetName val="05.06.25 см2"/>
      <sheetName val="06.06.25 см1"/>
      <sheetName val="06.06.25 см2"/>
      <sheetName val="07.06.25 см1"/>
      <sheetName val="07.06.25 см2 "/>
      <sheetName val="08.06.25 см1 "/>
      <sheetName val="08.06.25 см2  "/>
      <sheetName val="09.06.25 см1  "/>
      <sheetName val="09.06.25 см2   "/>
      <sheetName val="10.06.25 см1"/>
      <sheetName val="10.06.25 см2"/>
      <sheetName val="11.06.25 см1"/>
      <sheetName val="11.06.25 см2"/>
      <sheetName val="12.06.25 см1"/>
      <sheetName val="12.06.25 см2"/>
      <sheetName val="13.06.25 см1"/>
      <sheetName val="13.06.25 см2"/>
      <sheetName val="14.06.25 см1"/>
      <sheetName val="14.06.25 см2"/>
      <sheetName val="15.06.25 см1"/>
      <sheetName val="15.06.25 см2"/>
      <sheetName val="16.06.25 см1"/>
      <sheetName val="16.06.25 см2"/>
      <sheetName val="17.06.25 см1"/>
      <sheetName val="17.06.25 см2"/>
      <sheetName val="18.06.25 см1"/>
      <sheetName val="18.06.25 см2"/>
      <sheetName val="19.06.25 см1"/>
      <sheetName val="19.06.25 см2"/>
      <sheetName val="20.06.25 см1"/>
      <sheetName val="20.06.25 см2"/>
      <sheetName val="21.06.25 см1"/>
      <sheetName val="21.06.25 см2"/>
      <sheetName val="22.06.25 см1"/>
      <sheetName val="22.06.25 см2"/>
      <sheetName val="23.06.25 см1"/>
      <sheetName val="23.06.25 см2"/>
      <sheetName val="24.06.25 см1"/>
      <sheetName val="24.06.25 см2"/>
      <sheetName val="25.06.25 см1"/>
      <sheetName val="25.06.25 см2"/>
      <sheetName val="26.06.25 см1"/>
      <sheetName val="26.06.25 см2"/>
      <sheetName val="27.06.25 см1"/>
      <sheetName val="27.06.25 см2"/>
      <sheetName val="28.06.25 см1"/>
      <sheetName val="28.06.25 см2"/>
      <sheetName val="29.06.25 см1"/>
      <sheetName val="29.06.25 см2"/>
      <sheetName val="30.06.25 см1"/>
      <sheetName val="30.06.25 см2"/>
      <sheetName val="01.07.25 см1"/>
      <sheetName val="01.07.25 см2"/>
      <sheetName val="02.07.25см1"/>
      <sheetName val="02.07.25 см2"/>
      <sheetName val="03.07.25см1"/>
      <sheetName val="03.07.25 см2"/>
      <sheetName val="04.07.25см1"/>
      <sheetName val="04.07.25 см2"/>
      <sheetName val="05.07.25см1"/>
      <sheetName val="05.07.25 см2"/>
      <sheetName val="06.07.25см1"/>
      <sheetName val="06.07.25 см2"/>
      <sheetName val="07.07.25см1"/>
      <sheetName val="07.07.25 см2"/>
      <sheetName val="08.07.25см1"/>
      <sheetName val="08.07.25 см2"/>
      <sheetName val="09.07.25 см1"/>
      <sheetName val="09.07.25см2"/>
      <sheetName val="10.07.25 см1"/>
      <sheetName val="10.07.25см2"/>
      <sheetName val="11.07.25 см1"/>
      <sheetName val="11.07.25см2"/>
      <sheetName val="12.07.25 см1"/>
      <sheetName val="12.07.25см2"/>
      <sheetName val="13.07.25 см1"/>
      <sheetName val="13.07.25см2"/>
      <sheetName val="14.07.25 см1"/>
      <sheetName val="14.07.25см2"/>
      <sheetName val="15.07.25 см1"/>
      <sheetName val="15.07.25см2"/>
      <sheetName val="16.07.25 см1"/>
      <sheetName val="16.07.25см2"/>
      <sheetName val="17.07.25 см1"/>
      <sheetName val="17.07.25см2"/>
      <sheetName val="18.07.25 см1"/>
      <sheetName val="18.07.25см2"/>
      <sheetName val="19.07.25 см1"/>
      <sheetName val="19.07.25см2"/>
      <sheetName val="20.07.25 см1"/>
      <sheetName val="20.07.25см2"/>
      <sheetName val="21.07.25 см1"/>
      <sheetName val="21.07.25см2"/>
      <sheetName val="22.07.25 см1"/>
      <sheetName val="22.07.25см2"/>
      <sheetName val="23.07.25 см1"/>
      <sheetName val="23.07.25см2"/>
      <sheetName val="24.07.25 см1"/>
      <sheetName val="24.07.25см2"/>
      <sheetName val="25.07.25 см1"/>
      <sheetName val="25.07.25см2"/>
      <sheetName val="26.07.25 см1"/>
      <sheetName val="26.07.25см2"/>
      <sheetName val="27.07.25 см1"/>
      <sheetName val="27.07.25см2"/>
      <sheetName val="28.07.25 см1"/>
      <sheetName val="28.07.25см2"/>
      <sheetName val="29.07.25 см1"/>
      <sheetName val="29.07.25см2"/>
      <sheetName val="30.07.25 см1"/>
      <sheetName val="30.07.25см2"/>
      <sheetName val="31.07.25 см1"/>
      <sheetName val="31.07.25см2"/>
      <sheetName val="01.08.25 см1"/>
      <sheetName val="01.08.25см2"/>
      <sheetName val="02.08.25 см1"/>
      <sheetName val="02.08.25см2"/>
      <sheetName val="03.08.25 см1"/>
      <sheetName val="03.08.25см2"/>
      <sheetName val="04.08.25 см1"/>
      <sheetName val="04.08.25см2"/>
      <sheetName val="05.08.25 см1"/>
      <sheetName val="05.08.25см2"/>
      <sheetName val="06.08.25 см1"/>
      <sheetName val="06.08.25см2"/>
      <sheetName val="07.08.25 см1"/>
      <sheetName val="07.08.25см2"/>
      <sheetName val="08.08.25 см1"/>
      <sheetName val="08.08.25 см2"/>
      <sheetName val="09.08.25см1"/>
      <sheetName val="09.08.25 см2"/>
      <sheetName val="10.08.25см1"/>
      <sheetName val="10.08.25 см2"/>
      <sheetName val="11.08.25см1"/>
      <sheetName val="11.08.25 см2"/>
      <sheetName val="12.08.25см1"/>
      <sheetName val="12.08.25 см2"/>
      <sheetName val="13.08.25см1"/>
      <sheetName val="13.08.25 см2"/>
      <sheetName val="14.08.25см1"/>
      <sheetName val="14.08.25 см2"/>
      <sheetName val="15.08.25см1"/>
      <sheetName val="15.08.25 см2"/>
      <sheetName val="16.08.25см1"/>
      <sheetName val="16.08.25 см2"/>
      <sheetName val="17.08.25см1"/>
      <sheetName val="17.08.25 см2"/>
      <sheetName val="18.08.25см1"/>
      <sheetName val="18.08.25 см2"/>
      <sheetName val="19.08.25см1"/>
      <sheetName val="19.08.25 см2"/>
      <sheetName val="20.08.25см1"/>
      <sheetName val="20.08.25 см2"/>
      <sheetName val="21.08.25см1"/>
      <sheetName val="21.08.25 см2"/>
      <sheetName val="22.08.25см1"/>
      <sheetName val="22.08.25 см2"/>
      <sheetName val="23.08.25см1"/>
      <sheetName val="23.08.25 см2"/>
      <sheetName val="24.08.25см1"/>
      <sheetName val="24.08.25 см2"/>
      <sheetName val="25.08.25см1"/>
      <sheetName val="25.08.25 см2"/>
      <sheetName val="26.08.25см1"/>
      <sheetName val="26.08.25 см2"/>
      <sheetName val="27.08.25см1"/>
      <sheetName val="27.08.25 см2"/>
      <sheetName val="28.08.25см1"/>
      <sheetName val="28.08.25 см2"/>
      <sheetName val="29.08.25см1"/>
      <sheetName val="29.08.25 см2"/>
      <sheetName val="30.08.25см1"/>
      <sheetName val="30.08.25 см2"/>
      <sheetName val="31.08.25см1"/>
      <sheetName val="31.08.25 см2"/>
      <sheetName val="01.09.25см1"/>
      <sheetName val="01.09.25см2"/>
      <sheetName val="02.09.25см1"/>
      <sheetName val="02.09.25см2"/>
      <sheetName val="03.09.25см1"/>
      <sheetName val="03.09.25см2"/>
      <sheetName val="04.09.25см1"/>
      <sheetName val="04.09.25см2"/>
      <sheetName val="05.09.25см1"/>
      <sheetName val="05.09.25см2"/>
      <sheetName val="06.09.25см1"/>
      <sheetName val="06.09.25см2"/>
      <sheetName val="07.09.25см1"/>
      <sheetName val="07.09.25см2"/>
      <sheetName val="08.09.25см1"/>
      <sheetName val="08.09.25см2"/>
      <sheetName val="09.09.25см1"/>
      <sheetName val="09.09.25см2"/>
      <sheetName val="10.09.25см1"/>
      <sheetName val="10.09.25см2"/>
      <sheetName val="11.09.25см1"/>
      <sheetName val="11.09.25см2"/>
      <sheetName val="12.09.25см1"/>
      <sheetName val="12.09.25см2"/>
      <sheetName val="13.09.25см1"/>
      <sheetName val="13.09.25см2"/>
      <sheetName val="14.09.25см1"/>
      <sheetName val="14.09.25см2"/>
      <sheetName val="15.09.25см1"/>
      <sheetName val="15.09.25см2"/>
      <sheetName val="16.09.25см1"/>
      <sheetName val="16.09.25см2"/>
      <sheetName val="17.09.25см1"/>
      <sheetName val="17.09.25см2"/>
      <sheetName val="18.09.25см1"/>
      <sheetName val="18.09.25см2"/>
      <sheetName val="19.09.25см1"/>
      <sheetName val="19.09.25см2"/>
      <sheetName val="20.09.25см1"/>
      <sheetName val="20.09.25см2"/>
      <sheetName val="21.09.25см1"/>
      <sheetName val="21.09.25см2"/>
      <sheetName val="22.09.25см1"/>
      <sheetName val="22.09.25см2"/>
      <sheetName val="23.09.25см1"/>
      <sheetName val="23.09.25см2"/>
      <sheetName val="24.09.25см1"/>
      <sheetName val="24.09.25см2"/>
      <sheetName val="25.09.25см1"/>
      <sheetName val="25.09.25см2"/>
      <sheetName val="26.09.25см1"/>
      <sheetName val="26.09.25см2"/>
      <sheetName val="27.09.25см1"/>
      <sheetName val="27.09.25см2"/>
      <sheetName val="28.09.25см1"/>
      <sheetName val="28.09.25см2"/>
      <sheetName val="29.09.25см1"/>
      <sheetName val="29.09.25см2"/>
      <sheetName val="30.09.25см1"/>
      <sheetName val="30.09.25см2"/>
      <sheetName val="01.10.25см1"/>
      <sheetName val="01.10.25см2"/>
      <sheetName val="02.10.25см1"/>
      <sheetName val="02.10.25см2"/>
      <sheetName val="03.10.25см1"/>
      <sheetName val="03.10.25см2"/>
      <sheetName val="04.10.25см1"/>
      <sheetName val="04.10.25см2"/>
      <sheetName val="05.10.25см1"/>
      <sheetName val="05.10.25см2"/>
      <sheetName val="06.10.25см1"/>
      <sheetName val="06.10.25см2"/>
      <sheetName val="07.10.25см1"/>
      <sheetName val="07.10.25см2"/>
      <sheetName val="08.10.25см1"/>
      <sheetName val="08.10.25см2"/>
      <sheetName val="09.10.25см1"/>
      <sheetName val="09.10.25см2"/>
      <sheetName val="10.10.25см1"/>
      <sheetName val="10.10.25см2"/>
      <sheetName val="11.10.25см1"/>
      <sheetName val="11.10.25см2"/>
      <sheetName val="12.10.25см1"/>
      <sheetName val="12.10.25см2"/>
      <sheetName val="13.10.25см1"/>
      <sheetName val="13.10.25см2"/>
      <sheetName val="14.10.25см1"/>
      <sheetName val="14.10.25см2"/>
      <sheetName val="15.10.25см1"/>
      <sheetName val="15.10.25см2"/>
      <sheetName val="16.10.25см1"/>
      <sheetName val="16.10.25см2"/>
      <sheetName val="17.10.25см1"/>
      <sheetName val="17.10.25см2"/>
      <sheetName val="18.10.25см1"/>
      <sheetName val="18.10.25см2"/>
      <sheetName val="19.10.25см1"/>
      <sheetName val="19.10.25см2"/>
      <sheetName val="20.10.25см1"/>
      <sheetName val="20.10.25см2"/>
      <sheetName val="21.10.25см1"/>
      <sheetName val="21.10.25см2"/>
      <sheetName val="22.10.25см1"/>
      <sheetName val="22.10.25см2"/>
      <sheetName val="23.10.25см1"/>
      <sheetName val="23.10.25см2"/>
      <sheetName val="24.10.25см1"/>
      <sheetName val="24.10.25см2"/>
      <sheetName val="25.10.25см1"/>
      <sheetName val="25.10.25см2"/>
      <sheetName val="26.10.25см1"/>
      <sheetName val="26.10.25см2"/>
      <sheetName val="27.10.25см1"/>
      <sheetName val="27.10.25см2"/>
      <sheetName val="28.10.25см1"/>
      <sheetName val="28.10.25см2"/>
      <sheetName val="29.10.25см"/>
      <sheetName val="29.10.25см2"/>
      <sheetName val="30.10.25см1"/>
      <sheetName val="30.10.25см2"/>
      <sheetName val="31.10.25см1"/>
      <sheetName val="31.10.25см2"/>
      <sheetName val="01.11.25см1"/>
      <sheetName val="01.11.25см2"/>
      <sheetName val="02.11.25см1"/>
      <sheetName val="02.11.25см2"/>
      <sheetName val="03.11.25см1"/>
      <sheetName val="03.11.25см2"/>
      <sheetName val="04.11.25см1"/>
      <sheetName val="04.11.25см2"/>
      <sheetName val="05.11.25см1"/>
      <sheetName val="05.11.25см2"/>
      <sheetName val="06.11.25см1"/>
      <sheetName val="06.11.25см2"/>
      <sheetName val="07.11.25см1"/>
      <sheetName val="07.11.25см2"/>
      <sheetName val="08.11.25см1"/>
      <sheetName val="08.11.25см2"/>
      <sheetName val="09.11.25см1"/>
      <sheetName val="09.11.25см2"/>
      <sheetName val="10.11.25см1"/>
      <sheetName val="10.11.25см2"/>
      <sheetName val="11.11.25см1"/>
      <sheetName val="11.11.25см2"/>
      <sheetName val="12.11.25см1"/>
      <sheetName val="12.11.25см2 "/>
      <sheetName val="13.11.25см1"/>
      <sheetName val="13.11.25см2"/>
      <sheetName val="14.11.25см1"/>
      <sheetName val="14.11.25см2"/>
      <sheetName val="15.11.25см1"/>
      <sheetName val="15.11.25см2"/>
      <sheetName val="16.11.25см1"/>
      <sheetName val="16.11.25см2"/>
      <sheetName val="17.11.25см1"/>
      <sheetName val="17.11.25см2"/>
      <sheetName val="18.11.25см1"/>
      <sheetName val="18.11.25см2"/>
      <sheetName val="19.11.25см1"/>
      <sheetName val="19.11.25см2"/>
      <sheetName val="20.11.25см1"/>
      <sheetName val="20.11.25см2"/>
      <sheetName val="21.11.25см1"/>
      <sheetName val="21.11.25см2"/>
      <sheetName val="22.11.25см1"/>
      <sheetName val="22.11.25см2"/>
      <sheetName val="23.11.25см1"/>
      <sheetName val="23.11.25см2"/>
      <sheetName val="24.11.25см1"/>
      <sheetName val="24.11.25см2"/>
      <sheetName val="25.11.25см1"/>
      <sheetName val="25.11.25см2"/>
      <sheetName val="26.11.25см1"/>
      <sheetName val="26.11.25см2"/>
      <sheetName val="27.11.25см1"/>
      <sheetName val="27.11.25см2"/>
      <sheetName val="28.11.25см1"/>
      <sheetName val="28.11.25см2"/>
      <sheetName val="29.11.25см1"/>
      <sheetName val="29.11.25см2"/>
      <sheetName val="30.11.25см1"/>
      <sheetName val="30.11.25см2"/>
      <sheetName val="01.12.25см1"/>
      <sheetName val="01.12.25см2"/>
      <sheetName val="02.12.25см1"/>
      <sheetName val="02.12.25см2"/>
      <sheetName val="03.12.25см1"/>
      <sheetName val="03.12.25см2"/>
      <sheetName val="04.12.25см1"/>
      <sheetName val="04.12.25см2"/>
      <sheetName val="05.12.25см1"/>
      <sheetName val="05.12.25см2"/>
      <sheetName val="06.12.25см1"/>
      <sheetName val="06.12.25см2"/>
      <sheetName val="07.12.25см1"/>
      <sheetName val="07.12.25см2"/>
      <sheetName val="08.12.25см1"/>
      <sheetName val="08.12.25см2"/>
      <sheetName val="09.12.25см1"/>
      <sheetName val="09.12.25см2"/>
      <sheetName val="10.12.25см1"/>
      <sheetName val="10.12.25см2"/>
      <sheetName val="11.12.25см1"/>
      <sheetName val="11.12.25см2"/>
      <sheetName val="12.12.25см1"/>
      <sheetName val="12.12.25см2"/>
      <sheetName val="13.12.25см1"/>
      <sheetName val="13.12.25см2"/>
      <sheetName val="14.12.25см1"/>
      <sheetName val="14.12.25см2"/>
      <sheetName val="15.12.25см1"/>
      <sheetName val="15.12.25см2"/>
      <sheetName val="16.12.25см1"/>
      <sheetName val="16.12.25см2"/>
      <sheetName val="17.12.25см1"/>
      <sheetName val="17.12.25см2"/>
      <sheetName val="18.12.25см1"/>
      <sheetName val="18.12.25см2"/>
      <sheetName val="19.12.25см1"/>
      <sheetName val="19.12.25см2"/>
      <sheetName val="20.12.25см1"/>
      <sheetName val="20.12.25см2"/>
      <sheetName val="21.12.25см1"/>
      <sheetName val="21.12.25см2"/>
      <sheetName val="22.12.25см1"/>
      <sheetName val="22.12.25см2"/>
      <sheetName val="23.12.25см1"/>
      <sheetName val="23.12.25см2"/>
      <sheetName val="24.12.25см1"/>
      <sheetName val="24.12.25см2"/>
      <sheetName val="25.12.25см1"/>
      <sheetName val="25.12.25см2"/>
      <sheetName val="26.12.25см1"/>
      <sheetName val="26.12.25см2"/>
      <sheetName val="27.12.25см1"/>
      <sheetName val="27.12.25см2"/>
      <sheetName val="28.12.25см1"/>
      <sheetName val="28.12.25см2"/>
      <sheetName val="29.12.25см1"/>
      <sheetName val="29.12.25см2"/>
      <sheetName val="30.12.25см1"/>
      <sheetName val="30.12.25см2"/>
      <sheetName val="31.12.25см1"/>
      <sheetName val="31.12.25см2"/>
      <sheetName val="01.01.26см1"/>
      <sheetName val="01.01.26см2"/>
      <sheetName val="02.01.26см1"/>
      <sheetName val="02.01.26см2"/>
      <sheetName val="03.01.26см1"/>
      <sheetName val="03.01.26см2"/>
      <sheetName val="04.01.26см1"/>
      <sheetName val="04.01.26см2"/>
      <sheetName val="05.01.26см1"/>
      <sheetName val="05.01.26см2"/>
      <sheetName val="06.01.26см1"/>
      <sheetName val="06.01.26см2"/>
      <sheetName val="07.01.26см1"/>
      <sheetName val="07.01.26см2"/>
      <sheetName val="08.01.26см1"/>
      <sheetName val="08.01.26см2"/>
      <sheetName val="09.01.26см1"/>
      <sheetName val="09.01.26см2"/>
      <sheetName val="10.01.26см1"/>
      <sheetName val="10.01.26см2"/>
      <sheetName val="11.01.26см1"/>
      <sheetName val="11.01.26см2"/>
      <sheetName val="12.01.26см1"/>
      <sheetName val="12.01.26см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>
        <row r="5">
          <cell r="Y5">
            <v>510168.7</v>
          </cell>
        </row>
        <row r="6">
          <cell r="Y6">
            <v>810050.11100000003</v>
          </cell>
        </row>
        <row r="7">
          <cell r="Y7">
            <v>502129</v>
          </cell>
        </row>
        <row r="8">
          <cell r="Y8">
            <v>8613.7800000000007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Z41" sqref="Z41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2" max="13" width="10.42578125" customWidth="1"/>
    <col min="14" max="14" width="11.28515625" customWidth="1"/>
    <col min="15" max="15" width="11.14062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13">
        <v>1</v>
      </c>
      <c r="C4" s="14">
        <v>2</v>
      </c>
      <c r="D4" s="14">
        <v>3</v>
      </c>
      <c r="E4" s="15">
        <v>4</v>
      </c>
      <c r="F4" s="16">
        <v>5</v>
      </c>
      <c r="G4" s="13" t="s">
        <v>23</v>
      </c>
      <c r="H4" s="16" t="s">
        <v>24</v>
      </c>
      <c r="I4" s="13">
        <v>1</v>
      </c>
      <c r="J4" s="16">
        <v>2</v>
      </c>
      <c r="K4" s="17">
        <v>1</v>
      </c>
      <c r="L4" s="18">
        <v>3</v>
      </c>
      <c r="M4" s="15">
        <v>5</v>
      </c>
      <c r="N4" s="13" t="s">
        <v>23</v>
      </c>
      <c r="O4" s="16" t="s">
        <v>24</v>
      </c>
      <c r="P4" s="13">
        <v>1</v>
      </c>
      <c r="Q4" s="17">
        <v>2</v>
      </c>
      <c r="R4" s="14">
        <v>3</v>
      </c>
      <c r="S4" s="16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34.5</v>
      </c>
      <c r="Q5" s="29">
        <v>0</v>
      </c>
      <c r="R5" s="30">
        <v>0</v>
      </c>
      <c r="S5" s="30">
        <v>31</v>
      </c>
      <c r="T5" s="31">
        <v>11.43</v>
      </c>
      <c r="U5" s="32">
        <f>SUM(P5:T5)</f>
        <v>76.930000000000007</v>
      </c>
      <c r="V5" s="33"/>
      <c r="W5" s="21" t="s">
        <v>27</v>
      </c>
      <c r="X5" s="34">
        <f>'[1]31.12.25см2'!Y5</f>
        <v>510168.7</v>
      </c>
      <c r="Y5" s="34">
        <f>X5+P17</f>
        <v>510645.7</v>
      </c>
      <c r="Z5" s="35">
        <f>Y5-X5</f>
        <v>477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38.4</v>
      </c>
      <c r="Q6" s="29">
        <v>0</v>
      </c>
      <c r="R6" s="30">
        <v>0</v>
      </c>
      <c r="S6" s="30">
        <v>33</v>
      </c>
      <c r="T6" s="31">
        <v>12.1</v>
      </c>
      <c r="U6" s="32">
        <f t="shared" ref="U6:U16" si="1">SUM(P6:T6)</f>
        <v>83.5</v>
      </c>
      <c r="V6" s="44"/>
      <c r="W6" s="37" t="s">
        <v>28</v>
      </c>
      <c r="X6" s="45">
        <f>'[1]31.12.25см2'!Y6</f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>
        <v>70</v>
      </c>
      <c r="C7" s="39">
        <v>58</v>
      </c>
      <c r="D7" s="39"/>
      <c r="E7" s="40">
        <v>68</v>
      </c>
      <c r="F7" s="41">
        <v>64</v>
      </c>
      <c r="G7" s="42">
        <v>44</v>
      </c>
      <c r="H7" s="41">
        <v>30</v>
      </c>
      <c r="I7" s="42"/>
      <c r="J7" s="41"/>
      <c r="K7" s="38">
        <v>60</v>
      </c>
      <c r="L7" s="43"/>
      <c r="M7" s="40">
        <v>51</v>
      </c>
      <c r="N7" s="42">
        <v>53</v>
      </c>
      <c r="O7" s="41">
        <v>75</v>
      </c>
      <c r="P7" s="28">
        <v>39.6</v>
      </c>
      <c r="Q7" s="29">
        <v>0</v>
      </c>
      <c r="R7" s="30">
        <v>0</v>
      </c>
      <c r="S7" s="30">
        <v>33</v>
      </c>
      <c r="T7" s="31">
        <v>13.88</v>
      </c>
      <c r="U7" s="32">
        <f t="shared" si="1"/>
        <v>86.47999999999999</v>
      </c>
      <c r="V7" s="44">
        <v>1</v>
      </c>
      <c r="W7" s="37" t="s">
        <v>29</v>
      </c>
      <c r="X7" s="48">
        <f>'[1]31.12.25см2'!Y7</f>
        <v>502129</v>
      </c>
      <c r="Y7" s="34">
        <f>X7+S17</f>
        <v>502531</v>
      </c>
      <c r="Z7" s="46">
        <f>Y7-X7</f>
        <v>402</v>
      </c>
      <c r="AA7" s="47">
        <v>4</v>
      </c>
      <c r="AB7" s="267">
        <v>0.875</v>
      </c>
      <c r="AC7" s="49" t="s">
        <v>30</v>
      </c>
      <c r="AD7" s="50">
        <v>40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39.5</v>
      </c>
      <c r="Q8" s="29">
        <v>0</v>
      </c>
      <c r="R8" s="30">
        <v>0</v>
      </c>
      <c r="S8" s="30">
        <v>35</v>
      </c>
      <c r="T8" s="31">
        <v>12.9</v>
      </c>
      <c r="U8" s="32">
        <f t="shared" si="1"/>
        <v>87.4</v>
      </c>
      <c r="V8" s="44"/>
      <c r="W8" s="37" t="s">
        <v>31</v>
      </c>
      <c r="X8" s="46">
        <f>'[1]31.12.25см2'!Y8</f>
        <v>8613.7800000000007</v>
      </c>
      <c r="Y8" s="34">
        <f>X8+T17</f>
        <v>8759.978000000001</v>
      </c>
      <c r="Z8" s="46">
        <f>T17</f>
        <v>146.19799999999998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40</v>
      </c>
      <c r="Q9" s="29">
        <v>0</v>
      </c>
      <c r="R9" s="30">
        <v>0</v>
      </c>
      <c r="S9" s="30">
        <v>34</v>
      </c>
      <c r="T9" s="31">
        <v>12</v>
      </c>
      <c r="U9" s="32">
        <f t="shared" si="1"/>
        <v>86</v>
      </c>
      <c r="V9" s="44">
        <v>1</v>
      </c>
      <c r="W9" s="37" t="s">
        <v>33</v>
      </c>
      <c r="X9" s="270" t="s">
        <v>34</v>
      </c>
      <c r="Y9" s="271"/>
      <c r="Z9" s="54">
        <f>SUM(Z5:Z8)</f>
        <v>1025.1979999999999</v>
      </c>
      <c r="AA9" s="55"/>
      <c r="AB9" s="268"/>
      <c r="AC9" s="51" t="s">
        <v>35</v>
      </c>
      <c r="AD9" s="52">
        <v>31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40.299999999999997</v>
      </c>
      <c r="Q10" s="29">
        <v>0</v>
      </c>
      <c r="R10" s="30">
        <v>0</v>
      </c>
      <c r="S10" s="30">
        <v>34</v>
      </c>
      <c r="T10" s="31">
        <v>11.635</v>
      </c>
      <c r="U10" s="32">
        <f t="shared" si="1"/>
        <v>85.935000000000002</v>
      </c>
      <c r="V10" s="44">
        <v>1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12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39.5</v>
      </c>
      <c r="Q11" s="29">
        <v>0</v>
      </c>
      <c r="R11" s="30">
        <v>0</v>
      </c>
      <c r="S11" s="30">
        <v>33</v>
      </c>
      <c r="T11" s="31">
        <v>11.554</v>
      </c>
      <c r="U11" s="32">
        <f t="shared" si="1"/>
        <v>84.054000000000002</v>
      </c>
      <c r="V11" s="44">
        <v>1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39.799999999999997</v>
      </c>
      <c r="Q12" s="29">
        <v>0</v>
      </c>
      <c r="R12" s="30">
        <v>0</v>
      </c>
      <c r="S12" s="30">
        <v>34</v>
      </c>
      <c r="T12" s="31">
        <v>11.44</v>
      </c>
      <c r="U12" s="32">
        <f t="shared" si="1"/>
        <v>85.24</v>
      </c>
      <c r="V12" s="44">
        <v>3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40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>
        <v>68</v>
      </c>
      <c r="C13" s="39">
        <v>62</v>
      </c>
      <c r="D13" s="39"/>
      <c r="E13" s="40">
        <v>68</v>
      </c>
      <c r="F13" s="41">
        <v>66</v>
      </c>
      <c r="G13" s="42">
        <v>45</v>
      </c>
      <c r="H13" s="41">
        <v>32</v>
      </c>
      <c r="I13" s="42"/>
      <c r="J13" s="41"/>
      <c r="K13" s="38">
        <v>54</v>
      </c>
      <c r="L13" s="43"/>
      <c r="M13" s="40">
        <v>49</v>
      </c>
      <c r="N13" s="42">
        <v>50</v>
      </c>
      <c r="O13" s="41">
        <v>72</v>
      </c>
      <c r="P13" s="53">
        <v>40.1</v>
      </c>
      <c r="Q13" s="29">
        <v>0</v>
      </c>
      <c r="R13" s="30">
        <v>0</v>
      </c>
      <c r="S13" s="30">
        <v>34</v>
      </c>
      <c r="T13" s="31">
        <v>11.584</v>
      </c>
      <c r="U13" s="32">
        <f t="shared" si="1"/>
        <v>85.683999999999997</v>
      </c>
      <c r="V13" s="44"/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41.7</v>
      </c>
      <c r="Q14" s="29">
        <v>0</v>
      </c>
      <c r="R14" s="30">
        <v>0</v>
      </c>
      <c r="S14" s="30">
        <v>34</v>
      </c>
      <c r="T14" s="31">
        <v>13.430999999999999</v>
      </c>
      <c r="U14" s="32">
        <f t="shared" si="1"/>
        <v>89.131</v>
      </c>
      <c r="V14" s="44">
        <v>2</v>
      </c>
      <c r="W14" s="37" t="s">
        <v>44</v>
      </c>
      <c r="X14" s="280">
        <v>0.91666666666666663</v>
      </c>
      <c r="Y14" s="68" t="s">
        <v>45</v>
      </c>
      <c r="Z14" s="69">
        <v>1.2</v>
      </c>
      <c r="AA14" s="70">
        <f>100-Z14</f>
        <v>98.8</v>
      </c>
      <c r="AB14" s="278"/>
      <c r="AC14" s="51" t="s">
        <v>35</v>
      </c>
      <c r="AD14" s="52">
        <v>33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40.4</v>
      </c>
      <c r="Q15" s="29">
        <v>0</v>
      </c>
      <c r="R15" s="30">
        <v>0</v>
      </c>
      <c r="S15" s="30">
        <v>33</v>
      </c>
      <c r="T15" s="31">
        <v>12.853999999999999</v>
      </c>
      <c r="U15" s="32">
        <f t="shared" si="1"/>
        <v>86.254000000000005</v>
      </c>
      <c r="V15" s="44"/>
      <c r="W15" s="37" t="s">
        <v>46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>
        <v>12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43.2</v>
      </c>
      <c r="Q16" s="29">
        <v>0</v>
      </c>
      <c r="R16" s="30">
        <v>0</v>
      </c>
      <c r="S16" s="30">
        <v>34</v>
      </c>
      <c r="T16" s="82">
        <v>11.39</v>
      </c>
      <c r="U16" s="32">
        <f t="shared" si="1"/>
        <v>88.59</v>
      </c>
      <c r="V16" s="83">
        <v>1</v>
      </c>
      <c r="W16" s="75" t="s">
        <v>48</v>
      </c>
      <c r="X16" s="281"/>
      <c r="Y16" s="71" t="s">
        <v>49</v>
      </c>
      <c r="Z16" s="72">
        <v>1.6</v>
      </c>
      <c r="AA16" s="73">
        <f>100-Z16</f>
        <v>98.4</v>
      </c>
      <c r="AB16" s="84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69</v>
      </c>
      <c r="C17" s="88">
        <f>AVERAGE(C5:C16)</f>
        <v>60</v>
      </c>
      <c r="D17" s="88" t="e">
        <f>AVERAGE(D5:D15)</f>
        <v>#DIV/0!</v>
      </c>
      <c r="E17" s="88">
        <f>AVERAGE(E5:E15)</f>
        <v>68</v>
      </c>
      <c r="F17" s="88">
        <f>AVERAGE(F5:F15)</f>
        <v>65</v>
      </c>
      <c r="G17" s="88">
        <f>AVERAGE(G5:G16)</f>
        <v>44.5</v>
      </c>
      <c r="H17" s="88">
        <f>AVERAGE(H5:H16)</f>
        <v>31</v>
      </c>
      <c r="I17" s="88" t="e">
        <f t="shared" ref="I17:N17" si="2">AVERAGE(I5:I15)</f>
        <v>#DIV/0!</v>
      </c>
      <c r="J17" s="88" t="e">
        <f t="shared" si="2"/>
        <v>#DIV/0!</v>
      </c>
      <c r="K17" s="88">
        <f t="shared" si="2"/>
        <v>57</v>
      </c>
      <c r="L17" s="88" t="e">
        <f t="shared" si="2"/>
        <v>#DIV/0!</v>
      </c>
      <c r="M17" s="89">
        <f t="shared" si="2"/>
        <v>50</v>
      </c>
      <c r="N17" s="89">
        <f t="shared" si="2"/>
        <v>51.5</v>
      </c>
      <c r="O17" s="89">
        <f>AVERAGE(O5:O16)</f>
        <v>73.5</v>
      </c>
      <c r="P17" s="90">
        <f>SUM(P5:P16)</f>
        <v>477</v>
      </c>
      <c r="Q17" s="91">
        <f>SUM(Q5:Q16)</f>
        <v>0</v>
      </c>
      <c r="R17" s="92">
        <f>SUM(R5:R16)</f>
        <v>0</v>
      </c>
      <c r="S17" s="93">
        <f>SUM(S5:S16)</f>
        <v>402</v>
      </c>
      <c r="T17" s="93">
        <f>SUM(T5:T16)</f>
        <v>146.19799999999998</v>
      </c>
      <c r="U17" s="94">
        <f>SUM(P17:T17)</f>
        <v>1025.1979999999999</v>
      </c>
      <c r="V17" s="1">
        <f>SUM(V5:V16)</f>
        <v>10</v>
      </c>
      <c r="W17" s="4"/>
      <c r="X17" s="281"/>
      <c r="Y17" s="71" t="s">
        <v>51</v>
      </c>
      <c r="Z17" s="95">
        <v>0.9</v>
      </c>
      <c r="AA17" s="73">
        <f>100-Z17</f>
        <v>99.1</v>
      </c>
      <c r="AB17" s="283">
        <v>4.1666666666666664E-2</v>
      </c>
      <c r="AC17" s="62" t="s">
        <v>30</v>
      </c>
      <c r="AD17" s="50">
        <v>41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(AA14+AA16+AA17)/3</f>
        <v>98.766666666666652</v>
      </c>
      <c r="AB18" s="278"/>
      <c r="AC18" s="51" t="s">
        <v>32</v>
      </c>
      <c r="AD18" s="52"/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56</v>
      </c>
      <c r="J19" s="259"/>
      <c r="K19" s="259"/>
      <c r="L19" s="260"/>
      <c r="M19" s="261" t="s">
        <v>57</v>
      </c>
      <c r="N19" s="262"/>
      <c r="O19" s="263"/>
      <c r="P19" s="105">
        <v>1.7</v>
      </c>
      <c r="Q19" s="106"/>
      <c r="R19" s="107"/>
      <c r="S19" s="107">
        <v>1.8</v>
      </c>
      <c r="T19" s="107">
        <v>1.8</v>
      </c>
      <c r="U19" s="108">
        <f>(U17-U20)/U17*100</f>
        <v>1.7534724024042128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35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30</v>
      </c>
      <c r="B20" s="295"/>
      <c r="C20" s="44">
        <v>60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468.89100000000002</v>
      </c>
      <c r="Q20" s="113"/>
      <c r="R20" s="114">
        <f>(R17-(R17*R19/100))</f>
        <v>0</v>
      </c>
      <c r="S20" s="112">
        <f>(S17-(S17*S19/100))</f>
        <v>394.76400000000001</v>
      </c>
      <c r="T20" s="112">
        <f>(T17-(T17*T19/100))</f>
        <v>143.56643599999998</v>
      </c>
      <c r="U20" s="115">
        <f>P20+Q20+R20+S20+T20</f>
        <v>1007.2214359999999</v>
      </c>
      <c r="V20" s="4"/>
      <c r="W20" s="4"/>
      <c r="X20" s="281"/>
      <c r="Y20" s="68" t="s">
        <v>45</v>
      </c>
      <c r="Z20" s="69">
        <v>0.9</v>
      </c>
      <c r="AA20" s="70">
        <f>100-Z20</f>
        <v>99.1</v>
      </c>
      <c r="AB20" s="279"/>
      <c r="AC20" s="74" t="s">
        <v>37</v>
      </c>
      <c r="AD20" s="58">
        <v>12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61</v>
      </c>
      <c r="B21" s="295"/>
      <c r="C21" s="44">
        <v>30</v>
      </c>
      <c r="D21" s="296">
        <v>0.15</v>
      </c>
      <c r="E21" s="297"/>
      <c r="F21" s="298" t="s">
        <v>58</v>
      </c>
      <c r="G21" s="299"/>
      <c r="H21" s="96"/>
      <c r="I21" s="116" t="s">
        <v>62</v>
      </c>
      <c r="J21" s="117">
        <v>48</v>
      </c>
      <c r="K21" s="118"/>
      <c r="L21" s="119"/>
      <c r="M21" s="307" t="s">
        <v>63</v>
      </c>
      <c r="N21" s="308"/>
      <c r="O21" s="309"/>
      <c r="P21" s="120">
        <f>(U17-(U17*U19/100))</f>
        <v>1007.2214359999999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84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35</v>
      </c>
      <c r="B22" s="295"/>
      <c r="C22" s="44">
        <v>60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52</v>
      </c>
      <c r="K22" s="316">
        <f>J22/I22*100</f>
        <v>52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1.2</v>
      </c>
      <c r="AA22" s="73">
        <f>100-Z22</f>
        <v>98.8</v>
      </c>
      <c r="AB22" s="283">
        <v>0.125</v>
      </c>
      <c r="AC22" s="49" t="s">
        <v>30</v>
      </c>
      <c r="AD22" s="50">
        <v>40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 t="s">
        <v>37</v>
      </c>
      <c r="B23" s="295"/>
      <c r="C23" s="44">
        <v>60</v>
      </c>
      <c r="D23" s="296">
        <v>0.1</v>
      </c>
      <c r="E23" s="297"/>
      <c r="F23" s="298" t="s">
        <v>58</v>
      </c>
      <c r="G23" s="299"/>
      <c r="H23" s="4"/>
      <c r="I23" s="133" t="s">
        <v>66</v>
      </c>
      <c r="J23" s="134">
        <v>26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1.3</v>
      </c>
      <c r="AA23" s="73">
        <f>100-Z23</f>
        <v>98.7</v>
      </c>
      <c r="AB23" s="278"/>
      <c r="AC23" s="51" t="s">
        <v>32</v>
      </c>
      <c r="AD23" s="52"/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74</v>
      </c>
      <c r="K24" s="316">
        <f>J24/I24*100</f>
        <v>74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(AA20+AA22+AA23)/3</f>
        <v>98.86666666666666</v>
      </c>
      <c r="AB24" s="278"/>
      <c r="AC24" s="51" t="s">
        <v>35</v>
      </c>
      <c r="AD24" s="52">
        <v>33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10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68" t="s">
        <v>45</v>
      </c>
      <c r="Z26" s="69">
        <v>1.1000000000000001</v>
      </c>
      <c r="AA26" s="70">
        <f>100-Z26</f>
        <v>98.9</v>
      </c>
      <c r="AB26" s="141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142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0.20833333333333334</v>
      </c>
      <c r="AC27" s="62" t="s">
        <v>30</v>
      </c>
      <c r="AD27" s="50">
        <v>41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 t="s">
        <v>32</v>
      </c>
      <c r="B28" s="340"/>
      <c r="C28" s="143">
        <v>0.83333333333333337</v>
      </c>
      <c r="D28" s="341">
        <v>0.33333333333333331</v>
      </c>
      <c r="E28" s="342"/>
      <c r="F28" s="343" t="s">
        <v>74</v>
      </c>
      <c r="G28" s="344"/>
      <c r="H28" s="345" t="s">
        <v>75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1.7</v>
      </c>
      <c r="AA28" s="73">
        <f>100-Z28</f>
        <v>98.3</v>
      </c>
      <c r="AB28" s="268"/>
      <c r="AC28" s="67" t="s">
        <v>32</v>
      </c>
      <c r="AD28" s="52"/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 t="s">
        <v>76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1</v>
      </c>
      <c r="AA29" s="73">
        <f>100-Z29</f>
        <v>99</v>
      </c>
      <c r="AB29" s="268"/>
      <c r="AC29" s="51" t="s">
        <v>35</v>
      </c>
      <c r="AD29" s="52">
        <v>34</v>
      </c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 t="s">
        <v>77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(AA26+AA28+AA29)/3</f>
        <v>98.733333333333334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 t="s">
        <v>79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141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1</v>
      </c>
      <c r="AA32" s="70">
        <f>100-Z32</f>
        <v>99</v>
      </c>
      <c r="AB32" s="267">
        <v>0.29166666666666669</v>
      </c>
      <c r="AC32" s="62" t="s">
        <v>30</v>
      </c>
      <c r="AD32" s="50">
        <v>42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1.2</v>
      </c>
      <c r="AA34" s="73">
        <f>100-Z34</f>
        <v>98.8</v>
      </c>
      <c r="AB34" s="268"/>
      <c r="AC34" s="67" t="s">
        <v>35</v>
      </c>
      <c r="AD34" s="52">
        <v>33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0.9</v>
      </c>
      <c r="AA35" s="73">
        <f>100-Z35</f>
        <v>99.1</v>
      </c>
      <c r="AB35" s="269"/>
      <c r="AC35" s="74" t="s">
        <v>37</v>
      </c>
      <c r="AD35" s="58">
        <v>10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(AA32+AA34+AA35)/3</f>
        <v>98.966666666666654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73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10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>
        <v>10.18</v>
      </c>
      <c r="K42" s="399">
        <v>10.09</v>
      </c>
      <c r="L42" s="400"/>
      <c r="M42" s="164">
        <v>9.1</v>
      </c>
      <c r="N42" s="165">
        <v>9.5</v>
      </c>
      <c r="O42" s="165">
        <v>9.9700000000000006</v>
      </c>
      <c r="P42" s="165">
        <v>9.6199999999999992</v>
      </c>
      <c r="Q42" s="401">
        <f>AVERAGE(J42:P43)</f>
        <v>9.7433333333333323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168" t="s">
        <v>89</v>
      </c>
      <c r="B43" s="169"/>
      <c r="C43" s="169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83</v>
      </c>
      <c r="E44" s="392"/>
      <c r="F44" s="393"/>
      <c r="G44" s="172"/>
      <c r="H44" s="173"/>
      <c r="I44" s="174"/>
      <c r="J44" s="175"/>
      <c r="K44" s="175"/>
      <c r="L44" s="175"/>
      <c r="M44" s="175"/>
      <c r="N44" s="175"/>
      <c r="O44" s="175"/>
      <c r="P44" s="176"/>
      <c r="Q44" s="166"/>
      <c r="R44" s="177" t="s">
        <v>92</v>
      </c>
      <c r="S44" s="177"/>
      <c r="T44" s="177"/>
      <c r="U44" s="177"/>
      <c r="V44" s="177"/>
      <c r="W44" s="177"/>
      <c r="X44" s="177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H31" sqref="H31:U31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7109375" customWidth="1"/>
    <col min="19" max="19" width="10.140625" customWidth="1"/>
    <col min="20" max="20" width="9.8554687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13">
        <v>1</v>
      </c>
      <c r="C4" s="14">
        <v>2</v>
      </c>
      <c r="D4" s="14">
        <v>3</v>
      </c>
      <c r="E4" s="15">
        <v>4</v>
      </c>
      <c r="F4" s="16">
        <v>5</v>
      </c>
      <c r="G4" s="13" t="s">
        <v>23</v>
      </c>
      <c r="H4" s="16" t="s">
        <v>24</v>
      </c>
      <c r="I4" s="13">
        <v>1</v>
      </c>
      <c r="J4" s="16">
        <v>2</v>
      </c>
      <c r="K4" s="17">
        <v>1</v>
      </c>
      <c r="L4" s="18">
        <v>3</v>
      </c>
      <c r="M4" s="15">
        <v>5</v>
      </c>
      <c r="N4" s="13" t="s">
        <v>23</v>
      </c>
      <c r="O4" s="16" t="s">
        <v>24</v>
      </c>
      <c r="P4" s="13">
        <v>1</v>
      </c>
      <c r="Q4" s="17">
        <v>2</v>
      </c>
      <c r="R4" s="14">
        <v>3</v>
      </c>
      <c r="S4" s="16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43.3</v>
      </c>
      <c r="Q5" s="29">
        <v>0</v>
      </c>
      <c r="R5" s="30">
        <v>0</v>
      </c>
      <c r="S5" s="30">
        <v>34</v>
      </c>
      <c r="T5" s="31">
        <v>10.843999999999999</v>
      </c>
      <c r="U5" s="32">
        <f>SUM(P5:T5)</f>
        <v>88.143999999999991</v>
      </c>
      <c r="V5" s="33">
        <v>1</v>
      </c>
      <c r="W5" s="21" t="s">
        <v>93</v>
      </c>
      <c r="X5" s="34">
        <v>510645.7</v>
      </c>
      <c r="Y5" s="34">
        <v>511132.9</v>
      </c>
      <c r="Z5" s="35">
        <f>Y5-X5</f>
        <v>487.20000000001164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43.3</v>
      </c>
      <c r="Q6" s="29">
        <v>0</v>
      </c>
      <c r="R6" s="30">
        <v>0</v>
      </c>
      <c r="S6" s="30">
        <v>27</v>
      </c>
      <c r="T6" s="31">
        <v>11.356</v>
      </c>
      <c r="U6" s="32">
        <f t="shared" ref="U6:U16" si="1">SUM(P6:T6)</f>
        <v>81.655999999999992</v>
      </c>
      <c r="V6" s="44"/>
      <c r="W6" s="37" t="s">
        <v>94</v>
      </c>
      <c r="X6" s="45"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>
        <v>69</v>
      </c>
      <c r="C7" s="39">
        <v>53</v>
      </c>
      <c r="D7" s="39"/>
      <c r="E7" s="40">
        <v>63</v>
      </c>
      <c r="F7" s="41">
        <v>68</v>
      </c>
      <c r="G7" s="42">
        <v>46</v>
      </c>
      <c r="H7" s="41">
        <v>36</v>
      </c>
      <c r="I7" s="42"/>
      <c r="J7" s="41"/>
      <c r="K7" s="38">
        <v>56</v>
      </c>
      <c r="L7" s="43"/>
      <c r="M7" s="40">
        <v>47</v>
      </c>
      <c r="N7" s="42">
        <v>53</v>
      </c>
      <c r="O7" s="41">
        <v>71</v>
      </c>
      <c r="P7" s="28">
        <v>41.7</v>
      </c>
      <c r="Q7" s="29">
        <v>0</v>
      </c>
      <c r="R7" s="30">
        <v>0</v>
      </c>
      <c r="S7" s="30">
        <v>32</v>
      </c>
      <c r="T7" s="31">
        <v>12.079000000000001</v>
      </c>
      <c r="U7" s="32">
        <f t="shared" si="1"/>
        <v>85.778999999999996</v>
      </c>
      <c r="V7" s="44"/>
      <c r="W7" s="37" t="s">
        <v>95</v>
      </c>
      <c r="X7" s="48">
        <f>'01.01.26см1'!Y7</f>
        <v>502531</v>
      </c>
      <c r="Y7" s="34">
        <f>X7+S17</f>
        <v>502926</v>
      </c>
      <c r="Z7" s="46">
        <f>Y7-X7</f>
        <v>395</v>
      </c>
      <c r="AA7" s="47">
        <v>4</v>
      </c>
      <c r="AB7" s="267">
        <v>0.375</v>
      </c>
      <c r="AC7" s="49" t="s">
        <v>30</v>
      </c>
      <c r="AD7" s="50">
        <v>41</v>
      </c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>
        <v>0</v>
      </c>
      <c r="J8" s="41">
        <v>9</v>
      </c>
      <c r="K8" s="38"/>
      <c r="L8" s="43"/>
      <c r="M8" s="40"/>
      <c r="N8" s="42"/>
      <c r="O8" s="41"/>
      <c r="P8" s="28">
        <v>39.9</v>
      </c>
      <c r="Q8" s="29">
        <v>0</v>
      </c>
      <c r="R8" s="30">
        <v>0</v>
      </c>
      <c r="S8" s="30">
        <v>31</v>
      </c>
      <c r="T8" s="31">
        <v>11.917999999999999</v>
      </c>
      <c r="U8" s="32">
        <f t="shared" si="1"/>
        <v>82.818000000000012</v>
      </c>
      <c r="V8" s="44">
        <v>2</v>
      </c>
      <c r="W8" s="37" t="s">
        <v>96</v>
      </c>
      <c r="X8" s="46">
        <v>101.31699999999999</v>
      </c>
      <c r="Y8" s="34">
        <f>X8+T17</f>
        <v>237.88900000000001</v>
      </c>
      <c r="Z8" s="46">
        <f>T17</f>
        <v>136.572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41.9</v>
      </c>
      <c r="Q9" s="29">
        <v>0</v>
      </c>
      <c r="R9" s="30">
        <v>0</v>
      </c>
      <c r="S9" s="30">
        <v>34</v>
      </c>
      <c r="T9" s="31">
        <v>12.654999999999999</v>
      </c>
      <c r="U9" s="32">
        <f t="shared" si="1"/>
        <v>88.555000000000007</v>
      </c>
      <c r="V9" s="44"/>
      <c r="W9" s="37" t="s">
        <v>97</v>
      </c>
      <c r="X9" s="270" t="s">
        <v>34</v>
      </c>
      <c r="Y9" s="271"/>
      <c r="Z9" s="54">
        <f>SUM(Z5:Z8)</f>
        <v>1018.7720000000116</v>
      </c>
      <c r="AA9" s="55"/>
      <c r="AB9" s="268"/>
      <c r="AC9" s="51" t="s">
        <v>35</v>
      </c>
      <c r="AD9" s="52">
        <v>35</v>
      </c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41.2</v>
      </c>
      <c r="Q10" s="29">
        <v>0</v>
      </c>
      <c r="R10" s="30">
        <v>0</v>
      </c>
      <c r="S10" s="30">
        <v>34</v>
      </c>
      <c r="T10" s="31">
        <v>11.772</v>
      </c>
      <c r="U10" s="32">
        <f t="shared" si="1"/>
        <v>86.972000000000008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10</v>
      </c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37.799999999999997</v>
      </c>
      <c r="Q11" s="29">
        <v>0</v>
      </c>
      <c r="R11" s="30">
        <v>0</v>
      </c>
      <c r="S11" s="30">
        <v>35</v>
      </c>
      <c r="T11" s="31">
        <v>12.113</v>
      </c>
      <c r="U11" s="32">
        <f t="shared" si="1"/>
        <v>84.912999999999997</v>
      </c>
      <c r="V11" s="44">
        <v>1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38.6</v>
      </c>
      <c r="Q12" s="29">
        <v>0</v>
      </c>
      <c r="R12" s="30">
        <v>0</v>
      </c>
      <c r="S12" s="30">
        <v>33</v>
      </c>
      <c r="T12" s="31">
        <v>11.62</v>
      </c>
      <c r="U12" s="32">
        <f t="shared" si="1"/>
        <v>83.22</v>
      </c>
      <c r="V12" s="44">
        <v>2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>
        <v>40</v>
      </c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>
        <v>69</v>
      </c>
      <c r="C13" s="39">
        <v>51</v>
      </c>
      <c r="D13" s="39"/>
      <c r="E13" s="40">
        <v>63</v>
      </c>
      <c r="F13" s="41">
        <v>65</v>
      </c>
      <c r="G13" s="42">
        <v>43</v>
      </c>
      <c r="H13" s="41">
        <v>29</v>
      </c>
      <c r="I13" s="42">
        <v>17</v>
      </c>
      <c r="J13" s="41">
        <v>4</v>
      </c>
      <c r="K13" s="38">
        <v>53</v>
      </c>
      <c r="L13" s="43"/>
      <c r="M13" s="40">
        <v>48</v>
      </c>
      <c r="N13" s="42">
        <v>54</v>
      </c>
      <c r="O13" s="41">
        <v>73</v>
      </c>
      <c r="P13" s="53">
        <v>40.299999999999997</v>
      </c>
      <c r="Q13" s="29">
        <v>0</v>
      </c>
      <c r="R13" s="30">
        <v>0</v>
      </c>
      <c r="S13" s="30">
        <v>33</v>
      </c>
      <c r="T13" s="31">
        <v>10.62</v>
      </c>
      <c r="U13" s="32">
        <f t="shared" si="1"/>
        <v>83.92</v>
      </c>
      <c r="V13" s="44"/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35</v>
      </c>
      <c r="Q14" s="29">
        <v>0</v>
      </c>
      <c r="R14" s="30">
        <v>0</v>
      </c>
      <c r="S14" s="30">
        <v>33</v>
      </c>
      <c r="T14" s="31">
        <v>10.971</v>
      </c>
      <c r="U14" s="32">
        <f t="shared" si="1"/>
        <v>78.971000000000004</v>
      </c>
      <c r="V14" s="44">
        <v>1</v>
      </c>
      <c r="W14" s="37" t="s">
        <v>102</v>
      </c>
      <c r="X14" s="280">
        <v>0.41666666666666669</v>
      </c>
      <c r="Y14" s="192" t="s">
        <v>45</v>
      </c>
      <c r="Z14" s="69">
        <v>0.3</v>
      </c>
      <c r="AA14" s="70">
        <f>100-Z14</f>
        <v>99.7</v>
      </c>
      <c r="AB14" s="278"/>
      <c r="AC14" s="51" t="s">
        <v>35</v>
      </c>
      <c r="AD14" s="52">
        <v>32</v>
      </c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43.7</v>
      </c>
      <c r="Q15" s="29">
        <v>0</v>
      </c>
      <c r="R15" s="30">
        <v>0</v>
      </c>
      <c r="S15" s="30">
        <v>35</v>
      </c>
      <c r="T15" s="31">
        <v>11.013</v>
      </c>
      <c r="U15" s="32">
        <f t="shared" si="1"/>
        <v>89.713000000000008</v>
      </c>
      <c r="V15" s="44"/>
      <c r="W15" s="37" t="s">
        <v>103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>
        <v>10</v>
      </c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40.5</v>
      </c>
      <c r="Q16" s="29">
        <v>0</v>
      </c>
      <c r="R16" s="30">
        <v>0</v>
      </c>
      <c r="S16" s="30">
        <v>34</v>
      </c>
      <c r="T16" s="82">
        <v>9.6110000000000007</v>
      </c>
      <c r="U16" s="32">
        <f t="shared" si="1"/>
        <v>84.111000000000004</v>
      </c>
      <c r="V16" s="83">
        <v>1</v>
      </c>
      <c r="W16" s="75" t="s">
        <v>104</v>
      </c>
      <c r="X16" s="281"/>
      <c r="Y16" s="71" t="s">
        <v>49</v>
      </c>
      <c r="Z16" s="72">
        <v>0.4</v>
      </c>
      <c r="AA16" s="73">
        <f>100-Z16</f>
        <v>99.6</v>
      </c>
      <c r="AB16" s="84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>
        <f>AVERAGE(B5:B15)</f>
        <v>69</v>
      </c>
      <c r="C17" s="88">
        <f>AVERAGE(C5:C16)</f>
        <v>52</v>
      </c>
      <c r="D17" s="88" t="e">
        <f>AVERAGE(D5:D15)</f>
        <v>#DIV/0!</v>
      </c>
      <c r="E17" s="88">
        <f>AVERAGE(E5:E15)</f>
        <v>63</v>
      </c>
      <c r="F17" s="88">
        <f>AVERAGE(F5:F15)</f>
        <v>66.5</v>
      </c>
      <c r="G17" s="88">
        <f>AVERAGE(G5:G16)</f>
        <v>44.5</v>
      </c>
      <c r="H17" s="88">
        <f>AVERAGE(H5:H16)</f>
        <v>32.5</v>
      </c>
      <c r="I17" s="88">
        <f t="shared" ref="I17:N17" si="2">AVERAGE(I5:I15)</f>
        <v>8.5</v>
      </c>
      <c r="J17" s="88">
        <f t="shared" si="2"/>
        <v>6.5</v>
      </c>
      <c r="K17" s="88">
        <f t="shared" si="2"/>
        <v>54.5</v>
      </c>
      <c r="L17" s="88" t="e">
        <f t="shared" si="2"/>
        <v>#DIV/0!</v>
      </c>
      <c r="M17" s="89">
        <f t="shared" si="2"/>
        <v>47.5</v>
      </c>
      <c r="N17" s="89">
        <f t="shared" si="2"/>
        <v>53.5</v>
      </c>
      <c r="O17" s="89">
        <f>AVERAGE(O5:O16)</f>
        <v>72</v>
      </c>
      <c r="P17" s="90">
        <f>SUM(P5:P16)</f>
        <v>487.20000000000005</v>
      </c>
      <c r="Q17" s="91">
        <f>SUM(Q5:Q16)</f>
        <v>0</v>
      </c>
      <c r="R17" s="92">
        <f>SUM(R5:R16)</f>
        <v>0</v>
      </c>
      <c r="S17" s="93">
        <f>SUM(S5:S16)</f>
        <v>395</v>
      </c>
      <c r="T17" s="93">
        <f>SUM(T5:T16)</f>
        <v>136.572</v>
      </c>
      <c r="U17" s="94">
        <f>SUM(P17:T17)</f>
        <v>1018.772</v>
      </c>
      <c r="V17" s="1">
        <f>SUM(V5:V16)</f>
        <v>8</v>
      </c>
      <c r="W17" s="4"/>
      <c r="X17" s="281"/>
      <c r="Y17" s="71" t="s">
        <v>51</v>
      </c>
      <c r="Z17" s="145">
        <v>0.3</v>
      </c>
      <c r="AA17" s="73">
        <f>100-Z17</f>
        <v>99.7</v>
      </c>
      <c r="AB17" s="283">
        <v>0.54166666666666663</v>
      </c>
      <c r="AC17" s="62" t="s">
        <v>30</v>
      </c>
      <c r="AD17" s="50">
        <v>41</v>
      </c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v>99.67</v>
      </c>
      <c r="AB18" s="278"/>
      <c r="AC18" s="51" t="s">
        <v>32</v>
      </c>
      <c r="AD18" s="52"/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105</v>
      </c>
      <c r="J19" s="259"/>
      <c r="K19" s="259"/>
      <c r="L19" s="260"/>
      <c r="M19" s="261" t="s">
        <v>57</v>
      </c>
      <c r="N19" s="262"/>
      <c r="O19" s="263"/>
      <c r="P19" s="196">
        <v>2</v>
      </c>
      <c r="Q19" s="106"/>
      <c r="R19" s="107"/>
      <c r="S19" s="107">
        <v>1.8</v>
      </c>
      <c r="T19" s="107">
        <v>2.2000000000000002</v>
      </c>
      <c r="U19" s="108">
        <f>(U17-U20)/U17*100</f>
        <v>1.9492667643005563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34</v>
      </c>
      <c r="AE19" s="11">
        <v>17</v>
      </c>
      <c r="AF19" s="12">
        <f t="shared" si="0"/>
        <v>3.1166666666666667</v>
      </c>
    </row>
    <row r="20" spans="1:32" ht="16.5" thickBot="1" x14ac:dyDescent="0.3">
      <c r="A20" s="294" t="s">
        <v>30</v>
      </c>
      <c r="B20" s="295"/>
      <c r="C20" s="44">
        <v>60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477.45600000000002</v>
      </c>
      <c r="Q20" s="113"/>
      <c r="R20" s="114">
        <f>(R17-(R17*R19/100))</f>
        <v>0</v>
      </c>
      <c r="S20" s="112">
        <f>(S17-(S17*S19/100))</f>
        <v>387.89</v>
      </c>
      <c r="T20" s="112">
        <f>(T17-(T17*T19/100))</f>
        <v>133.56741600000001</v>
      </c>
      <c r="U20" s="115">
        <f>P20+Q20+R20+S20+T20</f>
        <v>998.91341599999998</v>
      </c>
      <c r="V20" s="4"/>
      <c r="W20" s="4"/>
      <c r="X20" s="281"/>
      <c r="Y20" s="68" t="s">
        <v>45</v>
      </c>
      <c r="Z20" s="69">
        <v>0.2</v>
      </c>
      <c r="AA20" s="70">
        <f>100-Z20</f>
        <v>99.8</v>
      </c>
      <c r="AB20" s="279"/>
      <c r="AC20" s="74" t="s">
        <v>37</v>
      </c>
      <c r="AD20" s="58">
        <v>10</v>
      </c>
      <c r="AE20" s="11">
        <v>18</v>
      </c>
      <c r="AF20" s="12">
        <f t="shared" si="0"/>
        <v>3.3</v>
      </c>
    </row>
    <row r="21" spans="1:32" ht="19.5" thickBot="1" x14ac:dyDescent="0.3">
      <c r="A21" s="294" t="s">
        <v>61</v>
      </c>
      <c r="B21" s="295"/>
      <c r="C21" s="44">
        <v>30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47</v>
      </c>
      <c r="K21" s="118"/>
      <c r="L21" s="119"/>
      <c r="M21" s="307" t="s">
        <v>63</v>
      </c>
      <c r="N21" s="308"/>
      <c r="O21" s="309"/>
      <c r="P21" s="120">
        <f>(U17-(U17*U19/100))</f>
        <v>998.91341599999998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84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 t="s">
        <v>35</v>
      </c>
      <c r="B22" s="295"/>
      <c r="C22" s="44">
        <v>60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53</v>
      </c>
      <c r="K22" s="316">
        <f>J22/I22*100</f>
        <v>53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0.2</v>
      </c>
      <c r="AA22" s="73">
        <f>100-Z22</f>
        <v>99.8</v>
      </c>
      <c r="AB22" s="283">
        <v>0.625</v>
      </c>
      <c r="AC22" s="49" t="s">
        <v>30</v>
      </c>
      <c r="AD22" s="50">
        <v>41</v>
      </c>
      <c r="AE22" s="11">
        <v>20</v>
      </c>
      <c r="AF22" s="12">
        <f t="shared" si="0"/>
        <v>3.6666666666666665</v>
      </c>
    </row>
    <row r="23" spans="1:32" ht="16.5" thickBot="1" x14ac:dyDescent="0.3">
      <c r="A23" s="294" t="s">
        <v>37</v>
      </c>
      <c r="B23" s="295"/>
      <c r="C23" s="44">
        <v>60</v>
      </c>
      <c r="D23" s="296">
        <v>0.1</v>
      </c>
      <c r="E23" s="297"/>
      <c r="F23" s="298" t="s">
        <v>58</v>
      </c>
      <c r="G23" s="299"/>
      <c r="H23" s="4"/>
      <c r="I23" s="133" t="s">
        <v>66</v>
      </c>
      <c r="J23" s="134">
        <v>28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0.3</v>
      </c>
      <c r="AA23" s="73">
        <f>100-Z23</f>
        <v>99.7</v>
      </c>
      <c r="AB23" s="278"/>
      <c r="AC23" s="51" t="s">
        <v>32</v>
      </c>
      <c r="AD23" s="52"/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72</v>
      </c>
      <c r="K24" s="316">
        <f>J24/I24*100</f>
        <v>72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v>99.76</v>
      </c>
      <c r="AB24" s="278"/>
      <c r="AC24" s="51" t="s">
        <v>35</v>
      </c>
      <c r="AD24" s="52">
        <v>35</v>
      </c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10</v>
      </c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68" t="s">
        <v>45</v>
      </c>
      <c r="Z26" s="69">
        <v>0.4</v>
      </c>
      <c r="AA26" s="70">
        <f>100-Z26</f>
        <v>99.6</v>
      </c>
      <c r="AB26" s="141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142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0.70833333333333337</v>
      </c>
      <c r="AC27" s="62" t="s">
        <v>30</v>
      </c>
      <c r="AD27" s="50">
        <v>41</v>
      </c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 t="s">
        <v>32</v>
      </c>
      <c r="B28" s="408"/>
      <c r="C28" s="182">
        <v>0.33333333333333331</v>
      </c>
      <c r="D28" s="403">
        <v>0.83333333333333337</v>
      </c>
      <c r="E28" s="404"/>
      <c r="F28" s="409" t="s">
        <v>117</v>
      </c>
      <c r="G28" s="410"/>
      <c r="H28" s="345" t="s">
        <v>75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0.6</v>
      </c>
      <c r="AA28" s="73">
        <f>100-Z28</f>
        <v>99.4</v>
      </c>
      <c r="AB28" s="268"/>
      <c r="AC28" s="67" t="s">
        <v>32</v>
      </c>
      <c r="AD28" s="52"/>
      <c r="AE28" s="11">
        <v>26</v>
      </c>
      <c r="AF28" s="12">
        <f t="shared" si="0"/>
        <v>4.7666666666666666</v>
      </c>
    </row>
    <row r="29" spans="1:32" ht="19.5" thickBot="1" x14ac:dyDescent="0.35">
      <c r="A29" s="411"/>
      <c r="B29" s="412"/>
      <c r="C29" s="182"/>
      <c r="D29" s="403"/>
      <c r="E29" s="404"/>
      <c r="F29" s="409"/>
      <c r="G29" s="410"/>
      <c r="H29" s="345" t="s">
        <v>114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0.3</v>
      </c>
      <c r="AA29" s="73">
        <f>100-Z29</f>
        <v>99.7</v>
      </c>
      <c r="AB29" s="268"/>
      <c r="AC29" s="51" t="s">
        <v>35</v>
      </c>
      <c r="AD29" s="52">
        <v>33</v>
      </c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 t="s">
        <v>115</v>
      </c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v>99.57</v>
      </c>
      <c r="AB30" s="269"/>
      <c r="AC30" s="74" t="s">
        <v>37</v>
      </c>
      <c r="AD30" s="58">
        <v>10</v>
      </c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 t="s">
        <v>116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141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0.3</v>
      </c>
      <c r="AA32" s="70">
        <f>100-Z32</f>
        <v>99.7</v>
      </c>
      <c r="AB32" s="267">
        <v>0.79166666666666663</v>
      </c>
      <c r="AC32" s="62" t="s">
        <v>30</v>
      </c>
      <c r="AD32" s="50">
        <v>41</v>
      </c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0.8</v>
      </c>
      <c r="AA34" s="73">
        <f>100-Z34</f>
        <v>99.2</v>
      </c>
      <c r="AB34" s="268"/>
      <c r="AC34" s="67" t="s">
        <v>35</v>
      </c>
      <c r="AD34" s="52">
        <v>35</v>
      </c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0.4</v>
      </c>
      <c r="AA35" s="73">
        <f>100-Z35</f>
        <v>99.6</v>
      </c>
      <c r="AB35" s="269"/>
      <c r="AC35" s="74" t="s">
        <v>37</v>
      </c>
      <c r="AD35" s="58">
        <v>10</v>
      </c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v>99.5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83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8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>
        <v>9.1199999999999992</v>
      </c>
      <c r="K42" s="399">
        <v>9.0299999999999994</v>
      </c>
      <c r="L42" s="400"/>
      <c r="M42" s="164">
        <v>9.02</v>
      </c>
      <c r="N42" s="165">
        <v>10.34</v>
      </c>
      <c r="O42" s="165">
        <v>9.16</v>
      </c>
      <c r="P42" s="165">
        <v>9.9</v>
      </c>
      <c r="Q42" s="401">
        <f>AVERAGE(J42:P43)</f>
        <v>9.4283333333333328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168" t="s">
        <v>89</v>
      </c>
      <c r="B43" s="169"/>
      <c r="C43" s="169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91</v>
      </c>
      <c r="E44" s="392"/>
      <c r="F44" s="393"/>
      <c r="G44" s="172"/>
      <c r="H44" s="173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177"/>
      <c r="X44" s="177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H28" sqref="H28:U28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6" width="11.14062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111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13">
        <v>1</v>
      </c>
      <c r="C4" s="14">
        <v>2</v>
      </c>
      <c r="D4" s="14">
        <v>3</v>
      </c>
      <c r="E4" s="15">
        <v>4</v>
      </c>
      <c r="F4" s="16">
        <v>5</v>
      </c>
      <c r="G4" s="13" t="s">
        <v>23</v>
      </c>
      <c r="H4" s="16" t="s">
        <v>24</v>
      </c>
      <c r="I4" s="13">
        <v>1</v>
      </c>
      <c r="J4" s="16">
        <v>2</v>
      </c>
      <c r="K4" s="17">
        <v>1</v>
      </c>
      <c r="L4" s="18">
        <v>3</v>
      </c>
      <c r="M4" s="15">
        <v>5</v>
      </c>
      <c r="N4" s="13" t="s">
        <v>23</v>
      </c>
      <c r="O4" s="16" t="s">
        <v>24</v>
      </c>
      <c r="P4" s="13">
        <v>1</v>
      </c>
      <c r="Q4" s="17">
        <v>2</v>
      </c>
      <c r="R4" s="14">
        <v>3</v>
      </c>
      <c r="S4" s="16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34</v>
      </c>
      <c r="Q5" s="29">
        <v>0</v>
      </c>
      <c r="R5" s="30">
        <v>0</v>
      </c>
      <c r="S5" s="30">
        <v>34</v>
      </c>
      <c r="T5" s="31">
        <v>10.468</v>
      </c>
      <c r="U5" s="32">
        <f>SUM(P5:T5)</f>
        <v>78.468000000000004</v>
      </c>
      <c r="V5" s="33"/>
      <c r="W5" s="21" t="s">
        <v>27</v>
      </c>
      <c r="X5" s="34">
        <f>'01.01.26см2'!Y5</f>
        <v>511132.9</v>
      </c>
      <c r="Y5" s="34">
        <f>X5+P17</f>
        <v>511610.7</v>
      </c>
      <c r="Z5" s="35">
        <f>Y5-X5</f>
        <v>477.79999999998836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40</v>
      </c>
      <c r="Q6" s="29">
        <v>0</v>
      </c>
      <c r="R6" s="30">
        <v>0</v>
      </c>
      <c r="S6" s="30">
        <v>33</v>
      </c>
      <c r="T6" s="31">
        <v>10.765000000000001</v>
      </c>
      <c r="U6" s="32">
        <f t="shared" ref="U6:U16" si="1">SUM(P6:T6)</f>
        <v>83.765000000000001</v>
      </c>
      <c r="V6" s="44"/>
      <c r="W6" s="37" t="s">
        <v>28</v>
      </c>
      <c r="X6" s="45">
        <f>'[1]31.12.25см2'!Y6</f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>
        <v>39</v>
      </c>
      <c r="Q7" s="29">
        <v>0</v>
      </c>
      <c r="R7" s="30">
        <v>0</v>
      </c>
      <c r="S7" s="30">
        <v>33</v>
      </c>
      <c r="T7" s="31">
        <v>10.928000000000001</v>
      </c>
      <c r="U7" s="32">
        <f t="shared" si="1"/>
        <v>82.927999999999997</v>
      </c>
      <c r="V7" s="44"/>
      <c r="W7" s="37" t="s">
        <v>29</v>
      </c>
      <c r="X7" s="48">
        <f>'01.01.26см2'!Y7</f>
        <v>502926</v>
      </c>
      <c r="Y7" s="34">
        <f>X7+S17</f>
        <v>503328</v>
      </c>
      <c r="Z7" s="46">
        <f>Y7-X7</f>
        <v>402</v>
      </c>
      <c r="AA7" s="47">
        <v>4</v>
      </c>
      <c r="AB7" s="267">
        <v>0.875</v>
      </c>
      <c r="AC7" s="49" t="s">
        <v>30</v>
      </c>
      <c r="AD7" s="50">
        <v>40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>
        <v>66</v>
      </c>
      <c r="C8" s="39">
        <v>58</v>
      </c>
      <c r="D8" s="39"/>
      <c r="E8" s="40">
        <v>69</v>
      </c>
      <c r="F8" s="41">
        <v>62</v>
      </c>
      <c r="G8" s="42">
        <v>45</v>
      </c>
      <c r="H8" s="41">
        <v>31</v>
      </c>
      <c r="I8" s="42"/>
      <c r="J8" s="41"/>
      <c r="K8" s="38">
        <v>55</v>
      </c>
      <c r="L8" s="43"/>
      <c r="M8" s="40">
        <v>51</v>
      </c>
      <c r="N8" s="42">
        <v>52</v>
      </c>
      <c r="O8" s="41">
        <v>72</v>
      </c>
      <c r="P8" s="28">
        <v>41.1</v>
      </c>
      <c r="Q8" s="29">
        <v>0</v>
      </c>
      <c r="R8" s="30">
        <v>0</v>
      </c>
      <c r="S8" s="30">
        <v>34</v>
      </c>
      <c r="T8" s="31">
        <v>11.545</v>
      </c>
      <c r="U8" s="32">
        <f t="shared" si="1"/>
        <v>86.644999999999996</v>
      </c>
      <c r="V8" s="44">
        <v>1</v>
      </c>
      <c r="W8" s="37" t="s">
        <v>31</v>
      </c>
      <c r="X8" s="46">
        <f>'01.01.26см2'!Y8</f>
        <v>237.88900000000001</v>
      </c>
      <c r="Y8" s="34">
        <f>X8+T17</f>
        <v>375.17500000000001</v>
      </c>
      <c r="Z8" s="46">
        <f>T17</f>
        <v>137.286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41.6</v>
      </c>
      <c r="Q9" s="29">
        <v>0</v>
      </c>
      <c r="R9" s="30">
        <v>0</v>
      </c>
      <c r="S9" s="30">
        <v>34</v>
      </c>
      <c r="T9" s="31">
        <v>10.427</v>
      </c>
      <c r="U9" s="32">
        <f t="shared" si="1"/>
        <v>86.026999999999987</v>
      </c>
      <c r="V9" s="44">
        <v>1</v>
      </c>
      <c r="W9" s="37" t="s">
        <v>33</v>
      </c>
      <c r="X9" s="270" t="s">
        <v>34</v>
      </c>
      <c r="Y9" s="271"/>
      <c r="Z9" s="54">
        <f>SUM(Z5:Z8)</f>
        <v>1017.0859999999884</v>
      </c>
      <c r="AA9" s="55"/>
      <c r="AB9" s="268"/>
      <c r="AC9" s="51" t="s">
        <v>35</v>
      </c>
      <c r="AD9" s="52">
        <v>34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41</v>
      </c>
      <c r="Q10" s="29">
        <v>0</v>
      </c>
      <c r="R10" s="30">
        <v>0</v>
      </c>
      <c r="S10" s="30">
        <v>33</v>
      </c>
      <c r="T10" s="31">
        <v>11.382</v>
      </c>
      <c r="U10" s="32">
        <f t="shared" si="1"/>
        <v>85.382000000000005</v>
      </c>
      <c r="V10" s="44"/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10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40.799999999999997</v>
      </c>
      <c r="Q11" s="29">
        <v>0</v>
      </c>
      <c r="R11" s="30">
        <v>0</v>
      </c>
      <c r="S11" s="30">
        <v>33</v>
      </c>
      <c r="T11" s="31">
        <v>11.853999999999999</v>
      </c>
      <c r="U11" s="32">
        <f t="shared" si="1"/>
        <v>85.653999999999996</v>
      </c>
      <c r="V11" s="44">
        <v>2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40.9</v>
      </c>
      <c r="Q12" s="29">
        <v>0</v>
      </c>
      <c r="R12" s="30">
        <v>0</v>
      </c>
      <c r="S12" s="30">
        <v>32</v>
      </c>
      <c r="T12" s="31">
        <v>12.003</v>
      </c>
      <c r="U12" s="32">
        <f t="shared" si="1"/>
        <v>84.903000000000006</v>
      </c>
      <c r="V12" s="44"/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40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42">
        <v>69</v>
      </c>
      <c r="C13" s="39">
        <v>61</v>
      </c>
      <c r="D13" s="39"/>
      <c r="E13" s="40">
        <v>68</v>
      </c>
      <c r="F13" s="41">
        <v>68</v>
      </c>
      <c r="G13" s="42">
        <v>45</v>
      </c>
      <c r="H13" s="41">
        <v>33</v>
      </c>
      <c r="I13" s="42"/>
      <c r="J13" s="41"/>
      <c r="K13" s="38">
        <v>58</v>
      </c>
      <c r="L13" s="43"/>
      <c r="M13" s="40">
        <v>46</v>
      </c>
      <c r="N13" s="42">
        <v>50</v>
      </c>
      <c r="O13" s="41">
        <v>73</v>
      </c>
      <c r="P13" s="53">
        <v>40</v>
      </c>
      <c r="Q13" s="29">
        <v>0</v>
      </c>
      <c r="R13" s="30">
        <v>0</v>
      </c>
      <c r="S13" s="30">
        <v>34</v>
      </c>
      <c r="T13" s="31">
        <v>11.773</v>
      </c>
      <c r="U13" s="32">
        <f t="shared" si="1"/>
        <v>85.772999999999996</v>
      </c>
      <c r="V13" s="44">
        <v>1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40.299999999999997</v>
      </c>
      <c r="Q14" s="29">
        <v>0</v>
      </c>
      <c r="R14" s="30">
        <v>0</v>
      </c>
      <c r="S14" s="30">
        <v>34</v>
      </c>
      <c r="T14" s="31">
        <v>12.99</v>
      </c>
      <c r="U14" s="32">
        <f t="shared" si="1"/>
        <v>87.289999999999992</v>
      </c>
      <c r="V14" s="44"/>
      <c r="W14" s="37" t="s">
        <v>44</v>
      </c>
      <c r="X14" s="280">
        <v>0.91666666666666663</v>
      </c>
      <c r="Y14" s="68" t="s">
        <v>45</v>
      </c>
      <c r="Z14" s="69">
        <v>0.5</v>
      </c>
      <c r="AA14" s="70">
        <f>100-Z14</f>
        <v>99.5</v>
      </c>
      <c r="AB14" s="278"/>
      <c r="AC14" s="51" t="s">
        <v>35</v>
      </c>
      <c r="AD14" s="52">
        <v>33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39.299999999999997</v>
      </c>
      <c r="Q15" s="29">
        <v>0</v>
      </c>
      <c r="R15" s="30">
        <v>0</v>
      </c>
      <c r="S15" s="30">
        <v>33</v>
      </c>
      <c r="T15" s="31">
        <v>11.992000000000001</v>
      </c>
      <c r="U15" s="32">
        <f t="shared" si="1"/>
        <v>84.292000000000002</v>
      </c>
      <c r="V15" s="44">
        <v>2</v>
      </c>
      <c r="W15" s="37" t="s">
        <v>46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>
        <v>10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39.799999999999997</v>
      </c>
      <c r="Q16" s="29">
        <v>0</v>
      </c>
      <c r="R16" s="30">
        <v>0</v>
      </c>
      <c r="S16" s="30">
        <v>35</v>
      </c>
      <c r="T16" s="82">
        <v>11.159000000000001</v>
      </c>
      <c r="U16" s="32">
        <f t="shared" si="1"/>
        <v>85.959000000000003</v>
      </c>
      <c r="V16" s="83">
        <v>1</v>
      </c>
      <c r="W16" s="75" t="s">
        <v>48</v>
      </c>
      <c r="X16" s="281"/>
      <c r="Y16" s="71" t="s">
        <v>49</v>
      </c>
      <c r="Z16" s="72">
        <v>0.9</v>
      </c>
      <c r="AA16" s="73">
        <f>100-Z16</f>
        <v>99.1</v>
      </c>
      <c r="AB16" s="84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67.5</v>
      </c>
      <c r="C17" s="88">
        <f>AVERAGE(C5:C16)</f>
        <v>59.5</v>
      </c>
      <c r="D17" s="88" t="e">
        <f>AVERAGE(D5:D15)</f>
        <v>#DIV/0!</v>
      </c>
      <c r="E17" s="88">
        <f>AVERAGE(E5:E15)</f>
        <v>68.5</v>
      </c>
      <c r="F17" s="88">
        <f>AVERAGE(F5:F15)</f>
        <v>65</v>
      </c>
      <c r="G17" s="88">
        <f>AVERAGE(G5:G16)</f>
        <v>45</v>
      </c>
      <c r="H17" s="88">
        <f>AVERAGE(H5:H16)</f>
        <v>32</v>
      </c>
      <c r="I17" s="88" t="e">
        <f t="shared" ref="I17:N17" si="2">AVERAGE(I5:I15)</f>
        <v>#DIV/0!</v>
      </c>
      <c r="J17" s="88" t="e">
        <f t="shared" si="2"/>
        <v>#DIV/0!</v>
      </c>
      <c r="K17" s="88">
        <f t="shared" si="2"/>
        <v>56.5</v>
      </c>
      <c r="L17" s="88" t="e">
        <f t="shared" si="2"/>
        <v>#DIV/0!</v>
      </c>
      <c r="M17" s="89">
        <f t="shared" si="2"/>
        <v>48.5</v>
      </c>
      <c r="N17" s="89">
        <f t="shared" si="2"/>
        <v>51</v>
      </c>
      <c r="O17" s="89">
        <f>AVERAGE(O5:O16)</f>
        <v>72.5</v>
      </c>
      <c r="P17" s="90">
        <f>SUM(P5:P16)</f>
        <v>477.8</v>
      </c>
      <c r="Q17" s="91">
        <f>SUM(Q5:Q16)</f>
        <v>0</v>
      </c>
      <c r="R17" s="92">
        <f>SUM(R5:R16)</f>
        <v>0</v>
      </c>
      <c r="S17" s="93">
        <f>SUM(S5:S16)</f>
        <v>402</v>
      </c>
      <c r="T17" s="93">
        <f>SUM(T5:T16)</f>
        <v>137.286</v>
      </c>
      <c r="U17" s="94">
        <f>SUM(P17:T17)</f>
        <v>1017.086</v>
      </c>
      <c r="V17" s="1">
        <f>SUM(V5:V16)</f>
        <v>8</v>
      </c>
      <c r="W17" s="4"/>
      <c r="X17" s="281"/>
      <c r="Y17" s="71" t="s">
        <v>51</v>
      </c>
      <c r="Z17" s="95">
        <v>0.7</v>
      </c>
      <c r="AA17" s="73">
        <f>100-Z17</f>
        <v>99.3</v>
      </c>
      <c r="AB17" s="283">
        <v>4.1666666666666664E-2</v>
      </c>
      <c r="AC17" s="62" t="s">
        <v>30</v>
      </c>
      <c r="AD17" s="50">
        <v>41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(AA14+AA16+AA17)/3</f>
        <v>99.3</v>
      </c>
      <c r="AB18" s="278"/>
      <c r="AC18" s="51" t="s">
        <v>32</v>
      </c>
      <c r="AD18" s="52"/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113</v>
      </c>
      <c r="J19" s="259"/>
      <c r="K19" s="259"/>
      <c r="L19" s="260"/>
      <c r="M19" s="261" t="s">
        <v>57</v>
      </c>
      <c r="N19" s="262"/>
      <c r="O19" s="263"/>
      <c r="P19" s="196">
        <v>1.9</v>
      </c>
      <c r="Q19" s="106"/>
      <c r="R19" s="107"/>
      <c r="S19" s="107">
        <v>2</v>
      </c>
      <c r="T19" s="107">
        <v>2.1</v>
      </c>
      <c r="U19" s="108">
        <f>(U17-U20)/U17*100</f>
        <v>1.9665206285407439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34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30</v>
      </c>
      <c r="B20" s="295"/>
      <c r="C20" s="44">
        <v>60</v>
      </c>
      <c r="D20" s="296">
        <v>0.3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468.72180000000003</v>
      </c>
      <c r="Q20" s="113"/>
      <c r="R20" s="114">
        <f>(R17-(R17*R19/100))</f>
        <v>0</v>
      </c>
      <c r="S20" s="112">
        <f>(S17-(S17*S19/100))</f>
        <v>393.96</v>
      </c>
      <c r="T20" s="112">
        <f>(T17-(T17*T19/100))</f>
        <v>134.40299400000001</v>
      </c>
      <c r="U20" s="115">
        <f>P20+Q20+R20+S20+T20</f>
        <v>997.0847940000001</v>
      </c>
      <c r="V20" s="4" t="s">
        <v>80</v>
      </c>
      <c r="W20" s="4"/>
      <c r="X20" s="281"/>
      <c r="Y20" s="68" t="s">
        <v>45</v>
      </c>
      <c r="Z20" s="69">
        <v>0.9</v>
      </c>
      <c r="AA20" s="70">
        <f>100-Z20</f>
        <v>99.1</v>
      </c>
      <c r="AB20" s="279"/>
      <c r="AC20" s="74" t="s">
        <v>37</v>
      </c>
      <c r="AD20" s="58">
        <v>10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61</v>
      </c>
      <c r="B21" s="295"/>
      <c r="C21" s="44">
        <v>30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45</v>
      </c>
      <c r="K21" s="118"/>
      <c r="L21" s="119"/>
      <c r="M21" s="307" t="s">
        <v>63</v>
      </c>
      <c r="N21" s="308"/>
      <c r="O21" s="309"/>
      <c r="P21" s="120">
        <f>(U17-(U17*U19/100))</f>
        <v>997.0847940000001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84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35</v>
      </c>
      <c r="B22" s="295"/>
      <c r="C22" s="44">
        <v>60</v>
      </c>
      <c r="D22" s="296">
        <v>0.15</v>
      </c>
      <c r="E22" s="297"/>
      <c r="F22" s="298" t="s">
        <v>58</v>
      </c>
      <c r="G22" s="299"/>
      <c r="H22" s="4"/>
      <c r="I22" s="125">
        <v>100</v>
      </c>
      <c r="J22" s="126">
        <f>I22-J21</f>
        <v>55</v>
      </c>
      <c r="K22" s="316">
        <f>J22/I22*100</f>
        <v>55.000000000000007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0.5</v>
      </c>
      <c r="AA22" s="73">
        <f>100-Z22</f>
        <v>99.5</v>
      </c>
      <c r="AB22" s="283">
        <v>0.125</v>
      </c>
      <c r="AC22" s="49" t="s">
        <v>30</v>
      </c>
      <c r="AD22" s="50">
        <v>40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 t="s">
        <v>37</v>
      </c>
      <c r="B23" s="295"/>
      <c r="C23" s="44">
        <v>60</v>
      </c>
      <c r="D23" s="296">
        <v>0.15</v>
      </c>
      <c r="E23" s="297"/>
      <c r="F23" s="298" t="s">
        <v>58</v>
      </c>
      <c r="G23" s="299"/>
      <c r="H23" s="4"/>
      <c r="I23" s="133" t="s">
        <v>66</v>
      </c>
      <c r="J23" s="134">
        <v>27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0.7</v>
      </c>
      <c r="AA23" s="73">
        <f>100-Z23</f>
        <v>99.3</v>
      </c>
      <c r="AB23" s="278"/>
      <c r="AC23" s="51" t="s">
        <v>32</v>
      </c>
      <c r="AD23" s="52"/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73</v>
      </c>
      <c r="K24" s="316">
        <f>J24/I24*100</f>
        <v>73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(AA20+AA22+AA23)/3</f>
        <v>99.3</v>
      </c>
      <c r="AB24" s="278"/>
      <c r="AC24" s="51" t="s">
        <v>35</v>
      </c>
      <c r="AD24" s="52">
        <v>33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10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68" t="s">
        <v>45</v>
      </c>
      <c r="Z26" s="69">
        <v>1</v>
      </c>
      <c r="AA26" s="70">
        <f>100-Z26</f>
        <v>99</v>
      </c>
      <c r="AB26" s="141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142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0.20833333333333334</v>
      </c>
      <c r="AC27" s="62" t="s">
        <v>30</v>
      </c>
      <c r="AD27" s="50">
        <v>41</v>
      </c>
      <c r="AE27" s="11">
        <v>25</v>
      </c>
      <c r="AF27" s="12">
        <f t="shared" si="0"/>
        <v>16.666666666666668</v>
      </c>
    </row>
    <row r="28" spans="1:32" ht="21" thickBot="1" x14ac:dyDescent="0.35">
      <c r="A28" s="407" t="s">
        <v>32</v>
      </c>
      <c r="B28" s="408"/>
      <c r="C28" s="143">
        <v>0.83333333333333337</v>
      </c>
      <c r="D28" s="341">
        <v>0.33333333333333331</v>
      </c>
      <c r="E28" s="342"/>
      <c r="F28" s="343" t="s">
        <v>74</v>
      </c>
      <c r="G28" s="344"/>
      <c r="H28" s="345" t="s">
        <v>75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1.7</v>
      </c>
      <c r="AA28" s="73">
        <f>100-Z28</f>
        <v>98.3</v>
      </c>
      <c r="AB28" s="268"/>
      <c r="AC28" s="67" t="s">
        <v>32</v>
      </c>
      <c r="AD28" s="52"/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 t="s">
        <v>118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1.4</v>
      </c>
      <c r="AA29" s="73">
        <f>100-Z29</f>
        <v>98.6</v>
      </c>
      <c r="AB29" s="268"/>
      <c r="AC29" s="51" t="s">
        <v>35</v>
      </c>
      <c r="AD29" s="52">
        <v>34</v>
      </c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 t="s">
        <v>119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(AA26+AA28+AA29)/3</f>
        <v>98.633333333333326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 t="s">
        <v>65</v>
      </c>
      <c r="W31" s="96"/>
      <c r="X31" s="280">
        <v>0.20833333333333334</v>
      </c>
      <c r="Y31" s="148"/>
      <c r="Z31" s="65"/>
      <c r="AA31" s="66" t="s">
        <v>43</v>
      </c>
      <c r="AB31" s="141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0.8</v>
      </c>
      <c r="AA32" s="70">
        <f>100-Z32</f>
        <v>99.2</v>
      </c>
      <c r="AB32" s="267">
        <v>0.29166666666666669</v>
      </c>
      <c r="AC32" s="62" t="s">
        <v>30</v>
      </c>
      <c r="AD32" s="50">
        <v>41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1.1000000000000001</v>
      </c>
      <c r="AA34" s="73">
        <f>100-Z34</f>
        <v>98.9</v>
      </c>
      <c r="AB34" s="268"/>
      <c r="AC34" s="67" t="s">
        <v>35</v>
      </c>
      <c r="AD34" s="52">
        <v>33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1</v>
      </c>
      <c r="AA35" s="73">
        <f>100-Z35</f>
        <v>99</v>
      </c>
      <c r="AB35" s="269"/>
      <c r="AC35" s="74" t="s">
        <v>37</v>
      </c>
      <c r="AD35" s="58">
        <v>10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(AA32+AA34+AA35)/3</f>
        <v>99.033333333333346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Z38" t="s">
        <v>78</v>
      </c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91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8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>
        <v>9.5</v>
      </c>
      <c r="K42" s="399">
        <v>9.11</v>
      </c>
      <c r="L42" s="400"/>
      <c r="M42" s="164">
        <v>9.59</v>
      </c>
      <c r="N42" s="165">
        <v>9.27</v>
      </c>
      <c r="O42" s="165">
        <v>10</v>
      </c>
      <c r="P42" s="165">
        <v>9.8699999999999992</v>
      </c>
      <c r="Q42" s="401">
        <f>AVERAGE(J42:P43)</f>
        <v>9.5566666666666666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168" t="s">
        <v>89</v>
      </c>
      <c r="B43" s="169"/>
      <c r="C43" s="169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99</v>
      </c>
      <c r="E44" s="392"/>
      <c r="F44" s="393"/>
      <c r="G44" s="172"/>
      <c r="H44" s="173"/>
      <c r="I44" s="174"/>
      <c r="J44" s="175"/>
      <c r="K44" s="175"/>
      <c r="L44" s="175"/>
      <c r="M44" s="175"/>
      <c r="N44" s="175"/>
      <c r="O44" s="175"/>
      <c r="P44" s="176"/>
      <c r="Q44" s="166"/>
      <c r="R44" s="177" t="s">
        <v>92</v>
      </c>
      <c r="S44" s="177"/>
      <c r="T44" s="177"/>
      <c r="U44" s="177"/>
      <c r="V44" s="177"/>
      <c r="W44" s="177"/>
      <c r="X44" s="177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AC42" sqref="AC42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7109375" customWidth="1"/>
    <col min="19" max="19" width="10.140625" customWidth="1"/>
    <col min="20" max="20" width="9.85546875" customWidth="1"/>
    <col min="21" max="23" width="10.7109375" customWidth="1"/>
    <col min="24" max="24" width="17.140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111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13">
        <v>1</v>
      </c>
      <c r="C4" s="14">
        <v>2</v>
      </c>
      <c r="D4" s="14">
        <v>3</v>
      </c>
      <c r="E4" s="15">
        <v>4</v>
      </c>
      <c r="F4" s="16">
        <v>5</v>
      </c>
      <c r="G4" s="13" t="s">
        <v>23</v>
      </c>
      <c r="H4" s="16" t="s">
        <v>24</v>
      </c>
      <c r="I4" s="13">
        <v>1</v>
      </c>
      <c r="J4" s="16">
        <v>2</v>
      </c>
      <c r="K4" s="17">
        <v>1</v>
      </c>
      <c r="L4" s="18">
        <v>3</v>
      </c>
      <c r="M4" s="15">
        <v>5</v>
      </c>
      <c r="N4" s="13" t="s">
        <v>23</v>
      </c>
      <c r="O4" s="16" t="s">
        <v>24</v>
      </c>
      <c r="P4" s="13">
        <v>1</v>
      </c>
      <c r="Q4" s="17">
        <v>2</v>
      </c>
      <c r="R4" s="14">
        <v>3</v>
      </c>
      <c r="S4" s="16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41.7</v>
      </c>
      <c r="Q5" s="29">
        <v>0</v>
      </c>
      <c r="R5" s="30">
        <v>0</v>
      </c>
      <c r="S5" s="30">
        <v>35</v>
      </c>
      <c r="T5" s="31">
        <v>10.500999999999999</v>
      </c>
      <c r="U5" s="32">
        <f>SUM(P5:T5)</f>
        <v>87.201000000000008</v>
      </c>
      <c r="V5" s="33"/>
      <c r="W5" s="21" t="s">
        <v>93</v>
      </c>
      <c r="X5" s="34">
        <v>511610.7</v>
      </c>
      <c r="Y5" s="34">
        <f>X5+P17</f>
        <v>512074.7</v>
      </c>
      <c r="Z5" s="35">
        <f>Y5-X5</f>
        <v>464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31.9</v>
      </c>
      <c r="Q6" s="29">
        <v>0</v>
      </c>
      <c r="R6" s="30">
        <v>0</v>
      </c>
      <c r="S6" s="30">
        <v>35</v>
      </c>
      <c r="T6" s="31">
        <v>11.456</v>
      </c>
      <c r="U6" s="32">
        <f t="shared" ref="U6:U16" si="1">SUM(P6:T6)</f>
        <v>78.356000000000009</v>
      </c>
      <c r="V6" s="44">
        <v>2</v>
      </c>
      <c r="W6" s="37" t="s">
        <v>94</v>
      </c>
      <c r="X6" s="45"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>
        <v>67</v>
      </c>
      <c r="C7" s="39">
        <v>58</v>
      </c>
      <c r="D7" s="39"/>
      <c r="E7" s="40">
        <v>62</v>
      </c>
      <c r="F7" s="41">
        <v>65</v>
      </c>
      <c r="G7" s="42">
        <v>46</v>
      </c>
      <c r="H7" s="41">
        <v>32</v>
      </c>
      <c r="I7" s="42">
        <v>48</v>
      </c>
      <c r="J7" s="41">
        <v>8</v>
      </c>
      <c r="K7" s="38">
        <v>55</v>
      </c>
      <c r="L7" s="43"/>
      <c r="M7" s="40">
        <v>47</v>
      </c>
      <c r="N7" s="42">
        <v>49</v>
      </c>
      <c r="O7" s="41">
        <v>71</v>
      </c>
      <c r="P7" s="28">
        <v>42.9</v>
      </c>
      <c r="Q7" s="29">
        <v>0</v>
      </c>
      <c r="R7" s="30">
        <v>0</v>
      </c>
      <c r="S7" s="30">
        <v>34</v>
      </c>
      <c r="T7" s="31">
        <v>11.43</v>
      </c>
      <c r="U7" s="32">
        <f t="shared" si="1"/>
        <v>88.330000000000013</v>
      </c>
      <c r="V7" s="44">
        <v>1</v>
      </c>
      <c r="W7" s="37" t="s">
        <v>95</v>
      </c>
      <c r="X7" s="48">
        <v>503328</v>
      </c>
      <c r="Y7" s="34">
        <f>X7+S17</f>
        <v>503746</v>
      </c>
      <c r="Z7" s="46">
        <f>Y7-X7</f>
        <v>418</v>
      </c>
      <c r="AA7" s="47">
        <v>4</v>
      </c>
      <c r="AB7" s="267">
        <v>0.375</v>
      </c>
      <c r="AC7" s="49" t="s">
        <v>30</v>
      </c>
      <c r="AD7" s="50">
        <v>42</v>
      </c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35</v>
      </c>
      <c r="Q8" s="29">
        <v>0</v>
      </c>
      <c r="R8" s="30">
        <v>0</v>
      </c>
      <c r="S8" s="30">
        <v>35</v>
      </c>
      <c r="T8" s="31">
        <v>10.862</v>
      </c>
      <c r="U8" s="32">
        <f t="shared" si="1"/>
        <v>80.861999999999995</v>
      </c>
      <c r="V8" s="44">
        <v>1</v>
      </c>
      <c r="W8" s="37" t="s">
        <v>96</v>
      </c>
      <c r="X8" s="46">
        <v>375.17500000000001</v>
      </c>
      <c r="Y8" s="34">
        <f>X8+T17</f>
        <v>510.69100000000003</v>
      </c>
      <c r="Z8" s="46">
        <f>T17</f>
        <v>135.51599999999999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38.9</v>
      </c>
      <c r="Q9" s="29">
        <v>0</v>
      </c>
      <c r="R9" s="30">
        <v>0</v>
      </c>
      <c r="S9" s="30">
        <v>34</v>
      </c>
      <c r="T9" s="31">
        <v>9.4990000000000006</v>
      </c>
      <c r="U9" s="32">
        <f t="shared" si="1"/>
        <v>82.399000000000001</v>
      </c>
      <c r="V9" s="44"/>
      <c r="W9" s="37" t="s">
        <v>97</v>
      </c>
      <c r="X9" s="270" t="s">
        <v>34</v>
      </c>
      <c r="Y9" s="271"/>
      <c r="Z9" s="54">
        <f>SUM(Z5:Z8)</f>
        <v>1017.516</v>
      </c>
      <c r="AA9" s="55"/>
      <c r="AB9" s="268"/>
      <c r="AC9" s="51" t="s">
        <v>35</v>
      </c>
      <c r="AD9" s="52">
        <v>35</v>
      </c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44.4</v>
      </c>
      <c r="Q10" s="29">
        <v>0</v>
      </c>
      <c r="R10" s="30">
        <v>0</v>
      </c>
      <c r="S10" s="30">
        <v>34</v>
      </c>
      <c r="T10" s="31">
        <v>11.493</v>
      </c>
      <c r="U10" s="32">
        <f t="shared" si="1"/>
        <v>89.893000000000001</v>
      </c>
      <c r="V10" s="44">
        <v>1</v>
      </c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10</v>
      </c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42.5</v>
      </c>
      <c r="Q11" s="29">
        <v>0</v>
      </c>
      <c r="R11" s="30">
        <v>0</v>
      </c>
      <c r="S11" s="30">
        <v>35</v>
      </c>
      <c r="T11" s="31">
        <v>12.048</v>
      </c>
      <c r="U11" s="32">
        <f t="shared" si="1"/>
        <v>89.548000000000002</v>
      </c>
      <c r="V11" s="44">
        <v>1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34.9</v>
      </c>
      <c r="Q12" s="29">
        <v>0</v>
      </c>
      <c r="R12" s="30">
        <v>0</v>
      </c>
      <c r="S12" s="30">
        <v>34</v>
      </c>
      <c r="T12" s="31">
        <v>11.429</v>
      </c>
      <c r="U12" s="32">
        <f t="shared" si="1"/>
        <v>80.329000000000008</v>
      </c>
      <c r="V12" s="44">
        <v>1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>
        <v>41</v>
      </c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>
        <v>69</v>
      </c>
      <c r="C13" s="39">
        <v>57</v>
      </c>
      <c r="D13" s="39"/>
      <c r="E13" s="40">
        <v>64</v>
      </c>
      <c r="F13" s="41">
        <v>65</v>
      </c>
      <c r="G13" s="42">
        <v>43</v>
      </c>
      <c r="H13" s="41">
        <v>29</v>
      </c>
      <c r="I13" s="42">
        <v>2</v>
      </c>
      <c r="J13" s="41">
        <v>7</v>
      </c>
      <c r="K13" s="38">
        <v>53</v>
      </c>
      <c r="L13" s="43"/>
      <c r="M13" s="40">
        <v>49</v>
      </c>
      <c r="N13" s="42">
        <v>54</v>
      </c>
      <c r="O13" s="41">
        <v>72</v>
      </c>
      <c r="P13" s="53">
        <v>30</v>
      </c>
      <c r="Q13" s="29">
        <v>0</v>
      </c>
      <c r="R13" s="30">
        <v>0</v>
      </c>
      <c r="S13" s="30">
        <v>35</v>
      </c>
      <c r="T13" s="31">
        <v>11.398999999999999</v>
      </c>
      <c r="U13" s="32">
        <f t="shared" si="1"/>
        <v>76.399000000000001</v>
      </c>
      <c r="V13" s="44">
        <v>1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40.4</v>
      </c>
      <c r="Q14" s="29">
        <v>0</v>
      </c>
      <c r="R14" s="30">
        <v>0</v>
      </c>
      <c r="S14" s="30">
        <v>36</v>
      </c>
      <c r="T14" s="31">
        <v>9.2729999999999997</v>
      </c>
      <c r="U14" s="32">
        <f t="shared" si="1"/>
        <v>85.673000000000002</v>
      </c>
      <c r="V14" s="44">
        <v>2</v>
      </c>
      <c r="W14" s="37" t="s">
        <v>102</v>
      </c>
      <c r="X14" s="280">
        <v>0.41666666666666669</v>
      </c>
      <c r="Y14" s="68" t="s">
        <v>45</v>
      </c>
      <c r="Z14" s="69">
        <v>0.9</v>
      </c>
      <c r="AA14" s="70">
        <f>100-Z14</f>
        <v>99.1</v>
      </c>
      <c r="AB14" s="278"/>
      <c r="AC14" s="51" t="s">
        <v>35</v>
      </c>
      <c r="AD14" s="52">
        <v>34</v>
      </c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41.6</v>
      </c>
      <c r="Q15" s="29">
        <v>0</v>
      </c>
      <c r="R15" s="30">
        <v>0</v>
      </c>
      <c r="S15" s="30">
        <v>36</v>
      </c>
      <c r="T15" s="31">
        <v>12.819000000000001</v>
      </c>
      <c r="U15" s="32">
        <f t="shared" si="1"/>
        <v>90.418999999999997</v>
      </c>
      <c r="V15" s="44"/>
      <c r="W15" s="37" t="s">
        <v>103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>
        <v>10</v>
      </c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39.799999999999997</v>
      </c>
      <c r="Q16" s="29">
        <v>0</v>
      </c>
      <c r="R16" s="30">
        <v>0</v>
      </c>
      <c r="S16" s="30">
        <v>35</v>
      </c>
      <c r="T16" s="82">
        <v>13.307</v>
      </c>
      <c r="U16" s="32">
        <f t="shared" si="1"/>
        <v>88.106999999999999</v>
      </c>
      <c r="V16" s="83">
        <v>2</v>
      </c>
      <c r="W16" s="75" t="s">
        <v>104</v>
      </c>
      <c r="X16" s="281"/>
      <c r="Y16" s="71" t="s">
        <v>49</v>
      </c>
      <c r="Z16" s="72">
        <v>0.6</v>
      </c>
      <c r="AA16" s="73">
        <f>100-Z16</f>
        <v>99.4</v>
      </c>
      <c r="AB16" s="84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>
        <f>AVERAGE(B5:B15)</f>
        <v>68</v>
      </c>
      <c r="C17" s="88">
        <f>AVERAGE(C5:C16)</f>
        <v>57.5</v>
      </c>
      <c r="D17" s="88" t="e">
        <f>AVERAGE(D5:D15)</f>
        <v>#DIV/0!</v>
      </c>
      <c r="E17" s="88">
        <f>AVERAGE(E5:E15)</f>
        <v>63</v>
      </c>
      <c r="F17" s="88">
        <f>AVERAGE(F5:F15)</f>
        <v>65</v>
      </c>
      <c r="G17" s="88">
        <f>AVERAGE(G5:G16)</f>
        <v>44.5</v>
      </c>
      <c r="H17" s="88">
        <f>AVERAGE(H5:H16)</f>
        <v>30.5</v>
      </c>
      <c r="I17" s="88">
        <f t="shared" ref="I17:N17" si="2">AVERAGE(I5:I15)</f>
        <v>25</v>
      </c>
      <c r="J17" s="88">
        <f t="shared" si="2"/>
        <v>7.5</v>
      </c>
      <c r="K17" s="88">
        <f t="shared" si="2"/>
        <v>54</v>
      </c>
      <c r="L17" s="88" t="e">
        <f t="shared" si="2"/>
        <v>#DIV/0!</v>
      </c>
      <c r="M17" s="89">
        <f t="shared" si="2"/>
        <v>48</v>
      </c>
      <c r="N17" s="89">
        <f t="shared" si="2"/>
        <v>51.5</v>
      </c>
      <c r="O17" s="89">
        <f>AVERAGE(O5:O16)</f>
        <v>71.5</v>
      </c>
      <c r="P17" s="90">
        <f>SUM(P5:P16)</f>
        <v>464</v>
      </c>
      <c r="Q17" s="91">
        <f>SUM(Q5:Q16)</f>
        <v>0</v>
      </c>
      <c r="R17" s="92">
        <f>SUM(R5:R16)</f>
        <v>0</v>
      </c>
      <c r="S17" s="93">
        <f>SUM(S5:S16)</f>
        <v>418</v>
      </c>
      <c r="T17" s="93">
        <f>SUM(T5:T16)</f>
        <v>135.51599999999999</v>
      </c>
      <c r="U17" s="94">
        <f>SUM(P17:T17)</f>
        <v>1017.516</v>
      </c>
      <c r="V17" s="1">
        <f>SUM(V5:V16)</f>
        <v>12</v>
      </c>
      <c r="W17" s="4"/>
      <c r="X17" s="281"/>
      <c r="Y17" s="71" t="s">
        <v>51</v>
      </c>
      <c r="Z17" s="95">
        <v>1.1000000000000001</v>
      </c>
      <c r="AA17" s="73">
        <f>100-Z17</f>
        <v>98.9</v>
      </c>
      <c r="AB17" s="283">
        <v>0.54166666666666663</v>
      </c>
      <c r="AC17" s="62" t="s">
        <v>30</v>
      </c>
      <c r="AD17" s="50">
        <v>41</v>
      </c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v>99.13</v>
      </c>
      <c r="AB18" s="278"/>
      <c r="AC18" s="51" t="s">
        <v>32</v>
      </c>
      <c r="AD18" s="52"/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112</v>
      </c>
      <c r="J19" s="259"/>
      <c r="K19" s="259"/>
      <c r="L19" s="260"/>
      <c r="M19" s="261" t="s">
        <v>57</v>
      </c>
      <c r="N19" s="262"/>
      <c r="O19" s="263"/>
      <c r="P19" s="105">
        <v>2.1</v>
      </c>
      <c r="Q19" s="106"/>
      <c r="R19" s="107"/>
      <c r="S19" s="197">
        <v>2</v>
      </c>
      <c r="T19" s="107">
        <v>2.2999999999999998</v>
      </c>
      <c r="U19" s="108">
        <f>(U17-U20)/U17*100</f>
        <v>2.0855561976421004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34</v>
      </c>
      <c r="AE19" s="11">
        <v>17</v>
      </c>
      <c r="AF19" s="12">
        <f t="shared" si="0"/>
        <v>3.1166666666666667</v>
      </c>
    </row>
    <row r="20" spans="1:32" ht="16.5" thickBot="1" x14ac:dyDescent="0.3">
      <c r="A20" s="294" t="s">
        <v>30</v>
      </c>
      <c r="B20" s="295"/>
      <c r="C20" s="44">
        <v>60</v>
      </c>
      <c r="D20" s="296">
        <v>0.15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454.25599999999997</v>
      </c>
      <c r="Q20" s="113"/>
      <c r="R20" s="114">
        <f>(R17-(R17*R19/100))</f>
        <v>0</v>
      </c>
      <c r="S20" s="112">
        <f>(S17-(S17*S19/100))</f>
        <v>409.64</v>
      </c>
      <c r="T20" s="112">
        <f>(T17-(T17*T19/100))</f>
        <v>132.39913199999998</v>
      </c>
      <c r="U20" s="115">
        <f>P20+Q20+R20+S20+T20</f>
        <v>996.29513199999997</v>
      </c>
      <c r="V20" s="4"/>
      <c r="W20" s="4"/>
      <c r="X20" s="281"/>
      <c r="Y20" s="68" t="s">
        <v>45</v>
      </c>
      <c r="Z20" s="69">
        <v>0.2</v>
      </c>
      <c r="AA20" s="70">
        <f>100-Z20</f>
        <v>99.8</v>
      </c>
      <c r="AB20" s="279"/>
      <c r="AC20" s="74" t="s">
        <v>37</v>
      </c>
      <c r="AD20" s="58">
        <v>10</v>
      </c>
      <c r="AE20" s="11">
        <v>18</v>
      </c>
      <c r="AF20" s="12">
        <f t="shared" si="0"/>
        <v>3.3</v>
      </c>
    </row>
    <row r="21" spans="1:32" ht="19.5" thickBot="1" x14ac:dyDescent="0.3">
      <c r="A21" s="294" t="s">
        <v>61</v>
      </c>
      <c r="B21" s="295"/>
      <c r="C21" s="44">
        <v>30</v>
      </c>
      <c r="D21" s="296">
        <v>0.15</v>
      </c>
      <c r="E21" s="297"/>
      <c r="F21" s="298" t="s">
        <v>58</v>
      </c>
      <c r="G21" s="299"/>
      <c r="H21" s="96"/>
      <c r="I21" s="116" t="s">
        <v>62</v>
      </c>
      <c r="J21" s="117">
        <v>49</v>
      </c>
      <c r="K21" s="118"/>
      <c r="L21" s="119"/>
      <c r="M21" s="307" t="s">
        <v>63</v>
      </c>
      <c r="N21" s="308"/>
      <c r="O21" s="309"/>
      <c r="P21" s="120">
        <f>(U17-(U17*U19/100))</f>
        <v>996.29513199999997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84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 t="s">
        <v>35</v>
      </c>
      <c r="B22" s="295"/>
      <c r="C22" s="44">
        <v>60</v>
      </c>
      <c r="D22" s="296">
        <v>0.15</v>
      </c>
      <c r="E22" s="297"/>
      <c r="F22" s="298" t="s">
        <v>58</v>
      </c>
      <c r="G22" s="299"/>
      <c r="H22" s="4"/>
      <c r="I22" s="125">
        <v>100</v>
      </c>
      <c r="J22" s="126">
        <f>I22-J21</f>
        <v>51</v>
      </c>
      <c r="K22" s="316">
        <f>J22/I22*100</f>
        <v>51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0.2</v>
      </c>
      <c r="AA22" s="73">
        <f>100-Z22</f>
        <v>99.8</v>
      </c>
      <c r="AB22" s="283">
        <v>0.625</v>
      </c>
      <c r="AC22" s="49" t="s">
        <v>30</v>
      </c>
      <c r="AD22" s="50">
        <v>42</v>
      </c>
      <c r="AE22" s="11">
        <v>20</v>
      </c>
      <c r="AF22" s="12">
        <f t="shared" si="0"/>
        <v>3.6666666666666665</v>
      </c>
    </row>
    <row r="23" spans="1:32" ht="16.5" thickBot="1" x14ac:dyDescent="0.3">
      <c r="A23" s="294" t="s">
        <v>37</v>
      </c>
      <c r="B23" s="295"/>
      <c r="C23" s="44">
        <v>60</v>
      </c>
      <c r="D23" s="296">
        <v>0.15</v>
      </c>
      <c r="E23" s="297"/>
      <c r="F23" s="298" t="s">
        <v>58</v>
      </c>
      <c r="G23" s="299"/>
      <c r="H23" s="4"/>
      <c r="I23" s="133" t="s">
        <v>66</v>
      </c>
      <c r="J23" s="134">
        <v>28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0.3</v>
      </c>
      <c r="AA23" s="73">
        <f>100-Z23</f>
        <v>99.7</v>
      </c>
      <c r="AB23" s="278"/>
      <c r="AC23" s="51" t="s">
        <v>32</v>
      </c>
      <c r="AD23" s="52"/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72</v>
      </c>
      <c r="K24" s="316">
        <f>J24/I24*100</f>
        <v>72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v>99.76</v>
      </c>
      <c r="AB24" s="278"/>
      <c r="AC24" s="51" t="s">
        <v>35</v>
      </c>
      <c r="AD24" s="52">
        <v>35</v>
      </c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10</v>
      </c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68" t="s">
        <v>45</v>
      </c>
      <c r="Z26" s="69">
        <v>0.3</v>
      </c>
      <c r="AA26" s="70">
        <f>100-Z26</f>
        <v>99.7</v>
      </c>
      <c r="AB26" s="141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142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0.70833333333333337</v>
      </c>
      <c r="AC27" s="62" t="s">
        <v>30</v>
      </c>
      <c r="AD27" s="50">
        <v>37</v>
      </c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 t="s">
        <v>76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0.6</v>
      </c>
      <c r="AA28" s="73">
        <f>100-Z28</f>
        <v>99.4</v>
      </c>
      <c r="AB28" s="268"/>
      <c r="AC28" s="67" t="s">
        <v>32</v>
      </c>
      <c r="AD28" s="52"/>
      <c r="AE28" s="11">
        <v>26</v>
      </c>
      <c r="AF28" s="12">
        <f t="shared" si="0"/>
        <v>4.7666666666666666</v>
      </c>
    </row>
    <row r="29" spans="1:32" ht="23.25" thickBot="1" x14ac:dyDescent="0.35">
      <c r="A29" s="432" t="s">
        <v>32</v>
      </c>
      <c r="B29" s="433"/>
      <c r="C29" s="181">
        <v>0.33333333333333331</v>
      </c>
      <c r="D29" s="428">
        <v>0.83333333333333337</v>
      </c>
      <c r="E29" s="429"/>
      <c r="F29" s="430" t="s">
        <v>117</v>
      </c>
      <c r="G29" s="431"/>
      <c r="H29" s="345" t="s">
        <v>75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0.5</v>
      </c>
      <c r="AA29" s="73">
        <f>100-Z29</f>
        <v>99.5</v>
      </c>
      <c r="AB29" s="268"/>
      <c r="AC29" s="51" t="s">
        <v>35</v>
      </c>
      <c r="AD29" s="52">
        <v>35</v>
      </c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45" t="s">
        <v>121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v>99.53</v>
      </c>
      <c r="AB30" s="269"/>
      <c r="AC30" s="74" t="s">
        <v>37</v>
      </c>
      <c r="AD30" s="58">
        <v>10</v>
      </c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 t="s">
        <v>120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141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1.2</v>
      </c>
      <c r="AA32" s="70">
        <f>100-Z32</f>
        <v>98.8</v>
      </c>
      <c r="AB32" s="267">
        <v>0.79166666666666663</v>
      </c>
      <c r="AC32" s="62" t="s">
        <v>30</v>
      </c>
      <c r="AD32" s="50">
        <v>42</v>
      </c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0.7</v>
      </c>
      <c r="AA34" s="73">
        <f>100-Z34</f>
        <v>99.3</v>
      </c>
      <c r="AB34" s="268"/>
      <c r="AC34" s="67" t="s">
        <v>35</v>
      </c>
      <c r="AD34" s="52">
        <v>36</v>
      </c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0.5</v>
      </c>
      <c r="AA35" s="73">
        <f>100-Z35</f>
        <v>99.5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99.4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99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12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>
        <v>56</v>
      </c>
      <c r="E42" s="386"/>
      <c r="F42" s="387"/>
      <c r="G42" s="160"/>
      <c r="H42" s="397" t="s">
        <v>88</v>
      </c>
      <c r="I42" s="398"/>
      <c r="J42" s="164">
        <v>9.65</v>
      </c>
      <c r="K42" s="399">
        <v>9.9499999999999993</v>
      </c>
      <c r="L42" s="400"/>
      <c r="M42" s="164">
        <v>10.56</v>
      </c>
      <c r="N42" s="165">
        <v>10.78</v>
      </c>
      <c r="O42" s="165">
        <v>10</v>
      </c>
      <c r="P42" s="165">
        <v>9.9</v>
      </c>
      <c r="Q42" s="401">
        <f>AVERAGE(J42:P43)</f>
        <v>10.14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168" t="s">
        <v>89</v>
      </c>
      <c r="B43" s="169"/>
      <c r="C43" s="169"/>
      <c r="D43" s="386">
        <v>3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55</v>
      </c>
      <c r="E44" s="392"/>
      <c r="F44" s="393"/>
      <c r="G44" s="172"/>
      <c r="H44" s="173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177"/>
      <c r="X44" s="177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Y42" sqref="Y42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6" width="11.140625" customWidth="1"/>
    <col min="17" max="17" width="10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122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40.799999999999997</v>
      </c>
      <c r="Q5" s="29">
        <v>0</v>
      </c>
      <c r="R5" s="30">
        <v>0</v>
      </c>
      <c r="S5" s="30">
        <v>34</v>
      </c>
      <c r="T5" s="31">
        <v>12.05</v>
      </c>
      <c r="U5" s="32">
        <f>SUM(P5:T5)</f>
        <v>86.85</v>
      </c>
      <c r="V5" s="33"/>
      <c r="W5" s="21" t="s">
        <v>27</v>
      </c>
      <c r="X5" s="34">
        <f>'02.01.26см2'!Y5</f>
        <v>512074.7</v>
      </c>
      <c r="Y5" s="34">
        <f>X5+P17</f>
        <v>512574.7</v>
      </c>
      <c r="Z5" s="35">
        <f>Y5-X5</f>
        <v>500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42.2</v>
      </c>
      <c r="Q6" s="29">
        <v>0</v>
      </c>
      <c r="R6" s="30">
        <v>0</v>
      </c>
      <c r="S6" s="30">
        <v>35</v>
      </c>
      <c r="T6" s="31">
        <v>13.804</v>
      </c>
      <c r="U6" s="32">
        <f t="shared" ref="U6:U16" si="1">SUM(P6:T6)</f>
        <v>91.004000000000005</v>
      </c>
      <c r="V6" s="44">
        <v>2</v>
      </c>
      <c r="W6" s="37" t="s">
        <v>28</v>
      </c>
      <c r="X6" s="45">
        <f>'02.01.26см2'!X6</f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>
        <v>41.2</v>
      </c>
      <c r="Q7" s="29">
        <v>0</v>
      </c>
      <c r="R7" s="30">
        <v>0</v>
      </c>
      <c r="S7" s="30">
        <v>34</v>
      </c>
      <c r="T7" s="31">
        <v>13.507999999999999</v>
      </c>
      <c r="U7" s="32">
        <f t="shared" si="1"/>
        <v>88.707999999999998</v>
      </c>
      <c r="V7" s="44">
        <v>3</v>
      </c>
      <c r="W7" s="37" t="s">
        <v>29</v>
      </c>
      <c r="X7" s="48">
        <f>'02.01.26см2'!Y7</f>
        <v>503746</v>
      </c>
      <c r="Y7" s="34">
        <f>'02.01.26см2'!Y7</f>
        <v>503746</v>
      </c>
      <c r="Z7" s="46">
        <f>Y7-X7</f>
        <v>0</v>
      </c>
      <c r="AA7" s="47">
        <v>4</v>
      </c>
      <c r="AB7" s="267">
        <v>0.875</v>
      </c>
      <c r="AC7" s="49" t="s">
        <v>30</v>
      </c>
      <c r="AD7" s="50">
        <v>41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>
        <v>71</v>
      </c>
      <c r="C8" s="39">
        <v>59</v>
      </c>
      <c r="D8" s="39"/>
      <c r="E8" s="40">
        <v>65</v>
      </c>
      <c r="F8" s="41">
        <v>65</v>
      </c>
      <c r="G8" s="42">
        <v>44</v>
      </c>
      <c r="H8" s="41">
        <v>27</v>
      </c>
      <c r="I8" s="42"/>
      <c r="J8" s="41"/>
      <c r="K8" s="38">
        <v>59</v>
      </c>
      <c r="L8" s="43"/>
      <c r="M8" s="40">
        <v>51</v>
      </c>
      <c r="N8" s="42">
        <v>56</v>
      </c>
      <c r="O8" s="41">
        <v>74</v>
      </c>
      <c r="P8" s="28">
        <v>42.8</v>
      </c>
      <c r="Q8" s="29">
        <v>0</v>
      </c>
      <c r="R8" s="30">
        <v>0</v>
      </c>
      <c r="S8" s="30">
        <v>34</v>
      </c>
      <c r="T8" s="31">
        <v>13.266</v>
      </c>
      <c r="U8" s="32">
        <f t="shared" si="1"/>
        <v>90.066000000000003</v>
      </c>
      <c r="V8" s="44">
        <v>1</v>
      </c>
      <c r="W8" s="37" t="s">
        <v>31</v>
      </c>
      <c r="X8" s="46">
        <f>'02.01.26см2'!Y8</f>
        <v>510.69100000000003</v>
      </c>
      <c r="Y8" s="34">
        <f>X8+T17</f>
        <v>667.94600000000003</v>
      </c>
      <c r="Z8" s="46">
        <f>T17</f>
        <v>157.25499999999997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39.9</v>
      </c>
      <c r="Q9" s="29">
        <v>0</v>
      </c>
      <c r="R9" s="30">
        <v>0</v>
      </c>
      <c r="S9" s="30">
        <v>35</v>
      </c>
      <c r="T9" s="31">
        <v>12.587</v>
      </c>
      <c r="U9" s="32">
        <f t="shared" si="1"/>
        <v>87.487000000000009</v>
      </c>
      <c r="V9" s="44"/>
      <c r="W9" s="37" t="s">
        <v>33</v>
      </c>
      <c r="X9" s="270" t="s">
        <v>34</v>
      </c>
      <c r="Y9" s="271"/>
      <c r="Z9" s="54">
        <f>SUM(Z5:Z8)</f>
        <v>657.255</v>
      </c>
      <c r="AA9" s="55"/>
      <c r="AB9" s="268"/>
      <c r="AC9" s="51" t="s">
        <v>35</v>
      </c>
      <c r="AD9" s="52">
        <v>34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39.700000000000003</v>
      </c>
      <c r="Q10" s="29">
        <v>0</v>
      </c>
      <c r="R10" s="30">
        <v>0</v>
      </c>
      <c r="S10" s="30">
        <v>33</v>
      </c>
      <c r="T10" s="31">
        <v>12.597</v>
      </c>
      <c r="U10" s="32">
        <f t="shared" si="1"/>
        <v>85.296999999999997</v>
      </c>
      <c r="V10" s="44">
        <v>1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11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43.9</v>
      </c>
      <c r="Q11" s="29">
        <v>0</v>
      </c>
      <c r="R11" s="30">
        <v>0</v>
      </c>
      <c r="S11" s="30">
        <v>34</v>
      </c>
      <c r="T11" s="31">
        <v>13.326000000000001</v>
      </c>
      <c r="U11" s="32">
        <f t="shared" si="1"/>
        <v>91.225999999999999</v>
      </c>
      <c r="V11" s="44">
        <v>1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41.7</v>
      </c>
      <c r="Q12" s="29">
        <v>0</v>
      </c>
      <c r="R12" s="30">
        <v>0</v>
      </c>
      <c r="S12" s="30">
        <v>35</v>
      </c>
      <c r="T12" s="31">
        <v>13.441000000000001</v>
      </c>
      <c r="U12" s="32">
        <f t="shared" si="1"/>
        <v>90.141000000000005</v>
      </c>
      <c r="V12" s="44">
        <v>1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40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42">
        <v>68</v>
      </c>
      <c r="C13" s="39">
        <v>61</v>
      </c>
      <c r="D13" s="39"/>
      <c r="E13" s="40">
        <v>69</v>
      </c>
      <c r="F13" s="41">
        <v>67</v>
      </c>
      <c r="G13" s="42">
        <v>48</v>
      </c>
      <c r="H13" s="41">
        <v>33</v>
      </c>
      <c r="I13" s="42"/>
      <c r="J13" s="41"/>
      <c r="K13" s="38">
        <v>59</v>
      </c>
      <c r="L13" s="43"/>
      <c r="M13" s="40">
        <v>54</v>
      </c>
      <c r="N13" s="42">
        <v>50</v>
      </c>
      <c r="O13" s="41">
        <v>72</v>
      </c>
      <c r="P13" s="53">
        <v>40.700000000000003</v>
      </c>
      <c r="Q13" s="29">
        <v>0</v>
      </c>
      <c r="R13" s="30">
        <v>0</v>
      </c>
      <c r="S13" s="30">
        <v>34</v>
      </c>
      <c r="T13" s="31">
        <v>12.644</v>
      </c>
      <c r="U13" s="32">
        <f t="shared" si="1"/>
        <v>87.344000000000008</v>
      </c>
      <c r="V13" s="44">
        <v>1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42.6</v>
      </c>
      <c r="Q14" s="29">
        <v>0</v>
      </c>
      <c r="R14" s="30">
        <v>0</v>
      </c>
      <c r="S14" s="30">
        <v>35</v>
      </c>
      <c r="T14" s="31">
        <v>12.462</v>
      </c>
      <c r="U14" s="32">
        <f t="shared" si="1"/>
        <v>90.061999999999998</v>
      </c>
      <c r="V14" s="44">
        <v>1</v>
      </c>
      <c r="W14" s="37" t="s">
        <v>44</v>
      </c>
      <c r="X14" s="280">
        <v>0.91666666666666663</v>
      </c>
      <c r="Y14" s="192" t="s">
        <v>45</v>
      </c>
      <c r="Z14" s="69">
        <v>1</v>
      </c>
      <c r="AA14" s="70">
        <f>100-Z14</f>
        <v>99</v>
      </c>
      <c r="AB14" s="278"/>
      <c r="AC14" s="51" t="s">
        <v>35</v>
      </c>
      <c r="AD14" s="52">
        <v>34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43.6</v>
      </c>
      <c r="Q15" s="29">
        <v>0</v>
      </c>
      <c r="R15" s="30">
        <v>0</v>
      </c>
      <c r="S15" s="30">
        <v>33</v>
      </c>
      <c r="T15" s="31">
        <v>14.099</v>
      </c>
      <c r="U15" s="32">
        <f t="shared" si="1"/>
        <v>90.698999999999998</v>
      </c>
      <c r="V15" s="44">
        <v>1</v>
      </c>
      <c r="W15" s="37" t="s">
        <v>46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>
        <v>12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40.9</v>
      </c>
      <c r="Q16" s="29">
        <v>0</v>
      </c>
      <c r="R16" s="30">
        <v>0</v>
      </c>
      <c r="S16" s="30">
        <v>33</v>
      </c>
      <c r="T16" s="82">
        <v>13.471</v>
      </c>
      <c r="U16" s="32">
        <f t="shared" si="1"/>
        <v>87.371000000000009</v>
      </c>
      <c r="V16" s="83">
        <v>1</v>
      </c>
      <c r="W16" s="75" t="s">
        <v>48</v>
      </c>
      <c r="X16" s="281"/>
      <c r="Y16" s="71" t="s">
        <v>49</v>
      </c>
      <c r="Z16" s="72">
        <v>0.7</v>
      </c>
      <c r="AA16" s="73">
        <f>100-Z16</f>
        <v>99.3</v>
      </c>
      <c r="AB16" s="190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69.5</v>
      </c>
      <c r="C17" s="88">
        <f>AVERAGE(C5:C16)</f>
        <v>60</v>
      </c>
      <c r="D17" s="88" t="e">
        <f>AVERAGE(D5:D15)</f>
        <v>#DIV/0!</v>
      </c>
      <c r="E17" s="88">
        <f>AVERAGE(E5:E15)</f>
        <v>67</v>
      </c>
      <c r="F17" s="88">
        <f>AVERAGE(F5:F15)</f>
        <v>66</v>
      </c>
      <c r="G17" s="88">
        <f>AVERAGE(G5:G16)</f>
        <v>46</v>
      </c>
      <c r="H17" s="88">
        <f>AVERAGE(H5:H16)</f>
        <v>30</v>
      </c>
      <c r="I17" s="88" t="e">
        <f t="shared" ref="I17:N17" si="2">AVERAGE(I5:I15)</f>
        <v>#DIV/0!</v>
      </c>
      <c r="J17" s="88" t="e">
        <f t="shared" si="2"/>
        <v>#DIV/0!</v>
      </c>
      <c r="K17" s="88">
        <f t="shared" si="2"/>
        <v>59</v>
      </c>
      <c r="L17" s="88" t="e">
        <f t="shared" si="2"/>
        <v>#DIV/0!</v>
      </c>
      <c r="M17" s="89">
        <f t="shared" si="2"/>
        <v>52.5</v>
      </c>
      <c r="N17" s="89">
        <f t="shared" si="2"/>
        <v>53</v>
      </c>
      <c r="O17" s="89">
        <f>AVERAGE(O5:O16)</f>
        <v>73</v>
      </c>
      <c r="P17" s="90">
        <f>SUM(P5:P16)</f>
        <v>500</v>
      </c>
      <c r="Q17" s="91">
        <f>SUM(Q5:Q16)</f>
        <v>0</v>
      </c>
      <c r="R17" s="92">
        <f>SUM(R5:R16)</f>
        <v>0</v>
      </c>
      <c r="S17" s="93">
        <f>SUM(S5:S16)</f>
        <v>409</v>
      </c>
      <c r="T17" s="93">
        <f>SUM(T5:T16)</f>
        <v>157.25499999999997</v>
      </c>
      <c r="U17" s="94">
        <f>SUM(P17:T17)</f>
        <v>1066.2549999999999</v>
      </c>
      <c r="V17" s="1">
        <f>SUM(V5:V16)</f>
        <v>13</v>
      </c>
      <c r="W17" s="4"/>
      <c r="X17" s="281"/>
      <c r="Y17" s="71" t="s">
        <v>51</v>
      </c>
      <c r="Z17" s="95">
        <v>0.9</v>
      </c>
      <c r="AA17" s="73">
        <f>100-Z17</f>
        <v>99.1</v>
      </c>
      <c r="AB17" s="283">
        <v>4.1666666666666664E-2</v>
      </c>
      <c r="AC17" s="62" t="s">
        <v>30</v>
      </c>
      <c r="AD17" s="50">
        <v>40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(AA14+AA16+AA17)/3</f>
        <v>99.133333333333326</v>
      </c>
      <c r="AB18" s="278"/>
      <c r="AC18" s="51" t="s">
        <v>32</v>
      </c>
      <c r="AD18" s="52"/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123</v>
      </c>
      <c r="J19" s="259"/>
      <c r="K19" s="259"/>
      <c r="L19" s="260"/>
      <c r="M19" s="261" t="s">
        <v>57</v>
      </c>
      <c r="N19" s="262"/>
      <c r="O19" s="263"/>
      <c r="P19" s="105">
        <v>2.6</v>
      </c>
      <c r="Q19" s="106"/>
      <c r="R19" s="107"/>
      <c r="S19" s="107">
        <v>2.5</v>
      </c>
      <c r="T19" s="107">
        <v>2.2000000000000002</v>
      </c>
      <c r="U19" s="108">
        <f>(U17-U20)/U17*100</f>
        <v>2.5026480532330466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35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30</v>
      </c>
      <c r="B20" s="295"/>
      <c r="C20" s="44">
        <v>60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487</v>
      </c>
      <c r="Q20" s="113"/>
      <c r="R20" s="114">
        <f>(R17-(R17*R19/100))</f>
        <v>0</v>
      </c>
      <c r="S20" s="112">
        <f>(S17-(S17*S19/100))</f>
        <v>398.77499999999998</v>
      </c>
      <c r="T20" s="112">
        <f>(T17-(T17*T19/100))</f>
        <v>153.79538999999997</v>
      </c>
      <c r="U20" s="115">
        <f>P20+Q20+R20+S20+T20</f>
        <v>1039.5703899999999</v>
      </c>
      <c r="V20" s="4"/>
      <c r="W20" s="4"/>
      <c r="X20" s="281"/>
      <c r="Y20" s="192" t="s">
        <v>45</v>
      </c>
      <c r="Z20" s="69">
        <v>1.6</v>
      </c>
      <c r="AA20" s="70">
        <f>100-Z20</f>
        <v>98.4</v>
      </c>
      <c r="AB20" s="279"/>
      <c r="AC20" s="74" t="s">
        <v>37</v>
      </c>
      <c r="AD20" s="58">
        <v>11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35</v>
      </c>
      <c r="B21" s="295"/>
      <c r="C21" s="44">
        <v>60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50</v>
      </c>
      <c r="K21" s="118"/>
      <c r="L21" s="119"/>
      <c r="M21" s="307" t="s">
        <v>63</v>
      </c>
      <c r="N21" s="308"/>
      <c r="O21" s="309"/>
      <c r="P21" s="120">
        <f>(U17-(U17*U19/100))</f>
        <v>1039.5703899999999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190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37</v>
      </c>
      <c r="B22" s="295"/>
      <c r="C22" s="44">
        <v>60</v>
      </c>
      <c r="D22" s="296">
        <v>0.1</v>
      </c>
      <c r="E22" s="297"/>
      <c r="F22" s="298" t="s">
        <v>58</v>
      </c>
      <c r="G22" s="299"/>
      <c r="H22" s="4"/>
      <c r="I22" s="125">
        <v>100</v>
      </c>
      <c r="J22" s="126">
        <f>I22-J21</f>
        <v>50</v>
      </c>
      <c r="K22" s="316">
        <f>J22/I22*100</f>
        <v>50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1.3</v>
      </c>
      <c r="AA22" s="73">
        <f>100-Z22</f>
        <v>98.7</v>
      </c>
      <c r="AB22" s="283">
        <v>0.125</v>
      </c>
      <c r="AC22" s="49" t="s">
        <v>30</v>
      </c>
      <c r="AD22" s="50">
        <v>42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>
        <v>29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1.5</v>
      </c>
      <c r="AA23" s="73">
        <f>100-Z23</f>
        <v>98.5</v>
      </c>
      <c r="AB23" s="278"/>
      <c r="AC23" s="51" t="s">
        <v>32</v>
      </c>
      <c r="AD23" s="52"/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71</v>
      </c>
      <c r="K24" s="316">
        <f>J24/I24*100</f>
        <v>71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(AA20+AA22+AA23)/3</f>
        <v>98.533333333333346</v>
      </c>
      <c r="AB24" s="278"/>
      <c r="AC24" s="51" t="s">
        <v>35</v>
      </c>
      <c r="AD24" s="52">
        <v>34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12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0.9</v>
      </c>
      <c r="AA26" s="70">
        <f>100-Z26</f>
        <v>99.1</v>
      </c>
      <c r="AB26" s="189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0.20833333333333334</v>
      </c>
      <c r="AC27" s="62" t="s">
        <v>30</v>
      </c>
      <c r="AD27" s="50">
        <v>40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 t="s">
        <v>76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1</v>
      </c>
      <c r="AA28" s="73">
        <f>100-Z28</f>
        <v>99</v>
      </c>
      <c r="AB28" s="268"/>
      <c r="AC28" s="67" t="s">
        <v>32</v>
      </c>
      <c r="AD28" s="52"/>
      <c r="AE28" s="11">
        <v>26</v>
      </c>
      <c r="AF28" s="12">
        <f t="shared" si="0"/>
        <v>17.333333333333332</v>
      </c>
    </row>
    <row r="29" spans="1:32" ht="19.5" thickBot="1" x14ac:dyDescent="0.35">
      <c r="A29" s="411" t="s">
        <v>32</v>
      </c>
      <c r="B29" s="412"/>
      <c r="C29" s="182">
        <v>0.83333333333333337</v>
      </c>
      <c r="D29" s="403">
        <v>0.33333333333333331</v>
      </c>
      <c r="E29" s="404"/>
      <c r="F29" s="409" t="s">
        <v>117</v>
      </c>
      <c r="G29" s="410"/>
      <c r="H29" s="345" t="s">
        <v>75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1.2</v>
      </c>
      <c r="AA29" s="73">
        <f>100-Z29</f>
        <v>98.8</v>
      </c>
      <c r="AB29" s="268"/>
      <c r="AC29" s="51" t="s">
        <v>35</v>
      </c>
      <c r="AD29" s="52">
        <v>34</v>
      </c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(AA26+AA28+AA29)/3</f>
        <v>98.966666666666654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0.6</v>
      </c>
      <c r="AA32" s="70">
        <f>100-Z32</f>
        <v>99.4</v>
      </c>
      <c r="AB32" s="267">
        <v>0.29166666666666669</v>
      </c>
      <c r="AC32" s="62" t="s">
        <v>30</v>
      </c>
      <c r="AD32" s="50">
        <v>40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1.3</v>
      </c>
      <c r="AA34" s="73">
        <f>100-Z34</f>
        <v>98.7</v>
      </c>
      <c r="AB34" s="268"/>
      <c r="AC34" s="67" t="s">
        <v>35</v>
      </c>
      <c r="AD34" s="52">
        <v>33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0.4</v>
      </c>
      <c r="AA35" s="73">
        <f>100-Z35</f>
        <v>99.6</v>
      </c>
      <c r="AB35" s="269"/>
      <c r="AC35" s="74" t="s">
        <v>37</v>
      </c>
      <c r="AD35" s="58">
        <v>12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(AA32+AA34+AA35)/3</f>
        <v>99.233333333333348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Y38" s="198" t="s">
        <v>65</v>
      </c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55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13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>
        <v>9.59</v>
      </c>
      <c r="K42" s="399">
        <v>9.11</v>
      </c>
      <c r="L42" s="400"/>
      <c r="M42" s="164">
        <v>10</v>
      </c>
      <c r="N42" s="165">
        <v>9.86</v>
      </c>
      <c r="O42" s="165">
        <v>9.66</v>
      </c>
      <c r="P42" s="165">
        <v>10.08</v>
      </c>
      <c r="Q42" s="401">
        <f>AVERAGE(J42:P43)</f>
        <v>9.7166666666666668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187" t="s">
        <v>89</v>
      </c>
      <c r="B43" s="188"/>
      <c r="C43" s="188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68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193" t="s">
        <v>92</v>
      </c>
      <c r="S44" s="193"/>
      <c r="T44" s="193"/>
      <c r="U44" s="193"/>
      <c r="V44" s="193"/>
      <c r="W44" s="193"/>
      <c r="X44" s="193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Y38" sqref="Y38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7109375" customWidth="1"/>
    <col min="19" max="19" width="10.140625" customWidth="1"/>
    <col min="20" max="20" width="9.85546875" customWidth="1"/>
    <col min="21" max="23" width="10.7109375" customWidth="1"/>
    <col min="24" max="24" width="18.57031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122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42</v>
      </c>
      <c r="Q5" s="29">
        <v>0</v>
      </c>
      <c r="R5" s="30">
        <v>0</v>
      </c>
      <c r="S5" s="30">
        <v>34</v>
      </c>
      <c r="T5" s="31">
        <v>13.513</v>
      </c>
      <c r="U5" s="32">
        <f>SUM(P5:T5)</f>
        <v>89.513000000000005</v>
      </c>
      <c r="V5" s="33"/>
      <c r="W5" s="21" t="s">
        <v>93</v>
      </c>
      <c r="X5" s="34">
        <v>512574.7</v>
      </c>
      <c r="Y5" s="34">
        <f>X5+P17</f>
        <v>513065.5</v>
      </c>
      <c r="Z5" s="35">
        <f>Y5-X5</f>
        <v>490.79999999998836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42.9</v>
      </c>
      <c r="Q6" s="29">
        <v>0</v>
      </c>
      <c r="R6" s="30">
        <v>0</v>
      </c>
      <c r="S6" s="30">
        <v>35</v>
      </c>
      <c r="T6" s="31">
        <v>13.638</v>
      </c>
      <c r="U6" s="32">
        <f t="shared" ref="U6:U16" si="1">SUM(P6:T6)</f>
        <v>91.538000000000011</v>
      </c>
      <c r="V6" s="44">
        <v>1</v>
      </c>
      <c r="W6" s="37" t="s">
        <v>94</v>
      </c>
      <c r="X6" s="45">
        <v>810050.11100000003</v>
      </c>
      <c r="Y6" s="34">
        <f>X6+R17</f>
        <v>810199.56200000003</v>
      </c>
      <c r="Z6" s="46">
        <f>Y6-X6</f>
        <v>149.45100000000093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>
        <v>66</v>
      </c>
      <c r="C7" s="39">
        <v>63</v>
      </c>
      <c r="D7" s="39"/>
      <c r="E7" s="40">
        <v>62</v>
      </c>
      <c r="F7" s="41">
        <v>62</v>
      </c>
      <c r="G7" s="42">
        <v>44</v>
      </c>
      <c r="H7" s="41">
        <v>33</v>
      </c>
      <c r="I7" s="42">
        <v>16</v>
      </c>
      <c r="J7" s="41">
        <v>0</v>
      </c>
      <c r="K7" s="38">
        <v>54</v>
      </c>
      <c r="L7" s="43"/>
      <c r="M7" s="40">
        <v>47</v>
      </c>
      <c r="N7" s="42">
        <v>55</v>
      </c>
      <c r="O7" s="41">
        <v>72</v>
      </c>
      <c r="P7" s="28">
        <v>42</v>
      </c>
      <c r="Q7" s="29">
        <v>0</v>
      </c>
      <c r="R7" s="30">
        <v>0</v>
      </c>
      <c r="S7" s="30">
        <v>33</v>
      </c>
      <c r="T7" s="31">
        <v>13.462</v>
      </c>
      <c r="U7" s="32">
        <f t="shared" si="1"/>
        <v>88.462000000000003</v>
      </c>
      <c r="V7" s="44">
        <v>1</v>
      </c>
      <c r="W7" s="37" t="s">
        <v>95</v>
      </c>
      <c r="X7" s="48">
        <v>503746</v>
      </c>
      <c r="Y7" s="34">
        <f>X7+S17</f>
        <v>504121</v>
      </c>
      <c r="Z7" s="46">
        <f>Y7-X7</f>
        <v>375</v>
      </c>
      <c r="AA7" s="47">
        <v>4</v>
      </c>
      <c r="AB7" s="267">
        <v>0.375</v>
      </c>
      <c r="AC7" s="49" t="s">
        <v>30</v>
      </c>
      <c r="AD7" s="50">
        <v>42</v>
      </c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40.700000000000003</v>
      </c>
      <c r="Q8" s="29">
        <v>0</v>
      </c>
      <c r="R8" s="30">
        <v>0</v>
      </c>
      <c r="S8" s="30">
        <v>34</v>
      </c>
      <c r="T8" s="31">
        <v>13.195</v>
      </c>
      <c r="U8" s="32">
        <f t="shared" si="1"/>
        <v>87.89500000000001</v>
      </c>
      <c r="V8" s="44">
        <v>1</v>
      </c>
      <c r="W8" s="37" t="s">
        <v>96</v>
      </c>
      <c r="X8" s="46">
        <v>667.94600000000003</v>
      </c>
      <c r="Y8" s="34">
        <f>X8+T17</f>
        <v>824.75800000000004</v>
      </c>
      <c r="Z8" s="46">
        <f>T17</f>
        <v>156.81200000000001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40.1</v>
      </c>
      <c r="Q9" s="29">
        <v>0</v>
      </c>
      <c r="R9" s="30">
        <v>0</v>
      </c>
      <c r="S9" s="30">
        <v>32</v>
      </c>
      <c r="T9" s="31">
        <v>12.974</v>
      </c>
      <c r="U9" s="32">
        <f t="shared" si="1"/>
        <v>85.073999999999998</v>
      </c>
      <c r="V9" s="44"/>
      <c r="W9" s="37" t="s">
        <v>97</v>
      </c>
      <c r="X9" s="270" t="s">
        <v>34</v>
      </c>
      <c r="Y9" s="271"/>
      <c r="Z9" s="54">
        <f>SUM(Z5:Z8)</f>
        <v>1172.0629999999892</v>
      </c>
      <c r="AA9" s="55"/>
      <c r="AB9" s="268"/>
      <c r="AC9" s="51" t="s">
        <v>35</v>
      </c>
      <c r="AD9" s="52">
        <v>34</v>
      </c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39.799999999999997</v>
      </c>
      <c r="Q10" s="29">
        <v>0</v>
      </c>
      <c r="R10" s="30">
        <v>0</v>
      </c>
      <c r="S10" s="30">
        <v>33</v>
      </c>
      <c r="T10" s="31">
        <v>12.429</v>
      </c>
      <c r="U10" s="32">
        <f t="shared" si="1"/>
        <v>85.228999999999999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11</v>
      </c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40.700000000000003</v>
      </c>
      <c r="Q11" s="29">
        <v>0</v>
      </c>
      <c r="R11" s="30">
        <v>0</v>
      </c>
      <c r="S11" s="30">
        <v>33</v>
      </c>
      <c r="T11" s="31">
        <v>12.18</v>
      </c>
      <c r="U11" s="32">
        <f t="shared" si="1"/>
        <v>85.88</v>
      </c>
      <c r="V11" s="44">
        <v>1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40</v>
      </c>
      <c r="Q12" s="29">
        <v>0</v>
      </c>
      <c r="R12" s="30">
        <v>0</v>
      </c>
      <c r="S12" s="30">
        <v>32</v>
      </c>
      <c r="T12" s="31">
        <v>12.903</v>
      </c>
      <c r="U12" s="32">
        <f t="shared" si="1"/>
        <v>84.903000000000006</v>
      </c>
      <c r="V12" s="44">
        <v>3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>
        <v>41</v>
      </c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>
        <v>62</v>
      </c>
      <c r="C13" s="39">
        <v>58</v>
      </c>
      <c r="D13" s="39"/>
      <c r="E13" s="40">
        <v>56</v>
      </c>
      <c r="F13" s="41">
        <v>61</v>
      </c>
      <c r="G13" s="42">
        <v>46</v>
      </c>
      <c r="H13" s="41">
        <v>28</v>
      </c>
      <c r="I13" s="42">
        <v>13</v>
      </c>
      <c r="J13" s="41"/>
      <c r="K13" s="38">
        <v>45</v>
      </c>
      <c r="L13" s="43"/>
      <c r="M13" s="40">
        <v>38</v>
      </c>
      <c r="N13" s="42">
        <v>51</v>
      </c>
      <c r="O13" s="41">
        <v>76</v>
      </c>
      <c r="P13" s="53">
        <v>40.9</v>
      </c>
      <c r="Q13" s="29">
        <v>0</v>
      </c>
      <c r="R13" s="30">
        <v>20.998999999999999</v>
      </c>
      <c r="S13" s="30">
        <v>23</v>
      </c>
      <c r="T13" s="31">
        <v>13.266</v>
      </c>
      <c r="U13" s="32">
        <f t="shared" si="1"/>
        <v>98.165000000000006</v>
      </c>
      <c r="V13" s="44">
        <v>2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39.6</v>
      </c>
      <c r="Q14" s="29">
        <v>0</v>
      </c>
      <c r="R14" s="30">
        <v>42.073999999999998</v>
      </c>
      <c r="S14" s="30">
        <v>22</v>
      </c>
      <c r="T14" s="31">
        <v>13.148</v>
      </c>
      <c r="U14" s="32">
        <f t="shared" si="1"/>
        <v>116.822</v>
      </c>
      <c r="V14" s="44">
        <v>1</v>
      </c>
      <c r="W14" s="37" t="s">
        <v>102</v>
      </c>
      <c r="X14" s="280">
        <v>0.41666666666666669</v>
      </c>
      <c r="Y14" s="192" t="s">
        <v>45</v>
      </c>
      <c r="Z14" s="69">
        <v>0.6</v>
      </c>
      <c r="AA14" s="70">
        <f>100-Z14</f>
        <v>99.4</v>
      </c>
      <c r="AB14" s="278"/>
      <c r="AC14" s="51" t="s">
        <v>35</v>
      </c>
      <c r="AD14" s="52">
        <v>33</v>
      </c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40.9</v>
      </c>
      <c r="Q15" s="29">
        <v>0</v>
      </c>
      <c r="R15" s="30">
        <v>43.52</v>
      </c>
      <c r="S15" s="30">
        <v>32</v>
      </c>
      <c r="T15" s="31">
        <v>12.691000000000001</v>
      </c>
      <c r="U15" s="32">
        <f t="shared" si="1"/>
        <v>129.11099999999999</v>
      </c>
      <c r="V15" s="44">
        <v>1</v>
      </c>
      <c r="W15" s="37" t="s">
        <v>103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>
        <v>10</v>
      </c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41.2</v>
      </c>
      <c r="Q16" s="29">
        <v>0</v>
      </c>
      <c r="R16" s="30">
        <v>42.857999999999997</v>
      </c>
      <c r="S16" s="30">
        <v>32</v>
      </c>
      <c r="T16" s="82">
        <v>13.413</v>
      </c>
      <c r="U16" s="32">
        <f t="shared" si="1"/>
        <v>129.471</v>
      </c>
      <c r="V16" s="83">
        <v>2</v>
      </c>
      <c r="W16" s="75" t="s">
        <v>104</v>
      </c>
      <c r="X16" s="281"/>
      <c r="Y16" s="71" t="s">
        <v>49</v>
      </c>
      <c r="Z16" s="72">
        <v>0.4</v>
      </c>
      <c r="AA16" s="73">
        <f>100-Z16</f>
        <v>99.6</v>
      </c>
      <c r="AB16" s="190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>
        <f>AVERAGE(B5:B15)</f>
        <v>64</v>
      </c>
      <c r="C17" s="88">
        <f>AVERAGE(C5:C16)</f>
        <v>60.5</v>
      </c>
      <c r="D17" s="88" t="e">
        <f>AVERAGE(D5:D15)</f>
        <v>#DIV/0!</v>
      </c>
      <c r="E17" s="88">
        <f>AVERAGE(E5:E15)</f>
        <v>59</v>
      </c>
      <c r="F17" s="88">
        <f>AVERAGE(F5:F15)</f>
        <v>61.5</v>
      </c>
      <c r="G17" s="88">
        <f>AVERAGE(G5:G16)</f>
        <v>45</v>
      </c>
      <c r="H17" s="88">
        <f>AVERAGE(H5:H16)</f>
        <v>30.5</v>
      </c>
      <c r="I17" s="88">
        <f t="shared" ref="I17:N17" si="2">AVERAGE(I5:I15)</f>
        <v>14.5</v>
      </c>
      <c r="J17" s="88">
        <f t="shared" si="2"/>
        <v>0</v>
      </c>
      <c r="K17" s="88">
        <f t="shared" si="2"/>
        <v>49.5</v>
      </c>
      <c r="L17" s="88" t="e">
        <f t="shared" si="2"/>
        <v>#DIV/0!</v>
      </c>
      <c r="M17" s="89">
        <f t="shared" si="2"/>
        <v>42.5</v>
      </c>
      <c r="N17" s="89">
        <f t="shared" si="2"/>
        <v>53</v>
      </c>
      <c r="O17" s="89">
        <f>AVERAGE(O5:O16)</f>
        <v>74</v>
      </c>
      <c r="P17" s="90">
        <f>SUM(P5:P16)</f>
        <v>490.79999999999995</v>
      </c>
      <c r="Q17" s="91">
        <f>SUM(Q5:Q16)</f>
        <v>0</v>
      </c>
      <c r="R17" s="92">
        <f>SUM(R5:R16)</f>
        <v>149.45099999999999</v>
      </c>
      <c r="S17" s="93">
        <f>SUM(S5:S16)</f>
        <v>375</v>
      </c>
      <c r="T17" s="93">
        <f>SUM(T5:T16)</f>
        <v>156.81200000000001</v>
      </c>
      <c r="U17" s="94">
        <f>SUM(P17:T17)</f>
        <v>1172.0630000000001</v>
      </c>
      <c r="V17" s="1">
        <f>SUM(V5:V16)</f>
        <v>13</v>
      </c>
      <c r="W17" s="4"/>
      <c r="X17" s="281"/>
      <c r="Y17" s="71" t="s">
        <v>51</v>
      </c>
      <c r="Z17" s="95">
        <v>0.8</v>
      </c>
      <c r="AA17" s="73">
        <f>100-Z17</f>
        <v>99.2</v>
      </c>
      <c r="AB17" s="283">
        <v>0.54166666666666663</v>
      </c>
      <c r="AC17" s="62" t="s">
        <v>30</v>
      </c>
      <c r="AD17" s="50">
        <v>41</v>
      </c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v>99.4</v>
      </c>
      <c r="AB18" s="278"/>
      <c r="AC18" s="51" t="s">
        <v>32</v>
      </c>
      <c r="AD18" s="52"/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133</v>
      </c>
      <c r="J19" s="259"/>
      <c r="K19" s="259"/>
      <c r="L19" s="260"/>
      <c r="M19" s="261" t="s">
        <v>57</v>
      </c>
      <c r="N19" s="262"/>
      <c r="O19" s="263"/>
      <c r="P19" s="105">
        <v>2.1</v>
      </c>
      <c r="Q19" s="106"/>
      <c r="R19" s="107"/>
      <c r="S19" s="107">
        <v>1.8</v>
      </c>
      <c r="T19" s="107">
        <v>1.9</v>
      </c>
      <c r="U19" s="108">
        <f>(U17-U20)/U17*100</f>
        <v>1.709483875866755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32</v>
      </c>
      <c r="AE19" s="11">
        <v>17</v>
      </c>
      <c r="AF19" s="12">
        <f t="shared" si="0"/>
        <v>3.1166666666666667</v>
      </c>
    </row>
    <row r="20" spans="1:32" ht="16.5" thickBot="1" x14ac:dyDescent="0.3">
      <c r="A20" s="294" t="s">
        <v>30</v>
      </c>
      <c r="B20" s="295"/>
      <c r="C20" s="44">
        <v>60</v>
      </c>
      <c r="D20" s="296">
        <v>0.15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480.49319999999994</v>
      </c>
      <c r="Q20" s="113"/>
      <c r="R20" s="114">
        <f>(R17-(R17*R19/100))</f>
        <v>149.45099999999999</v>
      </c>
      <c r="S20" s="112">
        <f>(S17-(S17*S19/100))</f>
        <v>368.25</v>
      </c>
      <c r="T20" s="112">
        <f>(T17-(T17*T19/100))</f>
        <v>153.832572</v>
      </c>
      <c r="U20" s="115">
        <f>P20+Q20+R20+S20+T20</f>
        <v>1152.0267719999999</v>
      </c>
      <c r="V20" s="4"/>
      <c r="W20" s="4"/>
      <c r="X20" s="281"/>
      <c r="Y20" s="192" t="s">
        <v>45</v>
      </c>
      <c r="Z20" s="69">
        <v>0.8</v>
      </c>
      <c r="AA20" s="70">
        <f>100-Z20</f>
        <v>99.2</v>
      </c>
      <c r="AB20" s="279"/>
      <c r="AC20" s="74" t="s">
        <v>37</v>
      </c>
      <c r="AD20" s="58">
        <v>10</v>
      </c>
      <c r="AE20" s="11">
        <v>18</v>
      </c>
      <c r="AF20" s="12">
        <f t="shared" si="0"/>
        <v>3.3</v>
      </c>
    </row>
    <row r="21" spans="1:32" ht="19.5" thickBot="1" x14ac:dyDescent="0.3">
      <c r="A21" s="294" t="s">
        <v>61</v>
      </c>
      <c r="B21" s="295"/>
      <c r="C21" s="44">
        <v>30</v>
      </c>
      <c r="D21" s="296">
        <v>0.15</v>
      </c>
      <c r="E21" s="297"/>
      <c r="F21" s="298" t="s">
        <v>58</v>
      </c>
      <c r="G21" s="299"/>
      <c r="H21" s="96"/>
      <c r="I21" s="116" t="s">
        <v>62</v>
      </c>
      <c r="J21" s="117">
        <v>46</v>
      </c>
      <c r="K21" s="118"/>
      <c r="L21" s="119"/>
      <c r="M21" s="307" t="s">
        <v>63</v>
      </c>
      <c r="N21" s="308"/>
      <c r="O21" s="309"/>
      <c r="P21" s="120">
        <f>(U17-(U17*U19/100))</f>
        <v>1152.0267719999999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190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 t="s">
        <v>35</v>
      </c>
      <c r="B22" s="295"/>
      <c r="C22" s="44">
        <v>60</v>
      </c>
      <c r="D22" s="296">
        <v>0.15</v>
      </c>
      <c r="E22" s="297"/>
      <c r="F22" s="298" t="s">
        <v>58</v>
      </c>
      <c r="G22" s="299"/>
      <c r="H22" s="4"/>
      <c r="I22" s="125">
        <v>100</v>
      </c>
      <c r="J22" s="126">
        <f>I22-J21</f>
        <v>54</v>
      </c>
      <c r="K22" s="316">
        <f>J22/I22*100</f>
        <v>54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0.7</v>
      </c>
      <c r="AA22" s="73">
        <f>100-Z22</f>
        <v>99.3</v>
      </c>
      <c r="AB22" s="283">
        <v>0.625</v>
      </c>
      <c r="AC22" s="49" t="s">
        <v>30</v>
      </c>
      <c r="AD22" s="50">
        <v>41</v>
      </c>
      <c r="AE22" s="11">
        <v>20</v>
      </c>
      <c r="AF22" s="12">
        <f t="shared" si="0"/>
        <v>3.6666666666666665</v>
      </c>
    </row>
    <row r="23" spans="1:32" ht="16.5" thickBot="1" x14ac:dyDescent="0.3">
      <c r="A23" s="294" t="s">
        <v>37</v>
      </c>
      <c r="B23" s="295"/>
      <c r="C23" s="44">
        <v>60</v>
      </c>
      <c r="D23" s="296">
        <v>0.15</v>
      </c>
      <c r="E23" s="297"/>
      <c r="F23" s="298" t="s">
        <v>58</v>
      </c>
      <c r="G23" s="299"/>
      <c r="H23" s="4"/>
      <c r="I23" s="133" t="s">
        <v>66</v>
      </c>
      <c r="J23" s="134">
        <v>27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0.6</v>
      </c>
      <c r="AA23" s="73">
        <f>100-Z23</f>
        <v>99.4</v>
      </c>
      <c r="AB23" s="278"/>
      <c r="AC23" s="51" t="s">
        <v>32</v>
      </c>
      <c r="AD23" s="52"/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73</v>
      </c>
      <c r="K24" s="316">
        <f>J24/I24*100</f>
        <v>73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v>99.3</v>
      </c>
      <c r="AB24" s="278"/>
      <c r="AC24" s="51" t="s">
        <v>35</v>
      </c>
      <c r="AD24" s="52">
        <v>33</v>
      </c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10</v>
      </c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0.4</v>
      </c>
      <c r="AA26" s="70">
        <f>100-Z26</f>
        <v>99.6</v>
      </c>
      <c r="AB26" s="189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0.70833333333333337</v>
      </c>
      <c r="AC27" s="62" t="s">
        <v>30</v>
      </c>
      <c r="AD27" s="50">
        <v>43</v>
      </c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 t="s">
        <v>76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0.6</v>
      </c>
      <c r="AA28" s="73">
        <f>100-Z28</f>
        <v>99.4</v>
      </c>
      <c r="AB28" s="268"/>
      <c r="AC28" s="67" t="s">
        <v>32</v>
      </c>
      <c r="AD28" s="52">
        <v>39</v>
      </c>
      <c r="AE28" s="11">
        <v>26</v>
      </c>
      <c r="AF28" s="12">
        <f t="shared" si="0"/>
        <v>4.7666666666666666</v>
      </c>
    </row>
    <row r="29" spans="1:32" ht="23.25" thickBot="1" x14ac:dyDescent="0.35">
      <c r="A29" s="432" t="s">
        <v>32</v>
      </c>
      <c r="B29" s="433"/>
      <c r="C29" s="181">
        <v>0.33333333333333331</v>
      </c>
      <c r="D29" s="428">
        <v>0.68402777777777779</v>
      </c>
      <c r="E29" s="429"/>
      <c r="F29" s="409" t="s">
        <v>124</v>
      </c>
      <c r="G29" s="410"/>
      <c r="H29" s="345" t="s">
        <v>75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0.9</v>
      </c>
      <c r="AA29" s="73">
        <f>100-Z29</f>
        <v>99.1</v>
      </c>
      <c r="AB29" s="268"/>
      <c r="AC29" s="51" t="s">
        <v>35</v>
      </c>
      <c r="AD29" s="52">
        <v>33</v>
      </c>
      <c r="AE29" s="11">
        <v>27</v>
      </c>
      <c r="AF29" s="12">
        <f t="shared" si="0"/>
        <v>4.95</v>
      </c>
    </row>
    <row r="30" spans="1:32" ht="23.25" thickBot="1" x14ac:dyDescent="0.35">
      <c r="A30" s="432" t="s">
        <v>35</v>
      </c>
      <c r="B30" s="433"/>
      <c r="C30" s="181">
        <v>0.69513888888888886</v>
      </c>
      <c r="D30" s="428">
        <v>0.71736111111111101</v>
      </c>
      <c r="E30" s="429"/>
      <c r="F30" s="409" t="s">
        <v>125</v>
      </c>
      <c r="G30" s="410"/>
      <c r="H30" s="345" t="s">
        <v>126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v>99.37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5.1333333333333337</v>
      </c>
    </row>
    <row r="31" spans="1:32" ht="23.25" thickBot="1" x14ac:dyDescent="0.35">
      <c r="A31" s="432"/>
      <c r="B31" s="433"/>
      <c r="C31" s="181"/>
      <c r="D31" s="428"/>
      <c r="E31" s="429"/>
      <c r="F31" s="409"/>
      <c r="G31" s="410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0.2</v>
      </c>
      <c r="AA32" s="70">
        <f>100-Z32</f>
        <v>99.8</v>
      </c>
      <c r="AB32" s="267">
        <v>0.79166666666666663</v>
      </c>
      <c r="AC32" s="62" t="s">
        <v>30</v>
      </c>
      <c r="AD32" s="50">
        <v>41</v>
      </c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>
        <v>0.6</v>
      </c>
      <c r="AA33" s="73">
        <f>100-Z33</f>
        <v>99.4</v>
      </c>
      <c r="AB33" s="268"/>
      <c r="AC33" s="51" t="s">
        <v>32</v>
      </c>
      <c r="AD33" s="52">
        <v>42</v>
      </c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0.3</v>
      </c>
      <c r="AA34" s="73">
        <f>100-Z34</f>
        <v>99.7</v>
      </c>
      <c r="AB34" s="268"/>
      <c r="AC34" s="67" t="s">
        <v>35</v>
      </c>
      <c r="AD34" s="52">
        <v>32</v>
      </c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0.7</v>
      </c>
      <c r="AA35" s="73">
        <f>100-Z35</f>
        <v>99.3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99.55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68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13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>
        <v>72</v>
      </c>
      <c r="E42" s="386"/>
      <c r="F42" s="387"/>
      <c r="G42" s="160"/>
      <c r="H42" s="397" t="s">
        <v>88</v>
      </c>
      <c r="I42" s="398"/>
      <c r="J42" s="164">
        <v>9.4600000000000009</v>
      </c>
      <c r="K42" s="399">
        <v>9.69</v>
      </c>
      <c r="L42" s="400"/>
      <c r="M42" s="164">
        <v>9.6300000000000008</v>
      </c>
      <c r="N42" s="165">
        <v>10.1</v>
      </c>
      <c r="O42" s="165">
        <v>10.7</v>
      </c>
      <c r="P42" s="165">
        <v>9.8800000000000008</v>
      </c>
      <c r="Q42" s="401">
        <f>AVERAGE(J42:P43)</f>
        <v>9.91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187" t="s">
        <v>89</v>
      </c>
      <c r="B43" s="188"/>
      <c r="C43" s="188"/>
      <c r="D43" s="386">
        <v>4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9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193"/>
      <c r="X44" s="193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K45" sqref="K45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6" width="11.14062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127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40.700000000000003</v>
      </c>
      <c r="Q5" s="29">
        <v>0</v>
      </c>
      <c r="R5" s="30">
        <v>40.106999999999999</v>
      </c>
      <c r="S5" s="30">
        <v>33</v>
      </c>
      <c r="T5" s="31">
        <v>13.009</v>
      </c>
      <c r="U5" s="32">
        <f>SUM(P5:T5)</f>
        <v>126.816</v>
      </c>
      <c r="V5" s="33"/>
      <c r="W5" s="21" t="s">
        <v>27</v>
      </c>
      <c r="X5" s="34">
        <f>'03.01.26см2'!Y5</f>
        <v>513065.5</v>
      </c>
      <c r="Y5" s="34">
        <f>X5+P17</f>
        <v>513560.9</v>
      </c>
      <c r="Z5" s="35">
        <f>Y5-X5</f>
        <v>495.40000000002328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40.9</v>
      </c>
      <c r="Q6" s="29">
        <v>0</v>
      </c>
      <c r="R6" s="30">
        <v>36.045000000000002</v>
      </c>
      <c r="S6" s="30">
        <v>32</v>
      </c>
      <c r="T6" s="31">
        <v>13.244999999999999</v>
      </c>
      <c r="U6" s="32">
        <f t="shared" ref="U6:U16" si="1">SUM(P6:T6)</f>
        <v>122.19</v>
      </c>
      <c r="V6" s="44">
        <v>1</v>
      </c>
      <c r="W6" s="37" t="s">
        <v>28</v>
      </c>
      <c r="X6" s="45">
        <f>'03.01.26см2'!Y6</f>
        <v>810199.56200000003</v>
      </c>
      <c r="Y6" s="34">
        <f>X6+R17</f>
        <v>810665.04700000002</v>
      </c>
      <c r="Z6" s="46">
        <f>Y6-X6</f>
        <v>465.48499999998603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>
        <v>39.9</v>
      </c>
      <c r="Q7" s="29">
        <v>0</v>
      </c>
      <c r="R7" s="30">
        <v>40.134</v>
      </c>
      <c r="S7" s="30">
        <v>32</v>
      </c>
      <c r="T7" s="31">
        <v>12.913</v>
      </c>
      <c r="U7" s="32">
        <f t="shared" si="1"/>
        <v>124.94699999999999</v>
      </c>
      <c r="V7" s="44"/>
      <c r="W7" s="37" t="s">
        <v>29</v>
      </c>
      <c r="X7" s="48">
        <f>'03.01.26см2'!Y7</f>
        <v>504121</v>
      </c>
      <c r="Y7" s="34">
        <f>X7+S17</f>
        <v>504517</v>
      </c>
      <c r="Z7" s="46">
        <f>Y7-X7</f>
        <v>396</v>
      </c>
      <c r="AA7" s="47">
        <v>4</v>
      </c>
      <c r="AB7" s="267">
        <v>0.875</v>
      </c>
      <c r="AC7" s="49" t="s">
        <v>30</v>
      </c>
      <c r="AD7" s="50">
        <v>41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>
        <v>69</v>
      </c>
      <c r="C8" s="39">
        <v>65</v>
      </c>
      <c r="D8" s="39">
        <v>73</v>
      </c>
      <c r="E8" s="40">
        <v>64</v>
      </c>
      <c r="F8" s="41">
        <v>59</v>
      </c>
      <c r="G8" s="42">
        <v>48</v>
      </c>
      <c r="H8" s="41">
        <v>40</v>
      </c>
      <c r="I8" s="42"/>
      <c r="J8" s="41"/>
      <c r="K8" s="38">
        <v>56</v>
      </c>
      <c r="L8" s="43">
        <v>58</v>
      </c>
      <c r="M8" s="40">
        <v>44</v>
      </c>
      <c r="N8" s="42">
        <v>50</v>
      </c>
      <c r="O8" s="41">
        <v>64</v>
      </c>
      <c r="P8" s="28">
        <v>40.799999999999997</v>
      </c>
      <c r="Q8" s="29">
        <v>0</v>
      </c>
      <c r="R8" s="30">
        <v>38.588000000000001</v>
      </c>
      <c r="S8" s="30">
        <v>33</v>
      </c>
      <c r="T8" s="31">
        <v>12.994</v>
      </c>
      <c r="U8" s="32">
        <f t="shared" si="1"/>
        <v>125.38200000000001</v>
      </c>
      <c r="V8" s="44">
        <v>3</v>
      </c>
      <c r="W8" s="37" t="s">
        <v>31</v>
      </c>
      <c r="X8" s="46">
        <f>'03.01.26см2'!Y8</f>
        <v>824.75800000000004</v>
      </c>
      <c r="Y8" s="34">
        <f>X8+T17</f>
        <v>978</v>
      </c>
      <c r="Z8" s="46">
        <f>T17</f>
        <v>153.24200000000002</v>
      </c>
      <c r="AA8" s="47">
        <v>5</v>
      </c>
      <c r="AB8" s="268"/>
      <c r="AC8" s="51" t="s">
        <v>32</v>
      </c>
      <c r="AD8" s="52">
        <v>40</v>
      </c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41.8</v>
      </c>
      <c r="Q9" s="29">
        <v>0</v>
      </c>
      <c r="R9" s="30">
        <v>43.524999999999999</v>
      </c>
      <c r="S9" s="30">
        <v>34</v>
      </c>
      <c r="T9" s="31">
        <v>12.837</v>
      </c>
      <c r="U9" s="32">
        <f t="shared" si="1"/>
        <v>132.16199999999998</v>
      </c>
      <c r="V9" s="44">
        <v>3</v>
      </c>
      <c r="W9" s="37" t="s">
        <v>33</v>
      </c>
      <c r="X9" s="270" t="s">
        <v>34</v>
      </c>
      <c r="Y9" s="271"/>
      <c r="Z9" s="54">
        <f>SUM(Z5:Z8)</f>
        <v>1510.1270000000093</v>
      </c>
      <c r="AA9" s="55"/>
      <c r="AB9" s="268"/>
      <c r="AC9" s="51" t="s">
        <v>35</v>
      </c>
      <c r="AD9" s="52">
        <v>33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40.6</v>
      </c>
      <c r="Q10" s="29">
        <v>0</v>
      </c>
      <c r="R10" s="30">
        <v>42.045000000000002</v>
      </c>
      <c r="S10" s="30">
        <v>33</v>
      </c>
      <c r="T10" s="31">
        <v>12.795999999999999</v>
      </c>
      <c r="U10" s="32">
        <f t="shared" si="1"/>
        <v>128.441</v>
      </c>
      <c r="V10" s="44">
        <v>2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12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40.799999999999997</v>
      </c>
      <c r="Q11" s="29">
        <v>0</v>
      </c>
      <c r="R11" s="30">
        <v>41.040999999999997</v>
      </c>
      <c r="S11" s="30">
        <v>33</v>
      </c>
      <c r="T11" s="31">
        <v>12.8</v>
      </c>
      <c r="U11" s="32">
        <f t="shared" si="1"/>
        <v>127.64099999999999</v>
      </c>
      <c r="V11" s="44"/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40.700000000000003</v>
      </c>
      <c r="Q12" s="29">
        <v>0</v>
      </c>
      <c r="R12" s="30">
        <v>43.139000000000003</v>
      </c>
      <c r="S12" s="30">
        <v>34</v>
      </c>
      <c r="T12" s="31">
        <v>12.363</v>
      </c>
      <c r="U12" s="32">
        <f t="shared" si="1"/>
        <v>130.202</v>
      </c>
      <c r="V12" s="44">
        <v>3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40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>
        <v>68</v>
      </c>
      <c r="C13" s="39">
        <v>65</v>
      </c>
      <c r="D13" s="39">
        <v>74</v>
      </c>
      <c r="E13" s="40">
        <v>62</v>
      </c>
      <c r="F13" s="41">
        <v>57</v>
      </c>
      <c r="G13" s="42">
        <v>45</v>
      </c>
      <c r="H13" s="41">
        <v>40</v>
      </c>
      <c r="I13" s="42"/>
      <c r="J13" s="41"/>
      <c r="K13" s="38">
        <v>55</v>
      </c>
      <c r="L13" s="43">
        <v>58</v>
      </c>
      <c r="M13" s="40">
        <v>49</v>
      </c>
      <c r="N13" s="42">
        <v>47</v>
      </c>
      <c r="O13" s="41">
        <v>65</v>
      </c>
      <c r="P13" s="53">
        <v>42</v>
      </c>
      <c r="Q13" s="29">
        <v>0</v>
      </c>
      <c r="R13" s="30">
        <v>42.363999999999997</v>
      </c>
      <c r="S13" s="30">
        <v>34</v>
      </c>
      <c r="T13" s="31">
        <v>12.224</v>
      </c>
      <c r="U13" s="32">
        <f t="shared" si="1"/>
        <v>130.58799999999999</v>
      </c>
      <c r="V13" s="44">
        <v>1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41</v>
      </c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42.5</v>
      </c>
      <c r="Q14" s="29">
        <v>0</v>
      </c>
      <c r="R14" s="30">
        <v>43.082000000000001</v>
      </c>
      <c r="S14" s="30">
        <v>33</v>
      </c>
      <c r="T14" s="31">
        <v>12.566000000000001</v>
      </c>
      <c r="U14" s="32">
        <f t="shared" si="1"/>
        <v>131.148</v>
      </c>
      <c r="V14" s="44">
        <v>2</v>
      </c>
      <c r="W14" s="37" t="s">
        <v>44</v>
      </c>
      <c r="X14" s="280">
        <v>0.91666666666666663</v>
      </c>
      <c r="Y14" s="192" t="s">
        <v>45</v>
      </c>
      <c r="Z14" s="69">
        <v>0.7</v>
      </c>
      <c r="AA14" s="70">
        <f>100-Z14</f>
        <v>99.3</v>
      </c>
      <c r="AB14" s="278"/>
      <c r="AC14" s="51" t="s">
        <v>35</v>
      </c>
      <c r="AD14" s="52">
        <v>32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43.3</v>
      </c>
      <c r="Q15" s="29">
        <v>0</v>
      </c>
      <c r="R15" s="30">
        <v>42.610999999999997</v>
      </c>
      <c r="S15" s="30">
        <v>34</v>
      </c>
      <c r="T15" s="31">
        <v>12.846</v>
      </c>
      <c r="U15" s="32">
        <f t="shared" si="1"/>
        <v>132.75700000000001</v>
      </c>
      <c r="V15" s="44">
        <v>2</v>
      </c>
      <c r="W15" s="37" t="s">
        <v>46</v>
      </c>
      <c r="X15" s="281"/>
      <c r="Y15" s="71" t="s">
        <v>47</v>
      </c>
      <c r="Z15" s="72">
        <v>0.9</v>
      </c>
      <c r="AA15" s="73">
        <f>100-Z15</f>
        <v>99.1</v>
      </c>
      <c r="AB15" s="279"/>
      <c r="AC15" s="74" t="s">
        <v>37</v>
      </c>
      <c r="AD15" s="58">
        <v>11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41.4</v>
      </c>
      <c r="Q16" s="29">
        <v>0</v>
      </c>
      <c r="R16" s="30">
        <v>12.804</v>
      </c>
      <c r="S16" s="30">
        <v>31</v>
      </c>
      <c r="T16" s="82">
        <v>12.648999999999999</v>
      </c>
      <c r="U16" s="32">
        <f t="shared" si="1"/>
        <v>97.853000000000009</v>
      </c>
      <c r="V16" s="83">
        <v>1</v>
      </c>
      <c r="W16" s="75" t="s">
        <v>48</v>
      </c>
      <c r="X16" s="281"/>
      <c r="Y16" s="71" t="s">
        <v>49</v>
      </c>
      <c r="Z16" s="72">
        <v>0.4</v>
      </c>
      <c r="AA16" s="73">
        <f>100-Z16</f>
        <v>99.6</v>
      </c>
      <c r="AB16" s="190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68.5</v>
      </c>
      <c r="C17" s="88">
        <f>AVERAGE(C5:C16)</f>
        <v>65</v>
      </c>
      <c r="D17" s="88">
        <f>AVERAGE(D5:D15)</f>
        <v>73.5</v>
      </c>
      <c r="E17" s="88">
        <f>AVERAGE(E5:E15)</f>
        <v>63</v>
      </c>
      <c r="F17" s="88">
        <f>AVERAGE(F5:F15)</f>
        <v>58</v>
      </c>
      <c r="G17" s="88">
        <f>AVERAGE(G5:G16)</f>
        <v>46.5</v>
      </c>
      <c r="H17" s="88">
        <f>AVERAGE(H5:H16)</f>
        <v>40</v>
      </c>
      <c r="I17" s="88" t="e">
        <f t="shared" ref="I17:N17" si="2">AVERAGE(I5:I15)</f>
        <v>#DIV/0!</v>
      </c>
      <c r="J17" s="88" t="e">
        <f t="shared" si="2"/>
        <v>#DIV/0!</v>
      </c>
      <c r="K17" s="88">
        <f t="shared" si="2"/>
        <v>55.5</v>
      </c>
      <c r="L17" s="88">
        <f t="shared" si="2"/>
        <v>58</v>
      </c>
      <c r="M17" s="89">
        <f t="shared" si="2"/>
        <v>46.5</v>
      </c>
      <c r="N17" s="89">
        <f t="shared" si="2"/>
        <v>48.5</v>
      </c>
      <c r="O17" s="89">
        <f>AVERAGE(O5:O16)</f>
        <v>64.5</v>
      </c>
      <c r="P17" s="90">
        <f>SUM(P5:P16)</f>
        <v>495.4</v>
      </c>
      <c r="Q17" s="91">
        <f>SUM(Q5:Q16)</f>
        <v>0</v>
      </c>
      <c r="R17" s="92">
        <f>SUM(R5:R16)</f>
        <v>465.48499999999996</v>
      </c>
      <c r="S17" s="93">
        <f>SUM(S5:S16)</f>
        <v>396</v>
      </c>
      <c r="T17" s="93">
        <f>SUM(T5:T16)</f>
        <v>153.24200000000002</v>
      </c>
      <c r="U17" s="94">
        <f>SUM(P17:T17)</f>
        <v>1510.127</v>
      </c>
      <c r="V17" s="1">
        <f>SUM(V5:V16)</f>
        <v>18</v>
      </c>
      <c r="W17" s="4"/>
      <c r="X17" s="281"/>
      <c r="Y17" s="71" t="s">
        <v>51</v>
      </c>
      <c r="Z17" s="95">
        <v>0.8</v>
      </c>
      <c r="AA17" s="73">
        <f>100-Z17</f>
        <v>99.2</v>
      </c>
      <c r="AB17" s="283">
        <v>4.1666666666666664E-2</v>
      </c>
      <c r="AC17" s="62" t="s">
        <v>30</v>
      </c>
      <c r="AD17" s="50">
        <v>41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99.3</v>
      </c>
      <c r="AB18" s="278"/>
      <c r="AC18" s="51" t="s">
        <v>32</v>
      </c>
      <c r="AD18" s="52">
        <v>42</v>
      </c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128</v>
      </c>
      <c r="J19" s="259"/>
      <c r="K19" s="259"/>
      <c r="L19" s="260"/>
      <c r="M19" s="261" t="s">
        <v>57</v>
      </c>
      <c r="N19" s="262"/>
      <c r="O19" s="263"/>
      <c r="P19" s="105">
        <v>2.2999999999999998</v>
      </c>
      <c r="Q19" s="106"/>
      <c r="R19" s="107">
        <v>2.4</v>
      </c>
      <c r="S19" s="107">
        <v>1.8</v>
      </c>
      <c r="T19" s="107">
        <v>2.5</v>
      </c>
      <c r="U19" s="108">
        <f>(U17-U20)/U17*100</f>
        <v>2.2200046751034939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34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30</v>
      </c>
      <c r="B20" s="295"/>
      <c r="C20" s="44">
        <v>60</v>
      </c>
      <c r="D20" s="296">
        <v>0.15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484.00579999999997</v>
      </c>
      <c r="Q20" s="113"/>
      <c r="R20" s="114">
        <f>(R17-(R17*R19/100))</f>
        <v>454.31335999999993</v>
      </c>
      <c r="S20" s="112">
        <f>(S17-(S17*S19/100))</f>
        <v>388.87200000000001</v>
      </c>
      <c r="T20" s="112">
        <f>(T17-(T17*T19/100))</f>
        <v>149.41095000000001</v>
      </c>
      <c r="U20" s="115">
        <f>P20+Q20+R20+S20+T20</f>
        <v>1476.6021099999998</v>
      </c>
      <c r="V20" s="4"/>
      <c r="W20" s="4"/>
      <c r="X20" s="281"/>
      <c r="Y20" s="192" t="s">
        <v>45</v>
      </c>
      <c r="Z20" s="69">
        <v>0.4</v>
      </c>
      <c r="AA20" s="70">
        <f>100-Z20</f>
        <v>99.6</v>
      </c>
      <c r="AB20" s="279"/>
      <c r="AC20" s="74" t="s">
        <v>37</v>
      </c>
      <c r="AD20" s="58">
        <v>11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61</v>
      </c>
      <c r="B21" s="295"/>
      <c r="C21" s="44">
        <v>30</v>
      </c>
      <c r="D21" s="296">
        <v>0.15</v>
      </c>
      <c r="E21" s="297"/>
      <c r="F21" s="298" t="s">
        <v>58</v>
      </c>
      <c r="G21" s="299"/>
      <c r="H21" s="96"/>
      <c r="I21" s="116" t="s">
        <v>62</v>
      </c>
      <c r="J21" s="117">
        <v>48</v>
      </c>
      <c r="K21" s="118"/>
      <c r="L21" s="119"/>
      <c r="M21" s="307" t="s">
        <v>63</v>
      </c>
      <c r="N21" s="308"/>
      <c r="O21" s="309"/>
      <c r="P21" s="120">
        <f>(U17-(U17*U19/100))</f>
        <v>1476.6021099999998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0.7</v>
      </c>
      <c r="AA21" s="73">
        <f>100-Z21</f>
        <v>99.3</v>
      </c>
      <c r="AB21" s="190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32</v>
      </c>
      <c r="B22" s="295"/>
      <c r="C22" s="44">
        <v>60</v>
      </c>
      <c r="D22" s="296">
        <v>0.15</v>
      </c>
      <c r="E22" s="297"/>
      <c r="F22" s="298" t="s">
        <v>58</v>
      </c>
      <c r="G22" s="299"/>
      <c r="H22" s="4"/>
      <c r="I22" s="125">
        <v>100</v>
      </c>
      <c r="J22" s="126">
        <f>I22-J21</f>
        <v>52</v>
      </c>
      <c r="K22" s="316">
        <f>J22/I22*100</f>
        <v>52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0.5</v>
      </c>
      <c r="AA22" s="73">
        <f>100-Z22</f>
        <v>99.5</v>
      </c>
      <c r="AB22" s="283">
        <v>0.125</v>
      </c>
      <c r="AC22" s="49" t="s">
        <v>30</v>
      </c>
      <c r="AD22" s="50">
        <v>41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 t="s">
        <v>35</v>
      </c>
      <c r="B23" s="295"/>
      <c r="C23" s="44">
        <v>60</v>
      </c>
      <c r="D23" s="296">
        <v>0.1</v>
      </c>
      <c r="E23" s="297"/>
      <c r="F23" s="298" t="s">
        <v>58</v>
      </c>
      <c r="G23" s="299"/>
      <c r="H23" s="4"/>
      <c r="I23" s="133" t="s">
        <v>66</v>
      </c>
      <c r="J23" s="134">
        <v>25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0.3</v>
      </c>
      <c r="AA23" s="73">
        <f>100-Z23</f>
        <v>99.7</v>
      </c>
      <c r="AB23" s="278"/>
      <c r="AC23" s="51" t="s">
        <v>32</v>
      </c>
      <c r="AD23" s="52">
        <v>42</v>
      </c>
      <c r="AE23" s="11">
        <v>21</v>
      </c>
      <c r="AF23" s="12">
        <f t="shared" si="0"/>
        <v>14</v>
      </c>
    </row>
    <row r="24" spans="1:32" ht="16.5" thickBot="1" x14ac:dyDescent="0.3">
      <c r="A24" s="294" t="s">
        <v>37</v>
      </c>
      <c r="B24" s="295"/>
      <c r="C24" s="44">
        <v>60</v>
      </c>
      <c r="D24" s="296">
        <v>0.1</v>
      </c>
      <c r="E24" s="297"/>
      <c r="F24" s="298" t="s">
        <v>58</v>
      </c>
      <c r="G24" s="299"/>
      <c r="H24" s="4"/>
      <c r="I24" s="136">
        <v>100</v>
      </c>
      <c r="J24" s="121">
        <f>I24-J23</f>
        <v>75</v>
      </c>
      <c r="K24" s="316">
        <f>J24/I24*100</f>
        <v>75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99.524999999999991</v>
      </c>
      <c r="AB24" s="278"/>
      <c r="AC24" s="51" t="s">
        <v>35</v>
      </c>
      <c r="AD24" s="52">
        <v>33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11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0.6</v>
      </c>
      <c r="AA26" s="70">
        <f>100-Z26</f>
        <v>99.4</v>
      </c>
      <c r="AB26" s="189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0.4</v>
      </c>
      <c r="AA27" s="73">
        <f>100-Z27</f>
        <v>99.6</v>
      </c>
      <c r="AB27" s="267">
        <v>0.20833333333333334</v>
      </c>
      <c r="AC27" s="62" t="s">
        <v>30</v>
      </c>
      <c r="AD27" s="50">
        <v>41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 t="s">
        <v>76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0.7</v>
      </c>
      <c r="AA28" s="73">
        <f>100-Z28</f>
        <v>99.3</v>
      </c>
      <c r="AB28" s="268"/>
      <c r="AC28" s="67" t="s">
        <v>32</v>
      </c>
      <c r="AD28" s="52">
        <v>41</v>
      </c>
      <c r="AE28" s="11">
        <v>26</v>
      </c>
      <c r="AF28" s="12">
        <f t="shared" si="0"/>
        <v>17.333333333333332</v>
      </c>
    </row>
    <row r="29" spans="1:32" ht="19.5" thickBot="1" x14ac:dyDescent="0.35">
      <c r="A29" s="411"/>
      <c r="B29" s="412"/>
      <c r="C29" s="182"/>
      <c r="D29" s="403"/>
      <c r="E29" s="404"/>
      <c r="F29" s="409"/>
      <c r="G29" s="410"/>
      <c r="H29" s="345" t="s">
        <v>130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0.5</v>
      </c>
      <c r="AA29" s="73">
        <f>100-Z29</f>
        <v>99.5</v>
      </c>
      <c r="AB29" s="268"/>
      <c r="AC29" s="51" t="s">
        <v>35</v>
      </c>
      <c r="AD29" s="52">
        <v>34</v>
      </c>
      <c r="AE29" s="11">
        <v>27</v>
      </c>
      <c r="AF29" s="12">
        <f t="shared" si="0"/>
        <v>18</v>
      </c>
    </row>
    <row r="30" spans="1:32" ht="19.5" thickBot="1" x14ac:dyDescent="0.35">
      <c r="A30" s="411" t="s">
        <v>32</v>
      </c>
      <c r="B30" s="412"/>
      <c r="C30" s="182">
        <v>0.2986111111111111</v>
      </c>
      <c r="D30" s="403">
        <v>0.33333333333333331</v>
      </c>
      <c r="E30" s="404"/>
      <c r="F30" s="405" t="s">
        <v>131</v>
      </c>
      <c r="G30" s="406"/>
      <c r="H30" s="345" t="s">
        <v>129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99.45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0.4</v>
      </c>
      <c r="AA32" s="70">
        <f>100-Z32</f>
        <v>99.6</v>
      </c>
      <c r="AB32" s="267">
        <v>0.29166666666666669</v>
      </c>
      <c r="AC32" s="62" t="s">
        <v>30</v>
      </c>
      <c r="AD32" s="50">
        <v>42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>
        <v>0.2</v>
      </c>
      <c r="AA33" s="73">
        <f>100-Z33</f>
        <v>99.8</v>
      </c>
      <c r="AB33" s="268"/>
      <c r="AC33" s="51" t="s">
        <v>32</v>
      </c>
      <c r="AD33" s="52">
        <v>41</v>
      </c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0.6</v>
      </c>
      <c r="AA34" s="73">
        <f>100-Z34</f>
        <v>99.4</v>
      </c>
      <c r="AB34" s="268"/>
      <c r="AC34" s="67" t="s">
        <v>35</v>
      </c>
      <c r="AD34" s="52">
        <v>34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0.2</v>
      </c>
      <c r="AA35" s="73">
        <f>100-Z35</f>
        <v>99.8</v>
      </c>
      <c r="AB35" s="269"/>
      <c r="AC35" s="74" t="s">
        <v>37</v>
      </c>
      <c r="AD35" s="58">
        <v>12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99.649999999999991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W38" t="s">
        <v>78</v>
      </c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9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18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X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>
        <v>9.59</v>
      </c>
      <c r="K42" s="399">
        <v>9.6300000000000008</v>
      </c>
      <c r="L42" s="400"/>
      <c r="M42" s="164">
        <v>10</v>
      </c>
      <c r="N42" s="165">
        <v>10.31</v>
      </c>
      <c r="O42" s="165">
        <v>9.5</v>
      </c>
      <c r="P42" s="165">
        <v>9.6199999999999992</v>
      </c>
      <c r="Q42" s="401">
        <f>AVERAGE(J42:P43)</f>
        <v>9.7750000000000004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187" t="s">
        <v>89</v>
      </c>
      <c r="B43" s="188"/>
      <c r="C43" s="188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27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193" t="s">
        <v>92</v>
      </c>
      <c r="S44" s="193"/>
      <c r="T44" s="193"/>
      <c r="U44" s="193"/>
      <c r="V44" s="193"/>
      <c r="W44" s="193"/>
      <c r="X44" s="193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C31" sqref="C31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7109375" customWidth="1"/>
    <col min="19" max="19" width="10.140625" customWidth="1"/>
    <col min="20" max="20" width="9.85546875" customWidth="1"/>
    <col min="21" max="23" width="10.7109375" customWidth="1"/>
    <col min="24" max="24" width="17.710937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127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39.299999999999997</v>
      </c>
      <c r="Q5" s="29">
        <v>0</v>
      </c>
      <c r="R5" s="30">
        <v>0</v>
      </c>
      <c r="S5" s="30">
        <v>17</v>
      </c>
      <c r="T5" s="31">
        <v>12.013</v>
      </c>
      <c r="U5" s="32">
        <f>SUM(P5:T5)</f>
        <v>68.313000000000002</v>
      </c>
      <c r="V5" s="33"/>
      <c r="W5" s="21" t="s">
        <v>93</v>
      </c>
      <c r="X5" s="34">
        <v>513560.9</v>
      </c>
      <c r="Y5" s="34">
        <f>X5+P17</f>
        <v>513924.2</v>
      </c>
      <c r="Z5" s="35">
        <f>Y5-X5</f>
        <v>363.29999999998836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39.9</v>
      </c>
      <c r="Q6" s="29">
        <v>0</v>
      </c>
      <c r="R6" s="30">
        <v>0</v>
      </c>
      <c r="S6" s="30">
        <v>0</v>
      </c>
      <c r="T6" s="31">
        <v>12.356999999999999</v>
      </c>
      <c r="U6" s="32">
        <f t="shared" ref="U6:U16" si="1">SUM(P6:T6)</f>
        <v>52.256999999999998</v>
      </c>
      <c r="V6" s="44">
        <v>2</v>
      </c>
      <c r="W6" s="37" t="s">
        <v>94</v>
      </c>
      <c r="X6" s="45">
        <v>810665.04700000002</v>
      </c>
      <c r="Y6" s="34">
        <f>X6+R17</f>
        <v>811041.53899999999</v>
      </c>
      <c r="Z6" s="46">
        <f>Y6-X6</f>
        <v>376.49199999996927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>
        <v>65</v>
      </c>
      <c r="C7" s="39">
        <v>50</v>
      </c>
      <c r="D7" s="39"/>
      <c r="E7" s="40"/>
      <c r="F7" s="41">
        <v>58</v>
      </c>
      <c r="G7" s="42">
        <v>39</v>
      </c>
      <c r="H7" s="41">
        <v>33</v>
      </c>
      <c r="I7" s="42">
        <v>0</v>
      </c>
      <c r="J7" s="41"/>
      <c r="K7" s="38">
        <v>49</v>
      </c>
      <c r="L7" s="43"/>
      <c r="M7" s="40">
        <v>51</v>
      </c>
      <c r="N7" s="42">
        <v>58</v>
      </c>
      <c r="O7" s="41">
        <v>70</v>
      </c>
      <c r="P7" s="28">
        <v>39.5</v>
      </c>
      <c r="Q7" s="29">
        <v>0</v>
      </c>
      <c r="R7" s="30">
        <v>0</v>
      </c>
      <c r="S7" s="30">
        <v>0</v>
      </c>
      <c r="T7" s="31">
        <v>12.56</v>
      </c>
      <c r="U7" s="32">
        <f t="shared" si="1"/>
        <v>52.06</v>
      </c>
      <c r="V7" s="44">
        <v>1</v>
      </c>
      <c r="W7" s="37" t="s">
        <v>95</v>
      </c>
      <c r="X7" s="48">
        <v>504517</v>
      </c>
      <c r="Y7" s="34">
        <f>X7+S17</f>
        <v>504781</v>
      </c>
      <c r="Z7" s="46">
        <f>Y7-X7</f>
        <v>264</v>
      </c>
      <c r="AA7" s="47">
        <v>4</v>
      </c>
      <c r="AB7" s="267">
        <v>0.375</v>
      </c>
      <c r="AC7" s="49" t="s">
        <v>30</v>
      </c>
      <c r="AD7" s="50">
        <v>41</v>
      </c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37.799999999999997</v>
      </c>
      <c r="Q8" s="29">
        <v>0</v>
      </c>
      <c r="R8" s="30">
        <v>31.282</v>
      </c>
      <c r="S8" s="30">
        <v>0</v>
      </c>
      <c r="T8" s="31">
        <v>12.62</v>
      </c>
      <c r="U8" s="32">
        <f t="shared" si="1"/>
        <v>81.701999999999998</v>
      </c>
      <c r="V8" s="44">
        <v>1</v>
      </c>
      <c r="W8" s="37" t="s">
        <v>96</v>
      </c>
      <c r="X8" s="46">
        <v>978</v>
      </c>
      <c r="Y8" s="34">
        <f>X8+T17</f>
        <v>1131.94</v>
      </c>
      <c r="Z8" s="46">
        <f>T17</f>
        <v>153.93999999999997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>
        <v>72</v>
      </c>
      <c r="E9" s="40"/>
      <c r="F9" s="41"/>
      <c r="G9" s="42"/>
      <c r="H9" s="41"/>
      <c r="I9" s="42"/>
      <c r="J9" s="41"/>
      <c r="K9" s="38"/>
      <c r="L9" s="43">
        <v>53</v>
      </c>
      <c r="M9" s="40"/>
      <c r="N9" s="42"/>
      <c r="O9" s="41"/>
      <c r="P9" s="53">
        <v>41</v>
      </c>
      <c r="Q9" s="29">
        <v>0</v>
      </c>
      <c r="R9" s="30">
        <v>43.618000000000002</v>
      </c>
      <c r="S9" s="30">
        <v>17</v>
      </c>
      <c r="T9" s="31">
        <v>12.37</v>
      </c>
      <c r="U9" s="32">
        <f t="shared" si="1"/>
        <v>113.988</v>
      </c>
      <c r="V9" s="44">
        <v>1</v>
      </c>
      <c r="W9" s="37" t="s">
        <v>97</v>
      </c>
      <c r="X9" s="270" t="s">
        <v>34</v>
      </c>
      <c r="Y9" s="271"/>
      <c r="Z9" s="54">
        <f>SUM(Z5:Z8)</f>
        <v>1157.7319999999577</v>
      </c>
      <c r="AA9" s="55"/>
      <c r="AB9" s="268"/>
      <c r="AC9" s="51" t="s">
        <v>35</v>
      </c>
      <c r="AD9" s="52">
        <v>32</v>
      </c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>
        <v>53</v>
      </c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41</v>
      </c>
      <c r="Q10" s="29">
        <v>0</v>
      </c>
      <c r="R10" s="30">
        <v>44.39</v>
      </c>
      <c r="S10" s="30">
        <v>32</v>
      </c>
      <c r="T10" s="31">
        <v>12.99</v>
      </c>
      <c r="U10" s="32">
        <f t="shared" si="1"/>
        <v>130.38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11</v>
      </c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1.8</v>
      </c>
      <c r="Q11" s="29">
        <v>0</v>
      </c>
      <c r="R11" s="30">
        <v>43.921999999999997</v>
      </c>
      <c r="S11" s="30">
        <v>33</v>
      </c>
      <c r="T11" s="31">
        <v>12.91</v>
      </c>
      <c r="U11" s="32">
        <f t="shared" si="1"/>
        <v>91.631999999999991</v>
      </c>
      <c r="V11" s="44">
        <v>1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0</v>
      </c>
      <c r="Q12" s="29">
        <v>0</v>
      </c>
      <c r="R12" s="30">
        <v>42.506999999999998</v>
      </c>
      <c r="S12" s="30">
        <v>33</v>
      </c>
      <c r="T12" s="31">
        <v>13.08</v>
      </c>
      <c r="U12" s="32">
        <f t="shared" si="1"/>
        <v>88.587000000000003</v>
      </c>
      <c r="V12" s="44">
        <v>2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>
        <v>41</v>
      </c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/>
      <c r="C13" s="39">
        <v>57</v>
      </c>
      <c r="D13" s="39">
        <v>69</v>
      </c>
      <c r="E13" s="40">
        <v>57</v>
      </c>
      <c r="F13" s="41">
        <v>59</v>
      </c>
      <c r="G13" s="42">
        <v>40</v>
      </c>
      <c r="H13" s="41">
        <v>31</v>
      </c>
      <c r="I13" s="42">
        <v>15</v>
      </c>
      <c r="J13" s="41"/>
      <c r="K13" s="38"/>
      <c r="L13" s="43">
        <v>50</v>
      </c>
      <c r="M13" s="40">
        <v>47</v>
      </c>
      <c r="N13" s="42">
        <v>48</v>
      </c>
      <c r="O13" s="41">
        <v>72</v>
      </c>
      <c r="P13" s="53">
        <v>0</v>
      </c>
      <c r="Q13" s="29">
        <v>0</v>
      </c>
      <c r="R13" s="30">
        <v>41.524000000000001</v>
      </c>
      <c r="S13" s="30">
        <v>33</v>
      </c>
      <c r="T13" s="31">
        <v>12.93</v>
      </c>
      <c r="U13" s="32">
        <f t="shared" si="1"/>
        <v>87.454000000000008</v>
      </c>
      <c r="V13" s="44">
        <v>1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41</v>
      </c>
      <c r="Q14" s="29">
        <v>0</v>
      </c>
      <c r="R14" s="30">
        <v>43.924999999999997</v>
      </c>
      <c r="S14" s="30">
        <v>32</v>
      </c>
      <c r="T14" s="31">
        <v>13.47</v>
      </c>
      <c r="U14" s="32">
        <f t="shared" si="1"/>
        <v>130.39500000000001</v>
      </c>
      <c r="V14" s="44">
        <v>2</v>
      </c>
      <c r="W14" s="37" t="s">
        <v>102</v>
      </c>
      <c r="X14" s="280">
        <v>0.41666666666666669</v>
      </c>
      <c r="Y14" s="195" t="s">
        <v>45</v>
      </c>
      <c r="Z14" s="69">
        <v>1.8</v>
      </c>
      <c r="AA14" s="70">
        <f>100-Z14</f>
        <v>98.2</v>
      </c>
      <c r="AB14" s="278"/>
      <c r="AC14" s="51" t="s">
        <v>35</v>
      </c>
      <c r="AD14" s="52"/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>
        <v>68</v>
      </c>
      <c r="C15" s="39"/>
      <c r="D15" s="39"/>
      <c r="E15" s="40"/>
      <c r="F15" s="41"/>
      <c r="G15" s="42"/>
      <c r="H15" s="41"/>
      <c r="I15" s="42"/>
      <c r="J15" s="41"/>
      <c r="K15" s="38">
        <v>50</v>
      </c>
      <c r="L15" s="43"/>
      <c r="M15" s="40"/>
      <c r="N15" s="42"/>
      <c r="O15" s="41"/>
      <c r="P15" s="53">
        <v>41</v>
      </c>
      <c r="Q15" s="29">
        <v>0</v>
      </c>
      <c r="R15" s="30">
        <v>43.335000000000001</v>
      </c>
      <c r="S15" s="30">
        <v>34</v>
      </c>
      <c r="T15" s="31">
        <v>13.38</v>
      </c>
      <c r="U15" s="32">
        <f t="shared" si="1"/>
        <v>131.715</v>
      </c>
      <c r="V15" s="44">
        <v>2</v>
      </c>
      <c r="W15" s="37" t="s">
        <v>103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>
        <v>11</v>
      </c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41</v>
      </c>
      <c r="Q16" s="29">
        <v>0</v>
      </c>
      <c r="R16" s="30">
        <v>41.988999999999997</v>
      </c>
      <c r="S16" s="30">
        <v>33</v>
      </c>
      <c r="T16" s="82">
        <v>13.26</v>
      </c>
      <c r="U16" s="32">
        <f t="shared" si="1"/>
        <v>129.249</v>
      </c>
      <c r="V16" s="83">
        <v>4</v>
      </c>
      <c r="W16" s="75" t="s">
        <v>104</v>
      </c>
      <c r="X16" s="281"/>
      <c r="Y16" s="71" t="s">
        <v>49</v>
      </c>
      <c r="Z16" s="72"/>
      <c r="AA16" s="73">
        <f>100-Z16</f>
        <v>100</v>
      </c>
      <c r="AB16" s="190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>
        <f>AVERAGE(B5:B15)</f>
        <v>66.5</v>
      </c>
      <c r="C17" s="88">
        <f>AVERAGE(C5:C16)</f>
        <v>53.5</v>
      </c>
      <c r="D17" s="88">
        <f>AVERAGE(D5:D15)</f>
        <v>70.5</v>
      </c>
      <c r="E17" s="88">
        <f>AVERAGE(E5:E15)</f>
        <v>55</v>
      </c>
      <c r="F17" s="88">
        <f>AVERAGE(F5:F15)</f>
        <v>58.5</v>
      </c>
      <c r="G17" s="88">
        <f>AVERAGE(G5:G16)</f>
        <v>39.5</v>
      </c>
      <c r="H17" s="88">
        <f>AVERAGE(H5:H16)</f>
        <v>32</v>
      </c>
      <c r="I17" s="88">
        <f t="shared" ref="I17:N17" si="2">AVERAGE(I5:I15)</f>
        <v>7.5</v>
      </c>
      <c r="J17" s="88" t="e">
        <f t="shared" si="2"/>
        <v>#DIV/0!</v>
      </c>
      <c r="K17" s="88">
        <f t="shared" si="2"/>
        <v>49.5</v>
      </c>
      <c r="L17" s="88">
        <f t="shared" si="2"/>
        <v>51.5</v>
      </c>
      <c r="M17" s="89">
        <f t="shared" si="2"/>
        <v>49</v>
      </c>
      <c r="N17" s="89">
        <f t="shared" si="2"/>
        <v>53</v>
      </c>
      <c r="O17" s="89">
        <f>AVERAGE(O5:O16)</f>
        <v>71</v>
      </c>
      <c r="P17" s="90">
        <f>SUM(P5:P16)</f>
        <v>363.3</v>
      </c>
      <c r="Q17" s="91">
        <f>SUM(Q5:Q16)</f>
        <v>0</v>
      </c>
      <c r="R17" s="92">
        <f>SUM(R5:R16)</f>
        <v>376.49199999999996</v>
      </c>
      <c r="S17" s="93">
        <f>SUM(S5:S16)</f>
        <v>264</v>
      </c>
      <c r="T17" s="93">
        <f>SUM(T5:T16)</f>
        <v>153.93999999999997</v>
      </c>
      <c r="U17" s="94">
        <f>SUM(P17:T17)</f>
        <v>1157.732</v>
      </c>
      <c r="V17" s="1">
        <f>SUM(V5:V16)</f>
        <v>17</v>
      </c>
      <c r="W17" s="4"/>
      <c r="X17" s="281"/>
      <c r="Y17" s="71" t="s">
        <v>51</v>
      </c>
      <c r="Z17" s="72">
        <v>0.3</v>
      </c>
      <c r="AA17" s="73">
        <f>100-Z17</f>
        <v>99.7</v>
      </c>
      <c r="AB17" s="283">
        <v>0.54166666666666663</v>
      </c>
      <c r="AC17" s="62" t="s">
        <v>30</v>
      </c>
      <c r="AD17" s="50">
        <v>43</v>
      </c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v>98.95</v>
      </c>
      <c r="AB18" s="278"/>
      <c r="AC18" s="51" t="s">
        <v>32</v>
      </c>
      <c r="AD18" s="52">
        <v>43</v>
      </c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132</v>
      </c>
      <c r="J19" s="259"/>
      <c r="K19" s="259"/>
      <c r="L19" s="260"/>
      <c r="M19" s="261" t="s">
        <v>57</v>
      </c>
      <c r="N19" s="262"/>
      <c r="O19" s="263"/>
      <c r="P19" s="105">
        <v>2.5</v>
      </c>
      <c r="Q19" s="106"/>
      <c r="R19" s="107">
        <v>2.2000000000000002</v>
      </c>
      <c r="S19" s="107">
        <v>2.6</v>
      </c>
      <c r="T19" s="107">
        <v>2.8</v>
      </c>
      <c r="U19" s="108">
        <f>(U17-U20)/U17*100</f>
        <v>2.4651338997280852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31</v>
      </c>
      <c r="AE19" s="11">
        <v>17</v>
      </c>
      <c r="AF19" s="12">
        <f t="shared" si="0"/>
        <v>3.1166666666666667</v>
      </c>
    </row>
    <row r="20" spans="1:32" ht="16.5" thickBot="1" x14ac:dyDescent="0.3">
      <c r="A20" s="294" t="s">
        <v>61</v>
      </c>
      <c r="B20" s="295"/>
      <c r="C20" s="44">
        <v>30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354.21750000000003</v>
      </c>
      <c r="Q20" s="113"/>
      <c r="R20" s="114">
        <f>(R17-(R17*R19/100))</f>
        <v>368.20917599999996</v>
      </c>
      <c r="S20" s="112">
        <f>(S17-(S17*S19/100))</f>
        <v>257.13600000000002</v>
      </c>
      <c r="T20" s="112">
        <f>(T17-(T17*T19/100))</f>
        <v>149.62967999999998</v>
      </c>
      <c r="U20" s="115">
        <f>P20+Q20+R20+S20+T20</f>
        <v>1129.192356</v>
      </c>
      <c r="V20" s="4"/>
      <c r="W20" s="4"/>
      <c r="X20" s="281"/>
      <c r="Y20" s="192" t="s">
        <v>45</v>
      </c>
      <c r="Z20" s="69">
        <v>0.9</v>
      </c>
      <c r="AA20" s="70">
        <f>100-Z20</f>
        <v>99.1</v>
      </c>
      <c r="AB20" s="279"/>
      <c r="AC20" s="74" t="s">
        <v>37</v>
      </c>
      <c r="AD20" s="58">
        <v>10</v>
      </c>
      <c r="AE20" s="11">
        <v>18</v>
      </c>
      <c r="AF20" s="12">
        <f t="shared" si="0"/>
        <v>3.3</v>
      </c>
    </row>
    <row r="21" spans="1:32" ht="19.5" thickBot="1" x14ac:dyDescent="0.3">
      <c r="A21" s="294" t="s">
        <v>32</v>
      </c>
      <c r="B21" s="295"/>
      <c r="C21" s="44">
        <v>60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51</v>
      </c>
      <c r="K21" s="118"/>
      <c r="L21" s="119"/>
      <c r="M21" s="307" t="s">
        <v>63</v>
      </c>
      <c r="N21" s="308"/>
      <c r="O21" s="309"/>
      <c r="P21" s="120">
        <f>(U17-(U17*U19/100))</f>
        <v>1129.192356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1.3</v>
      </c>
      <c r="AA21" s="73">
        <f>100-Z21</f>
        <v>98.7</v>
      </c>
      <c r="AB21" s="190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 t="s">
        <v>35</v>
      </c>
      <c r="B22" s="295"/>
      <c r="C22" s="44">
        <v>60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49</v>
      </c>
      <c r="K22" s="316">
        <f>J22/I22*100</f>
        <v>49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0.625</v>
      </c>
      <c r="AC22" s="49" t="s">
        <v>30</v>
      </c>
      <c r="AD22" s="50"/>
      <c r="AE22" s="11">
        <v>20</v>
      </c>
      <c r="AF22" s="12">
        <f t="shared" si="0"/>
        <v>3.6666666666666665</v>
      </c>
    </row>
    <row r="23" spans="1:32" ht="16.5" thickBot="1" x14ac:dyDescent="0.3">
      <c r="A23" s="294" t="s">
        <v>37</v>
      </c>
      <c r="B23" s="295"/>
      <c r="C23" s="44">
        <v>60</v>
      </c>
      <c r="D23" s="296">
        <v>0.2</v>
      </c>
      <c r="E23" s="297"/>
      <c r="F23" s="298" t="s">
        <v>58</v>
      </c>
      <c r="G23" s="299"/>
      <c r="H23" s="4"/>
      <c r="I23" s="133" t="s">
        <v>66</v>
      </c>
      <c r="J23" s="134">
        <v>35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0.7</v>
      </c>
      <c r="AA23" s="73">
        <f>100-Z23</f>
        <v>99.3</v>
      </c>
      <c r="AB23" s="278"/>
      <c r="AC23" s="51" t="s">
        <v>32</v>
      </c>
      <c r="AD23" s="52">
        <v>42</v>
      </c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65</v>
      </c>
      <c r="K24" s="316">
        <f>J24/I24*100</f>
        <v>65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v>99.03</v>
      </c>
      <c r="AB24" s="278"/>
      <c r="AC24" s="51" t="s">
        <v>35</v>
      </c>
      <c r="AD24" s="52">
        <v>33</v>
      </c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11</v>
      </c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/>
      <c r="AA26" s="70">
        <f>100-Z26</f>
        <v>100</v>
      </c>
      <c r="AB26" s="189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2.2999999999999998</v>
      </c>
      <c r="AA27" s="73">
        <f>100-Z27</f>
        <v>97.7</v>
      </c>
      <c r="AB27" s="267">
        <v>0.70833333333333337</v>
      </c>
      <c r="AC27" s="62" t="s">
        <v>30</v>
      </c>
      <c r="AD27" s="50"/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 t="s">
        <v>76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1.1000000000000001</v>
      </c>
      <c r="AA28" s="73">
        <f>100-Z28</f>
        <v>98.9</v>
      </c>
      <c r="AB28" s="268"/>
      <c r="AC28" s="67" t="s">
        <v>32</v>
      </c>
      <c r="AD28" s="52">
        <v>42</v>
      </c>
      <c r="AE28" s="11">
        <v>26</v>
      </c>
      <c r="AF28" s="12">
        <f t="shared" si="0"/>
        <v>4.7666666666666666</v>
      </c>
    </row>
    <row r="29" spans="1:32" ht="21" thickBot="1" x14ac:dyDescent="0.35">
      <c r="A29" s="407" t="s">
        <v>32</v>
      </c>
      <c r="B29" s="408"/>
      <c r="C29" s="182">
        <v>0.33333333333333331</v>
      </c>
      <c r="D29" s="403">
        <v>0.46319444444444446</v>
      </c>
      <c r="E29" s="404"/>
      <c r="F29" s="409" t="s">
        <v>160</v>
      </c>
      <c r="G29" s="410"/>
      <c r="H29" s="345" t="s">
        <v>161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0.5</v>
      </c>
      <c r="AA29" s="73">
        <f>100-Z29</f>
        <v>99.5</v>
      </c>
      <c r="AB29" s="268"/>
      <c r="AC29" s="51" t="s">
        <v>35</v>
      </c>
      <c r="AD29" s="52">
        <v>33</v>
      </c>
      <c r="AE29" s="11">
        <v>27</v>
      </c>
      <c r="AF29" s="12">
        <f t="shared" si="0"/>
        <v>4.95</v>
      </c>
    </row>
    <row r="30" spans="1:32" ht="21" thickBot="1" x14ac:dyDescent="0.35">
      <c r="A30" s="407" t="s">
        <v>35</v>
      </c>
      <c r="B30" s="408"/>
      <c r="C30" s="182">
        <v>0.35625000000000001</v>
      </c>
      <c r="D30" s="403">
        <v>0.51874999999999993</v>
      </c>
      <c r="E30" s="404"/>
      <c r="F30" s="405" t="s">
        <v>162</v>
      </c>
      <c r="G30" s="406"/>
      <c r="H30" s="354" t="s">
        <v>163</v>
      </c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v>98.7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5.1333333333333337</v>
      </c>
    </row>
    <row r="31" spans="1:32" ht="21" thickBot="1" x14ac:dyDescent="0.35">
      <c r="A31" s="407" t="s">
        <v>30</v>
      </c>
      <c r="B31" s="408"/>
      <c r="C31" s="182">
        <v>0.59513888888888888</v>
      </c>
      <c r="D31" s="403">
        <v>0.70833333333333337</v>
      </c>
      <c r="E31" s="404"/>
      <c r="F31" s="409" t="s">
        <v>164</v>
      </c>
      <c r="G31" s="410"/>
      <c r="H31" s="345" t="s">
        <v>165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 t="s">
        <v>166</v>
      </c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/>
      <c r="AA32" s="70">
        <f>100-Z32</f>
        <v>100</v>
      </c>
      <c r="AB32" s="267">
        <v>0.79166666666666663</v>
      </c>
      <c r="AC32" s="62" t="s">
        <v>30</v>
      </c>
      <c r="AD32" s="50">
        <v>41</v>
      </c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>
        <v>1.2</v>
      </c>
      <c r="AA33" s="73">
        <f>100-Z33</f>
        <v>98.8</v>
      </c>
      <c r="AB33" s="268"/>
      <c r="AC33" s="51" t="s">
        <v>32</v>
      </c>
      <c r="AD33" s="52">
        <v>42</v>
      </c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2</v>
      </c>
      <c r="AA34" s="73">
        <f>100-Z34</f>
        <v>98</v>
      </c>
      <c r="AB34" s="268"/>
      <c r="AC34" s="67" t="s">
        <v>35</v>
      </c>
      <c r="AD34" s="52">
        <v>34</v>
      </c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2</v>
      </c>
      <c r="AA35" s="73">
        <f>100-Z35</f>
        <v>98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v>98.27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27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17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>
        <v>32</v>
      </c>
      <c r="E42" s="386"/>
      <c r="F42" s="387"/>
      <c r="G42" s="160"/>
      <c r="H42" s="397" t="s">
        <v>88</v>
      </c>
      <c r="I42" s="398"/>
      <c r="J42" s="164">
        <v>9.15</v>
      </c>
      <c r="K42" s="399">
        <v>9.07</v>
      </c>
      <c r="L42" s="400"/>
      <c r="M42" s="164">
        <v>9.81</v>
      </c>
      <c r="N42" s="165">
        <v>9.5500000000000007</v>
      </c>
      <c r="O42" s="165">
        <v>9.68</v>
      </c>
      <c r="P42" s="165">
        <v>9.77</v>
      </c>
      <c r="Q42" s="401">
        <f>AVERAGE(J42:P43)</f>
        <v>9.5050000000000008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187" t="s">
        <v>89</v>
      </c>
      <c r="B43" s="188"/>
      <c r="C43" s="188"/>
      <c r="D43" s="386">
        <v>2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12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193"/>
      <c r="X44" s="193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H29" sqref="H29:U29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6" width="11.14062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134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40.1</v>
      </c>
      <c r="Q5" s="29">
        <v>0</v>
      </c>
      <c r="R5" s="30">
        <v>42.284999999999997</v>
      </c>
      <c r="S5" s="30">
        <v>33</v>
      </c>
      <c r="T5" s="31">
        <v>13.48</v>
      </c>
      <c r="U5" s="32">
        <f>SUM(P5:T5)</f>
        <v>128.86499999999998</v>
      </c>
      <c r="V5" s="33"/>
      <c r="W5" s="21" t="s">
        <v>27</v>
      </c>
      <c r="X5" s="34">
        <v>513891.9</v>
      </c>
      <c r="Y5" s="34">
        <f>X5+P17</f>
        <v>514375.4</v>
      </c>
      <c r="Z5" s="35">
        <f>Y5-X5</f>
        <v>483.5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39.1</v>
      </c>
      <c r="Q6" s="29">
        <v>0</v>
      </c>
      <c r="R6" s="30">
        <v>39.729999999999997</v>
      </c>
      <c r="S6" s="30">
        <v>32</v>
      </c>
      <c r="T6" s="31">
        <v>12.76</v>
      </c>
      <c r="U6" s="32">
        <f t="shared" ref="U6:U16" si="1">SUM(P6:T6)</f>
        <v>123.59</v>
      </c>
      <c r="V6" s="44">
        <v>2</v>
      </c>
      <c r="W6" s="37" t="s">
        <v>28</v>
      </c>
      <c r="X6" s="45">
        <f>'04.01.26см2'!Y6</f>
        <v>811041.53899999999</v>
      </c>
      <c r="Y6" s="34">
        <f>X6+R17</f>
        <v>811491.53799999994</v>
      </c>
      <c r="Z6" s="46">
        <f>Y6-X6</f>
        <v>449.9989999999525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>
        <v>78</v>
      </c>
      <c r="C7" s="39">
        <v>67</v>
      </c>
      <c r="D7" s="39">
        <v>78</v>
      </c>
      <c r="E7" s="40">
        <v>61</v>
      </c>
      <c r="F7" s="41">
        <v>64</v>
      </c>
      <c r="G7" s="42">
        <v>48</v>
      </c>
      <c r="H7" s="41">
        <v>41</v>
      </c>
      <c r="I7" s="42"/>
      <c r="J7" s="41"/>
      <c r="K7" s="38">
        <v>64</v>
      </c>
      <c r="L7" s="43">
        <v>66</v>
      </c>
      <c r="M7" s="40">
        <v>54</v>
      </c>
      <c r="N7" s="42">
        <v>54</v>
      </c>
      <c r="O7" s="41">
        <v>61</v>
      </c>
      <c r="P7" s="28">
        <v>39.6</v>
      </c>
      <c r="Q7" s="29">
        <v>0</v>
      </c>
      <c r="R7" s="30">
        <v>38.906999999999996</v>
      </c>
      <c r="S7" s="30">
        <v>32</v>
      </c>
      <c r="T7" s="31">
        <v>13.43</v>
      </c>
      <c r="U7" s="32">
        <f t="shared" si="1"/>
        <v>123.93700000000001</v>
      </c>
      <c r="V7" s="44">
        <v>2</v>
      </c>
      <c r="W7" s="37" t="s">
        <v>29</v>
      </c>
      <c r="X7" s="48">
        <f>'04.01.26см2'!Y7</f>
        <v>504781</v>
      </c>
      <c r="Y7" s="34">
        <f>X7+S17</f>
        <v>505172</v>
      </c>
      <c r="Z7" s="46">
        <f>Y7-X7</f>
        <v>391</v>
      </c>
      <c r="AA7" s="47">
        <v>4</v>
      </c>
      <c r="AB7" s="267">
        <v>0.875</v>
      </c>
      <c r="AC7" s="49" t="s">
        <v>30</v>
      </c>
      <c r="AD7" s="50">
        <v>40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38.299999999999997</v>
      </c>
      <c r="Q8" s="29">
        <v>0</v>
      </c>
      <c r="R8" s="30">
        <v>31.63</v>
      </c>
      <c r="S8" s="30">
        <v>32</v>
      </c>
      <c r="T8" s="31">
        <v>13.09</v>
      </c>
      <c r="U8" s="32">
        <f t="shared" si="1"/>
        <v>115.02</v>
      </c>
      <c r="V8" s="44"/>
      <c r="W8" s="37" t="s">
        <v>31</v>
      </c>
      <c r="X8" s="46">
        <f>'04.01.26см2'!Y8</f>
        <v>1131.94</v>
      </c>
      <c r="Y8" s="34">
        <f>X8+T17</f>
        <v>1288.3000000000002</v>
      </c>
      <c r="Z8" s="46">
        <f>T17</f>
        <v>156.36000000000001</v>
      </c>
      <c r="AA8" s="47">
        <v>5</v>
      </c>
      <c r="AB8" s="268"/>
      <c r="AC8" s="51" t="s">
        <v>32</v>
      </c>
      <c r="AD8" s="52">
        <v>41</v>
      </c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42.5</v>
      </c>
      <c r="Q9" s="29">
        <v>0</v>
      </c>
      <c r="R9" s="30">
        <v>38.337000000000003</v>
      </c>
      <c r="S9" s="30">
        <v>34</v>
      </c>
      <c r="T9" s="31">
        <v>12.49</v>
      </c>
      <c r="U9" s="32">
        <f t="shared" si="1"/>
        <v>127.327</v>
      </c>
      <c r="V9" s="44">
        <v>1</v>
      </c>
      <c r="W9" s="37" t="s">
        <v>33</v>
      </c>
      <c r="X9" s="270" t="s">
        <v>34</v>
      </c>
      <c r="Y9" s="271"/>
      <c r="Z9" s="54">
        <f>SUM(Z5:Z8)</f>
        <v>1480.8589999999526</v>
      </c>
      <c r="AA9" s="55"/>
      <c r="AB9" s="268"/>
      <c r="AC9" s="51" t="s">
        <v>35</v>
      </c>
      <c r="AD9" s="52">
        <v>33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43.4</v>
      </c>
      <c r="Q10" s="29">
        <v>0</v>
      </c>
      <c r="R10" s="30">
        <v>39.307000000000002</v>
      </c>
      <c r="S10" s="30">
        <v>33</v>
      </c>
      <c r="T10" s="31">
        <v>13.69</v>
      </c>
      <c r="U10" s="32">
        <f t="shared" si="1"/>
        <v>129.39699999999999</v>
      </c>
      <c r="V10" s="44">
        <v>1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12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37.799999999999997</v>
      </c>
      <c r="Q11" s="29">
        <v>0</v>
      </c>
      <c r="R11" s="30">
        <v>39.162999999999997</v>
      </c>
      <c r="S11" s="30">
        <v>32</v>
      </c>
      <c r="T11" s="31">
        <v>12.53</v>
      </c>
      <c r="U11" s="32">
        <f t="shared" si="1"/>
        <v>121.49299999999999</v>
      </c>
      <c r="V11" s="44">
        <v>4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41.9</v>
      </c>
      <c r="Q12" s="29">
        <v>0</v>
      </c>
      <c r="R12" s="30">
        <v>42.502000000000002</v>
      </c>
      <c r="S12" s="30">
        <v>33</v>
      </c>
      <c r="T12" s="31">
        <v>13.14</v>
      </c>
      <c r="U12" s="32">
        <f t="shared" si="1"/>
        <v>130.542</v>
      </c>
      <c r="V12" s="44">
        <v>4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41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>
        <v>75</v>
      </c>
      <c r="C13" s="39">
        <v>64</v>
      </c>
      <c r="D13" s="39">
        <v>72</v>
      </c>
      <c r="E13" s="40">
        <v>57</v>
      </c>
      <c r="F13" s="41">
        <v>62</v>
      </c>
      <c r="G13" s="42">
        <v>46</v>
      </c>
      <c r="H13" s="41">
        <v>43</v>
      </c>
      <c r="I13" s="42"/>
      <c r="J13" s="41"/>
      <c r="K13" s="38">
        <v>64</v>
      </c>
      <c r="L13" s="43">
        <v>62</v>
      </c>
      <c r="M13" s="40">
        <v>50</v>
      </c>
      <c r="N13" s="42">
        <v>52</v>
      </c>
      <c r="O13" s="41">
        <v>64</v>
      </c>
      <c r="P13" s="53">
        <v>39.9</v>
      </c>
      <c r="Q13" s="29">
        <v>0</v>
      </c>
      <c r="R13" s="30">
        <v>37.28</v>
      </c>
      <c r="S13" s="30">
        <v>34</v>
      </c>
      <c r="T13" s="31">
        <v>12.69</v>
      </c>
      <c r="U13" s="32">
        <f t="shared" si="1"/>
        <v>123.87</v>
      </c>
      <c r="V13" s="44">
        <v>2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40</v>
      </c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39.4</v>
      </c>
      <c r="Q14" s="29">
        <v>0</v>
      </c>
      <c r="R14" s="30">
        <v>38.372</v>
      </c>
      <c r="S14" s="30">
        <v>33</v>
      </c>
      <c r="T14" s="31">
        <v>13.04</v>
      </c>
      <c r="U14" s="32">
        <f t="shared" si="1"/>
        <v>123.81199999999998</v>
      </c>
      <c r="V14" s="44"/>
      <c r="W14" s="37" t="s">
        <v>44</v>
      </c>
      <c r="X14" s="280">
        <v>0.91666666666666663</v>
      </c>
      <c r="Y14" s="192" t="s">
        <v>45</v>
      </c>
      <c r="Z14" s="69">
        <v>0.4</v>
      </c>
      <c r="AA14" s="70">
        <f>100-Z14</f>
        <v>99.6</v>
      </c>
      <c r="AB14" s="278"/>
      <c r="AC14" s="51" t="s">
        <v>35</v>
      </c>
      <c r="AD14" s="52">
        <v>32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40.700000000000003</v>
      </c>
      <c r="Q15" s="29">
        <v>0</v>
      </c>
      <c r="R15" s="30">
        <v>20.965</v>
      </c>
      <c r="S15" s="30">
        <v>33</v>
      </c>
      <c r="T15" s="31">
        <v>13.3</v>
      </c>
      <c r="U15" s="32">
        <f t="shared" si="1"/>
        <v>107.965</v>
      </c>
      <c r="V15" s="44">
        <v>3</v>
      </c>
      <c r="W15" s="37" t="s">
        <v>46</v>
      </c>
      <c r="X15" s="281"/>
      <c r="Y15" s="71" t="s">
        <v>47</v>
      </c>
      <c r="Z15" s="72">
        <v>0.6</v>
      </c>
      <c r="AA15" s="73">
        <f>100-Z15</f>
        <v>99.4</v>
      </c>
      <c r="AB15" s="279"/>
      <c r="AC15" s="74" t="s">
        <v>37</v>
      </c>
      <c r="AD15" s="58">
        <v>11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40.799999999999997</v>
      </c>
      <c r="Q16" s="29">
        <v>0</v>
      </c>
      <c r="R16" s="30">
        <v>41.521000000000001</v>
      </c>
      <c r="S16" s="30">
        <v>30</v>
      </c>
      <c r="T16" s="82">
        <v>12.72</v>
      </c>
      <c r="U16" s="32">
        <f t="shared" si="1"/>
        <v>125.041</v>
      </c>
      <c r="V16" s="83">
        <v>1</v>
      </c>
      <c r="W16" s="75" t="s">
        <v>48</v>
      </c>
      <c r="X16" s="281"/>
      <c r="Y16" s="71" t="s">
        <v>49</v>
      </c>
      <c r="Z16" s="72">
        <v>0.9</v>
      </c>
      <c r="AA16" s="73">
        <f>100-Z16</f>
        <v>99.1</v>
      </c>
      <c r="AB16" s="190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76.5</v>
      </c>
      <c r="C17" s="88">
        <f>AVERAGE(C5:C16)</f>
        <v>65.5</v>
      </c>
      <c r="D17" s="88">
        <f>AVERAGE(D5:D15)</f>
        <v>75</v>
      </c>
      <c r="E17" s="88">
        <f>AVERAGE(E5:E15)</f>
        <v>59</v>
      </c>
      <c r="F17" s="88">
        <f>AVERAGE(F5:F15)</f>
        <v>63</v>
      </c>
      <c r="G17" s="88">
        <f>AVERAGE(G5:G16)</f>
        <v>47</v>
      </c>
      <c r="H17" s="88">
        <f>AVERAGE(H5:H16)</f>
        <v>42</v>
      </c>
      <c r="I17" s="88" t="e">
        <f t="shared" ref="I17:N17" si="2">AVERAGE(I5:I15)</f>
        <v>#DIV/0!</v>
      </c>
      <c r="J17" s="88" t="e">
        <f t="shared" si="2"/>
        <v>#DIV/0!</v>
      </c>
      <c r="K17" s="88">
        <f t="shared" si="2"/>
        <v>64</v>
      </c>
      <c r="L17" s="88">
        <f t="shared" si="2"/>
        <v>64</v>
      </c>
      <c r="M17" s="89">
        <f t="shared" si="2"/>
        <v>52</v>
      </c>
      <c r="N17" s="89">
        <f t="shared" si="2"/>
        <v>53</v>
      </c>
      <c r="O17" s="89">
        <f>AVERAGE(O5:O16)</f>
        <v>62.5</v>
      </c>
      <c r="P17" s="90">
        <f>SUM(P5:P16)</f>
        <v>483.49999999999994</v>
      </c>
      <c r="Q17" s="91">
        <f>SUM(Q5:Q16)</f>
        <v>0</v>
      </c>
      <c r="R17" s="92">
        <f>SUM(R5:R16)</f>
        <v>449.99900000000008</v>
      </c>
      <c r="S17" s="93">
        <f>SUM(S5:S16)</f>
        <v>391</v>
      </c>
      <c r="T17" s="93">
        <f>SUM(T5:T16)</f>
        <v>156.36000000000001</v>
      </c>
      <c r="U17" s="94">
        <f>SUM(P17:T17)</f>
        <v>1480.8589999999999</v>
      </c>
      <c r="V17" s="1">
        <f>SUM(V5:V16)</f>
        <v>20</v>
      </c>
      <c r="W17" s="4"/>
      <c r="X17" s="281"/>
      <c r="Y17" s="71" t="s">
        <v>51</v>
      </c>
      <c r="Z17" s="95">
        <v>0.3</v>
      </c>
      <c r="AA17" s="73">
        <f>100-Z17</f>
        <v>99.7</v>
      </c>
      <c r="AB17" s="283">
        <v>4.1666666666666664E-2</v>
      </c>
      <c r="AC17" s="62" t="s">
        <v>30</v>
      </c>
      <c r="AD17" s="50">
        <v>41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99.45</v>
      </c>
      <c r="AB18" s="278"/>
      <c r="AC18" s="51" t="s">
        <v>32</v>
      </c>
      <c r="AD18" s="52">
        <v>40</v>
      </c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167</v>
      </c>
      <c r="J19" s="259"/>
      <c r="K19" s="259"/>
      <c r="L19" s="260"/>
      <c r="M19" s="261" t="s">
        <v>57</v>
      </c>
      <c r="N19" s="262"/>
      <c r="O19" s="263"/>
      <c r="P19" s="105">
        <v>2.2000000000000002</v>
      </c>
      <c r="Q19" s="106"/>
      <c r="R19" s="107">
        <v>2.2000000000000002</v>
      </c>
      <c r="S19" s="107">
        <v>2.7</v>
      </c>
      <c r="T19" s="107">
        <v>2.4</v>
      </c>
      <c r="U19" s="108">
        <f>(U17-U20)/U17*100</f>
        <v>2.3531354436850527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34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30</v>
      </c>
      <c r="B20" s="295"/>
      <c r="C20" s="44">
        <v>70</v>
      </c>
      <c r="D20" s="296">
        <v>0.25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472.86299999999994</v>
      </c>
      <c r="Q20" s="113"/>
      <c r="R20" s="114">
        <f>(R17-(R17*R19/100))</f>
        <v>440.0990220000001</v>
      </c>
      <c r="S20" s="112">
        <f>(S17-(S17*S19/100))</f>
        <v>380.44299999999998</v>
      </c>
      <c r="T20" s="112">
        <f>(T17-(T17*T19/100))</f>
        <v>152.60736</v>
      </c>
      <c r="U20" s="115">
        <f>P20+Q20+R20+S20+T20</f>
        <v>1446.0123819999999</v>
      </c>
      <c r="V20" s="4"/>
      <c r="W20" s="4"/>
      <c r="X20" s="281"/>
      <c r="Y20" s="192" t="s">
        <v>45</v>
      </c>
      <c r="Z20" s="69">
        <v>1</v>
      </c>
      <c r="AA20" s="70">
        <f>100-Z20</f>
        <v>99</v>
      </c>
      <c r="AB20" s="279"/>
      <c r="AC20" s="74" t="s">
        <v>37</v>
      </c>
      <c r="AD20" s="58">
        <v>11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61</v>
      </c>
      <c r="B21" s="295"/>
      <c r="C21" s="44">
        <v>30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50</v>
      </c>
      <c r="K21" s="118"/>
      <c r="L21" s="119"/>
      <c r="M21" s="307" t="s">
        <v>63</v>
      </c>
      <c r="N21" s="308"/>
      <c r="O21" s="309"/>
      <c r="P21" s="120">
        <f>(U17-(U17*U19/100))</f>
        <v>1446.0123819999999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1.7</v>
      </c>
      <c r="AA21" s="73">
        <f>100-Z21</f>
        <v>98.3</v>
      </c>
      <c r="AB21" s="190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32</v>
      </c>
      <c r="B22" s="295"/>
      <c r="C22" s="44">
        <v>70</v>
      </c>
      <c r="D22" s="296">
        <v>0.25</v>
      </c>
      <c r="E22" s="297"/>
      <c r="F22" s="298" t="s">
        <v>58</v>
      </c>
      <c r="G22" s="299"/>
      <c r="H22" s="4"/>
      <c r="I22" s="125">
        <v>100</v>
      </c>
      <c r="J22" s="126">
        <f>I22-J21</f>
        <v>50</v>
      </c>
      <c r="K22" s="316">
        <f>J22/I22*100</f>
        <v>50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1.4</v>
      </c>
      <c r="AA22" s="73">
        <f>100-Z22</f>
        <v>98.6</v>
      </c>
      <c r="AB22" s="283">
        <v>0.125</v>
      </c>
      <c r="AC22" s="49" t="s">
        <v>30</v>
      </c>
      <c r="AD22" s="50">
        <v>40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 t="s">
        <v>35</v>
      </c>
      <c r="B23" s="295"/>
      <c r="C23" s="44">
        <v>70</v>
      </c>
      <c r="D23" s="296">
        <v>0.25</v>
      </c>
      <c r="E23" s="297"/>
      <c r="F23" s="298" t="s">
        <v>58</v>
      </c>
      <c r="G23" s="299"/>
      <c r="H23" s="4"/>
      <c r="I23" s="133" t="s">
        <v>66</v>
      </c>
      <c r="J23" s="134">
        <v>30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1.2</v>
      </c>
      <c r="AA23" s="73">
        <f>100-Z23</f>
        <v>98.8</v>
      </c>
      <c r="AB23" s="278"/>
      <c r="AC23" s="51" t="s">
        <v>32</v>
      </c>
      <c r="AD23" s="52">
        <v>40</v>
      </c>
      <c r="AE23" s="11">
        <v>21</v>
      </c>
      <c r="AF23" s="12">
        <f t="shared" si="0"/>
        <v>14</v>
      </c>
    </row>
    <row r="24" spans="1:32" ht="16.5" thickBot="1" x14ac:dyDescent="0.3">
      <c r="A24" s="294" t="s">
        <v>37</v>
      </c>
      <c r="B24" s="295"/>
      <c r="C24" s="44">
        <v>70</v>
      </c>
      <c r="D24" s="296">
        <v>0.2</v>
      </c>
      <c r="E24" s="297"/>
      <c r="F24" s="298" t="s">
        <v>58</v>
      </c>
      <c r="G24" s="299"/>
      <c r="H24" s="4"/>
      <c r="I24" s="136">
        <v>100</v>
      </c>
      <c r="J24" s="121">
        <f>I24-J23</f>
        <v>70</v>
      </c>
      <c r="K24" s="316">
        <f>J24/I24*100</f>
        <v>70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98.674999999999997</v>
      </c>
      <c r="AB24" s="278"/>
      <c r="AC24" s="51" t="s">
        <v>35</v>
      </c>
      <c r="AD24" s="52">
        <v>32</v>
      </c>
      <c r="AE24" s="11">
        <v>22</v>
      </c>
      <c r="AF24" s="12">
        <f t="shared" si="0"/>
        <v>14.666666666666666</v>
      </c>
    </row>
    <row r="25" spans="1:32" ht="16.5" thickBot="1" x14ac:dyDescent="0.3">
      <c r="A25" s="294" t="s">
        <v>32</v>
      </c>
      <c r="B25" s="295"/>
      <c r="C25" s="44">
        <v>70</v>
      </c>
      <c r="D25" s="296">
        <v>1</v>
      </c>
      <c r="E25" s="297"/>
      <c r="F25" s="298" t="s">
        <v>58</v>
      </c>
      <c r="G25" s="299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 t="s">
        <v>65</v>
      </c>
      <c r="X25" s="280">
        <v>0.125</v>
      </c>
      <c r="Z25" s="65"/>
      <c r="AA25" s="109" t="s">
        <v>43</v>
      </c>
      <c r="AB25" s="269"/>
      <c r="AC25" s="57" t="s">
        <v>37</v>
      </c>
      <c r="AD25" s="58">
        <v>11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0.9</v>
      </c>
      <c r="AA26" s="70">
        <f>100-Z26</f>
        <v>99.1</v>
      </c>
      <c r="AB26" s="189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1</v>
      </c>
      <c r="AA27" s="73">
        <f>100-Z27</f>
        <v>99</v>
      </c>
      <c r="AB27" s="267">
        <v>0.20833333333333334</v>
      </c>
      <c r="AC27" s="62" t="s">
        <v>30</v>
      </c>
      <c r="AD27" s="50">
        <v>42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 t="s">
        <v>76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1.2</v>
      </c>
      <c r="AA28" s="73">
        <f>100-Z28</f>
        <v>98.8</v>
      </c>
      <c r="AB28" s="268"/>
      <c r="AC28" s="67" t="s">
        <v>32</v>
      </c>
      <c r="AD28" s="52">
        <v>40</v>
      </c>
      <c r="AE28" s="11">
        <v>26</v>
      </c>
      <c r="AF28" s="12">
        <f t="shared" si="0"/>
        <v>17.333333333333332</v>
      </c>
    </row>
    <row r="29" spans="1:32" ht="19.5" thickBot="1" x14ac:dyDescent="0.35">
      <c r="A29" s="411"/>
      <c r="B29" s="412"/>
      <c r="C29" s="182"/>
      <c r="D29" s="403"/>
      <c r="E29" s="404"/>
      <c r="F29" s="409"/>
      <c r="G29" s="410"/>
      <c r="H29" s="345" t="s">
        <v>171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 t="s">
        <v>78</v>
      </c>
      <c r="X29" s="281"/>
      <c r="Y29" s="71" t="s">
        <v>51</v>
      </c>
      <c r="Z29" s="145">
        <v>1.3</v>
      </c>
      <c r="AA29" s="73">
        <f>100-Z29</f>
        <v>98.7</v>
      </c>
      <c r="AB29" s="268"/>
      <c r="AC29" s="51" t="s">
        <v>35</v>
      </c>
      <c r="AD29" s="52">
        <v>34</v>
      </c>
      <c r="AE29" s="11">
        <v>27</v>
      </c>
      <c r="AF29" s="12">
        <f t="shared" si="0"/>
        <v>18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45" t="s">
        <v>168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98.899999999999991</v>
      </c>
      <c r="AB30" s="269"/>
      <c r="AC30" s="74" t="s">
        <v>37</v>
      </c>
      <c r="AD30" s="58">
        <v>12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411" t="s">
        <v>32</v>
      </c>
      <c r="B31" s="412"/>
      <c r="C31" s="182">
        <v>0.27291666666666664</v>
      </c>
      <c r="D31" s="403">
        <v>0.28680555555555554</v>
      </c>
      <c r="E31" s="404"/>
      <c r="F31" s="409" t="s">
        <v>169</v>
      </c>
      <c r="G31" s="410"/>
      <c r="H31" s="345" t="s">
        <v>170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1.5</v>
      </c>
      <c r="AA32" s="70">
        <f>100-Z32</f>
        <v>98.5</v>
      </c>
      <c r="AB32" s="267">
        <v>0.29166666666666669</v>
      </c>
      <c r="AC32" s="62" t="s">
        <v>30</v>
      </c>
      <c r="AD32" s="50">
        <v>42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78</v>
      </c>
      <c r="W33" s="96"/>
      <c r="X33" s="281"/>
      <c r="Y33" s="44" t="s">
        <v>47</v>
      </c>
      <c r="Z33" s="72">
        <v>1.3</v>
      </c>
      <c r="AA33" s="73">
        <f>100-Z33</f>
        <v>98.7</v>
      </c>
      <c r="AB33" s="268"/>
      <c r="AC33" s="51" t="s">
        <v>32</v>
      </c>
      <c r="AD33" s="52">
        <v>39</v>
      </c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1.8</v>
      </c>
      <c r="AA34" s="73">
        <f>100-Z34</f>
        <v>98.2</v>
      </c>
      <c r="AB34" s="268"/>
      <c r="AC34" s="67" t="s">
        <v>35</v>
      </c>
      <c r="AD34" s="52">
        <v>33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1.2</v>
      </c>
      <c r="AA35" s="73">
        <f>100-Z35</f>
        <v>98.8</v>
      </c>
      <c r="AB35" s="269"/>
      <c r="AC35" s="74" t="s">
        <v>37</v>
      </c>
      <c r="AD35" s="58">
        <v>12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 t="s">
        <v>65</v>
      </c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98.55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12</v>
      </c>
      <c r="E40" s="362"/>
      <c r="F40" s="363"/>
      <c r="G40" s="160"/>
      <c r="V40" s="4"/>
      <c r="W40" s="161"/>
      <c r="X40" t="s">
        <v>65</v>
      </c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20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>
        <v>9.66</v>
      </c>
      <c r="K42" s="399">
        <v>9.89</v>
      </c>
      <c r="L42" s="400"/>
      <c r="M42" s="164">
        <v>10.15</v>
      </c>
      <c r="N42" s="165">
        <v>9.6300000000000008</v>
      </c>
      <c r="O42" s="165">
        <v>9.86</v>
      </c>
      <c r="P42" s="165">
        <v>9.56</v>
      </c>
      <c r="Q42" s="401">
        <f>AVERAGE(J42:P43)</f>
        <v>9.7916666666666679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187" t="s">
        <v>89</v>
      </c>
      <c r="B43" s="188"/>
      <c r="C43" s="188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Y43" t="s">
        <v>65</v>
      </c>
      <c r="Z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32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193" t="s">
        <v>92</v>
      </c>
      <c r="S44" s="193"/>
      <c r="T44" s="193"/>
      <c r="U44" s="193"/>
      <c r="V44" s="193"/>
      <c r="W44" s="193"/>
      <c r="X44" s="193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H29" sqref="H29:U29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7109375" customWidth="1"/>
    <col min="19" max="19" width="10.140625" customWidth="1"/>
    <col min="20" max="20" width="9.85546875" customWidth="1"/>
    <col min="21" max="23" width="10.7109375" customWidth="1"/>
    <col min="24" max="24" width="18.7109375" customWidth="1"/>
    <col min="25" max="25" width="22.42578125" customWidth="1"/>
    <col min="26" max="26" width="16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134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33.799999999999997</v>
      </c>
      <c r="Q5" s="29">
        <v>0</v>
      </c>
      <c r="R5" s="30">
        <v>32.573999999999998</v>
      </c>
      <c r="S5" s="30">
        <v>29</v>
      </c>
      <c r="T5" s="31">
        <v>12.51</v>
      </c>
      <c r="U5" s="32">
        <f>SUM(P5:T5)</f>
        <v>107.884</v>
      </c>
      <c r="V5" s="33"/>
      <c r="W5" s="21" t="s">
        <v>93</v>
      </c>
      <c r="X5" s="34">
        <v>514375.4</v>
      </c>
      <c r="Y5" s="34">
        <f>X5+P17</f>
        <v>514818.30000000005</v>
      </c>
      <c r="Z5" s="35">
        <f>Y5-X5</f>
        <v>442.90000000002328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32.700000000000003</v>
      </c>
      <c r="Q6" s="29">
        <v>0</v>
      </c>
      <c r="R6" s="30">
        <v>34.665999999999997</v>
      </c>
      <c r="S6" s="30">
        <v>29</v>
      </c>
      <c r="T6" s="31">
        <v>12.41</v>
      </c>
      <c r="U6" s="32">
        <f t="shared" ref="U6:U16" si="1">SUM(P6:T6)</f>
        <v>108.776</v>
      </c>
      <c r="V6" s="44">
        <v>1</v>
      </c>
      <c r="W6" s="37" t="s">
        <v>94</v>
      </c>
      <c r="X6" s="45">
        <v>811491.53799999994</v>
      </c>
      <c r="Y6" s="34">
        <f>X6+R17</f>
        <v>811966.44299999997</v>
      </c>
      <c r="Z6" s="46">
        <f>Y6-X6</f>
        <v>474.90500000002794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>
        <v>64</v>
      </c>
      <c r="C7" s="39"/>
      <c r="D7" s="39">
        <v>66</v>
      </c>
      <c r="E7" s="40">
        <v>54</v>
      </c>
      <c r="F7" s="41">
        <v>59</v>
      </c>
      <c r="G7" s="42">
        <v>40</v>
      </c>
      <c r="H7" s="41"/>
      <c r="I7" s="42">
        <v>29</v>
      </c>
      <c r="J7" s="41"/>
      <c r="K7" s="38">
        <v>44</v>
      </c>
      <c r="L7" s="43">
        <v>51</v>
      </c>
      <c r="M7" s="40">
        <v>50</v>
      </c>
      <c r="N7" s="42">
        <v>60</v>
      </c>
      <c r="O7" s="41"/>
      <c r="P7" s="28">
        <v>28.6</v>
      </c>
      <c r="Q7" s="29">
        <v>0</v>
      </c>
      <c r="R7" s="30">
        <v>34.743000000000002</v>
      </c>
      <c r="S7" s="30">
        <v>30</v>
      </c>
      <c r="T7" s="31">
        <v>11.56</v>
      </c>
      <c r="U7" s="32">
        <f t="shared" si="1"/>
        <v>104.90300000000001</v>
      </c>
      <c r="V7" s="44">
        <v>2</v>
      </c>
      <c r="W7" s="37" t="s">
        <v>95</v>
      </c>
      <c r="X7" s="48">
        <v>505172</v>
      </c>
      <c r="Y7" s="34">
        <f>X7+S17</f>
        <v>505529</v>
      </c>
      <c r="Z7" s="46">
        <f>Y7-X7</f>
        <v>357</v>
      </c>
      <c r="AA7" s="47">
        <v>4</v>
      </c>
      <c r="AB7" s="267">
        <v>0.375</v>
      </c>
      <c r="AC7" s="49" t="s">
        <v>30</v>
      </c>
      <c r="AD7" s="50">
        <v>36</v>
      </c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33.9</v>
      </c>
      <c r="Q8" s="29">
        <v>0</v>
      </c>
      <c r="R8" s="30">
        <v>36.043999999999997</v>
      </c>
      <c r="S8" s="30">
        <v>29</v>
      </c>
      <c r="T8" s="31">
        <v>10</v>
      </c>
      <c r="U8" s="32">
        <f t="shared" si="1"/>
        <v>108.94399999999999</v>
      </c>
      <c r="V8" s="44">
        <v>3</v>
      </c>
      <c r="W8" s="37" t="s">
        <v>96</v>
      </c>
      <c r="X8" s="46">
        <v>1288.3</v>
      </c>
      <c r="Y8" s="34">
        <f>X8+T17</f>
        <v>1424.45</v>
      </c>
      <c r="Z8" s="46">
        <f>T17</f>
        <v>136.15</v>
      </c>
      <c r="AA8" s="47">
        <v>5</v>
      </c>
      <c r="AB8" s="268"/>
      <c r="AC8" s="51" t="s">
        <v>32</v>
      </c>
      <c r="AD8" s="52">
        <v>35</v>
      </c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37.200000000000003</v>
      </c>
      <c r="Q9" s="29">
        <v>0</v>
      </c>
      <c r="R9" s="30">
        <v>39.106999999999999</v>
      </c>
      <c r="S9" s="30">
        <v>29</v>
      </c>
      <c r="T9" s="31">
        <v>10</v>
      </c>
      <c r="U9" s="32">
        <f t="shared" si="1"/>
        <v>115.307</v>
      </c>
      <c r="V9" s="44">
        <v>1</v>
      </c>
      <c r="W9" s="37" t="s">
        <v>97</v>
      </c>
      <c r="X9" s="270" t="s">
        <v>34</v>
      </c>
      <c r="Y9" s="271"/>
      <c r="Z9" s="54">
        <f>SUM(Z5:Z8)</f>
        <v>1410.9550000000513</v>
      </c>
      <c r="AA9" s="55"/>
      <c r="AB9" s="268"/>
      <c r="AC9" s="51" t="s">
        <v>35</v>
      </c>
      <c r="AD9" s="52">
        <v>29</v>
      </c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38.6</v>
      </c>
      <c r="Q10" s="29">
        <v>0</v>
      </c>
      <c r="R10" s="30">
        <v>44.713000000000001</v>
      </c>
      <c r="S10" s="30">
        <v>29</v>
      </c>
      <c r="T10" s="31">
        <v>11</v>
      </c>
      <c r="U10" s="32">
        <f t="shared" si="1"/>
        <v>123.313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10</v>
      </c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>
        <v>62</v>
      </c>
      <c r="D11" s="39"/>
      <c r="E11" s="40"/>
      <c r="F11" s="41"/>
      <c r="G11" s="42"/>
      <c r="H11" s="41">
        <v>39</v>
      </c>
      <c r="I11" s="42"/>
      <c r="J11" s="41"/>
      <c r="K11" s="38"/>
      <c r="L11" s="43"/>
      <c r="M11" s="40"/>
      <c r="N11" s="42"/>
      <c r="O11" s="41">
        <v>67</v>
      </c>
      <c r="P11" s="53">
        <v>37.5</v>
      </c>
      <c r="Q11" s="29">
        <v>0</v>
      </c>
      <c r="R11" s="30">
        <v>43.295999999999999</v>
      </c>
      <c r="S11" s="30">
        <v>30</v>
      </c>
      <c r="T11" s="31">
        <v>10.59</v>
      </c>
      <c r="U11" s="32">
        <f t="shared" si="1"/>
        <v>121.386</v>
      </c>
      <c r="V11" s="44">
        <v>2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40.9</v>
      </c>
      <c r="Q12" s="29">
        <v>0</v>
      </c>
      <c r="R12" s="30">
        <v>43.7</v>
      </c>
      <c r="S12" s="30">
        <v>29</v>
      </c>
      <c r="T12" s="31">
        <v>11.15</v>
      </c>
      <c r="U12" s="32">
        <f t="shared" si="1"/>
        <v>124.75</v>
      </c>
      <c r="V12" s="44">
        <v>3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>
        <v>37</v>
      </c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>
        <v>69</v>
      </c>
      <c r="C13" s="39">
        <v>62</v>
      </c>
      <c r="D13" s="39">
        <v>72</v>
      </c>
      <c r="E13" s="40">
        <v>54</v>
      </c>
      <c r="F13" s="41">
        <v>60</v>
      </c>
      <c r="G13" s="42">
        <v>47</v>
      </c>
      <c r="H13" s="41">
        <v>38</v>
      </c>
      <c r="I13" s="42">
        <v>25</v>
      </c>
      <c r="J13" s="41"/>
      <c r="K13" s="38">
        <v>51</v>
      </c>
      <c r="L13" s="43">
        <v>54</v>
      </c>
      <c r="M13" s="40">
        <v>49</v>
      </c>
      <c r="N13" s="42">
        <v>44</v>
      </c>
      <c r="O13" s="41">
        <v>65</v>
      </c>
      <c r="P13" s="53">
        <v>40.9</v>
      </c>
      <c r="Q13" s="29">
        <v>0</v>
      </c>
      <c r="R13" s="30">
        <v>42.829000000000001</v>
      </c>
      <c r="S13" s="30">
        <v>31</v>
      </c>
      <c r="T13" s="31">
        <v>11.71</v>
      </c>
      <c r="U13" s="32">
        <f t="shared" si="1"/>
        <v>126.43899999999999</v>
      </c>
      <c r="V13" s="44">
        <v>5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37</v>
      </c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38.4</v>
      </c>
      <c r="Q14" s="29">
        <v>0</v>
      </c>
      <c r="R14" s="30">
        <v>41.863</v>
      </c>
      <c r="S14" s="30">
        <v>30</v>
      </c>
      <c r="T14" s="31">
        <v>13.47</v>
      </c>
      <c r="U14" s="32">
        <f t="shared" si="1"/>
        <v>123.733</v>
      </c>
      <c r="V14" s="44">
        <v>5</v>
      </c>
      <c r="W14" s="37" t="s">
        <v>102</v>
      </c>
      <c r="X14" s="280">
        <v>0.41666666666666669</v>
      </c>
      <c r="Y14" s="192" t="s">
        <v>45</v>
      </c>
      <c r="Z14" s="69">
        <v>1.6</v>
      </c>
      <c r="AA14" s="70">
        <f>100-Z14</f>
        <v>98.4</v>
      </c>
      <c r="AB14" s="278"/>
      <c r="AC14" s="51" t="s">
        <v>35</v>
      </c>
      <c r="AD14" s="52">
        <v>30</v>
      </c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40.799999999999997</v>
      </c>
      <c r="Q15" s="29">
        <v>0</v>
      </c>
      <c r="R15" s="30">
        <v>41.747</v>
      </c>
      <c r="S15" s="30">
        <v>32</v>
      </c>
      <c r="T15" s="31">
        <v>11.88</v>
      </c>
      <c r="U15" s="32">
        <f t="shared" si="1"/>
        <v>126.42699999999999</v>
      </c>
      <c r="V15" s="44">
        <v>3</v>
      </c>
      <c r="W15" s="37" t="s">
        <v>103</v>
      </c>
      <c r="X15" s="281"/>
      <c r="Y15" s="71" t="s">
        <v>47</v>
      </c>
      <c r="Z15" s="72">
        <v>0.9</v>
      </c>
      <c r="AA15" s="73">
        <f>100-Z15</f>
        <v>99.1</v>
      </c>
      <c r="AB15" s="279"/>
      <c r="AC15" s="74" t="s">
        <v>37</v>
      </c>
      <c r="AD15" s="58">
        <v>10</v>
      </c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39.6</v>
      </c>
      <c r="Q16" s="29">
        <v>0</v>
      </c>
      <c r="R16" s="30">
        <v>39.622999999999998</v>
      </c>
      <c r="S16" s="30">
        <v>30</v>
      </c>
      <c r="T16" s="82">
        <v>9.8699999999999992</v>
      </c>
      <c r="U16" s="32">
        <f t="shared" si="1"/>
        <v>119.093</v>
      </c>
      <c r="V16" s="83">
        <v>2</v>
      </c>
      <c r="W16" s="75" t="s">
        <v>104</v>
      </c>
      <c r="X16" s="281"/>
      <c r="Y16" s="71" t="s">
        <v>49</v>
      </c>
      <c r="Z16" s="72">
        <v>3.7</v>
      </c>
      <c r="AA16" s="73">
        <f>100-Z16</f>
        <v>96.3</v>
      </c>
      <c r="AB16" s="190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>
        <f>AVERAGE(B5:B15)</f>
        <v>66.5</v>
      </c>
      <c r="C17" s="88">
        <f>AVERAGE(C5:C16)</f>
        <v>62</v>
      </c>
      <c r="D17" s="88">
        <f>AVERAGE(D5:D15)</f>
        <v>69</v>
      </c>
      <c r="E17" s="88">
        <f>AVERAGE(E5:E15)</f>
        <v>54</v>
      </c>
      <c r="F17" s="88">
        <f>AVERAGE(F5:F15)</f>
        <v>59.5</v>
      </c>
      <c r="G17" s="88">
        <f>AVERAGE(G5:G16)</f>
        <v>43.5</v>
      </c>
      <c r="H17" s="88">
        <f>AVERAGE(H5:H16)</f>
        <v>38.5</v>
      </c>
      <c r="I17" s="88">
        <f t="shared" ref="I17:N17" si="2">AVERAGE(I5:I15)</f>
        <v>27</v>
      </c>
      <c r="J17" s="88" t="e">
        <f t="shared" si="2"/>
        <v>#DIV/0!</v>
      </c>
      <c r="K17" s="88">
        <f t="shared" si="2"/>
        <v>47.5</v>
      </c>
      <c r="L17" s="88">
        <f t="shared" si="2"/>
        <v>52.5</v>
      </c>
      <c r="M17" s="89">
        <f t="shared" si="2"/>
        <v>49.5</v>
      </c>
      <c r="N17" s="89">
        <f t="shared" si="2"/>
        <v>52</v>
      </c>
      <c r="O17" s="89">
        <f>AVERAGE(O5:O16)</f>
        <v>66</v>
      </c>
      <c r="P17" s="90">
        <f>SUM(P5:P16)</f>
        <v>442.9</v>
      </c>
      <c r="Q17" s="91">
        <f>SUM(Q5:Q16)</f>
        <v>0</v>
      </c>
      <c r="R17" s="92">
        <f>SUM(R5:R16)</f>
        <v>474.90499999999997</v>
      </c>
      <c r="S17" s="93">
        <f>SUM(S5:S16)</f>
        <v>357</v>
      </c>
      <c r="T17" s="93">
        <f>SUM(T5:T16)</f>
        <v>136.15</v>
      </c>
      <c r="U17" s="94">
        <f>SUM(P17:T17)</f>
        <v>1410.9549999999999</v>
      </c>
      <c r="V17" s="1">
        <f>SUM(V5:V16)</f>
        <v>27</v>
      </c>
      <c r="W17" s="4"/>
      <c r="X17" s="281"/>
      <c r="Y17" s="71" t="s">
        <v>51</v>
      </c>
      <c r="Z17" s="95">
        <v>2</v>
      </c>
      <c r="AA17" s="73">
        <f>100-Z17</f>
        <v>98</v>
      </c>
      <c r="AB17" s="283">
        <v>0.54166666666666663</v>
      </c>
      <c r="AC17" s="62" t="s">
        <v>30</v>
      </c>
      <c r="AD17" s="50">
        <v>41</v>
      </c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97.95</v>
      </c>
      <c r="AB18" s="278"/>
      <c r="AC18" s="51" t="s">
        <v>32</v>
      </c>
      <c r="AD18" s="52">
        <v>41</v>
      </c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135</v>
      </c>
      <c r="J19" s="259"/>
      <c r="K19" s="259"/>
      <c r="L19" s="260"/>
      <c r="M19" s="261" t="s">
        <v>57</v>
      </c>
      <c r="N19" s="262"/>
      <c r="O19" s="263"/>
      <c r="P19" s="105">
        <v>2.7</v>
      </c>
      <c r="Q19" s="106"/>
      <c r="R19" s="107">
        <v>2.1</v>
      </c>
      <c r="S19" s="107">
        <v>2.2999999999999998</v>
      </c>
      <c r="T19" s="107">
        <v>2.6</v>
      </c>
      <c r="U19" s="108">
        <f>(U17-U20)/U17*100</f>
        <v>2.3871920082497207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30</v>
      </c>
      <c r="AE19" s="11">
        <v>17</v>
      </c>
      <c r="AF19" s="12">
        <f t="shared" si="0"/>
        <v>3.1166666666666667</v>
      </c>
    </row>
    <row r="20" spans="1:32" ht="16.5" thickBot="1" x14ac:dyDescent="0.3">
      <c r="A20" s="294" t="s">
        <v>30</v>
      </c>
      <c r="B20" s="295"/>
      <c r="C20" s="44">
        <v>70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430.94169999999997</v>
      </c>
      <c r="Q20" s="113"/>
      <c r="R20" s="114">
        <f>(R17-(R17*R19/100))</f>
        <v>464.93199499999997</v>
      </c>
      <c r="S20" s="112">
        <f>(S17-(S17*S19/100))</f>
        <v>348.78899999999999</v>
      </c>
      <c r="T20" s="112">
        <f>(T17-(T17*T19/100))</f>
        <v>132.61010000000002</v>
      </c>
      <c r="U20" s="115">
        <f>P20+Q20+R20+S20+T20</f>
        <v>1377.2727950000001</v>
      </c>
      <c r="V20" s="4"/>
      <c r="W20" s="4"/>
      <c r="X20" s="281"/>
      <c r="Y20" s="192" t="s">
        <v>45</v>
      </c>
      <c r="Z20" s="69">
        <v>1.2</v>
      </c>
      <c r="AA20" s="70">
        <f>100-Z20</f>
        <v>98.8</v>
      </c>
      <c r="AB20" s="279"/>
      <c r="AC20" s="74" t="s">
        <v>37</v>
      </c>
      <c r="AD20" s="58">
        <v>10</v>
      </c>
      <c r="AE20" s="11">
        <v>18</v>
      </c>
      <c r="AF20" s="12">
        <f t="shared" si="0"/>
        <v>3.3</v>
      </c>
    </row>
    <row r="21" spans="1:32" ht="19.5" thickBot="1" x14ac:dyDescent="0.3">
      <c r="A21" s="294" t="s">
        <v>32</v>
      </c>
      <c r="B21" s="295"/>
      <c r="C21" s="44">
        <v>70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48</v>
      </c>
      <c r="K21" s="118"/>
      <c r="L21" s="119"/>
      <c r="M21" s="307" t="s">
        <v>63</v>
      </c>
      <c r="N21" s="308"/>
      <c r="O21" s="309"/>
      <c r="P21" s="120">
        <f>(U17-(U17*U19/100))</f>
        <v>1377.2727950000001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1.8</v>
      </c>
      <c r="AA21" s="73">
        <f>100-Z21</f>
        <v>98.2</v>
      </c>
      <c r="AB21" s="190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 t="s">
        <v>35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52</v>
      </c>
      <c r="K22" s="316">
        <f>J22/I22*100</f>
        <v>52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2.7</v>
      </c>
      <c r="AA22" s="73">
        <f>100-Z22</f>
        <v>97.3</v>
      </c>
      <c r="AB22" s="283">
        <v>0.625</v>
      </c>
      <c r="AC22" s="49" t="s">
        <v>30</v>
      </c>
      <c r="AD22" s="50">
        <v>40</v>
      </c>
      <c r="AE22" s="11">
        <v>20</v>
      </c>
      <c r="AF22" s="12">
        <f t="shared" si="0"/>
        <v>3.6666666666666665</v>
      </c>
    </row>
    <row r="23" spans="1:32" ht="16.5" thickBot="1" x14ac:dyDescent="0.3">
      <c r="A23" s="294" t="s">
        <v>37</v>
      </c>
      <c r="B23" s="295"/>
      <c r="C23" s="44">
        <v>70</v>
      </c>
      <c r="D23" s="296">
        <v>0.15</v>
      </c>
      <c r="E23" s="297"/>
      <c r="F23" s="298" t="s">
        <v>58</v>
      </c>
      <c r="G23" s="299"/>
      <c r="H23" s="4"/>
      <c r="I23" s="133" t="s">
        <v>66</v>
      </c>
      <c r="J23" s="134">
        <v>36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2.8</v>
      </c>
      <c r="AA23" s="73">
        <f>100-Z23</f>
        <v>97.2</v>
      </c>
      <c r="AB23" s="278"/>
      <c r="AC23" s="51" t="s">
        <v>32</v>
      </c>
      <c r="AD23" s="52">
        <v>42</v>
      </c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64</v>
      </c>
      <c r="K24" s="316">
        <f>J24/I24*100</f>
        <v>64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97.875</v>
      </c>
      <c r="AB24" s="278"/>
      <c r="AC24" s="51" t="s">
        <v>35</v>
      </c>
      <c r="AD24" s="52">
        <v>31</v>
      </c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12</v>
      </c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6</v>
      </c>
      <c r="AA26" s="70">
        <f>100-Z26</f>
        <v>94</v>
      </c>
      <c r="AB26" s="189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2.7</v>
      </c>
      <c r="AA27" s="73">
        <f>100-Z27</f>
        <v>97.3</v>
      </c>
      <c r="AB27" s="267">
        <v>0.70833333333333337</v>
      </c>
      <c r="AC27" s="62" t="s">
        <v>30</v>
      </c>
      <c r="AD27" s="50">
        <v>42</v>
      </c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 t="s">
        <v>174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1.5</v>
      </c>
      <c r="AA28" s="73">
        <f>100-Z28</f>
        <v>98.5</v>
      </c>
      <c r="AB28" s="268"/>
      <c r="AC28" s="67" t="s">
        <v>32</v>
      </c>
      <c r="AD28" s="52">
        <v>43</v>
      </c>
      <c r="AE28" s="11">
        <v>26</v>
      </c>
      <c r="AF28" s="12">
        <f t="shared" si="0"/>
        <v>4.7666666666666666</v>
      </c>
    </row>
    <row r="29" spans="1:32" ht="23.25" thickBot="1" x14ac:dyDescent="0.35">
      <c r="A29" s="432" t="s">
        <v>61</v>
      </c>
      <c r="B29" s="433"/>
      <c r="C29" s="182">
        <v>0.36805555555555558</v>
      </c>
      <c r="D29" s="403">
        <v>0.5180555555555556</v>
      </c>
      <c r="E29" s="404"/>
      <c r="F29" s="409" t="s">
        <v>175</v>
      </c>
      <c r="G29" s="410"/>
      <c r="H29" s="345" t="s">
        <v>172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2.1</v>
      </c>
      <c r="AA29" s="73">
        <f>100-Z29</f>
        <v>97.9</v>
      </c>
      <c r="AB29" s="268"/>
      <c r="AC29" s="51" t="s">
        <v>35</v>
      </c>
      <c r="AD29" s="52">
        <v>31</v>
      </c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 t="s">
        <v>173</v>
      </c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96.925000000000011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 t="s">
        <v>176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1.1000000000000001</v>
      </c>
      <c r="AA32" s="70">
        <f>100-Z32</f>
        <v>98.9</v>
      </c>
      <c r="AB32" s="267">
        <v>0.79166666666666663</v>
      </c>
      <c r="AC32" s="62" t="s">
        <v>30</v>
      </c>
      <c r="AD32" s="50">
        <v>41</v>
      </c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>
        <v>1.5</v>
      </c>
      <c r="AA33" s="73">
        <f>100-Z33</f>
        <v>98.5</v>
      </c>
      <c r="AB33" s="268"/>
      <c r="AC33" s="51" t="s">
        <v>32</v>
      </c>
      <c r="AD33" s="52">
        <v>42</v>
      </c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2.4</v>
      </c>
      <c r="AA34" s="73">
        <f>100-Z34</f>
        <v>97.6</v>
      </c>
      <c r="AB34" s="268"/>
      <c r="AC34" s="67" t="s">
        <v>35</v>
      </c>
      <c r="AD34" s="52">
        <v>32</v>
      </c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5.3</v>
      </c>
      <c r="AA35" s="73">
        <f>100-Z35</f>
        <v>94.7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97.424999999999997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X38" t="s">
        <v>177</v>
      </c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32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27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>
        <v>36</v>
      </c>
      <c r="E42" s="386"/>
      <c r="F42" s="387"/>
      <c r="G42" s="160"/>
      <c r="H42" s="397" t="s">
        <v>88</v>
      </c>
      <c r="I42" s="398"/>
      <c r="J42" s="164">
        <v>9.34</v>
      </c>
      <c r="K42" s="399">
        <v>9.73</v>
      </c>
      <c r="L42" s="400"/>
      <c r="M42" s="164">
        <v>9.26</v>
      </c>
      <c r="N42" s="165">
        <v>9.91</v>
      </c>
      <c r="O42" s="165">
        <v>9.32</v>
      </c>
      <c r="P42" s="165">
        <v>9.02</v>
      </c>
      <c r="Q42" s="401">
        <f>AVERAGE(J42:P43)</f>
        <v>9.43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187" t="s">
        <v>89</v>
      </c>
      <c r="B43" s="188"/>
      <c r="C43" s="188"/>
      <c r="D43" s="386">
        <v>2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23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193"/>
      <c r="X44" s="193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H29" sqref="H29:U29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6" width="11.14062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136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41.7</v>
      </c>
      <c r="Q5" s="29">
        <v>0</v>
      </c>
      <c r="R5" s="30">
        <v>36.878999999999998</v>
      </c>
      <c r="S5" s="30">
        <v>32</v>
      </c>
      <c r="T5" s="31">
        <v>10.71</v>
      </c>
      <c r="U5" s="32">
        <f>SUM(P5:T5)</f>
        <v>121.28900000000002</v>
      </c>
      <c r="V5" s="33">
        <v>1</v>
      </c>
      <c r="W5" s="21" t="s">
        <v>27</v>
      </c>
      <c r="X5" s="34">
        <f>'05.01.26см2'!Y5</f>
        <v>514818.30000000005</v>
      </c>
      <c r="Y5" s="34">
        <f>X5+P17</f>
        <v>515313.00000000006</v>
      </c>
      <c r="Z5" s="35">
        <f>Y5-X5</f>
        <v>494.70000000001164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42</v>
      </c>
      <c r="Q6" s="29">
        <v>0</v>
      </c>
      <c r="R6" s="30">
        <v>41.600999999999999</v>
      </c>
      <c r="S6" s="30">
        <v>32</v>
      </c>
      <c r="T6" s="31">
        <v>12.17</v>
      </c>
      <c r="U6" s="32">
        <f t="shared" ref="U6:U16" si="1">SUM(P6:T6)</f>
        <v>127.771</v>
      </c>
      <c r="V6" s="44">
        <v>1</v>
      </c>
      <c r="W6" s="37" t="s">
        <v>28</v>
      </c>
      <c r="X6" s="45">
        <f>'05.01.26см2'!Y6</f>
        <v>811966.44299999997</v>
      </c>
      <c r="Y6" s="34">
        <f>X6+R17</f>
        <v>812475.78799999994</v>
      </c>
      <c r="Z6" s="46">
        <f>Y6-X6</f>
        <v>509.34499999997206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>
        <v>77</v>
      </c>
      <c r="C7" s="39">
        <v>65</v>
      </c>
      <c r="D7" s="39">
        <v>70</v>
      </c>
      <c r="E7" s="40">
        <v>64</v>
      </c>
      <c r="F7" s="41">
        <v>62</v>
      </c>
      <c r="G7" s="42">
        <v>51</v>
      </c>
      <c r="H7" s="41">
        <v>36</v>
      </c>
      <c r="I7" s="42"/>
      <c r="J7" s="41"/>
      <c r="K7" s="38">
        <v>65</v>
      </c>
      <c r="L7" s="43">
        <v>60</v>
      </c>
      <c r="M7" s="40">
        <v>54</v>
      </c>
      <c r="N7" s="42">
        <v>47</v>
      </c>
      <c r="O7" s="41">
        <v>69</v>
      </c>
      <c r="P7" s="28">
        <v>42.1</v>
      </c>
      <c r="Q7" s="29">
        <v>0</v>
      </c>
      <c r="R7" s="30">
        <v>42.319000000000003</v>
      </c>
      <c r="S7" s="30">
        <v>32</v>
      </c>
      <c r="T7" s="31">
        <v>9.7899999999999991</v>
      </c>
      <c r="U7" s="32">
        <f t="shared" si="1"/>
        <v>126.209</v>
      </c>
      <c r="V7" s="44"/>
      <c r="W7" s="37" t="s">
        <v>29</v>
      </c>
      <c r="X7" s="48">
        <v>505526</v>
      </c>
      <c r="Y7" s="34">
        <f>X7+S17</f>
        <v>505927</v>
      </c>
      <c r="Z7" s="46">
        <f>Y7-X7</f>
        <v>401</v>
      </c>
      <c r="AA7" s="47">
        <v>4</v>
      </c>
      <c r="AB7" s="267">
        <v>0.875</v>
      </c>
      <c r="AC7" s="49" t="s">
        <v>30</v>
      </c>
      <c r="AD7" s="50">
        <v>41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42.8</v>
      </c>
      <c r="Q8" s="29">
        <v>0</v>
      </c>
      <c r="R8" s="30">
        <v>38.704999999999998</v>
      </c>
      <c r="S8" s="30">
        <v>33</v>
      </c>
      <c r="T8" s="31">
        <v>12.28</v>
      </c>
      <c r="U8" s="32">
        <f t="shared" si="1"/>
        <v>126.785</v>
      </c>
      <c r="V8" s="44">
        <v>1</v>
      </c>
      <c r="W8" s="37" t="s">
        <v>31</v>
      </c>
      <c r="X8" s="46">
        <v>1438.45</v>
      </c>
      <c r="Y8" s="34">
        <f>X8+T17</f>
        <v>1575.01</v>
      </c>
      <c r="Z8" s="46">
        <f>T17</f>
        <v>136.56</v>
      </c>
      <c r="AA8" s="47">
        <v>5</v>
      </c>
      <c r="AB8" s="268"/>
      <c r="AC8" s="51" t="s">
        <v>32</v>
      </c>
      <c r="AD8" s="52">
        <v>40</v>
      </c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36.299999999999997</v>
      </c>
      <c r="Q9" s="29">
        <v>0</v>
      </c>
      <c r="R9" s="30">
        <v>44.366999999999997</v>
      </c>
      <c r="S9" s="30">
        <v>34</v>
      </c>
      <c r="T9" s="31">
        <v>11.24</v>
      </c>
      <c r="U9" s="32">
        <f t="shared" si="1"/>
        <v>125.907</v>
      </c>
      <c r="V9" s="44">
        <v>3</v>
      </c>
      <c r="W9" s="37" t="s">
        <v>33</v>
      </c>
      <c r="X9" s="270" t="s">
        <v>34</v>
      </c>
      <c r="Y9" s="271"/>
      <c r="Z9" s="54">
        <f>SUM(Z5:Z8)</f>
        <v>1541.6049999999836</v>
      </c>
      <c r="AA9" s="55"/>
      <c r="AB9" s="268"/>
      <c r="AC9" s="51" t="s">
        <v>35</v>
      </c>
      <c r="AD9" s="52">
        <v>31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40.9</v>
      </c>
      <c r="Q10" s="29">
        <v>0</v>
      </c>
      <c r="R10" s="30">
        <v>42.99</v>
      </c>
      <c r="S10" s="30">
        <v>31</v>
      </c>
      <c r="T10" s="31">
        <v>11.5</v>
      </c>
      <c r="U10" s="32">
        <f t="shared" si="1"/>
        <v>126.39</v>
      </c>
      <c r="V10" s="44">
        <v>1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10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39.799999999999997</v>
      </c>
      <c r="Q11" s="29">
        <v>0</v>
      </c>
      <c r="R11" s="30">
        <v>46.823</v>
      </c>
      <c r="S11" s="30">
        <v>34</v>
      </c>
      <c r="T11" s="31">
        <v>11</v>
      </c>
      <c r="U11" s="32">
        <f t="shared" si="1"/>
        <v>131.62299999999999</v>
      </c>
      <c r="V11" s="44">
        <v>3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41.9</v>
      </c>
      <c r="Q12" s="29">
        <v>0</v>
      </c>
      <c r="R12" s="30">
        <v>47.076999999999998</v>
      </c>
      <c r="S12" s="30">
        <v>33</v>
      </c>
      <c r="T12" s="31">
        <v>11.43</v>
      </c>
      <c r="U12" s="32">
        <f t="shared" si="1"/>
        <v>133.40700000000001</v>
      </c>
      <c r="V12" s="44">
        <v>2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42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>
        <v>78</v>
      </c>
      <c r="C13" s="39">
        <v>66</v>
      </c>
      <c r="D13" s="39">
        <v>75</v>
      </c>
      <c r="E13" s="40">
        <v>70</v>
      </c>
      <c r="F13" s="41">
        <v>68</v>
      </c>
      <c r="G13" s="42">
        <v>48</v>
      </c>
      <c r="H13" s="41">
        <v>34</v>
      </c>
      <c r="I13" s="42"/>
      <c r="J13" s="41"/>
      <c r="K13" s="38">
        <v>63</v>
      </c>
      <c r="L13" s="43">
        <v>60</v>
      </c>
      <c r="M13" s="40">
        <v>55</v>
      </c>
      <c r="N13" s="42">
        <v>50</v>
      </c>
      <c r="O13" s="41">
        <v>71</v>
      </c>
      <c r="P13" s="53">
        <v>41.7</v>
      </c>
      <c r="Q13" s="29">
        <v>0</v>
      </c>
      <c r="R13" s="30">
        <v>44.597999999999999</v>
      </c>
      <c r="S13" s="30">
        <v>35</v>
      </c>
      <c r="T13" s="31">
        <v>11.52</v>
      </c>
      <c r="U13" s="32">
        <f t="shared" si="1"/>
        <v>132.81800000000001</v>
      </c>
      <c r="V13" s="44">
        <v>4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42</v>
      </c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42</v>
      </c>
      <c r="Q14" s="29">
        <v>0</v>
      </c>
      <c r="R14" s="30">
        <v>40.445999999999998</v>
      </c>
      <c r="S14" s="30">
        <v>36</v>
      </c>
      <c r="T14" s="31">
        <v>11.49</v>
      </c>
      <c r="U14" s="32">
        <f t="shared" si="1"/>
        <v>129.93600000000001</v>
      </c>
      <c r="V14" s="44">
        <v>4</v>
      </c>
      <c r="W14" s="37" t="s">
        <v>44</v>
      </c>
      <c r="X14" s="280">
        <v>0.91666666666666663</v>
      </c>
      <c r="Y14" s="192" t="s">
        <v>45</v>
      </c>
      <c r="Z14" s="69">
        <v>1.9</v>
      </c>
      <c r="AA14" s="70">
        <f>100-Z14</f>
        <v>98.1</v>
      </c>
      <c r="AB14" s="278"/>
      <c r="AC14" s="51" t="s">
        <v>35</v>
      </c>
      <c r="AD14" s="52">
        <v>31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40.1</v>
      </c>
      <c r="Q15" s="29">
        <v>0</v>
      </c>
      <c r="R15" s="30">
        <v>42.868000000000002</v>
      </c>
      <c r="S15" s="30">
        <v>36</v>
      </c>
      <c r="T15" s="31">
        <v>12.52</v>
      </c>
      <c r="U15" s="32">
        <f t="shared" si="1"/>
        <v>131.488</v>
      </c>
      <c r="V15" s="44">
        <v>4</v>
      </c>
      <c r="W15" s="37" t="s">
        <v>46</v>
      </c>
      <c r="X15" s="281"/>
      <c r="Y15" s="71" t="s">
        <v>47</v>
      </c>
      <c r="Z15" s="72">
        <v>1.5</v>
      </c>
      <c r="AA15" s="73">
        <f>100-Z15</f>
        <v>98.5</v>
      </c>
      <c r="AB15" s="279"/>
      <c r="AC15" s="74" t="s">
        <v>37</v>
      </c>
      <c r="AD15" s="58">
        <v>10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43.4</v>
      </c>
      <c r="Q16" s="29">
        <v>0</v>
      </c>
      <c r="R16" s="30">
        <v>40.671999999999997</v>
      </c>
      <c r="S16" s="30">
        <v>33</v>
      </c>
      <c r="T16" s="82">
        <v>10.91</v>
      </c>
      <c r="U16" s="32">
        <f t="shared" si="1"/>
        <v>127.982</v>
      </c>
      <c r="V16" s="83">
        <v>6</v>
      </c>
      <c r="W16" s="75" t="s">
        <v>48</v>
      </c>
      <c r="X16" s="281"/>
      <c r="Y16" s="71" t="s">
        <v>49</v>
      </c>
      <c r="Z16" s="72">
        <v>1.3</v>
      </c>
      <c r="AA16" s="73">
        <f>100-Z16</f>
        <v>98.7</v>
      </c>
      <c r="AB16" s="190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77.5</v>
      </c>
      <c r="C17" s="88">
        <f>AVERAGE(C5:C16)</f>
        <v>65.5</v>
      </c>
      <c r="D17" s="88">
        <f>AVERAGE(D5:D15)</f>
        <v>72.5</v>
      </c>
      <c r="E17" s="88">
        <f>AVERAGE(E5:E15)</f>
        <v>67</v>
      </c>
      <c r="F17" s="88">
        <f>AVERAGE(F5:F15)</f>
        <v>65</v>
      </c>
      <c r="G17" s="88">
        <f>AVERAGE(G5:G16)</f>
        <v>49.5</v>
      </c>
      <c r="H17" s="88">
        <f>AVERAGE(H5:H16)</f>
        <v>35</v>
      </c>
      <c r="I17" s="88" t="e">
        <f t="shared" ref="I17:N17" si="2">AVERAGE(I5:I15)</f>
        <v>#DIV/0!</v>
      </c>
      <c r="J17" s="88" t="e">
        <f t="shared" si="2"/>
        <v>#DIV/0!</v>
      </c>
      <c r="K17" s="88">
        <f t="shared" si="2"/>
        <v>64</v>
      </c>
      <c r="L17" s="88">
        <f t="shared" si="2"/>
        <v>60</v>
      </c>
      <c r="M17" s="89">
        <f t="shared" si="2"/>
        <v>54.5</v>
      </c>
      <c r="N17" s="89">
        <f t="shared" si="2"/>
        <v>48.5</v>
      </c>
      <c r="O17" s="89">
        <f>AVERAGE(O5:O16)</f>
        <v>70</v>
      </c>
      <c r="P17" s="90">
        <f>SUM(P5:P16)</f>
        <v>494.7</v>
      </c>
      <c r="Q17" s="91">
        <f>SUM(Q5:Q16)</f>
        <v>0</v>
      </c>
      <c r="R17" s="92">
        <f>SUM(R5:R16)</f>
        <v>509.34499999999991</v>
      </c>
      <c r="S17" s="93">
        <f>SUM(S5:S16)</f>
        <v>401</v>
      </c>
      <c r="T17" s="93">
        <f>SUM(T5:T16)</f>
        <v>136.56</v>
      </c>
      <c r="U17" s="94">
        <f>SUM(P17:T17)</f>
        <v>1541.6049999999998</v>
      </c>
      <c r="V17" s="1">
        <f>SUM(V5:V16)</f>
        <v>30</v>
      </c>
      <c r="W17" s="4"/>
      <c r="X17" s="281"/>
      <c r="Y17" s="71" t="s">
        <v>51</v>
      </c>
      <c r="Z17" s="95">
        <v>2</v>
      </c>
      <c r="AA17" s="73">
        <f>100-Z17</f>
        <v>98</v>
      </c>
      <c r="AB17" s="283">
        <v>4.1666666666666664E-2</v>
      </c>
      <c r="AC17" s="62" t="s">
        <v>30</v>
      </c>
      <c r="AD17" s="50">
        <v>40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(AA14+AA16+AA17)/3</f>
        <v>98.266666666666666</v>
      </c>
      <c r="AB18" s="278"/>
      <c r="AC18" s="51" t="s">
        <v>32</v>
      </c>
      <c r="AD18" s="52">
        <v>41</v>
      </c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178</v>
      </c>
      <c r="J19" s="259"/>
      <c r="K19" s="259"/>
      <c r="L19" s="260"/>
      <c r="M19" s="261" t="s">
        <v>57</v>
      </c>
      <c r="N19" s="262"/>
      <c r="O19" s="263"/>
      <c r="P19" s="105">
        <v>2.5</v>
      </c>
      <c r="Q19" s="106"/>
      <c r="R19" s="107">
        <v>2.2999999999999998</v>
      </c>
      <c r="S19" s="107">
        <v>2.7</v>
      </c>
      <c r="T19" s="107">
        <v>2.6</v>
      </c>
      <c r="U19" s="108">
        <f>(U17-U20)/U17*100</f>
        <v>2.494802170465193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32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30</v>
      </c>
      <c r="B20" s="295"/>
      <c r="C20" s="44">
        <v>70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482.33249999999998</v>
      </c>
      <c r="Q20" s="113"/>
      <c r="R20" s="114">
        <f>(R17-(R17*R19/100))</f>
        <v>497.63006499999989</v>
      </c>
      <c r="S20" s="112">
        <f>(S17-(S17*S19/100))</f>
        <v>390.173</v>
      </c>
      <c r="T20" s="112">
        <f>(T17-(T17*T19/100))</f>
        <v>133.00944000000001</v>
      </c>
      <c r="U20" s="115">
        <f>P20+Q20+R20+S20+T20</f>
        <v>1503.1450049999999</v>
      </c>
      <c r="V20" s="4"/>
      <c r="W20" s="4"/>
      <c r="X20" s="281"/>
      <c r="Y20" s="192" t="s">
        <v>45</v>
      </c>
      <c r="Z20" s="69">
        <v>0.4</v>
      </c>
      <c r="AA20" s="70">
        <f>100-Z20</f>
        <v>99.6</v>
      </c>
      <c r="AB20" s="279"/>
      <c r="AC20" s="74" t="s">
        <v>37</v>
      </c>
      <c r="AD20" s="58">
        <v>10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61</v>
      </c>
      <c r="B21" s="295"/>
      <c r="C21" s="44">
        <v>20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47</v>
      </c>
      <c r="K21" s="118"/>
      <c r="L21" s="119"/>
      <c r="M21" s="307" t="s">
        <v>63</v>
      </c>
      <c r="N21" s="308"/>
      <c r="O21" s="309"/>
      <c r="P21" s="120">
        <f>(U17-(U17*U19/100))</f>
        <v>1503.1450049999999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0.9</v>
      </c>
      <c r="AA21" s="73">
        <f>100-Z21</f>
        <v>99.1</v>
      </c>
      <c r="AB21" s="190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32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53</v>
      </c>
      <c r="K22" s="316">
        <f>J22/I22*100</f>
        <v>53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0.7</v>
      </c>
      <c r="AA22" s="73">
        <f>100-Z22</f>
        <v>99.3</v>
      </c>
      <c r="AB22" s="283">
        <v>0.125</v>
      </c>
      <c r="AC22" s="49" t="s">
        <v>30</v>
      </c>
      <c r="AD22" s="50">
        <v>41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 t="s">
        <v>35</v>
      </c>
      <c r="B23" s="295"/>
      <c r="C23" s="44">
        <v>70</v>
      </c>
      <c r="D23" s="296">
        <v>0.15</v>
      </c>
      <c r="E23" s="297"/>
      <c r="F23" s="298" t="s">
        <v>58</v>
      </c>
      <c r="G23" s="299"/>
      <c r="H23" s="4"/>
      <c r="I23" s="133" t="s">
        <v>66</v>
      </c>
      <c r="J23" s="134">
        <v>32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0.5</v>
      </c>
      <c r="AA23" s="73">
        <f>100-Z23</f>
        <v>99.5</v>
      </c>
      <c r="AB23" s="278"/>
      <c r="AC23" s="51" t="s">
        <v>32</v>
      </c>
      <c r="AD23" s="52">
        <v>43</v>
      </c>
      <c r="AE23" s="11">
        <v>21</v>
      </c>
      <c r="AF23" s="12">
        <f t="shared" si="0"/>
        <v>14</v>
      </c>
    </row>
    <row r="24" spans="1:32" ht="16.5" thickBot="1" x14ac:dyDescent="0.3">
      <c r="A24" s="294" t="s">
        <v>37</v>
      </c>
      <c r="B24" s="295"/>
      <c r="C24" s="44">
        <v>70</v>
      </c>
      <c r="D24" s="296">
        <v>0.2</v>
      </c>
      <c r="E24" s="297"/>
      <c r="F24" s="298" t="s">
        <v>58</v>
      </c>
      <c r="G24" s="299"/>
      <c r="H24" s="4"/>
      <c r="I24" s="136">
        <v>100</v>
      </c>
      <c r="J24" s="121">
        <f>I24-J23</f>
        <v>68</v>
      </c>
      <c r="K24" s="316">
        <f>J24/I24*100</f>
        <v>68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(AA20+AA22+AA23)/3</f>
        <v>99.466666666666654</v>
      </c>
      <c r="AB24" s="278"/>
      <c r="AC24" s="51" t="s">
        <v>35</v>
      </c>
      <c r="AD24" s="52">
        <v>32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 t="s">
        <v>80</v>
      </c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11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0.8</v>
      </c>
      <c r="AA26" s="70">
        <f>100-Z26</f>
        <v>99.2</v>
      </c>
      <c r="AB26" s="189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1.1000000000000001</v>
      </c>
      <c r="AA27" s="73">
        <f>100-Z27</f>
        <v>98.9</v>
      </c>
      <c r="AB27" s="267">
        <v>0.20833333333333334</v>
      </c>
      <c r="AC27" s="62" t="s">
        <v>30</v>
      </c>
      <c r="AD27" s="50">
        <v>42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 t="s">
        <v>179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0.9</v>
      </c>
      <c r="AA28" s="73">
        <f>100-Z28</f>
        <v>99.1</v>
      </c>
      <c r="AB28" s="268"/>
      <c r="AC28" s="67" t="s">
        <v>32</v>
      </c>
      <c r="AD28" s="52">
        <v>43</v>
      </c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 t="s">
        <v>180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1.3</v>
      </c>
      <c r="AA29" s="73">
        <f>100-Z29</f>
        <v>98.7</v>
      </c>
      <c r="AB29" s="268"/>
      <c r="AC29" s="51" t="s">
        <v>35</v>
      </c>
      <c r="AD29" s="52">
        <v>34</v>
      </c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 t="s">
        <v>181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(AA26+AA28+AA29)/3</f>
        <v>99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1</v>
      </c>
      <c r="AA32" s="70">
        <f>100-Z32</f>
        <v>99</v>
      </c>
      <c r="AB32" s="267">
        <v>0.29166666666666669</v>
      </c>
      <c r="AC32" s="62" t="s">
        <v>30</v>
      </c>
      <c r="AD32" s="50">
        <v>42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 t="s">
        <v>78</v>
      </c>
      <c r="X33" s="281"/>
      <c r="Y33" s="44" t="s">
        <v>47</v>
      </c>
      <c r="Z33" s="72">
        <v>1.2</v>
      </c>
      <c r="AA33" s="73">
        <f>100-Z33</f>
        <v>98.8</v>
      </c>
      <c r="AB33" s="268"/>
      <c r="AC33" s="51" t="s">
        <v>32</v>
      </c>
      <c r="AD33" s="52">
        <v>42</v>
      </c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1.4</v>
      </c>
      <c r="AA34" s="73">
        <f>100-Z34</f>
        <v>98.6</v>
      </c>
      <c r="AB34" s="268"/>
      <c r="AC34" s="67" t="s">
        <v>35</v>
      </c>
      <c r="AD34" s="52">
        <v>33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0.9</v>
      </c>
      <c r="AA35" s="73">
        <f>100-Z35</f>
        <v>99.1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(AA32+AA34+AA35)/3</f>
        <v>98.899999999999991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23</v>
      </c>
      <c r="E40" s="362"/>
      <c r="F40" s="363"/>
      <c r="G40" s="160"/>
      <c r="V40" s="4"/>
      <c r="W40" s="161"/>
      <c r="X40" t="s">
        <v>65</v>
      </c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30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X41" t="s">
        <v>78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>
        <v>9.11</v>
      </c>
      <c r="K42" s="399">
        <v>9.82</v>
      </c>
      <c r="L42" s="400"/>
      <c r="M42" s="164">
        <v>9.6300000000000008</v>
      </c>
      <c r="N42" s="165">
        <v>9.73</v>
      </c>
      <c r="O42" s="165">
        <v>9.06</v>
      </c>
      <c r="P42" s="165">
        <v>9.3699999999999992</v>
      </c>
      <c r="Q42" s="401">
        <f>AVERAGE(J42:P43)</f>
        <v>9.4533333333333349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187" t="s">
        <v>89</v>
      </c>
      <c r="B43" s="188"/>
      <c r="C43" s="188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53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193" t="s">
        <v>92</v>
      </c>
      <c r="S44" s="193"/>
      <c r="T44" s="193"/>
      <c r="U44" s="193"/>
      <c r="V44" s="193"/>
      <c r="W44" s="193"/>
      <c r="X44" s="193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H30" sqref="H30:U30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7109375" customWidth="1"/>
    <col min="19" max="19" width="10.140625" customWidth="1"/>
    <col min="20" max="20" width="9.85546875" customWidth="1"/>
    <col min="21" max="23" width="10.7109375" customWidth="1"/>
    <col min="24" max="24" width="18.140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136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26.8</v>
      </c>
      <c r="Q5" s="29">
        <v>0</v>
      </c>
      <c r="R5" s="30">
        <v>38.518999999999998</v>
      </c>
      <c r="S5" s="30">
        <v>37</v>
      </c>
      <c r="T5" s="31">
        <v>11.58</v>
      </c>
      <c r="U5" s="32">
        <f>SUM(P5:T5)</f>
        <v>113.899</v>
      </c>
      <c r="V5" s="33">
        <v>1</v>
      </c>
      <c r="W5" s="21" t="s">
        <v>93</v>
      </c>
      <c r="X5" s="34">
        <v>515313</v>
      </c>
      <c r="Y5" s="34">
        <f>X5+P17</f>
        <v>515586</v>
      </c>
      <c r="Z5" s="35">
        <f>Y5-X5</f>
        <v>273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0</v>
      </c>
      <c r="Q6" s="29">
        <v>0</v>
      </c>
      <c r="R6" s="30">
        <v>46.524999999999999</v>
      </c>
      <c r="S6" s="30">
        <v>30</v>
      </c>
      <c r="T6" s="31">
        <v>11.39</v>
      </c>
      <c r="U6" s="32">
        <f t="shared" ref="U6:U16" si="1">SUM(P6:T6)</f>
        <v>87.915000000000006</v>
      </c>
      <c r="V6" s="44">
        <v>1</v>
      </c>
      <c r="W6" s="37" t="s">
        <v>94</v>
      </c>
      <c r="X6" s="45">
        <v>812475.78799999994</v>
      </c>
      <c r="Y6" s="34">
        <f>X6+R17</f>
        <v>812991.76099999994</v>
      </c>
      <c r="Z6" s="46">
        <f>Y6-X6</f>
        <v>515.97299999999814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>
        <v>53</v>
      </c>
      <c r="D7" s="39">
        <v>71</v>
      </c>
      <c r="E7" s="40">
        <v>63</v>
      </c>
      <c r="F7" s="41">
        <v>57</v>
      </c>
      <c r="G7" s="42">
        <v>44</v>
      </c>
      <c r="H7" s="41">
        <v>33</v>
      </c>
      <c r="I7" s="42">
        <v>25</v>
      </c>
      <c r="J7" s="41"/>
      <c r="K7" s="38"/>
      <c r="L7" s="43">
        <v>55</v>
      </c>
      <c r="M7" s="40">
        <v>52</v>
      </c>
      <c r="N7" s="42">
        <v>55</v>
      </c>
      <c r="O7" s="41">
        <v>69</v>
      </c>
      <c r="P7" s="28">
        <v>0</v>
      </c>
      <c r="Q7" s="29">
        <v>0</v>
      </c>
      <c r="R7" s="30">
        <v>43.162999999999997</v>
      </c>
      <c r="S7" s="30">
        <v>30</v>
      </c>
      <c r="T7" s="31">
        <v>11.07</v>
      </c>
      <c r="U7" s="32">
        <f t="shared" si="1"/>
        <v>84.233000000000004</v>
      </c>
      <c r="V7" s="44">
        <v>3</v>
      </c>
      <c r="W7" s="37" t="s">
        <v>95</v>
      </c>
      <c r="X7" s="48">
        <v>505927</v>
      </c>
      <c r="Y7" s="34">
        <f>X7+S17</f>
        <v>506303</v>
      </c>
      <c r="Z7" s="46">
        <f>Y7-X7</f>
        <v>376</v>
      </c>
      <c r="AA7" s="47">
        <v>4</v>
      </c>
      <c r="AB7" s="267">
        <v>0.375</v>
      </c>
      <c r="AC7" s="49" t="s">
        <v>30</v>
      </c>
      <c r="AD7" s="50">
        <v>42</v>
      </c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0</v>
      </c>
      <c r="Q8" s="29">
        <v>0</v>
      </c>
      <c r="R8" s="30">
        <v>46.557000000000002</v>
      </c>
      <c r="S8" s="30">
        <v>28</v>
      </c>
      <c r="T8" s="31">
        <v>11.22</v>
      </c>
      <c r="U8" s="32">
        <f t="shared" si="1"/>
        <v>85.777000000000001</v>
      </c>
      <c r="V8" s="44">
        <v>2</v>
      </c>
      <c r="W8" s="37" t="s">
        <v>96</v>
      </c>
      <c r="X8" s="46">
        <v>1575.01</v>
      </c>
      <c r="Y8" s="34">
        <f>X8+T17</f>
        <v>1712.66</v>
      </c>
      <c r="Z8" s="46">
        <f>T17</f>
        <v>137.65</v>
      </c>
      <c r="AA8" s="47">
        <v>5</v>
      </c>
      <c r="AB8" s="268"/>
      <c r="AC8" s="51" t="s">
        <v>32</v>
      </c>
      <c r="AD8" s="52">
        <v>41</v>
      </c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0</v>
      </c>
      <c r="Q9" s="29">
        <v>0</v>
      </c>
      <c r="R9" s="30">
        <v>46.073999999999998</v>
      </c>
      <c r="S9" s="30">
        <v>34</v>
      </c>
      <c r="T9" s="31">
        <v>10.48</v>
      </c>
      <c r="U9" s="32">
        <f t="shared" si="1"/>
        <v>90.554000000000002</v>
      </c>
      <c r="V9" s="44">
        <v>2</v>
      </c>
      <c r="W9" s="37" t="s">
        <v>97</v>
      </c>
      <c r="X9" s="270" t="s">
        <v>34</v>
      </c>
      <c r="Y9" s="271"/>
      <c r="Z9" s="54">
        <f>SUM(Z5:Z8)</f>
        <v>1302.6229999999982</v>
      </c>
      <c r="AA9" s="55"/>
      <c r="AB9" s="268"/>
      <c r="AC9" s="51" t="s">
        <v>35</v>
      </c>
      <c r="AD9" s="52">
        <v>34</v>
      </c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0</v>
      </c>
      <c r="Q10" s="29">
        <v>0</v>
      </c>
      <c r="R10" s="30">
        <v>43.661000000000001</v>
      </c>
      <c r="S10" s="30">
        <v>30</v>
      </c>
      <c r="T10" s="31">
        <v>11.7</v>
      </c>
      <c r="U10" s="32">
        <f t="shared" si="1"/>
        <v>85.361000000000004</v>
      </c>
      <c r="V10" s="44">
        <v>1</v>
      </c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13</v>
      </c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34.700000000000003</v>
      </c>
      <c r="Q11" s="29">
        <v>0</v>
      </c>
      <c r="R11" s="30">
        <v>38.947000000000003</v>
      </c>
      <c r="S11" s="30">
        <v>31</v>
      </c>
      <c r="T11" s="31">
        <v>9.58</v>
      </c>
      <c r="U11" s="32">
        <f t="shared" si="1"/>
        <v>114.227</v>
      </c>
      <c r="V11" s="44">
        <v>2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43.5</v>
      </c>
      <c r="Q12" s="29">
        <v>0</v>
      </c>
      <c r="R12" s="30">
        <v>41.865000000000002</v>
      </c>
      <c r="S12" s="30">
        <v>32</v>
      </c>
      <c r="T12" s="31">
        <v>11.58</v>
      </c>
      <c r="U12" s="32">
        <f t="shared" si="1"/>
        <v>128.94500000000002</v>
      </c>
      <c r="V12" s="44">
        <v>3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/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>
        <v>63</v>
      </c>
      <c r="C13" s="39">
        <v>53</v>
      </c>
      <c r="D13" s="39">
        <v>70</v>
      </c>
      <c r="E13" s="40">
        <v>59</v>
      </c>
      <c r="F13" s="41">
        <v>62</v>
      </c>
      <c r="G13" s="42">
        <v>42</v>
      </c>
      <c r="H13" s="41">
        <v>31</v>
      </c>
      <c r="I13" s="42">
        <v>29</v>
      </c>
      <c r="J13" s="41"/>
      <c r="K13" s="38">
        <v>43</v>
      </c>
      <c r="L13" s="43">
        <v>55</v>
      </c>
      <c r="M13" s="40">
        <v>56</v>
      </c>
      <c r="N13" s="42">
        <v>57</v>
      </c>
      <c r="O13" s="41">
        <v>72</v>
      </c>
      <c r="P13" s="53">
        <v>42</v>
      </c>
      <c r="Q13" s="29">
        <v>0</v>
      </c>
      <c r="R13" s="30">
        <v>44.88</v>
      </c>
      <c r="S13" s="30">
        <v>32</v>
      </c>
      <c r="T13" s="31">
        <v>12.1</v>
      </c>
      <c r="U13" s="32">
        <f t="shared" si="1"/>
        <v>130.97999999999999</v>
      </c>
      <c r="V13" s="44">
        <v>3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43</v>
      </c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42</v>
      </c>
      <c r="Q14" s="29">
        <v>0</v>
      </c>
      <c r="R14" s="30">
        <v>41.781999999999996</v>
      </c>
      <c r="S14" s="30">
        <v>31</v>
      </c>
      <c r="T14" s="31">
        <v>12.37</v>
      </c>
      <c r="U14" s="32">
        <f t="shared" si="1"/>
        <v>127.152</v>
      </c>
      <c r="V14" s="44">
        <v>4</v>
      </c>
      <c r="W14" s="37" t="s">
        <v>102</v>
      </c>
      <c r="X14" s="280">
        <v>0.41666666666666669</v>
      </c>
      <c r="Y14" s="192" t="s">
        <v>45</v>
      </c>
      <c r="Z14" s="69"/>
      <c r="AA14" s="70">
        <f>100-Z14</f>
        <v>100</v>
      </c>
      <c r="AB14" s="278"/>
      <c r="AC14" s="51" t="s">
        <v>35</v>
      </c>
      <c r="AD14" s="52">
        <v>33</v>
      </c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42</v>
      </c>
      <c r="Q15" s="29">
        <v>0</v>
      </c>
      <c r="R15" s="30">
        <v>42</v>
      </c>
      <c r="S15" s="30">
        <v>31</v>
      </c>
      <c r="T15" s="31">
        <v>11.75</v>
      </c>
      <c r="U15" s="32">
        <f t="shared" si="1"/>
        <v>126.75</v>
      </c>
      <c r="V15" s="44">
        <v>4</v>
      </c>
      <c r="W15" s="37" t="s">
        <v>103</v>
      </c>
      <c r="X15" s="281"/>
      <c r="Y15" s="71" t="s">
        <v>47</v>
      </c>
      <c r="Z15" s="72">
        <v>0.8</v>
      </c>
      <c r="AA15" s="73">
        <f>100-Z15</f>
        <v>99.2</v>
      </c>
      <c r="AB15" s="279"/>
      <c r="AC15" s="74" t="s">
        <v>37</v>
      </c>
      <c r="AD15" s="58">
        <v>13</v>
      </c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42</v>
      </c>
      <c r="Q16" s="29">
        <v>0</v>
      </c>
      <c r="R16" s="30">
        <v>42</v>
      </c>
      <c r="S16" s="30">
        <v>30</v>
      </c>
      <c r="T16" s="82">
        <v>12.83</v>
      </c>
      <c r="U16" s="32">
        <f t="shared" si="1"/>
        <v>126.83</v>
      </c>
      <c r="V16" s="83">
        <v>5</v>
      </c>
      <c r="W16" s="75" t="s">
        <v>104</v>
      </c>
      <c r="X16" s="281"/>
      <c r="Y16" s="71" t="s">
        <v>49</v>
      </c>
      <c r="Z16" s="72">
        <v>1.7</v>
      </c>
      <c r="AA16" s="73">
        <f>100-Z16</f>
        <v>98.3</v>
      </c>
      <c r="AB16" s="190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>
        <f>AVERAGE(B5:B15)</f>
        <v>63</v>
      </c>
      <c r="C17" s="88">
        <f>AVERAGE(C5:C16)</f>
        <v>53</v>
      </c>
      <c r="D17" s="88">
        <f>AVERAGE(D5:D15)</f>
        <v>70.5</v>
      </c>
      <c r="E17" s="88">
        <f>AVERAGE(E5:E15)</f>
        <v>61</v>
      </c>
      <c r="F17" s="88">
        <f>AVERAGE(F5:F15)</f>
        <v>59.5</v>
      </c>
      <c r="G17" s="88">
        <f>AVERAGE(G5:G16)</f>
        <v>43</v>
      </c>
      <c r="H17" s="88">
        <f>AVERAGE(H5:H16)</f>
        <v>32</v>
      </c>
      <c r="I17" s="88">
        <f t="shared" ref="I17:N17" si="2">AVERAGE(I5:I15)</f>
        <v>27</v>
      </c>
      <c r="J17" s="88" t="e">
        <f t="shared" si="2"/>
        <v>#DIV/0!</v>
      </c>
      <c r="K17" s="88">
        <f t="shared" si="2"/>
        <v>43</v>
      </c>
      <c r="L17" s="88">
        <f t="shared" si="2"/>
        <v>55</v>
      </c>
      <c r="M17" s="89">
        <f t="shared" si="2"/>
        <v>54</v>
      </c>
      <c r="N17" s="89">
        <f t="shared" si="2"/>
        <v>56</v>
      </c>
      <c r="O17" s="89">
        <f>AVERAGE(O5:O16)</f>
        <v>70.5</v>
      </c>
      <c r="P17" s="90">
        <f>SUM(P5:P16)</f>
        <v>273</v>
      </c>
      <c r="Q17" s="91">
        <f>SUM(Q5:Q16)</f>
        <v>0</v>
      </c>
      <c r="R17" s="92">
        <f>SUM(R5:R16)</f>
        <v>515.97299999999996</v>
      </c>
      <c r="S17" s="93">
        <f>SUM(S5:S16)</f>
        <v>376</v>
      </c>
      <c r="T17" s="93">
        <f>SUM(T5:T16)</f>
        <v>137.65</v>
      </c>
      <c r="U17" s="94">
        <f>SUM(P17:T17)</f>
        <v>1302.623</v>
      </c>
      <c r="V17" s="1">
        <f>SUM(V5:V16)</f>
        <v>31</v>
      </c>
      <c r="W17" s="4"/>
      <c r="X17" s="281"/>
      <c r="Y17" s="71" t="s">
        <v>51</v>
      </c>
      <c r="Z17" s="95">
        <v>0.9</v>
      </c>
      <c r="AA17" s="73">
        <f>100-Z17</f>
        <v>99.1</v>
      </c>
      <c r="AB17" s="283">
        <v>0.54166666666666663</v>
      </c>
      <c r="AC17" s="62" t="s">
        <v>30</v>
      </c>
      <c r="AD17" s="50"/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v>98.87</v>
      </c>
      <c r="AB18" s="278"/>
      <c r="AC18" s="51" t="s">
        <v>32</v>
      </c>
      <c r="AD18" s="52">
        <v>43</v>
      </c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137</v>
      </c>
      <c r="J19" s="259"/>
      <c r="K19" s="259"/>
      <c r="L19" s="260"/>
      <c r="M19" s="261" t="s">
        <v>57</v>
      </c>
      <c r="N19" s="262"/>
      <c r="O19" s="263"/>
      <c r="P19" s="105">
        <v>4.9000000000000004</v>
      </c>
      <c r="Q19" s="106"/>
      <c r="R19" s="107">
        <v>4.8</v>
      </c>
      <c r="S19" s="107">
        <v>4.2</v>
      </c>
      <c r="T19" s="197">
        <v>5</v>
      </c>
      <c r="U19" s="108">
        <f>(U17-U20)/U17*100</f>
        <v>4.6689029749973816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34</v>
      </c>
      <c r="AE19" s="11">
        <v>17</v>
      </c>
      <c r="AF19" s="12">
        <f t="shared" si="0"/>
        <v>3.1166666666666667</v>
      </c>
    </row>
    <row r="20" spans="1:32" ht="16.5" thickBot="1" x14ac:dyDescent="0.3">
      <c r="A20" s="294" t="s">
        <v>30</v>
      </c>
      <c r="B20" s="295"/>
      <c r="C20" s="44">
        <v>70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259.62299999999999</v>
      </c>
      <c r="Q20" s="113"/>
      <c r="R20" s="114">
        <f>(R17-(R17*R19/100))</f>
        <v>491.20629599999995</v>
      </c>
      <c r="S20" s="112">
        <f>(S17-(S17*S19/100))</f>
        <v>360.20800000000003</v>
      </c>
      <c r="T20" s="112">
        <f>(T17-(T17*T19/100))</f>
        <v>130.76750000000001</v>
      </c>
      <c r="U20" s="115">
        <f>P20+Q20+R20+S20+T20</f>
        <v>1241.8047959999999</v>
      </c>
      <c r="V20" s="4"/>
      <c r="W20" s="4"/>
      <c r="X20" s="281"/>
      <c r="Y20" s="192" t="s">
        <v>45</v>
      </c>
      <c r="Z20" s="69"/>
      <c r="AA20" s="70">
        <f>100-Z20</f>
        <v>100</v>
      </c>
      <c r="AB20" s="279"/>
      <c r="AC20" s="74" t="s">
        <v>37</v>
      </c>
      <c r="AD20" s="58">
        <v>12</v>
      </c>
      <c r="AE20" s="11">
        <v>18</v>
      </c>
      <c r="AF20" s="12">
        <f t="shared" si="0"/>
        <v>3.3</v>
      </c>
    </row>
    <row r="21" spans="1:32" ht="19.5" thickBot="1" x14ac:dyDescent="0.3">
      <c r="A21" s="294" t="s">
        <v>61</v>
      </c>
      <c r="B21" s="295"/>
      <c r="C21" s="44">
        <v>20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51</v>
      </c>
      <c r="K21" s="118"/>
      <c r="L21" s="119"/>
      <c r="M21" s="307" t="s">
        <v>63</v>
      </c>
      <c r="N21" s="308"/>
      <c r="O21" s="309"/>
      <c r="P21" s="120">
        <f>(U17-(U17*U19/100))</f>
        <v>1241.8047959999999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1.1000000000000001</v>
      </c>
      <c r="AA21" s="73">
        <f>100-Z21</f>
        <v>98.9</v>
      </c>
      <c r="AB21" s="190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 t="s">
        <v>32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49</v>
      </c>
      <c r="K22" s="316">
        <f>J22/I22*100</f>
        <v>49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2.7</v>
      </c>
      <c r="AA22" s="73">
        <f>100-Z22</f>
        <v>97.3</v>
      </c>
      <c r="AB22" s="283">
        <v>0.625</v>
      </c>
      <c r="AC22" s="49" t="s">
        <v>30</v>
      </c>
      <c r="AD22" s="50">
        <v>37</v>
      </c>
      <c r="AE22" s="11">
        <v>20</v>
      </c>
      <c r="AF22" s="12">
        <f t="shared" si="0"/>
        <v>3.6666666666666665</v>
      </c>
    </row>
    <row r="23" spans="1:32" ht="16.5" thickBot="1" x14ac:dyDescent="0.3">
      <c r="A23" s="294" t="s">
        <v>35</v>
      </c>
      <c r="B23" s="295"/>
      <c r="C23" s="44">
        <v>70</v>
      </c>
      <c r="D23" s="296">
        <v>0.2</v>
      </c>
      <c r="E23" s="297"/>
      <c r="F23" s="298" t="s">
        <v>58</v>
      </c>
      <c r="G23" s="299"/>
      <c r="H23" s="4"/>
      <c r="I23" s="133" t="s">
        <v>66</v>
      </c>
      <c r="J23" s="134">
        <v>30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0.9</v>
      </c>
      <c r="AA23" s="73">
        <f>100-Z23</f>
        <v>99.1</v>
      </c>
      <c r="AB23" s="278"/>
      <c r="AC23" s="51" t="s">
        <v>32</v>
      </c>
      <c r="AD23" s="52">
        <v>38</v>
      </c>
      <c r="AE23" s="11">
        <v>21</v>
      </c>
      <c r="AF23" s="12">
        <f t="shared" si="0"/>
        <v>3.85</v>
      </c>
    </row>
    <row r="24" spans="1:32" ht="16.5" thickBot="1" x14ac:dyDescent="0.3">
      <c r="A24" s="294" t="s">
        <v>37</v>
      </c>
      <c r="B24" s="295"/>
      <c r="C24" s="44">
        <v>70</v>
      </c>
      <c r="D24" s="296">
        <v>0.15</v>
      </c>
      <c r="E24" s="297"/>
      <c r="F24" s="298" t="s">
        <v>58</v>
      </c>
      <c r="G24" s="299"/>
      <c r="H24" s="4"/>
      <c r="I24" s="136">
        <v>100</v>
      </c>
      <c r="J24" s="121">
        <f>I24-J23</f>
        <v>70</v>
      </c>
      <c r="K24" s="316">
        <f>J24/I24*100</f>
        <v>70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v>98.43</v>
      </c>
      <c r="AB24" s="278"/>
      <c r="AC24" s="51" t="s">
        <v>35</v>
      </c>
      <c r="AD24" s="52">
        <v>31</v>
      </c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12</v>
      </c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1.7</v>
      </c>
      <c r="AA26" s="70">
        <f>100-Z26</f>
        <v>98.3</v>
      </c>
      <c r="AB26" s="189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1.8</v>
      </c>
      <c r="AA27" s="73">
        <f>100-Z27</f>
        <v>98.2</v>
      </c>
      <c r="AB27" s="267">
        <v>0.70833333333333337</v>
      </c>
      <c r="AC27" s="62" t="s">
        <v>30</v>
      </c>
      <c r="AD27" s="50">
        <v>42</v>
      </c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 t="s">
        <v>182</v>
      </c>
      <c r="B28" s="408"/>
      <c r="C28" s="182">
        <v>0.37708333333333338</v>
      </c>
      <c r="D28" s="403">
        <v>0.58333333333333337</v>
      </c>
      <c r="E28" s="404"/>
      <c r="F28" s="409" t="s">
        <v>184</v>
      </c>
      <c r="G28" s="410"/>
      <c r="H28" s="345" t="s">
        <v>186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2.7</v>
      </c>
      <c r="AA28" s="73">
        <f>100-Z28</f>
        <v>97.3</v>
      </c>
      <c r="AB28" s="268"/>
      <c r="AC28" s="67" t="s">
        <v>32</v>
      </c>
      <c r="AD28" s="52">
        <v>44</v>
      </c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45" t="s">
        <v>183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1.4</v>
      </c>
      <c r="AA29" s="73">
        <f>100-Z29</f>
        <v>98.6</v>
      </c>
      <c r="AB29" s="268"/>
      <c r="AC29" s="51" t="s">
        <v>35</v>
      </c>
      <c r="AD29" s="52">
        <v>32</v>
      </c>
      <c r="AE29" s="11">
        <v>27</v>
      </c>
      <c r="AF29" s="12">
        <f t="shared" si="0"/>
        <v>4.95</v>
      </c>
    </row>
    <row r="30" spans="1:32" ht="21" thickBot="1" x14ac:dyDescent="0.35">
      <c r="A30" s="407" t="s">
        <v>61</v>
      </c>
      <c r="B30" s="408"/>
      <c r="C30" s="182">
        <v>0.59027777777777779</v>
      </c>
      <c r="D30" s="403">
        <v>0.63472222222222219</v>
      </c>
      <c r="E30" s="404"/>
      <c r="F30" s="405" t="s">
        <v>187</v>
      </c>
      <c r="G30" s="406"/>
      <c r="H30" s="345" t="s">
        <v>185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98.1</v>
      </c>
      <c r="AB30" s="269"/>
      <c r="AC30" s="74" t="s">
        <v>37</v>
      </c>
      <c r="AD30" s="58">
        <v>13</v>
      </c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 t="s">
        <v>188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 t="s">
        <v>189</v>
      </c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0.8</v>
      </c>
      <c r="AA32" s="70">
        <f>100-Z32</f>
        <v>99.2</v>
      </c>
      <c r="AB32" s="267">
        <v>0.79166666666666663</v>
      </c>
      <c r="AC32" s="62" t="s">
        <v>30</v>
      </c>
      <c r="AD32" s="50">
        <v>42</v>
      </c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>
        <v>3.3</v>
      </c>
      <c r="AA33" s="73">
        <f>100-Z33</f>
        <v>96.7</v>
      </c>
      <c r="AB33" s="268"/>
      <c r="AC33" s="51" t="s">
        <v>32</v>
      </c>
      <c r="AD33" s="52">
        <v>42</v>
      </c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2.4</v>
      </c>
      <c r="AA34" s="73">
        <f>100-Z34</f>
        <v>97.6</v>
      </c>
      <c r="AB34" s="268"/>
      <c r="AC34" s="67" t="s">
        <v>35</v>
      </c>
      <c r="AD34" s="52">
        <v>31</v>
      </c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0.4</v>
      </c>
      <c r="AA35" s="73">
        <f>100-Z35</f>
        <v>99.6</v>
      </c>
      <c r="AB35" s="269"/>
      <c r="AC35" s="74" t="s">
        <v>37</v>
      </c>
      <c r="AD35" s="58">
        <v>13</v>
      </c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98.275000000000006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53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31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>
        <v>52</v>
      </c>
      <c r="E42" s="386"/>
      <c r="F42" s="387"/>
      <c r="G42" s="160"/>
      <c r="H42" s="397" t="s">
        <v>88</v>
      </c>
      <c r="I42" s="398"/>
      <c r="J42" s="164">
        <v>9.2200000000000006</v>
      </c>
      <c r="K42" s="399">
        <v>10.220000000000001</v>
      </c>
      <c r="L42" s="400"/>
      <c r="M42" s="164">
        <v>10.119999999999999</v>
      </c>
      <c r="N42" s="165">
        <v>9.4499999999999993</v>
      </c>
      <c r="O42" s="165">
        <v>10.01</v>
      </c>
      <c r="P42" s="165">
        <v>9.59</v>
      </c>
      <c r="Q42" s="401">
        <f>AVERAGE(J42:P43)</f>
        <v>9.7683333333333326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187" t="s">
        <v>89</v>
      </c>
      <c r="B43" s="188"/>
      <c r="C43" s="188"/>
      <c r="D43" s="386">
        <v>3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32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193"/>
      <c r="X44" s="193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AD8" sqref="AD8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6" width="11.14062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138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AE3*38/60</f>
        <v>0.6333333333333333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AE4*38/60</f>
        <v>1.2666666666666666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37.1</v>
      </c>
      <c r="Q5" s="29">
        <v>0</v>
      </c>
      <c r="R5" s="30">
        <v>42.4</v>
      </c>
      <c r="S5" s="30">
        <v>26.5</v>
      </c>
      <c r="T5" s="31">
        <v>11.9</v>
      </c>
      <c r="U5" s="32">
        <f>SUM(P5:T5)</f>
        <v>117.9</v>
      </c>
      <c r="V5" s="33"/>
      <c r="W5" s="21" t="s">
        <v>27</v>
      </c>
      <c r="X5" s="34">
        <f>'06.01.26см2'!Y5</f>
        <v>515586</v>
      </c>
      <c r="Y5" s="34">
        <f>X5+P17</f>
        <v>516005.2</v>
      </c>
      <c r="Z5" s="35">
        <f>Y5-X5</f>
        <v>419.20000000001164</v>
      </c>
      <c r="AA5" s="36">
        <v>1</v>
      </c>
      <c r="AB5" s="265"/>
      <c r="AC5" s="265"/>
      <c r="AD5" s="265"/>
      <c r="AE5" s="11">
        <v>3</v>
      </c>
      <c r="AF5" s="12">
        <f t="shared" si="0"/>
        <v>1.9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37.200000000000003</v>
      </c>
      <c r="Q6" s="29">
        <v>0</v>
      </c>
      <c r="R6" s="30">
        <v>43.680999999999997</v>
      </c>
      <c r="S6" s="30">
        <v>25</v>
      </c>
      <c r="T6" s="31">
        <v>11.89</v>
      </c>
      <c r="U6" s="32">
        <f t="shared" ref="U6:U16" si="1">SUM(P6:T6)</f>
        <v>117.771</v>
      </c>
      <c r="V6" s="44">
        <v>3</v>
      </c>
      <c r="W6" s="37" t="s">
        <v>28</v>
      </c>
      <c r="X6" s="45">
        <f>'06.01.26см2'!Y6</f>
        <v>812991.76099999994</v>
      </c>
      <c r="Y6" s="34">
        <f>X6+R17</f>
        <v>813415.76699999999</v>
      </c>
      <c r="Z6" s="46">
        <f>Y6-X6</f>
        <v>424.00600000005215</v>
      </c>
      <c r="AA6" s="47">
        <v>3</v>
      </c>
      <c r="AB6" s="265"/>
      <c r="AC6" s="265"/>
      <c r="AD6" s="266"/>
      <c r="AE6" s="11">
        <v>4</v>
      </c>
      <c r="AF6" s="12">
        <f t="shared" si="0"/>
        <v>2.5333333333333332</v>
      </c>
    </row>
    <row r="7" spans="1:32" ht="19.5" thickBot="1" x14ac:dyDescent="0.3">
      <c r="A7" s="37" t="s">
        <v>29</v>
      </c>
      <c r="B7" s="38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>
        <v>42</v>
      </c>
      <c r="Q7" s="29">
        <v>0</v>
      </c>
      <c r="R7" s="30">
        <v>43</v>
      </c>
      <c r="S7" s="30">
        <v>30</v>
      </c>
      <c r="T7" s="31">
        <v>12.78</v>
      </c>
      <c r="U7" s="32">
        <f t="shared" si="1"/>
        <v>127.78</v>
      </c>
      <c r="V7" s="44">
        <v>5</v>
      </c>
      <c r="W7" s="37" t="s">
        <v>29</v>
      </c>
      <c r="X7" s="48">
        <f>'06.01.26см2'!Y7</f>
        <v>506303</v>
      </c>
      <c r="Y7" s="34">
        <f>X7+S17</f>
        <v>506603</v>
      </c>
      <c r="Z7" s="46">
        <f>Y7-X7</f>
        <v>300</v>
      </c>
      <c r="AA7" s="47">
        <v>4</v>
      </c>
      <c r="AB7" s="267">
        <v>0.875</v>
      </c>
      <c r="AC7" s="49" t="s">
        <v>30</v>
      </c>
      <c r="AD7" s="50">
        <v>42</v>
      </c>
      <c r="AE7" s="11">
        <v>5</v>
      </c>
      <c r="AF7" s="12">
        <f t="shared" si="0"/>
        <v>3.1666666666666665</v>
      </c>
    </row>
    <row r="8" spans="1:32" ht="19.5" thickBot="1" x14ac:dyDescent="0.3">
      <c r="A8" s="37" t="s">
        <v>31</v>
      </c>
      <c r="B8" s="38">
        <v>70</v>
      </c>
      <c r="C8" s="39">
        <v>61</v>
      </c>
      <c r="D8" s="39">
        <v>70</v>
      </c>
      <c r="E8" s="40">
        <v>68</v>
      </c>
      <c r="F8" s="41">
        <v>68</v>
      </c>
      <c r="G8" s="42">
        <v>46</v>
      </c>
      <c r="H8" s="41">
        <v>39</v>
      </c>
      <c r="I8" s="42"/>
      <c r="J8" s="41"/>
      <c r="K8" s="38">
        <v>58</v>
      </c>
      <c r="L8" s="43">
        <v>55</v>
      </c>
      <c r="M8" s="40">
        <v>52</v>
      </c>
      <c r="N8" s="42">
        <v>51</v>
      </c>
      <c r="O8" s="41">
        <v>68</v>
      </c>
      <c r="P8" s="28">
        <v>41</v>
      </c>
      <c r="Q8" s="29">
        <v>0</v>
      </c>
      <c r="R8" s="30">
        <v>42</v>
      </c>
      <c r="S8" s="30">
        <v>31</v>
      </c>
      <c r="T8" s="31">
        <v>11.51</v>
      </c>
      <c r="U8" s="32">
        <f t="shared" si="1"/>
        <v>125.51</v>
      </c>
      <c r="V8" s="44">
        <v>2</v>
      </c>
      <c r="W8" s="37" t="s">
        <v>31</v>
      </c>
      <c r="X8" s="46">
        <f>'06.01.26см2'!Y8</f>
        <v>1712.66</v>
      </c>
      <c r="Y8" s="34">
        <f>X8+T17</f>
        <v>1844.04</v>
      </c>
      <c r="Z8" s="46">
        <f>T17</f>
        <v>131.38</v>
      </c>
      <c r="AA8" s="47">
        <v>5</v>
      </c>
      <c r="AB8" s="268"/>
      <c r="AC8" s="51" t="s">
        <v>32</v>
      </c>
      <c r="AD8" s="52">
        <v>46</v>
      </c>
      <c r="AE8" s="11">
        <v>6</v>
      </c>
      <c r="AF8" s="12">
        <f t="shared" si="0"/>
        <v>3.8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42</v>
      </c>
      <c r="Q9" s="29">
        <v>0</v>
      </c>
      <c r="R9" s="30">
        <v>41</v>
      </c>
      <c r="S9" s="30">
        <v>30</v>
      </c>
      <c r="T9" s="31">
        <v>9.56</v>
      </c>
      <c r="U9" s="32">
        <f t="shared" si="1"/>
        <v>122.56</v>
      </c>
      <c r="V9" s="44">
        <v>1</v>
      </c>
      <c r="W9" s="37" t="s">
        <v>33</v>
      </c>
      <c r="X9" s="270" t="s">
        <v>34</v>
      </c>
      <c r="Y9" s="271"/>
      <c r="Z9" s="54">
        <f>SUM(Z5:Z8)</f>
        <v>1274.5860000000639</v>
      </c>
      <c r="AA9" s="55"/>
      <c r="AB9" s="268"/>
      <c r="AC9" s="51" t="s">
        <v>35</v>
      </c>
      <c r="AD9" s="52">
        <v>30</v>
      </c>
      <c r="AE9" s="11">
        <v>7</v>
      </c>
      <c r="AF9" s="12">
        <f t="shared" si="0"/>
        <v>4.4333333333333336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31.5</v>
      </c>
      <c r="Q10" s="29">
        <v>0</v>
      </c>
      <c r="R10" s="30">
        <v>27</v>
      </c>
      <c r="S10" s="30">
        <v>22.5</v>
      </c>
      <c r="T10" s="31">
        <v>8.1</v>
      </c>
      <c r="U10" s="32">
        <f t="shared" si="1"/>
        <v>89.1</v>
      </c>
      <c r="V10" s="44">
        <v>1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13</v>
      </c>
      <c r="AE10" s="11">
        <v>8</v>
      </c>
      <c r="AF10" s="12">
        <f t="shared" si="0"/>
        <v>5.0666666666666664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29.4</v>
      </c>
      <c r="Q11" s="29">
        <v>0</v>
      </c>
      <c r="R11" s="30">
        <v>29.4</v>
      </c>
      <c r="S11" s="30">
        <v>21</v>
      </c>
      <c r="T11" s="31">
        <v>8.4</v>
      </c>
      <c r="U11" s="32">
        <f t="shared" si="1"/>
        <v>88.2</v>
      </c>
      <c r="V11" s="44">
        <v>3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5.7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37</v>
      </c>
      <c r="Q12" s="29">
        <v>0</v>
      </c>
      <c r="R12" s="30">
        <v>30.62</v>
      </c>
      <c r="S12" s="30">
        <v>25</v>
      </c>
      <c r="T12" s="31">
        <v>12.61</v>
      </c>
      <c r="U12" s="32">
        <f t="shared" si="1"/>
        <v>105.23</v>
      </c>
      <c r="V12" s="44">
        <v>3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42</v>
      </c>
      <c r="AE12" s="11">
        <v>10</v>
      </c>
      <c r="AF12" s="12">
        <f t="shared" si="0"/>
        <v>6.333333333333333</v>
      </c>
    </row>
    <row r="13" spans="1:32" ht="19.5" thickBot="1" x14ac:dyDescent="0.35">
      <c r="A13" s="37" t="s">
        <v>41</v>
      </c>
      <c r="B13" s="38">
        <v>65</v>
      </c>
      <c r="C13" s="39">
        <v>56</v>
      </c>
      <c r="D13" s="39">
        <v>67</v>
      </c>
      <c r="E13" s="40">
        <v>55</v>
      </c>
      <c r="F13" s="41">
        <v>53</v>
      </c>
      <c r="G13" s="42">
        <v>37</v>
      </c>
      <c r="H13" s="41">
        <v>28</v>
      </c>
      <c r="I13" s="42">
        <v>44</v>
      </c>
      <c r="J13" s="41"/>
      <c r="K13" s="38">
        <v>50</v>
      </c>
      <c r="L13" s="43">
        <v>54</v>
      </c>
      <c r="M13" s="40">
        <v>46</v>
      </c>
      <c r="N13" s="42">
        <v>55</v>
      </c>
      <c r="O13" s="41">
        <v>81</v>
      </c>
      <c r="P13" s="53">
        <v>24</v>
      </c>
      <c r="Q13" s="29">
        <v>0</v>
      </c>
      <c r="R13" s="30">
        <v>23.744</v>
      </c>
      <c r="S13" s="30">
        <v>20</v>
      </c>
      <c r="T13" s="31">
        <v>12.37</v>
      </c>
      <c r="U13" s="32">
        <f t="shared" si="1"/>
        <v>80.114000000000004</v>
      </c>
      <c r="V13" s="44">
        <v>3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43</v>
      </c>
      <c r="AE13" s="11">
        <v>11</v>
      </c>
      <c r="AF13" s="12">
        <f t="shared" si="0"/>
        <v>6.9666666666666668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22.6</v>
      </c>
      <c r="Q14" s="29">
        <v>0</v>
      </c>
      <c r="R14" s="30">
        <v>24</v>
      </c>
      <c r="S14" s="30">
        <v>21</v>
      </c>
      <c r="T14" s="31">
        <v>13.91</v>
      </c>
      <c r="U14" s="32">
        <f t="shared" si="1"/>
        <v>81.509999999999991</v>
      </c>
      <c r="V14" s="44">
        <v>3</v>
      </c>
      <c r="W14" s="37" t="s">
        <v>44</v>
      </c>
      <c r="X14" s="280">
        <v>0.91666666666666663</v>
      </c>
      <c r="Y14" s="192" t="s">
        <v>45</v>
      </c>
      <c r="Z14" s="69">
        <v>4.9000000000000004</v>
      </c>
      <c r="AA14" s="70">
        <f>100-Z14</f>
        <v>95.1</v>
      </c>
      <c r="AB14" s="278"/>
      <c r="AC14" s="51" t="s">
        <v>35</v>
      </c>
      <c r="AD14" s="52">
        <v>30</v>
      </c>
      <c r="AE14" s="11">
        <v>12</v>
      </c>
      <c r="AF14" s="12">
        <f t="shared" si="0"/>
        <v>7.6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38.200000000000003</v>
      </c>
      <c r="Q15" s="29">
        <v>0</v>
      </c>
      <c r="R15" s="30">
        <v>38.820999999999998</v>
      </c>
      <c r="S15" s="30">
        <v>28</v>
      </c>
      <c r="T15" s="31">
        <v>9</v>
      </c>
      <c r="U15" s="32">
        <f t="shared" si="1"/>
        <v>114.021</v>
      </c>
      <c r="V15" s="44">
        <v>3</v>
      </c>
      <c r="W15" s="37" t="s">
        <v>46</v>
      </c>
      <c r="X15" s="281"/>
      <c r="Y15" s="71" t="s">
        <v>47</v>
      </c>
      <c r="Z15" s="72">
        <v>3.3</v>
      </c>
      <c r="AA15" s="73">
        <f>100-Z15</f>
        <v>96.7</v>
      </c>
      <c r="AB15" s="279"/>
      <c r="AC15" s="74" t="s">
        <v>37</v>
      </c>
      <c r="AD15" s="58">
        <v>11</v>
      </c>
      <c r="AE15" s="11">
        <v>13</v>
      </c>
      <c r="AF15" s="12">
        <f t="shared" si="0"/>
        <v>8.2333333333333325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37.200000000000003</v>
      </c>
      <c r="Q16" s="29">
        <v>0</v>
      </c>
      <c r="R16" s="30">
        <v>38.340000000000003</v>
      </c>
      <c r="S16" s="30">
        <v>20</v>
      </c>
      <c r="T16" s="82">
        <v>9.35</v>
      </c>
      <c r="U16" s="32">
        <f t="shared" si="1"/>
        <v>104.89</v>
      </c>
      <c r="V16" s="83">
        <v>4</v>
      </c>
      <c r="W16" s="75" t="s">
        <v>48</v>
      </c>
      <c r="X16" s="281"/>
      <c r="Y16" s="71" t="s">
        <v>49</v>
      </c>
      <c r="Z16" s="72">
        <v>2.6</v>
      </c>
      <c r="AA16" s="73">
        <f>100-Z16</f>
        <v>97.4</v>
      </c>
      <c r="AB16" s="190"/>
      <c r="AC16" s="85"/>
      <c r="AD16" s="86"/>
      <c r="AE16" s="11">
        <v>14</v>
      </c>
      <c r="AF16" s="12">
        <f t="shared" si="0"/>
        <v>8.8666666666666671</v>
      </c>
    </row>
    <row r="17" spans="1:32" ht="16.5" thickBot="1" x14ac:dyDescent="0.3">
      <c r="A17" s="87" t="s">
        <v>50</v>
      </c>
      <c r="B17" s="88">
        <f>AVERAGE(B5:B15)</f>
        <v>67.5</v>
      </c>
      <c r="C17" s="88">
        <f>AVERAGE(C5:C16)</f>
        <v>58.5</v>
      </c>
      <c r="D17" s="88">
        <f>AVERAGE(D5:D15)</f>
        <v>68.5</v>
      </c>
      <c r="E17" s="88">
        <f>AVERAGE(E5:E15)</f>
        <v>61.5</v>
      </c>
      <c r="F17" s="88">
        <f>AVERAGE(F5:F15)</f>
        <v>60.5</v>
      </c>
      <c r="G17" s="88">
        <f>AVERAGE(G5:G16)</f>
        <v>41.5</v>
      </c>
      <c r="H17" s="88">
        <f>AVERAGE(H5:H16)</f>
        <v>33.5</v>
      </c>
      <c r="I17" s="88">
        <f t="shared" ref="I17:N17" si="2">AVERAGE(I5:I15)</f>
        <v>44</v>
      </c>
      <c r="J17" s="88" t="e">
        <f t="shared" si="2"/>
        <v>#DIV/0!</v>
      </c>
      <c r="K17" s="88">
        <f t="shared" si="2"/>
        <v>54</v>
      </c>
      <c r="L17" s="88">
        <f t="shared" si="2"/>
        <v>54.5</v>
      </c>
      <c r="M17" s="89">
        <f t="shared" si="2"/>
        <v>49</v>
      </c>
      <c r="N17" s="89">
        <f t="shared" si="2"/>
        <v>53</v>
      </c>
      <c r="O17" s="89">
        <f>AVERAGE(O5:O16)</f>
        <v>74.5</v>
      </c>
      <c r="P17" s="90">
        <f>SUM(P5:P16)</f>
        <v>419.2</v>
      </c>
      <c r="Q17" s="91">
        <f>SUM(Q5:Q16)</f>
        <v>0</v>
      </c>
      <c r="R17" s="92">
        <f>SUM(R5:R16)</f>
        <v>424.00600000000009</v>
      </c>
      <c r="S17" s="93">
        <f>SUM(S5:S16)</f>
        <v>300</v>
      </c>
      <c r="T17" s="93">
        <f>SUM(T5:T16)</f>
        <v>131.38</v>
      </c>
      <c r="U17" s="94">
        <f>SUM(P17:T17)</f>
        <v>1274.5860000000002</v>
      </c>
      <c r="V17" s="1">
        <f>SUM(V5:V16)</f>
        <v>31</v>
      </c>
      <c r="W17" s="4"/>
      <c r="X17" s="281"/>
      <c r="Y17" s="71" t="s">
        <v>51</v>
      </c>
      <c r="Z17" s="95">
        <v>2.4</v>
      </c>
      <c r="AA17" s="73">
        <f>100-Z17</f>
        <v>97.6</v>
      </c>
      <c r="AB17" s="283">
        <v>4.1666666666666664E-2</v>
      </c>
      <c r="AC17" s="62" t="s">
        <v>30</v>
      </c>
      <c r="AD17" s="50">
        <v>42</v>
      </c>
      <c r="AE17" s="11">
        <v>15</v>
      </c>
      <c r="AF17" s="12">
        <f t="shared" si="0"/>
        <v>9.5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(AA14+AA16+AA17)/3</f>
        <v>96.7</v>
      </c>
      <c r="AB18" s="278"/>
      <c r="AC18" s="51" t="s">
        <v>32</v>
      </c>
      <c r="AD18" s="52">
        <v>41</v>
      </c>
      <c r="AE18" s="11">
        <v>16</v>
      </c>
      <c r="AF18" s="12">
        <f t="shared" si="0"/>
        <v>10.133333333333333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190</v>
      </c>
      <c r="J19" s="259"/>
      <c r="K19" s="259"/>
      <c r="L19" s="260"/>
      <c r="M19" s="261" t="s">
        <v>57</v>
      </c>
      <c r="N19" s="262"/>
      <c r="O19" s="263"/>
      <c r="P19" s="105">
        <v>7.2</v>
      </c>
      <c r="Q19" s="106"/>
      <c r="R19" s="107">
        <v>6.8</v>
      </c>
      <c r="S19" s="107">
        <v>4.5</v>
      </c>
      <c r="T19" s="107">
        <v>3.8</v>
      </c>
      <c r="U19" s="108">
        <f>(U17-U20)/U17*100</f>
        <v>6.0809743712860564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30</v>
      </c>
      <c r="AE19" s="11">
        <v>17</v>
      </c>
      <c r="AF19" s="12">
        <f t="shared" si="0"/>
        <v>10.766666666666667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389.01760000000002</v>
      </c>
      <c r="Q20" s="113"/>
      <c r="R20" s="114">
        <f>(R17-(R17*R19/100))</f>
        <v>395.1735920000001</v>
      </c>
      <c r="S20" s="112">
        <f>(S17-(S17*S19/100))</f>
        <v>286.5</v>
      </c>
      <c r="T20" s="112">
        <f>(T17-(T17*T19/100))</f>
        <v>126.38755999999999</v>
      </c>
      <c r="U20" s="115">
        <f>P20+Q20+R20+S20+T20</f>
        <v>1197.0787520000001</v>
      </c>
      <c r="V20" s="4"/>
      <c r="W20" s="4"/>
      <c r="X20" s="281"/>
      <c r="Y20" s="192" t="s">
        <v>45</v>
      </c>
      <c r="Z20" s="69">
        <v>2</v>
      </c>
      <c r="AA20" s="70">
        <f>100-Z20</f>
        <v>98</v>
      </c>
      <c r="AB20" s="279"/>
      <c r="AC20" s="74" t="s">
        <v>37</v>
      </c>
      <c r="AD20" s="58">
        <v>10</v>
      </c>
      <c r="AE20" s="11">
        <v>18</v>
      </c>
      <c r="AF20" s="12">
        <f t="shared" si="0"/>
        <v>11.4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>
        <v>45</v>
      </c>
      <c r="K21" s="118"/>
      <c r="L21" s="119"/>
      <c r="M21" s="307" t="s">
        <v>63</v>
      </c>
      <c r="N21" s="308"/>
      <c r="O21" s="309"/>
      <c r="P21" s="120">
        <f>(U17-(U17*U19/100))</f>
        <v>1197.0787520000001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1.4</v>
      </c>
      <c r="AA21" s="73">
        <f>100-Z21</f>
        <v>98.6</v>
      </c>
      <c r="AB21" s="190"/>
      <c r="AC21" s="124"/>
      <c r="AD21" s="86"/>
      <c r="AE21" s="11">
        <v>19</v>
      </c>
      <c r="AF21" s="12">
        <f t="shared" si="0"/>
        <v>12.033333333333333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55</v>
      </c>
      <c r="K22" s="316">
        <f>J22/I22*100</f>
        <v>55.000000000000007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1.6</v>
      </c>
      <c r="AA22" s="73">
        <f>100-Z22</f>
        <v>98.4</v>
      </c>
      <c r="AB22" s="283">
        <v>0.125</v>
      </c>
      <c r="AC22" s="49" t="s">
        <v>30</v>
      </c>
      <c r="AD22" s="50">
        <v>43</v>
      </c>
      <c r="AE22" s="11">
        <v>20</v>
      </c>
      <c r="AF22" s="12">
        <f t="shared" si="0"/>
        <v>12.666666666666666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>
        <v>29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1.9</v>
      </c>
      <c r="AA23" s="73">
        <f>100-Z23</f>
        <v>98.1</v>
      </c>
      <c r="AB23" s="278"/>
      <c r="AC23" s="51" t="s">
        <v>32</v>
      </c>
      <c r="AD23" s="52">
        <v>43</v>
      </c>
      <c r="AE23" s="11">
        <v>21</v>
      </c>
      <c r="AF23" s="12">
        <f t="shared" si="0"/>
        <v>13.3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71</v>
      </c>
      <c r="K24" s="316">
        <f>J24/I24*100</f>
        <v>71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(AA20+AA22+AA23)/3</f>
        <v>98.166666666666671</v>
      </c>
      <c r="AB24" s="278"/>
      <c r="AC24" s="51" t="s">
        <v>35</v>
      </c>
      <c r="AD24" s="52">
        <v>29</v>
      </c>
      <c r="AE24" s="11">
        <v>22</v>
      </c>
      <c r="AF24" s="12">
        <f t="shared" si="0"/>
        <v>13.933333333333334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10</v>
      </c>
      <c r="AE25" s="11">
        <v>23</v>
      </c>
      <c r="AF25" s="12">
        <f t="shared" si="0"/>
        <v>14.566666666666666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4.4000000000000004</v>
      </c>
      <c r="AA26" s="70">
        <f>100-Z26</f>
        <v>95.6</v>
      </c>
      <c r="AB26" s="189"/>
      <c r="AC26" s="124"/>
      <c r="AD26" s="86"/>
      <c r="AE26" s="11">
        <v>24</v>
      </c>
      <c r="AF26" s="12">
        <f t="shared" si="0"/>
        <v>15.2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4.8</v>
      </c>
      <c r="AA27" s="73">
        <f>100-Z27</f>
        <v>95.2</v>
      </c>
      <c r="AB27" s="267">
        <v>0.20833333333333334</v>
      </c>
      <c r="AC27" s="62" t="s">
        <v>30</v>
      </c>
      <c r="AD27" s="50">
        <v>38</v>
      </c>
      <c r="AE27" s="11">
        <v>25</v>
      </c>
      <c r="AF27" s="12">
        <f t="shared" si="0"/>
        <v>15.833333333333334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 t="s">
        <v>192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3.2</v>
      </c>
      <c r="AA28" s="73">
        <f>100-Z28</f>
        <v>96.8</v>
      </c>
      <c r="AB28" s="268"/>
      <c r="AC28" s="67" t="s">
        <v>32</v>
      </c>
      <c r="AD28" s="52">
        <v>37</v>
      </c>
      <c r="AE28" s="11">
        <v>26</v>
      </c>
      <c r="AF28" s="12">
        <f t="shared" si="0"/>
        <v>16.466666666666665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 t="s">
        <v>191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2.4</v>
      </c>
      <c r="AA29" s="73">
        <f>100-Z29</f>
        <v>97.6</v>
      </c>
      <c r="AB29" s="268"/>
      <c r="AC29" s="51" t="s">
        <v>35</v>
      </c>
      <c r="AD29" s="52">
        <v>28</v>
      </c>
      <c r="AE29" s="11">
        <v>27</v>
      </c>
      <c r="AF29" s="12">
        <f t="shared" si="0"/>
        <v>17.100000000000001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 t="s">
        <v>194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65</v>
      </c>
      <c r="X30" s="282"/>
      <c r="Y30" s="146"/>
      <c r="Z30" s="147"/>
      <c r="AA30" s="103">
        <f>(AA26+AA28+AA29)/3</f>
        <v>96.666666666666671</v>
      </c>
      <c r="AB30" s="269"/>
      <c r="AC30" s="74" t="s">
        <v>37</v>
      </c>
      <c r="AD30" s="58">
        <v>9</v>
      </c>
      <c r="AE30" s="11">
        <v>28</v>
      </c>
      <c r="AF30" s="12">
        <f t="shared" si="0"/>
        <v>17.733333333333334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 t="s">
        <v>193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18.366666666666667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 t="s">
        <v>195</v>
      </c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2.4</v>
      </c>
      <c r="AA32" s="70">
        <f>100-Z32</f>
        <v>97.6</v>
      </c>
      <c r="AB32" s="267">
        <v>0.29166666666666669</v>
      </c>
      <c r="AC32" s="62" t="s">
        <v>30</v>
      </c>
      <c r="AD32" s="50">
        <v>37</v>
      </c>
      <c r="AE32" s="11">
        <v>30</v>
      </c>
      <c r="AF32" s="12">
        <f t="shared" si="0"/>
        <v>19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>
        <v>1.1000000000000001</v>
      </c>
      <c r="AA33" s="73">
        <f>100-Z33</f>
        <v>98.9</v>
      </c>
      <c r="AB33" s="268"/>
      <c r="AC33" s="51" t="s">
        <v>32</v>
      </c>
      <c r="AD33" s="52">
        <v>37</v>
      </c>
      <c r="AE33" s="11">
        <v>31</v>
      </c>
      <c r="AF33" s="12">
        <f t="shared" si="0"/>
        <v>19.633333333333333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2.5</v>
      </c>
      <c r="AA34" s="73">
        <f>100-Z34</f>
        <v>97.5</v>
      </c>
      <c r="AB34" s="268"/>
      <c r="AC34" s="67" t="s">
        <v>35</v>
      </c>
      <c r="AD34" s="52">
        <v>28</v>
      </c>
      <c r="AE34" s="11">
        <v>32</v>
      </c>
      <c r="AF34" s="12">
        <f t="shared" si="0"/>
        <v>20.266666666666666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0.9</v>
      </c>
      <c r="AA35" s="73">
        <f>100-Z35</f>
        <v>99.1</v>
      </c>
      <c r="AB35" s="269"/>
      <c r="AC35" s="74" t="s">
        <v>37</v>
      </c>
      <c r="AD35" s="58">
        <v>9</v>
      </c>
      <c r="AE35" s="11">
        <v>33</v>
      </c>
      <c r="AF35" s="12">
        <f t="shared" si="0"/>
        <v>20.9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(AA32+AA34+AA35)/3</f>
        <v>98.066666666666663</v>
      </c>
      <c r="AB36" s="59"/>
      <c r="AC36" s="57"/>
      <c r="AD36" s="153"/>
      <c r="AE36" s="11">
        <v>34</v>
      </c>
      <c r="AF36" s="12">
        <f t="shared" si="0"/>
        <v>21.533333333333335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22.166666666666668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22.8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23.433333333333334</v>
      </c>
    </row>
    <row r="40" spans="1:32" ht="19.5" thickBot="1" x14ac:dyDescent="0.3">
      <c r="A40" s="359" t="s">
        <v>81</v>
      </c>
      <c r="B40" s="360"/>
      <c r="C40" s="360"/>
      <c r="D40" s="361">
        <v>32</v>
      </c>
      <c r="E40" s="362"/>
      <c r="F40" s="363"/>
      <c r="G40" s="160"/>
      <c r="V40" s="4"/>
      <c r="W40" s="161"/>
      <c r="Y40" t="s">
        <v>65</v>
      </c>
      <c r="AB40" s="56"/>
      <c r="AC40" s="56"/>
      <c r="AD40" s="56"/>
      <c r="AE40" s="11">
        <v>38</v>
      </c>
      <c r="AF40" s="12">
        <f t="shared" si="0"/>
        <v>24.066666666666666</v>
      </c>
    </row>
    <row r="41" spans="1:32" ht="19.5" thickBot="1" x14ac:dyDescent="0.3">
      <c r="A41" s="364" t="s">
        <v>82</v>
      </c>
      <c r="B41" s="365"/>
      <c r="C41" s="365"/>
      <c r="D41" s="366">
        <f>V17</f>
        <v>31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Y41" t="s">
        <v>80</v>
      </c>
      <c r="AE41" s="11">
        <v>39</v>
      </c>
      <c r="AF41" s="12">
        <f t="shared" si="0"/>
        <v>24.7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>
        <v>9.5500000000000007</v>
      </c>
      <c r="K42" s="399">
        <v>9.23</v>
      </c>
      <c r="L42" s="400"/>
      <c r="M42" s="164">
        <v>9.44</v>
      </c>
      <c r="N42" s="165">
        <v>9.91</v>
      </c>
      <c r="O42" s="165">
        <v>10.26</v>
      </c>
      <c r="P42" s="165">
        <v>10.34</v>
      </c>
      <c r="Q42" s="401">
        <f>AVERAGE(J42:P43)</f>
        <v>9.7883333333333322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25.333333333333332</v>
      </c>
    </row>
    <row r="43" spans="1:32" ht="21" thickBot="1" x14ac:dyDescent="0.35">
      <c r="A43" s="187" t="s">
        <v>89</v>
      </c>
      <c r="B43" s="188"/>
      <c r="C43" s="188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25.966666666666665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63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193" t="s">
        <v>92</v>
      </c>
      <c r="S44" s="193"/>
      <c r="T44" s="193"/>
      <c r="U44" s="193"/>
      <c r="V44" s="193"/>
      <c r="W44" s="193"/>
      <c r="X44" s="193"/>
      <c r="AA44" s="178"/>
      <c r="AB44" s="179"/>
      <c r="AE44" s="11">
        <v>42</v>
      </c>
      <c r="AF44" s="12">
        <f t="shared" si="0"/>
        <v>26.6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28.5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29.133333333333333</v>
      </c>
    </row>
    <row r="47" spans="1:32" ht="15.75" thickBot="1" x14ac:dyDescent="0.3">
      <c r="AE47" s="11">
        <v>47</v>
      </c>
      <c r="AF47" s="12">
        <f t="shared" si="0"/>
        <v>29.766666666666666</v>
      </c>
    </row>
    <row r="48" spans="1:32" ht="15.75" thickBot="1" x14ac:dyDescent="0.3">
      <c r="AE48" s="11">
        <v>48</v>
      </c>
      <c r="AF48" s="12">
        <f t="shared" si="0"/>
        <v>30.4</v>
      </c>
    </row>
    <row r="49" spans="31:32" ht="15.75" thickBot="1" x14ac:dyDescent="0.3">
      <c r="AE49" s="11">
        <v>49</v>
      </c>
      <c r="AF49" s="12">
        <f t="shared" si="0"/>
        <v>31.033333333333335</v>
      </c>
    </row>
    <row r="50" spans="31:32" ht="15.75" thickBot="1" x14ac:dyDescent="0.3">
      <c r="AE50" s="11">
        <v>50</v>
      </c>
      <c r="AF50" s="12">
        <f t="shared" si="0"/>
        <v>31.666666666666668</v>
      </c>
    </row>
    <row r="51" spans="31:32" ht="15.75" thickBot="1" x14ac:dyDescent="0.3">
      <c r="AE51" s="11">
        <v>51</v>
      </c>
      <c r="AF51" s="12">
        <f t="shared" si="0"/>
        <v>32.299999999999997</v>
      </c>
    </row>
    <row r="52" spans="31:32" ht="15.75" thickBot="1" x14ac:dyDescent="0.3">
      <c r="AE52" s="11">
        <v>52</v>
      </c>
      <c r="AF52" s="12">
        <f t="shared" si="0"/>
        <v>32.93333333333333</v>
      </c>
    </row>
    <row r="53" spans="31:32" ht="15.75" thickBot="1" x14ac:dyDescent="0.3">
      <c r="AE53" s="11">
        <v>53</v>
      </c>
      <c r="AF53" s="12">
        <f t="shared" si="0"/>
        <v>33.56666666666667</v>
      </c>
    </row>
    <row r="54" spans="31:32" ht="15.75" thickBot="1" x14ac:dyDescent="0.3">
      <c r="AE54" s="11">
        <v>54</v>
      </c>
      <c r="AF54" s="12">
        <f t="shared" si="0"/>
        <v>34.200000000000003</v>
      </c>
    </row>
    <row r="55" spans="31:32" ht="15.75" thickBot="1" x14ac:dyDescent="0.3">
      <c r="AE55" s="11">
        <v>55</v>
      </c>
      <c r="AF55" s="12">
        <f t="shared" si="0"/>
        <v>34.833333333333336</v>
      </c>
    </row>
    <row r="56" spans="31:32" ht="15.75" thickBot="1" x14ac:dyDescent="0.3">
      <c r="AE56" s="11">
        <v>56</v>
      </c>
      <c r="AF56" s="12">
        <f t="shared" si="0"/>
        <v>35.466666666666669</v>
      </c>
    </row>
    <row r="57" spans="31:32" ht="15.75" thickBot="1" x14ac:dyDescent="0.3">
      <c r="AE57" s="11">
        <v>57</v>
      </c>
      <c r="AF57" s="12">
        <f t="shared" si="0"/>
        <v>36.1</v>
      </c>
    </row>
    <row r="58" spans="31:32" ht="15.75" thickBot="1" x14ac:dyDescent="0.3">
      <c r="AE58" s="11">
        <v>58</v>
      </c>
      <c r="AF58" s="12">
        <f t="shared" si="0"/>
        <v>36.733333333333334</v>
      </c>
    </row>
    <row r="59" spans="31:32" ht="15.75" thickBot="1" x14ac:dyDescent="0.3">
      <c r="AE59" s="11">
        <v>59</v>
      </c>
      <c r="AF59" s="12">
        <f t="shared" si="0"/>
        <v>37.366666666666667</v>
      </c>
    </row>
    <row r="60" spans="31:32" ht="15.75" thickBot="1" x14ac:dyDescent="0.3">
      <c r="AE60" s="11">
        <v>60</v>
      </c>
      <c r="AF60" s="12">
        <f t="shared" si="0"/>
        <v>38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H36" sqref="H36:U36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7109375" customWidth="1"/>
    <col min="19" max="19" width="10.140625" customWidth="1"/>
    <col min="20" max="20" width="9.85546875" customWidth="1"/>
    <col min="21" max="23" width="10.7109375" customWidth="1"/>
    <col min="24" max="24" width="20.5703125" customWidth="1"/>
    <col min="25" max="25" width="22.85546875" customWidth="1"/>
    <col min="26" max="26" width="17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138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12.3</v>
      </c>
      <c r="Q5" s="29">
        <v>0</v>
      </c>
      <c r="R5" s="30">
        <v>24.960999999999999</v>
      </c>
      <c r="S5" s="30">
        <v>12</v>
      </c>
      <c r="T5" s="31">
        <v>2.74</v>
      </c>
      <c r="U5" s="32">
        <f>SUM(P5:T5)</f>
        <v>52.000999999999998</v>
      </c>
      <c r="V5" s="33"/>
      <c r="W5" s="21" t="s">
        <v>93</v>
      </c>
      <c r="X5" s="34">
        <v>515946.2</v>
      </c>
      <c r="Y5" s="34">
        <f>X5+P17</f>
        <v>516252.4</v>
      </c>
      <c r="Z5" s="35">
        <f>Y5-X5</f>
        <v>306.20000000001164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8.9</v>
      </c>
      <c r="Q6" s="29">
        <v>0</v>
      </c>
      <c r="R6" s="30">
        <v>28.518999999999998</v>
      </c>
      <c r="S6" s="30">
        <v>18</v>
      </c>
      <c r="T6" s="31">
        <v>0</v>
      </c>
      <c r="U6" s="32">
        <f t="shared" ref="U6:U16" si="1">SUM(P6:T6)</f>
        <v>55.418999999999997</v>
      </c>
      <c r="V6" s="44">
        <v>1</v>
      </c>
      <c r="W6" s="37" t="s">
        <v>94</v>
      </c>
      <c r="X6" s="45">
        <v>813422.01199999999</v>
      </c>
      <c r="Y6" s="34">
        <f>X6+R17</f>
        <v>813695.35699999996</v>
      </c>
      <c r="Z6" s="46">
        <f>Y6-X6</f>
        <v>273.34499999997206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>
        <v>27</v>
      </c>
      <c r="C7" s="39">
        <v>44</v>
      </c>
      <c r="D7" s="39">
        <v>73</v>
      </c>
      <c r="E7" s="40">
        <v>29</v>
      </c>
      <c r="F7" s="41"/>
      <c r="G7" s="42">
        <v>33</v>
      </c>
      <c r="H7" s="41">
        <v>22</v>
      </c>
      <c r="I7" s="42">
        <v>35</v>
      </c>
      <c r="J7" s="41"/>
      <c r="K7" s="38">
        <v>15</v>
      </c>
      <c r="L7" s="43">
        <v>58</v>
      </c>
      <c r="M7" s="40"/>
      <c r="N7" s="42">
        <v>58</v>
      </c>
      <c r="O7" s="41">
        <v>83</v>
      </c>
      <c r="P7" s="28">
        <v>7.7</v>
      </c>
      <c r="Q7" s="29">
        <v>0</v>
      </c>
      <c r="R7" s="30">
        <v>43.155999999999999</v>
      </c>
      <c r="S7" s="30">
        <v>7</v>
      </c>
      <c r="T7" s="31">
        <v>0</v>
      </c>
      <c r="U7" s="32">
        <f t="shared" si="1"/>
        <v>57.856000000000002</v>
      </c>
      <c r="V7" s="44">
        <v>2</v>
      </c>
      <c r="W7" s="37" t="s">
        <v>95</v>
      </c>
      <c r="X7" s="48">
        <v>506424</v>
      </c>
      <c r="Y7" s="34">
        <f>X7+S17</f>
        <v>506726.5</v>
      </c>
      <c r="Z7" s="46">
        <f>Y7-X7</f>
        <v>302.5</v>
      </c>
      <c r="AA7" s="47">
        <v>4</v>
      </c>
      <c r="AB7" s="267">
        <v>0.375</v>
      </c>
      <c r="AC7" s="49" t="s">
        <v>30</v>
      </c>
      <c r="AD7" s="50"/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12.9</v>
      </c>
      <c r="Q8" s="29">
        <v>0</v>
      </c>
      <c r="R8" s="30">
        <v>42.667999999999999</v>
      </c>
      <c r="S8" s="30">
        <v>31</v>
      </c>
      <c r="T8" s="31">
        <v>0</v>
      </c>
      <c r="U8" s="32">
        <f t="shared" si="1"/>
        <v>86.567999999999998</v>
      </c>
      <c r="V8" s="44">
        <v>3</v>
      </c>
      <c r="W8" s="37" t="s">
        <v>96</v>
      </c>
      <c r="X8" s="46">
        <v>1853.97</v>
      </c>
      <c r="Y8" s="34">
        <f>X8+T17</f>
        <v>1912.56</v>
      </c>
      <c r="Z8" s="46">
        <f>T17</f>
        <v>58.59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21.4</v>
      </c>
      <c r="Q9" s="29">
        <v>0</v>
      </c>
      <c r="R9" s="30">
        <v>48.478999999999999</v>
      </c>
      <c r="S9" s="30">
        <v>35</v>
      </c>
      <c r="T9" s="31">
        <v>4.1900000000000004</v>
      </c>
      <c r="U9" s="32">
        <f t="shared" si="1"/>
        <v>109.06899999999999</v>
      </c>
      <c r="V9" s="44">
        <v>2</v>
      </c>
      <c r="W9" s="37" t="s">
        <v>97</v>
      </c>
      <c r="X9" s="270" t="s">
        <v>34</v>
      </c>
      <c r="Y9" s="271"/>
      <c r="Z9" s="54">
        <f>SUM(Z5:Z8)</f>
        <v>940.63499999998373</v>
      </c>
      <c r="AA9" s="55"/>
      <c r="AB9" s="268"/>
      <c r="AC9" s="51" t="s">
        <v>35</v>
      </c>
      <c r="AD9" s="52"/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>
        <v>59</v>
      </c>
      <c r="G10" s="42"/>
      <c r="H10" s="41"/>
      <c r="I10" s="42"/>
      <c r="J10" s="41"/>
      <c r="K10" s="38"/>
      <c r="L10" s="43"/>
      <c r="M10" s="40">
        <v>44</v>
      </c>
      <c r="N10" s="42"/>
      <c r="O10" s="41"/>
      <c r="P10" s="53">
        <v>41.5</v>
      </c>
      <c r="Q10" s="29">
        <v>0</v>
      </c>
      <c r="R10" s="30">
        <v>49.033999999999999</v>
      </c>
      <c r="S10" s="30">
        <v>34</v>
      </c>
      <c r="T10" s="31">
        <v>7.95</v>
      </c>
      <c r="U10" s="32">
        <f t="shared" si="1"/>
        <v>132.48399999999998</v>
      </c>
      <c r="V10" s="44">
        <v>4</v>
      </c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36.5</v>
      </c>
      <c r="Q11" s="29">
        <v>0</v>
      </c>
      <c r="R11" s="30">
        <v>19.268999999999998</v>
      </c>
      <c r="S11" s="30">
        <v>36</v>
      </c>
      <c r="T11" s="31">
        <v>9.11</v>
      </c>
      <c r="U11" s="32">
        <f t="shared" si="1"/>
        <v>100.879</v>
      </c>
      <c r="V11" s="44">
        <v>4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37.299999999999997</v>
      </c>
      <c r="Q12" s="29">
        <v>0</v>
      </c>
      <c r="R12" s="30">
        <v>17.259</v>
      </c>
      <c r="S12" s="30">
        <v>36</v>
      </c>
      <c r="T12" s="31">
        <v>5.9</v>
      </c>
      <c r="U12" s="32">
        <f t="shared" si="1"/>
        <v>96.459000000000003</v>
      </c>
      <c r="V12" s="44">
        <v>4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>
        <v>42</v>
      </c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>
        <v>65</v>
      </c>
      <c r="C13" s="39">
        <v>49</v>
      </c>
      <c r="D13" s="39"/>
      <c r="E13" s="40">
        <v>62</v>
      </c>
      <c r="F13" s="41">
        <v>40</v>
      </c>
      <c r="G13" s="42">
        <v>40</v>
      </c>
      <c r="H13" s="41">
        <v>31</v>
      </c>
      <c r="I13" s="42">
        <v>40</v>
      </c>
      <c r="J13" s="41"/>
      <c r="K13" s="38">
        <v>45</v>
      </c>
      <c r="L13" s="43"/>
      <c r="M13" s="40">
        <v>39</v>
      </c>
      <c r="N13" s="42">
        <v>54</v>
      </c>
      <c r="O13" s="41">
        <v>72</v>
      </c>
      <c r="P13" s="53">
        <v>35.1</v>
      </c>
      <c r="Q13" s="29">
        <v>0</v>
      </c>
      <c r="R13" s="30">
        <v>0</v>
      </c>
      <c r="S13" s="30">
        <v>32</v>
      </c>
      <c r="T13" s="31">
        <v>7.2</v>
      </c>
      <c r="U13" s="32">
        <f t="shared" si="1"/>
        <v>74.3</v>
      </c>
      <c r="V13" s="44">
        <v>3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41</v>
      </c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40.6</v>
      </c>
      <c r="Q14" s="29">
        <v>0</v>
      </c>
      <c r="R14" s="30">
        <v>0</v>
      </c>
      <c r="S14" s="30">
        <v>37</v>
      </c>
      <c r="T14" s="31">
        <v>8.2100000000000009</v>
      </c>
      <c r="U14" s="32">
        <f t="shared" si="1"/>
        <v>85.81</v>
      </c>
      <c r="V14" s="44">
        <v>4</v>
      </c>
      <c r="W14" s="37" t="s">
        <v>102</v>
      </c>
      <c r="X14" s="280">
        <v>0.41666666666666669</v>
      </c>
      <c r="Y14" s="192" t="s">
        <v>45</v>
      </c>
      <c r="Z14" s="69">
        <v>4.5999999999999996</v>
      </c>
      <c r="AA14" s="70">
        <f>100-Z14</f>
        <v>95.4</v>
      </c>
      <c r="AB14" s="278"/>
      <c r="AC14" s="51" t="s">
        <v>35</v>
      </c>
      <c r="AD14" s="52">
        <v>26</v>
      </c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19</v>
      </c>
      <c r="Q15" s="29">
        <v>0</v>
      </c>
      <c r="R15" s="30">
        <v>0</v>
      </c>
      <c r="S15" s="30">
        <v>15</v>
      </c>
      <c r="T15" s="31">
        <v>4.29</v>
      </c>
      <c r="U15" s="32">
        <f t="shared" si="1"/>
        <v>38.29</v>
      </c>
      <c r="V15" s="44">
        <v>5</v>
      </c>
      <c r="W15" s="37" t="s">
        <v>103</v>
      </c>
      <c r="X15" s="281"/>
      <c r="Y15" s="71" t="s">
        <v>47</v>
      </c>
      <c r="Z15" s="72">
        <v>6.5</v>
      </c>
      <c r="AA15" s="73">
        <f>100-Z15</f>
        <v>93.5</v>
      </c>
      <c r="AB15" s="279"/>
      <c r="AC15" s="74" t="s">
        <v>37</v>
      </c>
      <c r="AD15" s="58"/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33</v>
      </c>
      <c r="Q16" s="29">
        <v>0</v>
      </c>
      <c r="R16" s="30">
        <v>0</v>
      </c>
      <c r="S16" s="30">
        <v>9.5</v>
      </c>
      <c r="T16" s="82">
        <v>9</v>
      </c>
      <c r="U16" s="32">
        <f t="shared" si="1"/>
        <v>51.5</v>
      </c>
      <c r="V16" s="83">
        <v>3</v>
      </c>
      <c r="W16" s="75" t="s">
        <v>104</v>
      </c>
      <c r="X16" s="281"/>
      <c r="Y16" s="71" t="s">
        <v>49</v>
      </c>
      <c r="Z16" s="72">
        <v>8.8000000000000007</v>
      </c>
      <c r="AA16" s="73">
        <f>100-Z16</f>
        <v>91.2</v>
      </c>
      <c r="AB16" s="190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>
        <f>AVERAGE(B5:B15)</f>
        <v>46</v>
      </c>
      <c r="C17" s="88">
        <f>AVERAGE(C5:C16)</f>
        <v>46.5</v>
      </c>
      <c r="D17" s="88">
        <f>AVERAGE(D5:D15)</f>
        <v>73</v>
      </c>
      <c r="E17" s="88">
        <f>AVERAGE(E5:E15)</f>
        <v>45.5</v>
      </c>
      <c r="F17" s="88">
        <f>AVERAGE(F5:F15)</f>
        <v>49.5</v>
      </c>
      <c r="G17" s="88">
        <f>AVERAGE(G5:G16)</f>
        <v>36.5</v>
      </c>
      <c r="H17" s="88">
        <f>AVERAGE(H5:H16)</f>
        <v>26.5</v>
      </c>
      <c r="I17" s="88">
        <f t="shared" ref="I17:N17" si="2">AVERAGE(I5:I15)</f>
        <v>37.5</v>
      </c>
      <c r="J17" s="88" t="e">
        <f t="shared" si="2"/>
        <v>#DIV/0!</v>
      </c>
      <c r="K17" s="88">
        <f t="shared" si="2"/>
        <v>30</v>
      </c>
      <c r="L17" s="88">
        <f t="shared" si="2"/>
        <v>58</v>
      </c>
      <c r="M17" s="89">
        <f t="shared" si="2"/>
        <v>41.5</v>
      </c>
      <c r="N17" s="89">
        <f t="shared" si="2"/>
        <v>56</v>
      </c>
      <c r="O17" s="89">
        <f>AVERAGE(O5:O16)</f>
        <v>77.5</v>
      </c>
      <c r="P17" s="90">
        <f>SUM(P5:P16)</f>
        <v>306.2</v>
      </c>
      <c r="Q17" s="91">
        <f>SUM(Q5:Q16)</f>
        <v>0</v>
      </c>
      <c r="R17" s="92">
        <f>SUM(R5:R16)</f>
        <v>273.34500000000003</v>
      </c>
      <c r="S17" s="93">
        <f>SUM(S5:S16)</f>
        <v>302.5</v>
      </c>
      <c r="T17" s="93">
        <f>SUM(T5:T16)</f>
        <v>58.59</v>
      </c>
      <c r="U17" s="94">
        <f>SUM(P17:T17)</f>
        <v>940.6350000000001</v>
      </c>
      <c r="V17" s="1">
        <f>SUM(V5:V16)</f>
        <v>35</v>
      </c>
      <c r="W17" s="4"/>
      <c r="X17" s="281"/>
      <c r="Y17" s="71" t="s">
        <v>51</v>
      </c>
      <c r="Z17" s="72"/>
      <c r="AA17" s="73">
        <f>100-Z17</f>
        <v>100</v>
      </c>
      <c r="AB17" s="283">
        <v>0.54166666666666663</v>
      </c>
      <c r="AC17" s="62" t="s">
        <v>30</v>
      </c>
      <c r="AD17" s="50">
        <v>40</v>
      </c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v>93.37</v>
      </c>
      <c r="AB18" s="278"/>
      <c r="AC18" s="51" t="s">
        <v>32</v>
      </c>
      <c r="AD18" s="52">
        <v>44</v>
      </c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139</v>
      </c>
      <c r="J19" s="259"/>
      <c r="K19" s="259"/>
      <c r="L19" s="260"/>
      <c r="M19" s="261" t="s">
        <v>57</v>
      </c>
      <c r="N19" s="262"/>
      <c r="O19" s="263"/>
      <c r="P19" s="105">
        <v>5.2</v>
      </c>
      <c r="Q19" s="106"/>
      <c r="R19" s="107">
        <v>5.6</v>
      </c>
      <c r="S19" s="107">
        <v>3.4</v>
      </c>
      <c r="T19" s="107">
        <v>5.0999999999999996</v>
      </c>
      <c r="U19" s="108">
        <f>(U17-U20)/U17*100</f>
        <v>4.7311454496165011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32</v>
      </c>
      <c r="AE19" s="11">
        <v>17</v>
      </c>
      <c r="AF19" s="12">
        <f t="shared" si="0"/>
        <v>3.1166666666666667</v>
      </c>
    </row>
    <row r="20" spans="1:32" ht="16.5" thickBot="1" x14ac:dyDescent="0.3">
      <c r="A20" s="294" t="s">
        <v>30</v>
      </c>
      <c r="B20" s="295"/>
      <c r="C20" s="44">
        <v>70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290.27760000000001</v>
      </c>
      <c r="Q20" s="113"/>
      <c r="R20" s="114">
        <f>(R17-(R17*R19/100))</f>
        <v>258.03768000000002</v>
      </c>
      <c r="S20" s="112">
        <f>(S17-(S17*S19/100))</f>
        <v>292.21499999999997</v>
      </c>
      <c r="T20" s="112">
        <f>(T17-(T17*T19/100))</f>
        <v>55.601910000000004</v>
      </c>
      <c r="U20" s="115">
        <f>P20+Q20+R20+S20+T20</f>
        <v>896.13218999999992</v>
      </c>
      <c r="V20" s="4"/>
      <c r="W20" s="4"/>
      <c r="X20" s="281"/>
      <c r="Y20" s="192" t="s">
        <v>45</v>
      </c>
      <c r="Z20" s="69"/>
      <c r="AA20" s="70">
        <f>100-Z20</f>
        <v>100</v>
      </c>
      <c r="AB20" s="279"/>
      <c r="AC20" s="74" t="s">
        <v>37</v>
      </c>
      <c r="AD20" s="58">
        <v>9</v>
      </c>
      <c r="AE20" s="11">
        <v>18</v>
      </c>
      <c r="AF20" s="12">
        <f t="shared" si="0"/>
        <v>3.3</v>
      </c>
    </row>
    <row r="21" spans="1:32" ht="19.5" thickBot="1" x14ac:dyDescent="0.3">
      <c r="A21" s="294" t="s">
        <v>61</v>
      </c>
      <c r="B21" s="295"/>
      <c r="C21" s="44">
        <v>20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45</v>
      </c>
      <c r="K21" s="118"/>
      <c r="L21" s="119"/>
      <c r="M21" s="307" t="s">
        <v>63</v>
      </c>
      <c r="N21" s="308"/>
      <c r="O21" s="309"/>
      <c r="P21" s="120">
        <f>(U17-(U17*U19/100))</f>
        <v>896.13218999999992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3.3</v>
      </c>
      <c r="AA21" s="73">
        <f>100-Z21</f>
        <v>96.7</v>
      </c>
      <c r="AB21" s="190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 t="s">
        <v>32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55</v>
      </c>
      <c r="K22" s="316">
        <f>J22/I22*100</f>
        <v>55.000000000000007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4.0999999999999996</v>
      </c>
      <c r="AA22" s="73">
        <f>100-Z22</f>
        <v>95.9</v>
      </c>
      <c r="AB22" s="283">
        <v>0.625</v>
      </c>
      <c r="AC22" s="49" t="s">
        <v>30</v>
      </c>
      <c r="AD22" s="50">
        <v>43</v>
      </c>
      <c r="AE22" s="11">
        <v>20</v>
      </c>
      <c r="AF22" s="12">
        <f t="shared" si="0"/>
        <v>3.6666666666666665</v>
      </c>
    </row>
    <row r="23" spans="1:32" ht="16.5" thickBot="1" x14ac:dyDescent="0.3">
      <c r="A23" s="294" t="s">
        <v>35</v>
      </c>
      <c r="B23" s="295"/>
      <c r="C23" s="44">
        <v>70</v>
      </c>
      <c r="D23" s="296">
        <v>0.2</v>
      </c>
      <c r="E23" s="297"/>
      <c r="F23" s="298" t="s">
        <v>58</v>
      </c>
      <c r="G23" s="299"/>
      <c r="H23" s="4"/>
      <c r="I23" s="133" t="s">
        <v>66</v>
      </c>
      <c r="J23" s="134">
        <v>25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>
        <v>43</v>
      </c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75</v>
      </c>
      <c r="K24" s="316">
        <f>J24/I24*100</f>
        <v>75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v>96.3</v>
      </c>
      <c r="AB24" s="278"/>
      <c r="AC24" s="51" t="s">
        <v>35</v>
      </c>
      <c r="AD24" s="52">
        <v>33</v>
      </c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11</v>
      </c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2.2999999999999998</v>
      </c>
      <c r="AA26" s="70">
        <f>100-Z26</f>
        <v>97.7</v>
      </c>
      <c r="AB26" s="189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8</v>
      </c>
      <c r="AA27" s="73">
        <f>100-Z27</f>
        <v>92</v>
      </c>
      <c r="AB27" s="267">
        <v>0.70833333333333337</v>
      </c>
      <c r="AC27" s="62" t="s">
        <v>30</v>
      </c>
      <c r="AD27" s="50">
        <v>39</v>
      </c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 t="s">
        <v>204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6.6</v>
      </c>
      <c r="AA28" s="73">
        <f>100-Z28</f>
        <v>93.4</v>
      </c>
      <c r="AB28" s="268"/>
      <c r="AC28" s="67" t="s">
        <v>32</v>
      </c>
      <c r="AD28" s="52"/>
      <c r="AE28" s="11">
        <v>26</v>
      </c>
      <c r="AF28" s="12">
        <f t="shared" si="0"/>
        <v>4.7666666666666666</v>
      </c>
    </row>
    <row r="29" spans="1:32" ht="23.25" thickBot="1" x14ac:dyDescent="0.35">
      <c r="A29" s="432" t="s">
        <v>37</v>
      </c>
      <c r="B29" s="433"/>
      <c r="C29" s="181">
        <v>0.35416666666666669</v>
      </c>
      <c r="D29" s="428">
        <v>0.52013888888888882</v>
      </c>
      <c r="E29" s="429"/>
      <c r="F29" s="430" t="s">
        <v>197</v>
      </c>
      <c r="G29" s="431"/>
      <c r="H29" s="345" t="s">
        <v>199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2.1</v>
      </c>
      <c r="AA29" s="73">
        <f>100-Z29</f>
        <v>97.9</v>
      </c>
      <c r="AB29" s="268"/>
      <c r="AC29" s="51" t="s">
        <v>35</v>
      </c>
      <c r="AD29" s="52">
        <v>30</v>
      </c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 t="s">
        <v>201</v>
      </c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95.25</v>
      </c>
      <c r="AB30" s="269"/>
      <c r="AC30" s="74" t="s">
        <v>37</v>
      </c>
      <c r="AD30" s="58">
        <v>9</v>
      </c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 t="s">
        <v>200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 t="s">
        <v>198</v>
      </c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0.8</v>
      </c>
      <c r="AA32" s="70">
        <f>100-Z32</f>
        <v>99.2</v>
      </c>
      <c r="AB32" s="267">
        <v>0.79166666666666663</v>
      </c>
      <c r="AC32" s="62" t="s">
        <v>30</v>
      </c>
      <c r="AD32" s="50">
        <v>38</v>
      </c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54" t="s">
        <v>202</v>
      </c>
      <c r="I33" s="354"/>
      <c r="J33" s="354"/>
      <c r="K33" s="354"/>
      <c r="L33" s="354"/>
      <c r="M33" s="354"/>
      <c r="N33" s="354"/>
      <c r="O33" s="354"/>
      <c r="P33" s="354"/>
      <c r="Q33" s="354"/>
      <c r="R33" s="354"/>
      <c r="S33" s="354"/>
      <c r="T33" s="354"/>
      <c r="U33" s="355"/>
      <c r="V33" s="4"/>
      <c r="W33" s="96"/>
      <c r="X33" s="413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5.6833333333333336</v>
      </c>
    </row>
    <row r="34" spans="1:32" ht="23.25" thickBot="1" x14ac:dyDescent="0.35">
      <c r="A34" s="434" t="s">
        <v>32</v>
      </c>
      <c r="B34" s="435"/>
      <c r="C34" s="181">
        <v>0.64513888888888882</v>
      </c>
      <c r="D34" s="428">
        <v>0.83333333333333337</v>
      </c>
      <c r="E34" s="429"/>
      <c r="F34" s="436" t="s">
        <v>208</v>
      </c>
      <c r="G34" s="437"/>
      <c r="H34" s="345" t="s">
        <v>203</v>
      </c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5.7</v>
      </c>
      <c r="AA34" s="73">
        <f>100-Z34</f>
        <v>94.3</v>
      </c>
      <c r="AB34" s="268"/>
      <c r="AC34" s="67" t="s">
        <v>35</v>
      </c>
      <c r="AD34" s="52">
        <v>32</v>
      </c>
      <c r="AE34" s="11">
        <v>32</v>
      </c>
      <c r="AF34" s="12">
        <f t="shared" si="0"/>
        <v>5.8666666666666663</v>
      </c>
    </row>
    <row r="35" spans="1:32" ht="23.25" thickBot="1" x14ac:dyDescent="0.35">
      <c r="A35" s="434" t="s">
        <v>61</v>
      </c>
      <c r="B35" s="435"/>
      <c r="C35" s="181">
        <v>0.74236111111111114</v>
      </c>
      <c r="D35" s="428">
        <v>0.83333333333333337</v>
      </c>
      <c r="E35" s="429"/>
      <c r="F35" s="436" t="s">
        <v>209</v>
      </c>
      <c r="G35" s="437"/>
      <c r="H35" s="354" t="s">
        <v>207</v>
      </c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2.7</v>
      </c>
      <c r="AA35" s="73">
        <f>100-Z35</f>
        <v>97.3</v>
      </c>
      <c r="AB35" s="269"/>
      <c r="AC35" s="74" t="s">
        <v>37</v>
      </c>
      <c r="AD35" s="58"/>
      <c r="AE35" s="11">
        <v>33</v>
      </c>
      <c r="AF35" s="12">
        <f t="shared" si="0"/>
        <v>6.05</v>
      </c>
    </row>
    <row r="36" spans="1:32" ht="23.25" thickBot="1" x14ac:dyDescent="0.35">
      <c r="A36" s="432" t="s">
        <v>35</v>
      </c>
      <c r="B36" s="433"/>
      <c r="C36" s="181">
        <v>0.78125</v>
      </c>
      <c r="D36" s="428">
        <v>0.82013888888888886</v>
      </c>
      <c r="E36" s="429"/>
      <c r="F36" s="436" t="s">
        <v>210</v>
      </c>
      <c r="G36" s="437"/>
      <c r="H36" s="356" t="s">
        <v>205</v>
      </c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v>96.93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 t="s">
        <v>206</v>
      </c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63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35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>
        <v>56</v>
      </c>
      <c r="E42" s="386"/>
      <c r="F42" s="387"/>
      <c r="G42" s="160"/>
      <c r="H42" s="397" t="s">
        <v>88</v>
      </c>
      <c r="I42" s="398"/>
      <c r="J42" s="164">
        <v>9.41</v>
      </c>
      <c r="K42" s="399">
        <v>10.59</v>
      </c>
      <c r="L42" s="400"/>
      <c r="M42" s="164">
        <v>9.14</v>
      </c>
      <c r="N42" s="165">
        <v>10.99</v>
      </c>
      <c r="O42" s="165">
        <v>9.99</v>
      </c>
      <c r="P42" s="165">
        <v>10.08</v>
      </c>
      <c r="Q42" s="401">
        <f>AVERAGE(J42:P43)</f>
        <v>10.033333333333333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187" t="s">
        <v>89</v>
      </c>
      <c r="B43" s="188"/>
      <c r="C43" s="188"/>
      <c r="D43" s="386">
        <v>3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42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193"/>
      <c r="X44" s="193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D29" sqref="D29:E29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6" width="11.14062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140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26.1</v>
      </c>
      <c r="Q5" s="29">
        <v>0</v>
      </c>
      <c r="R5" s="30">
        <v>0</v>
      </c>
      <c r="S5" s="30">
        <v>33</v>
      </c>
      <c r="T5" s="31">
        <v>8.82</v>
      </c>
      <c r="U5" s="32">
        <f>SUM(P5:T5)</f>
        <v>67.92</v>
      </c>
      <c r="V5" s="33">
        <v>3</v>
      </c>
      <c r="W5" s="21" t="s">
        <v>27</v>
      </c>
      <c r="X5" s="34">
        <v>516251.8</v>
      </c>
      <c r="Y5" s="34">
        <f>X5+P17</f>
        <v>516731.89999999997</v>
      </c>
      <c r="Z5" s="35">
        <f>Y5-X5</f>
        <v>480.09999999997672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36.9</v>
      </c>
      <c r="Q6" s="29">
        <v>0</v>
      </c>
      <c r="R6" s="30">
        <v>0</v>
      </c>
      <c r="S6" s="30">
        <v>29</v>
      </c>
      <c r="T6" s="31">
        <v>7.3</v>
      </c>
      <c r="U6" s="32">
        <f t="shared" ref="U6:U16" si="1">SUM(P6:T6)</f>
        <v>73.2</v>
      </c>
      <c r="V6" s="44">
        <v>3</v>
      </c>
      <c r="W6" s="37" t="s">
        <v>28</v>
      </c>
      <c r="X6" s="45">
        <f>'07.01.26см2'!Y6</f>
        <v>813695.35699999996</v>
      </c>
      <c r="Y6" s="34">
        <f>X6+R17</f>
        <v>813939.34100000001</v>
      </c>
      <c r="Z6" s="46">
        <f>Y6-X6</f>
        <v>243.98400000005495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>
        <v>45.6</v>
      </c>
      <c r="Q7" s="29">
        <v>0</v>
      </c>
      <c r="R7" s="30">
        <v>0</v>
      </c>
      <c r="S7" s="30">
        <v>37</v>
      </c>
      <c r="T7" s="31">
        <v>10.119999999999999</v>
      </c>
      <c r="U7" s="32">
        <f t="shared" si="1"/>
        <v>92.72</v>
      </c>
      <c r="V7" s="44">
        <v>3</v>
      </c>
      <c r="W7" s="37" t="s">
        <v>29</v>
      </c>
      <c r="X7" s="48">
        <v>506725</v>
      </c>
      <c r="Y7" s="34">
        <f>X7+S17</f>
        <v>507097</v>
      </c>
      <c r="Z7" s="46">
        <f>Y7-X7</f>
        <v>372</v>
      </c>
      <c r="AA7" s="47">
        <v>4</v>
      </c>
      <c r="AB7" s="267">
        <v>0.875</v>
      </c>
      <c r="AC7" s="49" t="s">
        <v>30</v>
      </c>
      <c r="AD7" s="50">
        <v>39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>
        <v>67</v>
      </c>
      <c r="C8" s="39">
        <v>51</v>
      </c>
      <c r="D8" s="39"/>
      <c r="E8" s="40">
        <v>67</v>
      </c>
      <c r="F8" s="41">
        <v>60</v>
      </c>
      <c r="G8" s="42">
        <v>43</v>
      </c>
      <c r="H8" s="41">
        <v>29</v>
      </c>
      <c r="I8" s="42"/>
      <c r="J8" s="41"/>
      <c r="K8" s="38">
        <v>51</v>
      </c>
      <c r="L8" s="43"/>
      <c r="M8" s="40">
        <v>44</v>
      </c>
      <c r="N8" s="42">
        <v>56</v>
      </c>
      <c r="O8" s="41">
        <v>74</v>
      </c>
      <c r="P8" s="28">
        <v>39.1</v>
      </c>
      <c r="Q8" s="29">
        <v>0</v>
      </c>
      <c r="R8" s="30">
        <v>0</v>
      </c>
      <c r="S8" s="30">
        <v>24</v>
      </c>
      <c r="T8" s="31">
        <v>8.14</v>
      </c>
      <c r="U8" s="32">
        <f t="shared" si="1"/>
        <v>71.240000000000009</v>
      </c>
      <c r="V8" s="44">
        <v>3</v>
      </c>
      <c r="W8" s="37" t="s">
        <v>31</v>
      </c>
      <c r="X8" s="46">
        <v>1916.23</v>
      </c>
      <c r="Y8" s="34">
        <f>X8+T17</f>
        <v>2021.71</v>
      </c>
      <c r="Z8" s="46">
        <f>T17</f>
        <v>105.48000000000002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41.2</v>
      </c>
      <c r="Q9" s="29">
        <v>0</v>
      </c>
      <c r="R9" s="30">
        <v>0</v>
      </c>
      <c r="S9" s="30">
        <v>24</v>
      </c>
      <c r="T9" s="31">
        <v>8.8000000000000007</v>
      </c>
      <c r="U9" s="32">
        <f t="shared" si="1"/>
        <v>74</v>
      </c>
      <c r="V9" s="44">
        <v>1</v>
      </c>
      <c r="W9" s="37" t="s">
        <v>33</v>
      </c>
      <c r="X9" s="270" t="s">
        <v>34</v>
      </c>
      <c r="Y9" s="271"/>
      <c r="Z9" s="54">
        <f>SUM(Z5:Z8)</f>
        <v>1201.5640000000317</v>
      </c>
      <c r="AA9" s="55"/>
      <c r="AB9" s="268"/>
      <c r="AC9" s="51" t="s">
        <v>35</v>
      </c>
      <c r="AD9" s="52">
        <v>32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37.200000000000003</v>
      </c>
      <c r="Q10" s="29">
        <v>0</v>
      </c>
      <c r="R10" s="30">
        <v>0</v>
      </c>
      <c r="S10" s="30">
        <v>35</v>
      </c>
      <c r="T10" s="31">
        <v>7.89</v>
      </c>
      <c r="U10" s="32">
        <f t="shared" si="1"/>
        <v>80.09</v>
      </c>
      <c r="V10" s="44">
        <v>4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10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44</v>
      </c>
      <c r="Q11" s="29">
        <v>0</v>
      </c>
      <c r="R11" s="30">
        <v>32.106000000000002</v>
      </c>
      <c r="S11" s="30">
        <v>30</v>
      </c>
      <c r="T11" s="31">
        <v>7.53</v>
      </c>
      <c r="U11" s="32">
        <f t="shared" si="1"/>
        <v>113.636</v>
      </c>
      <c r="V11" s="44">
        <v>4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43</v>
      </c>
      <c r="Q12" s="29">
        <v>0</v>
      </c>
      <c r="R12" s="30">
        <v>43.209000000000003</v>
      </c>
      <c r="S12" s="30">
        <v>31</v>
      </c>
      <c r="T12" s="31">
        <v>9.52</v>
      </c>
      <c r="U12" s="32">
        <f t="shared" si="1"/>
        <v>126.729</v>
      </c>
      <c r="V12" s="44">
        <v>3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42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42">
        <v>70</v>
      </c>
      <c r="C13" s="39">
        <v>62</v>
      </c>
      <c r="D13" s="39">
        <v>73</v>
      </c>
      <c r="E13" s="40">
        <v>68</v>
      </c>
      <c r="F13" s="41">
        <v>69</v>
      </c>
      <c r="G13" s="42">
        <v>44</v>
      </c>
      <c r="H13" s="41">
        <v>32</v>
      </c>
      <c r="I13" s="42"/>
      <c r="J13" s="41"/>
      <c r="K13" s="38">
        <v>58</v>
      </c>
      <c r="L13" s="43">
        <v>58</v>
      </c>
      <c r="M13" s="40">
        <v>52</v>
      </c>
      <c r="N13" s="42">
        <v>52</v>
      </c>
      <c r="O13" s="41">
        <v>71</v>
      </c>
      <c r="P13" s="53">
        <v>42</v>
      </c>
      <c r="Q13" s="29">
        <v>0</v>
      </c>
      <c r="R13" s="30">
        <v>39.268999999999998</v>
      </c>
      <c r="S13" s="30">
        <v>32</v>
      </c>
      <c r="T13" s="31">
        <v>10.7</v>
      </c>
      <c r="U13" s="32">
        <f t="shared" si="1"/>
        <v>123.96900000000001</v>
      </c>
      <c r="V13" s="44">
        <v>5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42</v>
      </c>
      <c r="Q14" s="29">
        <v>0</v>
      </c>
      <c r="R14" s="30">
        <v>40.033000000000001</v>
      </c>
      <c r="S14" s="30">
        <v>32</v>
      </c>
      <c r="T14" s="31">
        <v>9.6199999999999992</v>
      </c>
      <c r="U14" s="32">
        <f t="shared" si="1"/>
        <v>123.65300000000001</v>
      </c>
      <c r="V14" s="44">
        <v>4</v>
      </c>
      <c r="W14" s="37" t="s">
        <v>44</v>
      </c>
      <c r="X14" s="280">
        <v>0.91666666666666663</v>
      </c>
      <c r="Y14" s="192" t="s">
        <v>45</v>
      </c>
      <c r="Z14" s="69">
        <v>13.5</v>
      </c>
      <c r="AA14" s="70">
        <f>100-Z14</f>
        <v>86.5</v>
      </c>
      <c r="AB14" s="278"/>
      <c r="AC14" s="51" t="s">
        <v>35</v>
      </c>
      <c r="AD14" s="52">
        <v>32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42</v>
      </c>
      <c r="Q15" s="29">
        <v>0</v>
      </c>
      <c r="R15" s="30">
        <v>43.332000000000001</v>
      </c>
      <c r="S15" s="30">
        <v>32</v>
      </c>
      <c r="T15" s="31">
        <v>8.7899999999999991</v>
      </c>
      <c r="U15" s="32">
        <f t="shared" si="1"/>
        <v>126.12199999999999</v>
      </c>
      <c r="V15" s="44">
        <v>3</v>
      </c>
      <c r="W15" s="37" t="s">
        <v>46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>
        <v>11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41</v>
      </c>
      <c r="Q16" s="29">
        <v>0</v>
      </c>
      <c r="R16" s="30">
        <v>46.034999999999997</v>
      </c>
      <c r="S16" s="30">
        <v>33</v>
      </c>
      <c r="T16" s="82">
        <v>8.25</v>
      </c>
      <c r="U16" s="32">
        <f t="shared" si="1"/>
        <v>128.285</v>
      </c>
      <c r="V16" s="83">
        <v>5</v>
      </c>
      <c r="W16" s="75" t="s">
        <v>48</v>
      </c>
      <c r="X16" s="281"/>
      <c r="Y16" s="71" t="s">
        <v>49</v>
      </c>
      <c r="Z16" s="72">
        <v>8.1999999999999993</v>
      </c>
      <c r="AA16" s="73">
        <f>100-Z16</f>
        <v>91.8</v>
      </c>
      <c r="AB16" s="190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68.5</v>
      </c>
      <c r="C17" s="88">
        <f>AVERAGE(C5:C16)</f>
        <v>56.5</v>
      </c>
      <c r="D17" s="88">
        <f>AVERAGE(D5:D15)</f>
        <v>73</v>
      </c>
      <c r="E17" s="88">
        <f>AVERAGE(E5:E15)</f>
        <v>67.5</v>
      </c>
      <c r="F17" s="88">
        <f>AVERAGE(F5:F15)</f>
        <v>64.5</v>
      </c>
      <c r="G17" s="88">
        <f>AVERAGE(G5:G16)</f>
        <v>43.5</v>
      </c>
      <c r="H17" s="88">
        <f>AVERAGE(H5:H16)</f>
        <v>30.5</v>
      </c>
      <c r="I17" s="88" t="e">
        <f t="shared" ref="I17:N17" si="2">AVERAGE(I5:I15)</f>
        <v>#DIV/0!</v>
      </c>
      <c r="J17" s="88" t="e">
        <f t="shared" si="2"/>
        <v>#DIV/0!</v>
      </c>
      <c r="K17" s="88">
        <f t="shared" si="2"/>
        <v>54.5</v>
      </c>
      <c r="L17" s="88">
        <f t="shared" si="2"/>
        <v>58</v>
      </c>
      <c r="M17" s="89">
        <f t="shared" si="2"/>
        <v>48</v>
      </c>
      <c r="N17" s="89">
        <f t="shared" si="2"/>
        <v>54</v>
      </c>
      <c r="O17" s="89">
        <f>AVERAGE(O5:O16)</f>
        <v>72.5</v>
      </c>
      <c r="P17" s="90">
        <f>SUM(P5:P16)</f>
        <v>480.09999999999997</v>
      </c>
      <c r="Q17" s="91">
        <f>SUM(Q5:Q16)</f>
        <v>0</v>
      </c>
      <c r="R17" s="92">
        <f>SUM(R5:R16)</f>
        <v>243.98400000000001</v>
      </c>
      <c r="S17" s="93">
        <f>SUM(S5:S16)</f>
        <v>372</v>
      </c>
      <c r="T17" s="93">
        <f>SUM(T5:T16)</f>
        <v>105.48000000000002</v>
      </c>
      <c r="U17" s="94">
        <f>SUM(P17:T17)</f>
        <v>1201.5639999999999</v>
      </c>
      <c r="V17" s="1">
        <f>SUM(V5:V16)</f>
        <v>41</v>
      </c>
      <c r="W17" s="4"/>
      <c r="X17" s="281"/>
      <c r="Y17" s="71" t="s">
        <v>51</v>
      </c>
      <c r="Z17" s="95">
        <v>11.9</v>
      </c>
      <c r="AA17" s="73">
        <f>100-Z17</f>
        <v>88.1</v>
      </c>
      <c r="AB17" s="283">
        <v>4.1666666666666664E-2</v>
      </c>
      <c r="AC17" s="62" t="s">
        <v>30</v>
      </c>
      <c r="AD17" s="50">
        <v>40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(AA14+AA16+AA17)/3</f>
        <v>88.8</v>
      </c>
      <c r="AB18" s="278"/>
      <c r="AC18" s="51" t="s">
        <v>32</v>
      </c>
      <c r="AD18" s="52"/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211</v>
      </c>
      <c r="J19" s="259"/>
      <c r="K19" s="259"/>
      <c r="L19" s="260"/>
      <c r="M19" s="261" t="s">
        <v>57</v>
      </c>
      <c r="N19" s="262"/>
      <c r="O19" s="263"/>
      <c r="P19" s="105">
        <v>4.2</v>
      </c>
      <c r="Q19" s="106"/>
      <c r="R19" s="107">
        <v>5.2</v>
      </c>
      <c r="S19" s="107">
        <v>8.9</v>
      </c>
      <c r="T19" s="107">
        <v>5.9</v>
      </c>
      <c r="U19" s="108">
        <f>(U17-U20)/U17*100</f>
        <v>6.0073943626806301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30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459.93579999999997</v>
      </c>
      <c r="Q20" s="113"/>
      <c r="R20" s="114">
        <f>(R17-(R17*R19/100))</f>
        <v>231.29683199999999</v>
      </c>
      <c r="S20" s="112">
        <f>(S17-(S17*S19/100))</f>
        <v>338.892</v>
      </c>
      <c r="T20" s="112">
        <f>(T17-(T17*T19/100))</f>
        <v>99.256680000000017</v>
      </c>
      <c r="U20" s="115">
        <f>P20+Q20+R20+S20+T20</f>
        <v>1129.381312</v>
      </c>
      <c r="V20" s="4"/>
      <c r="W20" s="4"/>
      <c r="X20" s="281"/>
      <c r="Y20" s="192" t="s">
        <v>45</v>
      </c>
      <c r="Z20" s="69">
        <v>7.6</v>
      </c>
      <c r="AA20" s="70">
        <f>100-Z20</f>
        <v>92.4</v>
      </c>
      <c r="AB20" s="279"/>
      <c r="AC20" s="74" t="s">
        <v>37</v>
      </c>
      <c r="AD20" s="58">
        <v>10</v>
      </c>
      <c r="AE20" s="11">
        <v>18</v>
      </c>
      <c r="AF20" s="12">
        <f t="shared" si="0"/>
        <v>12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>
        <v>45</v>
      </c>
      <c r="K21" s="118"/>
      <c r="L21" s="119"/>
      <c r="M21" s="307" t="s">
        <v>63</v>
      </c>
      <c r="N21" s="308"/>
      <c r="O21" s="309"/>
      <c r="P21" s="120">
        <f>(U17-(U17*U19/100))</f>
        <v>1129.381312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190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55</v>
      </c>
      <c r="K22" s="316">
        <f>J22/I22*100</f>
        <v>55.000000000000007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5.9</v>
      </c>
      <c r="AA22" s="73">
        <f>100-Z22</f>
        <v>94.1</v>
      </c>
      <c r="AB22" s="283">
        <v>0.125</v>
      </c>
      <c r="AC22" s="49" t="s">
        <v>30</v>
      </c>
      <c r="AD22" s="50">
        <v>44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>
        <v>22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2.8</v>
      </c>
      <c r="AA23" s="73">
        <f>100-Z23</f>
        <v>97.2</v>
      </c>
      <c r="AB23" s="278"/>
      <c r="AC23" s="51" t="s">
        <v>32</v>
      </c>
      <c r="AD23" s="52">
        <v>42</v>
      </c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78</v>
      </c>
      <c r="K24" s="316">
        <f>J24/I24*100</f>
        <v>78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(AA20+AA22+AA23)/3</f>
        <v>94.566666666666663</v>
      </c>
      <c r="AB24" s="278"/>
      <c r="AC24" s="51" t="s">
        <v>35</v>
      </c>
      <c r="AD24" s="52">
        <v>32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10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9.1999999999999993</v>
      </c>
      <c r="AA26" s="70">
        <f>100-Z26</f>
        <v>90.8</v>
      </c>
      <c r="AB26" s="189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5.2</v>
      </c>
      <c r="AA27" s="73">
        <f>100-Z27</f>
        <v>94.8</v>
      </c>
      <c r="AB27" s="267">
        <v>0.20833333333333334</v>
      </c>
      <c r="AC27" s="62" t="s">
        <v>30</v>
      </c>
      <c r="AD27" s="50">
        <v>42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 t="s">
        <v>61</v>
      </c>
      <c r="B28" s="340"/>
      <c r="C28" s="143">
        <v>0.83333333333333337</v>
      </c>
      <c r="D28" s="341">
        <v>0.83611111111111114</v>
      </c>
      <c r="E28" s="342"/>
      <c r="F28" s="343" t="s">
        <v>212</v>
      </c>
      <c r="G28" s="344"/>
      <c r="H28" s="354" t="s">
        <v>213</v>
      </c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  <c r="T28" s="354"/>
      <c r="U28" s="355"/>
      <c r="V28" s="4"/>
      <c r="W28" s="4"/>
      <c r="X28" s="281"/>
      <c r="Y28" s="71" t="s">
        <v>49</v>
      </c>
      <c r="Z28" s="72">
        <v>6.2</v>
      </c>
      <c r="AA28" s="73">
        <f>100-Z28</f>
        <v>93.8</v>
      </c>
      <c r="AB28" s="268"/>
      <c r="AC28" s="67" t="s">
        <v>32</v>
      </c>
      <c r="AD28" s="52">
        <v>40</v>
      </c>
      <c r="AE28" s="11">
        <v>26</v>
      </c>
      <c r="AF28" s="12">
        <f t="shared" si="0"/>
        <v>17.333333333333332</v>
      </c>
    </row>
    <row r="29" spans="1:32" ht="19.5" thickBot="1" x14ac:dyDescent="0.35">
      <c r="A29" s="417" t="s">
        <v>32</v>
      </c>
      <c r="B29" s="418"/>
      <c r="C29" s="182">
        <v>0.83333333333333337</v>
      </c>
      <c r="D29" s="403">
        <v>9.1666666666666674E-2</v>
      </c>
      <c r="E29" s="404"/>
      <c r="F29" s="415" t="s">
        <v>215</v>
      </c>
      <c r="G29" s="416"/>
      <c r="H29" s="345" t="s">
        <v>214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4.9000000000000004</v>
      </c>
      <c r="AA29" s="73">
        <f>100-Z29</f>
        <v>95.1</v>
      </c>
      <c r="AB29" s="268"/>
      <c r="AC29" s="51" t="s">
        <v>35</v>
      </c>
      <c r="AD29" s="52">
        <v>32</v>
      </c>
      <c r="AE29" s="11">
        <v>27</v>
      </c>
      <c r="AF29" s="12">
        <f t="shared" si="0"/>
        <v>18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45" t="s">
        <v>220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93.625</v>
      </c>
      <c r="AB30" s="269"/>
      <c r="AC30" s="74" t="s">
        <v>37</v>
      </c>
      <c r="AD30" s="58">
        <v>10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 t="s">
        <v>218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 t="s">
        <v>219</v>
      </c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8.1999999999999993</v>
      </c>
      <c r="AA32" s="70">
        <f>100-Z32</f>
        <v>91.8</v>
      </c>
      <c r="AB32" s="267">
        <v>0.29166666666666669</v>
      </c>
      <c r="AC32" s="62" t="s">
        <v>30</v>
      </c>
      <c r="AD32" s="50">
        <v>42</v>
      </c>
      <c r="AE32" s="11">
        <v>30</v>
      </c>
      <c r="AF32" s="12">
        <f t="shared" si="0"/>
        <v>20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 t="s">
        <v>216</v>
      </c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>
        <v>5.5</v>
      </c>
      <c r="AA33" s="73">
        <f>100-Z33</f>
        <v>94.5</v>
      </c>
      <c r="AB33" s="268"/>
      <c r="AC33" s="51" t="s">
        <v>32</v>
      </c>
      <c r="AD33" s="52">
        <v>42</v>
      </c>
      <c r="AE33" s="11">
        <v>31</v>
      </c>
      <c r="AF33" s="12">
        <f t="shared" si="0"/>
        <v>20.666666666666668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 t="s">
        <v>217</v>
      </c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5.9</v>
      </c>
      <c r="AA34" s="73">
        <f>100-Z34</f>
        <v>94.1</v>
      </c>
      <c r="AB34" s="268"/>
      <c r="AC34" s="67" t="s">
        <v>35</v>
      </c>
      <c r="AD34" s="52">
        <v>32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3.5</v>
      </c>
      <c r="AA35" s="73">
        <f>100-Z35</f>
        <v>96.5</v>
      </c>
      <c r="AB35" s="269"/>
      <c r="AC35" s="74" t="s">
        <v>37</v>
      </c>
      <c r="AD35" s="58">
        <v>10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94.224999999999994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W37" t="s">
        <v>78</v>
      </c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X39" t="s">
        <v>65</v>
      </c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f>'07.01.26см2'!D44:F44</f>
        <v>42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41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Y41" t="s">
        <v>78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>
        <v>9.6300000000000008</v>
      </c>
      <c r="K42" s="399">
        <v>9.59</v>
      </c>
      <c r="L42" s="400"/>
      <c r="M42" s="164">
        <v>9.02</v>
      </c>
      <c r="N42" s="165">
        <v>10.33</v>
      </c>
      <c r="O42" s="165">
        <v>9.8699999999999992</v>
      </c>
      <c r="P42" s="165">
        <v>9.93</v>
      </c>
      <c r="Q42" s="401">
        <f>AVERAGE(J42:P43)</f>
        <v>9.7283333333333335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187" t="s">
        <v>89</v>
      </c>
      <c r="B43" s="188"/>
      <c r="C43" s="188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83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193" t="s">
        <v>92</v>
      </c>
      <c r="S44" s="193"/>
      <c r="T44" s="193"/>
      <c r="U44" s="193"/>
      <c r="V44" s="193"/>
      <c r="W44" s="193"/>
      <c r="X44" s="193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H30" sqref="H30:U30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7109375" customWidth="1"/>
    <col min="19" max="19" width="10.140625" customWidth="1"/>
    <col min="20" max="20" width="9.85546875" customWidth="1"/>
    <col min="21" max="23" width="10.7109375" customWidth="1"/>
    <col min="24" max="24" width="17.710937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140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AE3*41/60</f>
        <v>0.68333333333333335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AE4*41/60</f>
        <v>1.3666666666666667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39.9</v>
      </c>
      <c r="Q5" s="29">
        <v>0</v>
      </c>
      <c r="R5" s="30">
        <v>14.734999999999999</v>
      </c>
      <c r="S5" s="30">
        <v>32</v>
      </c>
      <c r="T5" s="31">
        <v>10.69</v>
      </c>
      <c r="U5" s="32">
        <f>SUM(P5:T5)</f>
        <v>97.324999999999989</v>
      </c>
      <c r="V5" s="33"/>
      <c r="W5" s="21" t="s">
        <v>93</v>
      </c>
      <c r="X5" s="34">
        <f>'08.01.26см1'!Y5</f>
        <v>516731.89999999997</v>
      </c>
      <c r="Y5" s="34">
        <f>X5+P17</f>
        <v>517168.69999999995</v>
      </c>
      <c r="Z5" s="35">
        <f>Y5-X5</f>
        <v>436.79999999998836</v>
      </c>
      <c r="AA5" s="36">
        <v>1</v>
      </c>
      <c r="AB5" s="265"/>
      <c r="AC5" s="265"/>
      <c r="AD5" s="265"/>
      <c r="AE5" s="11">
        <v>3</v>
      </c>
      <c r="AF5" s="12">
        <f t="shared" si="0"/>
        <v>2.0499999999999998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39.1</v>
      </c>
      <c r="Q6" s="29">
        <v>0</v>
      </c>
      <c r="R6" s="30">
        <v>40.167000000000002</v>
      </c>
      <c r="S6" s="30">
        <v>31</v>
      </c>
      <c r="T6" s="31">
        <v>10.82</v>
      </c>
      <c r="U6" s="32">
        <f t="shared" ref="U6:U16" si="1">SUM(P6:T6)</f>
        <v>121.08699999999999</v>
      </c>
      <c r="V6" s="44">
        <v>3</v>
      </c>
      <c r="W6" s="37" t="s">
        <v>94</v>
      </c>
      <c r="X6" s="45">
        <f>'08.01.26см1'!Y6</f>
        <v>813939.34100000001</v>
      </c>
      <c r="Y6" s="34">
        <f>X6+R17</f>
        <v>814339.09700000007</v>
      </c>
      <c r="Z6" s="46">
        <f>Y6-X6</f>
        <v>399.75600000005215</v>
      </c>
      <c r="AA6" s="47">
        <v>3</v>
      </c>
      <c r="AB6" s="265"/>
      <c r="AC6" s="265"/>
      <c r="AD6" s="266"/>
      <c r="AE6" s="11">
        <v>4</v>
      </c>
      <c r="AF6" s="12">
        <f t="shared" si="0"/>
        <v>2.7333333333333334</v>
      </c>
    </row>
    <row r="7" spans="1:32" ht="19.5" thickBot="1" x14ac:dyDescent="0.3">
      <c r="A7" s="37" t="s">
        <v>95</v>
      </c>
      <c r="B7" s="42">
        <v>64</v>
      </c>
      <c r="C7" s="39">
        <v>51</v>
      </c>
      <c r="D7" s="39">
        <v>75</v>
      </c>
      <c r="E7" s="40">
        <v>57</v>
      </c>
      <c r="F7" s="41">
        <v>60</v>
      </c>
      <c r="G7" s="42">
        <v>42</v>
      </c>
      <c r="H7" s="41">
        <v>35</v>
      </c>
      <c r="I7" s="42"/>
      <c r="J7" s="41"/>
      <c r="K7" s="38">
        <v>42</v>
      </c>
      <c r="L7" s="43">
        <v>55</v>
      </c>
      <c r="M7" s="40">
        <v>40</v>
      </c>
      <c r="N7" s="42">
        <v>55</v>
      </c>
      <c r="O7" s="41">
        <v>68</v>
      </c>
      <c r="P7" s="28">
        <v>38.1</v>
      </c>
      <c r="Q7" s="29">
        <v>0</v>
      </c>
      <c r="R7" s="30">
        <v>44.271999999999998</v>
      </c>
      <c r="S7" s="30">
        <v>32</v>
      </c>
      <c r="T7" s="31">
        <v>11.71</v>
      </c>
      <c r="U7" s="32">
        <f t="shared" si="1"/>
        <v>126.08199999999999</v>
      </c>
      <c r="V7" s="44">
        <v>2</v>
      </c>
      <c r="W7" s="37" t="s">
        <v>95</v>
      </c>
      <c r="X7" s="48">
        <f>'08.01.26см1'!Y7</f>
        <v>507097</v>
      </c>
      <c r="Y7" s="34">
        <f>X7+S17</f>
        <v>507459</v>
      </c>
      <c r="Z7" s="46">
        <f>Y7-X7</f>
        <v>362</v>
      </c>
      <c r="AA7" s="47">
        <v>4</v>
      </c>
      <c r="AB7" s="267">
        <v>0.375</v>
      </c>
      <c r="AC7" s="49" t="s">
        <v>30</v>
      </c>
      <c r="AD7" s="50">
        <v>41</v>
      </c>
      <c r="AE7" s="11">
        <v>5</v>
      </c>
      <c r="AF7" s="12">
        <f t="shared" si="0"/>
        <v>3.4166666666666665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43.1</v>
      </c>
      <c r="Q8" s="29">
        <v>0</v>
      </c>
      <c r="R8" s="30">
        <v>40.805</v>
      </c>
      <c r="S8" s="30">
        <v>32</v>
      </c>
      <c r="T8" s="31">
        <v>15.08</v>
      </c>
      <c r="U8" s="32">
        <f t="shared" si="1"/>
        <v>130.98500000000001</v>
      </c>
      <c r="V8" s="44">
        <v>2</v>
      </c>
      <c r="W8" s="37" t="s">
        <v>96</v>
      </c>
      <c r="X8" s="46">
        <f>'08.01.26см1'!Y8</f>
        <v>2021.71</v>
      </c>
      <c r="Y8" s="34">
        <f>X8+T17</f>
        <v>2188.96</v>
      </c>
      <c r="Z8" s="46">
        <f>T17</f>
        <v>167.25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4.0999999999999996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37.6</v>
      </c>
      <c r="Q9" s="29">
        <v>0</v>
      </c>
      <c r="R9" s="30">
        <v>32.198999999999998</v>
      </c>
      <c r="S9" s="30">
        <v>30</v>
      </c>
      <c r="T9" s="31">
        <v>10.86</v>
      </c>
      <c r="U9" s="32">
        <f t="shared" si="1"/>
        <v>110.65900000000001</v>
      </c>
      <c r="V9" s="44">
        <v>2</v>
      </c>
      <c r="W9" s="37" t="s">
        <v>97</v>
      </c>
      <c r="X9" s="270" t="s">
        <v>34</v>
      </c>
      <c r="Y9" s="271"/>
      <c r="Z9" s="54">
        <f>SUM(Z5:Z8)</f>
        <v>1365.8060000000405</v>
      </c>
      <c r="AA9" s="55"/>
      <c r="AB9" s="268"/>
      <c r="AC9" s="51" t="s">
        <v>35</v>
      </c>
      <c r="AD9" s="52">
        <v>32</v>
      </c>
      <c r="AE9" s="11">
        <v>7</v>
      </c>
      <c r="AF9" s="12">
        <f t="shared" si="0"/>
        <v>4.7833333333333332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35.200000000000003</v>
      </c>
      <c r="Q10" s="29">
        <v>0</v>
      </c>
      <c r="R10" s="30">
        <v>22.161999999999999</v>
      </c>
      <c r="S10" s="30">
        <v>24</v>
      </c>
      <c r="T10" s="31">
        <v>16.63</v>
      </c>
      <c r="U10" s="32">
        <f t="shared" si="1"/>
        <v>97.99199999999999</v>
      </c>
      <c r="V10" s="44">
        <v>6</v>
      </c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9</v>
      </c>
      <c r="AE10" s="11">
        <v>8</v>
      </c>
      <c r="AF10" s="12">
        <f t="shared" si="0"/>
        <v>5.4666666666666668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36.5</v>
      </c>
      <c r="Q11" s="29">
        <v>0</v>
      </c>
      <c r="R11" s="30">
        <v>30.678999999999998</v>
      </c>
      <c r="S11" s="30">
        <v>18</v>
      </c>
      <c r="T11" s="31">
        <v>16.690000000000001</v>
      </c>
      <c r="U11" s="32">
        <f t="shared" si="1"/>
        <v>101.869</v>
      </c>
      <c r="V11" s="44">
        <v>3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6.15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29.1</v>
      </c>
      <c r="Q12" s="29">
        <v>0</v>
      </c>
      <c r="R12" s="30">
        <v>21.498000000000001</v>
      </c>
      <c r="S12" s="30">
        <v>26</v>
      </c>
      <c r="T12" s="31">
        <v>15.68</v>
      </c>
      <c r="U12" s="32">
        <f t="shared" si="1"/>
        <v>92.277999999999992</v>
      </c>
      <c r="V12" s="44">
        <v>3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>
        <v>41</v>
      </c>
      <c r="AE12" s="11">
        <v>10</v>
      </c>
      <c r="AF12" s="12">
        <f t="shared" si="0"/>
        <v>6.833333333333333</v>
      </c>
    </row>
    <row r="13" spans="1:32" ht="19.5" thickBot="1" x14ac:dyDescent="0.35">
      <c r="A13" s="37" t="s">
        <v>101</v>
      </c>
      <c r="B13" s="38">
        <v>61</v>
      </c>
      <c r="C13" s="39">
        <v>62</v>
      </c>
      <c r="D13" s="39">
        <v>71</v>
      </c>
      <c r="E13" s="40">
        <v>61</v>
      </c>
      <c r="F13" s="41">
        <v>60</v>
      </c>
      <c r="G13" s="42">
        <v>40</v>
      </c>
      <c r="H13" s="41">
        <v>32</v>
      </c>
      <c r="I13" s="42">
        <v>20</v>
      </c>
      <c r="J13" s="41">
        <v>35</v>
      </c>
      <c r="K13" s="38">
        <v>38</v>
      </c>
      <c r="L13" s="43">
        <v>55</v>
      </c>
      <c r="M13" s="40">
        <v>51</v>
      </c>
      <c r="N13" s="42">
        <v>57</v>
      </c>
      <c r="O13" s="41">
        <v>72</v>
      </c>
      <c r="P13" s="53">
        <v>27.4</v>
      </c>
      <c r="Q13" s="29">
        <v>0</v>
      </c>
      <c r="R13" s="30">
        <v>38.292999999999999</v>
      </c>
      <c r="S13" s="30">
        <v>25</v>
      </c>
      <c r="T13" s="31">
        <v>14.62</v>
      </c>
      <c r="U13" s="32">
        <f t="shared" si="1"/>
        <v>105.313</v>
      </c>
      <c r="V13" s="44">
        <v>4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42</v>
      </c>
      <c r="AE13" s="11">
        <v>11</v>
      </c>
      <c r="AF13" s="12">
        <f t="shared" si="0"/>
        <v>7.5166666666666666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36.299999999999997</v>
      </c>
      <c r="Q14" s="29">
        <v>0</v>
      </c>
      <c r="R14" s="30">
        <v>42.703000000000003</v>
      </c>
      <c r="S14" s="30">
        <v>37</v>
      </c>
      <c r="T14" s="31">
        <v>14.34</v>
      </c>
      <c r="U14" s="32">
        <f t="shared" si="1"/>
        <v>130.34299999999999</v>
      </c>
      <c r="V14" s="44">
        <v>4</v>
      </c>
      <c r="W14" s="37" t="s">
        <v>102</v>
      </c>
      <c r="X14" s="280">
        <v>0.41666666666666669</v>
      </c>
      <c r="Y14" s="192" t="s">
        <v>45</v>
      </c>
      <c r="Z14" s="69">
        <v>6.2</v>
      </c>
      <c r="AA14" s="70">
        <f>100-Z14</f>
        <v>93.8</v>
      </c>
      <c r="AB14" s="278"/>
      <c r="AC14" s="51" t="s">
        <v>35</v>
      </c>
      <c r="AD14" s="52">
        <v>32</v>
      </c>
      <c r="AE14" s="11">
        <v>12</v>
      </c>
      <c r="AF14" s="12">
        <f t="shared" si="0"/>
        <v>8.1999999999999993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36.1</v>
      </c>
      <c r="Q15" s="29">
        <v>0</v>
      </c>
      <c r="R15" s="30">
        <v>31.036999999999999</v>
      </c>
      <c r="S15" s="30">
        <v>39</v>
      </c>
      <c r="T15" s="31">
        <v>15.72</v>
      </c>
      <c r="U15" s="32">
        <f t="shared" si="1"/>
        <v>121.857</v>
      </c>
      <c r="V15" s="44">
        <v>5</v>
      </c>
      <c r="W15" s="37" t="s">
        <v>103</v>
      </c>
      <c r="X15" s="281"/>
      <c r="Y15" s="71" t="s">
        <v>47</v>
      </c>
      <c r="Z15" s="72">
        <v>10.4</v>
      </c>
      <c r="AA15" s="73">
        <f>100-Z15</f>
        <v>89.6</v>
      </c>
      <c r="AB15" s="279"/>
      <c r="AC15" s="74" t="s">
        <v>37</v>
      </c>
      <c r="AD15" s="58">
        <v>10</v>
      </c>
      <c r="AE15" s="11">
        <v>13</v>
      </c>
      <c r="AF15" s="12">
        <f t="shared" si="0"/>
        <v>8.8833333333333329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38.4</v>
      </c>
      <c r="Q16" s="29">
        <v>0</v>
      </c>
      <c r="R16" s="30">
        <v>41.206000000000003</v>
      </c>
      <c r="S16" s="30">
        <v>36</v>
      </c>
      <c r="T16" s="82">
        <v>14.41</v>
      </c>
      <c r="U16" s="32">
        <f t="shared" si="1"/>
        <v>130.01599999999999</v>
      </c>
      <c r="V16" s="83">
        <v>4</v>
      </c>
      <c r="W16" s="75" t="s">
        <v>104</v>
      </c>
      <c r="X16" s="281"/>
      <c r="Y16" s="71" t="s">
        <v>49</v>
      </c>
      <c r="Z16" s="72">
        <v>6.7</v>
      </c>
      <c r="AA16" s="73">
        <f>100-Z16</f>
        <v>93.3</v>
      </c>
      <c r="AB16" s="190"/>
      <c r="AC16" s="85"/>
      <c r="AD16" s="86"/>
      <c r="AE16" s="11">
        <v>14</v>
      </c>
      <c r="AF16" s="12">
        <f t="shared" si="0"/>
        <v>9.5666666666666664</v>
      </c>
    </row>
    <row r="17" spans="1:32" ht="16.5" thickBot="1" x14ac:dyDescent="0.3">
      <c r="A17" s="87" t="s">
        <v>50</v>
      </c>
      <c r="B17" s="88">
        <f>AVERAGE(B5:B15)</f>
        <v>62.5</v>
      </c>
      <c r="C17" s="88">
        <f>AVERAGE(C5:C16)</f>
        <v>56.5</v>
      </c>
      <c r="D17" s="88">
        <f>AVERAGE(D5:D15)</f>
        <v>73</v>
      </c>
      <c r="E17" s="88">
        <f>AVERAGE(E5:E15)</f>
        <v>59</v>
      </c>
      <c r="F17" s="88">
        <f>AVERAGE(F5:F15)</f>
        <v>60</v>
      </c>
      <c r="G17" s="88">
        <f>AVERAGE(G5:G16)</f>
        <v>41</v>
      </c>
      <c r="H17" s="88">
        <f>AVERAGE(H5:H16)</f>
        <v>33.5</v>
      </c>
      <c r="I17" s="88">
        <f t="shared" ref="I17:N17" si="2">AVERAGE(I5:I15)</f>
        <v>20</v>
      </c>
      <c r="J17" s="88">
        <f t="shared" si="2"/>
        <v>35</v>
      </c>
      <c r="K17" s="88">
        <f t="shared" si="2"/>
        <v>40</v>
      </c>
      <c r="L17" s="88">
        <f t="shared" si="2"/>
        <v>55</v>
      </c>
      <c r="M17" s="89">
        <f t="shared" si="2"/>
        <v>45.5</v>
      </c>
      <c r="N17" s="89">
        <f t="shared" si="2"/>
        <v>56</v>
      </c>
      <c r="O17" s="89">
        <f>AVERAGE(O5:O16)</f>
        <v>70</v>
      </c>
      <c r="P17" s="90">
        <f>SUM(P5:P16)</f>
        <v>436.8</v>
      </c>
      <c r="Q17" s="91">
        <f>SUM(Q5:Q16)</f>
        <v>0</v>
      </c>
      <c r="R17" s="92">
        <f>SUM(R5:R16)</f>
        <v>399.75600000000003</v>
      </c>
      <c r="S17" s="93">
        <f>SUM(S5:S16)</f>
        <v>362</v>
      </c>
      <c r="T17" s="93">
        <f>SUM(T5:T16)</f>
        <v>167.25</v>
      </c>
      <c r="U17" s="94">
        <f>SUM(P17:T17)</f>
        <v>1365.806</v>
      </c>
      <c r="V17" s="1">
        <f>SUM(V5:V16)</f>
        <v>38</v>
      </c>
      <c r="W17" s="4"/>
      <c r="X17" s="281"/>
      <c r="Y17" s="71" t="s">
        <v>51</v>
      </c>
      <c r="Z17" s="72">
        <v>7.2</v>
      </c>
      <c r="AA17" s="73">
        <f>100-Z17</f>
        <v>92.8</v>
      </c>
      <c r="AB17" s="283">
        <v>0.54166666666666663</v>
      </c>
      <c r="AC17" s="62" t="s">
        <v>30</v>
      </c>
      <c r="AD17" s="50">
        <v>41</v>
      </c>
      <c r="AE17" s="11">
        <v>15</v>
      </c>
      <c r="AF17" s="12">
        <f t="shared" si="0"/>
        <v>10.25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92.375</v>
      </c>
      <c r="AB18" s="278"/>
      <c r="AC18" s="51" t="s">
        <v>32</v>
      </c>
      <c r="AD18" s="52">
        <v>41</v>
      </c>
      <c r="AE18" s="11">
        <v>16</v>
      </c>
      <c r="AF18" s="12">
        <f t="shared" si="0"/>
        <v>10.933333333333334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141</v>
      </c>
      <c r="J19" s="259"/>
      <c r="K19" s="259"/>
      <c r="L19" s="260"/>
      <c r="M19" s="261" t="s">
        <v>57</v>
      </c>
      <c r="N19" s="262"/>
      <c r="O19" s="263"/>
      <c r="P19" s="105">
        <v>3.9</v>
      </c>
      <c r="Q19" s="106"/>
      <c r="R19" s="107">
        <v>3.4</v>
      </c>
      <c r="S19" s="107">
        <v>3.7</v>
      </c>
      <c r="T19" s="107">
        <v>4.3</v>
      </c>
      <c r="U19" s="108">
        <f>(U17-U20)/U17*100</f>
        <v>3.7496287174020266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30</v>
      </c>
      <c r="AE19" s="11">
        <v>17</v>
      </c>
      <c r="AF19" s="12">
        <f t="shared" si="0"/>
        <v>11.616666666666667</v>
      </c>
    </row>
    <row r="20" spans="1:32" ht="16.5" thickBot="1" x14ac:dyDescent="0.3">
      <c r="A20" s="294" t="s">
        <v>30</v>
      </c>
      <c r="B20" s="295"/>
      <c r="C20" s="44">
        <v>70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419.76480000000004</v>
      </c>
      <c r="Q20" s="113"/>
      <c r="R20" s="114">
        <f>(R17-(R17*R19/100))</f>
        <v>386.16429600000004</v>
      </c>
      <c r="S20" s="112">
        <f>(S17-(S17*S19/100))</f>
        <v>348.60599999999999</v>
      </c>
      <c r="T20" s="112">
        <f>(T17-(T17*T19/100))</f>
        <v>160.05824999999999</v>
      </c>
      <c r="U20" s="115">
        <f>P20+Q20+R20+S20+T20</f>
        <v>1314.5933460000001</v>
      </c>
      <c r="V20" s="4"/>
      <c r="W20" s="4"/>
      <c r="X20" s="281"/>
      <c r="Y20" s="192" t="s">
        <v>45</v>
      </c>
      <c r="Z20" s="69">
        <v>5.6</v>
      </c>
      <c r="AA20" s="70">
        <f>100-Z20</f>
        <v>94.4</v>
      </c>
      <c r="AB20" s="279"/>
      <c r="AC20" s="74" t="s">
        <v>37</v>
      </c>
      <c r="AD20" s="58">
        <v>10</v>
      </c>
      <c r="AE20" s="11">
        <v>18</v>
      </c>
      <c r="AF20" s="12">
        <f t="shared" si="0"/>
        <v>12.3</v>
      </c>
    </row>
    <row r="21" spans="1:32" ht="19.5" thickBot="1" x14ac:dyDescent="0.3">
      <c r="A21" s="294" t="s">
        <v>61</v>
      </c>
      <c r="B21" s="295"/>
      <c r="C21" s="44">
        <v>20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45</v>
      </c>
      <c r="K21" s="118"/>
      <c r="L21" s="119"/>
      <c r="M21" s="307" t="s">
        <v>63</v>
      </c>
      <c r="N21" s="308"/>
      <c r="O21" s="309"/>
      <c r="P21" s="120">
        <f>(U17-(U17*U19/100))</f>
        <v>1314.5933460000001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8.6999999999999993</v>
      </c>
      <c r="AA21" s="73">
        <f>100-Z21</f>
        <v>91.3</v>
      </c>
      <c r="AB21" s="190"/>
      <c r="AC21" s="124"/>
      <c r="AD21" s="86"/>
      <c r="AE21" s="11">
        <v>19</v>
      </c>
      <c r="AF21" s="12">
        <f t="shared" si="0"/>
        <v>12.983333333333333</v>
      </c>
    </row>
    <row r="22" spans="1:32" ht="16.5" thickBot="1" x14ac:dyDescent="0.3">
      <c r="A22" s="294" t="s">
        <v>35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55</v>
      </c>
      <c r="K22" s="316">
        <f>J22/I22*100</f>
        <v>55.000000000000007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6.2</v>
      </c>
      <c r="AA22" s="73">
        <f>100-Z22</f>
        <v>93.8</v>
      </c>
      <c r="AB22" s="283">
        <v>0.625</v>
      </c>
      <c r="AC22" s="49" t="s">
        <v>30</v>
      </c>
      <c r="AD22" s="50">
        <v>42</v>
      </c>
      <c r="AE22" s="11">
        <v>20</v>
      </c>
      <c r="AF22" s="12">
        <f t="shared" si="0"/>
        <v>13.666666666666666</v>
      </c>
    </row>
    <row r="23" spans="1:32" ht="16.5" thickBot="1" x14ac:dyDescent="0.3">
      <c r="A23" s="294" t="s">
        <v>37</v>
      </c>
      <c r="B23" s="295"/>
      <c r="C23" s="44">
        <v>70</v>
      </c>
      <c r="D23" s="296">
        <v>0.15</v>
      </c>
      <c r="E23" s="297"/>
      <c r="F23" s="298" t="s">
        <v>58</v>
      </c>
      <c r="G23" s="299"/>
      <c r="H23" s="4"/>
      <c r="I23" s="133" t="s">
        <v>66</v>
      </c>
      <c r="J23" s="134">
        <v>27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6.4</v>
      </c>
      <c r="AA23" s="73">
        <f>100-Z23</f>
        <v>93.6</v>
      </c>
      <c r="AB23" s="278"/>
      <c r="AC23" s="51" t="s">
        <v>32</v>
      </c>
      <c r="AD23" s="52">
        <v>41</v>
      </c>
      <c r="AE23" s="11">
        <v>21</v>
      </c>
      <c r="AF23" s="12">
        <f t="shared" si="0"/>
        <v>14.35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73</v>
      </c>
      <c r="K24" s="316">
        <f>J24/I24*100</f>
        <v>73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93.275000000000006</v>
      </c>
      <c r="AB24" s="278"/>
      <c r="AC24" s="51" t="s">
        <v>35</v>
      </c>
      <c r="AD24" s="52">
        <v>31</v>
      </c>
      <c r="AE24" s="11">
        <v>22</v>
      </c>
      <c r="AF24" s="12">
        <f t="shared" si="0"/>
        <v>15.033333333333333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13</v>
      </c>
      <c r="AE25" s="11">
        <v>23</v>
      </c>
      <c r="AF25" s="12">
        <f t="shared" si="0"/>
        <v>15.716666666666667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1.1000000000000001</v>
      </c>
      <c r="AA26" s="70">
        <f>100-Z26</f>
        <v>98.9</v>
      </c>
      <c r="AB26" s="189"/>
      <c r="AC26" s="124"/>
      <c r="AD26" s="86"/>
      <c r="AE26" s="11">
        <v>24</v>
      </c>
      <c r="AF26" s="12">
        <f t="shared" si="0"/>
        <v>16.399999999999999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3.7</v>
      </c>
      <c r="AA27" s="73">
        <f>100-Z27</f>
        <v>96.3</v>
      </c>
      <c r="AB27" s="267">
        <v>0.70833333333333337</v>
      </c>
      <c r="AC27" s="62" t="s">
        <v>30</v>
      </c>
      <c r="AD27" s="50">
        <v>38</v>
      </c>
      <c r="AE27" s="11">
        <v>25</v>
      </c>
      <c r="AF27" s="12">
        <f t="shared" si="0"/>
        <v>17.083333333333332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 t="s">
        <v>221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4.2</v>
      </c>
      <c r="AA28" s="73">
        <f>100-Z28</f>
        <v>95.8</v>
      </c>
      <c r="AB28" s="268"/>
      <c r="AC28" s="67" t="s">
        <v>32</v>
      </c>
      <c r="AD28" s="52">
        <v>40</v>
      </c>
      <c r="AE28" s="11">
        <v>26</v>
      </c>
      <c r="AF28" s="12">
        <f t="shared" si="0"/>
        <v>17.766666666666666</v>
      </c>
    </row>
    <row r="29" spans="1:32" ht="20.25" customHeight="1" thickBot="1" x14ac:dyDescent="0.35">
      <c r="A29" s="432"/>
      <c r="B29" s="433"/>
      <c r="C29" s="181"/>
      <c r="D29" s="428"/>
      <c r="E29" s="429"/>
      <c r="F29" s="430"/>
      <c r="G29" s="431"/>
      <c r="H29" s="345" t="s">
        <v>222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5</v>
      </c>
      <c r="AA29" s="73">
        <f>100-Z29</f>
        <v>95</v>
      </c>
      <c r="AB29" s="268"/>
      <c r="AC29" s="51" t="s">
        <v>35</v>
      </c>
      <c r="AD29" s="52">
        <v>30</v>
      </c>
      <c r="AE29" s="11">
        <v>27</v>
      </c>
      <c r="AF29" s="12">
        <f t="shared" si="0"/>
        <v>18.45</v>
      </c>
    </row>
    <row r="30" spans="1:32" ht="21" thickBot="1" x14ac:dyDescent="0.35">
      <c r="A30" s="407" t="s">
        <v>32</v>
      </c>
      <c r="B30" s="408"/>
      <c r="C30" s="182">
        <v>0.36041666666666666</v>
      </c>
      <c r="D30" s="403">
        <v>0.37916666666666665</v>
      </c>
      <c r="E30" s="404"/>
      <c r="F30" s="405" t="s">
        <v>228</v>
      </c>
      <c r="G30" s="406"/>
      <c r="H30" s="354" t="s">
        <v>223</v>
      </c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96.5</v>
      </c>
      <c r="AB30" s="269"/>
      <c r="AC30" s="74" t="s">
        <v>37</v>
      </c>
      <c r="AD30" s="58">
        <v>12</v>
      </c>
      <c r="AE30" s="11">
        <v>28</v>
      </c>
      <c r="AF30" s="12">
        <f t="shared" si="0"/>
        <v>19.133333333333333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 t="s">
        <v>224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19.816666666666666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 t="s">
        <v>225</v>
      </c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1.1000000000000001</v>
      </c>
      <c r="AA32" s="70">
        <f>100-Z32</f>
        <v>98.9</v>
      </c>
      <c r="AB32" s="267">
        <v>0.79166666666666663</v>
      </c>
      <c r="AC32" s="62" t="s">
        <v>30</v>
      </c>
      <c r="AD32" s="50">
        <v>43</v>
      </c>
      <c r="AE32" s="11">
        <v>30</v>
      </c>
      <c r="AF32" s="12">
        <f t="shared" si="0"/>
        <v>20.5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 t="s">
        <v>226</v>
      </c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>
        <v>1.1000000000000001</v>
      </c>
      <c r="AA33" s="73">
        <f>100-Z33</f>
        <v>98.9</v>
      </c>
      <c r="AB33" s="268"/>
      <c r="AC33" s="51" t="s">
        <v>32</v>
      </c>
      <c r="AD33" s="52">
        <v>41</v>
      </c>
      <c r="AE33" s="11">
        <v>31</v>
      </c>
      <c r="AF33" s="12">
        <f t="shared" si="0"/>
        <v>21.183333333333334</v>
      </c>
    </row>
    <row r="34" spans="1:32" ht="21" thickBot="1" x14ac:dyDescent="0.35">
      <c r="A34" s="438" t="s">
        <v>61</v>
      </c>
      <c r="B34" s="439"/>
      <c r="C34" s="182">
        <v>0.69652777777777775</v>
      </c>
      <c r="D34" s="403">
        <v>0.70972222222222225</v>
      </c>
      <c r="E34" s="404"/>
      <c r="F34" s="415" t="s">
        <v>229</v>
      </c>
      <c r="G34" s="416"/>
      <c r="H34" s="345" t="s">
        <v>227</v>
      </c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3.2</v>
      </c>
      <c r="AA34" s="73">
        <f>100-Z34</f>
        <v>96.8</v>
      </c>
      <c r="AB34" s="268"/>
      <c r="AC34" s="67" t="s">
        <v>35</v>
      </c>
      <c r="AD34" s="52">
        <v>34</v>
      </c>
      <c r="AE34" s="11">
        <v>32</v>
      </c>
      <c r="AF34" s="12">
        <f t="shared" si="0"/>
        <v>21.866666666666667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0.4</v>
      </c>
      <c r="AA35" s="73">
        <f>100-Z35</f>
        <v>99.6</v>
      </c>
      <c r="AB35" s="269"/>
      <c r="AC35" s="74" t="s">
        <v>37</v>
      </c>
      <c r="AD35" s="58">
        <v>13</v>
      </c>
      <c r="AE35" s="11">
        <v>33</v>
      </c>
      <c r="AF35" s="12">
        <f t="shared" si="0"/>
        <v>22.55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98.550000000000011</v>
      </c>
      <c r="AB36" s="59"/>
      <c r="AC36" s="57"/>
      <c r="AD36" s="153"/>
      <c r="AE36" s="11">
        <v>34</v>
      </c>
      <c r="AF36" s="12">
        <f t="shared" si="0"/>
        <v>23.233333333333334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V37" t="s">
        <v>78</v>
      </c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23.916666666666668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24.6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 t="s">
        <v>65</v>
      </c>
      <c r="Y39" t="s">
        <v>80</v>
      </c>
      <c r="AB39" s="154"/>
      <c r="AC39" s="157"/>
      <c r="AD39" s="158"/>
      <c r="AE39" s="11">
        <v>37</v>
      </c>
      <c r="AF39" s="12">
        <f t="shared" si="0"/>
        <v>25.283333333333335</v>
      </c>
    </row>
    <row r="40" spans="1:32" ht="19.5" thickBot="1" x14ac:dyDescent="0.3">
      <c r="A40" s="359" t="s">
        <v>81</v>
      </c>
      <c r="B40" s="360"/>
      <c r="C40" s="360"/>
      <c r="D40" s="361">
        <f>'08.01.26см1'!D44:F44</f>
        <v>83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25.966666666666665</v>
      </c>
    </row>
    <row r="41" spans="1:32" ht="19.5" thickBot="1" x14ac:dyDescent="0.3">
      <c r="A41" s="364" t="s">
        <v>82</v>
      </c>
      <c r="B41" s="365"/>
      <c r="C41" s="365"/>
      <c r="D41" s="366">
        <f>V17</f>
        <v>38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26.65</v>
      </c>
    </row>
    <row r="42" spans="1:32" ht="19.5" thickBot="1" x14ac:dyDescent="0.35">
      <c r="A42" s="364" t="s">
        <v>87</v>
      </c>
      <c r="B42" s="365"/>
      <c r="C42" s="365"/>
      <c r="D42" s="386">
        <v>58</v>
      </c>
      <c r="E42" s="386"/>
      <c r="F42" s="387"/>
      <c r="G42" s="160"/>
      <c r="H42" s="397" t="s">
        <v>88</v>
      </c>
      <c r="I42" s="398"/>
      <c r="J42" s="164">
        <v>9.41</v>
      </c>
      <c r="K42" s="399">
        <v>9.11</v>
      </c>
      <c r="L42" s="400"/>
      <c r="M42" s="164">
        <v>9.86</v>
      </c>
      <c r="N42" s="165">
        <v>9.94</v>
      </c>
      <c r="O42" s="165">
        <v>9.86</v>
      </c>
      <c r="P42" s="165">
        <v>9.6199999999999992</v>
      </c>
      <c r="Q42" s="401">
        <f>AVERAGE(J42:P43)</f>
        <v>9.6333333333333329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27.333333333333332</v>
      </c>
    </row>
    <row r="43" spans="1:32" ht="21" thickBot="1" x14ac:dyDescent="0.35">
      <c r="A43" s="187" t="s">
        <v>89</v>
      </c>
      <c r="B43" s="188"/>
      <c r="C43" s="188"/>
      <c r="D43" s="386">
        <v>3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28.016666666666666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63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208" t="s">
        <v>92</v>
      </c>
      <c r="S44" s="208"/>
      <c r="T44" s="208"/>
      <c r="U44" s="208"/>
      <c r="V44" s="208"/>
      <c r="W44" s="208"/>
      <c r="X44" s="208"/>
      <c r="AA44" s="178"/>
      <c r="AB44" s="179"/>
      <c r="AE44" s="11">
        <v>42</v>
      </c>
      <c r="AF44" s="12">
        <f t="shared" si="0"/>
        <v>28.7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30.75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31.433333333333334</v>
      </c>
    </row>
    <row r="47" spans="1:32" ht="15.75" thickBot="1" x14ac:dyDescent="0.3">
      <c r="AE47" s="11">
        <v>47</v>
      </c>
      <c r="AF47" s="12">
        <f t="shared" si="0"/>
        <v>32.116666666666667</v>
      </c>
    </row>
    <row r="48" spans="1:32" ht="15.75" thickBot="1" x14ac:dyDescent="0.3">
      <c r="AE48" s="11">
        <v>48</v>
      </c>
      <c r="AF48" s="12">
        <f t="shared" si="0"/>
        <v>32.799999999999997</v>
      </c>
    </row>
    <row r="49" spans="31:32" ht="15.75" thickBot="1" x14ac:dyDescent="0.3">
      <c r="AE49" s="11">
        <v>49</v>
      </c>
      <c r="AF49" s="12">
        <f t="shared" si="0"/>
        <v>33.483333333333334</v>
      </c>
    </row>
    <row r="50" spans="31:32" ht="15.75" thickBot="1" x14ac:dyDescent="0.3">
      <c r="AE50" s="11">
        <v>50</v>
      </c>
      <c r="AF50" s="12">
        <f t="shared" si="0"/>
        <v>34.166666666666664</v>
      </c>
    </row>
    <row r="51" spans="31:32" ht="15.75" thickBot="1" x14ac:dyDescent="0.3">
      <c r="AE51" s="11">
        <v>51</v>
      </c>
      <c r="AF51" s="12">
        <f t="shared" si="0"/>
        <v>34.85</v>
      </c>
    </row>
    <row r="52" spans="31:32" ht="15.75" thickBot="1" x14ac:dyDescent="0.3">
      <c r="AE52" s="11">
        <v>52</v>
      </c>
      <c r="AF52" s="12">
        <f t="shared" si="0"/>
        <v>35.533333333333331</v>
      </c>
    </row>
    <row r="53" spans="31:32" ht="15.75" thickBot="1" x14ac:dyDescent="0.3">
      <c r="AE53" s="11">
        <v>53</v>
      </c>
      <c r="AF53" s="12">
        <f t="shared" si="0"/>
        <v>36.216666666666669</v>
      </c>
    </row>
    <row r="54" spans="31:32" ht="15.75" thickBot="1" x14ac:dyDescent="0.3">
      <c r="AE54" s="11">
        <v>54</v>
      </c>
      <c r="AF54" s="12">
        <f t="shared" si="0"/>
        <v>36.9</v>
      </c>
    </row>
    <row r="55" spans="31:32" ht="15.75" thickBot="1" x14ac:dyDescent="0.3">
      <c r="AE55" s="11">
        <v>55</v>
      </c>
      <c r="AF55" s="12">
        <f t="shared" si="0"/>
        <v>37.583333333333336</v>
      </c>
    </row>
    <row r="56" spans="31:32" ht="15.75" thickBot="1" x14ac:dyDescent="0.3">
      <c r="AE56" s="11">
        <v>56</v>
      </c>
      <c r="AF56" s="12">
        <f t="shared" si="0"/>
        <v>38.266666666666666</v>
      </c>
    </row>
    <row r="57" spans="31:32" ht="15.75" thickBot="1" x14ac:dyDescent="0.3">
      <c r="AE57" s="11">
        <v>57</v>
      </c>
      <c r="AF57" s="12">
        <f t="shared" si="0"/>
        <v>38.950000000000003</v>
      </c>
    </row>
    <row r="58" spans="31:32" ht="15.75" thickBot="1" x14ac:dyDescent="0.3">
      <c r="AE58" s="11">
        <v>58</v>
      </c>
      <c r="AF58" s="12">
        <f t="shared" si="0"/>
        <v>39.633333333333333</v>
      </c>
    </row>
    <row r="59" spans="31:32" ht="15.75" thickBot="1" x14ac:dyDescent="0.3">
      <c r="AE59" s="11">
        <v>59</v>
      </c>
      <c r="AF59" s="12">
        <f t="shared" si="0"/>
        <v>40.31666666666667</v>
      </c>
    </row>
    <row r="60" spans="31:32" ht="15.75" thickBot="1" x14ac:dyDescent="0.3">
      <c r="AE60" s="11">
        <v>60</v>
      </c>
      <c r="AF60" s="12">
        <f t="shared" si="0"/>
        <v>41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X41" sqref="X41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5703125" customWidth="1"/>
    <col min="17" max="17" width="10" customWidth="1"/>
    <col min="18" max="18" width="9.5703125" customWidth="1"/>
    <col min="19" max="19" width="9.140625" customWidth="1"/>
    <col min="20" max="20" width="9.7109375" customWidth="1"/>
    <col min="21" max="21" width="10.140625" customWidth="1"/>
    <col min="22" max="22" width="11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142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38.799999999999997</v>
      </c>
      <c r="Q5" s="29">
        <v>0</v>
      </c>
      <c r="R5" s="30">
        <v>31.382000000000001</v>
      </c>
      <c r="S5" s="30">
        <v>33</v>
      </c>
      <c r="T5" s="31">
        <v>13.12</v>
      </c>
      <c r="U5" s="32">
        <f>SUM(P5:T5)</f>
        <v>116.30200000000001</v>
      </c>
      <c r="V5" s="33">
        <v>1</v>
      </c>
      <c r="W5" s="21" t="s">
        <v>27</v>
      </c>
      <c r="X5" s="34">
        <v>517133.7</v>
      </c>
      <c r="Y5" s="34">
        <f>X5+P17</f>
        <v>517610.8</v>
      </c>
      <c r="Z5" s="35">
        <f>Y5-X5</f>
        <v>477.09999999997672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40.9</v>
      </c>
      <c r="Q6" s="29">
        <v>0</v>
      </c>
      <c r="R6" s="30">
        <v>40.673000000000002</v>
      </c>
      <c r="S6" s="30">
        <v>31</v>
      </c>
      <c r="T6" s="31">
        <v>13.29</v>
      </c>
      <c r="U6" s="32">
        <f t="shared" ref="U6:U16" si="1">SUM(P6:T6)</f>
        <v>125.863</v>
      </c>
      <c r="V6" s="44">
        <v>3</v>
      </c>
      <c r="W6" s="37" t="s">
        <v>28</v>
      </c>
      <c r="X6" s="45">
        <v>814339.09699999995</v>
      </c>
      <c r="Y6" s="34">
        <f>X6+R17</f>
        <v>814837.75699999998</v>
      </c>
      <c r="Z6" s="46">
        <f>Y6-X6</f>
        <v>498.6600000000326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>
        <v>68</v>
      </c>
      <c r="C7" s="39">
        <v>62</v>
      </c>
      <c r="D7" s="39">
        <v>75</v>
      </c>
      <c r="E7" s="40">
        <v>63</v>
      </c>
      <c r="F7" s="41">
        <v>60</v>
      </c>
      <c r="G7" s="42">
        <v>44</v>
      </c>
      <c r="H7" s="41">
        <v>35</v>
      </c>
      <c r="I7" s="42">
        <v>46</v>
      </c>
      <c r="J7" s="41">
        <v>30</v>
      </c>
      <c r="K7" s="38">
        <v>45</v>
      </c>
      <c r="L7" s="43">
        <v>58</v>
      </c>
      <c r="M7" s="40">
        <v>49</v>
      </c>
      <c r="N7" s="42">
        <v>56</v>
      </c>
      <c r="O7" s="41">
        <v>70</v>
      </c>
      <c r="P7" s="28">
        <v>39.200000000000003</v>
      </c>
      <c r="Q7" s="29">
        <v>0</v>
      </c>
      <c r="R7" s="30">
        <v>48.697000000000003</v>
      </c>
      <c r="S7" s="30">
        <v>35</v>
      </c>
      <c r="T7" s="31">
        <v>10.98</v>
      </c>
      <c r="U7" s="32">
        <f t="shared" si="1"/>
        <v>133.87700000000001</v>
      </c>
      <c r="V7" s="44">
        <v>6</v>
      </c>
      <c r="W7" s="37" t="s">
        <v>29</v>
      </c>
      <c r="X7" s="48">
        <v>507459</v>
      </c>
      <c r="Y7" s="34">
        <f>X7+S17</f>
        <v>507843</v>
      </c>
      <c r="Z7" s="46">
        <f>Y7-X7</f>
        <v>384</v>
      </c>
      <c r="AA7" s="47">
        <v>4</v>
      </c>
      <c r="AB7" s="267">
        <v>0.875</v>
      </c>
      <c r="AC7" s="49" t="s">
        <v>30</v>
      </c>
      <c r="AD7" s="50">
        <v>40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38.6</v>
      </c>
      <c r="Q8" s="29">
        <v>0</v>
      </c>
      <c r="R8" s="30">
        <v>41.005000000000003</v>
      </c>
      <c r="S8" s="30">
        <v>32</v>
      </c>
      <c r="T8" s="31">
        <v>10.1</v>
      </c>
      <c r="U8" s="32">
        <f t="shared" si="1"/>
        <v>121.705</v>
      </c>
      <c r="V8" s="44">
        <v>3</v>
      </c>
      <c r="W8" s="37" t="s">
        <v>31</v>
      </c>
      <c r="X8" s="46">
        <v>2188.96</v>
      </c>
      <c r="Y8" s="34">
        <f>X8+T17</f>
        <v>2331.09</v>
      </c>
      <c r="Z8" s="46">
        <f>T17</f>
        <v>142.13000000000002</v>
      </c>
      <c r="AA8" s="47">
        <v>5</v>
      </c>
      <c r="AB8" s="268"/>
      <c r="AC8" s="51" t="s">
        <v>32</v>
      </c>
      <c r="AD8" s="52">
        <v>42</v>
      </c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42.4</v>
      </c>
      <c r="Q9" s="29">
        <v>0</v>
      </c>
      <c r="R9" s="30">
        <v>41.365000000000002</v>
      </c>
      <c r="S9" s="30">
        <v>32</v>
      </c>
      <c r="T9" s="31">
        <v>11.58</v>
      </c>
      <c r="U9" s="32">
        <f t="shared" si="1"/>
        <v>127.345</v>
      </c>
      <c r="V9" s="44">
        <v>2</v>
      </c>
      <c r="W9" s="37" t="s">
        <v>33</v>
      </c>
      <c r="X9" s="270" t="s">
        <v>34</v>
      </c>
      <c r="Y9" s="271"/>
      <c r="Z9" s="54">
        <f>SUM(Z5:Z8)</f>
        <v>1501.8900000000094</v>
      </c>
      <c r="AA9" s="55"/>
      <c r="AB9" s="268"/>
      <c r="AC9" s="51" t="s">
        <v>35</v>
      </c>
      <c r="AD9" s="52">
        <v>33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38.4</v>
      </c>
      <c r="Q10" s="29">
        <v>0</v>
      </c>
      <c r="R10" s="30">
        <v>42.073</v>
      </c>
      <c r="S10" s="30">
        <v>32</v>
      </c>
      <c r="T10" s="31">
        <v>11.24</v>
      </c>
      <c r="U10" s="32">
        <f t="shared" si="1"/>
        <v>123.71299999999999</v>
      </c>
      <c r="V10" s="44">
        <v>7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11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42.7</v>
      </c>
      <c r="Q11" s="29">
        <v>0</v>
      </c>
      <c r="R11" s="30">
        <v>42.987000000000002</v>
      </c>
      <c r="S11" s="30">
        <v>31</v>
      </c>
      <c r="T11" s="31">
        <v>12.24</v>
      </c>
      <c r="U11" s="32">
        <f t="shared" si="1"/>
        <v>128.92700000000002</v>
      </c>
      <c r="V11" s="44">
        <v>1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40.700000000000003</v>
      </c>
      <c r="Q12" s="29">
        <v>0</v>
      </c>
      <c r="R12" s="30">
        <v>39.326999999999998</v>
      </c>
      <c r="S12" s="30">
        <v>32</v>
      </c>
      <c r="T12" s="31">
        <v>10.9</v>
      </c>
      <c r="U12" s="32">
        <f t="shared" si="1"/>
        <v>122.92700000000001</v>
      </c>
      <c r="V12" s="44">
        <v>5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42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>
        <v>67</v>
      </c>
      <c r="C13" s="39">
        <v>61</v>
      </c>
      <c r="D13" s="39">
        <v>73</v>
      </c>
      <c r="E13" s="40">
        <v>62</v>
      </c>
      <c r="F13" s="41">
        <v>56</v>
      </c>
      <c r="G13" s="42">
        <v>44</v>
      </c>
      <c r="H13" s="41">
        <v>34</v>
      </c>
      <c r="I13" s="42">
        <v>33</v>
      </c>
      <c r="J13" s="41">
        <v>10</v>
      </c>
      <c r="K13" s="38">
        <v>47</v>
      </c>
      <c r="L13" s="43">
        <v>56</v>
      </c>
      <c r="M13" s="40">
        <v>46</v>
      </c>
      <c r="N13" s="42">
        <v>57</v>
      </c>
      <c r="O13" s="41">
        <v>72</v>
      </c>
      <c r="P13" s="53">
        <v>41.5</v>
      </c>
      <c r="Q13" s="29">
        <v>0</v>
      </c>
      <c r="R13" s="30">
        <v>42.012999999999998</v>
      </c>
      <c r="S13" s="30">
        <v>33</v>
      </c>
      <c r="T13" s="31">
        <v>11.55</v>
      </c>
      <c r="U13" s="32">
        <f t="shared" si="1"/>
        <v>128.06300000000002</v>
      </c>
      <c r="V13" s="44">
        <v>5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44</v>
      </c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41.6</v>
      </c>
      <c r="Q14" s="29">
        <v>0</v>
      </c>
      <c r="R14" s="30">
        <v>44.036000000000001</v>
      </c>
      <c r="S14" s="30">
        <v>32</v>
      </c>
      <c r="T14" s="31">
        <v>12.71</v>
      </c>
      <c r="U14" s="32">
        <f t="shared" si="1"/>
        <v>130.346</v>
      </c>
      <c r="V14" s="44">
        <v>5</v>
      </c>
      <c r="W14" s="37" t="s">
        <v>44</v>
      </c>
      <c r="X14" s="280">
        <v>0.91666666666666663</v>
      </c>
      <c r="Y14" s="192" t="s">
        <v>45</v>
      </c>
      <c r="Z14" s="69">
        <v>1.4</v>
      </c>
      <c r="AA14" s="70">
        <f>100-Z14</f>
        <v>98.6</v>
      </c>
      <c r="AB14" s="278"/>
      <c r="AC14" s="51" t="s">
        <v>35</v>
      </c>
      <c r="AD14" s="52">
        <v>35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39.1</v>
      </c>
      <c r="Q15" s="29">
        <v>0</v>
      </c>
      <c r="R15" s="30">
        <v>42.460999999999999</v>
      </c>
      <c r="S15" s="30">
        <v>30</v>
      </c>
      <c r="T15" s="31">
        <v>12.3</v>
      </c>
      <c r="U15" s="32">
        <f t="shared" si="1"/>
        <v>123.861</v>
      </c>
      <c r="V15" s="44">
        <v>5</v>
      </c>
      <c r="W15" s="37" t="s">
        <v>46</v>
      </c>
      <c r="X15" s="281"/>
      <c r="Y15" s="71" t="s">
        <v>47</v>
      </c>
      <c r="Z15" s="72">
        <v>1</v>
      </c>
      <c r="AA15" s="73">
        <f>100-Z15</f>
        <v>99</v>
      </c>
      <c r="AB15" s="279"/>
      <c r="AC15" s="74" t="s">
        <v>37</v>
      </c>
      <c r="AD15" s="58">
        <v>12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33.200000000000003</v>
      </c>
      <c r="Q16" s="29">
        <v>0</v>
      </c>
      <c r="R16" s="30">
        <v>42.640999999999998</v>
      </c>
      <c r="S16" s="30">
        <v>31</v>
      </c>
      <c r="T16" s="82">
        <v>12.12</v>
      </c>
      <c r="U16" s="32">
        <f t="shared" si="1"/>
        <v>118.96100000000001</v>
      </c>
      <c r="V16" s="83">
        <v>4</v>
      </c>
      <c r="W16" s="75" t="s">
        <v>48</v>
      </c>
      <c r="X16" s="281"/>
      <c r="Y16" s="71" t="s">
        <v>49</v>
      </c>
      <c r="Z16" s="72">
        <v>2.2000000000000002</v>
      </c>
      <c r="AA16" s="73">
        <f>100-Z16</f>
        <v>97.8</v>
      </c>
      <c r="AB16" s="190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67.5</v>
      </c>
      <c r="C17" s="88">
        <f>AVERAGE(C5:C16)</f>
        <v>61.5</v>
      </c>
      <c r="D17" s="88">
        <f>AVERAGE(D5:D15)</f>
        <v>74</v>
      </c>
      <c r="E17" s="88">
        <f>AVERAGE(E5:E15)</f>
        <v>62.5</v>
      </c>
      <c r="F17" s="88">
        <f>AVERAGE(F5:F15)</f>
        <v>58</v>
      </c>
      <c r="G17" s="88">
        <f>AVERAGE(G5:G16)</f>
        <v>44</v>
      </c>
      <c r="H17" s="88">
        <f>AVERAGE(H5:H16)</f>
        <v>34.5</v>
      </c>
      <c r="I17" s="88">
        <f t="shared" ref="I17:N17" si="2">AVERAGE(I5:I15)</f>
        <v>39.5</v>
      </c>
      <c r="J17" s="88">
        <f t="shared" si="2"/>
        <v>20</v>
      </c>
      <c r="K17" s="88">
        <f t="shared" si="2"/>
        <v>46</v>
      </c>
      <c r="L17" s="88">
        <f t="shared" si="2"/>
        <v>57</v>
      </c>
      <c r="M17" s="89">
        <f t="shared" si="2"/>
        <v>47.5</v>
      </c>
      <c r="N17" s="89">
        <f t="shared" si="2"/>
        <v>56.5</v>
      </c>
      <c r="O17" s="89">
        <f>AVERAGE(O5:O16)</f>
        <v>71</v>
      </c>
      <c r="P17" s="90">
        <f>SUM(P5:P16)</f>
        <v>477.1</v>
      </c>
      <c r="Q17" s="91">
        <f>SUM(Q5:Q16)</f>
        <v>0</v>
      </c>
      <c r="R17" s="92">
        <f>SUM(R5:R16)</f>
        <v>498.66</v>
      </c>
      <c r="S17" s="93">
        <f>SUM(S5:S16)</f>
        <v>384</v>
      </c>
      <c r="T17" s="93">
        <f>SUM(T5:T16)</f>
        <v>142.13000000000002</v>
      </c>
      <c r="U17" s="94">
        <f>SUM(P17:T17)</f>
        <v>1501.89</v>
      </c>
      <c r="V17" s="1">
        <f>SUM(V5:V16)</f>
        <v>47</v>
      </c>
      <c r="W17" s="4"/>
      <c r="X17" s="281"/>
      <c r="Y17" s="71" t="s">
        <v>51</v>
      </c>
      <c r="Z17" s="72">
        <v>1.1000000000000001</v>
      </c>
      <c r="AA17" s="73">
        <f>100-Z17</f>
        <v>98.9</v>
      </c>
      <c r="AB17" s="283">
        <v>4.1666666666666664E-2</v>
      </c>
      <c r="AC17" s="62" t="s">
        <v>30</v>
      </c>
      <c r="AD17" s="50">
        <v>43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v>98.58</v>
      </c>
      <c r="AB18" s="278"/>
      <c r="AC18" s="51" t="s">
        <v>32</v>
      </c>
      <c r="AD18" s="52">
        <v>43</v>
      </c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143</v>
      </c>
      <c r="J19" s="259"/>
      <c r="K19" s="259"/>
      <c r="L19" s="260"/>
      <c r="M19" s="261" t="s">
        <v>57</v>
      </c>
      <c r="N19" s="262"/>
      <c r="O19" s="263"/>
      <c r="P19" s="105">
        <v>3.9</v>
      </c>
      <c r="Q19" s="106"/>
      <c r="R19" s="197">
        <v>3</v>
      </c>
      <c r="S19" s="107">
        <v>3.2</v>
      </c>
      <c r="T19" s="107">
        <v>3.4</v>
      </c>
      <c r="U19" s="108">
        <f>(U17-U20)/U17*100</f>
        <v>3.3748889732270708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32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30</v>
      </c>
      <c r="B20" s="295"/>
      <c r="C20" s="44">
        <v>70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458.49310000000003</v>
      </c>
      <c r="Q20" s="113"/>
      <c r="R20" s="114">
        <f>(R17-(R17*R19/100))</f>
        <v>483.70020000000005</v>
      </c>
      <c r="S20" s="112">
        <f>(S17-(S17*S19/100))</f>
        <v>371.71199999999999</v>
      </c>
      <c r="T20" s="112">
        <f>(T17-(T17*T19/100))</f>
        <v>137.29758000000001</v>
      </c>
      <c r="U20" s="115">
        <f>P20+Q20+R20+S20+T20</f>
        <v>1451.2028800000001</v>
      </c>
      <c r="V20" s="4"/>
      <c r="W20" s="4"/>
      <c r="X20" s="281"/>
      <c r="Y20" s="192" t="s">
        <v>45</v>
      </c>
      <c r="Z20" s="69">
        <v>5.7</v>
      </c>
      <c r="AA20" s="70">
        <f>100-Z20</f>
        <v>94.3</v>
      </c>
      <c r="AB20" s="279"/>
      <c r="AC20" s="74" t="s">
        <v>37</v>
      </c>
      <c r="AD20" s="58">
        <v>11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61</v>
      </c>
      <c r="B21" s="295"/>
      <c r="C21" s="44">
        <v>20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45</v>
      </c>
      <c r="K21" s="118"/>
      <c r="L21" s="119"/>
      <c r="M21" s="307" t="s">
        <v>63</v>
      </c>
      <c r="N21" s="308"/>
      <c r="O21" s="309"/>
      <c r="P21" s="120">
        <f>(U17-(U17*U19/100))</f>
        <v>1451.2028800000001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1.6</v>
      </c>
      <c r="AA21" s="73">
        <f>100-Z21</f>
        <v>98.4</v>
      </c>
      <c r="AB21" s="190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32</v>
      </c>
      <c r="B22" s="295"/>
      <c r="C22" s="44">
        <v>70</v>
      </c>
      <c r="D22" s="296">
        <v>1</v>
      </c>
      <c r="E22" s="297"/>
      <c r="F22" s="298" t="s">
        <v>58</v>
      </c>
      <c r="G22" s="299"/>
      <c r="H22" s="4"/>
      <c r="I22" s="125">
        <v>100</v>
      </c>
      <c r="J22" s="126">
        <f>I22-J21</f>
        <v>55</v>
      </c>
      <c r="K22" s="316">
        <f>J22/I22*100</f>
        <v>55.000000000000007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1.1000000000000001</v>
      </c>
      <c r="AA22" s="73">
        <f>100-Z22</f>
        <v>98.9</v>
      </c>
      <c r="AB22" s="283">
        <v>0.125</v>
      </c>
      <c r="AC22" s="49" t="s">
        <v>30</v>
      </c>
      <c r="AD22" s="50">
        <v>43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 t="s">
        <v>35</v>
      </c>
      <c r="B23" s="295"/>
      <c r="C23" s="44">
        <v>70</v>
      </c>
      <c r="D23" s="296">
        <v>0.2</v>
      </c>
      <c r="E23" s="297"/>
      <c r="F23" s="298" t="s">
        <v>58</v>
      </c>
      <c r="G23" s="299"/>
      <c r="H23" s="4"/>
      <c r="I23" s="133" t="s">
        <v>66</v>
      </c>
      <c r="J23" s="134">
        <v>29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3.5</v>
      </c>
      <c r="AA23" s="73">
        <f>100-Z23</f>
        <v>96.5</v>
      </c>
      <c r="AB23" s="278"/>
      <c r="AC23" s="51" t="s">
        <v>32</v>
      </c>
      <c r="AD23" s="52">
        <v>42</v>
      </c>
      <c r="AE23" s="11">
        <v>21</v>
      </c>
      <c r="AF23" s="12">
        <f t="shared" si="0"/>
        <v>14</v>
      </c>
    </row>
    <row r="24" spans="1:32" ht="16.5" thickBot="1" x14ac:dyDescent="0.3">
      <c r="A24" s="294" t="s">
        <v>37</v>
      </c>
      <c r="B24" s="295"/>
      <c r="C24" s="44">
        <v>70</v>
      </c>
      <c r="D24" s="296">
        <v>0.15</v>
      </c>
      <c r="E24" s="297"/>
      <c r="F24" s="298" t="s">
        <v>58</v>
      </c>
      <c r="G24" s="299"/>
      <c r="H24" s="4"/>
      <c r="I24" s="136">
        <v>100</v>
      </c>
      <c r="J24" s="121">
        <f>I24-J23</f>
        <v>71</v>
      </c>
      <c r="K24" s="316">
        <f>J24/I24*100</f>
        <v>71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v>97.03</v>
      </c>
      <c r="AB24" s="278"/>
      <c r="AC24" s="51" t="s">
        <v>35</v>
      </c>
      <c r="AD24" s="52">
        <v>31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10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3.3</v>
      </c>
      <c r="AA26" s="70">
        <f>100-Z26</f>
        <v>96.7</v>
      </c>
      <c r="AB26" s="189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3.9</v>
      </c>
      <c r="AA27" s="73">
        <f>100-Z27</f>
        <v>96.1</v>
      </c>
      <c r="AB27" s="267">
        <v>0.20833333333333334</v>
      </c>
      <c r="AC27" s="62" t="s">
        <v>30</v>
      </c>
      <c r="AD27" s="50">
        <v>42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 t="s">
        <v>196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1.8</v>
      </c>
      <c r="AA28" s="73">
        <f>100-Z28</f>
        <v>98.2</v>
      </c>
      <c r="AB28" s="268"/>
      <c r="AC28" s="67" t="s">
        <v>32</v>
      </c>
      <c r="AD28" s="52">
        <v>39</v>
      </c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 t="s">
        <v>230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1.1000000000000001</v>
      </c>
      <c r="AA29" s="73">
        <f>100-Z29</f>
        <v>98.9</v>
      </c>
      <c r="AB29" s="268"/>
      <c r="AC29" s="51" t="s">
        <v>35</v>
      </c>
      <c r="AD29" s="52">
        <v>33</v>
      </c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v>97.48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1.7</v>
      </c>
      <c r="AA32" s="70">
        <f>100-Z32</f>
        <v>98.3</v>
      </c>
      <c r="AB32" s="267">
        <v>0.29166666666666669</v>
      </c>
      <c r="AC32" s="62" t="s">
        <v>30</v>
      </c>
      <c r="AD32" s="50">
        <v>42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>
        <v>1.7</v>
      </c>
      <c r="AA33" s="73">
        <f>100-Z33</f>
        <v>98.3</v>
      </c>
      <c r="AB33" s="268"/>
      <c r="AC33" s="51" t="s">
        <v>32</v>
      </c>
      <c r="AD33" s="52">
        <v>42</v>
      </c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2.8</v>
      </c>
      <c r="AA34" s="73">
        <f>100-Z34</f>
        <v>97.2</v>
      </c>
      <c r="AB34" s="268"/>
      <c r="AC34" s="67" t="s">
        <v>35</v>
      </c>
      <c r="AD34" s="52">
        <v>30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1.5</v>
      </c>
      <c r="AA35" s="73">
        <f>100-Z35</f>
        <v>98.5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98.075000000000003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63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47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>
        <v>0</v>
      </c>
      <c r="E42" s="386"/>
      <c r="F42" s="387"/>
      <c r="G42" s="160"/>
      <c r="H42" s="397" t="s">
        <v>88</v>
      </c>
      <c r="I42" s="398"/>
      <c r="J42" s="164">
        <v>9.59</v>
      </c>
      <c r="K42" s="399">
        <v>9.5299999999999994</v>
      </c>
      <c r="L42" s="400"/>
      <c r="M42" s="164">
        <v>9.32</v>
      </c>
      <c r="N42" s="165">
        <v>10.85</v>
      </c>
      <c r="O42" s="165">
        <v>9.82</v>
      </c>
      <c r="P42" s="165">
        <v>9.91</v>
      </c>
      <c r="Q42" s="401">
        <f>AVERAGE(J42:P43)</f>
        <v>9.836666666666666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187" t="s">
        <v>89</v>
      </c>
      <c r="B43" s="188"/>
      <c r="C43" s="188"/>
      <c r="D43" s="386">
        <v>0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110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193"/>
      <c r="X44" s="193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R44:V44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Z42" sqref="Z41:Z42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7109375" customWidth="1"/>
    <col min="19" max="19" width="10.140625" customWidth="1"/>
    <col min="20" max="20" width="9.85546875" customWidth="1"/>
    <col min="21" max="23" width="10.7109375" customWidth="1"/>
    <col min="24" max="24" width="17.57031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142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25.5</v>
      </c>
      <c r="Q5" s="29">
        <v>0</v>
      </c>
      <c r="R5" s="30">
        <v>38.130000000000003</v>
      </c>
      <c r="S5" s="30">
        <v>32</v>
      </c>
      <c r="T5" s="31">
        <v>13.25</v>
      </c>
      <c r="U5" s="32">
        <f>SUM(P5:T5)</f>
        <v>108.88</v>
      </c>
      <c r="V5" s="33">
        <v>1</v>
      </c>
      <c r="W5" s="21" t="s">
        <v>93</v>
      </c>
      <c r="X5" s="34">
        <f>'09.01.26см1'!Y5</f>
        <v>517610.8</v>
      </c>
      <c r="Y5" s="34">
        <f>X5+P17</f>
        <v>517973.5</v>
      </c>
      <c r="Z5" s="35">
        <f>Y5-X5</f>
        <v>362.70000000001164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0</v>
      </c>
      <c r="Q6" s="29">
        <v>0</v>
      </c>
      <c r="R6" s="30">
        <v>46.537999999999997</v>
      </c>
      <c r="S6" s="30">
        <v>30</v>
      </c>
      <c r="T6" s="31">
        <v>12.94</v>
      </c>
      <c r="U6" s="32">
        <f t="shared" ref="U6:U16" si="1">SUM(P6:T6)</f>
        <v>89.477999999999994</v>
      </c>
      <c r="V6" s="44">
        <v>1</v>
      </c>
      <c r="W6" s="37" t="s">
        <v>94</v>
      </c>
      <c r="X6" s="45">
        <f>'09.01.26см1'!Y6</f>
        <v>814837.75699999998</v>
      </c>
      <c r="Y6" s="34">
        <f>X6+R17</f>
        <v>815379.326</v>
      </c>
      <c r="Z6" s="46">
        <f>Y6-X6</f>
        <v>541.5690000000177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>
        <v>43</v>
      </c>
      <c r="D7" s="39">
        <v>71</v>
      </c>
      <c r="E7" s="40">
        <v>59</v>
      </c>
      <c r="F7" s="41">
        <v>56</v>
      </c>
      <c r="G7" s="42">
        <v>44</v>
      </c>
      <c r="H7" s="41">
        <v>32</v>
      </c>
      <c r="I7" s="42"/>
      <c r="J7" s="41"/>
      <c r="K7" s="38"/>
      <c r="L7" s="43">
        <v>52</v>
      </c>
      <c r="M7" s="40">
        <v>44</v>
      </c>
      <c r="N7" s="42">
        <v>54</v>
      </c>
      <c r="O7" s="41">
        <v>72</v>
      </c>
      <c r="P7" s="28">
        <v>0</v>
      </c>
      <c r="Q7" s="29">
        <v>0</v>
      </c>
      <c r="R7" s="30">
        <v>49.537999999999997</v>
      </c>
      <c r="S7" s="30">
        <v>30</v>
      </c>
      <c r="T7" s="31">
        <v>13.19</v>
      </c>
      <c r="U7" s="32">
        <f t="shared" si="1"/>
        <v>92.727999999999994</v>
      </c>
      <c r="V7" s="44">
        <v>7</v>
      </c>
      <c r="W7" s="37" t="s">
        <v>95</v>
      </c>
      <c r="X7" s="48">
        <f>'09.01.26см1'!Y7</f>
        <v>507843</v>
      </c>
      <c r="Y7" s="34">
        <f>X7+S17</f>
        <v>508227</v>
      </c>
      <c r="Z7" s="46">
        <f>Y7-X7</f>
        <v>384</v>
      </c>
      <c r="AA7" s="47">
        <v>4</v>
      </c>
      <c r="AB7" s="267">
        <v>0.375</v>
      </c>
      <c r="AC7" s="49" t="s">
        <v>30</v>
      </c>
      <c r="AD7" s="50"/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26.6</v>
      </c>
      <c r="Q8" s="29">
        <v>0</v>
      </c>
      <c r="R8" s="30">
        <v>36.241999999999997</v>
      </c>
      <c r="S8" s="30">
        <v>29</v>
      </c>
      <c r="T8" s="31">
        <v>12.99</v>
      </c>
      <c r="U8" s="32">
        <f t="shared" si="1"/>
        <v>104.83199999999999</v>
      </c>
      <c r="V8" s="44"/>
      <c r="W8" s="37" t="s">
        <v>96</v>
      </c>
      <c r="X8" s="46">
        <f>'09.01.26см1'!Y8</f>
        <v>2331.09</v>
      </c>
      <c r="Y8" s="34">
        <f>X8+T17</f>
        <v>2487.34</v>
      </c>
      <c r="Z8" s="46">
        <f>T17</f>
        <v>156.24999999999997</v>
      </c>
      <c r="AA8" s="47">
        <v>5</v>
      </c>
      <c r="AB8" s="268"/>
      <c r="AC8" s="51" t="s">
        <v>32</v>
      </c>
      <c r="AD8" s="52">
        <v>41</v>
      </c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21.1</v>
      </c>
      <c r="Q9" s="29">
        <v>0</v>
      </c>
      <c r="R9" s="30">
        <v>43.648000000000003</v>
      </c>
      <c r="S9" s="30">
        <v>30</v>
      </c>
      <c r="T9" s="31">
        <v>12.21</v>
      </c>
      <c r="U9" s="32">
        <f t="shared" si="1"/>
        <v>106.958</v>
      </c>
      <c r="V9" s="44">
        <v>1</v>
      </c>
      <c r="W9" s="37" t="s">
        <v>97</v>
      </c>
      <c r="X9" s="270" t="s">
        <v>34</v>
      </c>
      <c r="Y9" s="271"/>
      <c r="Z9" s="54">
        <f>SUM(Z5:Z8)</f>
        <v>1444.5190000000293</v>
      </c>
      <c r="AA9" s="55"/>
      <c r="AB9" s="268"/>
      <c r="AC9" s="51" t="s">
        <v>35</v>
      </c>
      <c r="AD9" s="52">
        <v>32</v>
      </c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43</v>
      </c>
      <c r="Q10" s="29">
        <v>0</v>
      </c>
      <c r="R10" s="30">
        <v>45.104999999999997</v>
      </c>
      <c r="S10" s="30">
        <v>32</v>
      </c>
      <c r="T10" s="31">
        <v>12.55</v>
      </c>
      <c r="U10" s="32">
        <f t="shared" si="1"/>
        <v>132.655</v>
      </c>
      <c r="V10" s="44">
        <v>4</v>
      </c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11</v>
      </c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43</v>
      </c>
      <c r="Q11" s="29">
        <v>0</v>
      </c>
      <c r="R11" s="30">
        <v>46.067999999999998</v>
      </c>
      <c r="S11" s="30">
        <v>34</v>
      </c>
      <c r="T11" s="31">
        <v>12.83</v>
      </c>
      <c r="U11" s="32">
        <f t="shared" si="1"/>
        <v>135.898</v>
      </c>
      <c r="V11" s="44">
        <v>2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43</v>
      </c>
      <c r="Q12" s="29">
        <v>0</v>
      </c>
      <c r="R12" s="30">
        <v>48.360999999999997</v>
      </c>
      <c r="S12" s="30">
        <v>34</v>
      </c>
      <c r="T12" s="31">
        <v>13.77</v>
      </c>
      <c r="U12" s="32">
        <f t="shared" si="1"/>
        <v>139.131</v>
      </c>
      <c r="V12" s="44">
        <v>4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/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>
        <v>65</v>
      </c>
      <c r="C13" s="39">
        <v>61</v>
      </c>
      <c r="D13" s="39">
        <v>74</v>
      </c>
      <c r="E13" s="40">
        <v>65</v>
      </c>
      <c r="F13" s="41">
        <v>53</v>
      </c>
      <c r="G13" s="42">
        <v>47</v>
      </c>
      <c r="H13" s="41">
        <v>35</v>
      </c>
      <c r="I13" s="42"/>
      <c r="J13" s="41"/>
      <c r="K13" s="38">
        <v>45</v>
      </c>
      <c r="L13" s="43">
        <v>54</v>
      </c>
      <c r="M13" s="40">
        <v>38</v>
      </c>
      <c r="N13" s="42">
        <v>52</v>
      </c>
      <c r="O13" s="41">
        <v>68</v>
      </c>
      <c r="P13" s="53">
        <v>40</v>
      </c>
      <c r="Q13" s="29">
        <v>0</v>
      </c>
      <c r="R13" s="30">
        <v>49.654000000000003</v>
      </c>
      <c r="S13" s="30">
        <v>35</v>
      </c>
      <c r="T13" s="31">
        <v>13.42</v>
      </c>
      <c r="U13" s="32">
        <f t="shared" si="1"/>
        <v>138.07399999999998</v>
      </c>
      <c r="V13" s="44">
        <v>4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45</v>
      </c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41.3</v>
      </c>
      <c r="Q14" s="29">
        <v>0</v>
      </c>
      <c r="R14" s="30">
        <v>47.04</v>
      </c>
      <c r="S14" s="30">
        <v>35</v>
      </c>
      <c r="T14" s="31">
        <v>13.27</v>
      </c>
      <c r="U14" s="32">
        <f t="shared" si="1"/>
        <v>136.61000000000001</v>
      </c>
      <c r="V14" s="44">
        <v>4</v>
      </c>
      <c r="W14" s="37" t="s">
        <v>102</v>
      </c>
      <c r="X14" s="280">
        <v>0.41666666666666669</v>
      </c>
      <c r="Y14" s="192" t="s">
        <v>45</v>
      </c>
      <c r="Z14" s="69"/>
      <c r="AA14" s="70">
        <f>100-Z14</f>
        <v>100</v>
      </c>
      <c r="AB14" s="278"/>
      <c r="AC14" s="51" t="s">
        <v>35</v>
      </c>
      <c r="AD14" s="52">
        <v>30</v>
      </c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40.200000000000003</v>
      </c>
      <c r="Q15" s="29">
        <v>0</v>
      </c>
      <c r="R15" s="30">
        <v>47.445999999999998</v>
      </c>
      <c r="S15" s="30">
        <v>32</v>
      </c>
      <c r="T15" s="31">
        <v>13.16</v>
      </c>
      <c r="U15" s="32">
        <f t="shared" si="1"/>
        <v>132.80600000000001</v>
      </c>
      <c r="V15" s="44">
        <v>3</v>
      </c>
      <c r="W15" s="37" t="s">
        <v>103</v>
      </c>
      <c r="X15" s="281"/>
      <c r="Y15" s="71" t="s">
        <v>47</v>
      </c>
      <c r="Z15" s="72">
        <v>7.4</v>
      </c>
      <c r="AA15" s="73">
        <f>100-Z15</f>
        <v>92.6</v>
      </c>
      <c r="AB15" s="279"/>
      <c r="AC15" s="74" t="s">
        <v>37</v>
      </c>
      <c r="AD15" s="58">
        <v>11</v>
      </c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39</v>
      </c>
      <c r="Q16" s="29">
        <v>0</v>
      </c>
      <c r="R16" s="30">
        <v>43.798999999999999</v>
      </c>
      <c r="S16" s="30">
        <v>31</v>
      </c>
      <c r="T16" s="82">
        <v>12.67</v>
      </c>
      <c r="U16" s="32">
        <f t="shared" si="1"/>
        <v>126.46900000000001</v>
      </c>
      <c r="V16" s="83">
        <v>8</v>
      </c>
      <c r="W16" s="75" t="s">
        <v>104</v>
      </c>
      <c r="X16" s="281"/>
      <c r="Y16" s="71" t="s">
        <v>49</v>
      </c>
      <c r="Z16" s="72">
        <v>3.7</v>
      </c>
      <c r="AA16" s="73">
        <f>100-Z16</f>
        <v>96.3</v>
      </c>
      <c r="AB16" s="190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>
        <f>AVERAGE(B5:B15)</f>
        <v>65</v>
      </c>
      <c r="C17" s="88">
        <f>AVERAGE(C5:C16)</f>
        <v>52</v>
      </c>
      <c r="D17" s="88">
        <f>AVERAGE(D5:D15)</f>
        <v>72.5</v>
      </c>
      <c r="E17" s="88">
        <f>AVERAGE(E5:E15)</f>
        <v>62</v>
      </c>
      <c r="F17" s="88">
        <f>AVERAGE(F5:F15)</f>
        <v>54.5</v>
      </c>
      <c r="G17" s="88">
        <f>AVERAGE(G5:G16)</f>
        <v>45.5</v>
      </c>
      <c r="H17" s="88">
        <f>AVERAGE(H5:H16)</f>
        <v>33.5</v>
      </c>
      <c r="I17" s="88" t="e">
        <f t="shared" ref="I17:N17" si="2">AVERAGE(I5:I15)</f>
        <v>#DIV/0!</v>
      </c>
      <c r="J17" s="88" t="e">
        <f t="shared" si="2"/>
        <v>#DIV/0!</v>
      </c>
      <c r="K17" s="88">
        <f t="shared" si="2"/>
        <v>45</v>
      </c>
      <c r="L17" s="88">
        <f t="shared" si="2"/>
        <v>53</v>
      </c>
      <c r="M17" s="89">
        <f t="shared" si="2"/>
        <v>41</v>
      </c>
      <c r="N17" s="89">
        <f t="shared" si="2"/>
        <v>53</v>
      </c>
      <c r="O17" s="89">
        <f>AVERAGE(O5:O16)</f>
        <v>70</v>
      </c>
      <c r="P17" s="90">
        <f>SUM(P5:P16)</f>
        <v>362.7</v>
      </c>
      <c r="Q17" s="91">
        <f>SUM(Q5:Q16)</f>
        <v>0</v>
      </c>
      <c r="R17" s="92">
        <f>SUM(R5:R16)</f>
        <v>541.56899999999996</v>
      </c>
      <c r="S17" s="93">
        <f>SUM(S5:S16)</f>
        <v>384</v>
      </c>
      <c r="T17" s="93">
        <f>SUM(T5:T16)</f>
        <v>156.24999999999997</v>
      </c>
      <c r="U17" s="94">
        <f>SUM(P17:T17)</f>
        <v>1444.519</v>
      </c>
      <c r="V17" s="1">
        <f>SUM(V5:V16)</f>
        <v>39</v>
      </c>
      <c r="W17" s="4"/>
      <c r="X17" s="281"/>
      <c r="Y17" s="71" t="s">
        <v>51</v>
      </c>
      <c r="Z17" s="72">
        <v>3</v>
      </c>
      <c r="AA17" s="73">
        <f>100-Z17</f>
        <v>97</v>
      </c>
      <c r="AB17" s="283">
        <v>0.54166666666666663</v>
      </c>
      <c r="AC17" s="62" t="s">
        <v>30</v>
      </c>
      <c r="AD17" s="50">
        <v>40</v>
      </c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(AA15+AA16+AA17)/3</f>
        <v>95.3</v>
      </c>
      <c r="AB18" s="278"/>
      <c r="AC18" s="51" t="s">
        <v>32</v>
      </c>
      <c r="AD18" s="52">
        <v>42</v>
      </c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237</v>
      </c>
      <c r="J19" s="259"/>
      <c r="K19" s="259"/>
      <c r="L19" s="260"/>
      <c r="M19" s="261" t="s">
        <v>57</v>
      </c>
      <c r="N19" s="262"/>
      <c r="O19" s="263"/>
      <c r="P19" s="105">
        <v>4.0999999999999996</v>
      </c>
      <c r="Q19" s="106"/>
      <c r="R19" s="197">
        <v>3.5</v>
      </c>
      <c r="S19" s="107">
        <v>3.8</v>
      </c>
      <c r="T19" s="107">
        <v>3.4</v>
      </c>
      <c r="U19" s="108">
        <f>(U17-U20)/U17*100</f>
        <v>3.7195852044867577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30</v>
      </c>
      <c r="AE19" s="11">
        <v>17</v>
      </c>
      <c r="AF19" s="12">
        <f t="shared" si="0"/>
        <v>3.1166666666666667</v>
      </c>
    </row>
    <row r="20" spans="1:32" ht="16.5" thickBot="1" x14ac:dyDescent="0.3">
      <c r="A20" s="294" t="s">
        <v>30</v>
      </c>
      <c r="B20" s="295"/>
      <c r="C20" s="44">
        <v>70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347.82929999999999</v>
      </c>
      <c r="Q20" s="113"/>
      <c r="R20" s="114">
        <f>(R17-(R17*R19/100))</f>
        <v>522.61408499999993</v>
      </c>
      <c r="S20" s="112">
        <f>(S17-(S17*S19/100))</f>
        <v>369.40800000000002</v>
      </c>
      <c r="T20" s="112">
        <f>(T17-(T17*T19/100))</f>
        <v>150.93749999999997</v>
      </c>
      <c r="U20" s="115">
        <f>P20+Q20+R20+S20+T20</f>
        <v>1390.7888849999999</v>
      </c>
      <c r="V20" s="4"/>
      <c r="W20" s="4"/>
      <c r="X20" s="281"/>
      <c r="Y20" s="192" t="s">
        <v>45</v>
      </c>
      <c r="Z20" s="69">
        <v>4.5999999999999996</v>
      </c>
      <c r="AA20" s="70">
        <f>100-Z20</f>
        <v>95.4</v>
      </c>
      <c r="AB20" s="279"/>
      <c r="AC20" s="74" t="s">
        <v>37</v>
      </c>
      <c r="AD20" s="58">
        <v>11</v>
      </c>
      <c r="AE20" s="11">
        <v>18</v>
      </c>
      <c r="AF20" s="12">
        <f t="shared" si="0"/>
        <v>3.3</v>
      </c>
    </row>
    <row r="21" spans="1:32" ht="19.5" thickBot="1" x14ac:dyDescent="0.3">
      <c r="A21" s="294" t="s">
        <v>61</v>
      </c>
      <c r="B21" s="295"/>
      <c r="C21" s="44">
        <v>20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45</v>
      </c>
      <c r="K21" s="118"/>
      <c r="L21" s="119"/>
      <c r="M21" s="307" t="s">
        <v>63</v>
      </c>
      <c r="N21" s="308"/>
      <c r="O21" s="309"/>
      <c r="P21" s="120">
        <f>(U17-(U17*U19/100))</f>
        <v>1390.7888849999999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6.1</v>
      </c>
      <c r="AA21" s="73">
        <f>100-Z21</f>
        <v>93.9</v>
      </c>
      <c r="AB21" s="190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 t="s">
        <v>32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55</v>
      </c>
      <c r="K22" s="316">
        <f>J22/I22*100</f>
        <v>55.000000000000007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4.2</v>
      </c>
      <c r="AA22" s="73">
        <f>100-Z22</f>
        <v>95.8</v>
      </c>
      <c r="AB22" s="283">
        <v>0.625</v>
      </c>
      <c r="AC22" s="49" t="s">
        <v>30</v>
      </c>
      <c r="AD22" s="50">
        <v>43</v>
      </c>
      <c r="AE22" s="11">
        <v>20</v>
      </c>
      <c r="AF22" s="12">
        <f t="shared" si="0"/>
        <v>3.6666666666666665</v>
      </c>
    </row>
    <row r="23" spans="1:32" ht="16.5" thickBot="1" x14ac:dyDescent="0.3">
      <c r="A23" s="294" t="s">
        <v>35</v>
      </c>
      <c r="B23" s="295"/>
      <c r="C23" s="44">
        <v>70</v>
      </c>
      <c r="D23" s="296">
        <v>0.2</v>
      </c>
      <c r="E23" s="297"/>
      <c r="F23" s="298" t="s">
        <v>58</v>
      </c>
      <c r="G23" s="299"/>
      <c r="H23" s="4"/>
      <c r="I23" s="133" t="s">
        <v>66</v>
      </c>
      <c r="J23" s="134">
        <v>30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3.6</v>
      </c>
      <c r="AA23" s="73">
        <f>100-Z23</f>
        <v>96.4</v>
      </c>
      <c r="AB23" s="278"/>
      <c r="AC23" s="51" t="s">
        <v>32</v>
      </c>
      <c r="AD23" s="52">
        <v>44</v>
      </c>
      <c r="AE23" s="11">
        <v>21</v>
      </c>
      <c r="AF23" s="12">
        <f t="shared" si="0"/>
        <v>3.85</v>
      </c>
    </row>
    <row r="24" spans="1:32" ht="16.5" thickBot="1" x14ac:dyDescent="0.3">
      <c r="A24" s="294" t="s">
        <v>37</v>
      </c>
      <c r="B24" s="295"/>
      <c r="C24" s="44">
        <v>70</v>
      </c>
      <c r="D24" s="296">
        <v>0.15</v>
      </c>
      <c r="E24" s="297"/>
      <c r="F24" s="298" t="s">
        <v>58</v>
      </c>
      <c r="G24" s="299"/>
      <c r="H24" s="4"/>
      <c r="I24" s="136">
        <v>100</v>
      </c>
      <c r="J24" s="121">
        <f>I24-J23</f>
        <v>70</v>
      </c>
      <c r="K24" s="316">
        <f>J24/I24*100</f>
        <v>70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AA20+(AA21+AA22+AA23)/4</f>
        <v>166.92500000000001</v>
      </c>
      <c r="AB24" s="278"/>
      <c r="AC24" s="51" t="s">
        <v>35</v>
      </c>
      <c r="AD24" s="52">
        <v>34</v>
      </c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10</v>
      </c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3.5</v>
      </c>
      <c r="AA26" s="70">
        <f>100-Z26</f>
        <v>96.5</v>
      </c>
      <c r="AB26" s="189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3.9</v>
      </c>
      <c r="AA27" s="73">
        <f>100-Z27</f>
        <v>96.1</v>
      </c>
      <c r="AB27" s="267">
        <v>0.70833333333333337</v>
      </c>
      <c r="AC27" s="62" t="s">
        <v>30</v>
      </c>
      <c r="AD27" s="50">
        <v>40</v>
      </c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 t="s">
        <v>196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4.0999999999999996</v>
      </c>
      <c r="AA28" s="73">
        <f>100-Z28</f>
        <v>95.9</v>
      </c>
      <c r="AB28" s="268"/>
      <c r="AC28" s="67" t="s">
        <v>32</v>
      </c>
      <c r="AD28" s="52">
        <v>45</v>
      </c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45" t="s">
        <v>238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3.6</v>
      </c>
      <c r="AA29" s="73">
        <f>100-Z29</f>
        <v>96.4</v>
      </c>
      <c r="AB29" s="268"/>
      <c r="AC29" s="51" t="s">
        <v>35</v>
      </c>
      <c r="AD29" s="52">
        <v>35</v>
      </c>
      <c r="AE29" s="11">
        <v>27</v>
      </c>
      <c r="AF29" s="12">
        <f t="shared" si="0"/>
        <v>4.95</v>
      </c>
    </row>
    <row r="30" spans="1:32" ht="19.5" thickBot="1" x14ac:dyDescent="0.35">
      <c r="A30" s="411" t="s">
        <v>30</v>
      </c>
      <c r="B30" s="412"/>
      <c r="C30" s="182">
        <v>0.38541666666666669</v>
      </c>
      <c r="D30" s="403">
        <v>0.47361111111111115</v>
      </c>
      <c r="E30" s="404"/>
      <c r="F30" s="405" t="s">
        <v>240</v>
      </c>
      <c r="G30" s="406"/>
      <c r="H30" s="354" t="s">
        <v>239</v>
      </c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96.224999999999994</v>
      </c>
      <c r="AB30" s="269"/>
      <c r="AC30" s="74" t="s">
        <v>37</v>
      </c>
      <c r="AD30" s="58">
        <v>12</v>
      </c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 t="s">
        <v>241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 t="s">
        <v>242</v>
      </c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2.8</v>
      </c>
      <c r="AA32" s="70">
        <f>100-Z32</f>
        <v>97.2</v>
      </c>
      <c r="AB32" s="267">
        <v>0.79166666666666663</v>
      </c>
      <c r="AC32" s="62" t="s">
        <v>30</v>
      </c>
      <c r="AD32" s="50">
        <v>43</v>
      </c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>
        <v>4.0999999999999996</v>
      </c>
      <c r="AA33" s="73">
        <f>100-Z33</f>
        <v>95.9</v>
      </c>
      <c r="AB33" s="268"/>
      <c r="AC33" s="51" t="s">
        <v>32</v>
      </c>
      <c r="AD33" s="52">
        <v>43</v>
      </c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4.5999999999999996</v>
      </c>
      <c r="AA34" s="73">
        <f>100-Z34</f>
        <v>95.4</v>
      </c>
      <c r="AB34" s="268"/>
      <c r="AC34" s="67" t="s">
        <v>35</v>
      </c>
      <c r="AD34" s="52">
        <v>32</v>
      </c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3.3</v>
      </c>
      <c r="AA35" s="73">
        <f>100-Z35</f>
        <v>96.7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96.3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110</v>
      </c>
      <c r="E40" s="362"/>
      <c r="F40" s="363"/>
      <c r="G40" s="160"/>
      <c r="V40" s="4" t="s">
        <v>65</v>
      </c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39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>
        <v>56</v>
      </c>
      <c r="E42" s="386"/>
      <c r="F42" s="387"/>
      <c r="G42" s="160"/>
      <c r="H42" s="397" t="s">
        <v>88</v>
      </c>
      <c r="I42" s="398"/>
      <c r="J42" s="164">
        <v>9.3699999999999992</v>
      </c>
      <c r="K42" s="399">
        <v>9.85</v>
      </c>
      <c r="L42" s="400"/>
      <c r="M42" s="164">
        <v>9.89</v>
      </c>
      <c r="N42" s="165">
        <v>9.66</v>
      </c>
      <c r="O42" s="165">
        <v>10.02</v>
      </c>
      <c r="P42" s="165">
        <v>10.26</v>
      </c>
      <c r="Q42" s="401">
        <f>AVERAGE(J42:P43)</f>
        <v>9.841666666666665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187" t="s">
        <v>89</v>
      </c>
      <c r="B43" s="188"/>
      <c r="C43" s="188"/>
      <c r="D43" s="386">
        <v>3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93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193" t="s">
        <v>92</v>
      </c>
      <c r="S44" s="193"/>
      <c r="T44" s="193"/>
      <c r="U44" s="193"/>
      <c r="V44" s="193"/>
      <c r="W44" s="193"/>
      <c r="X44" s="193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topLeftCell="A2" zoomScale="70" zoomScaleNormal="70" workbookViewId="0">
      <selection activeCell="H44" sqref="H44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6" width="11.140625" customWidth="1"/>
    <col min="17" max="18" width="10.42578125" customWidth="1"/>
    <col min="19" max="19" width="10" customWidth="1"/>
    <col min="20" max="21" width="10.140625" customWidth="1"/>
    <col min="22" max="22" width="11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144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41</v>
      </c>
      <c r="Q5" s="29">
        <v>0</v>
      </c>
      <c r="R5" s="30">
        <v>30.852</v>
      </c>
      <c r="S5" s="30">
        <v>29</v>
      </c>
      <c r="T5" s="31">
        <v>11.93</v>
      </c>
      <c r="U5" s="32">
        <f>SUM(P5:T5)</f>
        <v>112.78200000000001</v>
      </c>
      <c r="V5" s="33">
        <v>1</v>
      </c>
      <c r="W5" s="21" t="s">
        <v>27</v>
      </c>
      <c r="X5" s="34">
        <v>517922.8</v>
      </c>
      <c r="Y5" s="34">
        <f>X5+P17</f>
        <v>518395.8</v>
      </c>
      <c r="Z5" s="35">
        <f>Y5-X5</f>
        <v>473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42</v>
      </c>
      <c r="Q6" s="29">
        <v>0</v>
      </c>
      <c r="R6" s="30">
        <v>39.950000000000003</v>
      </c>
      <c r="S6" s="30">
        <v>36</v>
      </c>
      <c r="T6" s="31">
        <v>11.68</v>
      </c>
      <c r="U6" s="32">
        <f t="shared" ref="U6:U16" si="1">SUM(P6:T6)</f>
        <v>129.63</v>
      </c>
      <c r="V6" s="44">
        <v>4</v>
      </c>
      <c r="W6" s="37" t="s">
        <v>28</v>
      </c>
      <c r="X6" s="45">
        <v>815379.326</v>
      </c>
      <c r="Y6" s="34">
        <f>X6+R17</f>
        <v>815873.39500000002</v>
      </c>
      <c r="Z6" s="46">
        <f>Y6-X6</f>
        <v>494.0690000000177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>
        <v>71</v>
      </c>
      <c r="C7" s="39">
        <v>63</v>
      </c>
      <c r="D7" s="39">
        <v>73</v>
      </c>
      <c r="E7" s="40">
        <v>65</v>
      </c>
      <c r="F7" s="41">
        <v>64</v>
      </c>
      <c r="G7" s="42">
        <v>43</v>
      </c>
      <c r="H7" s="41">
        <v>35</v>
      </c>
      <c r="I7" s="42">
        <v>45</v>
      </c>
      <c r="J7" s="41">
        <v>35</v>
      </c>
      <c r="K7" s="38">
        <v>48</v>
      </c>
      <c r="L7" s="43">
        <v>57</v>
      </c>
      <c r="M7" s="40">
        <v>54</v>
      </c>
      <c r="N7" s="42">
        <v>53</v>
      </c>
      <c r="O7" s="41">
        <v>67</v>
      </c>
      <c r="P7" s="28">
        <v>40</v>
      </c>
      <c r="Q7" s="29">
        <v>0</v>
      </c>
      <c r="R7" s="30">
        <v>43.377000000000002</v>
      </c>
      <c r="S7" s="30">
        <v>39</v>
      </c>
      <c r="T7" s="31">
        <v>12.5</v>
      </c>
      <c r="U7" s="32">
        <f t="shared" si="1"/>
        <v>134.87700000000001</v>
      </c>
      <c r="V7" s="44">
        <v>7</v>
      </c>
      <c r="W7" s="37" t="s">
        <v>29</v>
      </c>
      <c r="X7" s="48">
        <v>508407</v>
      </c>
      <c r="Y7" s="34">
        <f>X7+S17</f>
        <v>508818</v>
      </c>
      <c r="Z7" s="46">
        <f>Y7-X7</f>
        <v>411</v>
      </c>
      <c r="AA7" s="47">
        <v>4</v>
      </c>
      <c r="AB7" s="267">
        <v>0.875</v>
      </c>
      <c r="AC7" s="49" t="s">
        <v>30</v>
      </c>
      <c r="AD7" s="50">
        <v>41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42</v>
      </c>
      <c r="Q8" s="29">
        <v>0</v>
      </c>
      <c r="R8" s="30">
        <v>30.670999999999999</v>
      </c>
      <c r="S8" s="30">
        <v>26</v>
      </c>
      <c r="T8" s="31">
        <v>13.07</v>
      </c>
      <c r="U8" s="32">
        <f t="shared" si="1"/>
        <v>111.74099999999999</v>
      </c>
      <c r="V8" s="44">
        <v>3</v>
      </c>
      <c r="W8" s="37" t="s">
        <v>31</v>
      </c>
      <c r="X8" s="46">
        <v>2487.34</v>
      </c>
      <c r="Y8" s="34">
        <f>X8+T17</f>
        <v>2629.28</v>
      </c>
      <c r="Z8" s="46">
        <f>T17</f>
        <v>141.94</v>
      </c>
      <c r="AA8" s="47">
        <v>5</v>
      </c>
      <c r="AB8" s="268"/>
      <c r="AC8" s="51" t="s">
        <v>32</v>
      </c>
      <c r="AD8" s="52">
        <v>42</v>
      </c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42</v>
      </c>
      <c r="Q9" s="29">
        <v>0</v>
      </c>
      <c r="R9" s="30">
        <v>42.469000000000001</v>
      </c>
      <c r="S9" s="30">
        <v>37</v>
      </c>
      <c r="T9" s="31">
        <v>13.13</v>
      </c>
      <c r="U9" s="32">
        <f t="shared" si="1"/>
        <v>134.59899999999999</v>
      </c>
      <c r="V9" s="44">
        <v>2</v>
      </c>
      <c r="W9" s="37" t="s">
        <v>33</v>
      </c>
      <c r="X9" s="270" t="s">
        <v>34</v>
      </c>
      <c r="Y9" s="271"/>
      <c r="Z9" s="54">
        <f>SUM(Z5:Z8)</f>
        <v>1520.0090000000177</v>
      </c>
      <c r="AA9" s="55"/>
      <c r="AB9" s="268"/>
      <c r="AC9" s="51" t="s">
        <v>35</v>
      </c>
      <c r="AD9" s="52">
        <v>32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43</v>
      </c>
      <c r="Q10" s="29">
        <v>0</v>
      </c>
      <c r="R10" s="30">
        <v>45.256999999999998</v>
      </c>
      <c r="S10" s="30">
        <v>36</v>
      </c>
      <c r="T10" s="31">
        <v>11.24</v>
      </c>
      <c r="U10" s="32">
        <f t="shared" si="1"/>
        <v>135.49700000000001</v>
      </c>
      <c r="V10" s="44">
        <v>8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11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19</v>
      </c>
      <c r="Q11" s="29">
        <v>0</v>
      </c>
      <c r="R11" s="30">
        <v>46.106999999999999</v>
      </c>
      <c r="S11" s="30">
        <v>37</v>
      </c>
      <c r="T11" s="31">
        <v>11.09</v>
      </c>
      <c r="U11" s="32">
        <f t="shared" si="1"/>
        <v>113.197</v>
      </c>
      <c r="V11" s="44">
        <v>7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43</v>
      </c>
      <c r="Q12" s="29">
        <v>0</v>
      </c>
      <c r="R12" s="30">
        <v>40.962000000000003</v>
      </c>
      <c r="S12" s="30">
        <v>38</v>
      </c>
      <c r="T12" s="31">
        <v>10.210000000000001</v>
      </c>
      <c r="U12" s="32">
        <f t="shared" si="1"/>
        <v>132.172</v>
      </c>
      <c r="V12" s="44">
        <v>9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40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>
        <v>67</v>
      </c>
      <c r="C13" s="39">
        <v>62</v>
      </c>
      <c r="D13" s="39">
        <v>78</v>
      </c>
      <c r="E13" s="40">
        <v>68</v>
      </c>
      <c r="F13" s="41">
        <v>64</v>
      </c>
      <c r="G13" s="42">
        <v>45</v>
      </c>
      <c r="H13" s="41">
        <v>36</v>
      </c>
      <c r="I13" s="42">
        <v>48</v>
      </c>
      <c r="J13" s="41">
        <v>42</v>
      </c>
      <c r="K13" s="38">
        <v>42</v>
      </c>
      <c r="L13" s="43">
        <v>59</v>
      </c>
      <c r="M13" s="40">
        <v>54</v>
      </c>
      <c r="N13" s="42">
        <v>48</v>
      </c>
      <c r="O13" s="41">
        <v>69</v>
      </c>
      <c r="P13" s="53">
        <v>41</v>
      </c>
      <c r="Q13" s="29">
        <v>0</v>
      </c>
      <c r="R13" s="30">
        <v>45.902000000000001</v>
      </c>
      <c r="S13" s="30">
        <v>33</v>
      </c>
      <c r="T13" s="31">
        <v>11.6</v>
      </c>
      <c r="U13" s="32">
        <f t="shared" si="1"/>
        <v>131.50200000000001</v>
      </c>
      <c r="V13" s="44">
        <v>10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41</v>
      </c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38</v>
      </c>
      <c r="Q14" s="29">
        <v>0</v>
      </c>
      <c r="R14" s="30">
        <v>36.457999999999998</v>
      </c>
      <c r="S14" s="30">
        <v>33</v>
      </c>
      <c r="T14" s="31">
        <v>12.11</v>
      </c>
      <c r="U14" s="32">
        <f t="shared" si="1"/>
        <v>119.568</v>
      </c>
      <c r="V14" s="44">
        <v>5</v>
      </c>
      <c r="W14" s="37" t="s">
        <v>44</v>
      </c>
      <c r="X14" s="280">
        <v>0.91666666666666663</v>
      </c>
      <c r="Y14" s="210" t="s">
        <v>45</v>
      </c>
      <c r="Z14" s="69">
        <v>6.6</v>
      </c>
      <c r="AA14" s="70">
        <f>100-Z14</f>
        <v>93.4</v>
      </c>
      <c r="AB14" s="278"/>
      <c r="AC14" s="51" t="s">
        <v>35</v>
      </c>
      <c r="AD14" s="52">
        <v>36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42</v>
      </c>
      <c r="Q15" s="29">
        <v>0</v>
      </c>
      <c r="R15" s="30">
        <v>46.804000000000002</v>
      </c>
      <c r="S15" s="30">
        <v>34</v>
      </c>
      <c r="T15" s="31">
        <v>11.75</v>
      </c>
      <c r="U15" s="32">
        <f t="shared" si="1"/>
        <v>134.554</v>
      </c>
      <c r="V15" s="44">
        <v>3</v>
      </c>
      <c r="W15" s="37" t="s">
        <v>46</v>
      </c>
      <c r="X15" s="281"/>
      <c r="Y15" s="71" t="s">
        <v>47</v>
      </c>
      <c r="Z15" s="72">
        <v>2.2999999999999998</v>
      </c>
      <c r="AA15" s="73">
        <f>100-Z15</f>
        <v>97.7</v>
      </c>
      <c r="AB15" s="279"/>
      <c r="AC15" s="74" t="s">
        <v>37</v>
      </c>
      <c r="AD15" s="58">
        <v>12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40</v>
      </c>
      <c r="Q16" s="29">
        <v>0</v>
      </c>
      <c r="R16" s="30">
        <v>45.26</v>
      </c>
      <c r="S16" s="30">
        <v>33</v>
      </c>
      <c r="T16" s="82">
        <v>11.63</v>
      </c>
      <c r="U16" s="32">
        <f t="shared" si="1"/>
        <v>129.88999999999999</v>
      </c>
      <c r="V16" s="83">
        <v>8</v>
      </c>
      <c r="W16" s="75" t="s">
        <v>48</v>
      </c>
      <c r="X16" s="281"/>
      <c r="Y16" s="71" t="s">
        <v>49</v>
      </c>
      <c r="Z16" s="72">
        <v>1.7</v>
      </c>
      <c r="AA16" s="73">
        <f>100-Z16</f>
        <v>98.3</v>
      </c>
      <c r="AB16" s="190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69</v>
      </c>
      <c r="C17" s="88">
        <f>AVERAGE(C5:C16)</f>
        <v>62.5</v>
      </c>
      <c r="D17" s="88">
        <f>AVERAGE(D5:D15)</f>
        <v>75.5</v>
      </c>
      <c r="E17" s="88">
        <f>AVERAGE(E5:E15)</f>
        <v>66.5</v>
      </c>
      <c r="F17" s="88">
        <f>AVERAGE(F5:F15)</f>
        <v>64</v>
      </c>
      <c r="G17" s="88">
        <f>AVERAGE(G5:G16)</f>
        <v>44</v>
      </c>
      <c r="H17" s="88">
        <f>AVERAGE(H5:H16)</f>
        <v>35.5</v>
      </c>
      <c r="I17" s="88">
        <f t="shared" ref="I17:N17" si="2">AVERAGE(I5:I15)</f>
        <v>46.5</v>
      </c>
      <c r="J17" s="88">
        <f t="shared" si="2"/>
        <v>38.5</v>
      </c>
      <c r="K17" s="88">
        <f t="shared" si="2"/>
        <v>45</v>
      </c>
      <c r="L17" s="88">
        <f t="shared" si="2"/>
        <v>58</v>
      </c>
      <c r="M17" s="89">
        <f t="shared" si="2"/>
        <v>54</v>
      </c>
      <c r="N17" s="89">
        <f t="shared" si="2"/>
        <v>50.5</v>
      </c>
      <c r="O17" s="89">
        <f>AVERAGE(O5:O16)</f>
        <v>68</v>
      </c>
      <c r="P17" s="90">
        <f>SUM(P5:P16)</f>
        <v>473</v>
      </c>
      <c r="Q17" s="91">
        <f>SUM(Q5:Q16)</f>
        <v>0</v>
      </c>
      <c r="R17" s="92">
        <f>SUM(R5:R16)</f>
        <v>494.06899999999996</v>
      </c>
      <c r="S17" s="93">
        <f>SUM(S5:S16)</f>
        <v>411</v>
      </c>
      <c r="T17" s="93">
        <f>SUM(T5:T16)</f>
        <v>141.94</v>
      </c>
      <c r="U17" s="94">
        <f>SUM(P17:T17)</f>
        <v>1520.009</v>
      </c>
      <c r="V17" s="1">
        <f>SUM(V5:V16)</f>
        <v>67</v>
      </c>
      <c r="W17" s="4"/>
      <c r="X17" s="281"/>
      <c r="Y17" s="71" t="s">
        <v>51</v>
      </c>
      <c r="Z17" s="72">
        <v>7</v>
      </c>
      <c r="AA17" s="73">
        <f>100-Z17</f>
        <v>93</v>
      </c>
      <c r="AB17" s="283">
        <v>4.1666666666666664E-2</v>
      </c>
      <c r="AC17" s="62" t="s">
        <v>30</v>
      </c>
      <c r="AD17" s="50">
        <v>42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95.600000000000009</v>
      </c>
      <c r="AB18" s="278"/>
      <c r="AC18" s="51" t="s">
        <v>32</v>
      </c>
      <c r="AD18" s="52">
        <v>45</v>
      </c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145</v>
      </c>
      <c r="J19" s="259"/>
      <c r="K19" s="259"/>
      <c r="L19" s="260"/>
      <c r="M19" s="261" t="s">
        <v>57</v>
      </c>
      <c r="N19" s="262"/>
      <c r="O19" s="263"/>
      <c r="P19" s="105">
        <v>2.6</v>
      </c>
      <c r="Q19" s="106"/>
      <c r="R19" s="107">
        <v>2.2999999999999998</v>
      </c>
      <c r="S19" s="197">
        <v>2</v>
      </c>
      <c r="T19" s="107">
        <v>2.8</v>
      </c>
      <c r="U19" s="108">
        <f>(U17-U20)/U17*100</f>
        <v>2.358927282667413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34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30</v>
      </c>
      <c r="B20" s="295"/>
      <c r="C20" s="44">
        <v>70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460.702</v>
      </c>
      <c r="Q20" s="113"/>
      <c r="R20" s="114">
        <f>(R17-(R17*R19/100))</f>
        <v>482.70541299999996</v>
      </c>
      <c r="S20" s="112">
        <f>(S17-(S17*S19/100))</f>
        <v>402.78</v>
      </c>
      <c r="T20" s="112">
        <f>(T17-(T17*T19/100))</f>
        <v>137.96567999999999</v>
      </c>
      <c r="U20" s="115">
        <f>P20+Q20+R20+S20+T20</f>
        <v>1484.1530929999999</v>
      </c>
      <c r="V20" s="4"/>
      <c r="W20" s="4"/>
      <c r="X20" s="281"/>
      <c r="Y20" s="210" t="s">
        <v>45</v>
      </c>
      <c r="Z20" s="69">
        <v>1.8</v>
      </c>
      <c r="AA20" s="70">
        <f>100-Z20</f>
        <v>98.2</v>
      </c>
      <c r="AB20" s="279"/>
      <c r="AC20" s="74" t="s">
        <v>37</v>
      </c>
      <c r="AD20" s="58">
        <v>12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61</v>
      </c>
      <c r="B21" s="295"/>
      <c r="C21" s="44">
        <v>20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48</v>
      </c>
      <c r="K21" s="118"/>
      <c r="L21" s="119"/>
      <c r="M21" s="307" t="s">
        <v>63</v>
      </c>
      <c r="N21" s="308"/>
      <c r="O21" s="309"/>
      <c r="P21" s="120">
        <f>(U17-(U17*U19/100))</f>
        <v>1484.1530929999999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6.8</v>
      </c>
      <c r="AA21" s="73">
        <f>100-Z21</f>
        <v>93.2</v>
      </c>
      <c r="AB21" s="190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32</v>
      </c>
      <c r="B22" s="295"/>
      <c r="C22" s="44">
        <v>70</v>
      </c>
      <c r="D22" s="296">
        <v>1</v>
      </c>
      <c r="E22" s="297"/>
      <c r="F22" s="298" t="s">
        <v>58</v>
      </c>
      <c r="G22" s="299"/>
      <c r="H22" s="4"/>
      <c r="I22" s="125">
        <v>100</v>
      </c>
      <c r="J22" s="126">
        <f>I22-J21</f>
        <v>52</v>
      </c>
      <c r="K22" s="316">
        <f>J22/I22*100</f>
        <v>52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2.5</v>
      </c>
      <c r="AA22" s="73">
        <f>100-Z22</f>
        <v>97.5</v>
      </c>
      <c r="AB22" s="283">
        <v>0.125</v>
      </c>
      <c r="AC22" s="49" t="s">
        <v>30</v>
      </c>
      <c r="AD22" s="50">
        <v>41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 t="s">
        <v>35</v>
      </c>
      <c r="B23" s="295"/>
      <c r="C23" s="44">
        <v>70</v>
      </c>
      <c r="D23" s="296">
        <v>0.2</v>
      </c>
      <c r="E23" s="297"/>
      <c r="F23" s="298" t="s">
        <v>58</v>
      </c>
      <c r="G23" s="299"/>
      <c r="H23" s="4"/>
      <c r="I23" s="133" t="s">
        <v>66</v>
      </c>
      <c r="J23" s="134">
        <v>29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1.2</v>
      </c>
      <c r="AA23" s="73">
        <f>100-Z23</f>
        <v>98.8</v>
      </c>
      <c r="AB23" s="278"/>
      <c r="AC23" s="51" t="s">
        <v>32</v>
      </c>
      <c r="AD23" s="52">
        <v>43</v>
      </c>
      <c r="AE23" s="11">
        <v>21</v>
      </c>
      <c r="AF23" s="12">
        <f t="shared" si="0"/>
        <v>14</v>
      </c>
    </row>
    <row r="24" spans="1:32" ht="16.5" thickBot="1" x14ac:dyDescent="0.3">
      <c r="A24" s="294" t="s">
        <v>37</v>
      </c>
      <c r="B24" s="295"/>
      <c r="C24" s="44">
        <v>70</v>
      </c>
      <c r="D24" s="296">
        <v>0.15</v>
      </c>
      <c r="E24" s="297"/>
      <c r="F24" s="298" t="s">
        <v>58</v>
      </c>
      <c r="G24" s="299"/>
      <c r="H24" s="4"/>
      <c r="I24" s="136">
        <v>100</v>
      </c>
      <c r="J24" s="121">
        <f>I24-J23</f>
        <v>71</v>
      </c>
      <c r="K24" s="316">
        <f>J24/I24*100</f>
        <v>71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96.924999999999997</v>
      </c>
      <c r="AB24" s="278"/>
      <c r="AC24" s="51" t="s">
        <v>35</v>
      </c>
      <c r="AD24" s="52">
        <v>35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12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>
        <v>1</v>
      </c>
      <c r="AA26" s="70">
        <f>100-Z26</f>
        <v>99</v>
      </c>
      <c r="AB26" s="189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1.9</v>
      </c>
      <c r="AA27" s="73">
        <f>100-Z27</f>
        <v>98.1</v>
      </c>
      <c r="AB27" s="267">
        <v>0.20833333333333334</v>
      </c>
      <c r="AC27" s="62" t="s">
        <v>30</v>
      </c>
      <c r="AD27" s="50">
        <v>41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 t="s">
        <v>243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2.2999999999999998</v>
      </c>
      <c r="AA28" s="73">
        <f>100-Z28</f>
        <v>97.7</v>
      </c>
      <c r="AB28" s="268"/>
      <c r="AC28" s="67" t="s">
        <v>32</v>
      </c>
      <c r="AD28" s="52">
        <v>43</v>
      </c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 t="s">
        <v>247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0.7</v>
      </c>
      <c r="AA29" s="73">
        <f>100-Z29</f>
        <v>99.3</v>
      </c>
      <c r="AB29" s="268"/>
      <c r="AC29" s="51" t="s">
        <v>35</v>
      </c>
      <c r="AD29" s="52">
        <v>33</v>
      </c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 t="s">
        <v>244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98.525000000000006</v>
      </c>
      <c r="AB30" s="269"/>
      <c r="AC30" s="74" t="s">
        <v>37</v>
      </c>
      <c r="AD30" s="58">
        <v>10</v>
      </c>
      <c r="AE30" s="11">
        <v>28</v>
      </c>
      <c r="AF30" s="12">
        <f t="shared" si="0"/>
        <v>18.666666666666668</v>
      </c>
    </row>
    <row r="31" spans="1:32" ht="21" thickBot="1" x14ac:dyDescent="0.35">
      <c r="A31" s="407" t="s">
        <v>30</v>
      </c>
      <c r="B31" s="408"/>
      <c r="C31" s="182">
        <v>0.10069444444444443</v>
      </c>
      <c r="D31" s="403">
        <v>0.11597222222222221</v>
      </c>
      <c r="E31" s="404"/>
      <c r="F31" s="409" t="s">
        <v>125</v>
      </c>
      <c r="G31" s="410"/>
      <c r="H31" s="345" t="s">
        <v>245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 t="s">
        <v>246</v>
      </c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1.9</v>
      </c>
      <c r="AA32" s="70">
        <f>100-Z32</f>
        <v>98.1</v>
      </c>
      <c r="AB32" s="267">
        <v>0.29166666666666669</v>
      </c>
      <c r="AC32" s="62" t="s">
        <v>30</v>
      </c>
      <c r="AD32" s="50">
        <v>42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>
        <v>1.2</v>
      </c>
      <c r="AA33" s="73">
        <f>100-Z33</f>
        <v>98.8</v>
      </c>
      <c r="AB33" s="268"/>
      <c r="AC33" s="51" t="s">
        <v>32</v>
      </c>
      <c r="AD33" s="52">
        <v>43</v>
      </c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2.5</v>
      </c>
      <c r="AA34" s="73">
        <f>100-Z34</f>
        <v>97.5</v>
      </c>
      <c r="AB34" s="268"/>
      <c r="AC34" s="67" t="s">
        <v>35</v>
      </c>
      <c r="AD34" s="52">
        <v>34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0.9</v>
      </c>
      <c r="AA35" s="73">
        <f>100-Z35</f>
        <v>99.1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98.375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93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67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>
        <v>9</v>
      </c>
      <c r="K42" s="399">
        <v>9.2100000000000009</v>
      </c>
      <c r="L42" s="400"/>
      <c r="M42" s="164">
        <v>9.32</v>
      </c>
      <c r="N42" s="165">
        <v>9.3699999999999992</v>
      </c>
      <c r="O42" s="165">
        <v>9.18</v>
      </c>
      <c r="P42" s="165">
        <v>9.24</v>
      </c>
      <c r="Q42" s="401">
        <f>AVERAGE(J42:P43)</f>
        <v>9.2200000000000006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187" t="s">
        <v>89</v>
      </c>
      <c r="B43" s="188"/>
      <c r="C43" s="188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160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193"/>
      <c r="X44" s="193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R44:V44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G45" sqref="G45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7109375" customWidth="1"/>
    <col min="19" max="19" width="10.140625" customWidth="1"/>
    <col min="20" max="20" width="9.8554687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144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AE3*43/60</f>
        <v>0.71666666666666667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AE4*43/60</f>
        <v>1.4333333333333333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42</v>
      </c>
      <c r="Q5" s="29">
        <v>0</v>
      </c>
      <c r="R5" s="30">
        <v>49.17</v>
      </c>
      <c r="S5" s="30">
        <v>32</v>
      </c>
      <c r="T5" s="31">
        <v>12.3</v>
      </c>
      <c r="U5" s="32">
        <f>SUM(P5:T5)</f>
        <v>135.47</v>
      </c>
      <c r="V5" s="33">
        <v>3</v>
      </c>
      <c r="W5" s="21" t="s">
        <v>93</v>
      </c>
      <c r="X5" s="34">
        <f>'10.01.26см1'!Y5</f>
        <v>518395.8</v>
      </c>
      <c r="Y5" s="34">
        <f>X5+P17</f>
        <v>518886.6</v>
      </c>
      <c r="Z5" s="35">
        <f>Y5-X5</f>
        <v>490.79999999998836</v>
      </c>
      <c r="AA5" s="36">
        <v>1</v>
      </c>
      <c r="AB5" s="265"/>
      <c r="AC5" s="265"/>
      <c r="AD5" s="265"/>
      <c r="AE5" s="11">
        <v>3</v>
      </c>
      <c r="AF5" s="12">
        <f t="shared" si="0"/>
        <v>2.15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42</v>
      </c>
      <c r="Q6" s="29">
        <v>0</v>
      </c>
      <c r="R6" s="30">
        <v>49.652000000000001</v>
      </c>
      <c r="S6" s="30">
        <v>32</v>
      </c>
      <c r="T6" s="31">
        <v>10.93</v>
      </c>
      <c r="U6" s="32">
        <f t="shared" ref="U6:U16" si="1">SUM(P6:T6)</f>
        <v>134.58199999999999</v>
      </c>
      <c r="V6" s="44">
        <v>8</v>
      </c>
      <c r="W6" s="37" t="s">
        <v>94</v>
      </c>
      <c r="X6" s="45">
        <f>'10.01.26см1'!Y6</f>
        <v>815873.39500000002</v>
      </c>
      <c r="Y6" s="34">
        <f>X6+R17</f>
        <v>816381.79800000007</v>
      </c>
      <c r="Z6" s="46">
        <f>Y6-X6</f>
        <v>508.40300000004936</v>
      </c>
      <c r="AA6" s="47">
        <v>3</v>
      </c>
      <c r="AB6" s="265"/>
      <c r="AC6" s="265"/>
      <c r="AD6" s="266"/>
      <c r="AE6" s="11">
        <v>4</v>
      </c>
      <c r="AF6" s="12">
        <f t="shared" si="0"/>
        <v>2.8666666666666667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>
        <v>36.299999999999997</v>
      </c>
      <c r="Q7" s="29">
        <v>0</v>
      </c>
      <c r="R7" s="30">
        <v>35.194000000000003</v>
      </c>
      <c r="S7" s="30">
        <v>34</v>
      </c>
      <c r="T7" s="31">
        <v>11.53</v>
      </c>
      <c r="U7" s="32">
        <f t="shared" si="1"/>
        <v>117.024</v>
      </c>
      <c r="V7" s="44">
        <v>11</v>
      </c>
      <c r="W7" s="37" t="s">
        <v>95</v>
      </c>
      <c r="X7" s="48">
        <f>'10.01.26см1'!Y7</f>
        <v>508818</v>
      </c>
      <c r="Y7" s="34">
        <f>X7+S17</f>
        <v>509217</v>
      </c>
      <c r="Z7" s="46">
        <f>Y7-X7</f>
        <v>399</v>
      </c>
      <c r="AA7" s="47">
        <v>4</v>
      </c>
      <c r="AB7" s="267">
        <v>0.375</v>
      </c>
      <c r="AC7" s="49" t="s">
        <v>30</v>
      </c>
      <c r="AD7" s="50">
        <v>42</v>
      </c>
      <c r="AE7" s="11">
        <v>5</v>
      </c>
      <c r="AF7" s="12">
        <f t="shared" si="0"/>
        <v>3.5833333333333335</v>
      </c>
    </row>
    <row r="8" spans="1:32" ht="19.5" thickBot="1" x14ac:dyDescent="0.3">
      <c r="A8" s="37" t="s">
        <v>96</v>
      </c>
      <c r="B8" s="38">
        <v>66</v>
      </c>
      <c r="C8" s="39">
        <v>58</v>
      </c>
      <c r="D8" s="39">
        <v>72</v>
      </c>
      <c r="E8" s="40">
        <v>68</v>
      </c>
      <c r="F8" s="41">
        <v>68</v>
      </c>
      <c r="G8" s="42">
        <v>43</v>
      </c>
      <c r="H8" s="41">
        <v>34</v>
      </c>
      <c r="I8" s="42"/>
      <c r="J8" s="41"/>
      <c r="K8" s="38">
        <v>51</v>
      </c>
      <c r="L8" s="43">
        <v>62</v>
      </c>
      <c r="M8" s="40">
        <v>52</v>
      </c>
      <c r="N8" s="42">
        <v>52</v>
      </c>
      <c r="O8" s="41">
        <v>71</v>
      </c>
      <c r="P8" s="28">
        <v>38.200000000000003</v>
      </c>
      <c r="Q8" s="29">
        <v>0</v>
      </c>
      <c r="R8" s="30">
        <v>37.616999999999997</v>
      </c>
      <c r="S8" s="30">
        <v>34</v>
      </c>
      <c r="T8" s="31">
        <v>11.71</v>
      </c>
      <c r="U8" s="32">
        <f t="shared" si="1"/>
        <v>121.52700000000002</v>
      </c>
      <c r="V8" s="44">
        <v>10</v>
      </c>
      <c r="W8" s="37" t="s">
        <v>96</v>
      </c>
      <c r="X8" s="46">
        <f>'10.01.26см1'!Y8</f>
        <v>2629.28</v>
      </c>
      <c r="Y8" s="34">
        <f>X8+T17</f>
        <v>2770.84</v>
      </c>
      <c r="Z8" s="46">
        <f>T17</f>
        <v>141.56</v>
      </c>
      <c r="AA8" s="47">
        <v>5</v>
      </c>
      <c r="AB8" s="268"/>
      <c r="AC8" s="51" t="s">
        <v>32</v>
      </c>
      <c r="AD8" s="52">
        <v>43</v>
      </c>
      <c r="AE8" s="11">
        <v>6</v>
      </c>
      <c r="AF8" s="12">
        <f t="shared" si="0"/>
        <v>4.3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39.200000000000003</v>
      </c>
      <c r="Q9" s="29">
        <v>0</v>
      </c>
      <c r="R9" s="30">
        <v>43</v>
      </c>
      <c r="S9" s="30">
        <v>33</v>
      </c>
      <c r="T9" s="31">
        <v>11.8</v>
      </c>
      <c r="U9" s="32">
        <f t="shared" si="1"/>
        <v>127</v>
      </c>
      <c r="V9" s="44">
        <v>6</v>
      </c>
      <c r="W9" s="37" t="s">
        <v>97</v>
      </c>
      <c r="X9" s="270" t="s">
        <v>34</v>
      </c>
      <c r="Y9" s="271"/>
      <c r="Z9" s="54">
        <f>SUM(Z5:Z8)</f>
        <v>1539.7630000000377</v>
      </c>
      <c r="AA9" s="55"/>
      <c r="AB9" s="268"/>
      <c r="AC9" s="51" t="s">
        <v>35</v>
      </c>
      <c r="AD9" s="52">
        <v>32</v>
      </c>
      <c r="AE9" s="11">
        <v>7</v>
      </c>
      <c r="AF9" s="12">
        <f t="shared" si="0"/>
        <v>5.0166666666666666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43</v>
      </c>
      <c r="Q10" s="29">
        <v>0</v>
      </c>
      <c r="R10" s="30">
        <v>42</v>
      </c>
      <c r="S10" s="30">
        <v>32</v>
      </c>
      <c r="T10" s="31">
        <v>10.87</v>
      </c>
      <c r="U10" s="32">
        <f t="shared" si="1"/>
        <v>127.87</v>
      </c>
      <c r="V10" s="44">
        <v>5</v>
      </c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11</v>
      </c>
      <c r="AE10" s="11">
        <v>8</v>
      </c>
      <c r="AF10" s="12">
        <f t="shared" si="0"/>
        <v>5.7333333333333334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43</v>
      </c>
      <c r="Q11" s="29">
        <v>0</v>
      </c>
      <c r="R11" s="30">
        <v>40.011000000000003</v>
      </c>
      <c r="S11" s="30">
        <v>34</v>
      </c>
      <c r="T11" s="31">
        <v>10.53</v>
      </c>
      <c r="U11" s="32">
        <f t="shared" si="1"/>
        <v>127.541</v>
      </c>
      <c r="V11" s="44">
        <v>9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6.45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44.5</v>
      </c>
      <c r="Q12" s="29">
        <v>0</v>
      </c>
      <c r="R12" s="30">
        <v>41.759</v>
      </c>
      <c r="S12" s="30">
        <v>35</v>
      </c>
      <c r="T12" s="31">
        <v>12.29</v>
      </c>
      <c r="U12" s="32">
        <f t="shared" si="1"/>
        <v>133.54900000000001</v>
      </c>
      <c r="V12" s="44">
        <v>4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>
        <v>43</v>
      </c>
      <c r="AE12" s="11">
        <v>10</v>
      </c>
      <c r="AF12" s="12">
        <f t="shared" si="0"/>
        <v>7.166666666666667</v>
      </c>
    </row>
    <row r="13" spans="1:32" ht="19.5" thickBot="1" x14ac:dyDescent="0.35">
      <c r="A13" s="37" t="s">
        <v>101</v>
      </c>
      <c r="B13" s="38">
        <v>73</v>
      </c>
      <c r="C13" s="39"/>
      <c r="D13" s="39">
        <v>74</v>
      </c>
      <c r="E13" s="40">
        <v>55</v>
      </c>
      <c r="F13" s="41">
        <v>54</v>
      </c>
      <c r="G13" s="42">
        <v>38</v>
      </c>
      <c r="H13" s="41"/>
      <c r="I13" s="42"/>
      <c r="J13" s="41"/>
      <c r="K13" s="38">
        <v>51</v>
      </c>
      <c r="L13" s="43">
        <v>53</v>
      </c>
      <c r="M13" s="40">
        <v>48</v>
      </c>
      <c r="N13" s="42">
        <v>57</v>
      </c>
      <c r="O13" s="41"/>
      <c r="P13" s="53">
        <v>39.9</v>
      </c>
      <c r="Q13" s="29">
        <v>0</v>
      </c>
      <c r="R13" s="30">
        <v>43</v>
      </c>
      <c r="S13" s="30">
        <v>34</v>
      </c>
      <c r="T13" s="31">
        <v>11.91</v>
      </c>
      <c r="U13" s="32">
        <f t="shared" si="1"/>
        <v>128.81</v>
      </c>
      <c r="V13" s="44">
        <v>8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43</v>
      </c>
      <c r="AE13" s="11">
        <v>11</v>
      </c>
      <c r="AF13" s="12">
        <f t="shared" si="0"/>
        <v>7.8833333333333337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42.1</v>
      </c>
      <c r="Q14" s="29">
        <v>0</v>
      </c>
      <c r="R14" s="30">
        <v>43</v>
      </c>
      <c r="S14" s="30">
        <v>34</v>
      </c>
      <c r="T14" s="31">
        <v>12.43</v>
      </c>
      <c r="U14" s="32">
        <f t="shared" si="1"/>
        <v>131.53</v>
      </c>
      <c r="V14" s="44">
        <v>4</v>
      </c>
      <c r="W14" s="37" t="s">
        <v>102</v>
      </c>
      <c r="X14" s="280">
        <v>0.41666666666666669</v>
      </c>
      <c r="Y14" s="192" t="s">
        <v>45</v>
      </c>
      <c r="Z14" s="69">
        <v>1.5</v>
      </c>
      <c r="AA14" s="70">
        <f>100-Z14</f>
        <v>98.5</v>
      </c>
      <c r="AB14" s="278"/>
      <c r="AC14" s="51" t="s">
        <v>35</v>
      </c>
      <c r="AD14" s="52">
        <v>34</v>
      </c>
      <c r="AE14" s="11">
        <v>12</v>
      </c>
      <c r="AF14" s="12">
        <f t="shared" si="0"/>
        <v>8.6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40.1</v>
      </c>
      <c r="Q15" s="29">
        <v>0</v>
      </c>
      <c r="R15" s="30">
        <v>43</v>
      </c>
      <c r="S15" s="30">
        <v>32</v>
      </c>
      <c r="T15" s="31">
        <v>12.57</v>
      </c>
      <c r="U15" s="32">
        <f t="shared" si="1"/>
        <v>127.66999999999999</v>
      </c>
      <c r="V15" s="44">
        <v>7</v>
      </c>
      <c r="W15" s="37" t="s">
        <v>103</v>
      </c>
      <c r="X15" s="281"/>
      <c r="Y15" s="71" t="s">
        <v>47</v>
      </c>
      <c r="Z15" s="72">
        <v>1</v>
      </c>
      <c r="AA15" s="73">
        <f>100-Z15</f>
        <v>99</v>
      </c>
      <c r="AB15" s="279"/>
      <c r="AC15" s="74" t="s">
        <v>37</v>
      </c>
      <c r="AD15" s="58">
        <v>10</v>
      </c>
      <c r="AE15" s="11">
        <v>13</v>
      </c>
      <c r="AF15" s="12">
        <f t="shared" si="0"/>
        <v>9.3166666666666664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40.5</v>
      </c>
      <c r="Q16" s="29">
        <v>0</v>
      </c>
      <c r="R16" s="30">
        <v>41</v>
      </c>
      <c r="S16" s="30">
        <v>33</v>
      </c>
      <c r="T16" s="82">
        <v>12.69</v>
      </c>
      <c r="U16" s="32">
        <f t="shared" si="1"/>
        <v>127.19</v>
      </c>
      <c r="V16" s="83">
        <v>5</v>
      </c>
      <c r="W16" s="75" t="s">
        <v>104</v>
      </c>
      <c r="X16" s="281"/>
      <c r="Y16" s="71" t="s">
        <v>49</v>
      </c>
      <c r="Z16" s="72">
        <v>1.9</v>
      </c>
      <c r="AA16" s="73">
        <f>100-Z16</f>
        <v>98.1</v>
      </c>
      <c r="AB16" s="190"/>
      <c r="AC16" s="85"/>
      <c r="AD16" s="86"/>
      <c r="AE16" s="11">
        <v>14</v>
      </c>
      <c r="AF16" s="12">
        <f t="shared" si="0"/>
        <v>10.033333333333333</v>
      </c>
    </row>
    <row r="17" spans="1:32" ht="16.5" thickBot="1" x14ac:dyDescent="0.3">
      <c r="A17" s="87" t="s">
        <v>50</v>
      </c>
      <c r="B17" s="88">
        <f>AVERAGE(B5:B15)</f>
        <v>69.5</v>
      </c>
      <c r="C17" s="88">
        <f>AVERAGE(C5:C16)</f>
        <v>58</v>
      </c>
      <c r="D17" s="88">
        <f>AVERAGE(D5:D15)</f>
        <v>73</v>
      </c>
      <c r="E17" s="88">
        <f>AVERAGE(E5:E15)</f>
        <v>61.5</v>
      </c>
      <c r="F17" s="88">
        <f>AVERAGE(F5:F15)</f>
        <v>61</v>
      </c>
      <c r="G17" s="88">
        <f>AVERAGE(G5:G16)</f>
        <v>40.5</v>
      </c>
      <c r="H17" s="88">
        <f>AVERAGE(H5:H16)</f>
        <v>34</v>
      </c>
      <c r="I17" s="88" t="e">
        <f t="shared" ref="I17:N17" si="2">AVERAGE(I5:I15)</f>
        <v>#DIV/0!</v>
      </c>
      <c r="J17" s="88" t="e">
        <f t="shared" si="2"/>
        <v>#DIV/0!</v>
      </c>
      <c r="K17" s="88">
        <f t="shared" si="2"/>
        <v>51</v>
      </c>
      <c r="L17" s="88">
        <f t="shared" si="2"/>
        <v>57.5</v>
      </c>
      <c r="M17" s="89">
        <f t="shared" si="2"/>
        <v>50</v>
      </c>
      <c r="N17" s="89">
        <f t="shared" si="2"/>
        <v>54.5</v>
      </c>
      <c r="O17" s="89">
        <f>AVERAGE(O5:O16)</f>
        <v>71</v>
      </c>
      <c r="P17" s="90">
        <f>SUM(P5:P16)</f>
        <v>490.8</v>
      </c>
      <c r="Q17" s="91">
        <f>SUM(Q5:Q16)</f>
        <v>0</v>
      </c>
      <c r="R17" s="92">
        <f>SUM(R5:R16)</f>
        <v>508.40300000000008</v>
      </c>
      <c r="S17" s="93">
        <f>SUM(S5:S16)</f>
        <v>399</v>
      </c>
      <c r="T17" s="93">
        <f>SUM(T5:T16)</f>
        <v>141.56</v>
      </c>
      <c r="U17" s="94">
        <f>SUM(P17:T17)</f>
        <v>1539.7629999999999</v>
      </c>
      <c r="V17" s="1">
        <f>SUM(V5:V16)</f>
        <v>80</v>
      </c>
      <c r="W17" s="4"/>
      <c r="X17" s="281"/>
      <c r="Y17" s="71" t="s">
        <v>51</v>
      </c>
      <c r="Z17" s="72">
        <v>1.8</v>
      </c>
      <c r="AA17" s="73">
        <f>100-Z17</f>
        <v>98.2</v>
      </c>
      <c r="AB17" s="283">
        <v>0.54166666666666663</v>
      </c>
      <c r="AC17" s="62" t="s">
        <v>30</v>
      </c>
      <c r="AD17" s="50">
        <v>42</v>
      </c>
      <c r="AE17" s="11">
        <v>15</v>
      </c>
      <c r="AF17" s="12">
        <f t="shared" si="0"/>
        <v>10.75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98.45</v>
      </c>
      <c r="AB18" s="278"/>
      <c r="AC18" s="51" t="s">
        <v>32</v>
      </c>
      <c r="AD18" s="52">
        <v>43</v>
      </c>
      <c r="AE18" s="11">
        <v>16</v>
      </c>
      <c r="AF18" s="12">
        <f t="shared" si="0"/>
        <v>11.466666666666667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248</v>
      </c>
      <c r="J19" s="259"/>
      <c r="K19" s="259"/>
      <c r="L19" s="260"/>
      <c r="M19" s="261" t="s">
        <v>57</v>
      </c>
      <c r="N19" s="262"/>
      <c r="O19" s="263"/>
      <c r="P19" s="105">
        <v>2.9</v>
      </c>
      <c r="Q19" s="106"/>
      <c r="R19" s="107">
        <v>2.5</v>
      </c>
      <c r="S19" s="197">
        <v>2.8</v>
      </c>
      <c r="T19" s="107">
        <v>2.4</v>
      </c>
      <c r="U19" s="108">
        <f>(U17-U20)/U17*100</f>
        <v>2.6960457550934689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33</v>
      </c>
      <c r="AE19" s="11">
        <v>17</v>
      </c>
      <c r="AF19" s="12">
        <f t="shared" si="0"/>
        <v>12.183333333333334</v>
      </c>
    </row>
    <row r="20" spans="1:32" ht="16.5" thickBot="1" x14ac:dyDescent="0.3">
      <c r="A20" s="294" t="s">
        <v>30</v>
      </c>
      <c r="B20" s="295"/>
      <c r="C20" s="44">
        <v>70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476.5668</v>
      </c>
      <c r="Q20" s="113"/>
      <c r="R20" s="114">
        <f>(R17-(R17*R19/100))</f>
        <v>495.69292500000006</v>
      </c>
      <c r="S20" s="112">
        <f>(S17-(S17*S19/100))</f>
        <v>387.82799999999997</v>
      </c>
      <c r="T20" s="112">
        <f>(T17-(T17*T19/100))</f>
        <v>138.16256000000001</v>
      </c>
      <c r="U20" s="115">
        <f>P20+Q20+R20+S20+T20</f>
        <v>1498.2502850000001</v>
      </c>
      <c r="V20" s="4"/>
      <c r="W20" s="4"/>
      <c r="X20" s="281"/>
      <c r="Y20" s="192" t="s">
        <v>45</v>
      </c>
      <c r="Z20" s="69">
        <v>1.2</v>
      </c>
      <c r="AA20" s="70">
        <f>100-Z20</f>
        <v>98.8</v>
      </c>
      <c r="AB20" s="279"/>
      <c r="AC20" s="74" t="s">
        <v>37</v>
      </c>
      <c r="AD20" s="58">
        <v>12</v>
      </c>
      <c r="AE20" s="11">
        <v>18</v>
      </c>
      <c r="AF20" s="12">
        <f t="shared" si="0"/>
        <v>12.9</v>
      </c>
    </row>
    <row r="21" spans="1:32" ht="19.5" thickBot="1" x14ac:dyDescent="0.3">
      <c r="A21" s="294" t="s">
        <v>61</v>
      </c>
      <c r="B21" s="295"/>
      <c r="C21" s="44">
        <v>20</v>
      </c>
      <c r="D21" s="296">
        <v>0.15</v>
      </c>
      <c r="E21" s="297"/>
      <c r="F21" s="298" t="s">
        <v>58</v>
      </c>
      <c r="G21" s="299"/>
      <c r="H21" s="96"/>
      <c r="I21" s="116" t="s">
        <v>62</v>
      </c>
      <c r="J21" s="117">
        <v>50</v>
      </c>
      <c r="K21" s="118"/>
      <c r="L21" s="119"/>
      <c r="M21" s="307" t="s">
        <v>63</v>
      </c>
      <c r="N21" s="308"/>
      <c r="O21" s="309"/>
      <c r="P21" s="120">
        <f>(U17-(U17*U19/100))</f>
        <v>1498.2502850000001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1.6</v>
      </c>
      <c r="AA21" s="73">
        <f>100-Z21</f>
        <v>98.4</v>
      </c>
      <c r="AB21" s="190"/>
      <c r="AC21" s="124"/>
      <c r="AD21" s="86"/>
      <c r="AE21" s="11">
        <v>19</v>
      </c>
      <c r="AF21" s="12">
        <f t="shared" si="0"/>
        <v>13.616666666666667</v>
      </c>
    </row>
    <row r="22" spans="1:32" ht="16.5" thickBot="1" x14ac:dyDescent="0.3">
      <c r="A22" s="294" t="s">
        <v>32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50</v>
      </c>
      <c r="K22" s="316">
        <f>J22/I22*100</f>
        <v>50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2.4</v>
      </c>
      <c r="AA22" s="73">
        <f>100-Z22</f>
        <v>97.6</v>
      </c>
      <c r="AB22" s="283">
        <v>0.625</v>
      </c>
      <c r="AC22" s="49" t="s">
        <v>30</v>
      </c>
      <c r="AD22" s="50">
        <v>43</v>
      </c>
      <c r="AE22" s="11">
        <v>20</v>
      </c>
      <c r="AF22" s="12">
        <f t="shared" si="0"/>
        <v>14.333333333333334</v>
      </c>
    </row>
    <row r="23" spans="1:32" ht="16.5" thickBot="1" x14ac:dyDescent="0.3">
      <c r="A23" s="294" t="s">
        <v>35</v>
      </c>
      <c r="B23" s="295"/>
      <c r="C23" s="44">
        <v>70</v>
      </c>
      <c r="D23" s="296">
        <v>0.2</v>
      </c>
      <c r="E23" s="297"/>
      <c r="F23" s="298" t="s">
        <v>58</v>
      </c>
      <c r="G23" s="299"/>
      <c r="H23" s="4"/>
      <c r="I23" s="133" t="s">
        <v>66</v>
      </c>
      <c r="J23" s="134">
        <v>30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1.8</v>
      </c>
      <c r="AA23" s="73">
        <f>100-Z23</f>
        <v>98.2</v>
      </c>
      <c r="AB23" s="278"/>
      <c r="AC23" s="51" t="s">
        <v>32</v>
      </c>
      <c r="AD23" s="52">
        <v>42</v>
      </c>
      <c r="AE23" s="11">
        <v>21</v>
      </c>
      <c r="AF23" s="12">
        <f t="shared" si="0"/>
        <v>15.05</v>
      </c>
    </row>
    <row r="24" spans="1:32" ht="16.5" thickBot="1" x14ac:dyDescent="0.3">
      <c r="A24" s="294" t="s">
        <v>37</v>
      </c>
      <c r="B24" s="295"/>
      <c r="C24" s="44">
        <v>70</v>
      </c>
      <c r="D24" s="296">
        <v>0.15</v>
      </c>
      <c r="E24" s="297"/>
      <c r="F24" s="298" t="s">
        <v>58</v>
      </c>
      <c r="G24" s="299"/>
      <c r="H24" s="4"/>
      <c r="I24" s="136">
        <v>100</v>
      </c>
      <c r="J24" s="121">
        <f>I24-J23</f>
        <v>70</v>
      </c>
      <c r="K24" s="316">
        <f>J24/I24*100</f>
        <v>70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98.249999999999986</v>
      </c>
      <c r="AB24" s="278"/>
      <c r="AC24" s="51" t="s">
        <v>35</v>
      </c>
      <c r="AD24" s="52">
        <v>34</v>
      </c>
      <c r="AE24" s="11">
        <v>22</v>
      </c>
      <c r="AF24" s="12">
        <f t="shared" si="0"/>
        <v>15.766666666666667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11</v>
      </c>
      <c r="AE25" s="11">
        <v>23</v>
      </c>
      <c r="AF25" s="12">
        <f t="shared" si="0"/>
        <v>16.483333333333334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1.5</v>
      </c>
      <c r="AA26" s="70">
        <f>100-Z26</f>
        <v>98.5</v>
      </c>
      <c r="AB26" s="189"/>
      <c r="AC26" s="124"/>
      <c r="AD26" s="86"/>
      <c r="AE26" s="11">
        <v>24</v>
      </c>
      <c r="AF26" s="12">
        <f t="shared" si="0"/>
        <v>17.2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2.6</v>
      </c>
      <c r="AA27" s="73">
        <f>100-Z27</f>
        <v>97.4</v>
      </c>
      <c r="AB27" s="267">
        <v>0.70833333333333337</v>
      </c>
      <c r="AC27" s="62" t="s">
        <v>30</v>
      </c>
      <c r="AD27" s="50">
        <v>42</v>
      </c>
      <c r="AE27" s="11">
        <v>25</v>
      </c>
      <c r="AF27" s="12">
        <f t="shared" si="0"/>
        <v>17.916666666666668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 t="s">
        <v>253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2.1</v>
      </c>
      <c r="AA28" s="73">
        <f>100-Z28</f>
        <v>97.9</v>
      </c>
      <c r="AB28" s="268"/>
      <c r="AC28" s="67" t="s">
        <v>32</v>
      </c>
      <c r="AD28" s="52">
        <v>43</v>
      </c>
      <c r="AE28" s="11">
        <v>26</v>
      </c>
      <c r="AF28" s="12">
        <f t="shared" si="0"/>
        <v>18.633333333333333</v>
      </c>
    </row>
    <row r="29" spans="1:32" ht="18.75" customHeight="1" thickBot="1" x14ac:dyDescent="0.35">
      <c r="A29" s="432"/>
      <c r="B29" s="433"/>
      <c r="C29" s="181"/>
      <c r="D29" s="428"/>
      <c r="E29" s="429"/>
      <c r="F29" s="430"/>
      <c r="G29" s="431"/>
      <c r="H29" s="345" t="s">
        <v>249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1.3</v>
      </c>
      <c r="AA29" s="73">
        <f>100-Z29</f>
        <v>98.7</v>
      </c>
      <c r="AB29" s="268"/>
      <c r="AC29" s="51" t="s">
        <v>35</v>
      </c>
      <c r="AD29" s="52">
        <v>34</v>
      </c>
      <c r="AE29" s="11">
        <v>27</v>
      </c>
      <c r="AF29" s="12">
        <f t="shared" si="0"/>
        <v>19.350000000000001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45" t="s">
        <v>250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98.125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20.066666666666666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 t="s">
        <v>251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20.783333333333335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 t="s">
        <v>252</v>
      </c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1.6</v>
      </c>
      <c r="AA32" s="70">
        <f>100-Z32</f>
        <v>98.4</v>
      </c>
      <c r="AB32" s="267">
        <v>0.79166666666666663</v>
      </c>
      <c r="AC32" s="62" t="s">
        <v>30</v>
      </c>
      <c r="AD32" s="50">
        <v>42</v>
      </c>
      <c r="AE32" s="11">
        <v>30</v>
      </c>
      <c r="AF32" s="12">
        <f t="shared" si="0"/>
        <v>21.5</v>
      </c>
    </row>
    <row r="33" spans="1:32" ht="19.5" thickBot="1" x14ac:dyDescent="0.35">
      <c r="A33" s="411" t="s">
        <v>61</v>
      </c>
      <c r="B33" s="412"/>
      <c r="C33" s="182">
        <v>0.66527777777777775</v>
      </c>
      <c r="D33" s="403">
        <v>0.80138888888888893</v>
      </c>
      <c r="E33" s="404"/>
      <c r="F33" s="415" t="s">
        <v>255</v>
      </c>
      <c r="G33" s="416"/>
      <c r="H33" s="345" t="s">
        <v>254</v>
      </c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>
        <v>1.9</v>
      </c>
      <c r="AA33" s="73">
        <f>100-Z33</f>
        <v>98.1</v>
      </c>
      <c r="AB33" s="268"/>
      <c r="AC33" s="51" t="s">
        <v>32</v>
      </c>
      <c r="AD33" s="52">
        <v>43</v>
      </c>
      <c r="AE33" s="11">
        <v>31</v>
      </c>
      <c r="AF33" s="12">
        <f t="shared" si="0"/>
        <v>22.216666666666665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V34" t="s">
        <v>65</v>
      </c>
      <c r="X34" s="413"/>
      <c r="Y34" s="44" t="s">
        <v>49</v>
      </c>
      <c r="Z34" s="72">
        <v>2.2000000000000002</v>
      </c>
      <c r="AA34" s="73">
        <f>100-Z34</f>
        <v>97.8</v>
      </c>
      <c r="AB34" s="268"/>
      <c r="AC34" s="67" t="s">
        <v>35</v>
      </c>
      <c r="AD34" s="52">
        <v>32</v>
      </c>
      <c r="AE34" s="11">
        <v>32</v>
      </c>
      <c r="AF34" s="12">
        <f t="shared" si="0"/>
        <v>22.933333333333334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1.8</v>
      </c>
      <c r="AA35" s="73">
        <f>100-Z35</f>
        <v>98.2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23.65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98.125</v>
      </c>
      <c r="AB36" s="59"/>
      <c r="AC36" s="57"/>
      <c r="AD36" s="153"/>
      <c r="AE36" s="11">
        <v>34</v>
      </c>
      <c r="AF36" s="12">
        <f t="shared" si="0"/>
        <v>24.366666666666667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25.083333333333332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25.8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26.516666666666666</v>
      </c>
    </row>
    <row r="40" spans="1:32" ht="19.5" thickBot="1" x14ac:dyDescent="0.3">
      <c r="A40" s="359" t="s">
        <v>81</v>
      </c>
      <c r="B40" s="360"/>
      <c r="C40" s="360"/>
      <c r="D40" s="361">
        <f>'10.01.26см1'!D44:F44</f>
        <v>160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27.233333333333334</v>
      </c>
    </row>
    <row r="41" spans="1:32" ht="19.5" thickBot="1" x14ac:dyDescent="0.3">
      <c r="A41" s="364" t="s">
        <v>82</v>
      </c>
      <c r="B41" s="365"/>
      <c r="C41" s="365"/>
      <c r="D41" s="366">
        <f>V17</f>
        <v>80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27.95</v>
      </c>
    </row>
    <row r="42" spans="1:32" ht="19.5" thickBot="1" x14ac:dyDescent="0.35">
      <c r="A42" s="364" t="s">
        <v>87</v>
      </c>
      <c r="B42" s="365"/>
      <c r="C42" s="365"/>
      <c r="D42" s="386">
        <v>116</v>
      </c>
      <c r="E42" s="386"/>
      <c r="F42" s="387"/>
      <c r="G42" s="160"/>
      <c r="H42" s="397" t="s">
        <v>88</v>
      </c>
      <c r="I42" s="398"/>
      <c r="J42" s="164">
        <v>9.6300000000000008</v>
      </c>
      <c r="K42" s="399">
        <v>9.83</v>
      </c>
      <c r="L42" s="400"/>
      <c r="M42" s="164">
        <v>10.35</v>
      </c>
      <c r="N42" s="165">
        <v>10.15</v>
      </c>
      <c r="O42" s="165">
        <v>9.89</v>
      </c>
      <c r="P42" s="165">
        <v>9.67</v>
      </c>
      <c r="Q42" s="401">
        <f>AVERAGE(J42:P43)</f>
        <v>9.92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28.666666666666668</v>
      </c>
    </row>
    <row r="43" spans="1:32" ht="21" thickBot="1" x14ac:dyDescent="0.35">
      <c r="A43" s="187" t="s">
        <v>89</v>
      </c>
      <c r="B43" s="188"/>
      <c r="C43" s="188"/>
      <c r="D43" s="386">
        <v>5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29.383333333333333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124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193" t="s">
        <v>92</v>
      </c>
      <c r="S44" s="193"/>
      <c r="T44" s="193"/>
      <c r="U44" s="193"/>
      <c r="V44" s="193"/>
      <c r="W44" s="193"/>
      <c r="X44" s="193"/>
      <c r="AA44" s="178"/>
      <c r="AB44" s="179"/>
      <c r="AE44" s="11">
        <v>42</v>
      </c>
      <c r="AF44" s="12">
        <f t="shared" si="0"/>
        <v>30.1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32.25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32.966666666666669</v>
      </c>
    </row>
    <row r="47" spans="1:32" ht="15.75" thickBot="1" x14ac:dyDescent="0.3">
      <c r="AE47" s="11">
        <v>47</v>
      </c>
      <c r="AF47" s="12">
        <f t="shared" si="0"/>
        <v>33.68333333333333</v>
      </c>
    </row>
    <row r="48" spans="1:32" ht="15.75" thickBot="1" x14ac:dyDescent="0.3">
      <c r="AE48" s="11">
        <v>48</v>
      </c>
      <c r="AF48" s="12">
        <f t="shared" si="0"/>
        <v>34.4</v>
      </c>
    </row>
    <row r="49" spans="31:32" ht="15.75" thickBot="1" x14ac:dyDescent="0.3">
      <c r="AE49" s="11">
        <v>49</v>
      </c>
      <c r="AF49" s="12">
        <f t="shared" si="0"/>
        <v>35.116666666666667</v>
      </c>
    </row>
    <row r="50" spans="31:32" ht="15.75" thickBot="1" x14ac:dyDescent="0.3">
      <c r="AE50" s="11">
        <v>50</v>
      </c>
      <c r="AF50" s="12">
        <f t="shared" si="0"/>
        <v>35.833333333333336</v>
      </c>
    </row>
    <row r="51" spans="31:32" ht="15.75" thickBot="1" x14ac:dyDescent="0.3">
      <c r="AE51" s="11">
        <v>51</v>
      </c>
      <c r="AF51" s="12">
        <f t="shared" si="0"/>
        <v>36.549999999999997</v>
      </c>
    </row>
    <row r="52" spans="31:32" ht="15.75" thickBot="1" x14ac:dyDescent="0.3">
      <c r="AE52" s="11">
        <v>52</v>
      </c>
      <c r="AF52" s="12">
        <f t="shared" si="0"/>
        <v>37.266666666666666</v>
      </c>
    </row>
    <row r="53" spans="31:32" ht="15.75" thickBot="1" x14ac:dyDescent="0.3">
      <c r="AE53" s="11">
        <v>53</v>
      </c>
      <c r="AF53" s="12">
        <f t="shared" si="0"/>
        <v>37.983333333333334</v>
      </c>
    </row>
    <row r="54" spans="31:32" ht="15.75" thickBot="1" x14ac:dyDescent="0.3">
      <c r="AE54" s="11">
        <v>54</v>
      </c>
      <c r="AF54" s="12">
        <f t="shared" si="0"/>
        <v>38.700000000000003</v>
      </c>
    </row>
    <row r="55" spans="31:32" ht="15.75" thickBot="1" x14ac:dyDescent="0.3">
      <c r="AE55" s="11">
        <v>55</v>
      </c>
      <c r="AF55" s="12">
        <f t="shared" si="0"/>
        <v>39.416666666666664</v>
      </c>
    </row>
    <row r="56" spans="31:32" ht="15.75" thickBot="1" x14ac:dyDescent="0.3">
      <c r="AE56" s="11">
        <v>56</v>
      </c>
      <c r="AF56" s="12">
        <f t="shared" si="0"/>
        <v>40.133333333333333</v>
      </c>
    </row>
    <row r="57" spans="31:32" ht="15.75" thickBot="1" x14ac:dyDescent="0.3">
      <c r="AE57" s="11">
        <v>57</v>
      </c>
      <c r="AF57" s="12">
        <f t="shared" si="0"/>
        <v>40.85</v>
      </c>
    </row>
    <row r="58" spans="31:32" ht="15.75" thickBot="1" x14ac:dyDescent="0.3">
      <c r="AE58" s="11">
        <v>58</v>
      </c>
      <c r="AF58" s="12">
        <f t="shared" si="0"/>
        <v>41.56666666666667</v>
      </c>
    </row>
    <row r="59" spans="31:32" ht="15.75" thickBot="1" x14ac:dyDescent="0.3">
      <c r="AE59" s="11">
        <v>59</v>
      </c>
      <c r="AF59" s="12">
        <f t="shared" si="0"/>
        <v>42.283333333333331</v>
      </c>
    </row>
    <row r="60" spans="31:32" ht="15.75" thickBot="1" x14ac:dyDescent="0.3">
      <c r="AE60" s="11">
        <v>60</v>
      </c>
      <c r="AF60" s="12">
        <f t="shared" si="0"/>
        <v>43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A21" sqref="A21:G24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5703125" customWidth="1"/>
    <col min="17" max="18" width="10.140625" customWidth="1"/>
    <col min="19" max="19" width="10.42578125" customWidth="1"/>
    <col min="20" max="21" width="10.140625" customWidth="1"/>
    <col min="22" max="22" width="10.5703125" customWidth="1"/>
    <col min="23" max="23" width="10.42578125" customWidth="1"/>
    <col min="24" max="24" width="19.5703125" customWidth="1"/>
    <col min="25" max="25" width="23.140625" customWidth="1"/>
    <col min="26" max="26" width="14.7109375" customWidth="1"/>
    <col min="27" max="27" width="12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146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41.7</v>
      </c>
      <c r="Q5" s="29">
        <v>0</v>
      </c>
      <c r="R5" s="30">
        <v>42.734000000000002</v>
      </c>
      <c r="S5" s="30">
        <v>34</v>
      </c>
      <c r="T5" s="31">
        <v>9.35</v>
      </c>
      <c r="U5" s="32">
        <f>SUM(P5:T5)</f>
        <v>127.78399999999999</v>
      </c>
      <c r="V5" s="33">
        <v>4</v>
      </c>
      <c r="W5" s="21" t="s">
        <v>27</v>
      </c>
      <c r="X5" s="34">
        <v>518745.2</v>
      </c>
      <c r="Y5" s="34">
        <f>X5+P17</f>
        <v>519252.10000000003</v>
      </c>
      <c r="Z5" s="35">
        <f>Y5-X5</f>
        <v>506.90000000002328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43.2</v>
      </c>
      <c r="Q6" s="29">
        <v>0</v>
      </c>
      <c r="R6" s="30">
        <v>43.814999999999998</v>
      </c>
      <c r="S6" s="30">
        <v>36</v>
      </c>
      <c r="T6" s="31">
        <v>12.58</v>
      </c>
      <c r="U6" s="32">
        <f t="shared" ref="U6:U16" si="1">SUM(P6:T6)</f>
        <v>135.595</v>
      </c>
      <c r="V6" s="44">
        <v>5</v>
      </c>
      <c r="W6" s="37" t="s">
        <v>28</v>
      </c>
      <c r="X6" s="45">
        <v>816346.73699999996</v>
      </c>
      <c r="Y6" s="34">
        <f>X6+R17</f>
        <v>816865.32499999995</v>
      </c>
      <c r="Z6" s="46">
        <f>Y6-X6</f>
        <v>518.58799999998882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>
        <v>64</v>
      </c>
      <c r="C7" s="39">
        <v>63</v>
      </c>
      <c r="D7" s="39">
        <v>72</v>
      </c>
      <c r="E7" s="40">
        <v>62</v>
      </c>
      <c r="F7" s="41">
        <v>61</v>
      </c>
      <c r="G7" s="42">
        <v>42</v>
      </c>
      <c r="H7" s="41">
        <v>33</v>
      </c>
      <c r="I7" s="42">
        <v>36</v>
      </c>
      <c r="J7" s="41">
        <v>19</v>
      </c>
      <c r="K7" s="38">
        <v>44</v>
      </c>
      <c r="L7" s="43">
        <v>57</v>
      </c>
      <c r="M7" s="40">
        <v>51</v>
      </c>
      <c r="N7" s="42">
        <v>55</v>
      </c>
      <c r="O7" s="41">
        <v>72</v>
      </c>
      <c r="P7" s="28">
        <v>43.8</v>
      </c>
      <c r="Q7" s="29">
        <v>0</v>
      </c>
      <c r="R7" s="30">
        <v>45.720999999999997</v>
      </c>
      <c r="S7" s="30">
        <v>36</v>
      </c>
      <c r="T7" s="31">
        <v>11.92</v>
      </c>
      <c r="U7" s="32">
        <f t="shared" si="1"/>
        <v>137.44099999999997</v>
      </c>
      <c r="V7" s="44">
        <v>7</v>
      </c>
      <c r="W7" s="37" t="s">
        <v>29</v>
      </c>
      <c r="X7" s="48">
        <v>509256</v>
      </c>
      <c r="Y7" s="34">
        <f>X7+S17</f>
        <v>509659</v>
      </c>
      <c r="Z7" s="46">
        <f>Y7-X7</f>
        <v>403</v>
      </c>
      <c r="AA7" s="47">
        <v>4</v>
      </c>
      <c r="AB7" s="267">
        <v>0.875</v>
      </c>
      <c r="AC7" s="49" t="s">
        <v>30</v>
      </c>
      <c r="AD7" s="50">
        <v>41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43.9</v>
      </c>
      <c r="Q8" s="29">
        <v>0</v>
      </c>
      <c r="R8" s="30">
        <v>43.473999999999997</v>
      </c>
      <c r="S8" s="30">
        <v>34</v>
      </c>
      <c r="T8" s="31">
        <v>13.03</v>
      </c>
      <c r="U8" s="32">
        <f t="shared" si="1"/>
        <v>134.404</v>
      </c>
      <c r="V8" s="44">
        <v>4</v>
      </c>
      <c r="W8" s="37" t="s">
        <v>31</v>
      </c>
      <c r="X8" s="46">
        <v>2770.84</v>
      </c>
      <c r="Y8" s="34">
        <f>X8+T17</f>
        <v>2918.3</v>
      </c>
      <c r="Z8" s="46">
        <f>T17</f>
        <v>147.46</v>
      </c>
      <c r="AA8" s="47">
        <v>5</v>
      </c>
      <c r="AB8" s="268"/>
      <c r="AC8" s="51" t="s">
        <v>32</v>
      </c>
      <c r="AD8" s="52">
        <v>42</v>
      </c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42.6</v>
      </c>
      <c r="Q9" s="29">
        <v>0</v>
      </c>
      <c r="R9" s="30">
        <v>42.603999999999999</v>
      </c>
      <c r="S9" s="30">
        <v>34</v>
      </c>
      <c r="T9" s="31">
        <v>12.55</v>
      </c>
      <c r="U9" s="32">
        <f t="shared" si="1"/>
        <v>131.75400000000002</v>
      </c>
      <c r="V9" s="44">
        <v>6</v>
      </c>
      <c r="W9" s="37" t="s">
        <v>33</v>
      </c>
      <c r="X9" s="270" t="s">
        <v>34</v>
      </c>
      <c r="Y9" s="271"/>
      <c r="Z9" s="54">
        <f>SUM(Z5:Z8)</f>
        <v>1575.9480000000121</v>
      </c>
      <c r="AA9" s="55"/>
      <c r="AB9" s="268"/>
      <c r="AC9" s="51" t="s">
        <v>35</v>
      </c>
      <c r="AD9" s="52">
        <v>34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40.1</v>
      </c>
      <c r="Q10" s="29">
        <v>0</v>
      </c>
      <c r="R10" s="30">
        <v>42.884</v>
      </c>
      <c r="S10" s="30">
        <v>35</v>
      </c>
      <c r="T10" s="31">
        <v>12.11</v>
      </c>
      <c r="U10" s="32">
        <f t="shared" si="1"/>
        <v>130.09399999999999</v>
      </c>
      <c r="V10" s="44">
        <v>3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11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42.9</v>
      </c>
      <c r="Q11" s="29">
        <v>0</v>
      </c>
      <c r="R11" s="30">
        <v>42.695999999999998</v>
      </c>
      <c r="S11" s="30">
        <v>35</v>
      </c>
      <c r="T11" s="31">
        <v>13.21</v>
      </c>
      <c r="U11" s="32">
        <f t="shared" si="1"/>
        <v>133.80600000000001</v>
      </c>
      <c r="V11" s="44">
        <v>5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44</v>
      </c>
      <c r="Q12" s="29">
        <v>0</v>
      </c>
      <c r="R12" s="30">
        <v>44.262</v>
      </c>
      <c r="S12" s="30">
        <v>34</v>
      </c>
      <c r="T12" s="31">
        <v>12.81</v>
      </c>
      <c r="U12" s="32">
        <f t="shared" si="1"/>
        <v>135.072</v>
      </c>
      <c r="V12" s="44">
        <v>3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42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>
        <v>65</v>
      </c>
      <c r="C13" s="39">
        <v>61</v>
      </c>
      <c r="D13" s="39">
        <v>71</v>
      </c>
      <c r="E13" s="40">
        <v>61</v>
      </c>
      <c r="F13" s="41">
        <v>63</v>
      </c>
      <c r="G13" s="42">
        <v>47</v>
      </c>
      <c r="H13" s="41">
        <v>40</v>
      </c>
      <c r="I13" s="42">
        <v>29</v>
      </c>
      <c r="J13" s="41"/>
      <c r="K13" s="38">
        <v>50</v>
      </c>
      <c r="L13" s="43">
        <v>57</v>
      </c>
      <c r="M13" s="40">
        <v>52</v>
      </c>
      <c r="N13" s="42">
        <v>53</v>
      </c>
      <c r="O13" s="41">
        <v>68</v>
      </c>
      <c r="P13" s="53">
        <v>43.3</v>
      </c>
      <c r="Q13" s="29">
        <v>0</v>
      </c>
      <c r="R13" s="30">
        <v>44.533000000000001</v>
      </c>
      <c r="S13" s="30">
        <v>32</v>
      </c>
      <c r="T13" s="31">
        <v>11.9</v>
      </c>
      <c r="U13" s="32">
        <f t="shared" si="1"/>
        <v>131.733</v>
      </c>
      <c r="V13" s="44">
        <v>3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43</v>
      </c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43.1</v>
      </c>
      <c r="Q14" s="29">
        <v>0</v>
      </c>
      <c r="R14" s="30">
        <v>44.017000000000003</v>
      </c>
      <c r="S14" s="30">
        <v>33</v>
      </c>
      <c r="T14" s="31">
        <v>12.92</v>
      </c>
      <c r="U14" s="32">
        <f t="shared" si="1"/>
        <v>133.03700000000001</v>
      </c>
      <c r="V14" s="44">
        <v>4</v>
      </c>
      <c r="W14" s="37" t="s">
        <v>44</v>
      </c>
      <c r="X14" s="280">
        <v>0.91666666666666663</v>
      </c>
      <c r="Y14" s="210" t="s">
        <v>45</v>
      </c>
      <c r="Z14" s="69">
        <v>2.2999999999999998</v>
      </c>
      <c r="AA14" s="70">
        <f>100-Z14</f>
        <v>97.7</v>
      </c>
      <c r="AB14" s="278"/>
      <c r="AC14" s="51" t="s">
        <v>35</v>
      </c>
      <c r="AD14" s="52">
        <v>33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42.9</v>
      </c>
      <c r="Q15" s="29">
        <v>0</v>
      </c>
      <c r="R15" s="30">
        <v>43.892000000000003</v>
      </c>
      <c r="S15" s="30">
        <v>33</v>
      </c>
      <c r="T15" s="31">
        <v>13.11</v>
      </c>
      <c r="U15" s="32">
        <f t="shared" si="1"/>
        <v>132.90199999999999</v>
      </c>
      <c r="V15" s="44">
        <v>3</v>
      </c>
      <c r="W15" s="37" t="s">
        <v>46</v>
      </c>
      <c r="X15" s="281"/>
      <c r="Y15" s="71" t="s">
        <v>47</v>
      </c>
      <c r="Z15" s="72">
        <v>1.8</v>
      </c>
      <c r="AA15" s="73">
        <f>100-Z15</f>
        <v>98.2</v>
      </c>
      <c r="AB15" s="279"/>
      <c r="AC15" s="74" t="s">
        <v>37</v>
      </c>
      <c r="AD15" s="58">
        <v>12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>
        <v>0</v>
      </c>
      <c r="K16" s="76"/>
      <c r="L16" s="77"/>
      <c r="M16" s="78"/>
      <c r="N16" s="79"/>
      <c r="O16" s="80"/>
      <c r="P16" s="81">
        <v>35.4</v>
      </c>
      <c r="Q16" s="29">
        <v>0</v>
      </c>
      <c r="R16" s="30">
        <v>37.956000000000003</v>
      </c>
      <c r="S16" s="30">
        <v>27</v>
      </c>
      <c r="T16" s="82">
        <v>11.97</v>
      </c>
      <c r="U16" s="32">
        <f t="shared" si="1"/>
        <v>112.32599999999999</v>
      </c>
      <c r="V16" s="83">
        <v>8</v>
      </c>
      <c r="W16" s="75" t="s">
        <v>48</v>
      </c>
      <c r="X16" s="281"/>
      <c r="Y16" s="71" t="s">
        <v>49</v>
      </c>
      <c r="Z16" s="72">
        <v>2</v>
      </c>
      <c r="AA16" s="73">
        <f>100-Z16</f>
        <v>98</v>
      </c>
      <c r="AB16" s="190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64.5</v>
      </c>
      <c r="C17" s="88">
        <f>AVERAGE(C5:C16)</f>
        <v>62</v>
      </c>
      <c r="D17" s="88">
        <f>AVERAGE(D5:D15)</f>
        <v>71.5</v>
      </c>
      <c r="E17" s="88">
        <f>AVERAGE(E5:E15)</f>
        <v>61.5</v>
      </c>
      <c r="F17" s="88">
        <f>AVERAGE(F5:F15)</f>
        <v>62</v>
      </c>
      <c r="G17" s="88">
        <f>AVERAGE(G5:G16)</f>
        <v>44.5</v>
      </c>
      <c r="H17" s="88">
        <f>AVERAGE(H5:H16)</f>
        <v>36.5</v>
      </c>
      <c r="I17" s="88">
        <f t="shared" ref="I17:N17" si="2">AVERAGE(I5:I15)</f>
        <v>32.5</v>
      </c>
      <c r="J17" s="88">
        <f t="shared" si="2"/>
        <v>19</v>
      </c>
      <c r="K17" s="88">
        <f t="shared" si="2"/>
        <v>47</v>
      </c>
      <c r="L17" s="88">
        <f t="shared" si="2"/>
        <v>57</v>
      </c>
      <c r="M17" s="89">
        <f t="shared" si="2"/>
        <v>51.5</v>
      </c>
      <c r="N17" s="89">
        <f t="shared" si="2"/>
        <v>54</v>
      </c>
      <c r="O17" s="89">
        <f>AVERAGE(O5:O16)</f>
        <v>70</v>
      </c>
      <c r="P17" s="90">
        <f>SUM(P5:P16)</f>
        <v>506.9</v>
      </c>
      <c r="Q17" s="91">
        <f>SUM(Q5:Q16)</f>
        <v>0</v>
      </c>
      <c r="R17" s="92">
        <f>SUM(R5:R16)</f>
        <v>518.58799999999997</v>
      </c>
      <c r="S17" s="93">
        <f>SUM(S5:S16)</f>
        <v>403</v>
      </c>
      <c r="T17" s="93">
        <f>SUM(T5:T16)</f>
        <v>147.46</v>
      </c>
      <c r="U17" s="94">
        <f>SUM(P17:T17)</f>
        <v>1575.9479999999999</v>
      </c>
      <c r="V17" s="1">
        <f>SUM(V5:V16)</f>
        <v>55</v>
      </c>
      <c r="W17" s="4"/>
      <c r="X17" s="281"/>
      <c r="Y17" s="71" t="s">
        <v>51</v>
      </c>
      <c r="Z17" s="72">
        <v>0.9</v>
      </c>
      <c r="AA17" s="73">
        <f>100-Z17</f>
        <v>99.1</v>
      </c>
      <c r="AB17" s="283">
        <v>4.1666666666666664E-2</v>
      </c>
      <c r="AC17" s="62" t="s">
        <v>30</v>
      </c>
      <c r="AD17" s="50">
        <v>43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98.25</v>
      </c>
      <c r="AB18" s="278"/>
      <c r="AC18" s="51" t="s">
        <v>32</v>
      </c>
      <c r="AD18" s="52">
        <v>43</v>
      </c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147</v>
      </c>
      <c r="J19" s="259"/>
      <c r="K19" s="259"/>
      <c r="L19" s="260"/>
      <c r="M19" s="261" t="s">
        <v>57</v>
      </c>
      <c r="N19" s="262"/>
      <c r="O19" s="263"/>
      <c r="P19" s="105">
        <v>2.8</v>
      </c>
      <c r="Q19" s="106"/>
      <c r="R19" s="107">
        <v>2.5</v>
      </c>
      <c r="S19" s="107">
        <v>2.4</v>
      </c>
      <c r="T19" s="107">
        <v>2.7</v>
      </c>
      <c r="U19" s="108">
        <f>(U17-U20)/U17*100</f>
        <v>2.5896362062707672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34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30</v>
      </c>
      <c r="B20" s="295"/>
      <c r="C20" s="44">
        <v>70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492.70679999999999</v>
      </c>
      <c r="Q20" s="113"/>
      <c r="R20" s="114">
        <f>(R17-(R17*R19/100))</f>
        <v>505.62329999999997</v>
      </c>
      <c r="S20" s="112">
        <f>(S17-(S17*S19/100))</f>
        <v>393.32799999999997</v>
      </c>
      <c r="T20" s="112">
        <f>(T17-(T17*T19/100))</f>
        <v>143.47857999999999</v>
      </c>
      <c r="U20" s="115">
        <f>P20+Q20+R20+S20+T20</f>
        <v>1535.1366799999998</v>
      </c>
      <c r="V20" s="4"/>
      <c r="W20" s="4"/>
      <c r="X20" s="281"/>
      <c r="Y20" s="210" t="s">
        <v>45</v>
      </c>
      <c r="Z20" s="69">
        <v>1.3</v>
      </c>
      <c r="AA20" s="70">
        <f>100-Z20</f>
        <v>98.7</v>
      </c>
      <c r="AB20" s="279"/>
      <c r="AC20" s="74" t="s">
        <v>37</v>
      </c>
      <c r="AD20" s="58">
        <v>12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61</v>
      </c>
      <c r="B21" s="295"/>
      <c r="C21" s="44">
        <v>20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45</v>
      </c>
      <c r="K21" s="118"/>
      <c r="L21" s="119"/>
      <c r="M21" s="307" t="s">
        <v>63</v>
      </c>
      <c r="N21" s="308"/>
      <c r="O21" s="309"/>
      <c r="P21" s="120">
        <f>(U17-(U17*U19/100))</f>
        <v>1535.1366799999998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3.6</v>
      </c>
      <c r="AA21" s="73">
        <f>100-Z21</f>
        <v>96.4</v>
      </c>
      <c r="AB21" s="190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32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55</v>
      </c>
      <c r="K22" s="316">
        <f>J22/I22*100</f>
        <v>55.000000000000007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1.4</v>
      </c>
      <c r="AA22" s="73">
        <f>100-Z22</f>
        <v>98.6</v>
      </c>
      <c r="AB22" s="283">
        <v>0.125</v>
      </c>
      <c r="AC22" s="49" t="s">
        <v>30</v>
      </c>
      <c r="AD22" s="50">
        <v>42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 t="s">
        <v>35</v>
      </c>
      <c r="B23" s="295"/>
      <c r="C23" s="44">
        <v>70</v>
      </c>
      <c r="D23" s="296">
        <v>0.2</v>
      </c>
      <c r="E23" s="297"/>
      <c r="F23" s="298" t="s">
        <v>58</v>
      </c>
      <c r="G23" s="299"/>
      <c r="H23" s="4"/>
      <c r="I23" s="133" t="s">
        <v>66</v>
      </c>
      <c r="J23" s="134">
        <v>31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2</v>
      </c>
      <c r="AA23" s="73">
        <f>100-Z23</f>
        <v>98</v>
      </c>
      <c r="AB23" s="278"/>
      <c r="AC23" s="51" t="s">
        <v>32</v>
      </c>
      <c r="AD23" s="52">
        <v>43</v>
      </c>
      <c r="AE23" s="11">
        <v>21</v>
      </c>
      <c r="AF23" s="12">
        <f t="shared" si="0"/>
        <v>14</v>
      </c>
    </row>
    <row r="24" spans="1:32" ht="16.5" thickBot="1" x14ac:dyDescent="0.3">
      <c r="A24" s="294" t="s">
        <v>37</v>
      </c>
      <c r="B24" s="295"/>
      <c r="C24" s="44">
        <v>70</v>
      </c>
      <c r="D24" s="296">
        <v>0.15</v>
      </c>
      <c r="E24" s="297"/>
      <c r="F24" s="298" t="s">
        <v>58</v>
      </c>
      <c r="G24" s="299"/>
      <c r="H24" s="4"/>
      <c r="I24" s="136">
        <v>100</v>
      </c>
      <c r="J24" s="121">
        <f>I24-J23</f>
        <v>69</v>
      </c>
      <c r="K24" s="316">
        <f>J24/I24*100</f>
        <v>69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97.925000000000011</v>
      </c>
      <c r="AB24" s="278"/>
      <c r="AC24" s="51" t="s">
        <v>35</v>
      </c>
      <c r="AD24" s="52">
        <v>32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12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>
        <v>1.5</v>
      </c>
      <c r="AA26" s="70">
        <f>100-Z26</f>
        <v>98.5</v>
      </c>
      <c r="AB26" s="189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2.6</v>
      </c>
      <c r="AA27" s="73">
        <f>100-Z27</f>
        <v>97.4</v>
      </c>
      <c r="AB27" s="267">
        <v>0.20833333333333334</v>
      </c>
      <c r="AC27" s="62" t="s">
        <v>30</v>
      </c>
      <c r="AD27" s="50">
        <v>43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 t="s">
        <v>256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1.4</v>
      </c>
      <c r="AA28" s="73">
        <f>100-Z28</f>
        <v>98.6</v>
      </c>
      <c r="AB28" s="268"/>
      <c r="AC28" s="67" t="s">
        <v>32</v>
      </c>
      <c r="AD28" s="52">
        <v>42</v>
      </c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1.6</v>
      </c>
      <c r="AA29" s="73">
        <f>100-Z29</f>
        <v>98.4</v>
      </c>
      <c r="AB29" s="268"/>
      <c r="AC29" s="51" t="s">
        <v>35</v>
      </c>
      <c r="AD29" s="52">
        <v>32</v>
      </c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98.224999999999994</v>
      </c>
      <c r="AB30" s="269"/>
      <c r="AC30" s="74" t="s">
        <v>37</v>
      </c>
      <c r="AD30" s="58">
        <v>12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1.9</v>
      </c>
      <c r="AA32" s="70">
        <f>100-Z32</f>
        <v>98.1</v>
      </c>
      <c r="AB32" s="267">
        <v>0.29166666666666669</v>
      </c>
      <c r="AC32" s="62" t="s">
        <v>30</v>
      </c>
      <c r="AD32" s="50">
        <v>43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>
        <v>1.3</v>
      </c>
      <c r="AA33" s="73">
        <f>100-Z33</f>
        <v>98.7</v>
      </c>
      <c r="AB33" s="268"/>
      <c r="AC33" s="51" t="s">
        <v>32</v>
      </c>
      <c r="AD33" s="52">
        <v>43</v>
      </c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3.4</v>
      </c>
      <c r="AA34" s="73">
        <f>100-Z34</f>
        <v>96.6</v>
      </c>
      <c r="AB34" s="268"/>
      <c r="AC34" s="67" t="s">
        <v>35</v>
      </c>
      <c r="AD34" s="52">
        <v>32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1.9</v>
      </c>
      <c r="AA35" s="73">
        <f>100-Z35</f>
        <v>98.1</v>
      </c>
      <c r="AB35" s="269"/>
      <c r="AC35" s="74" t="s">
        <v>37</v>
      </c>
      <c r="AD35" s="58">
        <v>12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97.875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124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55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>
        <v>30</v>
      </c>
      <c r="E42" s="386"/>
      <c r="F42" s="387"/>
      <c r="G42" s="160"/>
      <c r="H42" s="397" t="s">
        <v>88</v>
      </c>
      <c r="I42" s="398"/>
      <c r="J42" s="164">
        <v>9.24</v>
      </c>
      <c r="K42" s="399">
        <v>9.16</v>
      </c>
      <c r="L42" s="400"/>
      <c r="M42" s="164">
        <v>8.9499999999999993</v>
      </c>
      <c r="N42" s="165">
        <v>9</v>
      </c>
      <c r="O42" s="165">
        <v>9.06</v>
      </c>
      <c r="P42" s="165">
        <v>9.02</v>
      </c>
      <c r="Q42" s="401">
        <f>AVERAGE(J42:P43)</f>
        <v>9.0716666666666654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187" t="s">
        <v>89</v>
      </c>
      <c r="B43" s="188"/>
      <c r="C43" s="188"/>
      <c r="D43" s="386">
        <v>1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149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193"/>
      <c r="X44" s="193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R44:V44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H33" sqref="H33:U33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7109375" customWidth="1"/>
    <col min="19" max="19" width="10.140625" customWidth="1"/>
    <col min="20" max="20" width="9.8554687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146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AE3*32/60</f>
        <v>0.53333333333333333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AE4*32/60</f>
        <v>1.0666666666666667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23.4</v>
      </c>
      <c r="Q5" s="29">
        <v>0</v>
      </c>
      <c r="R5" s="30">
        <v>38.515000000000001</v>
      </c>
      <c r="S5" s="30">
        <v>29</v>
      </c>
      <c r="T5" s="31">
        <v>13.37</v>
      </c>
      <c r="U5" s="32">
        <f>SUM(P5:T5)</f>
        <v>104.285</v>
      </c>
      <c r="V5" s="33">
        <v>3</v>
      </c>
      <c r="W5" s="21" t="s">
        <v>93</v>
      </c>
      <c r="X5" s="34">
        <f>'11.01.26см1'!Y5</f>
        <v>519252.10000000003</v>
      </c>
      <c r="Y5" s="34">
        <f>X5+P17</f>
        <v>519578.00000000006</v>
      </c>
      <c r="Z5" s="35">
        <f>Y5-X5</f>
        <v>325.90000000002328</v>
      </c>
      <c r="AA5" s="36">
        <v>1</v>
      </c>
      <c r="AB5" s="265"/>
      <c r="AC5" s="265"/>
      <c r="AD5" s="265"/>
      <c r="AE5" s="11">
        <v>3</v>
      </c>
      <c r="AF5" s="12">
        <f t="shared" si="0"/>
        <v>1.6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0</v>
      </c>
      <c r="Q6" s="29">
        <v>0</v>
      </c>
      <c r="R6" s="30">
        <v>37.213000000000001</v>
      </c>
      <c r="S6" s="30">
        <v>31</v>
      </c>
      <c r="T6" s="31">
        <v>13.14</v>
      </c>
      <c r="U6" s="32">
        <f t="shared" ref="U6:U16" si="1">SUM(P6:T6)</f>
        <v>81.352999999999994</v>
      </c>
      <c r="V6" s="44">
        <v>5</v>
      </c>
      <c r="W6" s="37" t="s">
        <v>94</v>
      </c>
      <c r="X6" s="45">
        <f>'11.01.26см1'!Y6</f>
        <v>816865.32499999995</v>
      </c>
      <c r="Y6" s="34">
        <f>X6+R17</f>
        <v>817356.56299999997</v>
      </c>
      <c r="Z6" s="46">
        <f>Y6-X6</f>
        <v>491.23800000001211</v>
      </c>
      <c r="AA6" s="47">
        <v>3</v>
      </c>
      <c r="AB6" s="265"/>
      <c r="AC6" s="265"/>
      <c r="AD6" s="266"/>
      <c r="AE6" s="11">
        <v>4</v>
      </c>
      <c r="AF6" s="12">
        <f t="shared" si="0"/>
        <v>2.1333333333333333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>
        <v>0</v>
      </c>
      <c r="Q7" s="29">
        <v>0</v>
      </c>
      <c r="R7" s="30">
        <v>40.5</v>
      </c>
      <c r="S7" s="30">
        <v>31</v>
      </c>
      <c r="T7" s="31">
        <v>12.69</v>
      </c>
      <c r="U7" s="32">
        <f t="shared" si="1"/>
        <v>84.19</v>
      </c>
      <c r="V7" s="44">
        <v>3</v>
      </c>
      <c r="W7" s="37" t="s">
        <v>95</v>
      </c>
      <c r="X7" s="48">
        <f>'11.01.26см1'!Y7</f>
        <v>509659</v>
      </c>
      <c r="Y7" s="34">
        <f>X7+S17</f>
        <v>510046</v>
      </c>
      <c r="Z7" s="46">
        <f>Y7-X7</f>
        <v>387</v>
      </c>
      <c r="AA7" s="47">
        <v>4</v>
      </c>
      <c r="AB7" s="267">
        <v>0.375</v>
      </c>
      <c r="AC7" s="49" t="s">
        <v>30</v>
      </c>
      <c r="AD7" s="50"/>
      <c r="AE7" s="11">
        <v>5</v>
      </c>
      <c r="AF7" s="12">
        <f t="shared" si="0"/>
        <v>2.6666666666666665</v>
      </c>
    </row>
    <row r="8" spans="1:32" ht="19.5" thickBot="1" x14ac:dyDescent="0.3">
      <c r="A8" s="37" t="s">
        <v>96</v>
      </c>
      <c r="B8" s="38"/>
      <c r="C8" s="39">
        <v>51</v>
      </c>
      <c r="D8" s="39">
        <v>73</v>
      </c>
      <c r="E8" s="40">
        <v>63</v>
      </c>
      <c r="F8" s="41">
        <v>58</v>
      </c>
      <c r="G8" s="42">
        <v>45</v>
      </c>
      <c r="H8" s="41">
        <v>38</v>
      </c>
      <c r="I8" s="42"/>
      <c r="J8" s="41"/>
      <c r="K8" s="38"/>
      <c r="L8" s="43">
        <v>52</v>
      </c>
      <c r="M8" s="40">
        <v>44</v>
      </c>
      <c r="N8" s="42">
        <v>51</v>
      </c>
      <c r="O8" s="41">
        <v>72</v>
      </c>
      <c r="P8" s="28">
        <v>0</v>
      </c>
      <c r="Q8" s="29">
        <v>0</v>
      </c>
      <c r="R8" s="30">
        <v>41</v>
      </c>
      <c r="S8" s="30">
        <v>33</v>
      </c>
      <c r="T8" s="31">
        <v>13.26</v>
      </c>
      <c r="U8" s="32">
        <f t="shared" si="1"/>
        <v>87.26</v>
      </c>
      <c r="V8" s="44">
        <v>6</v>
      </c>
      <c r="W8" s="37" t="s">
        <v>96</v>
      </c>
      <c r="X8" s="46">
        <f>'11.01.26см1'!Y8</f>
        <v>2918.3</v>
      </c>
      <c r="Y8" s="34">
        <f>X8+T17</f>
        <v>3064.8</v>
      </c>
      <c r="Z8" s="46">
        <f>T17</f>
        <v>146.5</v>
      </c>
      <c r="AA8" s="47">
        <v>5</v>
      </c>
      <c r="AB8" s="268"/>
      <c r="AC8" s="51" t="s">
        <v>32</v>
      </c>
      <c r="AD8" s="52">
        <v>41</v>
      </c>
      <c r="AE8" s="11">
        <v>6</v>
      </c>
      <c r="AF8" s="12">
        <f t="shared" si="0"/>
        <v>3.2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13.8</v>
      </c>
      <c r="Q9" s="29">
        <v>0</v>
      </c>
      <c r="R9" s="30">
        <v>42</v>
      </c>
      <c r="S9" s="30">
        <v>31</v>
      </c>
      <c r="T9" s="31">
        <v>12.58</v>
      </c>
      <c r="U9" s="32">
        <f t="shared" si="1"/>
        <v>99.38</v>
      </c>
      <c r="V9" s="44">
        <v>6</v>
      </c>
      <c r="W9" s="37" t="s">
        <v>97</v>
      </c>
      <c r="X9" s="270" t="s">
        <v>34</v>
      </c>
      <c r="Y9" s="271"/>
      <c r="Z9" s="54">
        <f>SUM(Z5:Z8)</f>
        <v>1350.6380000000354</v>
      </c>
      <c r="AA9" s="55"/>
      <c r="AB9" s="268"/>
      <c r="AC9" s="51" t="s">
        <v>35</v>
      </c>
      <c r="AD9" s="52">
        <v>30</v>
      </c>
      <c r="AE9" s="11">
        <v>7</v>
      </c>
      <c r="AF9" s="12">
        <f t="shared" si="0"/>
        <v>3.7333333333333334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38.700000000000003</v>
      </c>
      <c r="Q10" s="29">
        <v>0</v>
      </c>
      <c r="R10" s="30">
        <v>42.91</v>
      </c>
      <c r="S10" s="30">
        <v>34</v>
      </c>
      <c r="T10" s="31">
        <v>11.91</v>
      </c>
      <c r="U10" s="32">
        <f t="shared" si="1"/>
        <v>127.52</v>
      </c>
      <c r="V10" s="44">
        <v>3</v>
      </c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11</v>
      </c>
      <c r="AE10" s="11">
        <v>8</v>
      </c>
      <c r="AF10" s="12">
        <f t="shared" si="0"/>
        <v>4.2666666666666666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41</v>
      </c>
      <c r="Q11" s="29">
        <v>0</v>
      </c>
      <c r="R11" s="30">
        <v>42</v>
      </c>
      <c r="S11" s="30">
        <v>31</v>
      </c>
      <c r="T11" s="31">
        <v>13.37</v>
      </c>
      <c r="U11" s="32">
        <f t="shared" si="1"/>
        <v>127.37</v>
      </c>
      <c r="V11" s="44">
        <v>2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4.8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40</v>
      </c>
      <c r="Q12" s="29">
        <v>0</v>
      </c>
      <c r="R12" s="30">
        <v>34.1</v>
      </c>
      <c r="S12" s="30">
        <v>27</v>
      </c>
      <c r="T12" s="31">
        <v>11.39</v>
      </c>
      <c r="U12" s="32">
        <f t="shared" si="1"/>
        <v>112.49</v>
      </c>
      <c r="V12" s="44">
        <v>3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/>
      <c r="AE12" s="11">
        <v>10</v>
      </c>
      <c r="AF12" s="12">
        <f t="shared" si="0"/>
        <v>5.333333333333333</v>
      </c>
    </row>
    <row r="13" spans="1:32" ht="19.5" thickBot="1" x14ac:dyDescent="0.35">
      <c r="A13" s="37" t="s">
        <v>101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>
        <v>42</v>
      </c>
      <c r="Q13" s="29">
        <v>0</v>
      </c>
      <c r="R13" s="30">
        <v>43</v>
      </c>
      <c r="S13" s="30">
        <v>37</v>
      </c>
      <c r="T13" s="31">
        <v>11.66</v>
      </c>
      <c r="U13" s="32">
        <f t="shared" si="1"/>
        <v>133.66</v>
      </c>
      <c r="V13" s="44">
        <v>6</v>
      </c>
      <c r="W13" s="37" t="s">
        <v>101</v>
      </c>
      <c r="X13" s="63" t="s">
        <v>9</v>
      </c>
      <c r="Y13" s="214" t="s">
        <v>25</v>
      </c>
      <c r="Z13" s="60" t="s">
        <v>42</v>
      </c>
      <c r="AA13" s="215" t="s">
        <v>43</v>
      </c>
      <c r="AB13" s="268"/>
      <c r="AC13" s="67" t="s">
        <v>32</v>
      </c>
      <c r="AD13" s="52">
        <v>40</v>
      </c>
      <c r="AE13" s="11">
        <v>11</v>
      </c>
      <c r="AF13" s="12">
        <f t="shared" si="0"/>
        <v>5.8666666666666663</v>
      </c>
    </row>
    <row r="14" spans="1:32" ht="16.5" thickBot="1" x14ac:dyDescent="0.3">
      <c r="A14" s="37" t="s">
        <v>102</v>
      </c>
      <c r="B14" s="38">
        <v>74</v>
      </c>
      <c r="C14" s="39">
        <v>61</v>
      </c>
      <c r="D14" s="39">
        <v>73</v>
      </c>
      <c r="E14" s="40">
        <v>63</v>
      </c>
      <c r="F14" s="41">
        <v>65</v>
      </c>
      <c r="G14" s="42">
        <v>51</v>
      </c>
      <c r="H14" s="41">
        <v>40</v>
      </c>
      <c r="I14" s="42"/>
      <c r="J14" s="41"/>
      <c r="K14" s="38">
        <v>58</v>
      </c>
      <c r="L14" s="43">
        <v>62</v>
      </c>
      <c r="M14" s="40">
        <v>50</v>
      </c>
      <c r="N14" s="42">
        <v>48</v>
      </c>
      <c r="O14" s="41">
        <v>71</v>
      </c>
      <c r="P14" s="53">
        <v>42</v>
      </c>
      <c r="Q14" s="29">
        <v>0</v>
      </c>
      <c r="R14" s="30">
        <v>44</v>
      </c>
      <c r="S14" s="30">
        <v>35</v>
      </c>
      <c r="T14" s="31">
        <v>9.15</v>
      </c>
      <c r="U14" s="32">
        <f t="shared" si="1"/>
        <v>130.15</v>
      </c>
      <c r="V14" s="44">
        <v>4</v>
      </c>
      <c r="W14" s="37" t="s">
        <v>102</v>
      </c>
      <c r="X14" s="280">
        <v>0.41666666666666669</v>
      </c>
      <c r="Y14" s="192" t="s">
        <v>45</v>
      </c>
      <c r="Z14" s="217"/>
      <c r="AA14" s="212">
        <f>100-Z14</f>
        <v>100</v>
      </c>
      <c r="AB14" s="278"/>
      <c r="AC14" s="51" t="s">
        <v>35</v>
      </c>
      <c r="AD14" s="52">
        <v>30</v>
      </c>
      <c r="AE14" s="11">
        <v>12</v>
      </c>
      <c r="AF14" s="12">
        <f t="shared" si="0"/>
        <v>6.4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41</v>
      </c>
      <c r="Q15" s="29">
        <v>0</v>
      </c>
      <c r="R15" s="30">
        <v>43</v>
      </c>
      <c r="S15" s="30">
        <v>33</v>
      </c>
      <c r="T15" s="31">
        <v>11.73</v>
      </c>
      <c r="U15" s="32">
        <f t="shared" si="1"/>
        <v>128.72999999999999</v>
      </c>
      <c r="V15" s="44">
        <v>4</v>
      </c>
      <c r="W15" s="37" t="s">
        <v>103</v>
      </c>
      <c r="X15" s="281"/>
      <c r="Y15" s="71" t="s">
        <v>47</v>
      </c>
      <c r="Z15" s="145">
        <v>1.6</v>
      </c>
      <c r="AA15" s="213">
        <f>100-Z15</f>
        <v>98.4</v>
      </c>
      <c r="AB15" s="279"/>
      <c r="AC15" s="74" t="s">
        <v>37</v>
      </c>
      <c r="AD15" s="58">
        <v>11</v>
      </c>
      <c r="AE15" s="11">
        <v>13</v>
      </c>
      <c r="AF15" s="12">
        <f t="shared" si="0"/>
        <v>6.9333333333333336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44</v>
      </c>
      <c r="Q16" s="29">
        <v>0</v>
      </c>
      <c r="R16" s="30">
        <v>43</v>
      </c>
      <c r="S16" s="30">
        <v>35</v>
      </c>
      <c r="T16" s="82">
        <v>12.25</v>
      </c>
      <c r="U16" s="32">
        <f t="shared" si="1"/>
        <v>134.25</v>
      </c>
      <c r="V16" s="83">
        <v>4</v>
      </c>
      <c r="W16" s="75" t="s">
        <v>104</v>
      </c>
      <c r="X16" s="281"/>
      <c r="Y16" s="71" t="s">
        <v>49</v>
      </c>
      <c r="Z16" s="145">
        <v>1.2</v>
      </c>
      <c r="AA16" s="213">
        <f>100-Z16</f>
        <v>98.8</v>
      </c>
      <c r="AB16" s="190"/>
      <c r="AC16" s="85"/>
      <c r="AD16" s="86"/>
      <c r="AE16" s="11">
        <v>14</v>
      </c>
      <c r="AF16" s="12">
        <f t="shared" si="0"/>
        <v>7.4666666666666668</v>
      </c>
    </row>
    <row r="17" spans="1:32" ht="16.5" thickBot="1" x14ac:dyDescent="0.3">
      <c r="A17" s="87" t="s">
        <v>50</v>
      </c>
      <c r="B17" s="88">
        <f>AVERAGE(B5:B15)</f>
        <v>74</v>
      </c>
      <c r="C17" s="88">
        <f>AVERAGE(C5:C16)</f>
        <v>56</v>
      </c>
      <c r="D17" s="88">
        <f>AVERAGE(D5:D15)</f>
        <v>73</v>
      </c>
      <c r="E17" s="88">
        <f>AVERAGE(E5:E15)</f>
        <v>63</v>
      </c>
      <c r="F17" s="88">
        <f>AVERAGE(F5:F15)</f>
        <v>61.5</v>
      </c>
      <c r="G17" s="88">
        <f>AVERAGE(G5:G16)</f>
        <v>48</v>
      </c>
      <c r="H17" s="88">
        <f>AVERAGE(H5:H16)</f>
        <v>39</v>
      </c>
      <c r="I17" s="88" t="e">
        <f t="shared" ref="I17:N17" si="2">AVERAGE(I5:I15)</f>
        <v>#DIV/0!</v>
      </c>
      <c r="J17" s="88" t="e">
        <f t="shared" si="2"/>
        <v>#DIV/0!</v>
      </c>
      <c r="K17" s="88">
        <f t="shared" si="2"/>
        <v>58</v>
      </c>
      <c r="L17" s="88">
        <f t="shared" si="2"/>
        <v>57</v>
      </c>
      <c r="M17" s="89">
        <f t="shared" si="2"/>
        <v>47</v>
      </c>
      <c r="N17" s="89">
        <f t="shared" si="2"/>
        <v>49.5</v>
      </c>
      <c r="O17" s="89">
        <f>AVERAGE(O5:O16)</f>
        <v>71.5</v>
      </c>
      <c r="P17" s="90">
        <f>SUM(P5:P16)</f>
        <v>325.89999999999998</v>
      </c>
      <c r="Q17" s="91">
        <f>SUM(Q5:Q16)</f>
        <v>0</v>
      </c>
      <c r="R17" s="92">
        <f>SUM(R5:R16)</f>
        <v>491.23800000000006</v>
      </c>
      <c r="S17" s="93">
        <f>SUM(S5:S16)</f>
        <v>387</v>
      </c>
      <c r="T17" s="93">
        <f>SUM(T5:T16)</f>
        <v>146.5</v>
      </c>
      <c r="U17" s="94">
        <f>SUM(P17:T17)</f>
        <v>1350.6379999999999</v>
      </c>
      <c r="V17" s="1">
        <f>SUM(V5:V16)</f>
        <v>49</v>
      </c>
      <c r="W17" s="4"/>
      <c r="X17" s="281"/>
      <c r="Y17" s="71" t="s">
        <v>51</v>
      </c>
      <c r="Z17" s="216">
        <v>1.9</v>
      </c>
      <c r="AA17" s="213">
        <f>100-Z17</f>
        <v>98.1</v>
      </c>
      <c r="AB17" s="283">
        <v>0.54166666666666663</v>
      </c>
      <c r="AC17" s="62" t="s">
        <v>30</v>
      </c>
      <c r="AD17" s="50">
        <v>39</v>
      </c>
      <c r="AE17" s="11">
        <v>15</v>
      </c>
      <c r="AF17" s="12">
        <f t="shared" si="0"/>
        <v>8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(AA15+AA16+AA17)/3</f>
        <v>98.433333333333323</v>
      </c>
      <c r="AB18" s="278"/>
      <c r="AC18" s="51" t="s">
        <v>32</v>
      </c>
      <c r="AD18" s="52">
        <v>42</v>
      </c>
      <c r="AE18" s="11">
        <v>16</v>
      </c>
      <c r="AF18" s="12">
        <f t="shared" si="0"/>
        <v>8.5333333333333332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257</v>
      </c>
      <c r="J19" s="259"/>
      <c r="K19" s="259"/>
      <c r="L19" s="260"/>
      <c r="M19" s="261" t="s">
        <v>57</v>
      </c>
      <c r="N19" s="262"/>
      <c r="O19" s="263"/>
      <c r="P19" s="105">
        <v>2.4</v>
      </c>
      <c r="Q19" s="106"/>
      <c r="R19" s="107">
        <v>2.4</v>
      </c>
      <c r="S19" s="107">
        <v>2.6</v>
      </c>
      <c r="T19" s="107">
        <v>2.2000000000000002</v>
      </c>
      <c r="U19" s="108">
        <f>(U17-U20)/U17*100</f>
        <v>2.4356127992844758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34</v>
      </c>
      <c r="AE19" s="11">
        <v>17</v>
      </c>
      <c r="AF19" s="12">
        <f t="shared" si="0"/>
        <v>9.0666666666666664</v>
      </c>
    </row>
    <row r="20" spans="1:32" ht="16.5" thickBot="1" x14ac:dyDescent="0.3">
      <c r="A20" s="294" t="s">
        <v>61</v>
      </c>
      <c r="B20" s="295"/>
      <c r="C20" s="44">
        <v>70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318.07839999999999</v>
      </c>
      <c r="Q20" s="113"/>
      <c r="R20" s="114">
        <f>(R17-(R17*R19/100))</f>
        <v>479.44828800000005</v>
      </c>
      <c r="S20" s="112">
        <f>(S17-(S17*S19/100))</f>
        <v>376.93799999999999</v>
      </c>
      <c r="T20" s="112">
        <f>(T17-(T17*T19/100))</f>
        <v>143.27699999999999</v>
      </c>
      <c r="U20" s="115">
        <f>P20+Q20+R20+S20+T20</f>
        <v>1317.7416880000001</v>
      </c>
      <c r="V20" s="4" t="s">
        <v>65</v>
      </c>
      <c r="W20" s="4"/>
      <c r="X20" s="281"/>
      <c r="Y20" s="192" t="s">
        <v>45</v>
      </c>
      <c r="Z20" s="69"/>
      <c r="AA20" s="70">
        <f>100-Z20</f>
        <v>100</v>
      </c>
      <c r="AB20" s="279"/>
      <c r="AC20" s="74" t="s">
        <v>37</v>
      </c>
      <c r="AD20" s="58">
        <v>11</v>
      </c>
      <c r="AE20" s="11">
        <v>18</v>
      </c>
      <c r="AF20" s="12">
        <f t="shared" si="0"/>
        <v>9.6</v>
      </c>
    </row>
    <row r="21" spans="1:32" ht="19.5" thickBot="1" x14ac:dyDescent="0.3">
      <c r="A21" s="294" t="s">
        <v>32</v>
      </c>
      <c r="B21" s="295"/>
      <c r="C21" s="44">
        <v>20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46</v>
      </c>
      <c r="K21" s="118"/>
      <c r="L21" s="119"/>
      <c r="M21" s="307" t="s">
        <v>63</v>
      </c>
      <c r="N21" s="308"/>
      <c r="O21" s="309"/>
      <c r="P21" s="120">
        <f>(U17-(U17*U19/100))</f>
        <v>1317.7416880000001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1.9</v>
      </c>
      <c r="AA21" s="73">
        <f>100-Z21</f>
        <v>98.1</v>
      </c>
      <c r="AB21" s="190"/>
      <c r="AC21" s="124"/>
      <c r="AD21" s="86"/>
      <c r="AE21" s="11">
        <v>19</v>
      </c>
      <c r="AF21" s="12">
        <f t="shared" si="0"/>
        <v>10.133333333333333</v>
      </c>
    </row>
    <row r="22" spans="1:32" ht="16.5" thickBot="1" x14ac:dyDescent="0.3">
      <c r="A22" s="294" t="s">
        <v>35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54</v>
      </c>
      <c r="K22" s="316">
        <f>J22/I22*100</f>
        <v>54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1.1000000000000001</v>
      </c>
      <c r="AA22" s="73">
        <f>100-Z22</f>
        <v>98.9</v>
      </c>
      <c r="AB22" s="283">
        <v>0.625</v>
      </c>
      <c r="AC22" s="49" t="s">
        <v>30</v>
      </c>
      <c r="AD22" s="50">
        <v>41</v>
      </c>
      <c r="AE22" s="11">
        <v>20</v>
      </c>
      <c r="AF22" s="12">
        <f t="shared" si="0"/>
        <v>10.666666666666666</v>
      </c>
    </row>
    <row r="23" spans="1:32" ht="16.5" thickBot="1" x14ac:dyDescent="0.3">
      <c r="A23" s="294" t="s">
        <v>37</v>
      </c>
      <c r="B23" s="295"/>
      <c r="C23" s="44">
        <v>70</v>
      </c>
      <c r="D23" s="296">
        <v>0.2</v>
      </c>
      <c r="E23" s="297"/>
      <c r="F23" s="298" t="s">
        <v>58</v>
      </c>
      <c r="G23" s="299"/>
      <c r="H23" s="4"/>
      <c r="I23" s="133" t="s">
        <v>66</v>
      </c>
      <c r="J23" s="134">
        <v>29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1.5</v>
      </c>
      <c r="AA23" s="73">
        <f>100-Z23</f>
        <v>98.5</v>
      </c>
      <c r="AB23" s="278"/>
      <c r="AC23" s="51" t="s">
        <v>32</v>
      </c>
      <c r="AD23" s="52">
        <v>42</v>
      </c>
      <c r="AE23" s="11">
        <v>21</v>
      </c>
      <c r="AF23" s="12">
        <f t="shared" si="0"/>
        <v>11.2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71</v>
      </c>
      <c r="K24" s="316">
        <f>J24/I24*100</f>
        <v>71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(AA21+AA22+AA23)/3</f>
        <v>98.5</v>
      </c>
      <c r="AB24" s="278"/>
      <c r="AC24" s="51" t="s">
        <v>35</v>
      </c>
      <c r="AD24" s="52">
        <v>30</v>
      </c>
      <c r="AE24" s="11">
        <v>22</v>
      </c>
      <c r="AF24" s="12">
        <f t="shared" si="0"/>
        <v>11.733333333333333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12</v>
      </c>
      <c r="AE25" s="11">
        <v>23</v>
      </c>
      <c r="AF25" s="12">
        <f t="shared" si="0"/>
        <v>12.266666666666667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1.1000000000000001</v>
      </c>
      <c r="AA26" s="70">
        <f>100-Z26</f>
        <v>98.9</v>
      </c>
      <c r="AB26" s="189"/>
      <c r="AC26" s="124"/>
      <c r="AD26" s="86"/>
      <c r="AE26" s="11">
        <v>24</v>
      </c>
      <c r="AF26" s="12">
        <f t="shared" si="0"/>
        <v>12.8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1.6</v>
      </c>
      <c r="AA27" s="73">
        <f>100-Z27</f>
        <v>98.4</v>
      </c>
      <c r="AB27" s="267">
        <v>0.70833333333333337</v>
      </c>
      <c r="AC27" s="62" t="s">
        <v>30</v>
      </c>
      <c r="AD27" s="50">
        <v>42</v>
      </c>
      <c r="AE27" s="11">
        <v>25</v>
      </c>
      <c r="AF27" s="12">
        <f t="shared" si="0"/>
        <v>13.333333333333334</v>
      </c>
    </row>
    <row r="28" spans="1:32" ht="18.75" customHeight="1" thickBot="1" x14ac:dyDescent="0.35">
      <c r="A28" s="411"/>
      <c r="B28" s="412"/>
      <c r="C28" s="182"/>
      <c r="D28" s="403"/>
      <c r="E28" s="404"/>
      <c r="F28" s="409"/>
      <c r="G28" s="410"/>
      <c r="H28" s="345" t="s">
        <v>258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1.2</v>
      </c>
      <c r="AA28" s="73">
        <f>100-Z28</f>
        <v>98.8</v>
      </c>
      <c r="AB28" s="268"/>
      <c r="AC28" s="67" t="s">
        <v>32</v>
      </c>
      <c r="AD28" s="52">
        <v>43</v>
      </c>
      <c r="AE28" s="11">
        <v>26</v>
      </c>
      <c r="AF28" s="12">
        <f t="shared" si="0"/>
        <v>13.866666666666667</v>
      </c>
    </row>
    <row r="29" spans="1:32" ht="18.75" customHeight="1" thickBot="1" x14ac:dyDescent="0.35">
      <c r="A29" s="411" t="s">
        <v>30</v>
      </c>
      <c r="B29" s="412"/>
      <c r="C29" s="182">
        <v>0.375</v>
      </c>
      <c r="D29" s="403">
        <v>0.52638888888888891</v>
      </c>
      <c r="E29" s="404"/>
      <c r="F29" s="409" t="s">
        <v>261</v>
      </c>
      <c r="G29" s="410"/>
      <c r="H29" s="345" t="s">
        <v>259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0.9</v>
      </c>
      <c r="AA29" s="73">
        <f>100-Z29</f>
        <v>99.1</v>
      </c>
      <c r="AB29" s="268"/>
      <c r="AC29" s="51" t="s">
        <v>35</v>
      </c>
      <c r="AD29" s="52">
        <v>37</v>
      </c>
      <c r="AE29" s="11">
        <v>27</v>
      </c>
      <c r="AF29" s="12">
        <f t="shared" si="0"/>
        <v>14.4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45" t="s">
        <v>260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98.800000000000011</v>
      </c>
      <c r="AB30" s="269"/>
      <c r="AC30" s="74" t="s">
        <v>37</v>
      </c>
      <c r="AD30" s="58">
        <v>12</v>
      </c>
      <c r="AE30" s="11">
        <v>28</v>
      </c>
      <c r="AF30" s="12">
        <f t="shared" si="0"/>
        <v>14.933333333333334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440" t="s">
        <v>262</v>
      </c>
      <c r="I31" s="354"/>
      <c r="J31" s="354"/>
      <c r="K31" s="354"/>
      <c r="L31" s="354"/>
      <c r="M31" s="354"/>
      <c r="N31" s="354"/>
      <c r="O31" s="354"/>
      <c r="P31" s="354"/>
      <c r="Q31" s="354"/>
      <c r="R31" s="354"/>
      <c r="S31" s="354"/>
      <c r="T31" s="354"/>
      <c r="U31" s="355"/>
      <c r="V31" s="4"/>
      <c r="W31" s="96"/>
      <c r="X31" s="280">
        <v>0.70833333333333337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15.466666666666667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 t="s">
        <v>263</v>
      </c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2.5</v>
      </c>
      <c r="AA32" s="70">
        <f>100-Z32</f>
        <v>97.5</v>
      </c>
      <c r="AB32" s="267">
        <v>0.79166666666666663</v>
      </c>
      <c r="AC32" s="62" t="s">
        <v>30</v>
      </c>
      <c r="AD32" s="50">
        <v>41</v>
      </c>
      <c r="AE32" s="11">
        <v>30</v>
      </c>
      <c r="AF32" s="12">
        <f t="shared" si="0"/>
        <v>16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 t="s">
        <v>264</v>
      </c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>
        <v>2.7</v>
      </c>
      <c r="AA33" s="73">
        <f>100-Z33</f>
        <v>97.3</v>
      </c>
      <c r="AB33" s="268"/>
      <c r="AC33" s="51" t="s">
        <v>32</v>
      </c>
      <c r="AD33" s="52">
        <v>43</v>
      </c>
      <c r="AE33" s="11">
        <v>31</v>
      </c>
      <c r="AF33" s="12">
        <f t="shared" si="0"/>
        <v>16.533333333333335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1.2</v>
      </c>
      <c r="AA34" s="73">
        <f>100-Z34</f>
        <v>98.8</v>
      </c>
      <c r="AB34" s="268"/>
      <c r="AC34" s="67" t="s">
        <v>35</v>
      </c>
      <c r="AD34" s="52">
        <v>33</v>
      </c>
      <c r="AE34" s="11">
        <v>32</v>
      </c>
      <c r="AF34" s="12">
        <f t="shared" si="0"/>
        <v>17.066666666666666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V35" t="s">
        <v>65</v>
      </c>
      <c r="X35" s="413"/>
      <c r="Y35" s="44" t="s">
        <v>51</v>
      </c>
      <c r="Z35" s="150">
        <v>3.7</v>
      </c>
      <c r="AA35" s="73">
        <f>100-Z35</f>
        <v>96.3</v>
      </c>
      <c r="AB35" s="269"/>
      <c r="AC35" s="74" t="s">
        <v>37</v>
      </c>
      <c r="AD35" s="58">
        <v>10</v>
      </c>
      <c r="AE35" s="11">
        <v>33</v>
      </c>
      <c r="AF35" s="12">
        <f t="shared" si="0"/>
        <v>17.600000000000001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97.475000000000009</v>
      </c>
      <c r="AB36" s="59"/>
      <c r="AC36" s="57"/>
      <c r="AD36" s="153"/>
      <c r="AE36" s="11">
        <v>34</v>
      </c>
      <c r="AF36" s="12">
        <f t="shared" si="0"/>
        <v>18.133333333333333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18.666666666666668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19.2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19.733333333333334</v>
      </c>
    </row>
    <row r="40" spans="1:32" ht="19.5" thickBot="1" x14ac:dyDescent="0.3">
      <c r="A40" s="359" t="s">
        <v>81</v>
      </c>
      <c r="B40" s="360"/>
      <c r="C40" s="360"/>
      <c r="D40" s="361">
        <f>'11.01.26см1'!D44:F44</f>
        <v>149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20.266666666666666</v>
      </c>
    </row>
    <row r="41" spans="1:32" ht="19.5" thickBot="1" x14ac:dyDescent="0.3">
      <c r="A41" s="364" t="s">
        <v>82</v>
      </c>
      <c r="B41" s="365"/>
      <c r="C41" s="365"/>
      <c r="D41" s="366">
        <f>V17</f>
        <v>49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20.8</v>
      </c>
    </row>
    <row r="42" spans="1:32" ht="19.5" thickBot="1" x14ac:dyDescent="0.35">
      <c r="A42" s="364" t="s">
        <v>87</v>
      </c>
      <c r="B42" s="365"/>
      <c r="C42" s="365"/>
      <c r="D42" s="386">
        <v>142</v>
      </c>
      <c r="E42" s="386"/>
      <c r="F42" s="387"/>
      <c r="G42" s="160"/>
      <c r="H42" s="397" t="s">
        <v>88</v>
      </c>
      <c r="I42" s="398"/>
      <c r="J42" s="164">
        <v>9.16</v>
      </c>
      <c r="K42" s="399">
        <v>9.69</v>
      </c>
      <c r="L42" s="400"/>
      <c r="M42" s="164">
        <v>9.24</v>
      </c>
      <c r="N42" s="165">
        <v>9.11</v>
      </c>
      <c r="O42" s="165">
        <v>9.66</v>
      </c>
      <c r="P42" s="165">
        <v>9.34</v>
      </c>
      <c r="Q42" s="401">
        <f>AVERAGE(J42:P43)</f>
        <v>9.3666666666666671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21.333333333333332</v>
      </c>
    </row>
    <row r="43" spans="1:32" ht="21" thickBot="1" x14ac:dyDescent="0.35">
      <c r="A43" s="187" t="s">
        <v>89</v>
      </c>
      <c r="B43" s="188"/>
      <c r="C43" s="188"/>
      <c r="D43" s="386">
        <v>7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21.866666666666667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56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193" t="s">
        <v>92</v>
      </c>
      <c r="S44" s="193"/>
      <c r="T44" s="193"/>
      <c r="U44" s="193"/>
      <c r="V44" s="193"/>
      <c r="W44" s="193"/>
      <c r="X44" s="193"/>
      <c r="AA44" s="178"/>
      <c r="AB44" s="179"/>
      <c r="AE44" s="11">
        <v>42</v>
      </c>
      <c r="AF44" s="12">
        <f t="shared" si="0"/>
        <v>22.4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24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24.533333333333335</v>
      </c>
    </row>
    <row r="47" spans="1:32" ht="15.75" thickBot="1" x14ac:dyDescent="0.3">
      <c r="AE47" s="11">
        <v>47</v>
      </c>
      <c r="AF47" s="12">
        <f t="shared" si="0"/>
        <v>25.066666666666666</v>
      </c>
    </row>
    <row r="48" spans="1:32" ht="15.75" thickBot="1" x14ac:dyDescent="0.3">
      <c r="AE48" s="11">
        <v>48</v>
      </c>
      <c r="AF48" s="12">
        <f t="shared" si="0"/>
        <v>25.6</v>
      </c>
    </row>
    <row r="49" spans="31:32" ht="15.75" thickBot="1" x14ac:dyDescent="0.3">
      <c r="AE49" s="11">
        <v>49</v>
      </c>
      <c r="AF49" s="12">
        <f t="shared" si="0"/>
        <v>26.133333333333333</v>
      </c>
    </row>
    <row r="50" spans="31:32" ht="15.75" thickBot="1" x14ac:dyDescent="0.3">
      <c r="AE50" s="11">
        <v>50</v>
      </c>
      <c r="AF50" s="12">
        <f t="shared" si="0"/>
        <v>26.666666666666668</v>
      </c>
    </row>
    <row r="51" spans="31:32" ht="15.75" thickBot="1" x14ac:dyDescent="0.3">
      <c r="AE51" s="11">
        <v>51</v>
      </c>
      <c r="AF51" s="12">
        <f t="shared" si="0"/>
        <v>27.2</v>
      </c>
    </row>
    <row r="52" spans="31:32" ht="15.75" thickBot="1" x14ac:dyDescent="0.3">
      <c r="AE52" s="11">
        <v>52</v>
      </c>
      <c r="AF52" s="12">
        <f t="shared" si="0"/>
        <v>27.733333333333334</v>
      </c>
    </row>
    <row r="53" spans="31:32" ht="15.75" thickBot="1" x14ac:dyDescent="0.3">
      <c r="AE53" s="11">
        <v>53</v>
      </c>
      <c r="AF53" s="12">
        <f t="shared" si="0"/>
        <v>28.266666666666666</v>
      </c>
    </row>
    <row r="54" spans="31:32" ht="15.75" thickBot="1" x14ac:dyDescent="0.3">
      <c r="AE54" s="11">
        <v>54</v>
      </c>
      <c r="AF54" s="12">
        <f t="shared" si="0"/>
        <v>28.8</v>
      </c>
    </row>
    <row r="55" spans="31:32" ht="15.75" thickBot="1" x14ac:dyDescent="0.3">
      <c r="AE55" s="11">
        <v>55</v>
      </c>
      <c r="AF55" s="12">
        <f t="shared" si="0"/>
        <v>29.333333333333332</v>
      </c>
    </row>
    <row r="56" spans="31:32" ht="15.75" thickBot="1" x14ac:dyDescent="0.3">
      <c r="AE56" s="11">
        <v>56</v>
      </c>
      <c r="AF56" s="12">
        <f t="shared" si="0"/>
        <v>29.866666666666667</v>
      </c>
    </row>
    <row r="57" spans="31:32" ht="15.75" thickBot="1" x14ac:dyDescent="0.3">
      <c r="AE57" s="11">
        <v>57</v>
      </c>
      <c r="AF57" s="12">
        <f t="shared" si="0"/>
        <v>30.4</v>
      </c>
    </row>
    <row r="58" spans="31:32" ht="15.75" thickBot="1" x14ac:dyDescent="0.3">
      <c r="AE58" s="11">
        <v>58</v>
      </c>
      <c r="AF58" s="12">
        <f t="shared" si="0"/>
        <v>30.933333333333334</v>
      </c>
    </row>
    <row r="59" spans="31:32" ht="15.75" thickBot="1" x14ac:dyDescent="0.3">
      <c r="AE59" s="11">
        <v>59</v>
      </c>
      <c r="AF59" s="12">
        <f t="shared" si="0"/>
        <v>31.466666666666665</v>
      </c>
    </row>
    <row r="60" spans="31:32" ht="15.75" thickBot="1" x14ac:dyDescent="0.3">
      <c r="AE60" s="11">
        <v>60</v>
      </c>
      <c r="AF60" s="12">
        <f t="shared" si="0"/>
        <v>32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AB44" sqref="AB44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5703125" customWidth="1"/>
    <col min="17" max="17" width="10.42578125" customWidth="1"/>
    <col min="18" max="18" width="10.140625" customWidth="1"/>
    <col min="19" max="19" width="10" customWidth="1"/>
    <col min="20" max="20" width="10.5703125" customWidth="1"/>
    <col min="21" max="21" width="10.140625" customWidth="1"/>
    <col min="22" max="22" width="10.28515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3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148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39</v>
      </c>
      <c r="Q5" s="29">
        <v>0</v>
      </c>
      <c r="R5" s="30">
        <v>41.945999999999998</v>
      </c>
      <c r="S5" s="30">
        <v>33</v>
      </c>
      <c r="T5" s="31">
        <v>12.42</v>
      </c>
      <c r="U5" s="32">
        <f>SUM(P5:T5)</f>
        <v>126.366</v>
      </c>
      <c r="V5" s="33">
        <v>3</v>
      </c>
      <c r="W5" s="21" t="s">
        <v>27</v>
      </c>
      <c r="X5" s="34">
        <v>519534.1</v>
      </c>
      <c r="Y5" s="34">
        <f>X5+P17</f>
        <v>520001.3</v>
      </c>
      <c r="Z5" s="35">
        <f>Y5-X5</f>
        <v>467.20000000001164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40.200000000000003</v>
      </c>
      <c r="Q6" s="29">
        <v>0</v>
      </c>
      <c r="R6" s="30">
        <v>41.325000000000003</v>
      </c>
      <c r="S6" s="30">
        <v>32</v>
      </c>
      <c r="T6" s="31">
        <v>12.43</v>
      </c>
      <c r="U6" s="32">
        <f t="shared" ref="U6:U16" si="1">SUM(P6:T6)</f>
        <v>125.95500000000001</v>
      </c>
      <c r="V6" s="44">
        <v>4</v>
      </c>
      <c r="W6" s="37" t="s">
        <v>28</v>
      </c>
      <c r="X6" s="45">
        <v>817304.61800000002</v>
      </c>
      <c r="Y6" s="34">
        <f>X6+R17</f>
        <v>817801.44400000002</v>
      </c>
      <c r="Z6" s="46">
        <f>Y6-X6</f>
        <v>496.82600000000093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>
        <v>68</v>
      </c>
      <c r="C7" s="39">
        <v>62</v>
      </c>
      <c r="D7" s="39">
        <v>71</v>
      </c>
      <c r="E7" s="40">
        <v>63</v>
      </c>
      <c r="F7" s="41">
        <v>63</v>
      </c>
      <c r="G7" s="42">
        <v>41</v>
      </c>
      <c r="H7" s="41">
        <v>33</v>
      </c>
      <c r="I7" s="42">
        <v>40</v>
      </c>
      <c r="J7" s="41">
        <v>30</v>
      </c>
      <c r="K7" s="38">
        <v>43</v>
      </c>
      <c r="L7" s="43">
        <v>59</v>
      </c>
      <c r="M7" s="40">
        <v>51</v>
      </c>
      <c r="N7" s="42">
        <v>56</v>
      </c>
      <c r="O7" s="41">
        <v>73</v>
      </c>
      <c r="P7" s="28">
        <v>40</v>
      </c>
      <c r="Q7" s="29">
        <v>0</v>
      </c>
      <c r="R7" s="30">
        <v>41.6</v>
      </c>
      <c r="S7" s="30">
        <v>31</v>
      </c>
      <c r="T7" s="31">
        <v>11.83</v>
      </c>
      <c r="U7" s="32">
        <f t="shared" si="1"/>
        <v>124.42999999999999</v>
      </c>
      <c r="V7" s="44">
        <v>3</v>
      </c>
      <c r="W7" s="37" t="s">
        <v>29</v>
      </c>
      <c r="X7" s="48">
        <v>510034</v>
      </c>
      <c r="Y7" s="34">
        <f>X7+S17</f>
        <v>510435</v>
      </c>
      <c r="Z7" s="46">
        <f>Y7-X7</f>
        <v>401</v>
      </c>
      <c r="AA7" s="47">
        <v>4</v>
      </c>
      <c r="AB7" s="267">
        <v>0.875</v>
      </c>
      <c r="AC7" s="49" t="s">
        <v>30</v>
      </c>
      <c r="AD7" s="50">
        <v>41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40.200000000000003</v>
      </c>
      <c r="Q8" s="29">
        <v>0</v>
      </c>
      <c r="R8" s="30">
        <v>42.482999999999997</v>
      </c>
      <c r="S8" s="30">
        <v>35</v>
      </c>
      <c r="T8" s="31">
        <v>12.14</v>
      </c>
      <c r="U8" s="32">
        <f t="shared" si="1"/>
        <v>129.82299999999998</v>
      </c>
      <c r="V8" s="44">
        <v>3</v>
      </c>
      <c r="W8" s="37" t="s">
        <v>31</v>
      </c>
      <c r="X8" s="46">
        <v>3064.8</v>
      </c>
      <c r="Y8" s="34">
        <f>X8+T17</f>
        <v>3211.67</v>
      </c>
      <c r="Z8" s="46">
        <f>T17</f>
        <v>146.87</v>
      </c>
      <c r="AA8" s="47">
        <v>5</v>
      </c>
      <c r="AB8" s="268"/>
      <c r="AC8" s="51" t="s">
        <v>32</v>
      </c>
      <c r="AD8" s="52">
        <v>42</v>
      </c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40.200000000000003</v>
      </c>
      <c r="Q9" s="29">
        <v>0</v>
      </c>
      <c r="R9" s="30">
        <v>42.015000000000001</v>
      </c>
      <c r="S9" s="30">
        <v>35</v>
      </c>
      <c r="T9" s="31">
        <v>11.75</v>
      </c>
      <c r="U9" s="32">
        <f t="shared" si="1"/>
        <v>128.965</v>
      </c>
      <c r="V9" s="44">
        <v>5</v>
      </c>
      <c r="W9" s="37" t="s">
        <v>33</v>
      </c>
      <c r="X9" s="270" t="s">
        <v>34</v>
      </c>
      <c r="Y9" s="271"/>
      <c r="Z9" s="54">
        <f>SUM(Z5:Z8)</f>
        <v>1511.8960000000125</v>
      </c>
      <c r="AA9" s="55"/>
      <c r="AB9" s="268"/>
      <c r="AC9" s="51" t="s">
        <v>35</v>
      </c>
      <c r="AD9" s="52">
        <v>34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40.5</v>
      </c>
      <c r="Q10" s="29">
        <v>0</v>
      </c>
      <c r="R10" s="30">
        <v>41.65</v>
      </c>
      <c r="S10" s="30">
        <v>35</v>
      </c>
      <c r="T10" s="31">
        <v>12.2</v>
      </c>
      <c r="U10" s="32">
        <f t="shared" si="1"/>
        <v>129.35</v>
      </c>
      <c r="V10" s="44">
        <v>4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12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40.799999999999997</v>
      </c>
      <c r="Q11" s="29">
        <v>0</v>
      </c>
      <c r="R11" s="30">
        <v>31.611999999999998</v>
      </c>
      <c r="S11" s="30">
        <v>32</v>
      </c>
      <c r="T11" s="31">
        <v>12.07</v>
      </c>
      <c r="U11" s="32">
        <f t="shared" si="1"/>
        <v>116.482</v>
      </c>
      <c r="V11" s="44">
        <v>4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40.200000000000003</v>
      </c>
      <c r="Q12" s="29">
        <v>0</v>
      </c>
      <c r="R12" s="30">
        <v>42.634</v>
      </c>
      <c r="S12" s="30">
        <v>33</v>
      </c>
      <c r="T12" s="31">
        <v>11.58</v>
      </c>
      <c r="U12" s="32">
        <f t="shared" si="1"/>
        <v>127.414</v>
      </c>
      <c r="V12" s="44">
        <v>5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42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>
        <v>65</v>
      </c>
      <c r="C13" s="39">
        <v>62</v>
      </c>
      <c r="D13" s="39">
        <v>73</v>
      </c>
      <c r="E13" s="40">
        <v>60</v>
      </c>
      <c r="F13" s="41">
        <v>65</v>
      </c>
      <c r="G13" s="42">
        <v>46</v>
      </c>
      <c r="H13" s="41">
        <v>37</v>
      </c>
      <c r="I13" s="42">
        <v>35</v>
      </c>
      <c r="J13" s="41">
        <v>26</v>
      </c>
      <c r="K13" s="38">
        <v>44</v>
      </c>
      <c r="L13" s="43">
        <v>59</v>
      </c>
      <c r="M13" s="40">
        <v>55</v>
      </c>
      <c r="N13" s="42">
        <v>52</v>
      </c>
      <c r="O13" s="41">
        <v>67</v>
      </c>
      <c r="P13" s="53">
        <v>30.9</v>
      </c>
      <c r="Q13" s="29">
        <v>0</v>
      </c>
      <c r="R13" s="30">
        <v>43.747999999999998</v>
      </c>
      <c r="S13" s="30">
        <v>35</v>
      </c>
      <c r="T13" s="31">
        <v>12.79</v>
      </c>
      <c r="U13" s="32">
        <f t="shared" si="1"/>
        <v>122.43799999999999</v>
      </c>
      <c r="V13" s="44">
        <v>4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42</v>
      </c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34.299999999999997</v>
      </c>
      <c r="Q14" s="29">
        <v>0</v>
      </c>
      <c r="R14" s="30">
        <v>44.607999999999997</v>
      </c>
      <c r="S14" s="30">
        <v>33</v>
      </c>
      <c r="T14" s="31">
        <v>12.91</v>
      </c>
      <c r="U14" s="32">
        <f t="shared" si="1"/>
        <v>124.81799999999998</v>
      </c>
      <c r="V14" s="44">
        <v>5</v>
      </c>
      <c r="W14" s="37" t="s">
        <v>44</v>
      </c>
      <c r="X14" s="280">
        <v>0.91666666666666663</v>
      </c>
      <c r="Y14" s="210" t="s">
        <v>45</v>
      </c>
      <c r="Z14" s="69">
        <v>0.8</v>
      </c>
      <c r="AA14" s="70">
        <f>100-Z14</f>
        <v>99.2</v>
      </c>
      <c r="AB14" s="278"/>
      <c r="AC14" s="51" t="s">
        <v>35</v>
      </c>
      <c r="AD14" s="52">
        <v>32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42.7</v>
      </c>
      <c r="Q15" s="29">
        <v>0</v>
      </c>
      <c r="R15" s="30">
        <v>43.066000000000003</v>
      </c>
      <c r="S15" s="30">
        <v>35</v>
      </c>
      <c r="T15" s="31">
        <v>12.58</v>
      </c>
      <c r="U15" s="32">
        <f t="shared" si="1"/>
        <v>133.346</v>
      </c>
      <c r="V15" s="44">
        <v>4</v>
      </c>
      <c r="W15" s="37" t="s">
        <v>46</v>
      </c>
      <c r="X15" s="281"/>
      <c r="Y15" s="71" t="s">
        <v>47</v>
      </c>
      <c r="Z15" s="72">
        <v>3</v>
      </c>
      <c r="AA15" s="73">
        <f>100-Z15</f>
        <v>97</v>
      </c>
      <c r="AB15" s="279"/>
      <c r="AC15" s="74" t="s">
        <v>37</v>
      </c>
      <c r="AD15" s="58">
        <v>12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38.200000000000003</v>
      </c>
      <c r="Q16" s="29">
        <v>0</v>
      </c>
      <c r="R16" s="30">
        <v>40.139000000000003</v>
      </c>
      <c r="S16" s="30">
        <v>32</v>
      </c>
      <c r="T16" s="82">
        <v>12.17</v>
      </c>
      <c r="U16" s="32">
        <f t="shared" si="1"/>
        <v>122.509</v>
      </c>
      <c r="V16" s="83">
        <v>7</v>
      </c>
      <c r="W16" s="75" t="s">
        <v>48</v>
      </c>
      <c r="X16" s="281"/>
      <c r="Y16" s="71" t="s">
        <v>49</v>
      </c>
      <c r="Z16" s="72">
        <v>2.8</v>
      </c>
      <c r="AA16" s="73">
        <f>100-Z16</f>
        <v>97.2</v>
      </c>
      <c r="AB16" s="190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66.5</v>
      </c>
      <c r="C17" s="88">
        <f>AVERAGE(C5:C16)</f>
        <v>62</v>
      </c>
      <c r="D17" s="88">
        <f>AVERAGE(D5:D15)</f>
        <v>72</v>
      </c>
      <c r="E17" s="88">
        <f>AVERAGE(E5:E15)</f>
        <v>61.5</v>
      </c>
      <c r="F17" s="88">
        <f>AVERAGE(F5:F15)</f>
        <v>64</v>
      </c>
      <c r="G17" s="88">
        <f>AVERAGE(G5:G16)</f>
        <v>43.5</v>
      </c>
      <c r="H17" s="88">
        <f>AVERAGE(H5:H16)</f>
        <v>35</v>
      </c>
      <c r="I17" s="88">
        <f t="shared" ref="I17:N17" si="2">AVERAGE(I5:I15)</f>
        <v>37.5</v>
      </c>
      <c r="J17" s="88">
        <f t="shared" si="2"/>
        <v>28</v>
      </c>
      <c r="K17" s="88">
        <f t="shared" si="2"/>
        <v>43.5</v>
      </c>
      <c r="L17" s="88">
        <f t="shared" si="2"/>
        <v>59</v>
      </c>
      <c r="M17" s="89">
        <f t="shared" si="2"/>
        <v>53</v>
      </c>
      <c r="N17" s="89">
        <f t="shared" si="2"/>
        <v>54</v>
      </c>
      <c r="O17" s="89">
        <f>AVERAGE(O5:O16)</f>
        <v>70</v>
      </c>
      <c r="P17" s="90">
        <f>SUM(P5:P16)</f>
        <v>467.2</v>
      </c>
      <c r="Q17" s="91">
        <f>SUM(Q5:Q16)</f>
        <v>0</v>
      </c>
      <c r="R17" s="92">
        <f>SUM(R5:R16)</f>
        <v>496.82600000000002</v>
      </c>
      <c r="S17" s="93">
        <f>SUM(S5:S16)</f>
        <v>401</v>
      </c>
      <c r="T17" s="93">
        <f>SUM(T5:T16)</f>
        <v>146.87</v>
      </c>
      <c r="U17" s="94">
        <f>SUM(P17:T17)</f>
        <v>1511.8960000000002</v>
      </c>
      <c r="V17" s="1">
        <f>SUM(V5:V16)</f>
        <v>51</v>
      </c>
      <c r="W17" s="4"/>
      <c r="X17" s="281"/>
      <c r="Y17" s="71" t="s">
        <v>51</v>
      </c>
      <c r="Z17" s="72">
        <v>0.9</v>
      </c>
      <c r="AA17" s="73">
        <f>100-Z17</f>
        <v>99.1</v>
      </c>
      <c r="AB17" s="283">
        <v>4.1666666666666664E-2</v>
      </c>
      <c r="AC17" s="62" t="s">
        <v>30</v>
      </c>
      <c r="AD17" s="50">
        <v>41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98.125</v>
      </c>
      <c r="AB18" s="278"/>
      <c r="AC18" s="51" t="s">
        <v>32</v>
      </c>
      <c r="AD18" s="52">
        <v>42</v>
      </c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149</v>
      </c>
      <c r="J19" s="259"/>
      <c r="K19" s="259"/>
      <c r="L19" s="260"/>
      <c r="M19" s="261" t="s">
        <v>57</v>
      </c>
      <c r="N19" s="262"/>
      <c r="O19" s="263"/>
      <c r="P19" s="105">
        <v>2.6</v>
      </c>
      <c r="Q19" s="106"/>
      <c r="R19" s="107">
        <v>2.4</v>
      </c>
      <c r="S19" s="107">
        <v>2.2000000000000002</v>
      </c>
      <c r="T19" s="107">
        <v>2.9</v>
      </c>
      <c r="U19" s="108">
        <f>(U17-U20)/U17*100</f>
        <v>2.4573286786922055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33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61</v>
      </c>
      <c r="B20" s="295"/>
      <c r="C20" s="44">
        <v>20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455.05279999999999</v>
      </c>
      <c r="Q20" s="113"/>
      <c r="R20" s="114">
        <f>(R17-(R17*R19/100))</f>
        <v>484.902176</v>
      </c>
      <c r="S20" s="112">
        <f>(S17-(S17*S19/100))</f>
        <v>392.178</v>
      </c>
      <c r="T20" s="112">
        <f>(T17-(T17*T19/100))</f>
        <v>142.61077</v>
      </c>
      <c r="U20" s="115">
        <f>P20+Q20+R20+S20+T20</f>
        <v>1474.7437459999999</v>
      </c>
      <c r="V20" s="4"/>
      <c r="W20" s="4"/>
      <c r="X20" s="281"/>
      <c r="Y20" s="210" t="s">
        <v>45</v>
      </c>
      <c r="Z20" s="69">
        <v>1.5</v>
      </c>
      <c r="AA20" s="70">
        <f>100-Z20</f>
        <v>98.5</v>
      </c>
      <c r="AB20" s="279"/>
      <c r="AC20" s="74" t="s">
        <v>37</v>
      </c>
      <c r="AD20" s="58">
        <v>11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32</v>
      </c>
      <c r="B21" s="295"/>
      <c r="C21" s="44">
        <v>70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50</v>
      </c>
      <c r="K21" s="118"/>
      <c r="L21" s="119"/>
      <c r="M21" s="307" t="s">
        <v>63</v>
      </c>
      <c r="N21" s="308"/>
      <c r="O21" s="309"/>
      <c r="P21" s="120">
        <f>(U17-(U17*U19/100))</f>
        <v>1474.7437459999999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3</v>
      </c>
      <c r="AA21" s="73">
        <f>100-Z21</f>
        <v>97</v>
      </c>
      <c r="AB21" s="190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35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50</v>
      </c>
      <c r="K22" s="316">
        <f>J22/I22*100</f>
        <v>50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5.2</v>
      </c>
      <c r="AA22" s="73">
        <f>100-Z22</f>
        <v>94.8</v>
      </c>
      <c r="AB22" s="283">
        <v>0.125</v>
      </c>
      <c r="AC22" s="49" t="s">
        <v>30</v>
      </c>
      <c r="AD22" s="50">
        <v>41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 t="s">
        <v>37</v>
      </c>
      <c r="B23" s="295"/>
      <c r="C23" s="44">
        <v>70</v>
      </c>
      <c r="D23" s="296">
        <v>0.15</v>
      </c>
      <c r="E23" s="297"/>
      <c r="F23" s="298" t="s">
        <v>58</v>
      </c>
      <c r="G23" s="299"/>
      <c r="H23" s="4"/>
      <c r="I23" s="133" t="s">
        <v>66</v>
      </c>
      <c r="J23" s="134">
        <v>28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1.2</v>
      </c>
      <c r="AA23" s="73">
        <f>100-Z23</f>
        <v>98.8</v>
      </c>
      <c r="AB23" s="278"/>
      <c r="AC23" s="51" t="s">
        <v>32</v>
      </c>
      <c r="AD23" s="52">
        <v>41</v>
      </c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72</v>
      </c>
      <c r="K24" s="316">
        <f>J24/I24*100</f>
        <v>72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97.275000000000006</v>
      </c>
      <c r="AB24" s="278"/>
      <c r="AC24" s="51" t="s">
        <v>35</v>
      </c>
      <c r="AD24" s="52">
        <v>12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32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>
        <v>0.9</v>
      </c>
      <c r="AA26" s="70">
        <f>100-Z26</f>
        <v>99.1</v>
      </c>
      <c r="AB26" s="189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3.3</v>
      </c>
      <c r="AA27" s="73">
        <f>100-Z27</f>
        <v>96.7</v>
      </c>
      <c r="AB27" s="267">
        <v>0.20833333333333334</v>
      </c>
      <c r="AC27" s="62" t="s">
        <v>30</v>
      </c>
      <c r="AD27" s="50">
        <v>42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 t="s">
        <v>265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2.9</v>
      </c>
      <c r="AA28" s="73">
        <f>100-Z28</f>
        <v>97.1</v>
      </c>
      <c r="AB28" s="268"/>
      <c r="AC28" s="67" t="s">
        <v>32</v>
      </c>
      <c r="AD28" s="52">
        <v>41</v>
      </c>
      <c r="AE28" s="11">
        <v>26</v>
      </c>
      <c r="AF28" s="12">
        <f t="shared" si="0"/>
        <v>17.333333333333332</v>
      </c>
    </row>
    <row r="29" spans="1:32" ht="21" thickBot="1" x14ac:dyDescent="0.35">
      <c r="A29" s="407" t="s">
        <v>30</v>
      </c>
      <c r="B29" s="408"/>
      <c r="C29" s="182">
        <v>0.1986111111111111</v>
      </c>
      <c r="D29" s="403">
        <v>0.20694444444444446</v>
      </c>
      <c r="E29" s="404"/>
      <c r="F29" s="409" t="s">
        <v>266</v>
      </c>
      <c r="G29" s="410"/>
      <c r="H29" s="345" t="s">
        <v>267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2.9</v>
      </c>
      <c r="AA29" s="73">
        <f>100-Z29</f>
        <v>97.1</v>
      </c>
      <c r="AB29" s="268"/>
      <c r="AC29" s="51" t="s">
        <v>35</v>
      </c>
      <c r="AD29" s="52">
        <v>33</v>
      </c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97.5</v>
      </c>
      <c r="AB30" s="269"/>
      <c r="AC30" s="74" t="s">
        <v>37</v>
      </c>
      <c r="AD30" s="58">
        <v>12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1.1000000000000001</v>
      </c>
      <c r="AA32" s="70">
        <f>100-Z32</f>
        <v>98.9</v>
      </c>
      <c r="AB32" s="267">
        <v>0.29166666666666669</v>
      </c>
      <c r="AC32" s="62" t="s">
        <v>30</v>
      </c>
      <c r="AD32" s="50">
        <v>43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>
        <v>1.6</v>
      </c>
      <c r="AA33" s="73">
        <f>100-Z33</f>
        <v>98.4</v>
      </c>
      <c r="AB33" s="268"/>
      <c r="AC33" s="51" t="s">
        <v>32</v>
      </c>
      <c r="AD33" s="52">
        <v>44</v>
      </c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1.5</v>
      </c>
      <c r="AA34" s="73">
        <f>100-Z34</f>
        <v>98.5</v>
      </c>
      <c r="AB34" s="268"/>
      <c r="AC34" s="67" t="s">
        <v>35</v>
      </c>
      <c r="AD34" s="52">
        <v>33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1.9</v>
      </c>
      <c r="AA35" s="73">
        <f>100-Z35</f>
        <v>98.1</v>
      </c>
      <c r="AB35" s="269"/>
      <c r="AC35" s="74" t="s">
        <v>37</v>
      </c>
      <c r="AD35" s="58">
        <v>12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98.474999999999994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56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51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>
        <v>20</v>
      </c>
      <c r="E42" s="386"/>
      <c r="F42" s="387"/>
      <c r="G42" s="160"/>
      <c r="H42" s="397" t="s">
        <v>88</v>
      </c>
      <c r="I42" s="398"/>
      <c r="J42" s="164">
        <v>9.0299999999999994</v>
      </c>
      <c r="K42" s="399">
        <v>9.09</v>
      </c>
      <c r="L42" s="400"/>
      <c r="M42" s="164">
        <v>8.98</v>
      </c>
      <c r="N42" s="165">
        <v>8.9</v>
      </c>
      <c r="O42" s="165">
        <v>9.06</v>
      </c>
      <c r="P42" s="165">
        <v>9.09</v>
      </c>
      <c r="Q42" s="401">
        <f>AVERAGE(J42:P43)</f>
        <v>9.0250000000000004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187" t="s">
        <v>89</v>
      </c>
      <c r="B43" s="188"/>
      <c r="C43" s="188"/>
      <c r="D43" s="386">
        <v>1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87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193"/>
      <c r="X44" s="193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W27" sqref="W27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7109375" customWidth="1"/>
    <col min="19" max="19" width="10.140625" customWidth="1"/>
    <col min="20" max="20" width="9.8554687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148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37</v>
      </c>
      <c r="Q5" s="29">
        <v>0</v>
      </c>
      <c r="R5" s="30">
        <v>20.256</v>
      </c>
      <c r="S5" s="30">
        <v>0</v>
      </c>
      <c r="T5" s="31">
        <v>10.17</v>
      </c>
      <c r="U5" s="32">
        <f>SUM(P5:T5)</f>
        <v>67.426000000000002</v>
      </c>
      <c r="V5" s="33"/>
      <c r="W5" s="21" t="s">
        <v>93</v>
      </c>
      <c r="X5" s="34">
        <f>'12.01.26см1'!Y5</f>
        <v>520001.3</v>
      </c>
      <c r="Y5" s="34">
        <f>X5+P17</f>
        <v>520483.6</v>
      </c>
      <c r="Z5" s="35">
        <f>Y5-X5</f>
        <v>482.29999999998836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35.6</v>
      </c>
      <c r="Q6" s="29">
        <v>0</v>
      </c>
      <c r="R6" s="30">
        <v>34.704999999999998</v>
      </c>
      <c r="S6" s="30">
        <v>0</v>
      </c>
      <c r="T6" s="31">
        <v>12.21</v>
      </c>
      <c r="U6" s="32">
        <f t="shared" ref="U6:U16" si="1">SUM(P6:T6)</f>
        <v>82.515000000000015</v>
      </c>
      <c r="V6" s="44">
        <v>2</v>
      </c>
      <c r="W6" s="37" t="s">
        <v>94</v>
      </c>
      <c r="X6" s="45">
        <f>'12.01.26см1'!Y6</f>
        <v>817801.44400000002</v>
      </c>
      <c r="Y6" s="34">
        <f>X6+R17</f>
        <v>818280.74400000006</v>
      </c>
      <c r="Z6" s="46">
        <f>Y6-X6</f>
        <v>479.30000000004657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>
        <v>59</v>
      </c>
      <c r="C7" s="39">
        <v>45</v>
      </c>
      <c r="D7" s="39">
        <v>72</v>
      </c>
      <c r="E7" s="40"/>
      <c r="F7" s="41">
        <v>61</v>
      </c>
      <c r="G7" s="42">
        <v>42</v>
      </c>
      <c r="H7" s="41">
        <v>35</v>
      </c>
      <c r="I7" s="42"/>
      <c r="J7" s="41"/>
      <c r="K7" s="38">
        <v>56</v>
      </c>
      <c r="L7" s="43">
        <v>54</v>
      </c>
      <c r="M7" s="40">
        <v>50</v>
      </c>
      <c r="N7" s="42">
        <v>58</v>
      </c>
      <c r="O7" s="41">
        <v>85</v>
      </c>
      <c r="P7" s="28">
        <v>43</v>
      </c>
      <c r="Q7" s="29">
        <v>0</v>
      </c>
      <c r="R7" s="30">
        <v>43</v>
      </c>
      <c r="S7" s="30">
        <v>0</v>
      </c>
      <c r="T7" s="31">
        <v>12.31</v>
      </c>
      <c r="U7" s="32">
        <f t="shared" si="1"/>
        <v>98.31</v>
      </c>
      <c r="V7" s="44">
        <v>4</v>
      </c>
      <c r="W7" s="37" t="s">
        <v>95</v>
      </c>
      <c r="X7" s="48">
        <f>'12.01.26см1'!Y7</f>
        <v>510435</v>
      </c>
      <c r="Y7" s="34">
        <f>X7+S17</f>
        <v>510535</v>
      </c>
      <c r="Z7" s="46">
        <f>Y7-X7</f>
        <v>100</v>
      </c>
      <c r="AA7" s="47">
        <v>4</v>
      </c>
      <c r="AB7" s="267">
        <v>0.375</v>
      </c>
      <c r="AC7" s="49" t="s">
        <v>30</v>
      </c>
      <c r="AD7" s="50">
        <v>42</v>
      </c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42</v>
      </c>
      <c r="Q8" s="29">
        <v>0</v>
      </c>
      <c r="R8" s="30">
        <v>43</v>
      </c>
      <c r="S8" s="30">
        <v>0</v>
      </c>
      <c r="T8" s="31">
        <v>11.98</v>
      </c>
      <c r="U8" s="32">
        <f t="shared" si="1"/>
        <v>96.98</v>
      </c>
      <c r="V8" s="44">
        <v>4</v>
      </c>
      <c r="W8" s="37" t="s">
        <v>96</v>
      </c>
      <c r="X8" s="46">
        <f>'12.01.26см1'!Y8</f>
        <v>3211.67</v>
      </c>
      <c r="Y8" s="34">
        <f>X8+T17</f>
        <v>3356.71</v>
      </c>
      <c r="Z8" s="46">
        <f>T17</f>
        <v>145.04</v>
      </c>
      <c r="AA8" s="47">
        <v>5</v>
      </c>
      <c r="AB8" s="268"/>
      <c r="AC8" s="51" t="s">
        <v>32</v>
      </c>
      <c r="AD8" s="52">
        <v>41</v>
      </c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41</v>
      </c>
      <c r="Q9" s="29">
        <v>0</v>
      </c>
      <c r="R9" s="30">
        <v>42</v>
      </c>
      <c r="S9" s="30">
        <v>0</v>
      </c>
      <c r="T9" s="31">
        <v>12.33</v>
      </c>
      <c r="U9" s="32">
        <f t="shared" si="1"/>
        <v>95.33</v>
      </c>
      <c r="V9" s="44">
        <v>2</v>
      </c>
      <c r="W9" s="37" t="s">
        <v>97</v>
      </c>
      <c r="X9" s="270" t="s">
        <v>34</v>
      </c>
      <c r="Y9" s="271"/>
      <c r="Z9" s="54">
        <f>SUM(Z5:Z8)</f>
        <v>1206.6400000000349</v>
      </c>
      <c r="AA9" s="55"/>
      <c r="AB9" s="268"/>
      <c r="AC9" s="51" t="s">
        <v>35</v>
      </c>
      <c r="AD9" s="52"/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41</v>
      </c>
      <c r="Q10" s="29">
        <v>0</v>
      </c>
      <c r="R10" s="30">
        <v>43</v>
      </c>
      <c r="S10" s="30">
        <v>0</v>
      </c>
      <c r="T10" s="31">
        <v>12.4</v>
      </c>
      <c r="U10" s="32">
        <f t="shared" si="1"/>
        <v>96.4</v>
      </c>
      <c r="V10" s="44">
        <v>3</v>
      </c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11</v>
      </c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42</v>
      </c>
      <c r="Q11" s="29">
        <v>0</v>
      </c>
      <c r="R11" s="30">
        <v>43</v>
      </c>
      <c r="S11" s="30">
        <v>0</v>
      </c>
      <c r="T11" s="31">
        <v>12.38</v>
      </c>
      <c r="U11" s="32">
        <f t="shared" si="1"/>
        <v>97.38</v>
      </c>
      <c r="V11" s="44">
        <v>4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41</v>
      </c>
      <c r="Q12" s="29">
        <v>0</v>
      </c>
      <c r="R12" s="30">
        <v>42</v>
      </c>
      <c r="S12" s="30">
        <v>0</v>
      </c>
      <c r="T12" s="31">
        <v>12.99</v>
      </c>
      <c r="U12" s="32">
        <f t="shared" si="1"/>
        <v>95.99</v>
      </c>
      <c r="V12" s="44">
        <v>4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>
        <v>43</v>
      </c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>
        <v>64</v>
      </c>
      <c r="C13" s="39">
        <v>46</v>
      </c>
      <c r="D13" s="39">
        <v>79</v>
      </c>
      <c r="E13" s="40"/>
      <c r="F13" s="41">
        <v>58</v>
      </c>
      <c r="G13" s="42">
        <v>41</v>
      </c>
      <c r="H13" s="41">
        <v>36</v>
      </c>
      <c r="I13" s="42"/>
      <c r="J13" s="41"/>
      <c r="K13" s="38">
        <v>51</v>
      </c>
      <c r="L13" s="43">
        <v>58</v>
      </c>
      <c r="M13" s="40">
        <v>46</v>
      </c>
      <c r="N13" s="42">
        <v>56</v>
      </c>
      <c r="O13" s="41">
        <v>81</v>
      </c>
      <c r="P13" s="53">
        <v>41</v>
      </c>
      <c r="Q13" s="29">
        <v>0</v>
      </c>
      <c r="R13" s="30">
        <v>41</v>
      </c>
      <c r="S13" s="30">
        <v>14</v>
      </c>
      <c r="T13" s="31">
        <v>12.24</v>
      </c>
      <c r="U13" s="32">
        <f t="shared" si="1"/>
        <v>108.24</v>
      </c>
      <c r="V13" s="44">
        <v>5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43</v>
      </c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38.299999999999997</v>
      </c>
      <c r="Q14" s="29">
        <v>0</v>
      </c>
      <c r="R14" s="30">
        <v>40.890999999999998</v>
      </c>
      <c r="S14" s="30">
        <v>26</v>
      </c>
      <c r="T14" s="31">
        <v>12.29</v>
      </c>
      <c r="U14" s="32">
        <f t="shared" si="1"/>
        <v>117.48099999999999</v>
      </c>
      <c r="V14" s="44">
        <v>3</v>
      </c>
      <c r="W14" s="37" t="s">
        <v>102</v>
      </c>
      <c r="X14" s="280">
        <v>0.41666666666666669</v>
      </c>
      <c r="Y14" s="192" t="s">
        <v>45</v>
      </c>
      <c r="Z14" s="69">
        <v>3.4</v>
      </c>
      <c r="AA14" s="70">
        <f>100-Z14</f>
        <v>96.6</v>
      </c>
      <c r="AB14" s="278"/>
      <c r="AC14" s="51" t="s">
        <v>35</v>
      </c>
      <c r="AD14" s="52"/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38.5</v>
      </c>
      <c r="Q15" s="29">
        <v>0</v>
      </c>
      <c r="R15" s="30">
        <v>43.375999999999998</v>
      </c>
      <c r="S15" s="30">
        <v>27</v>
      </c>
      <c r="T15" s="31">
        <v>11.33</v>
      </c>
      <c r="U15" s="32">
        <f t="shared" si="1"/>
        <v>120.206</v>
      </c>
      <c r="V15" s="44">
        <v>4</v>
      </c>
      <c r="W15" s="37" t="s">
        <v>103</v>
      </c>
      <c r="X15" s="281"/>
      <c r="Y15" s="71" t="s">
        <v>47</v>
      </c>
      <c r="Z15" s="72">
        <v>3.8</v>
      </c>
      <c r="AA15" s="73">
        <f>100-Z15</f>
        <v>96.2</v>
      </c>
      <c r="AB15" s="279"/>
      <c r="AC15" s="74" t="s">
        <v>37</v>
      </c>
      <c r="AD15" s="58">
        <v>11</v>
      </c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41.9</v>
      </c>
      <c r="Q16" s="29">
        <v>0</v>
      </c>
      <c r="R16" s="30">
        <v>43.072000000000003</v>
      </c>
      <c r="S16" s="30">
        <v>33</v>
      </c>
      <c r="T16" s="82">
        <v>12.41</v>
      </c>
      <c r="U16" s="32">
        <f t="shared" si="1"/>
        <v>130.38200000000001</v>
      </c>
      <c r="V16" s="83">
        <v>5</v>
      </c>
      <c r="W16" s="75" t="s">
        <v>104</v>
      </c>
      <c r="X16" s="281"/>
      <c r="Y16" s="71" t="s">
        <v>49</v>
      </c>
      <c r="Z16" s="72"/>
      <c r="AA16" s="73">
        <f>100-Z16</f>
        <v>100</v>
      </c>
      <c r="AB16" s="190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>
        <f>AVERAGE(B5:B15)</f>
        <v>61.5</v>
      </c>
      <c r="C17" s="88">
        <f>AVERAGE(C5:C16)</f>
        <v>45.5</v>
      </c>
      <c r="D17" s="88">
        <f>AVERAGE(D5:D15)</f>
        <v>75.5</v>
      </c>
      <c r="E17" s="88" t="e">
        <f>AVERAGE(E5:E15)</f>
        <v>#DIV/0!</v>
      </c>
      <c r="F17" s="88">
        <f>AVERAGE(F5:F15)</f>
        <v>59.5</v>
      </c>
      <c r="G17" s="88">
        <f>AVERAGE(G5:G16)</f>
        <v>41.5</v>
      </c>
      <c r="H17" s="88">
        <f>AVERAGE(H5:H16)</f>
        <v>35.5</v>
      </c>
      <c r="I17" s="88" t="e">
        <f t="shared" ref="I17:N17" si="2">AVERAGE(I5:I15)</f>
        <v>#DIV/0!</v>
      </c>
      <c r="J17" s="88" t="e">
        <f t="shared" si="2"/>
        <v>#DIV/0!</v>
      </c>
      <c r="K17" s="88">
        <f t="shared" si="2"/>
        <v>53.5</v>
      </c>
      <c r="L17" s="88">
        <f t="shared" si="2"/>
        <v>56</v>
      </c>
      <c r="M17" s="89">
        <f t="shared" si="2"/>
        <v>48</v>
      </c>
      <c r="N17" s="89">
        <f t="shared" si="2"/>
        <v>57</v>
      </c>
      <c r="O17" s="89">
        <f>AVERAGE(O5:O16)</f>
        <v>83</v>
      </c>
      <c r="P17" s="90">
        <f>SUM(P5:P16)</f>
        <v>482.3</v>
      </c>
      <c r="Q17" s="91">
        <f>SUM(Q5:Q16)</f>
        <v>0</v>
      </c>
      <c r="R17" s="92">
        <f>SUM(R5:R16)</f>
        <v>479.3</v>
      </c>
      <c r="S17" s="93">
        <f>SUM(S5:S16)</f>
        <v>100</v>
      </c>
      <c r="T17" s="93">
        <f>SUM(T5:T16)</f>
        <v>145.04</v>
      </c>
      <c r="U17" s="94">
        <f>SUM(P17:T17)</f>
        <v>1206.6399999999999</v>
      </c>
      <c r="V17" s="1">
        <f>SUM(V5:V16)</f>
        <v>40</v>
      </c>
      <c r="W17" s="4"/>
      <c r="X17" s="281"/>
      <c r="Y17" s="71" t="s">
        <v>51</v>
      </c>
      <c r="Z17" s="95">
        <v>2.5</v>
      </c>
      <c r="AA17" s="73">
        <f>100-Z17</f>
        <v>97.5</v>
      </c>
      <c r="AB17" s="283">
        <v>0.54166666666666663</v>
      </c>
      <c r="AC17" s="62" t="s">
        <v>30</v>
      </c>
      <c r="AD17" s="50">
        <v>41</v>
      </c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(AA14+AA15+AA16)/3</f>
        <v>97.600000000000009</v>
      </c>
      <c r="AB18" s="278"/>
      <c r="AC18" s="51" t="s">
        <v>32</v>
      </c>
      <c r="AD18" s="52">
        <v>42</v>
      </c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268</v>
      </c>
      <c r="J19" s="259"/>
      <c r="K19" s="259"/>
      <c r="L19" s="260"/>
      <c r="M19" s="261" t="s">
        <v>57</v>
      </c>
      <c r="N19" s="262"/>
      <c r="O19" s="263"/>
      <c r="P19" s="105">
        <v>1.5</v>
      </c>
      <c r="Q19" s="106"/>
      <c r="R19" s="197">
        <v>2</v>
      </c>
      <c r="S19" s="107"/>
      <c r="T19" s="107">
        <v>3.8</v>
      </c>
      <c r="U19" s="108">
        <v>2.4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3.1166666666666667</v>
      </c>
    </row>
    <row r="20" spans="1:32" ht="16.5" thickBot="1" x14ac:dyDescent="0.3">
      <c r="A20" s="294" t="s">
        <v>30</v>
      </c>
      <c r="B20" s="295"/>
      <c r="C20" s="44">
        <v>70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475.06549999999999</v>
      </c>
      <c r="Q20" s="113"/>
      <c r="R20" s="114">
        <f>(R17-(R17*R19/100))</f>
        <v>469.714</v>
      </c>
      <c r="S20" s="112">
        <f>(S17-(S17*S19/100))</f>
        <v>100</v>
      </c>
      <c r="T20" s="112">
        <f>(T17-(T17*T19/100))</f>
        <v>139.52848</v>
      </c>
      <c r="U20" s="115">
        <f>P20+Q20+R20+S20+T20</f>
        <v>1184.30798</v>
      </c>
      <c r="V20" s="4" t="s">
        <v>65</v>
      </c>
      <c r="W20" s="4"/>
      <c r="X20" s="281"/>
      <c r="Y20" s="192" t="s">
        <v>45</v>
      </c>
      <c r="Z20" s="69">
        <v>1.3</v>
      </c>
      <c r="AA20" s="70">
        <f>100-Z20</f>
        <v>98.7</v>
      </c>
      <c r="AB20" s="279"/>
      <c r="AC20" s="74" t="s">
        <v>37</v>
      </c>
      <c r="AD20" s="58">
        <v>11</v>
      </c>
      <c r="AE20" s="11">
        <v>18</v>
      </c>
      <c r="AF20" s="12">
        <f t="shared" si="0"/>
        <v>3.3</v>
      </c>
    </row>
    <row r="21" spans="1:32" ht="19.5" thickBot="1" x14ac:dyDescent="0.3">
      <c r="A21" s="294" t="s">
        <v>61</v>
      </c>
      <c r="B21" s="295"/>
      <c r="C21" s="44">
        <v>20</v>
      </c>
      <c r="D21" s="296">
        <v>0.15</v>
      </c>
      <c r="E21" s="297"/>
      <c r="F21" s="298" t="s">
        <v>58</v>
      </c>
      <c r="G21" s="299"/>
      <c r="H21" s="96"/>
      <c r="I21" s="116" t="s">
        <v>62</v>
      </c>
      <c r="J21" s="117">
        <v>44</v>
      </c>
      <c r="K21" s="118"/>
      <c r="L21" s="119"/>
      <c r="M21" s="307" t="s">
        <v>63</v>
      </c>
      <c r="N21" s="308"/>
      <c r="O21" s="309"/>
      <c r="P21" s="120">
        <v>1184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2.4</v>
      </c>
      <c r="AA21" s="73">
        <f>100-Z21</f>
        <v>97.6</v>
      </c>
      <c r="AB21" s="190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 t="s">
        <v>32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56</v>
      </c>
      <c r="K22" s="316">
        <f>J22/I22*100</f>
        <v>56.000000000000007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0.625</v>
      </c>
      <c r="AC22" s="49" t="s">
        <v>30</v>
      </c>
      <c r="AD22" s="50">
        <v>42</v>
      </c>
      <c r="AE22" s="11">
        <v>20</v>
      </c>
      <c r="AF22" s="12">
        <f t="shared" si="0"/>
        <v>3.6666666666666665</v>
      </c>
    </row>
    <row r="23" spans="1:32" ht="16.5" thickBot="1" x14ac:dyDescent="0.3">
      <c r="A23" s="294" t="s">
        <v>35</v>
      </c>
      <c r="B23" s="295"/>
      <c r="C23" s="44">
        <v>70</v>
      </c>
      <c r="D23" s="296">
        <v>2.5</v>
      </c>
      <c r="E23" s="297"/>
      <c r="F23" s="298" t="s">
        <v>58</v>
      </c>
      <c r="G23" s="299"/>
      <c r="H23" s="4"/>
      <c r="I23" s="133" t="s">
        <v>66</v>
      </c>
      <c r="J23" s="134">
        <v>27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1.5</v>
      </c>
      <c r="AA23" s="73">
        <f>100-Z23</f>
        <v>98.5</v>
      </c>
      <c r="AB23" s="278"/>
      <c r="AC23" s="51" t="s">
        <v>32</v>
      </c>
      <c r="AD23" s="52">
        <v>43</v>
      </c>
      <c r="AE23" s="11">
        <v>21</v>
      </c>
      <c r="AF23" s="12">
        <f t="shared" si="0"/>
        <v>3.85</v>
      </c>
    </row>
    <row r="24" spans="1:32" ht="16.5" thickBot="1" x14ac:dyDescent="0.3">
      <c r="A24" s="294" t="s">
        <v>37</v>
      </c>
      <c r="B24" s="295"/>
      <c r="C24" s="44">
        <v>70</v>
      </c>
      <c r="D24" s="296">
        <v>0.2</v>
      </c>
      <c r="E24" s="297"/>
      <c r="F24" s="298" t="s">
        <v>58</v>
      </c>
      <c r="G24" s="299"/>
      <c r="H24" s="4"/>
      <c r="I24" s="136">
        <v>100</v>
      </c>
      <c r="J24" s="121">
        <f>I24-J23</f>
        <v>73</v>
      </c>
      <c r="K24" s="316">
        <f>J24/I24*100</f>
        <v>73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(AA20+AA21+AA23)/3</f>
        <v>98.266666666666666</v>
      </c>
      <c r="AB24" s="278"/>
      <c r="AC24" s="51" t="s">
        <v>35</v>
      </c>
      <c r="AD24" s="52"/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11</v>
      </c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1.1000000000000001</v>
      </c>
      <c r="AA26" s="70">
        <f>100-Z26</f>
        <v>98.9</v>
      </c>
      <c r="AB26" s="189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1.9</v>
      </c>
      <c r="AA27" s="73">
        <f>100-Z27</f>
        <v>98.1</v>
      </c>
      <c r="AB27" s="267">
        <v>0.70833333333333337</v>
      </c>
      <c r="AC27" s="62" t="s">
        <v>30</v>
      </c>
      <c r="AD27" s="50">
        <v>41</v>
      </c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11"/>
      <c r="B28" s="412"/>
      <c r="C28" s="182"/>
      <c r="D28" s="403"/>
      <c r="E28" s="404"/>
      <c r="F28" s="409"/>
      <c r="G28" s="410"/>
      <c r="H28" s="345" t="s">
        <v>269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>
        <v>41</v>
      </c>
      <c r="AE28" s="11">
        <v>26</v>
      </c>
      <c r="AF28" s="12">
        <f t="shared" si="0"/>
        <v>4.7666666666666666</v>
      </c>
    </row>
    <row r="29" spans="1:32" ht="18" customHeight="1" thickBot="1" x14ac:dyDescent="0.35">
      <c r="A29" s="411" t="s">
        <v>35</v>
      </c>
      <c r="B29" s="412"/>
      <c r="C29" s="182">
        <v>0.34861111111111115</v>
      </c>
      <c r="D29" s="403">
        <v>0.69305555555555554</v>
      </c>
      <c r="E29" s="404"/>
      <c r="F29" s="409" t="s">
        <v>274</v>
      </c>
      <c r="G29" s="410"/>
      <c r="H29" s="345" t="s">
        <v>273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1.3</v>
      </c>
      <c r="AA29" s="73">
        <f>100-Z29</f>
        <v>98.7</v>
      </c>
      <c r="AB29" s="268"/>
      <c r="AC29" s="51" t="s">
        <v>35</v>
      </c>
      <c r="AD29" s="52">
        <v>30</v>
      </c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45" t="s">
        <v>271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(AA26+AA27+AA29)/3</f>
        <v>98.566666666666663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 t="s">
        <v>270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 t="s">
        <v>272</v>
      </c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0.9</v>
      </c>
      <c r="AA32" s="70">
        <f>100-Z32</f>
        <v>99.1</v>
      </c>
      <c r="AB32" s="267">
        <v>0.79166666666666663</v>
      </c>
      <c r="AC32" s="62" t="s">
        <v>30</v>
      </c>
      <c r="AD32" s="50">
        <v>42</v>
      </c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 t="s">
        <v>275</v>
      </c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>
        <v>1.6</v>
      </c>
      <c r="AA33" s="73">
        <f>100-Z33</f>
        <v>98.4</v>
      </c>
      <c r="AB33" s="268"/>
      <c r="AC33" s="51" t="s">
        <v>32</v>
      </c>
      <c r="AD33" s="52">
        <v>43</v>
      </c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1.1000000000000001</v>
      </c>
      <c r="AA34" s="73">
        <f>100-Z34</f>
        <v>98.9</v>
      </c>
      <c r="AB34" s="268"/>
      <c r="AC34" s="67" t="s">
        <v>35</v>
      </c>
      <c r="AD34" s="52">
        <v>32</v>
      </c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1.3</v>
      </c>
      <c r="AA35" s="73">
        <f>100-Z35</f>
        <v>98.7</v>
      </c>
      <c r="AB35" s="269"/>
      <c r="AC35" s="74" t="s">
        <v>37</v>
      </c>
      <c r="AD35" s="58">
        <v>10</v>
      </c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98.774999999999991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f>'12.01.26см1'!D44:F44</f>
        <v>87</v>
      </c>
      <c r="E40" s="362"/>
      <c r="F40" s="363"/>
      <c r="G40" s="160"/>
      <c r="V40" s="4"/>
      <c r="W40" s="161"/>
      <c r="X40" t="s">
        <v>65</v>
      </c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40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>
        <v>76</v>
      </c>
      <c r="E42" s="386"/>
      <c r="F42" s="387"/>
      <c r="G42" s="160"/>
      <c r="H42" s="397" t="s">
        <v>88</v>
      </c>
      <c r="I42" s="398"/>
      <c r="J42" s="164">
        <v>9.15</v>
      </c>
      <c r="K42" s="399">
        <v>9.23</v>
      </c>
      <c r="L42" s="400"/>
      <c r="M42" s="164">
        <v>9.59</v>
      </c>
      <c r="N42" s="165">
        <v>9.41</v>
      </c>
      <c r="O42" s="165">
        <v>9.69</v>
      </c>
      <c r="P42" s="165">
        <v>9.43</v>
      </c>
      <c r="Q42" s="401">
        <f>AVERAGE(J42:P43)</f>
        <v>9.4166666666666661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187" t="s">
        <v>89</v>
      </c>
      <c r="B43" s="188"/>
      <c r="C43" s="188"/>
      <c r="D43" s="386">
        <v>4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51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193" t="s">
        <v>92</v>
      </c>
      <c r="S44" s="193"/>
      <c r="T44" s="193"/>
      <c r="U44" s="193"/>
      <c r="V44" s="193"/>
      <c r="W44" s="193"/>
      <c r="X44" s="193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A20" sqref="A20:G23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6" width="11.140625" customWidth="1"/>
    <col min="17" max="17" width="9.7109375" customWidth="1"/>
    <col min="18" max="18" width="10" customWidth="1"/>
    <col min="19" max="19" width="9.7109375" customWidth="1"/>
    <col min="20" max="20" width="10.4257812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5.2851562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150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40</v>
      </c>
      <c r="Q5" s="29">
        <v>0</v>
      </c>
      <c r="R5" s="30">
        <v>41.244</v>
      </c>
      <c r="S5" s="30">
        <v>36</v>
      </c>
      <c r="T5" s="31">
        <v>11.85</v>
      </c>
      <c r="U5" s="32">
        <f>SUM(P5:T5)</f>
        <v>129.09399999999999</v>
      </c>
      <c r="V5" s="33">
        <v>2</v>
      </c>
      <c r="W5" s="21" t="s">
        <v>27</v>
      </c>
      <c r="X5" s="34">
        <v>520357.8</v>
      </c>
      <c r="Y5" s="34">
        <f>X5+P17</f>
        <v>520841.7</v>
      </c>
      <c r="Z5" s="35">
        <f>Y5-X5</f>
        <v>483.90000000002328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39.799999999999997</v>
      </c>
      <c r="Q6" s="29">
        <v>0</v>
      </c>
      <c r="R6" s="30">
        <v>40.179000000000002</v>
      </c>
      <c r="S6" s="30">
        <v>30</v>
      </c>
      <c r="T6" s="31">
        <v>12.15</v>
      </c>
      <c r="U6" s="32">
        <f t="shared" ref="U6:U16" si="1">SUM(P6:T6)</f>
        <v>122.129</v>
      </c>
      <c r="V6" s="44">
        <v>4</v>
      </c>
      <c r="W6" s="37" t="s">
        <v>28</v>
      </c>
      <c r="X6" s="45">
        <v>818240.79</v>
      </c>
      <c r="Y6" s="34">
        <f>X6+R17</f>
        <v>818753.56500000006</v>
      </c>
      <c r="Z6" s="46">
        <f>Y6-X6</f>
        <v>512.77500000002328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>
        <v>65</v>
      </c>
      <c r="C7" s="39">
        <v>58</v>
      </c>
      <c r="D7" s="39">
        <v>69</v>
      </c>
      <c r="E7" s="40">
        <v>53</v>
      </c>
      <c r="F7" s="41">
        <v>60</v>
      </c>
      <c r="G7" s="42">
        <v>43</v>
      </c>
      <c r="H7" s="41">
        <v>34</v>
      </c>
      <c r="I7" s="42">
        <v>38</v>
      </c>
      <c r="J7" s="41">
        <v>30</v>
      </c>
      <c r="K7" s="38">
        <v>44</v>
      </c>
      <c r="L7" s="43">
        <v>52</v>
      </c>
      <c r="M7" s="40">
        <v>52</v>
      </c>
      <c r="N7" s="42">
        <v>54</v>
      </c>
      <c r="O7" s="41">
        <v>76</v>
      </c>
      <c r="P7" s="28">
        <v>37</v>
      </c>
      <c r="Q7" s="29">
        <v>0</v>
      </c>
      <c r="R7" s="30">
        <v>38.56</v>
      </c>
      <c r="S7" s="30">
        <v>23</v>
      </c>
      <c r="T7" s="31">
        <v>11.36</v>
      </c>
      <c r="U7" s="32">
        <f t="shared" si="1"/>
        <v>109.92</v>
      </c>
      <c r="V7" s="44">
        <v>3</v>
      </c>
      <c r="W7" s="37" t="s">
        <v>29</v>
      </c>
      <c r="X7" s="48">
        <v>510535</v>
      </c>
      <c r="Y7" s="34">
        <f>X7+S17</f>
        <v>510941</v>
      </c>
      <c r="Z7" s="46">
        <f>Y7-X7</f>
        <v>406</v>
      </c>
      <c r="AA7" s="47">
        <v>4</v>
      </c>
      <c r="AB7" s="267">
        <v>0.875</v>
      </c>
      <c r="AC7" s="49" t="s">
        <v>30</v>
      </c>
      <c r="AD7" s="50">
        <v>41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40.799999999999997</v>
      </c>
      <c r="Q8" s="29">
        <v>0</v>
      </c>
      <c r="R8" s="30">
        <v>40.902000000000001</v>
      </c>
      <c r="S8" s="30">
        <v>34</v>
      </c>
      <c r="T8" s="31">
        <v>11.7</v>
      </c>
      <c r="U8" s="32">
        <f t="shared" si="1"/>
        <v>127.402</v>
      </c>
      <c r="V8" s="44">
        <v>6</v>
      </c>
      <c r="W8" s="37" t="s">
        <v>31</v>
      </c>
      <c r="X8" s="46">
        <v>3356.71</v>
      </c>
      <c r="Y8" s="34">
        <f>X8+T17</f>
        <v>3497.26</v>
      </c>
      <c r="Z8" s="46">
        <f>T17</f>
        <v>140.55000000000001</v>
      </c>
      <c r="AA8" s="47">
        <v>5</v>
      </c>
      <c r="AB8" s="268"/>
      <c r="AC8" s="51" t="s">
        <v>32</v>
      </c>
      <c r="AD8" s="52">
        <v>42</v>
      </c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40.799999999999997</v>
      </c>
      <c r="Q9" s="29">
        <v>0</v>
      </c>
      <c r="R9" s="30">
        <v>43.212000000000003</v>
      </c>
      <c r="S9" s="30">
        <v>35</v>
      </c>
      <c r="T9" s="31">
        <v>12.19</v>
      </c>
      <c r="U9" s="32">
        <f t="shared" si="1"/>
        <v>131.202</v>
      </c>
      <c r="V9" s="44">
        <v>4</v>
      </c>
      <c r="W9" s="37" t="s">
        <v>33</v>
      </c>
      <c r="X9" s="270" t="s">
        <v>34</v>
      </c>
      <c r="Y9" s="271"/>
      <c r="Z9" s="54">
        <f>SUM(Z5:Z8)</f>
        <v>1543.2250000000465</v>
      </c>
      <c r="AA9" s="55"/>
      <c r="AB9" s="268"/>
      <c r="AC9" s="51" t="s">
        <v>35</v>
      </c>
      <c r="AD9" s="52">
        <v>34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38.9</v>
      </c>
      <c r="Q10" s="29">
        <v>0</v>
      </c>
      <c r="R10" s="30">
        <v>43.107999999999997</v>
      </c>
      <c r="S10" s="30">
        <v>35</v>
      </c>
      <c r="T10" s="31">
        <v>11.28</v>
      </c>
      <c r="U10" s="32">
        <f t="shared" si="1"/>
        <v>128.28799999999998</v>
      </c>
      <c r="V10" s="44">
        <v>5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12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39.4</v>
      </c>
      <c r="Q11" s="29">
        <v>0</v>
      </c>
      <c r="R11" s="30">
        <v>43.433</v>
      </c>
      <c r="S11" s="30">
        <v>38</v>
      </c>
      <c r="T11" s="31">
        <v>12.21</v>
      </c>
      <c r="U11" s="32">
        <f t="shared" si="1"/>
        <v>133.04300000000001</v>
      </c>
      <c r="V11" s="44">
        <v>6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42.2</v>
      </c>
      <c r="Q12" s="29">
        <v>0</v>
      </c>
      <c r="R12" s="30">
        <v>42.137999999999998</v>
      </c>
      <c r="S12" s="30">
        <v>37</v>
      </c>
      <c r="T12" s="31">
        <v>11.61</v>
      </c>
      <c r="U12" s="32">
        <f t="shared" si="1"/>
        <v>132.94799999999998</v>
      </c>
      <c r="V12" s="44">
        <v>4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40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>
        <v>68</v>
      </c>
      <c r="C13" s="39">
        <v>59</v>
      </c>
      <c r="D13" s="39">
        <v>72</v>
      </c>
      <c r="E13" s="40">
        <v>65</v>
      </c>
      <c r="F13" s="41">
        <v>63</v>
      </c>
      <c r="G13" s="42">
        <v>44</v>
      </c>
      <c r="H13" s="41">
        <v>36</v>
      </c>
      <c r="I13" s="42">
        <v>35</v>
      </c>
      <c r="J13" s="41">
        <v>31</v>
      </c>
      <c r="K13" s="38">
        <v>45</v>
      </c>
      <c r="L13" s="43">
        <v>59</v>
      </c>
      <c r="M13" s="40">
        <v>54</v>
      </c>
      <c r="N13" s="42">
        <v>54</v>
      </c>
      <c r="O13" s="41">
        <v>70</v>
      </c>
      <c r="P13" s="53">
        <v>42.3</v>
      </c>
      <c r="Q13" s="29">
        <v>0</v>
      </c>
      <c r="R13" s="30">
        <v>45.101999999999997</v>
      </c>
      <c r="S13" s="30">
        <v>36</v>
      </c>
      <c r="T13" s="31">
        <v>11.48</v>
      </c>
      <c r="U13" s="32">
        <f t="shared" si="1"/>
        <v>134.88199999999998</v>
      </c>
      <c r="V13" s="44">
        <v>3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41</v>
      </c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40.299999999999997</v>
      </c>
      <c r="Q14" s="29">
        <v>0</v>
      </c>
      <c r="R14" s="30">
        <v>44.893000000000001</v>
      </c>
      <c r="S14" s="30">
        <v>35</v>
      </c>
      <c r="T14" s="31">
        <v>11.46</v>
      </c>
      <c r="U14" s="32">
        <f t="shared" si="1"/>
        <v>131.65299999999999</v>
      </c>
      <c r="V14" s="44">
        <v>3</v>
      </c>
      <c r="W14" s="37" t="s">
        <v>44</v>
      </c>
      <c r="X14" s="280">
        <v>0.91666666666666663</v>
      </c>
      <c r="Y14" s="210" t="s">
        <v>45</v>
      </c>
      <c r="Z14" s="69">
        <v>0.7</v>
      </c>
      <c r="AA14" s="70">
        <f>100-Z14</f>
        <v>99.3</v>
      </c>
      <c r="AB14" s="278"/>
      <c r="AC14" s="51" t="s">
        <v>35</v>
      </c>
      <c r="AD14" s="52">
        <v>33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41.3</v>
      </c>
      <c r="Q15" s="29">
        <v>0</v>
      </c>
      <c r="R15" s="30">
        <v>46.198999999999998</v>
      </c>
      <c r="S15" s="30">
        <v>36</v>
      </c>
      <c r="T15" s="31">
        <v>11.42</v>
      </c>
      <c r="U15" s="32">
        <f t="shared" si="1"/>
        <v>134.91899999999998</v>
      </c>
      <c r="V15" s="44">
        <v>6</v>
      </c>
      <c r="W15" s="37" t="s">
        <v>46</v>
      </c>
      <c r="X15" s="281"/>
      <c r="Y15" s="71" t="s">
        <v>47</v>
      </c>
      <c r="Z15" s="72">
        <v>1.1000000000000001</v>
      </c>
      <c r="AA15" s="73">
        <f>100-Z15</f>
        <v>98.9</v>
      </c>
      <c r="AB15" s="279"/>
      <c r="AC15" s="74" t="s">
        <v>37</v>
      </c>
      <c r="AD15" s="58">
        <v>12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41.1</v>
      </c>
      <c r="Q16" s="29">
        <v>0</v>
      </c>
      <c r="R16" s="30">
        <v>43.805</v>
      </c>
      <c r="S16" s="30">
        <v>31</v>
      </c>
      <c r="T16" s="82">
        <v>11.84</v>
      </c>
      <c r="U16" s="32">
        <f t="shared" si="1"/>
        <v>127.745</v>
      </c>
      <c r="V16" s="83">
        <v>5</v>
      </c>
      <c r="W16" s="75" t="s">
        <v>48</v>
      </c>
      <c r="X16" s="281"/>
      <c r="Y16" s="71" t="s">
        <v>49</v>
      </c>
      <c r="Z16" s="72">
        <v>1.7</v>
      </c>
      <c r="AA16" s="73">
        <f>100-Z16</f>
        <v>98.3</v>
      </c>
      <c r="AB16" s="190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66.5</v>
      </c>
      <c r="C17" s="88">
        <f>AVERAGE(C5:C16)</f>
        <v>58.5</v>
      </c>
      <c r="D17" s="88">
        <f>AVERAGE(D5:D15)</f>
        <v>70.5</v>
      </c>
      <c r="E17" s="88">
        <f>AVERAGE(E5:E15)</f>
        <v>59</v>
      </c>
      <c r="F17" s="88">
        <f>AVERAGE(F5:F15)</f>
        <v>61.5</v>
      </c>
      <c r="G17" s="88">
        <f>AVERAGE(G5:G16)</f>
        <v>43.5</v>
      </c>
      <c r="H17" s="88">
        <f>AVERAGE(H5:H16)</f>
        <v>35</v>
      </c>
      <c r="I17" s="88">
        <f t="shared" ref="I17:N17" si="2">AVERAGE(I5:I15)</f>
        <v>36.5</v>
      </c>
      <c r="J17" s="88">
        <f t="shared" si="2"/>
        <v>30.5</v>
      </c>
      <c r="K17" s="88">
        <f t="shared" si="2"/>
        <v>44.5</v>
      </c>
      <c r="L17" s="88">
        <f t="shared" si="2"/>
        <v>55.5</v>
      </c>
      <c r="M17" s="89">
        <f t="shared" si="2"/>
        <v>53</v>
      </c>
      <c r="N17" s="89">
        <f t="shared" si="2"/>
        <v>54</v>
      </c>
      <c r="O17" s="89">
        <f>AVERAGE(O5:O16)</f>
        <v>73</v>
      </c>
      <c r="P17" s="90">
        <f>SUM(P5:P16)</f>
        <v>483.90000000000003</v>
      </c>
      <c r="Q17" s="91">
        <f>SUM(Q5:Q16)</f>
        <v>0</v>
      </c>
      <c r="R17" s="92">
        <f>SUM(R5:R16)</f>
        <v>512.77499999999998</v>
      </c>
      <c r="S17" s="93">
        <f>SUM(S5:S16)</f>
        <v>406</v>
      </c>
      <c r="T17" s="93">
        <f>SUM(T5:T16)</f>
        <v>140.55000000000001</v>
      </c>
      <c r="U17" s="94">
        <f>SUM(P17:T17)</f>
        <v>1543.2249999999999</v>
      </c>
      <c r="V17" s="1">
        <f>SUM(V5:V16)</f>
        <v>51</v>
      </c>
      <c r="W17" s="4"/>
      <c r="X17" s="281"/>
      <c r="Y17" s="71" t="s">
        <v>51</v>
      </c>
      <c r="Z17" s="72">
        <v>0.8</v>
      </c>
      <c r="AA17" s="73">
        <f>100-Z17</f>
        <v>99.2</v>
      </c>
      <c r="AB17" s="283">
        <v>4.1666666666666664E-2</v>
      </c>
      <c r="AC17" s="62" t="s">
        <v>30</v>
      </c>
      <c r="AD17" s="50">
        <v>41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98.924999999999997</v>
      </c>
      <c r="AB18" s="278"/>
      <c r="AC18" s="51" t="s">
        <v>32</v>
      </c>
      <c r="AD18" s="52">
        <v>42</v>
      </c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151</v>
      </c>
      <c r="J19" s="259"/>
      <c r="K19" s="259"/>
      <c r="L19" s="260"/>
      <c r="M19" s="261" t="s">
        <v>57</v>
      </c>
      <c r="N19" s="262"/>
      <c r="O19" s="263"/>
      <c r="P19" s="105">
        <v>3.1</v>
      </c>
      <c r="Q19" s="106"/>
      <c r="R19" s="107">
        <v>2.2999999999999998</v>
      </c>
      <c r="S19" s="197">
        <v>2.4</v>
      </c>
      <c r="T19" s="107">
        <v>3.1</v>
      </c>
      <c r="U19" s="108">
        <f>(U17-U20)/U17*100</f>
        <v>2.6500202498015493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33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61</v>
      </c>
      <c r="B20" s="295"/>
      <c r="C20" s="44">
        <v>20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468.89910000000003</v>
      </c>
      <c r="Q20" s="113"/>
      <c r="R20" s="114">
        <f>(R17-(R17*R19/100))</f>
        <v>500.98117499999995</v>
      </c>
      <c r="S20" s="112">
        <f>(S17-(S17*S19/100))</f>
        <v>396.25599999999997</v>
      </c>
      <c r="T20" s="112">
        <f>(T17-(T17*T19/100))</f>
        <v>136.19295000000002</v>
      </c>
      <c r="U20" s="115">
        <f>P20+Q20+R20+S20+T20</f>
        <v>1502.329225</v>
      </c>
      <c r="V20" s="4"/>
      <c r="W20" s="4"/>
      <c r="X20" s="281"/>
      <c r="Y20" s="210" t="s">
        <v>45</v>
      </c>
      <c r="Z20" s="69">
        <v>1</v>
      </c>
      <c r="AA20" s="70">
        <f>100-Z20</f>
        <v>99</v>
      </c>
      <c r="AB20" s="279"/>
      <c r="AC20" s="74" t="s">
        <v>37</v>
      </c>
      <c r="AD20" s="58">
        <v>12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32</v>
      </c>
      <c r="B21" s="295"/>
      <c r="C21" s="44">
        <v>70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45</v>
      </c>
      <c r="K21" s="118"/>
      <c r="L21" s="119"/>
      <c r="M21" s="307" t="s">
        <v>63</v>
      </c>
      <c r="N21" s="308"/>
      <c r="O21" s="309"/>
      <c r="P21" s="120">
        <f>(U17-(U17*U19/100))</f>
        <v>1502.329225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2.7</v>
      </c>
      <c r="AA21" s="73">
        <f>100-Z21</f>
        <v>97.3</v>
      </c>
      <c r="AB21" s="190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35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55</v>
      </c>
      <c r="K22" s="316">
        <f>J22/I22*100</f>
        <v>55.000000000000007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1.9</v>
      </c>
      <c r="AA22" s="73">
        <f>100-Z22</f>
        <v>98.1</v>
      </c>
      <c r="AB22" s="283">
        <v>0.125</v>
      </c>
      <c r="AC22" s="49" t="s">
        <v>30</v>
      </c>
      <c r="AD22" s="50">
        <v>42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 t="s">
        <v>37</v>
      </c>
      <c r="B23" s="295"/>
      <c r="C23" s="44">
        <v>70</v>
      </c>
      <c r="D23" s="296">
        <v>0.15</v>
      </c>
      <c r="E23" s="297"/>
      <c r="F23" s="298" t="s">
        <v>58</v>
      </c>
      <c r="G23" s="299"/>
      <c r="H23" s="4"/>
      <c r="I23" s="133" t="s">
        <v>66</v>
      </c>
      <c r="J23" s="134">
        <v>20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1.4</v>
      </c>
      <c r="AA23" s="73">
        <f>100-Z23</f>
        <v>98.6</v>
      </c>
      <c r="AB23" s="278"/>
      <c r="AC23" s="51" t="s">
        <v>32</v>
      </c>
      <c r="AD23" s="52">
        <v>43</v>
      </c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80</v>
      </c>
      <c r="K24" s="316">
        <f>J24/I24*100</f>
        <v>80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98.25</v>
      </c>
      <c r="AB24" s="278"/>
      <c r="AC24" s="51" t="s">
        <v>35</v>
      </c>
      <c r="AD24" s="52">
        <v>34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12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>
        <v>1</v>
      </c>
      <c r="AA26" s="70">
        <f>100-Z26</f>
        <v>99</v>
      </c>
      <c r="AB26" s="189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1.5</v>
      </c>
      <c r="AA27" s="73">
        <f>100-Z27</f>
        <v>98.5</v>
      </c>
      <c r="AB27" s="267">
        <v>0.20833333333333334</v>
      </c>
      <c r="AC27" s="62" t="s">
        <v>30</v>
      </c>
      <c r="AD27" s="50">
        <v>41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 t="s">
        <v>276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3.7</v>
      </c>
      <c r="AA28" s="73">
        <f>100-Z28</f>
        <v>96.3</v>
      </c>
      <c r="AB28" s="268"/>
      <c r="AC28" s="67" t="s">
        <v>32</v>
      </c>
      <c r="AD28" s="52">
        <v>42</v>
      </c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0.5</v>
      </c>
      <c r="AA29" s="73">
        <f>100-Z29</f>
        <v>99.5</v>
      </c>
      <c r="AB29" s="268"/>
      <c r="AC29" s="51" t="s">
        <v>35</v>
      </c>
      <c r="AD29" s="52">
        <v>32</v>
      </c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98.325000000000003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1.3</v>
      </c>
      <c r="AA32" s="70">
        <f>100-Z32</f>
        <v>98.7</v>
      </c>
      <c r="AB32" s="267">
        <v>0.29166666666666669</v>
      </c>
      <c r="AC32" s="62" t="s">
        <v>30</v>
      </c>
      <c r="AD32" s="50">
        <v>42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>
        <v>1.4</v>
      </c>
      <c r="AA33" s="73">
        <f>100-Z33</f>
        <v>98.6</v>
      </c>
      <c r="AB33" s="268"/>
      <c r="AC33" s="51" t="s">
        <v>32</v>
      </c>
      <c r="AD33" s="52">
        <v>41</v>
      </c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2.7</v>
      </c>
      <c r="AA34" s="73">
        <f>100-Z34</f>
        <v>97.3</v>
      </c>
      <c r="AB34" s="268"/>
      <c r="AC34" s="67" t="s">
        <v>35</v>
      </c>
      <c r="AD34" s="52">
        <v>33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2.4</v>
      </c>
      <c r="AA35" s="73">
        <f>100-Z35</f>
        <v>97.6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98.050000000000011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51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51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>
        <v>9.08</v>
      </c>
      <c r="K42" s="399">
        <v>9.26</v>
      </c>
      <c r="L42" s="400"/>
      <c r="M42" s="164">
        <v>9.06</v>
      </c>
      <c r="N42" s="165">
        <v>9.18</v>
      </c>
      <c r="O42" s="165">
        <v>9.15</v>
      </c>
      <c r="P42" s="165">
        <v>9.4700000000000006</v>
      </c>
      <c r="Q42" s="401">
        <f>AVERAGE(J42:P43)</f>
        <v>9.1999999999999993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187" t="s">
        <v>89</v>
      </c>
      <c r="B43" s="188"/>
      <c r="C43" s="188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102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193"/>
      <c r="X44" s="193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topLeftCell="A2" zoomScale="70" zoomScaleNormal="70" workbookViewId="0">
      <selection activeCell="H30" sqref="H30:U30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7109375" customWidth="1"/>
    <col min="19" max="19" width="10.140625" customWidth="1"/>
    <col min="20" max="20" width="9.8554687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150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42.7</v>
      </c>
      <c r="Q5" s="29">
        <v>0</v>
      </c>
      <c r="R5" s="30">
        <v>40.674999999999997</v>
      </c>
      <c r="S5" s="30">
        <v>29</v>
      </c>
      <c r="T5" s="31">
        <v>11.54</v>
      </c>
      <c r="U5" s="32">
        <f>SUM(P5:T5)</f>
        <v>123.91499999999999</v>
      </c>
      <c r="V5" s="33">
        <v>1</v>
      </c>
      <c r="W5" s="21" t="s">
        <v>93</v>
      </c>
      <c r="X5" s="34">
        <f>'13.01.26см1'!Y5</f>
        <v>520841.7</v>
      </c>
      <c r="Y5" s="34">
        <f>X5+P17</f>
        <v>521365.8</v>
      </c>
      <c r="Z5" s="35">
        <f>Y5-X5</f>
        <v>524.09999999997672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42.5</v>
      </c>
      <c r="Q6" s="29">
        <v>0</v>
      </c>
      <c r="R6" s="30">
        <v>41.154000000000003</v>
      </c>
      <c r="S6" s="30">
        <v>34</v>
      </c>
      <c r="T6" s="31">
        <v>11.18</v>
      </c>
      <c r="U6" s="32">
        <f t="shared" ref="U6:U16" si="1">SUM(P6:T6)</f>
        <v>128.834</v>
      </c>
      <c r="V6" s="44">
        <v>3</v>
      </c>
      <c r="W6" s="37" t="s">
        <v>94</v>
      </c>
      <c r="X6" s="45">
        <f>'13.01.26см1'!Y6</f>
        <v>818753.56500000006</v>
      </c>
      <c r="Y6" s="34">
        <f>X6+R17</f>
        <v>819117.95600000001</v>
      </c>
      <c r="Z6" s="46">
        <f>Y6-X6</f>
        <v>364.39099999994505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>
        <v>43</v>
      </c>
      <c r="Q7" s="29">
        <v>0</v>
      </c>
      <c r="R7" s="30">
        <v>42.875999999999998</v>
      </c>
      <c r="S7" s="30">
        <v>36</v>
      </c>
      <c r="T7" s="31">
        <v>11.48</v>
      </c>
      <c r="U7" s="32">
        <f t="shared" si="1"/>
        <v>133.35599999999999</v>
      </c>
      <c r="V7" s="44">
        <v>4</v>
      </c>
      <c r="W7" s="37" t="s">
        <v>95</v>
      </c>
      <c r="X7" s="48">
        <f>'13.01.26см1'!Y7</f>
        <v>510941</v>
      </c>
      <c r="Y7" s="34">
        <f>X7+S17</f>
        <v>511349</v>
      </c>
      <c r="Z7" s="46">
        <f>Y7-X7</f>
        <v>408</v>
      </c>
      <c r="AA7" s="47">
        <v>4</v>
      </c>
      <c r="AB7" s="267">
        <v>0.375</v>
      </c>
      <c r="AC7" s="49" t="s">
        <v>30</v>
      </c>
      <c r="AD7" s="50">
        <v>42</v>
      </c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>
        <v>71</v>
      </c>
      <c r="C8" s="39">
        <v>62</v>
      </c>
      <c r="D8" s="39">
        <v>68</v>
      </c>
      <c r="E8" s="40">
        <v>65</v>
      </c>
      <c r="F8" s="41">
        <v>69</v>
      </c>
      <c r="G8" s="42">
        <v>43</v>
      </c>
      <c r="H8" s="41">
        <v>36</v>
      </c>
      <c r="I8" s="42"/>
      <c r="J8" s="41"/>
      <c r="K8" s="38">
        <v>55</v>
      </c>
      <c r="L8" s="43">
        <v>60</v>
      </c>
      <c r="M8" s="40">
        <v>52</v>
      </c>
      <c r="N8" s="42">
        <v>52</v>
      </c>
      <c r="O8" s="41">
        <v>67</v>
      </c>
      <c r="P8" s="28">
        <v>45.5</v>
      </c>
      <c r="Q8" s="29">
        <v>0</v>
      </c>
      <c r="R8" s="30">
        <v>39.125999999999998</v>
      </c>
      <c r="S8" s="30">
        <v>37</v>
      </c>
      <c r="T8" s="31">
        <v>11.96</v>
      </c>
      <c r="U8" s="32">
        <f t="shared" si="1"/>
        <v>133.58600000000001</v>
      </c>
      <c r="V8" s="44">
        <v>4</v>
      </c>
      <c r="W8" s="37" t="s">
        <v>96</v>
      </c>
      <c r="X8" s="46">
        <f>'13.01.26см1'!Y8</f>
        <v>3497.26</v>
      </c>
      <c r="Y8" s="34">
        <f>X8+T17</f>
        <v>3632.25</v>
      </c>
      <c r="Z8" s="46">
        <f>T17</f>
        <v>134.98999999999998</v>
      </c>
      <c r="AA8" s="47">
        <v>5</v>
      </c>
      <c r="AB8" s="268"/>
      <c r="AC8" s="51" t="s">
        <v>32</v>
      </c>
      <c r="AD8" s="52">
        <v>43</v>
      </c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40.9</v>
      </c>
      <c r="Q9" s="29">
        <v>0</v>
      </c>
      <c r="R9" s="30">
        <v>44.545999999999999</v>
      </c>
      <c r="S9" s="30">
        <v>36</v>
      </c>
      <c r="T9" s="31">
        <v>11.85</v>
      </c>
      <c r="U9" s="32">
        <f t="shared" si="1"/>
        <v>133.29599999999999</v>
      </c>
      <c r="V9" s="44">
        <v>2</v>
      </c>
      <c r="W9" s="37" t="s">
        <v>97</v>
      </c>
      <c r="X9" s="270" t="s">
        <v>34</v>
      </c>
      <c r="Y9" s="271"/>
      <c r="Z9" s="54">
        <f>SUM(Z5:Z8)</f>
        <v>1431.4809999999218</v>
      </c>
      <c r="AA9" s="55"/>
      <c r="AB9" s="268"/>
      <c r="AC9" s="51" t="s">
        <v>35</v>
      </c>
      <c r="AD9" s="52">
        <v>32</v>
      </c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30.9</v>
      </c>
      <c r="Q10" s="29">
        <v>0</v>
      </c>
      <c r="R10" s="30">
        <v>43.207000000000001</v>
      </c>
      <c r="S10" s="30">
        <v>31</v>
      </c>
      <c r="T10" s="31">
        <v>11.74</v>
      </c>
      <c r="U10" s="32">
        <f t="shared" si="1"/>
        <v>116.84699999999999</v>
      </c>
      <c r="V10" s="44">
        <v>5</v>
      </c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12</v>
      </c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43.3</v>
      </c>
      <c r="Q11" s="29">
        <v>0</v>
      </c>
      <c r="R11" s="30">
        <v>43.865000000000002</v>
      </c>
      <c r="S11" s="30">
        <v>33</v>
      </c>
      <c r="T11" s="31">
        <v>12.55</v>
      </c>
      <c r="U11" s="32">
        <f t="shared" si="1"/>
        <v>132.715</v>
      </c>
      <c r="V11" s="44">
        <v>5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>
        <v>68</v>
      </c>
      <c r="C12" s="39">
        <v>57</v>
      </c>
      <c r="D12" s="39">
        <v>69</v>
      </c>
      <c r="E12" s="40">
        <v>60</v>
      </c>
      <c r="F12" s="41"/>
      <c r="G12" s="42">
        <v>43</v>
      </c>
      <c r="H12" s="41">
        <v>30</v>
      </c>
      <c r="I12" s="42"/>
      <c r="J12" s="41"/>
      <c r="K12" s="38">
        <v>49</v>
      </c>
      <c r="L12" s="43">
        <v>56</v>
      </c>
      <c r="M12" s="40"/>
      <c r="N12" s="42">
        <v>55</v>
      </c>
      <c r="O12" s="41">
        <v>73</v>
      </c>
      <c r="P12" s="53">
        <v>49.4</v>
      </c>
      <c r="Q12" s="29">
        <v>0</v>
      </c>
      <c r="R12" s="30">
        <v>39.055</v>
      </c>
      <c r="S12" s="30">
        <v>36</v>
      </c>
      <c r="T12" s="31">
        <v>5.33</v>
      </c>
      <c r="U12" s="32">
        <f t="shared" si="1"/>
        <v>129.785</v>
      </c>
      <c r="V12" s="44">
        <v>3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>
        <v>42</v>
      </c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>
        <v>41.2</v>
      </c>
      <c r="Q13" s="29">
        <v>0</v>
      </c>
      <c r="R13" s="30">
        <v>3.71</v>
      </c>
      <c r="S13" s="30">
        <v>36</v>
      </c>
      <c r="T13" s="31">
        <v>11.65</v>
      </c>
      <c r="U13" s="32">
        <f t="shared" si="1"/>
        <v>92.56</v>
      </c>
      <c r="V13" s="44">
        <v>4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43</v>
      </c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47.7</v>
      </c>
      <c r="Q14" s="29">
        <v>0</v>
      </c>
      <c r="R14" s="30">
        <v>0</v>
      </c>
      <c r="S14" s="30">
        <v>34</v>
      </c>
      <c r="T14" s="31">
        <v>10.83</v>
      </c>
      <c r="U14" s="32">
        <f t="shared" si="1"/>
        <v>92.53</v>
      </c>
      <c r="V14" s="44">
        <v>5</v>
      </c>
      <c r="W14" s="37" t="s">
        <v>102</v>
      </c>
      <c r="X14" s="280">
        <v>0.41666666666666669</v>
      </c>
      <c r="Y14" s="192" t="s">
        <v>45</v>
      </c>
      <c r="Z14" s="69">
        <v>1.5</v>
      </c>
      <c r="AA14" s="70">
        <f>100-Z14</f>
        <v>98.5</v>
      </c>
      <c r="AB14" s="278"/>
      <c r="AC14" s="51" t="s">
        <v>35</v>
      </c>
      <c r="AD14" s="52">
        <v>34</v>
      </c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49.6</v>
      </c>
      <c r="Q15" s="29">
        <v>0</v>
      </c>
      <c r="R15" s="30">
        <v>0</v>
      </c>
      <c r="S15" s="30">
        <v>36</v>
      </c>
      <c r="T15" s="31">
        <v>12.46</v>
      </c>
      <c r="U15" s="32">
        <f t="shared" si="1"/>
        <v>98.06</v>
      </c>
      <c r="V15" s="44">
        <v>5</v>
      </c>
      <c r="W15" s="37" t="s">
        <v>103</v>
      </c>
      <c r="X15" s="281"/>
      <c r="Y15" s="71" t="s">
        <v>47</v>
      </c>
      <c r="Z15" s="72">
        <v>4</v>
      </c>
      <c r="AA15" s="73">
        <f>100-Z15</f>
        <v>96</v>
      </c>
      <c r="AB15" s="279"/>
      <c r="AC15" s="74" t="s">
        <v>37</v>
      </c>
      <c r="AD15" s="58">
        <v>12</v>
      </c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47.4</v>
      </c>
      <c r="Q16" s="29">
        <v>0</v>
      </c>
      <c r="R16" s="30">
        <v>26.177</v>
      </c>
      <c r="S16" s="30">
        <v>30</v>
      </c>
      <c r="T16" s="82">
        <v>12.42</v>
      </c>
      <c r="U16" s="32">
        <f t="shared" si="1"/>
        <v>115.997</v>
      </c>
      <c r="V16" s="83">
        <v>6</v>
      </c>
      <c r="W16" s="75" t="s">
        <v>104</v>
      </c>
      <c r="X16" s="281"/>
      <c r="Y16" s="71" t="s">
        <v>49</v>
      </c>
      <c r="Z16" s="72">
        <v>4.2</v>
      </c>
      <c r="AA16" s="73">
        <f>100-Z16</f>
        <v>95.8</v>
      </c>
      <c r="AB16" s="190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>
        <f>AVERAGE(B5:B15)</f>
        <v>69.5</v>
      </c>
      <c r="C17" s="88">
        <f>AVERAGE(C5:C16)</f>
        <v>59.5</v>
      </c>
      <c r="D17" s="88">
        <f>AVERAGE(D5:D15)</f>
        <v>68.5</v>
      </c>
      <c r="E17" s="88">
        <f>AVERAGE(E5:E15)</f>
        <v>62.5</v>
      </c>
      <c r="F17" s="88">
        <f>AVERAGE(F5:F15)</f>
        <v>69</v>
      </c>
      <c r="G17" s="88">
        <f>AVERAGE(G5:G16)</f>
        <v>43</v>
      </c>
      <c r="H17" s="88">
        <f>AVERAGE(H5:H16)</f>
        <v>33</v>
      </c>
      <c r="I17" s="88" t="e">
        <f t="shared" ref="I17:N17" si="2">AVERAGE(I5:I15)</f>
        <v>#DIV/0!</v>
      </c>
      <c r="J17" s="88" t="e">
        <f t="shared" si="2"/>
        <v>#DIV/0!</v>
      </c>
      <c r="K17" s="88">
        <f t="shared" si="2"/>
        <v>52</v>
      </c>
      <c r="L17" s="88">
        <f t="shared" si="2"/>
        <v>58</v>
      </c>
      <c r="M17" s="89">
        <f t="shared" si="2"/>
        <v>52</v>
      </c>
      <c r="N17" s="89">
        <f t="shared" si="2"/>
        <v>53.5</v>
      </c>
      <c r="O17" s="89">
        <f>AVERAGE(O5:O16)</f>
        <v>70</v>
      </c>
      <c r="P17" s="90">
        <f>SUM(P5:P16)</f>
        <v>524.1</v>
      </c>
      <c r="Q17" s="91">
        <f>SUM(Q5:Q16)</f>
        <v>0</v>
      </c>
      <c r="R17" s="92">
        <f>SUM(R5:R16)</f>
        <v>364.39100000000002</v>
      </c>
      <c r="S17" s="93">
        <f>SUM(S5:S16)</f>
        <v>408</v>
      </c>
      <c r="T17" s="93">
        <f>SUM(T5:T16)</f>
        <v>134.98999999999998</v>
      </c>
      <c r="U17" s="94">
        <f>SUM(P17:T17)</f>
        <v>1431.481</v>
      </c>
      <c r="V17" s="1">
        <f>SUM(V5:V16)</f>
        <v>47</v>
      </c>
      <c r="W17" s="4"/>
      <c r="X17" s="281"/>
      <c r="Y17" s="71" t="s">
        <v>51</v>
      </c>
      <c r="Z17" s="95">
        <v>1.6</v>
      </c>
      <c r="AA17" s="73">
        <f>100-Z17</f>
        <v>98.4</v>
      </c>
      <c r="AB17" s="283">
        <v>0.54166666666666663</v>
      </c>
      <c r="AC17" s="62" t="s">
        <v>30</v>
      </c>
      <c r="AD17" s="50">
        <v>42</v>
      </c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97.175000000000011</v>
      </c>
      <c r="AB18" s="278"/>
      <c r="AC18" s="51" t="s">
        <v>32</v>
      </c>
      <c r="AD18" s="52">
        <v>43</v>
      </c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277</v>
      </c>
      <c r="J19" s="259"/>
      <c r="K19" s="259"/>
      <c r="L19" s="260"/>
      <c r="M19" s="261" t="s">
        <v>57</v>
      </c>
      <c r="N19" s="262"/>
      <c r="O19" s="263"/>
      <c r="P19" s="105">
        <v>2.8</v>
      </c>
      <c r="Q19" s="106"/>
      <c r="R19" s="107">
        <v>2.4</v>
      </c>
      <c r="S19" s="197">
        <v>3.6</v>
      </c>
      <c r="T19" s="107">
        <v>2.4</v>
      </c>
      <c r="U19" s="108">
        <f>(U17-U20)/U17*100</f>
        <v>2.8884731267826727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34</v>
      </c>
      <c r="AE19" s="11">
        <v>17</v>
      </c>
      <c r="AF19" s="12">
        <f t="shared" si="0"/>
        <v>3.1166666666666667</v>
      </c>
    </row>
    <row r="20" spans="1:32" ht="16.5" thickBot="1" x14ac:dyDescent="0.3">
      <c r="A20" s="294" t="s">
        <v>30</v>
      </c>
      <c r="B20" s="295"/>
      <c r="C20" s="44">
        <v>70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509.42520000000002</v>
      </c>
      <c r="Q20" s="113"/>
      <c r="R20" s="114">
        <f>(R17-(R17*R19/100))</f>
        <v>355.64561600000002</v>
      </c>
      <c r="S20" s="112">
        <f>(S17-(S17*S19/100))</f>
        <v>393.31200000000001</v>
      </c>
      <c r="T20" s="112">
        <f>(T17-(T17*T19/100))</f>
        <v>131.75023999999999</v>
      </c>
      <c r="U20" s="115">
        <f>P20+Q20+R20+S20+T20</f>
        <v>1390.1330560000001</v>
      </c>
      <c r="V20" s="4"/>
      <c r="W20" s="4"/>
      <c r="X20" s="281"/>
      <c r="Y20" s="192" t="s">
        <v>45</v>
      </c>
      <c r="Z20" s="69">
        <v>1.8</v>
      </c>
      <c r="AA20" s="70">
        <f>100-Z20</f>
        <v>98.2</v>
      </c>
      <c r="AB20" s="279"/>
      <c r="AC20" s="74" t="s">
        <v>37</v>
      </c>
      <c r="AD20" s="58">
        <v>11</v>
      </c>
      <c r="AE20" s="11">
        <v>18</v>
      </c>
      <c r="AF20" s="12">
        <f t="shared" si="0"/>
        <v>3.3</v>
      </c>
    </row>
    <row r="21" spans="1:32" ht="19.5" thickBot="1" x14ac:dyDescent="0.3">
      <c r="A21" s="294" t="s">
        <v>61</v>
      </c>
      <c r="B21" s="295"/>
      <c r="C21" s="44">
        <v>20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47</v>
      </c>
      <c r="K21" s="118"/>
      <c r="L21" s="119"/>
      <c r="M21" s="307" t="s">
        <v>63</v>
      </c>
      <c r="N21" s="308"/>
      <c r="O21" s="309"/>
      <c r="P21" s="120">
        <f>(U17-(U17*U19/100))</f>
        <v>1390.1330560000001</v>
      </c>
      <c r="Q21" s="121"/>
      <c r="R21" s="122"/>
      <c r="S21" s="106"/>
      <c r="T21" s="106"/>
      <c r="U21" s="123"/>
      <c r="V21" s="4" t="s">
        <v>65</v>
      </c>
      <c r="W21" s="4"/>
      <c r="X21" s="281"/>
      <c r="Y21" s="71" t="s">
        <v>47</v>
      </c>
      <c r="Z21" s="72">
        <v>3.5</v>
      </c>
      <c r="AA21" s="73">
        <f>100-Z21</f>
        <v>96.5</v>
      </c>
      <c r="AB21" s="190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 t="s">
        <v>32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53</v>
      </c>
      <c r="K22" s="316">
        <f>J22/I22*100</f>
        <v>53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3.4</v>
      </c>
      <c r="AA22" s="73">
        <f>100-Z22</f>
        <v>96.6</v>
      </c>
      <c r="AB22" s="283">
        <v>0.625</v>
      </c>
      <c r="AC22" s="49" t="s">
        <v>30</v>
      </c>
      <c r="AD22" s="50">
        <v>44</v>
      </c>
      <c r="AE22" s="11">
        <v>20</v>
      </c>
      <c r="AF22" s="12">
        <f t="shared" si="0"/>
        <v>3.6666666666666665</v>
      </c>
    </row>
    <row r="23" spans="1:32" ht="16.5" thickBot="1" x14ac:dyDescent="0.3">
      <c r="A23" s="294" t="s">
        <v>35</v>
      </c>
      <c r="B23" s="295"/>
      <c r="C23" s="44">
        <v>70</v>
      </c>
      <c r="D23" s="296">
        <v>0.2</v>
      </c>
      <c r="E23" s="297"/>
      <c r="F23" s="298" t="s">
        <v>58</v>
      </c>
      <c r="G23" s="299"/>
      <c r="H23" s="4"/>
      <c r="I23" s="133" t="s">
        <v>66</v>
      </c>
      <c r="J23" s="134">
        <v>26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2.6</v>
      </c>
      <c r="AA23" s="73">
        <f>100-Z23</f>
        <v>97.4</v>
      </c>
      <c r="AB23" s="278"/>
      <c r="AC23" s="51" t="s">
        <v>32</v>
      </c>
      <c r="AD23" s="52">
        <v>41</v>
      </c>
      <c r="AE23" s="11">
        <v>21</v>
      </c>
      <c r="AF23" s="12">
        <f t="shared" si="0"/>
        <v>3.85</v>
      </c>
    </row>
    <row r="24" spans="1:32" ht="16.5" thickBot="1" x14ac:dyDescent="0.3">
      <c r="A24" s="294" t="s">
        <v>37</v>
      </c>
      <c r="B24" s="295"/>
      <c r="C24" s="44">
        <v>70</v>
      </c>
      <c r="D24" s="296">
        <v>0.15</v>
      </c>
      <c r="E24" s="297"/>
      <c r="F24" s="298" t="s">
        <v>58</v>
      </c>
      <c r="G24" s="299"/>
      <c r="H24" s="4"/>
      <c r="I24" s="136">
        <v>100</v>
      </c>
      <c r="J24" s="121">
        <f>I24-J23</f>
        <v>74</v>
      </c>
      <c r="K24" s="316">
        <f>J24/I24*100</f>
        <v>74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97.174999999999983</v>
      </c>
      <c r="AB24" s="278"/>
      <c r="AC24" s="51" t="s">
        <v>35</v>
      </c>
      <c r="AD24" s="52">
        <v>34</v>
      </c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14</v>
      </c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 t="s">
        <v>65</v>
      </c>
      <c r="X26" s="281"/>
      <c r="Y26" s="192" t="s">
        <v>45</v>
      </c>
      <c r="Z26" s="69">
        <v>1.8</v>
      </c>
      <c r="AA26" s="70">
        <f>100-Z26</f>
        <v>98.2</v>
      </c>
      <c r="AB26" s="189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4.3</v>
      </c>
      <c r="AA27" s="73">
        <f>100-Z27</f>
        <v>95.7</v>
      </c>
      <c r="AB27" s="267">
        <v>0.70833333333333337</v>
      </c>
      <c r="AC27" s="62" t="s">
        <v>30</v>
      </c>
      <c r="AD27" s="50">
        <v>42</v>
      </c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11"/>
      <c r="B28" s="412"/>
      <c r="C28" s="182"/>
      <c r="D28" s="403"/>
      <c r="E28" s="404"/>
      <c r="F28" s="409"/>
      <c r="G28" s="410"/>
      <c r="H28" s="345" t="s">
        <v>279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3.9</v>
      </c>
      <c r="AA28" s="73">
        <f>100-Z28</f>
        <v>96.1</v>
      </c>
      <c r="AB28" s="268"/>
      <c r="AC28" s="67" t="s">
        <v>32</v>
      </c>
      <c r="AD28" s="52"/>
      <c r="AE28" s="11">
        <v>26</v>
      </c>
      <c r="AF28" s="12">
        <f t="shared" si="0"/>
        <v>4.7666666666666666</v>
      </c>
    </row>
    <row r="29" spans="1:32" ht="21" customHeight="1" thickBot="1" x14ac:dyDescent="0.35">
      <c r="A29" s="411"/>
      <c r="B29" s="412"/>
      <c r="C29" s="182"/>
      <c r="D29" s="403"/>
      <c r="E29" s="404"/>
      <c r="F29" s="409"/>
      <c r="G29" s="410"/>
      <c r="H29" s="345" t="s">
        <v>278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1.1000000000000001</v>
      </c>
      <c r="AA29" s="73">
        <f>100-Z29</f>
        <v>98.9</v>
      </c>
      <c r="AB29" s="268"/>
      <c r="AC29" s="51" t="s">
        <v>35</v>
      </c>
      <c r="AD29" s="52">
        <v>34</v>
      </c>
      <c r="AE29" s="11">
        <v>27</v>
      </c>
      <c r="AF29" s="12">
        <f t="shared" si="0"/>
        <v>4.95</v>
      </c>
    </row>
    <row r="30" spans="1:32" ht="19.5" thickBot="1" x14ac:dyDescent="0.35">
      <c r="A30" s="411" t="s">
        <v>37</v>
      </c>
      <c r="B30" s="412"/>
      <c r="C30" s="182">
        <v>0.64652777777777781</v>
      </c>
      <c r="D30" s="403">
        <v>0.66527777777777775</v>
      </c>
      <c r="E30" s="404"/>
      <c r="F30" s="405" t="s">
        <v>283</v>
      </c>
      <c r="G30" s="406"/>
      <c r="H30" s="354" t="s">
        <v>280</v>
      </c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97.224999999999994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 t="s">
        <v>281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 t="s">
        <v>32</v>
      </c>
      <c r="B32" s="412"/>
      <c r="C32" s="182">
        <v>0.6791666666666667</v>
      </c>
      <c r="D32" s="403">
        <v>0.80555555555555547</v>
      </c>
      <c r="E32" s="404"/>
      <c r="F32" s="409" t="s">
        <v>282</v>
      </c>
      <c r="G32" s="410"/>
      <c r="H32" s="345" t="s">
        <v>259</v>
      </c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1.2</v>
      </c>
      <c r="AA32" s="70">
        <f>100-Z32</f>
        <v>98.8</v>
      </c>
      <c r="AB32" s="267">
        <v>0.79166666666666663</v>
      </c>
      <c r="AC32" s="62" t="s">
        <v>30</v>
      </c>
      <c r="AD32" s="50">
        <v>44</v>
      </c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2.5</v>
      </c>
      <c r="AA34" s="73">
        <f>100-Z34</f>
        <v>97.5</v>
      </c>
      <c r="AB34" s="268"/>
      <c r="AC34" s="67" t="s">
        <v>35</v>
      </c>
      <c r="AD34" s="52">
        <v>35</v>
      </c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0.9</v>
      </c>
      <c r="AA35" s="73">
        <f>100-Z35</f>
        <v>99.1</v>
      </c>
      <c r="AB35" s="269"/>
      <c r="AC35" s="74" t="s">
        <v>37</v>
      </c>
      <c r="AD35" s="58">
        <v>12</v>
      </c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98.85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 t="s">
        <v>78</v>
      </c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f>'13.01.26см1'!D44:F44</f>
        <v>102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47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>
        <v>56</v>
      </c>
      <c r="E42" s="386"/>
      <c r="F42" s="387"/>
      <c r="G42" s="160"/>
      <c r="H42" s="397" t="s">
        <v>88</v>
      </c>
      <c r="I42" s="398"/>
      <c r="J42" s="164">
        <v>9.2799999999999994</v>
      </c>
      <c r="K42" s="399">
        <v>9.68</v>
      </c>
      <c r="L42" s="400"/>
      <c r="M42" s="164">
        <v>9.19</v>
      </c>
      <c r="N42" s="165">
        <v>9.58</v>
      </c>
      <c r="O42" s="165">
        <v>9.33</v>
      </c>
      <c r="P42" s="165">
        <v>9.11</v>
      </c>
      <c r="Q42" s="401">
        <f>AVERAGE(J42:P43)</f>
        <v>9.3616666666666664</v>
      </c>
      <c r="R42" s="402"/>
      <c r="S42" s="166"/>
      <c r="T42" s="166"/>
      <c r="U42" s="4"/>
      <c r="W42" t="s">
        <v>65</v>
      </c>
      <c r="Y42" s="167" t="s">
        <v>80</v>
      </c>
      <c r="AA42" t="s">
        <v>78</v>
      </c>
      <c r="AB42" t="s">
        <v>65</v>
      </c>
      <c r="AE42" s="11">
        <v>40</v>
      </c>
      <c r="AF42" s="12">
        <f t="shared" si="0"/>
        <v>7.333333333333333</v>
      </c>
    </row>
    <row r="43" spans="1:32" ht="21" thickBot="1" x14ac:dyDescent="0.35">
      <c r="A43" s="187" t="s">
        <v>89</v>
      </c>
      <c r="B43" s="188"/>
      <c r="C43" s="188"/>
      <c r="D43" s="386">
        <v>3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93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193" t="s">
        <v>92</v>
      </c>
      <c r="S44" s="193"/>
      <c r="T44" s="193"/>
      <c r="U44" s="193"/>
      <c r="V44" s="193"/>
      <c r="W44" s="193"/>
      <c r="X44" s="193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H28" sqref="H28:U28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6" width="11.140625" customWidth="1"/>
    <col min="17" max="19" width="10.140625" customWidth="1"/>
    <col min="20" max="20" width="9.7109375" customWidth="1"/>
    <col min="21" max="21" width="10.140625" customWidth="1"/>
    <col min="22" max="22" width="11.57031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152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43.1</v>
      </c>
      <c r="Q5" s="29">
        <v>0</v>
      </c>
      <c r="R5" s="30">
        <v>43.521000000000001</v>
      </c>
      <c r="S5" s="30">
        <v>22</v>
      </c>
      <c r="T5" s="31">
        <v>11.84</v>
      </c>
      <c r="U5" s="32">
        <f>SUM(P5:T5)</f>
        <v>120.46100000000001</v>
      </c>
      <c r="V5" s="33">
        <v>2</v>
      </c>
      <c r="W5" s="21" t="s">
        <v>27</v>
      </c>
      <c r="X5" s="34">
        <v>521365.8</v>
      </c>
      <c r="Y5" s="34">
        <f>X5+P17</f>
        <v>521871.8</v>
      </c>
      <c r="Z5" s="35">
        <f>Y5-X5</f>
        <v>506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42.8</v>
      </c>
      <c r="Q6" s="29">
        <v>0</v>
      </c>
      <c r="R6" s="30">
        <v>43.655000000000001</v>
      </c>
      <c r="S6" s="30">
        <v>34</v>
      </c>
      <c r="T6" s="31">
        <v>12.61</v>
      </c>
      <c r="U6" s="32">
        <f t="shared" ref="U6:U16" si="1">SUM(P6:T6)</f>
        <v>133.065</v>
      </c>
      <c r="V6" s="44">
        <v>2</v>
      </c>
      <c r="W6" s="37" t="s">
        <v>28</v>
      </c>
      <c r="X6" s="45">
        <v>819117.95600000001</v>
      </c>
      <c r="Y6" s="34">
        <f>X6+R17</f>
        <v>819647.44499999995</v>
      </c>
      <c r="Z6" s="46">
        <f>Y6-X6</f>
        <v>529.48899999994319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>
        <v>64</v>
      </c>
      <c r="C7" s="39">
        <v>61</v>
      </c>
      <c r="D7" s="39">
        <v>72</v>
      </c>
      <c r="E7" s="40">
        <v>61</v>
      </c>
      <c r="F7" s="41">
        <v>64</v>
      </c>
      <c r="G7" s="42">
        <v>40</v>
      </c>
      <c r="H7" s="41">
        <v>33</v>
      </c>
      <c r="I7" s="42">
        <v>40</v>
      </c>
      <c r="J7" s="41">
        <v>30</v>
      </c>
      <c r="K7" s="38">
        <v>44</v>
      </c>
      <c r="L7" s="43">
        <v>56</v>
      </c>
      <c r="M7" s="40">
        <v>54</v>
      </c>
      <c r="N7" s="42">
        <v>53</v>
      </c>
      <c r="O7" s="41">
        <v>71</v>
      </c>
      <c r="P7" s="28">
        <v>40.6</v>
      </c>
      <c r="Q7" s="29">
        <v>0</v>
      </c>
      <c r="R7" s="30">
        <v>47.878</v>
      </c>
      <c r="S7" s="30">
        <v>32</v>
      </c>
      <c r="T7" s="31">
        <v>13.9</v>
      </c>
      <c r="U7" s="32">
        <f t="shared" si="1"/>
        <v>134.37800000000001</v>
      </c>
      <c r="V7" s="44">
        <v>5</v>
      </c>
      <c r="W7" s="37" t="s">
        <v>29</v>
      </c>
      <c r="X7" s="48">
        <v>511349</v>
      </c>
      <c r="Y7" s="34">
        <f>X7+S17</f>
        <v>511730</v>
      </c>
      <c r="Z7" s="46">
        <f>Y7-X7</f>
        <v>381</v>
      </c>
      <c r="AA7" s="47">
        <v>4</v>
      </c>
      <c r="AB7" s="267">
        <v>0.875</v>
      </c>
      <c r="AC7" s="49" t="s">
        <v>30</v>
      </c>
      <c r="AD7" s="50">
        <v>42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40.700000000000003</v>
      </c>
      <c r="Q8" s="29">
        <v>0</v>
      </c>
      <c r="R8" s="30">
        <v>45.317</v>
      </c>
      <c r="S8" s="30">
        <v>32</v>
      </c>
      <c r="T8" s="31">
        <v>13.56</v>
      </c>
      <c r="U8" s="32">
        <f t="shared" si="1"/>
        <v>131.577</v>
      </c>
      <c r="V8" s="44">
        <v>4</v>
      </c>
      <c r="W8" s="37" t="s">
        <v>31</v>
      </c>
      <c r="X8" s="46">
        <v>3632.25</v>
      </c>
      <c r="Y8" s="34">
        <f>X8+T17</f>
        <v>3790.2</v>
      </c>
      <c r="Z8" s="46">
        <f>T17</f>
        <v>157.95000000000002</v>
      </c>
      <c r="AA8" s="47">
        <v>5</v>
      </c>
      <c r="AB8" s="268"/>
      <c r="AC8" s="51" t="s">
        <v>32</v>
      </c>
      <c r="AD8" s="52">
        <v>42</v>
      </c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42</v>
      </c>
      <c r="Q9" s="29">
        <v>0</v>
      </c>
      <c r="R9" s="30">
        <v>45.872999999999998</v>
      </c>
      <c r="S9" s="30">
        <v>32</v>
      </c>
      <c r="T9" s="31">
        <v>14.46</v>
      </c>
      <c r="U9" s="32">
        <f t="shared" si="1"/>
        <v>134.333</v>
      </c>
      <c r="V9" s="44">
        <v>4</v>
      </c>
      <c r="W9" s="37" t="s">
        <v>33</v>
      </c>
      <c r="X9" s="270" t="s">
        <v>34</v>
      </c>
      <c r="Y9" s="271"/>
      <c r="Z9" s="54">
        <f>SUM(Z5:Z8)</f>
        <v>1574.4389999999432</v>
      </c>
      <c r="AA9" s="55"/>
      <c r="AB9" s="268"/>
      <c r="AC9" s="51" t="s">
        <v>35</v>
      </c>
      <c r="AD9" s="52">
        <v>33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42.7</v>
      </c>
      <c r="Q10" s="29">
        <v>0</v>
      </c>
      <c r="R10" s="30">
        <v>43.988999999999997</v>
      </c>
      <c r="S10" s="30">
        <v>33</v>
      </c>
      <c r="T10" s="31">
        <v>12.95</v>
      </c>
      <c r="U10" s="32">
        <f t="shared" si="1"/>
        <v>132.63899999999998</v>
      </c>
      <c r="V10" s="44">
        <v>5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12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41.7</v>
      </c>
      <c r="Q11" s="29">
        <v>0</v>
      </c>
      <c r="R11" s="30">
        <v>44.040999999999997</v>
      </c>
      <c r="S11" s="30">
        <v>34</v>
      </c>
      <c r="T11" s="31">
        <v>13.36</v>
      </c>
      <c r="U11" s="32">
        <f t="shared" si="1"/>
        <v>133.101</v>
      </c>
      <c r="V11" s="44">
        <v>5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42</v>
      </c>
      <c r="Q12" s="29">
        <v>0</v>
      </c>
      <c r="R12" s="30">
        <v>43.518999999999998</v>
      </c>
      <c r="S12" s="30">
        <v>33</v>
      </c>
      <c r="T12" s="31">
        <v>13.26</v>
      </c>
      <c r="U12" s="32">
        <f t="shared" si="1"/>
        <v>131.779</v>
      </c>
      <c r="V12" s="44">
        <v>4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42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>
        <v>63</v>
      </c>
      <c r="C13" s="39">
        <v>60</v>
      </c>
      <c r="D13" s="39">
        <v>69</v>
      </c>
      <c r="E13" s="40">
        <v>61</v>
      </c>
      <c r="F13" s="41">
        <v>63</v>
      </c>
      <c r="G13" s="42">
        <v>40</v>
      </c>
      <c r="H13" s="41">
        <v>32</v>
      </c>
      <c r="I13" s="42">
        <v>28</v>
      </c>
      <c r="J13" s="41">
        <v>42</v>
      </c>
      <c r="K13" s="38">
        <v>44</v>
      </c>
      <c r="L13" s="43">
        <v>53</v>
      </c>
      <c r="M13" s="40">
        <v>51</v>
      </c>
      <c r="N13" s="42">
        <v>55</v>
      </c>
      <c r="O13" s="41">
        <v>73</v>
      </c>
      <c r="P13" s="53">
        <v>45.7</v>
      </c>
      <c r="Q13" s="29">
        <v>0</v>
      </c>
      <c r="R13" s="30">
        <v>43.448</v>
      </c>
      <c r="S13" s="30">
        <v>33</v>
      </c>
      <c r="T13" s="31">
        <v>12.76</v>
      </c>
      <c r="U13" s="32">
        <f t="shared" si="1"/>
        <v>134.90799999999999</v>
      </c>
      <c r="V13" s="44">
        <v>4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43</v>
      </c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42.7</v>
      </c>
      <c r="Q14" s="29">
        <v>0</v>
      </c>
      <c r="R14" s="30">
        <v>43.905000000000001</v>
      </c>
      <c r="S14" s="30">
        <v>33</v>
      </c>
      <c r="T14" s="31">
        <v>12.81</v>
      </c>
      <c r="U14" s="32">
        <f t="shared" si="1"/>
        <v>132.41499999999999</v>
      </c>
      <c r="V14" s="44">
        <v>5</v>
      </c>
      <c r="W14" s="37" t="s">
        <v>44</v>
      </c>
      <c r="X14" s="280">
        <v>0.91666666666666663</v>
      </c>
      <c r="Y14" s="210" t="s">
        <v>45</v>
      </c>
      <c r="Z14" s="69">
        <v>0.6</v>
      </c>
      <c r="AA14" s="70">
        <f>100-Z14</f>
        <v>99.4</v>
      </c>
      <c r="AB14" s="278"/>
      <c r="AC14" s="51" t="s">
        <v>35</v>
      </c>
      <c r="AD14" s="52">
        <v>32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40.799999999999997</v>
      </c>
      <c r="Q15" s="29">
        <v>0</v>
      </c>
      <c r="R15" s="30">
        <v>42.917000000000002</v>
      </c>
      <c r="S15" s="30">
        <v>33</v>
      </c>
      <c r="T15" s="31">
        <v>13.4</v>
      </c>
      <c r="U15" s="32">
        <f t="shared" si="1"/>
        <v>130.11699999999999</v>
      </c>
      <c r="V15" s="44">
        <v>4</v>
      </c>
      <c r="W15" s="37" t="s">
        <v>46</v>
      </c>
      <c r="X15" s="281"/>
      <c r="Y15" s="71" t="s">
        <v>47</v>
      </c>
      <c r="Z15" s="72">
        <v>1.1000000000000001</v>
      </c>
      <c r="AA15" s="73">
        <f>100-Z15</f>
        <v>98.9</v>
      </c>
      <c r="AB15" s="279"/>
      <c r="AC15" s="74" t="s">
        <v>37</v>
      </c>
      <c r="AD15" s="58">
        <v>12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41.2</v>
      </c>
      <c r="Q16" s="29">
        <v>0</v>
      </c>
      <c r="R16" s="30">
        <v>41.426000000000002</v>
      </c>
      <c r="S16" s="30">
        <v>30</v>
      </c>
      <c r="T16" s="82">
        <v>13.04</v>
      </c>
      <c r="U16" s="32">
        <f t="shared" si="1"/>
        <v>125.666</v>
      </c>
      <c r="V16" s="83">
        <v>7</v>
      </c>
      <c r="W16" s="75" t="s">
        <v>48</v>
      </c>
      <c r="X16" s="281"/>
      <c r="Y16" s="71" t="s">
        <v>49</v>
      </c>
      <c r="Z16" s="72">
        <v>1.7</v>
      </c>
      <c r="AA16" s="73">
        <f>100-Z16</f>
        <v>98.3</v>
      </c>
      <c r="AB16" s="190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63.5</v>
      </c>
      <c r="C17" s="88">
        <f>AVERAGE(C5:C16)</f>
        <v>60.5</v>
      </c>
      <c r="D17" s="88">
        <f>AVERAGE(D5:D15)</f>
        <v>70.5</v>
      </c>
      <c r="E17" s="88">
        <f>AVERAGE(E5:E15)</f>
        <v>61</v>
      </c>
      <c r="F17" s="88">
        <f>AVERAGE(F5:F15)</f>
        <v>63.5</v>
      </c>
      <c r="G17" s="88">
        <f>AVERAGE(G5:G16)</f>
        <v>40</v>
      </c>
      <c r="H17" s="88">
        <f>AVERAGE(H5:H16)</f>
        <v>32.5</v>
      </c>
      <c r="I17" s="88">
        <f t="shared" ref="I17:N17" si="2">AVERAGE(I5:I15)</f>
        <v>34</v>
      </c>
      <c r="J17" s="88">
        <f t="shared" si="2"/>
        <v>36</v>
      </c>
      <c r="K17" s="88">
        <f t="shared" si="2"/>
        <v>44</v>
      </c>
      <c r="L17" s="88">
        <f t="shared" si="2"/>
        <v>54.5</v>
      </c>
      <c r="M17" s="89">
        <f t="shared" si="2"/>
        <v>52.5</v>
      </c>
      <c r="N17" s="89">
        <f t="shared" si="2"/>
        <v>54</v>
      </c>
      <c r="O17" s="89">
        <f>AVERAGE(O5:O16)</f>
        <v>72</v>
      </c>
      <c r="P17" s="90">
        <f>SUM(P5:P16)</f>
        <v>505.99999999999994</v>
      </c>
      <c r="Q17" s="91">
        <f>SUM(Q5:Q16)</f>
        <v>0</v>
      </c>
      <c r="R17" s="92">
        <f>SUM(R5:R16)</f>
        <v>529.48900000000003</v>
      </c>
      <c r="S17" s="93">
        <f>SUM(S5:S16)</f>
        <v>381</v>
      </c>
      <c r="T17" s="93">
        <f>SUM(T5:T16)</f>
        <v>157.95000000000002</v>
      </c>
      <c r="U17" s="94">
        <f>SUM(P17:T17)</f>
        <v>1574.4390000000001</v>
      </c>
      <c r="V17" s="1">
        <f>SUM(V5:V16)</f>
        <v>51</v>
      </c>
      <c r="W17" s="4"/>
      <c r="X17" s="281"/>
      <c r="Y17" s="71" t="s">
        <v>51</v>
      </c>
      <c r="Z17" s="72">
        <v>0.8</v>
      </c>
      <c r="AA17" s="73">
        <f>100-Z17</f>
        <v>99.2</v>
      </c>
      <c r="AB17" s="283">
        <v>4.1666666666666664E-2</v>
      </c>
      <c r="AC17" s="62" t="s">
        <v>30</v>
      </c>
      <c r="AD17" s="50">
        <v>42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98.95</v>
      </c>
      <c r="AB18" s="278"/>
      <c r="AC18" s="51" t="s">
        <v>32</v>
      </c>
      <c r="AD18" s="52">
        <v>42</v>
      </c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153</v>
      </c>
      <c r="J19" s="259"/>
      <c r="K19" s="259"/>
      <c r="L19" s="260"/>
      <c r="M19" s="261" t="s">
        <v>57</v>
      </c>
      <c r="N19" s="262"/>
      <c r="O19" s="263"/>
      <c r="P19" s="196">
        <v>3</v>
      </c>
      <c r="Q19" s="106"/>
      <c r="R19" s="107">
        <v>2.4</v>
      </c>
      <c r="S19" s="107">
        <v>2.8</v>
      </c>
      <c r="T19" s="107">
        <v>3.1</v>
      </c>
      <c r="U19" s="108">
        <f>(U17-U20)/U17*100</f>
        <v>2.7598519853738366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32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61</v>
      </c>
      <c r="B20" s="295"/>
      <c r="C20" s="44">
        <v>20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490.81999999999994</v>
      </c>
      <c r="Q20" s="113"/>
      <c r="R20" s="114">
        <f>(R17-(R17*R19/100))</f>
        <v>516.78126400000008</v>
      </c>
      <c r="S20" s="112">
        <f>(S17-(S17*S19/100))</f>
        <v>370.33199999999999</v>
      </c>
      <c r="T20" s="112">
        <f>(T17-(T17*T19/100))</f>
        <v>153.05355000000003</v>
      </c>
      <c r="U20" s="115">
        <f>P20+Q20+R20+S20+T20</f>
        <v>1530.9868140000001</v>
      </c>
      <c r="V20" s="4"/>
      <c r="W20" s="4"/>
      <c r="X20" s="281"/>
      <c r="Y20" s="210" t="s">
        <v>45</v>
      </c>
      <c r="Z20" s="69">
        <v>3.2</v>
      </c>
      <c r="AA20" s="70">
        <f>100-Z20</f>
        <v>96.8</v>
      </c>
      <c r="AB20" s="279"/>
      <c r="AC20" s="74" t="s">
        <v>37</v>
      </c>
      <c r="AD20" s="58">
        <v>12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32</v>
      </c>
      <c r="B21" s="295"/>
      <c r="C21" s="44">
        <v>70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46</v>
      </c>
      <c r="K21" s="118"/>
      <c r="L21" s="119"/>
      <c r="M21" s="307" t="s">
        <v>63</v>
      </c>
      <c r="N21" s="308"/>
      <c r="O21" s="309"/>
      <c r="P21" s="120">
        <f>(U17-(U17*U19/100))</f>
        <v>1530.9868140000001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2.1</v>
      </c>
      <c r="AA21" s="73">
        <f>100-Z21</f>
        <v>97.9</v>
      </c>
      <c r="AB21" s="190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35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54</v>
      </c>
      <c r="K22" s="316">
        <f>J22/I22*100</f>
        <v>54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1.5</v>
      </c>
      <c r="AA22" s="73">
        <f>100-Z22</f>
        <v>98.5</v>
      </c>
      <c r="AB22" s="283">
        <v>0.125</v>
      </c>
      <c r="AC22" s="49" t="s">
        <v>30</v>
      </c>
      <c r="AD22" s="50">
        <v>42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 t="s">
        <v>37</v>
      </c>
      <c r="B23" s="295"/>
      <c r="C23" s="44">
        <v>70</v>
      </c>
      <c r="D23" s="296">
        <v>0.15</v>
      </c>
      <c r="E23" s="297"/>
      <c r="F23" s="298" t="s">
        <v>58</v>
      </c>
      <c r="G23" s="299"/>
      <c r="H23" s="4"/>
      <c r="I23" s="133" t="s">
        <v>66</v>
      </c>
      <c r="J23" s="134">
        <v>29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1.3</v>
      </c>
      <c r="AA23" s="73">
        <f>100-Z23</f>
        <v>98.7</v>
      </c>
      <c r="AB23" s="278"/>
      <c r="AC23" s="51" t="s">
        <v>32</v>
      </c>
      <c r="AD23" s="52">
        <v>43</v>
      </c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71</v>
      </c>
      <c r="K24" s="316">
        <f>J24/I24*100</f>
        <v>71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97.974999999999994</v>
      </c>
      <c r="AB24" s="278"/>
      <c r="AC24" s="51" t="s">
        <v>35</v>
      </c>
      <c r="AD24" s="52">
        <v>34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12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>
        <v>1.3</v>
      </c>
      <c r="AA26" s="70">
        <f>100-Z26</f>
        <v>98.7</v>
      </c>
      <c r="AB26" s="189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2.7</v>
      </c>
      <c r="AA27" s="73">
        <f>100-Z27</f>
        <v>97.3</v>
      </c>
      <c r="AB27" s="267">
        <v>0.20833333333333334</v>
      </c>
      <c r="AC27" s="62" t="s">
        <v>30</v>
      </c>
      <c r="AD27" s="50">
        <v>42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 t="s">
        <v>284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2.8</v>
      </c>
      <c r="AA28" s="73">
        <f>100-Z28</f>
        <v>97.2</v>
      </c>
      <c r="AB28" s="268"/>
      <c r="AC28" s="67" t="s">
        <v>32</v>
      </c>
      <c r="AD28" s="52">
        <v>42</v>
      </c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 t="s">
        <v>285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1.5</v>
      </c>
      <c r="AA29" s="73">
        <f>100-Z29</f>
        <v>98.5</v>
      </c>
      <c r="AB29" s="268"/>
      <c r="AC29" s="51" t="s">
        <v>35</v>
      </c>
      <c r="AD29" s="52">
        <v>33</v>
      </c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97.924999999999997</v>
      </c>
      <c r="AB30" s="269"/>
      <c r="AC30" s="74" t="s">
        <v>37</v>
      </c>
      <c r="AD30" s="58">
        <v>12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1.8</v>
      </c>
      <c r="AA32" s="70">
        <f>100-Z32</f>
        <v>98.2</v>
      </c>
      <c r="AB32" s="267">
        <v>0.29166666666666669</v>
      </c>
      <c r="AC32" s="62" t="s">
        <v>30</v>
      </c>
      <c r="AD32" s="50">
        <v>43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>
        <v>1.4</v>
      </c>
      <c r="AA33" s="73">
        <f>100-Z33</f>
        <v>98.6</v>
      </c>
      <c r="AB33" s="268"/>
      <c r="AC33" s="51" t="s">
        <v>32</v>
      </c>
      <c r="AD33" s="52">
        <v>41</v>
      </c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1.8</v>
      </c>
      <c r="AA34" s="73">
        <f>100-Z34</f>
        <v>98.2</v>
      </c>
      <c r="AB34" s="268"/>
      <c r="AC34" s="67" t="s">
        <v>35</v>
      </c>
      <c r="AD34" s="52">
        <v>33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1.3</v>
      </c>
      <c r="AA35" s="73">
        <f>100-Z35</f>
        <v>98.7</v>
      </c>
      <c r="AB35" s="269"/>
      <c r="AC35" s="74" t="s">
        <v>37</v>
      </c>
      <c r="AD35" s="58">
        <v>12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98.424999999999997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93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51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>
        <v>16</v>
      </c>
      <c r="E42" s="386"/>
      <c r="F42" s="387"/>
      <c r="G42" s="160"/>
      <c r="H42" s="397" t="s">
        <v>88</v>
      </c>
      <c r="I42" s="398"/>
      <c r="J42" s="164">
        <v>9.39</v>
      </c>
      <c r="K42" s="399">
        <v>9.26</v>
      </c>
      <c r="L42" s="400"/>
      <c r="M42" s="164">
        <v>9.15</v>
      </c>
      <c r="N42" s="165">
        <v>9.24</v>
      </c>
      <c r="O42" s="165">
        <v>9.31</v>
      </c>
      <c r="P42" s="165">
        <v>9.1999999999999993</v>
      </c>
      <c r="Q42" s="401">
        <f>AVERAGE(J42:P43)</f>
        <v>9.2583333333333329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187" t="s">
        <v>89</v>
      </c>
      <c r="B43" s="188"/>
      <c r="C43" s="188"/>
      <c r="D43" s="386">
        <v>1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128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193"/>
      <c r="X44" s="193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H45" sqref="H45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10.28515625" customWidth="1"/>
    <col min="19" max="19" width="10.7109375" customWidth="1"/>
    <col min="20" max="20" width="10.4257812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152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44.3</v>
      </c>
      <c r="Q5" s="29">
        <v>0</v>
      </c>
      <c r="R5" s="30">
        <v>41.381</v>
      </c>
      <c r="S5" s="30">
        <v>37</v>
      </c>
      <c r="T5" s="31">
        <v>12.76</v>
      </c>
      <c r="U5" s="32">
        <f>SUM(P5:T5)</f>
        <v>135.441</v>
      </c>
      <c r="V5" s="33"/>
      <c r="W5" s="21" t="s">
        <v>93</v>
      </c>
      <c r="X5" s="34">
        <f>'14.01.26см1'!Y5</f>
        <v>521871.8</v>
      </c>
      <c r="Y5" s="34">
        <f>X5+P17</f>
        <v>522392</v>
      </c>
      <c r="Z5" s="35">
        <f>Y5-X5</f>
        <v>520.20000000001164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37.6</v>
      </c>
      <c r="Q6" s="29">
        <v>0</v>
      </c>
      <c r="R6" s="30">
        <v>33.881</v>
      </c>
      <c r="S6" s="30">
        <v>31</v>
      </c>
      <c r="T6" s="31">
        <v>12.69</v>
      </c>
      <c r="U6" s="32">
        <f t="shared" ref="U6:U16" si="1">SUM(P6:T6)</f>
        <v>115.17099999999999</v>
      </c>
      <c r="V6" s="44">
        <v>4</v>
      </c>
      <c r="W6" s="37" t="s">
        <v>94</v>
      </c>
      <c r="X6" s="45">
        <f>'14.01.26см1'!Y6</f>
        <v>819647.44499999995</v>
      </c>
      <c r="Y6" s="34">
        <f>X6+R17</f>
        <v>820124.49199999997</v>
      </c>
      <c r="Z6" s="46">
        <f>Y6-X6</f>
        <v>477.04700000002049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>
        <v>46.9</v>
      </c>
      <c r="Q7" s="29">
        <v>0</v>
      </c>
      <c r="R7" s="30">
        <v>40.204999999999998</v>
      </c>
      <c r="S7" s="30">
        <v>32</v>
      </c>
      <c r="T7" s="31">
        <v>13.28</v>
      </c>
      <c r="U7" s="32">
        <f t="shared" si="1"/>
        <v>132.38499999999999</v>
      </c>
      <c r="V7" s="44">
        <v>6</v>
      </c>
      <c r="W7" s="37" t="s">
        <v>95</v>
      </c>
      <c r="X7" s="48">
        <v>511805</v>
      </c>
      <c r="Y7" s="34">
        <f>X7+S17</f>
        <v>512187</v>
      </c>
      <c r="Z7" s="46">
        <f>Y7-X7</f>
        <v>382</v>
      </c>
      <c r="AA7" s="47">
        <v>4</v>
      </c>
      <c r="AB7" s="267">
        <v>0.375</v>
      </c>
      <c r="AC7" s="49" t="s">
        <v>30</v>
      </c>
      <c r="AD7" s="50">
        <v>43</v>
      </c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>
        <v>72</v>
      </c>
      <c r="C8" s="39">
        <v>65</v>
      </c>
      <c r="D8" s="39">
        <v>76</v>
      </c>
      <c r="E8" s="40">
        <v>71</v>
      </c>
      <c r="F8" s="41">
        <v>69</v>
      </c>
      <c r="G8" s="42">
        <v>47</v>
      </c>
      <c r="H8" s="41">
        <v>34</v>
      </c>
      <c r="I8" s="42"/>
      <c r="J8" s="41"/>
      <c r="K8" s="38">
        <v>61</v>
      </c>
      <c r="L8" s="43">
        <v>63</v>
      </c>
      <c r="M8" s="40">
        <v>56</v>
      </c>
      <c r="N8" s="42">
        <v>50</v>
      </c>
      <c r="O8" s="41">
        <v>67</v>
      </c>
      <c r="P8" s="28">
        <v>45.3</v>
      </c>
      <c r="Q8" s="29">
        <v>0</v>
      </c>
      <c r="R8" s="30">
        <v>39.94</v>
      </c>
      <c r="S8" s="30">
        <v>34</v>
      </c>
      <c r="T8" s="31">
        <v>12.58</v>
      </c>
      <c r="U8" s="32">
        <f t="shared" si="1"/>
        <v>131.82</v>
      </c>
      <c r="V8" s="44">
        <v>2</v>
      </c>
      <c r="W8" s="37" t="s">
        <v>96</v>
      </c>
      <c r="X8" s="46">
        <f>'14.01.26см1'!Y8</f>
        <v>3790.2</v>
      </c>
      <c r="Y8" s="34">
        <f>X8+T17</f>
        <v>3930.2299999999996</v>
      </c>
      <c r="Z8" s="46">
        <f>T17</f>
        <v>140.02999999999997</v>
      </c>
      <c r="AA8" s="47">
        <v>5</v>
      </c>
      <c r="AB8" s="268"/>
      <c r="AC8" s="51" t="s">
        <v>32</v>
      </c>
      <c r="AD8" s="52">
        <v>43</v>
      </c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43</v>
      </c>
      <c r="Q9" s="29">
        <v>0</v>
      </c>
      <c r="R9" s="30">
        <v>39.997999999999998</v>
      </c>
      <c r="S9" s="30">
        <v>34</v>
      </c>
      <c r="T9" s="31">
        <v>9.98</v>
      </c>
      <c r="U9" s="32">
        <f t="shared" si="1"/>
        <v>126.97799999999999</v>
      </c>
      <c r="V9" s="44">
        <v>3</v>
      </c>
      <c r="W9" s="37" t="s">
        <v>97</v>
      </c>
      <c r="X9" s="270" t="s">
        <v>34</v>
      </c>
      <c r="Y9" s="271"/>
      <c r="Z9" s="54">
        <f>SUM(Z5:Z8)</f>
        <v>1519.2770000000321</v>
      </c>
      <c r="AA9" s="55"/>
      <c r="AB9" s="268"/>
      <c r="AC9" s="51" t="s">
        <v>35</v>
      </c>
      <c r="AD9" s="52">
        <v>35</v>
      </c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44.6</v>
      </c>
      <c r="Q10" s="29">
        <v>0</v>
      </c>
      <c r="R10" s="30">
        <v>41.356999999999999</v>
      </c>
      <c r="S10" s="30">
        <v>32</v>
      </c>
      <c r="T10" s="31">
        <v>9.83</v>
      </c>
      <c r="U10" s="32">
        <f t="shared" si="1"/>
        <v>127.78699999999999</v>
      </c>
      <c r="V10" s="44">
        <v>3</v>
      </c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10</v>
      </c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46.4</v>
      </c>
      <c r="Q11" s="29">
        <v>0</v>
      </c>
      <c r="R11" s="30">
        <v>39.680999999999997</v>
      </c>
      <c r="S11" s="30">
        <v>29</v>
      </c>
      <c r="T11" s="31">
        <v>10.119999999999999</v>
      </c>
      <c r="U11" s="32">
        <f t="shared" si="1"/>
        <v>125.20099999999999</v>
      </c>
      <c r="V11" s="44">
        <v>4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48.3</v>
      </c>
      <c r="Q12" s="29">
        <v>0</v>
      </c>
      <c r="R12" s="30">
        <v>38.783000000000001</v>
      </c>
      <c r="S12" s="30">
        <v>29</v>
      </c>
      <c r="T12" s="31">
        <v>8.6999999999999993</v>
      </c>
      <c r="U12" s="32">
        <f t="shared" si="1"/>
        <v>124.783</v>
      </c>
      <c r="V12" s="44">
        <v>6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>
        <v>44</v>
      </c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>
        <v>42.3</v>
      </c>
      <c r="Q13" s="29">
        <v>0</v>
      </c>
      <c r="R13" s="30">
        <v>37.402999999999999</v>
      </c>
      <c r="S13" s="30">
        <v>29</v>
      </c>
      <c r="T13" s="31">
        <v>11.77</v>
      </c>
      <c r="U13" s="32">
        <f t="shared" si="1"/>
        <v>120.473</v>
      </c>
      <c r="V13" s="44">
        <v>2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43</v>
      </c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>
        <v>70</v>
      </c>
      <c r="C14" s="39">
        <v>57</v>
      </c>
      <c r="D14" s="39">
        <v>73</v>
      </c>
      <c r="E14" s="40">
        <v>60</v>
      </c>
      <c r="F14" s="41">
        <v>63</v>
      </c>
      <c r="G14" s="42">
        <v>46</v>
      </c>
      <c r="H14" s="41">
        <v>37</v>
      </c>
      <c r="I14" s="42"/>
      <c r="J14" s="41"/>
      <c r="K14" s="38">
        <v>56</v>
      </c>
      <c r="L14" s="43">
        <v>61</v>
      </c>
      <c r="M14" s="40">
        <v>46</v>
      </c>
      <c r="N14" s="42">
        <v>52</v>
      </c>
      <c r="O14" s="41">
        <v>71</v>
      </c>
      <c r="P14" s="53">
        <v>44</v>
      </c>
      <c r="Q14" s="29">
        <v>0</v>
      </c>
      <c r="R14" s="30">
        <v>40.854999999999997</v>
      </c>
      <c r="S14" s="30">
        <v>30</v>
      </c>
      <c r="T14" s="31">
        <v>13.27</v>
      </c>
      <c r="U14" s="32">
        <f t="shared" si="1"/>
        <v>128.125</v>
      </c>
      <c r="V14" s="44">
        <v>5</v>
      </c>
      <c r="W14" s="37" t="s">
        <v>102</v>
      </c>
      <c r="X14" s="280">
        <v>0.41666666666666669</v>
      </c>
      <c r="Y14" s="192" t="s">
        <v>45</v>
      </c>
      <c r="Z14" s="69">
        <v>1.9</v>
      </c>
      <c r="AA14" s="70">
        <f>100-Z14</f>
        <v>98.1</v>
      </c>
      <c r="AB14" s="278"/>
      <c r="AC14" s="51" t="s">
        <v>35</v>
      </c>
      <c r="AD14" s="52">
        <v>32</v>
      </c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38.6</v>
      </c>
      <c r="Q15" s="29">
        <v>0</v>
      </c>
      <c r="R15" s="30">
        <v>39.784999999999997</v>
      </c>
      <c r="S15" s="30">
        <v>32</v>
      </c>
      <c r="T15" s="31">
        <v>12.6</v>
      </c>
      <c r="U15" s="32">
        <f t="shared" si="1"/>
        <v>122.98499999999999</v>
      </c>
      <c r="V15" s="44">
        <v>6</v>
      </c>
      <c r="W15" s="37" t="s">
        <v>103</v>
      </c>
      <c r="X15" s="281"/>
      <c r="Y15" s="71" t="s">
        <v>47</v>
      </c>
      <c r="Z15" s="72">
        <v>3.2</v>
      </c>
      <c r="AA15" s="73">
        <f>100-Z15</f>
        <v>96.8</v>
      </c>
      <c r="AB15" s="279"/>
      <c r="AC15" s="74" t="s">
        <v>37</v>
      </c>
      <c r="AD15" s="58">
        <v>12</v>
      </c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38.9</v>
      </c>
      <c r="Q16" s="29">
        <v>0</v>
      </c>
      <c r="R16" s="30">
        <v>43.777999999999999</v>
      </c>
      <c r="S16" s="30">
        <v>33</v>
      </c>
      <c r="T16" s="82">
        <v>12.45</v>
      </c>
      <c r="U16" s="32">
        <f t="shared" si="1"/>
        <v>128.12799999999999</v>
      </c>
      <c r="V16" s="83">
        <v>5</v>
      </c>
      <c r="W16" s="75" t="s">
        <v>104</v>
      </c>
      <c r="X16" s="281"/>
      <c r="Y16" s="71" t="s">
        <v>49</v>
      </c>
      <c r="Z16" s="72">
        <v>1.7</v>
      </c>
      <c r="AA16" s="73">
        <f>100-Z16</f>
        <v>98.3</v>
      </c>
      <c r="AB16" s="190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>
        <f>AVERAGE(B5:B15)</f>
        <v>71</v>
      </c>
      <c r="C17" s="88">
        <f>AVERAGE(C5:C16)</f>
        <v>61</v>
      </c>
      <c r="D17" s="88">
        <f>AVERAGE(D5:D15)</f>
        <v>74.5</v>
      </c>
      <c r="E17" s="88">
        <f>AVERAGE(E5:E15)</f>
        <v>65.5</v>
      </c>
      <c r="F17" s="88">
        <f>AVERAGE(F5:F15)</f>
        <v>66</v>
      </c>
      <c r="G17" s="88">
        <f>AVERAGE(G5:G16)</f>
        <v>46.5</v>
      </c>
      <c r="H17" s="88">
        <f>AVERAGE(H5:H16)</f>
        <v>35.5</v>
      </c>
      <c r="I17" s="88" t="e">
        <f t="shared" ref="I17:N17" si="2">AVERAGE(I5:I15)</f>
        <v>#DIV/0!</v>
      </c>
      <c r="J17" s="88" t="e">
        <f t="shared" si="2"/>
        <v>#DIV/0!</v>
      </c>
      <c r="K17" s="88">
        <f t="shared" si="2"/>
        <v>58.5</v>
      </c>
      <c r="L17" s="88">
        <f t="shared" si="2"/>
        <v>62</v>
      </c>
      <c r="M17" s="89">
        <f t="shared" si="2"/>
        <v>51</v>
      </c>
      <c r="N17" s="89">
        <f t="shared" si="2"/>
        <v>51</v>
      </c>
      <c r="O17" s="89">
        <f>AVERAGE(O5:O16)</f>
        <v>69</v>
      </c>
      <c r="P17" s="90">
        <f>SUM(P5:P16)</f>
        <v>520.20000000000005</v>
      </c>
      <c r="Q17" s="91">
        <f>SUM(Q5:Q16)</f>
        <v>0</v>
      </c>
      <c r="R17" s="92">
        <f>SUM(R5:R16)</f>
        <v>477.04700000000003</v>
      </c>
      <c r="S17" s="93">
        <f>SUM(S5:S16)</f>
        <v>382</v>
      </c>
      <c r="T17" s="93">
        <f>SUM(T5:T16)</f>
        <v>140.02999999999997</v>
      </c>
      <c r="U17" s="94">
        <f>SUM(P17:T17)</f>
        <v>1519.277</v>
      </c>
      <c r="V17" s="1">
        <f>SUM(V5:V16)</f>
        <v>46</v>
      </c>
      <c r="W17" s="4"/>
      <c r="X17" s="281"/>
      <c r="Y17" s="71" t="s">
        <v>51</v>
      </c>
      <c r="Z17" s="95">
        <v>3.8</v>
      </c>
      <c r="AA17" s="73">
        <f>100-Z17</f>
        <v>96.2</v>
      </c>
      <c r="AB17" s="283">
        <v>0.54166666666666663</v>
      </c>
      <c r="AC17" s="62" t="s">
        <v>30</v>
      </c>
      <c r="AD17" s="50">
        <v>43</v>
      </c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97.35</v>
      </c>
      <c r="AB18" s="278"/>
      <c r="AC18" s="51" t="s">
        <v>32</v>
      </c>
      <c r="AD18" s="52">
        <v>43</v>
      </c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286</v>
      </c>
      <c r="J19" s="259"/>
      <c r="K19" s="259"/>
      <c r="L19" s="260"/>
      <c r="M19" s="261" t="s">
        <v>57</v>
      </c>
      <c r="N19" s="262"/>
      <c r="O19" s="263"/>
      <c r="P19" s="196">
        <v>3.3</v>
      </c>
      <c r="Q19" s="106"/>
      <c r="R19" s="107">
        <v>2.2000000000000002</v>
      </c>
      <c r="S19" s="107">
        <v>2.6</v>
      </c>
      <c r="T19" s="107">
        <v>2.5</v>
      </c>
      <c r="U19" s="108">
        <f>(U17-U20)/U17*100</f>
        <v>2.7048644848832697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34</v>
      </c>
      <c r="AE19" s="11">
        <v>17</v>
      </c>
      <c r="AF19" s="12">
        <f t="shared" si="0"/>
        <v>3.1166666666666667</v>
      </c>
    </row>
    <row r="20" spans="1:32" ht="16.5" thickBot="1" x14ac:dyDescent="0.3">
      <c r="A20" s="294" t="s">
        <v>30</v>
      </c>
      <c r="B20" s="295"/>
      <c r="C20" s="44">
        <v>70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503.03340000000003</v>
      </c>
      <c r="Q20" s="113"/>
      <c r="R20" s="114">
        <f>(R17-(R17*R19/100))</f>
        <v>466.55196600000005</v>
      </c>
      <c r="S20" s="112">
        <f>(S17-(S17*S19/100))</f>
        <v>372.06799999999998</v>
      </c>
      <c r="T20" s="112">
        <f>(T17-(T17*T19/100))</f>
        <v>136.52924999999996</v>
      </c>
      <c r="U20" s="115">
        <f>P20+Q20+R20+S20+T20</f>
        <v>1478.1826160000001</v>
      </c>
      <c r="V20" s="4"/>
      <c r="W20" s="4"/>
      <c r="X20" s="281"/>
      <c r="Y20" s="192" t="s">
        <v>45</v>
      </c>
      <c r="Z20" s="69">
        <v>1.9</v>
      </c>
      <c r="AA20" s="70">
        <f>100-Z20</f>
        <v>98.1</v>
      </c>
      <c r="AB20" s="279"/>
      <c r="AC20" s="74" t="s">
        <v>37</v>
      </c>
      <c r="AD20" s="58">
        <v>11</v>
      </c>
      <c r="AE20" s="11">
        <v>18</v>
      </c>
      <c r="AF20" s="12">
        <f t="shared" si="0"/>
        <v>3.3</v>
      </c>
    </row>
    <row r="21" spans="1:32" ht="19.5" thickBot="1" x14ac:dyDescent="0.3">
      <c r="A21" s="294" t="s">
        <v>61</v>
      </c>
      <c r="B21" s="295"/>
      <c r="C21" s="44">
        <v>20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45</v>
      </c>
      <c r="K21" s="118"/>
      <c r="L21" s="119"/>
      <c r="M21" s="307" t="s">
        <v>63</v>
      </c>
      <c r="N21" s="308"/>
      <c r="O21" s="309"/>
      <c r="P21" s="120">
        <f>(U17-(U17*U19/100))</f>
        <v>1478.1826160000001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2.5</v>
      </c>
      <c r="AA21" s="73">
        <f>100-Z21</f>
        <v>97.5</v>
      </c>
      <c r="AB21" s="190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 t="s">
        <v>32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55</v>
      </c>
      <c r="K22" s="316">
        <f>J22/I22*100</f>
        <v>55.000000000000007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2.1</v>
      </c>
      <c r="AA22" s="73">
        <f>100-Z22</f>
        <v>97.9</v>
      </c>
      <c r="AB22" s="283">
        <v>0.625</v>
      </c>
      <c r="AC22" s="49" t="s">
        <v>30</v>
      </c>
      <c r="AD22" s="50">
        <v>42</v>
      </c>
      <c r="AE22" s="11">
        <v>20</v>
      </c>
      <c r="AF22" s="12">
        <f t="shared" si="0"/>
        <v>3.6666666666666665</v>
      </c>
    </row>
    <row r="23" spans="1:32" ht="16.5" thickBot="1" x14ac:dyDescent="0.3">
      <c r="A23" s="294" t="s">
        <v>35</v>
      </c>
      <c r="B23" s="295"/>
      <c r="C23" s="44">
        <v>70</v>
      </c>
      <c r="D23" s="296">
        <v>0.2</v>
      </c>
      <c r="E23" s="297"/>
      <c r="F23" s="298" t="s">
        <v>58</v>
      </c>
      <c r="G23" s="299"/>
      <c r="H23" s="4"/>
      <c r="I23" s="133" t="s">
        <v>66</v>
      </c>
      <c r="J23" s="134">
        <v>28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3.6</v>
      </c>
      <c r="AA23" s="73">
        <f>100-Z23</f>
        <v>96.4</v>
      </c>
      <c r="AB23" s="278"/>
      <c r="AC23" s="51" t="s">
        <v>32</v>
      </c>
      <c r="AD23" s="52">
        <v>42</v>
      </c>
      <c r="AE23" s="11">
        <v>21</v>
      </c>
      <c r="AF23" s="12">
        <f t="shared" si="0"/>
        <v>3.85</v>
      </c>
    </row>
    <row r="24" spans="1:32" ht="16.5" thickBot="1" x14ac:dyDescent="0.3">
      <c r="A24" s="294" t="s">
        <v>37</v>
      </c>
      <c r="B24" s="295"/>
      <c r="C24" s="44">
        <v>70</v>
      </c>
      <c r="D24" s="296">
        <v>0.15</v>
      </c>
      <c r="E24" s="297"/>
      <c r="F24" s="298" t="s">
        <v>58</v>
      </c>
      <c r="G24" s="299"/>
      <c r="H24" s="4"/>
      <c r="I24" s="136">
        <v>100</v>
      </c>
      <c r="J24" s="121">
        <f>I24-J23</f>
        <v>72</v>
      </c>
      <c r="K24" s="316">
        <f>J24/I24*100</f>
        <v>72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97.474999999999994</v>
      </c>
      <c r="AB24" s="278"/>
      <c r="AC24" s="51" t="s">
        <v>35</v>
      </c>
      <c r="AD24" s="52">
        <v>29</v>
      </c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11</v>
      </c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1.4</v>
      </c>
      <c r="AA26" s="70">
        <f>100-Z26</f>
        <v>98.6</v>
      </c>
      <c r="AB26" s="189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3.9</v>
      </c>
      <c r="AA27" s="73">
        <f>100-Z27</f>
        <v>96.1</v>
      </c>
      <c r="AB27" s="267">
        <v>0.70833333333333337</v>
      </c>
      <c r="AC27" s="62" t="s">
        <v>30</v>
      </c>
      <c r="AD27" s="50">
        <v>40</v>
      </c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 t="s">
        <v>287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1.5</v>
      </c>
      <c r="AA28" s="73">
        <f>100-Z28</f>
        <v>98.5</v>
      </c>
      <c r="AB28" s="268"/>
      <c r="AC28" s="67" t="s">
        <v>32</v>
      </c>
      <c r="AD28" s="52">
        <v>41</v>
      </c>
      <c r="AE28" s="11">
        <v>26</v>
      </c>
      <c r="AF28" s="12">
        <f t="shared" si="0"/>
        <v>4.7666666666666666</v>
      </c>
    </row>
    <row r="29" spans="1:32" ht="18" customHeight="1" thickBot="1" x14ac:dyDescent="0.35">
      <c r="A29" s="432"/>
      <c r="B29" s="433"/>
      <c r="C29" s="181"/>
      <c r="D29" s="428"/>
      <c r="E29" s="429"/>
      <c r="F29" s="430"/>
      <c r="G29" s="431"/>
      <c r="H29" s="345" t="s">
        <v>288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3</v>
      </c>
      <c r="AA29" s="73">
        <f>100-Z29</f>
        <v>97</v>
      </c>
      <c r="AB29" s="268"/>
      <c r="AC29" s="51" t="s">
        <v>35</v>
      </c>
      <c r="AD29" s="52">
        <v>29</v>
      </c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 t="s">
        <v>289</v>
      </c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97.55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1.8</v>
      </c>
      <c r="AA32" s="70">
        <f>100-Z32</f>
        <v>98.2</v>
      </c>
      <c r="AB32" s="267">
        <v>0.79166666666666663</v>
      </c>
      <c r="AC32" s="62" t="s">
        <v>30</v>
      </c>
      <c r="AD32" s="50">
        <v>40</v>
      </c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>
        <v>5.3</v>
      </c>
      <c r="AA33" s="73">
        <f>100-Z33</f>
        <v>94.7</v>
      </c>
      <c r="AB33" s="268"/>
      <c r="AC33" s="51" t="s">
        <v>32</v>
      </c>
      <c r="AD33" s="52">
        <v>43</v>
      </c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4</v>
      </c>
      <c r="AA34" s="73">
        <f>100-Z34</f>
        <v>96</v>
      </c>
      <c r="AB34" s="268"/>
      <c r="AC34" s="67" t="s">
        <v>35</v>
      </c>
      <c r="AD34" s="52">
        <v>32</v>
      </c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3.1</v>
      </c>
      <c r="AA35" s="73">
        <f>100-Z35</f>
        <v>96.9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96.449999999999989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Z39" t="s">
        <v>65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128</v>
      </c>
      <c r="E40" s="362"/>
      <c r="F40" s="363"/>
      <c r="G40" s="160"/>
      <c r="V40" s="4"/>
      <c r="W40" s="161"/>
      <c r="Y40" t="s">
        <v>65</v>
      </c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46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>
        <v>96</v>
      </c>
      <c r="E42" s="386"/>
      <c r="F42" s="387"/>
      <c r="G42" s="160"/>
      <c r="H42" s="397" t="s">
        <v>88</v>
      </c>
      <c r="I42" s="398"/>
      <c r="J42" s="164">
        <v>9.49</v>
      </c>
      <c r="K42" s="399">
        <v>9.11</v>
      </c>
      <c r="L42" s="400"/>
      <c r="M42" s="164">
        <v>9.4499999999999993</v>
      </c>
      <c r="N42" s="165">
        <v>9.68</v>
      </c>
      <c r="O42" s="165">
        <v>9.23</v>
      </c>
      <c r="P42" s="165">
        <v>9.5399999999999991</v>
      </c>
      <c r="Q42" s="401">
        <f>AVERAGE(J42:P43)</f>
        <v>9.4166666666666679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187" t="s">
        <v>89</v>
      </c>
      <c r="B43" s="188"/>
      <c r="C43" s="188"/>
      <c r="D43" s="386">
        <v>5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78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193" t="s">
        <v>92</v>
      </c>
      <c r="S44" s="193"/>
      <c r="T44" s="193"/>
      <c r="U44" s="193"/>
      <c r="V44" s="193"/>
      <c r="W44" s="193"/>
      <c r="X44" s="193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Y40" sqref="Y40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6" width="11.140625" customWidth="1"/>
    <col min="17" max="17" width="10.140625" customWidth="1"/>
    <col min="18" max="18" width="10.42578125" customWidth="1"/>
    <col min="19" max="19" width="10.140625" customWidth="1"/>
    <col min="20" max="20" width="10.42578125" customWidth="1"/>
    <col min="21" max="21" width="10.140625" customWidth="1"/>
    <col min="22" max="22" width="11.57031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154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32.700000000000003</v>
      </c>
      <c r="Q5" s="29">
        <v>0</v>
      </c>
      <c r="R5" s="30">
        <v>38.795999999999999</v>
      </c>
      <c r="S5" s="30">
        <v>33</v>
      </c>
      <c r="T5" s="31">
        <v>12.34</v>
      </c>
      <c r="U5" s="32">
        <f>SUM(P5:T5)</f>
        <v>116.83600000000001</v>
      </c>
      <c r="V5" s="33"/>
      <c r="W5" s="21" t="s">
        <v>27</v>
      </c>
      <c r="X5" s="34">
        <v>522392</v>
      </c>
      <c r="Y5" s="34">
        <f>X5+P17</f>
        <v>522858.5</v>
      </c>
      <c r="Z5" s="35">
        <f>Y5-X5</f>
        <v>466.5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37.700000000000003</v>
      </c>
      <c r="Q6" s="29">
        <v>0</v>
      </c>
      <c r="R6" s="30">
        <v>33.713000000000001</v>
      </c>
      <c r="S6" s="30">
        <v>26</v>
      </c>
      <c r="T6" s="31">
        <v>12.13</v>
      </c>
      <c r="U6" s="32">
        <f t="shared" ref="U6:U16" si="1">SUM(P6:T6)</f>
        <v>109.54300000000001</v>
      </c>
      <c r="V6" s="44">
        <v>2</v>
      </c>
      <c r="W6" s="37" t="s">
        <v>28</v>
      </c>
      <c r="X6" s="45">
        <v>820124.49199999997</v>
      </c>
      <c r="Y6" s="34">
        <f>X6+R17</f>
        <v>820620.28299999994</v>
      </c>
      <c r="Z6" s="46">
        <f>Y6-X6</f>
        <v>495.79099999996834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>
        <v>73</v>
      </c>
      <c r="C7" s="39">
        <v>52</v>
      </c>
      <c r="D7" s="39">
        <v>70</v>
      </c>
      <c r="E7" s="40">
        <v>60</v>
      </c>
      <c r="F7" s="41">
        <v>68</v>
      </c>
      <c r="G7" s="42">
        <v>43</v>
      </c>
      <c r="H7" s="41">
        <v>33</v>
      </c>
      <c r="I7" s="42">
        <v>33</v>
      </c>
      <c r="J7" s="41">
        <v>38</v>
      </c>
      <c r="K7" s="38">
        <v>55</v>
      </c>
      <c r="L7" s="43">
        <v>53</v>
      </c>
      <c r="M7" s="40">
        <v>47</v>
      </c>
      <c r="N7" s="42">
        <v>56</v>
      </c>
      <c r="O7" s="41">
        <v>70</v>
      </c>
      <c r="P7" s="28">
        <v>39.5</v>
      </c>
      <c r="Q7" s="29">
        <v>0</v>
      </c>
      <c r="R7" s="30">
        <v>43.43</v>
      </c>
      <c r="S7" s="30">
        <v>32</v>
      </c>
      <c r="T7" s="31">
        <v>13.03</v>
      </c>
      <c r="U7" s="32">
        <f t="shared" si="1"/>
        <v>127.96000000000001</v>
      </c>
      <c r="V7" s="44">
        <v>3</v>
      </c>
      <c r="W7" s="37" t="s">
        <v>29</v>
      </c>
      <c r="X7" s="48">
        <v>512273</v>
      </c>
      <c r="Y7" s="34">
        <f>X7+S17</f>
        <v>512654</v>
      </c>
      <c r="Z7" s="46">
        <f>Y7-X7</f>
        <v>381</v>
      </c>
      <c r="AA7" s="47">
        <v>4</v>
      </c>
      <c r="AB7" s="267">
        <v>0.875</v>
      </c>
      <c r="AC7" s="49" t="s">
        <v>30</v>
      </c>
      <c r="AD7" s="50">
        <v>40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39.700000000000003</v>
      </c>
      <c r="Q8" s="29">
        <v>0</v>
      </c>
      <c r="R8" s="30">
        <v>44.811</v>
      </c>
      <c r="S8" s="30">
        <v>32</v>
      </c>
      <c r="T8" s="31">
        <v>12.46</v>
      </c>
      <c r="U8" s="32">
        <f t="shared" si="1"/>
        <v>128.971</v>
      </c>
      <c r="V8" s="44">
        <v>3</v>
      </c>
      <c r="W8" s="37" t="s">
        <v>31</v>
      </c>
      <c r="X8" s="46">
        <v>3930.23</v>
      </c>
      <c r="Y8" s="34">
        <f>X8+T17</f>
        <v>4080.28</v>
      </c>
      <c r="Z8" s="46">
        <f>T17</f>
        <v>150.05000000000001</v>
      </c>
      <c r="AA8" s="47">
        <v>5</v>
      </c>
      <c r="AB8" s="268"/>
      <c r="AC8" s="51" t="s">
        <v>32</v>
      </c>
      <c r="AD8" s="52">
        <v>41</v>
      </c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40.1</v>
      </c>
      <c r="Q9" s="29">
        <v>0</v>
      </c>
      <c r="R9" s="30">
        <v>44.706000000000003</v>
      </c>
      <c r="S9" s="30">
        <v>32</v>
      </c>
      <c r="T9" s="31">
        <v>13.1</v>
      </c>
      <c r="U9" s="32">
        <f t="shared" si="1"/>
        <v>129.90600000000001</v>
      </c>
      <c r="V9" s="44">
        <v>3</v>
      </c>
      <c r="W9" s="37" t="s">
        <v>33</v>
      </c>
      <c r="X9" s="270" t="s">
        <v>34</v>
      </c>
      <c r="Y9" s="271"/>
      <c r="Z9" s="54">
        <f>SUM(Z5:Z8)</f>
        <v>1493.3409999999683</v>
      </c>
      <c r="AA9" s="55"/>
      <c r="AB9" s="268"/>
      <c r="AC9" s="51" t="s">
        <v>35</v>
      </c>
      <c r="AD9" s="52">
        <v>32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41.4</v>
      </c>
      <c r="Q10" s="29">
        <v>0</v>
      </c>
      <c r="R10" s="30">
        <v>43.539000000000001</v>
      </c>
      <c r="S10" s="30">
        <v>33</v>
      </c>
      <c r="T10" s="31">
        <v>12.49</v>
      </c>
      <c r="U10" s="32">
        <f t="shared" si="1"/>
        <v>130.429</v>
      </c>
      <c r="V10" s="44">
        <v>4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12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42.5</v>
      </c>
      <c r="Q11" s="29">
        <v>0</v>
      </c>
      <c r="R11" s="30">
        <v>41.47</v>
      </c>
      <c r="S11" s="30">
        <v>33</v>
      </c>
      <c r="T11" s="31">
        <v>12.9</v>
      </c>
      <c r="U11" s="32">
        <f t="shared" si="1"/>
        <v>129.87</v>
      </c>
      <c r="V11" s="44">
        <v>4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41.6</v>
      </c>
      <c r="Q12" s="29">
        <v>0</v>
      </c>
      <c r="R12" s="30">
        <v>42.994</v>
      </c>
      <c r="S12" s="30">
        <v>32</v>
      </c>
      <c r="T12" s="31">
        <v>12.37</v>
      </c>
      <c r="U12" s="32">
        <f t="shared" si="1"/>
        <v>128.964</v>
      </c>
      <c r="V12" s="44">
        <v>4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41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>
        <v>66</v>
      </c>
      <c r="C13" s="39">
        <v>58</v>
      </c>
      <c r="D13" s="39">
        <v>68</v>
      </c>
      <c r="E13" s="40">
        <v>60</v>
      </c>
      <c r="F13" s="41">
        <v>59</v>
      </c>
      <c r="G13" s="42">
        <v>43</v>
      </c>
      <c r="H13" s="41">
        <v>36</v>
      </c>
      <c r="I13" s="42">
        <v>13</v>
      </c>
      <c r="J13" s="41">
        <v>3</v>
      </c>
      <c r="K13" s="38">
        <v>54</v>
      </c>
      <c r="L13" s="43">
        <v>56</v>
      </c>
      <c r="M13" s="40">
        <v>45</v>
      </c>
      <c r="N13" s="42">
        <v>54</v>
      </c>
      <c r="O13" s="41">
        <v>68</v>
      </c>
      <c r="P13" s="53">
        <v>40</v>
      </c>
      <c r="Q13" s="29">
        <v>0</v>
      </c>
      <c r="R13" s="30">
        <v>40.037999999999997</v>
      </c>
      <c r="S13" s="30">
        <v>32</v>
      </c>
      <c r="T13" s="31">
        <v>11</v>
      </c>
      <c r="U13" s="32">
        <f t="shared" si="1"/>
        <v>123.038</v>
      </c>
      <c r="V13" s="44">
        <v>4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42</v>
      </c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35.6</v>
      </c>
      <c r="Q14" s="29">
        <v>0</v>
      </c>
      <c r="R14" s="30">
        <v>37.844000000000001</v>
      </c>
      <c r="S14" s="30">
        <v>32</v>
      </c>
      <c r="T14" s="31">
        <v>12.92</v>
      </c>
      <c r="U14" s="32">
        <f t="shared" si="1"/>
        <v>118.364</v>
      </c>
      <c r="V14" s="44">
        <v>4</v>
      </c>
      <c r="W14" s="37" t="s">
        <v>44</v>
      </c>
      <c r="X14" s="280">
        <v>0.91666666666666663</v>
      </c>
      <c r="Y14" s="210" t="s">
        <v>45</v>
      </c>
      <c r="Z14" s="69">
        <v>1.6</v>
      </c>
      <c r="AA14" s="70">
        <f>100-Z14</f>
        <v>98.4</v>
      </c>
      <c r="AB14" s="278"/>
      <c r="AC14" s="51" t="s">
        <v>35</v>
      </c>
      <c r="AD14" s="52">
        <v>32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37.799999999999997</v>
      </c>
      <c r="Q15" s="29">
        <v>0</v>
      </c>
      <c r="R15" s="30">
        <v>42.603000000000002</v>
      </c>
      <c r="S15" s="30">
        <v>32</v>
      </c>
      <c r="T15" s="31">
        <v>12.52</v>
      </c>
      <c r="U15" s="32">
        <f t="shared" si="1"/>
        <v>124.92299999999999</v>
      </c>
      <c r="V15" s="44">
        <v>4</v>
      </c>
      <c r="W15" s="37" t="s">
        <v>46</v>
      </c>
      <c r="X15" s="281"/>
      <c r="Y15" s="71" t="s">
        <v>47</v>
      </c>
      <c r="Z15" s="72">
        <v>1.1000000000000001</v>
      </c>
      <c r="AA15" s="73">
        <f>100-Z15</f>
        <v>98.9</v>
      </c>
      <c r="AB15" s="279"/>
      <c r="AC15" s="74" t="s">
        <v>37</v>
      </c>
      <c r="AD15" s="58">
        <v>12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37.9</v>
      </c>
      <c r="Q16" s="29">
        <v>0</v>
      </c>
      <c r="R16" s="30">
        <v>41.847000000000001</v>
      </c>
      <c r="S16" s="30">
        <v>32</v>
      </c>
      <c r="T16" s="82">
        <v>12.79</v>
      </c>
      <c r="U16" s="32">
        <f t="shared" si="1"/>
        <v>124.53700000000001</v>
      </c>
      <c r="V16" s="83">
        <v>8</v>
      </c>
      <c r="W16" s="75" t="s">
        <v>48</v>
      </c>
      <c r="X16" s="281"/>
      <c r="Y16" s="71" t="s">
        <v>49</v>
      </c>
      <c r="Z16" s="72">
        <v>5.2</v>
      </c>
      <c r="AA16" s="73">
        <f>100-Z16</f>
        <v>94.8</v>
      </c>
      <c r="AB16" s="190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69.5</v>
      </c>
      <c r="C17" s="88">
        <f>AVERAGE(C5:C16)</f>
        <v>55</v>
      </c>
      <c r="D17" s="88">
        <f>AVERAGE(D5:D15)</f>
        <v>69</v>
      </c>
      <c r="E17" s="88">
        <f>AVERAGE(E5:E15)</f>
        <v>60</v>
      </c>
      <c r="F17" s="88">
        <f>AVERAGE(F5:F15)</f>
        <v>63.5</v>
      </c>
      <c r="G17" s="88">
        <f>AVERAGE(G5:G16)</f>
        <v>43</v>
      </c>
      <c r="H17" s="88">
        <f>AVERAGE(H5:H16)</f>
        <v>34.5</v>
      </c>
      <c r="I17" s="88">
        <f t="shared" ref="I17:N17" si="2">AVERAGE(I5:I15)</f>
        <v>23</v>
      </c>
      <c r="J17" s="88">
        <f t="shared" si="2"/>
        <v>20.5</v>
      </c>
      <c r="K17" s="88">
        <f t="shared" si="2"/>
        <v>54.5</v>
      </c>
      <c r="L17" s="88">
        <f t="shared" si="2"/>
        <v>54.5</v>
      </c>
      <c r="M17" s="89">
        <f t="shared" si="2"/>
        <v>46</v>
      </c>
      <c r="N17" s="89">
        <f t="shared" si="2"/>
        <v>55</v>
      </c>
      <c r="O17" s="89">
        <f>AVERAGE(O5:O16)</f>
        <v>69</v>
      </c>
      <c r="P17" s="90">
        <f>SUM(P5:P16)</f>
        <v>466.50000000000006</v>
      </c>
      <c r="Q17" s="91">
        <f>SUM(Q5:Q16)</f>
        <v>0</v>
      </c>
      <c r="R17" s="92">
        <f>SUM(R5:R16)</f>
        <v>495.79100000000005</v>
      </c>
      <c r="S17" s="93">
        <f>SUM(S5:S16)</f>
        <v>381</v>
      </c>
      <c r="T17" s="93">
        <f>SUM(T5:T16)</f>
        <v>150.05000000000001</v>
      </c>
      <c r="U17" s="94">
        <f>SUM(P17:T17)</f>
        <v>1493.3410000000001</v>
      </c>
      <c r="V17" s="1">
        <f>SUM(V5:V16)</f>
        <v>43</v>
      </c>
      <c r="W17" s="4"/>
      <c r="X17" s="281"/>
      <c r="Y17" s="71" t="s">
        <v>51</v>
      </c>
      <c r="Z17" s="72">
        <v>1.6</v>
      </c>
      <c r="AA17" s="73">
        <f>100-Z17</f>
        <v>98.4</v>
      </c>
      <c r="AB17" s="283">
        <v>4.1666666666666664E-2</v>
      </c>
      <c r="AC17" s="62" t="s">
        <v>30</v>
      </c>
      <c r="AD17" s="50">
        <v>41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97.625</v>
      </c>
      <c r="AB18" s="278"/>
      <c r="AC18" s="51" t="s">
        <v>32</v>
      </c>
      <c r="AD18" s="52">
        <v>42</v>
      </c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155</v>
      </c>
      <c r="J19" s="259"/>
      <c r="K19" s="259"/>
      <c r="L19" s="260"/>
      <c r="M19" s="261" t="s">
        <v>57</v>
      </c>
      <c r="N19" s="262"/>
      <c r="O19" s="263"/>
      <c r="P19" s="105">
        <v>2.4</v>
      </c>
      <c r="Q19" s="106"/>
      <c r="R19" s="107">
        <v>2.1</v>
      </c>
      <c r="S19" s="107">
        <v>2.5</v>
      </c>
      <c r="T19" s="107">
        <v>2.7</v>
      </c>
      <c r="U19" s="108">
        <f>(U17-U20)/U17*100</f>
        <v>2.356056721137366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32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61</v>
      </c>
      <c r="B20" s="295"/>
      <c r="C20" s="44">
        <v>20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455.30400000000003</v>
      </c>
      <c r="Q20" s="113"/>
      <c r="R20" s="114">
        <f>(R17-(R17*R19/100))</f>
        <v>485.37938900000006</v>
      </c>
      <c r="S20" s="112">
        <f>(S17-(S17*S19/100))</f>
        <v>371.47500000000002</v>
      </c>
      <c r="T20" s="112">
        <f>(T17-(T17*T19/100))</f>
        <v>145.99865</v>
      </c>
      <c r="U20" s="115">
        <f>P20+Q20+R20+S20+T20</f>
        <v>1458.1570390000002</v>
      </c>
      <c r="V20" s="4"/>
      <c r="W20" s="4"/>
      <c r="X20" s="281"/>
      <c r="Y20" s="210" t="s">
        <v>45</v>
      </c>
      <c r="Z20" s="69">
        <v>0.7</v>
      </c>
      <c r="AA20" s="70">
        <f>100-Z20</f>
        <v>99.3</v>
      </c>
      <c r="AB20" s="279"/>
      <c r="AC20" s="74" t="s">
        <v>37</v>
      </c>
      <c r="AD20" s="58">
        <v>12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32</v>
      </c>
      <c r="B21" s="295"/>
      <c r="C21" s="44">
        <v>70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50</v>
      </c>
      <c r="K21" s="118"/>
      <c r="L21" s="119"/>
      <c r="M21" s="307" t="s">
        <v>63</v>
      </c>
      <c r="N21" s="308"/>
      <c r="O21" s="309"/>
      <c r="P21" s="120">
        <f>(U17-(U17*U19/100))</f>
        <v>1458.1570390000002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0.5</v>
      </c>
      <c r="AA21" s="73">
        <f>100-Z21</f>
        <v>99.5</v>
      </c>
      <c r="AB21" s="190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35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50</v>
      </c>
      <c r="K22" s="316">
        <f>J22/I22*100</f>
        <v>50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1</v>
      </c>
      <c r="AA22" s="73">
        <f>100-Z22</f>
        <v>99</v>
      </c>
      <c r="AB22" s="283">
        <v>0.125</v>
      </c>
      <c r="AC22" s="49" t="s">
        <v>30</v>
      </c>
      <c r="AD22" s="50">
        <v>42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 t="s">
        <v>37</v>
      </c>
      <c r="B23" s="295"/>
      <c r="C23" s="44">
        <v>70</v>
      </c>
      <c r="D23" s="296">
        <v>0.15</v>
      </c>
      <c r="E23" s="297"/>
      <c r="F23" s="298" t="s">
        <v>58</v>
      </c>
      <c r="G23" s="299"/>
      <c r="H23" s="4"/>
      <c r="I23" s="133" t="s">
        <v>66</v>
      </c>
      <c r="J23" s="134">
        <v>30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0.5</v>
      </c>
      <c r="AA23" s="73">
        <f>100-Z23</f>
        <v>99.5</v>
      </c>
      <c r="AB23" s="278"/>
      <c r="AC23" s="51" t="s">
        <v>32</v>
      </c>
      <c r="AD23" s="52">
        <v>41</v>
      </c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70</v>
      </c>
      <c r="K24" s="316">
        <f>J24/I24*100</f>
        <v>70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99.325000000000003</v>
      </c>
      <c r="AB24" s="278"/>
      <c r="AC24" s="51" t="s">
        <v>35</v>
      </c>
      <c r="AD24" s="52">
        <v>33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12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>
        <v>1.8</v>
      </c>
      <c r="AA26" s="70">
        <f>100-Z26</f>
        <v>98.2</v>
      </c>
      <c r="AB26" s="189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1.7</v>
      </c>
      <c r="AA27" s="73">
        <f>100-Z27</f>
        <v>98.3</v>
      </c>
      <c r="AB27" s="267">
        <v>0.20833333333333334</v>
      </c>
      <c r="AC27" s="62" t="s">
        <v>30</v>
      </c>
      <c r="AD27" s="50">
        <v>41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 t="s">
        <v>291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2.7</v>
      </c>
      <c r="AA28" s="73">
        <f>100-Z28</f>
        <v>97.3</v>
      </c>
      <c r="AB28" s="268"/>
      <c r="AC28" s="67" t="s">
        <v>32</v>
      </c>
      <c r="AD28" s="52">
        <v>41</v>
      </c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 t="s">
        <v>290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1.1000000000000001</v>
      </c>
      <c r="AA29" s="73">
        <f>100-Z29</f>
        <v>98.9</v>
      </c>
      <c r="AB29" s="268"/>
      <c r="AC29" s="51" t="s">
        <v>35</v>
      </c>
      <c r="AD29" s="52">
        <v>32</v>
      </c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 t="s">
        <v>285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98.175000000000011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0.8</v>
      </c>
      <c r="AA32" s="70">
        <f>100-Z32</f>
        <v>99.2</v>
      </c>
      <c r="AB32" s="267">
        <v>0.29166666666666669</v>
      </c>
      <c r="AC32" s="62" t="s">
        <v>30</v>
      </c>
      <c r="AD32" s="50">
        <v>40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>
        <v>1.2</v>
      </c>
      <c r="AA33" s="73">
        <f>100-Z33</f>
        <v>98.8</v>
      </c>
      <c r="AB33" s="268"/>
      <c r="AC33" s="51" t="s">
        <v>32</v>
      </c>
      <c r="AD33" s="52">
        <v>41</v>
      </c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1.3</v>
      </c>
      <c r="AA34" s="73">
        <f>100-Z34</f>
        <v>98.7</v>
      </c>
      <c r="AB34" s="268"/>
      <c r="AC34" s="67" t="s">
        <v>35</v>
      </c>
      <c r="AD34" s="52">
        <v>32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1.5</v>
      </c>
      <c r="AA35" s="73">
        <f>100-Z35</f>
        <v>98.5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98.8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78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43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>
        <v>24</v>
      </c>
      <c r="E42" s="386"/>
      <c r="F42" s="387"/>
      <c r="G42" s="160"/>
      <c r="H42" s="397" t="s">
        <v>88</v>
      </c>
      <c r="I42" s="398"/>
      <c r="J42" s="164">
        <v>9.4</v>
      </c>
      <c r="K42" s="399">
        <v>9.31</v>
      </c>
      <c r="L42" s="400"/>
      <c r="M42" s="164">
        <v>9.1300000000000008</v>
      </c>
      <c r="N42" s="165">
        <v>9.2200000000000006</v>
      </c>
      <c r="O42" s="165">
        <v>9.3800000000000008</v>
      </c>
      <c r="P42" s="165">
        <v>9.27</v>
      </c>
      <c r="Q42" s="401">
        <f>AVERAGE(J42:P43)</f>
        <v>9.2850000000000019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187" t="s">
        <v>89</v>
      </c>
      <c r="B43" s="188"/>
      <c r="C43" s="188"/>
      <c r="D43" s="386">
        <v>1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97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193"/>
      <c r="X44" s="193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H36" sqref="H36:U36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7109375" customWidth="1"/>
    <col min="19" max="19" width="10.140625" customWidth="1"/>
    <col min="20" max="20" width="9.8554687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154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AE3*10/60</f>
        <v>0.16666666666666666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AE4*10/60</f>
        <v>0.33333333333333331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>
        <v>47</v>
      </c>
      <c r="J5" s="25"/>
      <c r="K5" s="22"/>
      <c r="L5" s="27"/>
      <c r="M5" s="24"/>
      <c r="N5" s="26"/>
      <c r="O5" s="25"/>
      <c r="P5" s="28">
        <v>19.8</v>
      </c>
      <c r="Q5" s="29">
        <v>0</v>
      </c>
      <c r="R5" s="30">
        <v>40.228999999999999</v>
      </c>
      <c r="S5" s="30">
        <v>34</v>
      </c>
      <c r="T5" s="31">
        <v>12.7</v>
      </c>
      <c r="U5" s="32">
        <f>SUM(P5:T5)</f>
        <v>106.729</v>
      </c>
      <c r="V5" s="33">
        <v>2</v>
      </c>
      <c r="W5" s="21" t="s">
        <v>93</v>
      </c>
      <c r="X5" s="34">
        <f>'15.01.26см1'!Y5</f>
        <v>522858.5</v>
      </c>
      <c r="Y5" s="34">
        <f>X5+P17</f>
        <v>523303.9</v>
      </c>
      <c r="Z5" s="35">
        <f>Y5-X5</f>
        <v>445.40000000002328</v>
      </c>
      <c r="AA5" s="36">
        <v>1</v>
      </c>
      <c r="AB5" s="265"/>
      <c r="AC5" s="265"/>
      <c r="AD5" s="265"/>
      <c r="AE5" s="11">
        <v>3</v>
      </c>
      <c r="AF5" s="12">
        <f t="shared" si="0"/>
        <v>0.5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26.2</v>
      </c>
      <c r="Q6" s="29">
        <v>0</v>
      </c>
      <c r="R6" s="30">
        <v>29.806999999999999</v>
      </c>
      <c r="S6" s="30">
        <v>27</v>
      </c>
      <c r="T6" s="31">
        <v>1.37</v>
      </c>
      <c r="U6" s="32">
        <f t="shared" ref="U6:U16" si="1">SUM(P6:T6)</f>
        <v>84.37700000000001</v>
      </c>
      <c r="V6" s="44">
        <v>5</v>
      </c>
      <c r="W6" s="37" t="s">
        <v>94</v>
      </c>
      <c r="X6" s="45">
        <f>'15.01.26см1'!Y6</f>
        <v>820620.28299999994</v>
      </c>
      <c r="Y6" s="34">
        <f>X6+R17</f>
        <v>821086.99099999992</v>
      </c>
      <c r="Z6" s="46">
        <f>Y6-X6</f>
        <v>466.70799999998417</v>
      </c>
      <c r="AA6" s="47">
        <v>3</v>
      </c>
      <c r="AB6" s="265"/>
      <c r="AC6" s="265"/>
      <c r="AD6" s="266"/>
      <c r="AE6" s="11">
        <v>4</v>
      </c>
      <c r="AF6" s="12">
        <f t="shared" si="0"/>
        <v>0.66666666666666663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>
        <v>43.2</v>
      </c>
      <c r="Q7" s="29">
        <v>0</v>
      </c>
      <c r="R7" s="30">
        <v>31.193000000000001</v>
      </c>
      <c r="S7" s="30">
        <v>31</v>
      </c>
      <c r="T7" s="31">
        <v>10.76</v>
      </c>
      <c r="U7" s="32">
        <f t="shared" si="1"/>
        <v>116.15300000000001</v>
      </c>
      <c r="V7" s="44">
        <v>8</v>
      </c>
      <c r="W7" s="37" t="s">
        <v>95</v>
      </c>
      <c r="X7" s="48">
        <f>'15.01.26см1'!Y7</f>
        <v>512654</v>
      </c>
      <c r="Y7" s="34">
        <f>X7+S17</f>
        <v>513029</v>
      </c>
      <c r="Z7" s="46">
        <f>Y7-X7</f>
        <v>375</v>
      </c>
      <c r="AA7" s="47">
        <v>4</v>
      </c>
      <c r="AB7" s="267">
        <v>0.375</v>
      </c>
      <c r="AC7" s="49" t="s">
        <v>30</v>
      </c>
      <c r="AD7" s="50">
        <v>37</v>
      </c>
      <c r="AE7" s="11">
        <v>5</v>
      </c>
      <c r="AF7" s="12">
        <f t="shared" si="0"/>
        <v>0.83333333333333337</v>
      </c>
    </row>
    <row r="8" spans="1:32" ht="19.5" thickBot="1" x14ac:dyDescent="0.3">
      <c r="A8" s="37" t="s">
        <v>96</v>
      </c>
      <c r="B8" s="38">
        <v>76</v>
      </c>
      <c r="C8" s="39">
        <v>52</v>
      </c>
      <c r="D8" s="39">
        <v>71</v>
      </c>
      <c r="E8" s="40">
        <v>59</v>
      </c>
      <c r="F8" s="41">
        <v>49</v>
      </c>
      <c r="G8" s="42">
        <v>42</v>
      </c>
      <c r="H8" s="41">
        <v>39</v>
      </c>
      <c r="I8" s="42"/>
      <c r="J8" s="41"/>
      <c r="K8" s="38">
        <v>52</v>
      </c>
      <c r="L8" s="43">
        <v>58</v>
      </c>
      <c r="M8" s="40">
        <v>37</v>
      </c>
      <c r="N8" s="42">
        <v>52</v>
      </c>
      <c r="O8" s="41">
        <v>68</v>
      </c>
      <c r="P8" s="28">
        <v>41.2</v>
      </c>
      <c r="Q8" s="29">
        <v>0</v>
      </c>
      <c r="R8" s="30">
        <v>41.427999999999997</v>
      </c>
      <c r="S8" s="30">
        <v>32</v>
      </c>
      <c r="T8" s="31">
        <v>12.64</v>
      </c>
      <c r="U8" s="32">
        <f t="shared" si="1"/>
        <v>127.268</v>
      </c>
      <c r="V8" s="44">
        <v>3</v>
      </c>
      <c r="W8" s="37" t="s">
        <v>96</v>
      </c>
      <c r="X8" s="46">
        <f>'15.01.26см1'!Y8</f>
        <v>4080.28</v>
      </c>
      <c r="Y8" s="34">
        <f>X8+T17</f>
        <v>4210.6400000000003</v>
      </c>
      <c r="Z8" s="46">
        <f>T17</f>
        <v>130.36000000000001</v>
      </c>
      <c r="AA8" s="47">
        <v>5</v>
      </c>
      <c r="AB8" s="268"/>
      <c r="AC8" s="51" t="s">
        <v>32</v>
      </c>
      <c r="AD8" s="52">
        <v>39</v>
      </c>
      <c r="AE8" s="11">
        <v>6</v>
      </c>
      <c r="AF8" s="12">
        <f t="shared" si="0"/>
        <v>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40.6</v>
      </c>
      <c r="Q9" s="29">
        <v>0</v>
      </c>
      <c r="R9" s="30">
        <v>41.222000000000001</v>
      </c>
      <c r="S9" s="30">
        <v>32</v>
      </c>
      <c r="T9" s="31">
        <v>13.2</v>
      </c>
      <c r="U9" s="32">
        <f t="shared" si="1"/>
        <v>127.02200000000001</v>
      </c>
      <c r="V9" s="44">
        <v>4</v>
      </c>
      <c r="W9" s="37" t="s">
        <v>97</v>
      </c>
      <c r="X9" s="270" t="s">
        <v>34</v>
      </c>
      <c r="Y9" s="271"/>
      <c r="Z9" s="54">
        <f>SUM(Z5:Z8)</f>
        <v>1417.4680000000076</v>
      </c>
      <c r="AA9" s="55"/>
      <c r="AB9" s="268"/>
      <c r="AC9" s="51" t="s">
        <v>35</v>
      </c>
      <c r="AD9" s="52">
        <v>34</v>
      </c>
      <c r="AE9" s="11">
        <v>7</v>
      </c>
      <c r="AF9" s="12">
        <f t="shared" si="0"/>
        <v>1.1666666666666667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38.200000000000003</v>
      </c>
      <c r="Q10" s="29">
        <v>0</v>
      </c>
      <c r="R10" s="30">
        <v>29.962</v>
      </c>
      <c r="S10" s="30">
        <v>29</v>
      </c>
      <c r="T10" s="31">
        <v>13.45</v>
      </c>
      <c r="U10" s="32">
        <f t="shared" si="1"/>
        <v>110.61200000000001</v>
      </c>
      <c r="V10" s="44">
        <v>2</v>
      </c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11</v>
      </c>
      <c r="AE10" s="11">
        <v>8</v>
      </c>
      <c r="AF10" s="12">
        <f t="shared" si="0"/>
        <v>1.3333333333333333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42.2</v>
      </c>
      <c r="Q11" s="29">
        <v>0</v>
      </c>
      <c r="R11" s="30">
        <v>45.811999999999998</v>
      </c>
      <c r="S11" s="30">
        <v>31</v>
      </c>
      <c r="T11" s="31">
        <v>11.2</v>
      </c>
      <c r="U11" s="32">
        <f t="shared" si="1"/>
        <v>130.21199999999999</v>
      </c>
      <c r="V11" s="44">
        <v>8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41.1</v>
      </c>
      <c r="Q12" s="29">
        <v>0</v>
      </c>
      <c r="R12" s="30">
        <v>44.805</v>
      </c>
      <c r="S12" s="30">
        <v>32</v>
      </c>
      <c r="T12" s="31">
        <v>13.61</v>
      </c>
      <c r="U12" s="32">
        <f t="shared" si="1"/>
        <v>131.51499999999999</v>
      </c>
      <c r="V12" s="44">
        <v>6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>
        <v>42</v>
      </c>
      <c r="AE12" s="11">
        <v>10</v>
      </c>
      <c r="AF12" s="12">
        <f t="shared" si="0"/>
        <v>1.6666666666666667</v>
      </c>
    </row>
    <row r="13" spans="1:32" ht="19.5" thickBot="1" x14ac:dyDescent="0.35">
      <c r="A13" s="37" t="s">
        <v>101</v>
      </c>
      <c r="B13" s="38">
        <v>71</v>
      </c>
      <c r="C13" s="39">
        <v>59</v>
      </c>
      <c r="D13" s="39">
        <v>66</v>
      </c>
      <c r="E13" s="40">
        <v>61</v>
      </c>
      <c r="F13" s="41">
        <v>45</v>
      </c>
      <c r="G13" s="42">
        <v>44</v>
      </c>
      <c r="H13" s="41">
        <v>36</v>
      </c>
      <c r="I13" s="42"/>
      <c r="J13" s="41"/>
      <c r="K13" s="38">
        <v>54</v>
      </c>
      <c r="L13" s="43">
        <v>61</v>
      </c>
      <c r="M13" s="40">
        <v>41</v>
      </c>
      <c r="N13" s="42">
        <v>56</v>
      </c>
      <c r="O13" s="41">
        <v>70</v>
      </c>
      <c r="P13" s="53">
        <v>40.799999999999997</v>
      </c>
      <c r="Q13" s="29">
        <v>0</v>
      </c>
      <c r="R13" s="30">
        <v>45.948</v>
      </c>
      <c r="S13" s="30">
        <v>33</v>
      </c>
      <c r="T13" s="31">
        <v>13.76</v>
      </c>
      <c r="U13" s="32">
        <f t="shared" si="1"/>
        <v>133.50799999999998</v>
      </c>
      <c r="V13" s="44">
        <v>2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41</v>
      </c>
      <c r="AE13" s="11">
        <v>11</v>
      </c>
      <c r="AF13" s="12">
        <f t="shared" si="0"/>
        <v>1.8333333333333333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40.4</v>
      </c>
      <c r="Q14" s="29">
        <v>0</v>
      </c>
      <c r="R14" s="30">
        <v>39.896999999999998</v>
      </c>
      <c r="S14" s="30">
        <v>31</v>
      </c>
      <c r="T14" s="31">
        <v>11.85</v>
      </c>
      <c r="U14" s="32">
        <f t="shared" si="1"/>
        <v>123.14699999999999</v>
      </c>
      <c r="V14" s="44">
        <v>6</v>
      </c>
      <c r="W14" s="37" t="s">
        <v>102</v>
      </c>
      <c r="X14" s="280">
        <v>0.41666666666666669</v>
      </c>
      <c r="Y14" s="192" t="s">
        <v>45</v>
      </c>
      <c r="Z14" s="69">
        <v>7.8</v>
      </c>
      <c r="AA14" s="70">
        <f>100-Z14</f>
        <v>92.2</v>
      </c>
      <c r="AB14" s="278"/>
      <c r="AC14" s="51" t="s">
        <v>35</v>
      </c>
      <c r="AD14" s="52">
        <v>31</v>
      </c>
      <c r="AE14" s="11">
        <v>12</v>
      </c>
      <c r="AF14" s="12">
        <f t="shared" si="0"/>
        <v>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39.5</v>
      </c>
      <c r="Q15" s="29">
        <v>0</v>
      </c>
      <c r="R15" s="30">
        <v>42.780999999999999</v>
      </c>
      <c r="S15" s="30">
        <v>31</v>
      </c>
      <c r="T15" s="31">
        <v>6.11</v>
      </c>
      <c r="U15" s="32">
        <f t="shared" si="1"/>
        <v>119.39100000000001</v>
      </c>
      <c r="V15" s="44">
        <v>5</v>
      </c>
      <c r="W15" s="37" t="s">
        <v>103</v>
      </c>
      <c r="X15" s="281"/>
      <c r="Y15" s="71" t="s">
        <v>47</v>
      </c>
      <c r="Z15" s="72">
        <v>9.6</v>
      </c>
      <c r="AA15" s="73">
        <f>100-Z15</f>
        <v>90.4</v>
      </c>
      <c r="AB15" s="279"/>
      <c r="AC15" s="74" t="s">
        <v>37</v>
      </c>
      <c r="AD15" s="58">
        <v>11</v>
      </c>
      <c r="AE15" s="11">
        <v>13</v>
      </c>
      <c r="AF15" s="12">
        <f t="shared" si="0"/>
        <v>2.1666666666666665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32.200000000000003</v>
      </c>
      <c r="Q16" s="29">
        <v>0</v>
      </c>
      <c r="R16" s="30">
        <v>33.624000000000002</v>
      </c>
      <c r="S16" s="30">
        <v>32</v>
      </c>
      <c r="T16" s="82">
        <v>9.7100000000000009</v>
      </c>
      <c r="U16" s="32">
        <f t="shared" si="1"/>
        <v>107.53400000000002</v>
      </c>
      <c r="V16" s="83">
        <v>7</v>
      </c>
      <c r="W16" s="75" t="s">
        <v>104</v>
      </c>
      <c r="X16" s="281"/>
      <c r="Y16" s="71" t="s">
        <v>49</v>
      </c>
      <c r="Z16" s="72">
        <v>2.9</v>
      </c>
      <c r="AA16" s="73">
        <f>100-Z16</f>
        <v>97.1</v>
      </c>
      <c r="AB16" s="190"/>
      <c r="AC16" s="85"/>
      <c r="AD16" s="86"/>
      <c r="AE16" s="11">
        <v>14</v>
      </c>
      <c r="AF16" s="12">
        <f t="shared" si="0"/>
        <v>2.3333333333333335</v>
      </c>
    </row>
    <row r="17" spans="1:32" ht="16.5" thickBot="1" x14ac:dyDescent="0.3">
      <c r="A17" s="87" t="s">
        <v>50</v>
      </c>
      <c r="B17" s="88">
        <f>AVERAGE(B5:B15)</f>
        <v>73.5</v>
      </c>
      <c r="C17" s="88">
        <f>AVERAGE(C5:C16)</f>
        <v>55.5</v>
      </c>
      <c r="D17" s="88">
        <f>AVERAGE(D5:D15)</f>
        <v>68.5</v>
      </c>
      <c r="E17" s="88">
        <f>AVERAGE(E5:E15)</f>
        <v>60</v>
      </c>
      <c r="F17" s="88">
        <f>AVERAGE(F5:F15)</f>
        <v>47</v>
      </c>
      <c r="G17" s="88">
        <f>AVERAGE(G5:G16)</f>
        <v>43</v>
      </c>
      <c r="H17" s="88">
        <f>AVERAGE(H5:H16)</f>
        <v>37.5</v>
      </c>
      <c r="I17" s="88">
        <f t="shared" ref="I17:N17" si="2">AVERAGE(I5:I15)</f>
        <v>47</v>
      </c>
      <c r="J17" s="88" t="e">
        <f t="shared" si="2"/>
        <v>#DIV/0!</v>
      </c>
      <c r="K17" s="88">
        <f t="shared" si="2"/>
        <v>53</v>
      </c>
      <c r="L17" s="88">
        <f t="shared" si="2"/>
        <v>59.5</v>
      </c>
      <c r="M17" s="89">
        <f t="shared" si="2"/>
        <v>39</v>
      </c>
      <c r="N17" s="89">
        <f t="shared" si="2"/>
        <v>54</v>
      </c>
      <c r="O17" s="89">
        <f>AVERAGE(O5:O16)</f>
        <v>69</v>
      </c>
      <c r="P17" s="90">
        <f>SUM(P5:P16)</f>
        <v>445.4</v>
      </c>
      <c r="Q17" s="91">
        <f>SUM(Q5:Q16)</f>
        <v>0</v>
      </c>
      <c r="R17" s="92">
        <f>SUM(R5:R16)</f>
        <v>466.70799999999997</v>
      </c>
      <c r="S17" s="93">
        <f>SUM(S5:S16)</f>
        <v>375</v>
      </c>
      <c r="T17" s="93">
        <f>SUM(T5:T16)</f>
        <v>130.36000000000001</v>
      </c>
      <c r="U17" s="94">
        <f>SUM(P17:T17)</f>
        <v>1417.4679999999998</v>
      </c>
      <c r="V17" s="1">
        <f>SUM(V5:V16)</f>
        <v>58</v>
      </c>
      <c r="W17" s="4"/>
      <c r="X17" s="281"/>
      <c r="Y17" s="71" t="s">
        <v>51</v>
      </c>
      <c r="Z17" s="95"/>
      <c r="AA17" s="73">
        <f>100-Z17</f>
        <v>100</v>
      </c>
      <c r="AB17" s="283">
        <v>0.54166666666666663</v>
      </c>
      <c r="AC17" s="62" t="s">
        <v>30</v>
      </c>
      <c r="AD17" s="50">
        <v>42</v>
      </c>
      <c r="AE17" s="11">
        <v>15</v>
      </c>
      <c r="AF17" s="12">
        <f t="shared" si="0"/>
        <v>2.5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(AA14+AA15+AA16)/3</f>
        <v>93.233333333333348</v>
      </c>
      <c r="AB18" s="278"/>
      <c r="AC18" s="51" t="s">
        <v>32</v>
      </c>
      <c r="AD18" s="52">
        <v>42</v>
      </c>
      <c r="AE18" s="11">
        <v>16</v>
      </c>
      <c r="AF18" s="12">
        <f t="shared" si="0"/>
        <v>2.6666666666666665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292</v>
      </c>
      <c r="J19" s="259"/>
      <c r="K19" s="259"/>
      <c r="L19" s="260"/>
      <c r="M19" s="261" t="s">
        <v>57</v>
      </c>
      <c r="N19" s="262"/>
      <c r="O19" s="263"/>
      <c r="P19" s="105">
        <v>2.7</v>
      </c>
      <c r="Q19" s="106"/>
      <c r="R19" s="107">
        <v>2.2999999999999998</v>
      </c>
      <c r="S19" s="107">
        <v>2.6</v>
      </c>
      <c r="T19" s="107">
        <v>2.8</v>
      </c>
      <c r="U19" s="108">
        <f>(U17-U20)/U17*100</f>
        <v>2.5510391768985188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32</v>
      </c>
      <c r="AE19" s="11">
        <v>17</v>
      </c>
      <c r="AF19" s="12">
        <f t="shared" si="0"/>
        <v>2.8333333333333335</v>
      </c>
    </row>
    <row r="20" spans="1:32" ht="16.5" thickBot="1" x14ac:dyDescent="0.3">
      <c r="A20" s="294" t="s">
        <v>61</v>
      </c>
      <c r="B20" s="295"/>
      <c r="C20" s="44">
        <v>20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433.37419999999997</v>
      </c>
      <c r="Q20" s="113"/>
      <c r="R20" s="114">
        <f>(R17-(R17*R19/100))</f>
        <v>455.97371599999997</v>
      </c>
      <c r="S20" s="112">
        <f>(S17-(S17*S19/100))</f>
        <v>365.25</v>
      </c>
      <c r="T20" s="112">
        <f>(T17-(T17*T19/100))</f>
        <v>126.70992000000001</v>
      </c>
      <c r="U20" s="115">
        <f>P20+Q20+R20+S20+T20</f>
        <v>1381.307836</v>
      </c>
      <c r="V20" s="4"/>
      <c r="W20" s="4"/>
      <c r="X20" s="281"/>
      <c r="Y20" s="192" t="s">
        <v>45</v>
      </c>
      <c r="Z20" s="69">
        <v>4.3</v>
      </c>
      <c r="AA20" s="70">
        <f>100-Z20</f>
        <v>95.7</v>
      </c>
      <c r="AB20" s="279"/>
      <c r="AC20" s="74" t="s">
        <v>37</v>
      </c>
      <c r="AD20" s="58">
        <v>12</v>
      </c>
      <c r="AE20" s="11">
        <v>18</v>
      </c>
      <c r="AF20" s="12">
        <f t="shared" si="0"/>
        <v>3</v>
      </c>
    </row>
    <row r="21" spans="1:32" ht="19.5" thickBot="1" x14ac:dyDescent="0.3">
      <c r="A21" s="294" t="s">
        <v>32</v>
      </c>
      <c r="B21" s="295"/>
      <c r="C21" s="44">
        <v>70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45</v>
      </c>
      <c r="K21" s="118"/>
      <c r="L21" s="119"/>
      <c r="M21" s="307" t="s">
        <v>63</v>
      </c>
      <c r="N21" s="308"/>
      <c r="O21" s="309"/>
      <c r="P21" s="120">
        <f>(U17-(U17*U19/100))</f>
        <v>1381.307836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5.5</v>
      </c>
      <c r="AA21" s="73">
        <f>100-Z21</f>
        <v>94.5</v>
      </c>
      <c r="AB21" s="190"/>
      <c r="AC21" s="124"/>
      <c r="AD21" s="86"/>
      <c r="AE21" s="11">
        <v>19</v>
      </c>
      <c r="AF21" s="12">
        <f t="shared" si="0"/>
        <v>3.1666666666666665</v>
      </c>
    </row>
    <row r="22" spans="1:32" ht="16.5" thickBot="1" x14ac:dyDescent="0.3">
      <c r="A22" s="294" t="s">
        <v>35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55</v>
      </c>
      <c r="K22" s="316">
        <f>J22/I22*100</f>
        <v>55.000000000000007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3.2</v>
      </c>
      <c r="AA22" s="73">
        <f>100-Z22</f>
        <v>96.8</v>
      </c>
      <c r="AB22" s="283">
        <v>0.625</v>
      </c>
      <c r="AC22" s="49" t="s">
        <v>30</v>
      </c>
      <c r="AD22" s="50">
        <v>43</v>
      </c>
      <c r="AE22" s="11">
        <v>20</v>
      </c>
      <c r="AF22" s="12">
        <f t="shared" si="0"/>
        <v>3.3333333333333335</v>
      </c>
    </row>
    <row r="23" spans="1:32" ht="16.5" thickBot="1" x14ac:dyDescent="0.3">
      <c r="A23" s="294" t="s">
        <v>37</v>
      </c>
      <c r="B23" s="295"/>
      <c r="C23" s="44">
        <v>70</v>
      </c>
      <c r="D23" s="296">
        <v>0.15</v>
      </c>
      <c r="E23" s="297"/>
      <c r="F23" s="298" t="s">
        <v>58</v>
      </c>
      <c r="G23" s="299"/>
      <c r="H23" s="4"/>
      <c r="I23" s="133" t="s">
        <v>66</v>
      </c>
      <c r="J23" s="134">
        <v>30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6.1</v>
      </c>
      <c r="AA23" s="73">
        <f>100-Z23</f>
        <v>93.9</v>
      </c>
      <c r="AB23" s="278"/>
      <c r="AC23" s="51" t="s">
        <v>32</v>
      </c>
      <c r="AD23" s="52">
        <v>43</v>
      </c>
      <c r="AE23" s="11">
        <v>21</v>
      </c>
      <c r="AF23" s="12">
        <f t="shared" si="0"/>
        <v>3.5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70</v>
      </c>
      <c r="K24" s="316">
        <f>J24/I24*100</f>
        <v>70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95.224999999999994</v>
      </c>
      <c r="AB24" s="278"/>
      <c r="AC24" s="51" t="s">
        <v>35</v>
      </c>
      <c r="AD24" s="52">
        <v>31</v>
      </c>
      <c r="AE24" s="11">
        <v>22</v>
      </c>
      <c r="AF24" s="12">
        <f t="shared" si="0"/>
        <v>3.6666666666666665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11</v>
      </c>
      <c r="AE25" s="11">
        <v>23</v>
      </c>
      <c r="AF25" s="12">
        <f t="shared" si="0"/>
        <v>3.8333333333333335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4.0999999999999996</v>
      </c>
      <c r="AA26" s="70">
        <f>100-Z26</f>
        <v>95.9</v>
      </c>
      <c r="AB26" s="189"/>
      <c r="AC26" s="124"/>
      <c r="AD26" s="86"/>
      <c r="AE26" s="11">
        <v>24</v>
      </c>
      <c r="AF26" s="12">
        <f t="shared" si="0"/>
        <v>4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4.5999999999999996</v>
      </c>
      <c r="AA27" s="73">
        <f>100-Z27</f>
        <v>95.4</v>
      </c>
      <c r="AB27" s="267">
        <v>0.70833333333333337</v>
      </c>
      <c r="AC27" s="62" t="s">
        <v>30</v>
      </c>
      <c r="AD27" s="50">
        <v>40</v>
      </c>
      <c r="AE27" s="11">
        <v>25</v>
      </c>
      <c r="AF27" s="12">
        <f t="shared" si="0"/>
        <v>4.166666666666667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 t="s">
        <v>196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2.5</v>
      </c>
      <c r="AA28" s="73">
        <f>100-Z28</f>
        <v>97.5</v>
      </c>
      <c r="AB28" s="268"/>
      <c r="AC28" s="67" t="s">
        <v>32</v>
      </c>
      <c r="AD28" s="52">
        <v>41</v>
      </c>
      <c r="AE28" s="11">
        <v>26</v>
      </c>
      <c r="AF28" s="12">
        <f t="shared" si="0"/>
        <v>4.333333333333333</v>
      </c>
    </row>
    <row r="29" spans="1:32" ht="20.25" customHeight="1" thickBot="1" x14ac:dyDescent="0.35">
      <c r="A29" s="432"/>
      <c r="B29" s="433"/>
      <c r="C29" s="181"/>
      <c r="D29" s="428"/>
      <c r="E29" s="429"/>
      <c r="F29" s="430"/>
      <c r="G29" s="431"/>
      <c r="H29" s="345" t="s">
        <v>293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4.3</v>
      </c>
      <c r="AA29" s="73">
        <f>100-Z29</f>
        <v>95.7</v>
      </c>
      <c r="AB29" s="268"/>
      <c r="AC29" s="51" t="s">
        <v>35</v>
      </c>
      <c r="AD29" s="52">
        <v>33</v>
      </c>
      <c r="AE29" s="11">
        <v>27</v>
      </c>
      <c r="AF29" s="12">
        <f t="shared" si="0"/>
        <v>4.5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 t="s">
        <v>296</v>
      </c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96.125</v>
      </c>
      <c r="AB30" s="269"/>
      <c r="AC30" s="74" t="s">
        <v>37</v>
      </c>
      <c r="AD30" s="58">
        <v>12</v>
      </c>
      <c r="AE30" s="11">
        <v>28</v>
      </c>
      <c r="AF30" s="12">
        <f t="shared" si="0"/>
        <v>4.666666666666667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 t="s">
        <v>297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4.833333333333333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 t="s">
        <v>294</v>
      </c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3.9</v>
      </c>
      <c r="AA32" s="70">
        <f>100-Z32</f>
        <v>96.1</v>
      </c>
      <c r="AB32" s="267">
        <v>0.79166666666666663</v>
      </c>
      <c r="AC32" s="62" t="s">
        <v>30</v>
      </c>
      <c r="AD32" s="50">
        <v>41</v>
      </c>
      <c r="AE32" s="11">
        <v>30</v>
      </c>
      <c r="AF32" s="12">
        <f t="shared" si="0"/>
        <v>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 t="s">
        <v>295</v>
      </c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>
        <v>4.0999999999999996</v>
      </c>
      <c r="AA33" s="73">
        <f>100-Z33</f>
        <v>95.9</v>
      </c>
      <c r="AB33" s="268"/>
      <c r="AC33" s="51" t="s">
        <v>32</v>
      </c>
      <c r="AD33" s="52">
        <v>41</v>
      </c>
      <c r="AE33" s="11">
        <v>31</v>
      </c>
      <c r="AF33" s="12">
        <f t="shared" si="0"/>
        <v>5.166666666666667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 t="s">
        <v>298</v>
      </c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3</v>
      </c>
      <c r="AA34" s="73">
        <f>100-Z34</f>
        <v>97</v>
      </c>
      <c r="AB34" s="268"/>
      <c r="AC34" s="67" t="s">
        <v>35</v>
      </c>
      <c r="AD34" s="52">
        <v>31</v>
      </c>
      <c r="AE34" s="11">
        <v>32</v>
      </c>
      <c r="AF34" s="12">
        <f t="shared" si="0"/>
        <v>5.333333333333333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 t="s">
        <v>299</v>
      </c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4.3</v>
      </c>
      <c r="AA35" s="73">
        <f>100-Z35</f>
        <v>95.7</v>
      </c>
      <c r="AB35" s="269"/>
      <c r="AC35" s="74" t="s">
        <v>37</v>
      </c>
      <c r="AD35" s="58">
        <v>10</v>
      </c>
      <c r="AE35" s="11">
        <v>33</v>
      </c>
      <c r="AF35" s="12">
        <f t="shared" si="0"/>
        <v>5.5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 t="s">
        <v>300</v>
      </c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96.174999999999997</v>
      </c>
      <c r="AB36" s="59"/>
      <c r="AC36" s="57"/>
      <c r="AD36" s="153"/>
      <c r="AE36" s="11">
        <v>34</v>
      </c>
      <c r="AF36" s="12">
        <f t="shared" si="0"/>
        <v>5.666666666666667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5.833333333333333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6.166666666666667</v>
      </c>
    </row>
    <row r="40" spans="1:32" ht="19.5" thickBot="1" x14ac:dyDescent="0.3">
      <c r="A40" s="359" t="s">
        <v>81</v>
      </c>
      <c r="B40" s="360"/>
      <c r="C40" s="360"/>
      <c r="D40" s="361">
        <v>97</v>
      </c>
      <c r="E40" s="362"/>
      <c r="F40" s="363"/>
      <c r="G40" s="160"/>
      <c r="V40" s="4"/>
      <c r="W40" s="161"/>
      <c r="X40" t="s">
        <v>65</v>
      </c>
      <c r="AB40" s="56"/>
      <c r="AC40" s="56"/>
      <c r="AD40" s="56"/>
      <c r="AE40" s="11">
        <v>38</v>
      </c>
      <c r="AF40" s="12">
        <f t="shared" si="0"/>
        <v>6.333333333333333</v>
      </c>
    </row>
    <row r="41" spans="1:32" ht="19.5" thickBot="1" x14ac:dyDescent="0.3">
      <c r="A41" s="364" t="s">
        <v>82</v>
      </c>
      <c r="B41" s="365"/>
      <c r="C41" s="365"/>
      <c r="D41" s="366">
        <f>V17</f>
        <v>58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6.5</v>
      </c>
    </row>
    <row r="42" spans="1:32" ht="19.5" thickBot="1" x14ac:dyDescent="0.35">
      <c r="A42" s="364" t="s">
        <v>87</v>
      </c>
      <c r="B42" s="365"/>
      <c r="C42" s="365"/>
      <c r="D42" s="386">
        <v>74</v>
      </c>
      <c r="E42" s="386"/>
      <c r="F42" s="387"/>
      <c r="G42" s="160"/>
      <c r="H42" s="397" t="s">
        <v>88</v>
      </c>
      <c r="I42" s="398"/>
      <c r="J42" s="164">
        <v>9.1199999999999992</v>
      </c>
      <c r="K42" s="399">
        <v>9.2200000000000006</v>
      </c>
      <c r="L42" s="400"/>
      <c r="M42" s="164">
        <v>9.23</v>
      </c>
      <c r="N42" s="165">
        <v>9.18</v>
      </c>
      <c r="O42" s="165">
        <v>9.66</v>
      </c>
      <c r="P42" s="165">
        <v>9.34</v>
      </c>
      <c r="Q42" s="401">
        <f>AVERAGE(J42:P43)</f>
        <v>9.2916666666666661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6.666666666666667</v>
      </c>
    </row>
    <row r="43" spans="1:32" ht="21" thickBot="1" x14ac:dyDescent="0.35">
      <c r="A43" s="187" t="s">
        <v>89</v>
      </c>
      <c r="B43" s="188"/>
      <c r="C43" s="188"/>
      <c r="D43" s="386">
        <v>4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6.833333333333333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81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193" t="s">
        <v>92</v>
      </c>
      <c r="S44" s="193"/>
      <c r="T44" s="193"/>
      <c r="U44" s="193"/>
      <c r="V44" s="193"/>
      <c r="W44" s="193"/>
      <c r="X44" s="193"/>
      <c r="AA44" s="178"/>
      <c r="AB44" s="179"/>
      <c r="AE44" s="11">
        <v>42</v>
      </c>
      <c r="AF44" s="12">
        <f t="shared" si="0"/>
        <v>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7.5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7.666666666666667</v>
      </c>
    </row>
    <row r="47" spans="1:32" ht="15.75" thickBot="1" x14ac:dyDescent="0.3">
      <c r="AE47" s="11">
        <v>47</v>
      </c>
      <c r="AF47" s="12">
        <f t="shared" si="0"/>
        <v>7.833333333333333</v>
      </c>
    </row>
    <row r="48" spans="1:32" ht="15.75" thickBot="1" x14ac:dyDescent="0.3">
      <c r="AE48" s="11">
        <v>48</v>
      </c>
      <c r="AF48" s="12">
        <f t="shared" si="0"/>
        <v>8</v>
      </c>
    </row>
    <row r="49" spans="31:32" ht="15.75" thickBot="1" x14ac:dyDescent="0.3">
      <c r="AE49" s="11">
        <v>49</v>
      </c>
      <c r="AF49" s="12">
        <f t="shared" si="0"/>
        <v>8.1666666666666661</v>
      </c>
    </row>
    <row r="50" spans="31:32" ht="15.75" thickBot="1" x14ac:dyDescent="0.3">
      <c r="AE50" s="11">
        <v>50</v>
      </c>
      <c r="AF50" s="12">
        <f t="shared" si="0"/>
        <v>8.3333333333333339</v>
      </c>
    </row>
    <row r="51" spans="31:32" ht="15.75" thickBot="1" x14ac:dyDescent="0.3">
      <c r="AE51" s="11">
        <v>51</v>
      </c>
      <c r="AF51" s="12">
        <f t="shared" si="0"/>
        <v>8.5</v>
      </c>
    </row>
    <row r="52" spans="31:32" ht="15.75" thickBot="1" x14ac:dyDescent="0.3">
      <c r="AE52" s="11">
        <v>52</v>
      </c>
      <c r="AF52" s="12">
        <f t="shared" si="0"/>
        <v>8.6666666666666661</v>
      </c>
    </row>
    <row r="53" spans="31:32" ht="15.75" thickBot="1" x14ac:dyDescent="0.3">
      <c r="AE53" s="11">
        <v>53</v>
      </c>
      <c r="AF53" s="12">
        <f t="shared" si="0"/>
        <v>8.8333333333333339</v>
      </c>
    </row>
    <row r="54" spans="31:32" ht="15.75" thickBot="1" x14ac:dyDescent="0.3">
      <c r="AE54" s="11">
        <v>54</v>
      </c>
      <c r="AF54" s="12">
        <f t="shared" si="0"/>
        <v>9</v>
      </c>
    </row>
    <row r="55" spans="31:32" ht="15.75" thickBot="1" x14ac:dyDescent="0.3">
      <c r="AE55" s="11">
        <v>55</v>
      </c>
      <c r="AF55" s="12">
        <f t="shared" si="0"/>
        <v>9.1666666666666661</v>
      </c>
    </row>
    <row r="56" spans="31:32" ht="15.75" thickBot="1" x14ac:dyDescent="0.3">
      <c r="AE56" s="11">
        <v>56</v>
      </c>
      <c r="AF56" s="12">
        <f t="shared" si="0"/>
        <v>9.3333333333333339</v>
      </c>
    </row>
    <row r="57" spans="31:32" ht="15.75" thickBot="1" x14ac:dyDescent="0.3">
      <c r="AE57" s="11">
        <v>57</v>
      </c>
      <c r="AF57" s="12">
        <f t="shared" si="0"/>
        <v>9.5</v>
      </c>
    </row>
    <row r="58" spans="31:32" ht="15.75" thickBot="1" x14ac:dyDescent="0.3">
      <c r="AE58" s="11">
        <v>58</v>
      </c>
      <c r="AF58" s="12">
        <f t="shared" si="0"/>
        <v>9.6666666666666661</v>
      </c>
    </row>
    <row r="59" spans="31:32" ht="15.75" thickBot="1" x14ac:dyDescent="0.3">
      <c r="AE59" s="11">
        <v>59</v>
      </c>
      <c r="AF59" s="12">
        <f t="shared" si="0"/>
        <v>9.8333333333333339</v>
      </c>
    </row>
    <row r="60" spans="31:32" ht="15.75" thickBot="1" x14ac:dyDescent="0.3">
      <c r="AE60" s="11">
        <v>60</v>
      </c>
      <c r="AF60" s="12">
        <f t="shared" si="0"/>
        <v>10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H31" sqref="H31:U31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6" width="11.140625" customWidth="1"/>
    <col min="17" max="17" width="10" customWidth="1"/>
    <col min="18" max="18" width="10.7109375" customWidth="1"/>
    <col min="19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156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31.5</v>
      </c>
      <c r="Q5" s="29">
        <v>0</v>
      </c>
      <c r="R5" s="30">
        <v>35.162999999999997</v>
      </c>
      <c r="S5" s="30">
        <v>30</v>
      </c>
      <c r="T5" s="31">
        <v>11.42</v>
      </c>
      <c r="U5" s="32">
        <f>SUM(P5:T5)</f>
        <v>108.083</v>
      </c>
      <c r="V5" s="33">
        <v>3</v>
      </c>
      <c r="W5" s="21" t="s">
        <v>27</v>
      </c>
      <c r="X5" s="34">
        <v>523303.9</v>
      </c>
      <c r="Y5" s="34">
        <f>X5+P17</f>
        <v>523735.2</v>
      </c>
      <c r="Z5" s="35">
        <f>Y5-X5</f>
        <v>431.29999999998836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36.9</v>
      </c>
      <c r="Q6" s="29">
        <v>0</v>
      </c>
      <c r="R6" s="30">
        <v>35.796999999999997</v>
      </c>
      <c r="S6" s="30">
        <v>30</v>
      </c>
      <c r="T6" s="31">
        <v>10.96</v>
      </c>
      <c r="U6" s="32">
        <f t="shared" ref="U6:U16" si="1">SUM(P6:T6)</f>
        <v>113.65700000000001</v>
      </c>
      <c r="V6" s="44">
        <v>3</v>
      </c>
      <c r="W6" s="37" t="s">
        <v>28</v>
      </c>
      <c r="X6" s="45">
        <v>821086.99100000004</v>
      </c>
      <c r="Y6" s="34">
        <f>X6+R17</f>
        <v>821557.80700000003</v>
      </c>
      <c r="Z6" s="46">
        <f>Y6-X6</f>
        <v>470.81599999999162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>
        <v>68</v>
      </c>
      <c r="C7" s="39">
        <v>59</v>
      </c>
      <c r="D7" s="39">
        <v>70</v>
      </c>
      <c r="E7" s="40">
        <v>61</v>
      </c>
      <c r="F7" s="41">
        <v>59</v>
      </c>
      <c r="G7" s="42">
        <v>42</v>
      </c>
      <c r="H7" s="41">
        <v>31</v>
      </c>
      <c r="I7" s="42">
        <v>40</v>
      </c>
      <c r="J7" s="41">
        <v>20</v>
      </c>
      <c r="K7" s="38">
        <v>46</v>
      </c>
      <c r="L7" s="43">
        <v>52</v>
      </c>
      <c r="M7" s="40">
        <v>52</v>
      </c>
      <c r="N7" s="42">
        <v>54</v>
      </c>
      <c r="O7" s="41">
        <v>74</v>
      </c>
      <c r="P7" s="28">
        <v>41.6</v>
      </c>
      <c r="Q7" s="29">
        <v>0</v>
      </c>
      <c r="R7" s="30">
        <v>38.164000000000001</v>
      </c>
      <c r="S7" s="30">
        <v>30</v>
      </c>
      <c r="T7" s="31">
        <v>11.69</v>
      </c>
      <c r="U7" s="32">
        <f t="shared" si="1"/>
        <v>121.45400000000001</v>
      </c>
      <c r="V7" s="44">
        <v>5</v>
      </c>
      <c r="W7" s="37" t="s">
        <v>29</v>
      </c>
      <c r="X7" s="48">
        <v>513230</v>
      </c>
      <c r="Y7" s="34">
        <f>X7+S17</f>
        <v>513615</v>
      </c>
      <c r="Z7" s="46">
        <f>Y7-X7</f>
        <v>385</v>
      </c>
      <c r="AA7" s="47">
        <v>4</v>
      </c>
      <c r="AB7" s="267">
        <v>0.875</v>
      </c>
      <c r="AC7" s="49" t="s">
        <v>30</v>
      </c>
      <c r="AD7" s="50">
        <v>41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39.299999999999997</v>
      </c>
      <c r="Q8" s="29">
        <v>0</v>
      </c>
      <c r="R8" s="30">
        <v>39.683</v>
      </c>
      <c r="S8" s="30">
        <v>35</v>
      </c>
      <c r="T8" s="31">
        <v>8.84</v>
      </c>
      <c r="U8" s="32">
        <f t="shared" si="1"/>
        <v>122.82300000000001</v>
      </c>
      <c r="V8" s="44">
        <v>3</v>
      </c>
      <c r="W8" s="37" t="s">
        <v>31</v>
      </c>
      <c r="X8" s="46">
        <v>4210.6400000000003</v>
      </c>
      <c r="Y8" s="34">
        <f>X8+T17</f>
        <v>4353.62</v>
      </c>
      <c r="Z8" s="46">
        <f>T17</f>
        <v>142.97999999999999</v>
      </c>
      <c r="AA8" s="47">
        <v>5</v>
      </c>
      <c r="AB8" s="268"/>
      <c r="AC8" s="51" t="s">
        <v>32</v>
      </c>
      <c r="AD8" s="52">
        <v>40</v>
      </c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27.5</v>
      </c>
      <c r="Q9" s="29">
        <v>0</v>
      </c>
      <c r="R9" s="30">
        <v>43.037999999999997</v>
      </c>
      <c r="S9" s="30">
        <v>33</v>
      </c>
      <c r="T9" s="31">
        <v>12.52</v>
      </c>
      <c r="U9" s="32">
        <f t="shared" si="1"/>
        <v>116.05799999999999</v>
      </c>
      <c r="V9" s="44">
        <v>5</v>
      </c>
      <c r="W9" s="37" t="s">
        <v>33</v>
      </c>
      <c r="X9" s="270" t="s">
        <v>34</v>
      </c>
      <c r="Y9" s="271"/>
      <c r="Z9" s="54">
        <f>SUM(Z5:Z8)</f>
        <v>1430.09599999998</v>
      </c>
      <c r="AA9" s="55"/>
      <c r="AB9" s="268"/>
      <c r="AC9" s="51" t="s">
        <v>35</v>
      </c>
      <c r="AD9" s="52">
        <v>32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39.4</v>
      </c>
      <c r="Q10" s="29">
        <v>0</v>
      </c>
      <c r="R10" s="30">
        <v>32.878</v>
      </c>
      <c r="S10" s="30">
        <v>32</v>
      </c>
      <c r="T10" s="31">
        <v>12.44</v>
      </c>
      <c r="U10" s="32">
        <f t="shared" si="1"/>
        <v>116.71799999999999</v>
      </c>
      <c r="V10" s="44">
        <v>6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11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32.9</v>
      </c>
      <c r="Q11" s="29">
        <v>0</v>
      </c>
      <c r="R11" s="30">
        <v>42.576000000000001</v>
      </c>
      <c r="S11" s="30">
        <v>33</v>
      </c>
      <c r="T11" s="31">
        <v>12.57</v>
      </c>
      <c r="U11" s="32">
        <f t="shared" si="1"/>
        <v>121.04599999999999</v>
      </c>
      <c r="V11" s="44">
        <v>5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34.5</v>
      </c>
      <c r="Q12" s="29">
        <v>0</v>
      </c>
      <c r="R12" s="30">
        <v>40.683</v>
      </c>
      <c r="S12" s="30">
        <v>33</v>
      </c>
      <c r="T12" s="31">
        <v>12.68</v>
      </c>
      <c r="U12" s="32">
        <f t="shared" si="1"/>
        <v>120.863</v>
      </c>
      <c r="V12" s="44">
        <v>6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42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>
        <v>66</v>
      </c>
      <c r="C13" s="39">
        <v>60</v>
      </c>
      <c r="D13" s="39">
        <v>68</v>
      </c>
      <c r="E13" s="40">
        <v>63</v>
      </c>
      <c r="F13" s="41">
        <v>60</v>
      </c>
      <c r="G13" s="42">
        <v>42</v>
      </c>
      <c r="H13" s="41">
        <v>34</v>
      </c>
      <c r="I13" s="42">
        <v>40</v>
      </c>
      <c r="J13" s="41">
        <v>35</v>
      </c>
      <c r="K13" s="38">
        <v>45</v>
      </c>
      <c r="L13" s="43">
        <v>55</v>
      </c>
      <c r="M13" s="40">
        <v>52</v>
      </c>
      <c r="N13" s="42">
        <v>56</v>
      </c>
      <c r="O13" s="41">
        <v>70</v>
      </c>
      <c r="P13" s="53">
        <v>38.9</v>
      </c>
      <c r="Q13" s="29">
        <v>0</v>
      </c>
      <c r="R13" s="30">
        <v>39.012999999999998</v>
      </c>
      <c r="S13" s="30">
        <v>33</v>
      </c>
      <c r="T13" s="31">
        <v>12.5</v>
      </c>
      <c r="U13" s="32">
        <f t="shared" si="1"/>
        <v>123.413</v>
      </c>
      <c r="V13" s="44">
        <v>5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41</v>
      </c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32.5</v>
      </c>
      <c r="Q14" s="29">
        <v>0</v>
      </c>
      <c r="R14" s="30">
        <v>40.341999999999999</v>
      </c>
      <c r="S14" s="30">
        <v>32</v>
      </c>
      <c r="T14" s="31">
        <v>12.7</v>
      </c>
      <c r="U14" s="32">
        <f t="shared" si="1"/>
        <v>117.542</v>
      </c>
      <c r="V14" s="44">
        <v>5</v>
      </c>
      <c r="W14" s="37" t="s">
        <v>44</v>
      </c>
      <c r="X14" s="280">
        <v>0.91666666666666663</v>
      </c>
      <c r="Y14" s="210" t="s">
        <v>45</v>
      </c>
      <c r="Z14" s="69">
        <v>4.3</v>
      </c>
      <c r="AA14" s="70">
        <f>100-Z14</f>
        <v>95.7</v>
      </c>
      <c r="AB14" s="278"/>
      <c r="AC14" s="51" t="s">
        <v>35</v>
      </c>
      <c r="AD14" s="52">
        <v>31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38.9</v>
      </c>
      <c r="Q15" s="29">
        <v>0</v>
      </c>
      <c r="R15" s="30">
        <v>41.475999999999999</v>
      </c>
      <c r="S15" s="30">
        <v>32</v>
      </c>
      <c r="T15" s="31">
        <v>12.59</v>
      </c>
      <c r="U15" s="32">
        <f t="shared" si="1"/>
        <v>124.96600000000001</v>
      </c>
      <c r="V15" s="44">
        <v>9</v>
      </c>
      <c r="W15" s="37" t="s">
        <v>46</v>
      </c>
      <c r="X15" s="281"/>
      <c r="Y15" s="71" t="s">
        <v>47</v>
      </c>
      <c r="Z15" s="72">
        <v>5.0999999999999996</v>
      </c>
      <c r="AA15" s="73">
        <f>100-Z15</f>
        <v>94.9</v>
      </c>
      <c r="AB15" s="279"/>
      <c r="AC15" s="74" t="s">
        <v>37</v>
      </c>
      <c r="AD15" s="58">
        <v>12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37.4</v>
      </c>
      <c r="Q16" s="29">
        <v>0</v>
      </c>
      <c r="R16" s="30">
        <v>42.003</v>
      </c>
      <c r="S16" s="30">
        <v>32</v>
      </c>
      <c r="T16" s="82">
        <v>12.07</v>
      </c>
      <c r="U16" s="32">
        <f t="shared" si="1"/>
        <v>123.47299999999998</v>
      </c>
      <c r="V16" s="83">
        <v>7</v>
      </c>
      <c r="W16" s="75" t="s">
        <v>48</v>
      </c>
      <c r="X16" s="281"/>
      <c r="Y16" s="71" t="s">
        <v>49</v>
      </c>
      <c r="Z16" s="72">
        <v>8.3000000000000007</v>
      </c>
      <c r="AA16" s="73">
        <f>100-Z16</f>
        <v>91.7</v>
      </c>
      <c r="AB16" s="190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67</v>
      </c>
      <c r="C17" s="88">
        <f>AVERAGE(C5:C16)</f>
        <v>59.5</v>
      </c>
      <c r="D17" s="88">
        <f>AVERAGE(D5:D15)</f>
        <v>69</v>
      </c>
      <c r="E17" s="88">
        <f>AVERAGE(E5:E15)</f>
        <v>62</v>
      </c>
      <c r="F17" s="88">
        <f>AVERAGE(F5:F15)</f>
        <v>59.5</v>
      </c>
      <c r="G17" s="88">
        <f>AVERAGE(G5:G16)</f>
        <v>42</v>
      </c>
      <c r="H17" s="88">
        <f>AVERAGE(H5:H16)</f>
        <v>32.5</v>
      </c>
      <c r="I17" s="88">
        <f t="shared" ref="I17:N17" si="2">AVERAGE(I5:I15)</f>
        <v>40</v>
      </c>
      <c r="J17" s="88">
        <f t="shared" si="2"/>
        <v>27.5</v>
      </c>
      <c r="K17" s="88">
        <f t="shared" si="2"/>
        <v>45.5</v>
      </c>
      <c r="L17" s="88">
        <f t="shared" si="2"/>
        <v>53.5</v>
      </c>
      <c r="M17" s="89">
        <f t="shared" si="2"/>
        <v>52</v>
      </c>
      <c r="N17" s="89">
        <f t="shared" si="2"/>
        <v>55</v>
      </c>
      <c r="O17" s="89">
        <f>AVERAGE(O5:O16)</f>
        <v>72</v>
      </c>
      <c r="P17" s="90">
        <f>SUM(P5:P16)</f>
        <v>431.29999999999995</v>
      </c>
      <c r="Q17" s="91">
        <f>SUM(Q5:Q16)</f>
        <v>0</v>
      </c>
      <c r="R17" s="92">
        <f>SUM(R5:R16)</f>
        <v>470.81599999999992</v>
      </c>
      <c r="S17" s="93">
        <f>SUM(S5:S16)</f>
        <v>385</v>
      </c>
      <c r="T17" s="93">
        <f>SUM(T5:T16)</f>
        <v>142.97999999999999</v>
      </c>
      <c r="U17" s="94">
        <f>SUM(P17:T17)</f>
        <v>1430.096</v>
      </c>
      <c r="V17" s="1">
        <f>SUM(V5:V16)</f>
        <v>62</v>
      </c>
      <c r="W17" s="4"/>
      <c r="X17" s="281"/>
      <c r="Y17" s="71" t="s">
        <v>51</v>
      </c>
      <c r="Z17" s="72">
        <v>2.6</v>
      </c>
      <c r="AA17" s="73">
        <f>100-Z17</f>
        <v>97.4</v>
      </c>
      <c r="AB17" s="283">
        <v>4.1666666666666664E-2</v>
      </c>
      <c r="AC17" s="62" t="s">
        <v>30</v>
      </c>
      <c r="AD17" s="50">
        <v>41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94.925000000000011</v>
      </c>
      <c r="AB18" s="278"/>
      <c r="AC18" s="51" t="s">
        <v>32</v>
      </c>
      <c r="AD18" s="52">
        <v>42</v>
      </c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157</v>
      </c>
      <c r="J19" s="259"/>
      <c r="K19" s="259"/>
      <c r="L19" s="260"/>
      <c r="M19" s="261" t="s">
        <v>57</v>
      </c>
      <c r="N19" s="262"/>
      <c r="O19" s="263"/>
      <c r="P19" s="105">
        <v>2.6</v>
      </c>
      <c r="Q19" s="106"/>
      <c r="R19" s="107">
        <v>2.8</v>
      </c>
      <c r="S19" s="107">
        <v>2.6</v>
      </c>
      <c r="T19" s="107">
        <v>2.9</v>
      </c>
      <c r="U19" s="108">
        <f>(U17-U20)/U17*100</f>
        <v>2.695837761940469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33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61</v>
      </c>
      <c r="B20" s="295"/>
      <c r="C20" s="44">
        <v>20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420.08619999999996</v>
      </c>
      <c r="Q20" s="113"/>
      <c r="R20" s="114">
        <f>(R17-(R17*R19/100))</f>
        <v>457.63315199999994</v>
      </c>
      <c r="S20" s="112">
        <f>(S17-(S17*S19/100))</f>
        <v>374.99</v>
      </c>
      <c r="T20" s="112">
        <f>(T17-(T17*T19/100))</f>
        <v>138.83357999999998</v>
      </c>
      <c r="U20" s="115">
        <f>P20+Q20+R20+S20+T20</f>
        <v>1391.5429319999998</v>
      </c>
      <c r="V20" s="4"/>
      <c r="W20" s="4"/>
      <c r="X20" s="281"/>
      <c r="Y20" s="210" t="s">
        <v>45</v>
      </c>
      <c r="Z20" s="69">
        <v>2.1</v>
      </c>
      <c r="AA20" s="70">
        <f>100-Z20</f>
        <v>97.9</v>
      </c>
      <c r="AB20" s="279"/>
      <c r="AC20" s="74" t="s">
        <v>37</v>
      </c>
      <c r="AD20" s="58">
        <v>12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32</v>
      </c>
      <c r="B21" s="295"/>
      <c r="C21" s="44">
        <v>70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45</v>
      </c>
      <c r="K21" s="118"/>
      <c r="L21" s="119"/>
      <c r="M21" s="307" t="s">
        <v>63</v>
      </c>
      <c r="N21" s="308"/>
      <c r="O21" s="309"/>
      <c r="P21" s="120">
        <f>(U17-(U17*U19/100))</f>
        <v>1391.5429319999998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1.5</v>
      </c>
      <c r="AA21" s="73">
        <f>100-Z21</f>
        <v>98.5</v>
      </c>
      <c r="AB21" s="190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35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55</v>
      </c>
      <c r="K22" s="316">
        <f>J22/I22*100</f>
        <v>55.000000000000007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1.4</v>
      </c>
      <c r="AA22" s="73">
        <f>100-Z22</f>
        <v>98.6</v>
      </c>
      <c r="AB22" s="283">
        <v>0.125</v>
      </c>
      <c r="AC22" s="49" t="s">
        <v>30</v>
      </c>
      <c r="AD22" s="50">
        <v>41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 t="s">
        <v>37</v>
      </c>
      <c r="B23" s="295"/>
      <c r="C23" s="44">
        <v>70</v>
      </c>
      <c r="D23" s="296">
        <v>0.15</v>
      </c>
      <c r="E23" s="297"/>
      <c r="F23" s="298" t="s">
        <v>58</v>
      </c>
      <c r="G23" s="299"/>
      <c r="H23" s="4"/>
      <c r="I23" s="133" t="s">
        <v>66</v>
      </c>
      <c r="J23" s="134">
        <v>30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2.6</v>
      </c>
      <c r="AA23" s="73">
        <f>100-Z23</f>
        <v>97.4</v>
      </c>
      <c r="AB23" s="278"/>
      <c r="AC23" s="51" t="s">
        <v>32</v>
      </c>
      <c r="AD23" s="52">
        <v>41</v>
      </c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70</v>
      </c>
      <c r="K24" s="316">
        <f>J24/I24*100</f>
        <v>70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98.1</v>
      </c>
      <c r="AB24" s="278"/>
      <c r="AC24" s="51" t="s">
        <v>35</v>
      </c>
      <c r="AD24" s="52">
        <v>33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12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>
        <v>0.8</v>
      </c>
      <c r="AA26" s="70">
        <f>100-Z26</f>
        <v>99.2</v>
      </c>
      <c r="AB26" s="189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0.8</v>
      </c>
      <c r="AA27" s="73">
        <f>100-Z27</f>
        <v>99.2</v>
      </c>
      <c r="AB27" s="267">
        <v>0.20833333333333334</v>
      </c>
      <c r="AC27" s="62" t="s">
        <v>30</v>
      </c>
      <c r="AD27" s="50">
        <v>41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 t="s">
        <v>303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1.5</v>
      </c>
      <c r="AA28" s="73">
        <f>100-Z28</f>
        <v>98.5</v>
      </c>
      <c r="AB28" s="268"/>
      <c r="AC28" s="67" t="s">
        <v>32</v>
      </c>
      <c r="AD28" s="52">
        <v>42</v>
      </c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 t="s">
        <v>302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0.7</v>
      </c>
      <c r="AA29" s="73">
        <f>100-Z29</f>
        <v>99.3</v>
      </c>
      <c r="AB29" s="268"/>
      <c r="AC29" s="51" t="s">
        <v>35</v>
      </c>
      <c r="AD29" s="52">
        <v>33</v>
      </c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 t="s">
        <v>301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99.05</v>
      </c>
      <c r="AB30" s="269"/>
      <c r="AC30" s="74" t="s">
        <v>37</v>
      </c>
      <c r="AD30" s="58">
        <v>12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 t="s">
        <v>304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0.6</v>
      </c>
      <c r="AA32" s="70">
        <f>100-Z32</f>
        <v>99.4</v>
      </c>
      <c r="AB32" s="267">
        <v>0.29166666666666669</v>
      </c>
      <c r="AC32" s="62" t="s">
        <v>30</v>
      </c>
      <c r="AD32" s="50">
        <v>41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>
        <v>1.1000000000000001</v>
      </c>
      <c r="AA33" s="73">
        <f>100-Z33</f>
        <v>98.9</v>
      </c>
      <c r="AB33" s="268"/>
      <c r="AC33" s="51" t="s">
        <v>32</v>
      </c>
      <c r="AD33" s="52">
        <v>41</v>
      </c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2.5</v>
      </c>
      <c r="AA34" s="73">
        <f>100-Z34</f>
        <v>97.5</v>
      </c>
      <c r="AB34" s="268"/>
      <c r="AC34" s="67" t="s">
        <v>35</v>
      </c>
      <c r="AD34" s="52">
        <v>32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1.5</v>
      </c>
      <c r="AA35" s="73">
        <f>100-Z35</f>
        <v>98.5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98.575000000000003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81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62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>
        <v>24</v>
      </c>
      <c r="E42" s="386"/>
      <c r="F42" s="387"/>
      <c r="G42" s="160"/>
      <c r="H42" s="397" t="s">
        <v>88</v>
      </c>
      <c r="I42" s="398"/>
      <c r="J42" s="164">
        <v>9.2899999999999991</v>
      </c>
      <c r="K42" s="399">
        <v>9.23</v>
      </c>
      <c r="L42" s="400"/>
      <c r="M42" s="164">
        <v>9.33</v>
      </c>
      <c r="N42" s="165">
        <v>9.42</v>
      </c>
      <c r="O42" s="165">
        <v>9.3000000000000007</v>
      </c>
      <c r="P42" s="165">
        <v>9.32</v>
      </c>
      <c r="Q42" s="401">
        <f>AVERAGE(J42:P43)</f>
        <v>9.3150000000000013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187" t="s">
        <v>89</v>
      </c>
      <c r="B43" s="188"/>
      <c r="C43" s="188"/>
      <c r="D43" s="386">
        <v>1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119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193"/>
      <c r="X44" s="193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H29" sqref="H29:U29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7109375" customWidth="1"/>
    <col min="19" max="19" width="10.140625" customWidth="1"/>
    <col min="20" max="20" width="9.8554687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156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38.799999999999997</v>
      </c>
      <c r="Q5" s="29">
        <v>0</v>
      </c>
      <c r="R5" s="30">
        <v>43.185000000000002</v>
      </c>
      <c r="S5" s="30">
        <v>32</v>
      </c>
      <c r="T5" s="31">
        <v>12.9</v>
      </c>
      <c r="U5" s="32">
        <f>SUM(P5:T5)</f>
        <v>126.88500000000001</v>
      </c>
      <c r="V5" s="33"/>
      <c r="W5" s="21" t="s">
        <v>93</v>
      </c>
      <c r="X5" s="34">
        <f>'16.01.26см1'!Y5</f>
        <v>523735.2</v>
      </c>
      <c r="Y5" s="34">
        <f>X5+P17</f>
        <v>524234.5</v>
      </c>
      <c r="Z5" s="35">
        <f>Y5-X5</f>
        <v>499.29999999998836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43.2</v>
      </c>
      <c r="Q6" s="29">
        <v>0</v>
      </c>
      <c r="R6" s="30">
        <v>43.185000000000002</v>
      </c>
      <c r="S6" s="30">
        <v>32</v>
      </c>
      <c r="T6" s="31">
        <v>12.73</v>
      </c>
      <c r="U6" s="32">
        <f t="shared" ref="U6:U16" si="1">SUM(P6:T6)</f>
        <v>131.11500000000001</v>
      </c>
      <c r="V6" s="44">
        <v>3</v>
      </c>
      <c r="W6" s="37" t="s">
        <v>94</v>
      </c>
      <c r="X6" s="45">
        <f>'16.01.26см1'!Y6</f>
        <v>821557.80700000003</v>
      </c>
      <c r="Y6" s="34">
        <f>X6+R17</f>
        <v>822060.03600000008</v>
      </c>
      <c r="Z6" s="46">
        <f>Y6-X6</f>
        <v>502.22900000005029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>
        <v>43.2</v>
      </c>
      <c r="Q7" s="29">
        <v>0</v>
      </c>
      <c r="R7" s="30">
        <v>39.725999999999999</v>
      </c>
      <c r="S7" s="30">
        <v>31</v>
      </c>
      <c r="T7" s="31">
        <v>13.32</v>
      </c>
      <c r="U7" s="32">
        <f t="shared" si="1"/>
        <v>127.24600000000001</v>
      </c>
      <c r="V7" s="44">
        <v>10</v>
      </c>
      <c r="W7" s="37" t="s">
        <v>95</v>
      </c>
      <c r="X7" s="48">
        <f>'16.01.26см1'!Y7</f>
        <v>513615</v>
      </c>
      <c r="Y7" s="34">
        <f>X7+S17</f>
        <v>513999</v>
      </c>
      <c r="Z7" s="46">
        <f>Y7-X7</f>
        <v>384</v>
      </c>
      <c r="AA7" s="47">
        <v>4</v>
      </c>
      <c r="AB7" s="267">
        <v>0.375</v>
      </c>
      <c r="AC7" s="49" t="s">
        <v>30</v>
      </c>
      <c r="AD7" s="50">
        <v>40</v>
      </c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>
        <v>71</v>
      </c>
      <c r="C8" s="39">
        <v>68</v>
      </c>
      <c r="D8" s="39">
        <v>68</v>
      </c>
      <c r="E8" s="40">
        <v>64</v>
      </c>
      <c r="F8" s="41">
        <v>67</v>
      </c>
      <c r="G8" s="42">
        <v>44</v>
      </c>
      <c r="H8" s="41">
        <v>32</v>
      </c>
      <c r="I8" s="42"/>
      <c r="J8" s="41"/>
      <c r="K8" s="38">
        <v>58</v>
      </c>
      <c r="L8" s="43">
        <v>48</v>
      </c>
      <c r="M8" s="40">
        <v>53</v>
      </c>
      <c r="N8" s="42">
        <v>52</v>
      </c>
      <c r="O8" s="41">
        <v>71</v>
      </c>
      <c r="P8" s="28">
        <v>42.8</v>
      </c>
      <c r="Q8" s="29">
        <v>0</v>
      </c>
      <c r="R8" s="30">
        <v>44.802</v>
      </c>
      <c r="S8" s="30">
        <v>32</v>
      </c>
      <c r="T8" s="31">
        <v>12.61</v>
      </c>
      <c r="U8" s="32">
        <f t="shared" si="1"/>
        <v>132.21199999999999</v>
      </c>
      <c r="V8" s="44">
        <v>3</v>
      </c>
      <c r="W8" s="37" t="s">
        <v>96</v>
      </c>
      <c r="X8" s="46">
        <f>'16.01.26см1'!Y8</f>
        <v>4353.62</v>
      </c>
      <c r="Y8" s="34">
        <f>X8+T17</f>
        <v>4506.78</v>
      </c>
      <c r="Z8" s="46">
        <f>T17</f>
        <v>153.16</v>
      </c>
      <c r="AA8" s="47">
        <v>5</v>
      </c>
      <c r="AB8" s="268"/>
      <c r="AC8" s="51" t="s">
        <v>32</v>
      </c>
      <c r="AD8" s="52">
        <v>42</v>
      </c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36.700000000000003</v>
      </c>
      <c r="Q9" s="29">
        <v>0</v>
      </c>
      <c r="R9" s="30">
        <v>35.378999999999998</v>
      </c>
      <c r="S9" s="30">
        <v>31</v>
      </c>
      <c r="T9" s="31">
        <v>12.01</v>
      </c>
      <c r="U9" s="32">
        <f t="shared" si="1"/>
        <v>115.08900000000001</v>
      </c>
      <c r="V9" s="44">
        <v>4</v>
      </c>
      <c r="W9" s="37" t="s">
        <v>97</v>
      </c>
      <c r="X9" s="270" t="s">
        <v>34</v>
      </c>
      <c r="Y9" s="271"/>
      <c r="Z9" s="54">
        <f>SUM(Z5:Z8)</f>
        <v>1538.6890000000387</v>
      </c>
      <c r="AA9" s="55"/>
      <c r="AB9" s="268"/>
      <c r="AC9" s="51" t="s">
        <v>35</v>
      </c>
      <c r="AD9" s="52">
        <v>32</v>
      </c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43.1</v>
      </c>
      <c r="Q10" s="29">
        <v>0</v>
      </c>
      <c r="R10" s="30">
        <v>44.566000000000003</v>
      </c>
      <c r="S10" s="30">
        <v>32</v>
      </c>
      <c r="T10" s="31">
        <v>12.94</v>
      </c>
      <c r="U10" s="32">
        <f t="shared" si="1"/>
        <v>132.60599999999999</v>
      </c>
      <c r="V10" s="44">
        <v>6</v>
      </c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11</v>
      </c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>
        <v>58</v>
      </c>
      <c r="J11" s="41"/>
      <c r="K11" s="38"/>
      <c r="L11" s="43"/>
      <c r="M11" s="40"/>
      <c r="N11" s="42"/>
      <c r="O11" s="41"/>
      <c r="P11" s="53">
        <v>37.4</v>
      </c>
      <c r="Q11" s="29">
        <v>0</v>
      </c>
      <c r="R11" s="30">
        <v>40.198</v>
      </c>
      <c r="S11" s="30">
        <v>31</v>
      </c>
      <c r="T11" s="31">
        <v>13.32</v>
      </c>
      <c r="U11" s="32">
        <f t="shared" si="1"/>
        <v>121.91800000000001</v>
      </c>
      <c r="V11" s="44">
        <v>8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40.6</v>
      </c>
      <c r="Q12" s="29">
        <v>0</v>
      </c>
      <c r="R12" s="30">
        <v>44.95</v>
      </c>
      <c r="S12" s="30">
        <v>31</v>
      </c>
      <c r="T12" s="31">
        <v>13.2</v>
      </c>
      <c r="U12" s="32">
        <f t="shared" si="1"/>
        <v>129.75</v>
      </c>
      <c r="V12" s="44">
        <v>8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>
        <v>44</v>
      </c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>
        <v>72</v>
      </c>
      <c r="C13" s="39">
        <v>61</v>
      </c>
      <c r="D13" s="39">
        <v>74</v>
      </c>
      <c r="E13" s="40">
        <v>62</v>
      </c>
      <c r="F13" s="41">
        <v>60</v>
      </c>
      <c r="G13" s="42">
        <v>34</v>
      </c>
      <c r="H13" s="41">
        <v>31</v>
      </c>
      <c r="I13" s="42">
        <v>56</v>
      </c>
      <c r="J13" s="41">
        <v>36</v>
      </c>
      <c r="K13" s="38">
        <v>60</v>
      </c>
      <c r="L13" s="43">
        <v>56</v>
      </c>
      <c r="M13" s="40">
        <v>45</v>
      </c>
      <c r="N13" s="42">
        <v>56</v>
      </c>
      <c r="O13" s="41">
        <v>73</v>
      </c>
      <c r="P13" s="53">
        <v>42.9</v>
      </c>
      <c r="Q13" s="29">
        <v>0</v>
      </c>
      <c r="R13" s="30">
        <v>40.194000000000003</v>
      </c>
      <c r="S13" s="30">
        <v>32</v>
      </c>
      <c r="T13" s="31">
        <v>12.08</v>
      </c>
      <c r="U13" s="32">
        <f t="shared" si="1"/>
        <v>127.17399999999999</v>
      </c>
      <c r="V13" s="44">
        <v>5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40</v>
      </c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43.4</v>
      </c>
      <c r="Q14" s="29">
        <v>0</v>
      </c>
      <c r="R14" s="30">
        <v>43.497</v>
      </c>
      <c r="S14" s="30">
        <v>32</v>
      </c>
      <c r="T14" s="31">
        <v>12.74</v>
      </c>
      <c r="U14" s="32">
        <f t="shared" si="1"/>
        <v>131.637</v>
      </c>
      <c r="V14" s="44">
        <v>5</v>
      </c>
      <c r="W14" s="37" t="s">
        <v>102</v>
      </c>
      <c r="X14" s="280">
        <v>0.41666666666666669</v>
      </c>
      <c r="Y14" s="192" t="s">
        <v>45</v>
      </c>
      <c r="Z14" s="69">
        <v>1.1000000000000001</v>
      </c>
      <c r="AA14" s="70">
        <f>100-Z14</f>
        <v>98.9</v>
      </c>
      <c r="AB14" s="278"/>
      <c r="AC14" s="51" t="s">
        <v>35</v>
      </c>
      <c r="AD14" s="52">
        <v>31</v>
      </c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44.9</v>
      </c>
      <c r="Q15" s="29">
        <v>0</v>
      </c>
      <c r="R15" s="30">
        <v>42.146000000000001</v>
      </c>
      <c r="S15" s="30">
        <v>33</v>
      </c>
      <c r="T15" s="31">
        <v>13.33</v>
      </c>
      <c r="U15" s="32">
        <f t="shared" si="1"/>
        <v>133.376</v>
      </c>
      <c r="V15" s="44">
        <v>6</v>
      </c>
      <c r="W15" s="37" t="s">
        <v>103</v>
      </c>
      <c r="X15" s="281"/>
      <c r="Y15" s="71" t="s">
        <v>47</v>
      </c>
      <c r="Z15" s="72">
        <v>1.1000000000000001</v>
      </c>
      <c r="AA15" s="73">
        <f>100-Z15</f>
        <v>98.9</v>
      </c>
      <c r="AB15" s="279"/>
      <c r="AC15" s="74" t="s">
        <v>37</v>
      </c>
      <c r="AD15" s="58">
        <v>13</v>
      </c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42.3</v>
      </c>
      <c r="Q16" s="29">
        <v>0</v>
      </c>
      <c r="R16" s="30">
        <v>40.401000000000003</v>
      </c>
      <c r="S16" s="30">
        <v>35</v>
      </c>
      <c r="T16" s="82">
        <v>11.98</v>
      </c>
      <c r="U16" s="32">
        <f t="shared" si="1"/>
        <v>129.68099999999998</v>
      </c>
      <c r="V16" s="83">
        <v>12</v>
      </c>
      <c r="W16" s="75" t="s">
        <v>104</v>
      </c>
      <c r="X16" s="281"/>
      <c r="Y16" s="71" t="s">
        <v>49</v>
      </c>
      <c r="Z16" s="72">
        <v>1.6</v>
      </c>
      <c r="AA16" s="73">
        <f>100-Z16</f>
        <v>98.4</v>
      </c>
      <c r="AB16" s="190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>
        <f>AVERAGE(B5:B15)</f>
        <v>71.5</v>
      </c>
      <c r="C17" s="88">
        <f>AVERAGE(C5:C16)</f>
        <v>64.5</v>
      </c>
      <c r="D17" s="88">
        <f>AVERAGE(D5:D15)</f>
        <v>71</v>
      </c>
      <c r="E17" s="88">
        <f>AVERAGE(E5:E15)</f>
        <v>63</v>
      </c>
      <c r="F17" s="88">
        <f>AVERAGE(F5:F15)</f>
        <v>63.5</v>
      </c>
      <c r="G17" s="88">
        <f>AVERAGE(G5:G16)</f>
        <v>39</v>
      </c>
      <c r="H17" s="88">
        <f>AVERAGE(H5:H16)</f>
        <v>31.5</v>
      </c>
      <c r="I17" s="88">
        <f t="shared" ref="I17:N17" si="2">AVERAGE(I5:I15)</f>
        <v>57</v>
      </c>
      <c r="J17" s="88">
        <f t="shared" si="2"/>
        <v>36</v>
      </c>
      <c r="K17" s="88">
        <f t="shared" si="2"/>
        <v>59</v>
      </c>
      <c r="L17" s="88">
        <f t="shared" si="2"/>
        <v>52</v>
      </c>
      <c r="M17" s="89">
        <f t="shared" si="2"/>
        <v>49</v>
      </c>
      <c r="N17" s="89">
        <f t="shared" si="2"/>
        <v>54</v>
      </c>
      <c r="O17" s="89">
        <f>AVERAGE(O5:O16)</f>
        <v>72</v>
      </c>
      <c r="P17" s="90">
        <f>SUM(P5:P16)</f>
        <v>499.29999999999995</v>
      </c>
      <c r="Q17" s="91">
        <f>SUM(Q5:Q16)</f>
        <v>0</v>
      </c>
      <c r="R17" s="92">
        <f>SUM(R5:R16)</f>
        <v>502.22900000000004</v>
      </c>
      <c r="S17" s="93">
        <f>SUM(S5:S16)</f>
        <v>384</v>
      </c>
      <c r="T17" s="93">
        <f>SUM(T5:T16)</f>
        <v>153.16</v>
      </c>
      <c r="U17" s="94">
        <f>SUM(P17:T17)</f>
        <v>1538.6890000000001</v>
      </c>
      <c r="V17" s="1">
        <f>SUM(V5:V16)</f>
        <v>70</v>
      </c>
      <c r="W17" s="4"/>
      <c r="X17" s="281"/>
      <c r="Y17" s="71" t="s">
        <v>51</v>
      </c>
      <c r="Z17" s="150">
        <v>2</v>
      </c>
      <c r="AA17" s="73">
        <f>100-Z17</f>
        <v>98</v>
      </c>
      <c r="AB17" s="283">
        <v>0.54166666666666663</v>
      </c>
      <c r="AC17" s="62" t="s">
        <v>30</v>
      </c>
      <c r="AD17" s="50">
        <v>40</v>
      </c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98.550000000000011</v>
      </c>
      <c r="AB18" s="278"/>
      <c r="AC18" s="51" t="s">
        <v>32</v>
      </c>
      <c r="AD18" s="52">
        <v>40</v>
      </c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305</v>
      </c>
      <c r="J19" s="259"/>
      <c r="K19" s="259"/>
      <c r="L19" s="260"/>
      <c r="M19" s="261" t="s">
        <v>57</v>
      </c>
      <c r="N19" s="262"/>
      <c r="O19" s="263"/>
      <c r="P19" s="105">
        <v>1.8</v>
      </c>
      <c r="Q19" s="106"/>
      <c r="R19" s="107">
        <v>1.5</v>
      </c>
      <c r="S19" s="107">
        <v>1.8</v>
      </c>
      <c r="T19" s="107">
        <v>1.3</v>
      </c>
      <c r="U19" s="108">
        <f>(U17-U20)/U17*100</f>
        <v>1.6523101809397529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31</v>
      </c>
      <c r="AE19" s="11">
        <v>17</v>
      </c>
      <c r="AF19" s="12">
        <f t="shared" si="0"/>
        <v>3.1166666666666667</v>
      </c>
    </row>
    <row r="20" spans="1:32" ht="16.5" thickBot="1" x14ac:dyDescent="0.3">
      <c r="A20" s="294" t="s">
        <v>61</v>
      </c>
      <c r="B20" s="295"/>
      <c r="C20" s="44">
        <v>20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490.31259999999997</v>
      </c>
      <c r="Q20" s="113"/>
      <c r="R20" s="114">
        <f>(R17-(R17*R19/100))</f>
        <v>494.69556500000004</v>
      </c>
      <c r="S20" s="112">
        <f>(S17-(S17*S19/100))</f>
        <v>377.08800000000002</v>
      </c>
      <c r="T20" s="112">
        <f>(T17-(T17*T19/100))</f>
        <v>151.16891999999999</v>
      </c>
      <c r="U20" s="115">
        <f>P20+Q20+R20+S20+T20</f>
        <v>1513.265085</v>
      </c>
      <c r="V20" s="4"/>
      <c r="W20" s="4"/>
      <c r="X20" s="281"/>
      <c r="Y20" s="192" t="s">
        <v>45</v>
      </c>
      <c r="Z20" s="69">
        <v>1.5</v>
      </c>
      <c r="AA20" s="70">
        <f>100-Z20</f>
        <v>98.5</v>
      </c>
      <c r="AB20" s="279"/>
      <c r="AC20" s="74" t="s">
        <v>37</v>
      </c>
      <c r="AD20" s="58">
        <v>12</v>
      </c>
      <c r="AE20" s="11">
        <v>18</v>
      </c>
      <c r="AF20" s="12">
        <f t="shared" si="0"/>
        <v>3.3</v>
      </c>
    </row>
    <row r="21" spans="1:32" ht="19.5" thickBot="1" x14ac:dyDescent="0.3">
      <c r="A21" s="294" t="s">
        <v>32</v>
      </c>
      <c r="B21" s="295"/>
      <c r="C21" s="44">
        <v>70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45</v>
      </c>
      <c r="K21" s="118"/>
      <c r="L21" s="119"/>
      <c r="M21" s="307" t="s">
        <v>63</v>
      </c>
      <c r="N21" s="308"/>
      <c r="O21" s="309"/>
      <c r="P21" s="120">
        <f>(U17-(U17*U19/100))</f>
        <v>1513.265085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1.3</v>
      </c>
      <c r="AA21" s="73">
        <f>100-Z21</f>
        <v>98.7</v>
      </c>
      <c r="AB21" s="190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 t="s">
        <v>35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55</v>
      </c>
      <c r="K22" s="316">
        <f>J22/I22*100</f>
        <v>55.000000000000007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1.9</v>
      </c>
      <c r="AA22" s="73">
        <f>100-Z22</f>
        <v>98.1</v>
      </c>
      <c r="AB22" s="283">
        <v>0.625</v>
      </c>
      <c r="AC22" s="49" t="s">
        <v>30</v>
      </c>
      <c r="AD22" s="50">
        <v>40</v>
      </c>
      <c r="AE22" s="11">
        <v>20</v>
      </c>
      <c r="AF22" s="12">
        <f t="shared" si="0"/>
        <v>3.6666666666666665</v>
      </c>
    </row>
    <row r="23" spans="1:32" ht="16.5" thickBot="1" x14ac:dyDescent="0.3">
      <c r="A23" s="294" t="s">
        <v>37</v>
      </c>
      <c r="B23" s="295"/>
      <c r="C23" s="44">
        <v>70</v>
      </c>
      <c r="D23" s="296">
        <v>0.1</v>
      </c>
      <c r="E23" s="297"/>
      <c r="F23" s="298" t="s">
        <v>58</v>
      </c>
      <c r="G23" s="299"/>
      <c r="H23" s="4"/>
      <c r="I23" s="133" t="s">
        <v>66</v>
      </c>
      <c r="J23" s="134">
        <v>27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2.2000000000000002</v>
      </c>
      <c r="AA23" s="73">
        <f>100-Z23</f>
        <v>97.8</v>
      </c>
      <c r="AB23" s="278"/>
      <c r="AC23" s="51" t="s">
        <v>32</v>
      </c>
      <c r="AD23" s="52">
        <v>41</v>
      </c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73</v>
      </c>
      <c r="K24" s="316">
        <f>J24/I24*100</f>
        <v>73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 t="s">
        <v>65</v>
      </c>
      <c r="X24" s="282"/>
      <c r="Y24" s="101"/>
      <c r="Z24" s="102"/>
      <c r="AA24" s="103">
        <f>(AA20+AA21+AA22+AA23)/4</f>
        <v>98.274999999999991</v>
      </c>
      <c r="AB24" s="278"/>
      <c r="AC24" s="51" t="s">
        <v>35</v>
      </c>
      <c r="AD24" s="52">
        <v>31</v>
      </c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13</v>
      </c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4.5</v>
      </c>
      <c r="AA26" s="70">
        <f>100-Z26</f>
        <v>95.5</v>
      </c>
      <c r="AB26" s="189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6.9</v>
      </c>
      <c r="AA27" s="73">
        <f>100-Z27</f>
        <v>93.1</v>
      </c>
      <c r="AB27" s="267">
        <v>0.70833333333333337</v>
      </c>
      <c r="AC27" s="62" t="s">
        <v>30</v>
      </c>
      <c r="AD27" s="50">
        <v>43</v>
      </c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 t="s">
        <v>196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4.8</v>
      </c>
      <c r="AA28" s="73">
        <f>100-Z28</f>
        <v>95.2</v>
      </c>
      <c r="AB28" s="268"/>
      <c r="AC28" s="67" t="s">
        <v>32</v>
      </c>
      <c r="AD28" s="52">
        <v>41</v>
      </c>
      <c r="AE28" s="11">
        <v>26</v>
      </c>
      <c r="AF28" s="12">
        <f t="shared" si="0"/>
        <v>4.7666666666666666</v>
      </c>
    </row>
    <row r="29" spans="1:32" ht="20.25" customHeight="1" thickBot="1" x14ac:dyDescent="0.35">
      <c r="A29" s="432"/>
      <c r="B29" s="433"/>
      <c r="C29" s="181"/>
      <c r="D29" s="428"/>
      <c r="E29" s="429"/>
      <c r="F29" s="430"/>
      <c r="G29" s="431"/>
      <c r="H29" s="345" t="s">
        <v>307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5</v>
      </c>
      <c r="AA29" s="73">
        <f>100-Z29</f>
        <v>95</v>
      </c>
      <c r="AB29" s="268"/>
      <c r="AC29" s="51" t="s">
        <v>35</v>
      </c>
      <c r="AD29" s="52">
        <v>32</v>
      </c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6" t="s">
        <v>306</v>
      </c>
      <c r="I30" s="357"/>
      <c r="J30" s="357"/>
      <c r="K30" s="357"/>
      <c r="L30" s="357"/>
      <c r="M30" s="357"/>
      <c r="N30" s="357"/>
      <c r="O30" s="357"/>
      <c r="P30" s="357"/>
      <c r="Q30" s="357"/>
      <c r="R30" s="357"/>
      <c r="S30" s="357"/>
      <c r="T30" s="357"/>
      <c r="U30" s="358"/>
      <c r="V30" s="4"/>
      <c r="W30" s="4" t="s">
        <v>78</v>
      </c>
      <c r="X30" s="282"/>
      <c r="Y30" s="146"/>
      <c r="Z30" s="147"/>
      <c r="AA30" s="103">
        <f>(AA26+AA27+AA28+AA29)/4</f>
        <v>94.7</v>
      </c>
      <c r="AB30" s="269"/>
      <c r="AC30" s="74" t="s">
        <v>37</v>
      </c>
      <c r="AD30" s="58">
        <v>13</v>
      </c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2.9</v>
      </c>
      <c r="AA32" s="70">
        <f>100-Z32</f>
        <v>97.1</v>
      </c>
      <c r="AB32" s="267">
        <v>0.79166666666666663</v>
      </c>
      <c r="AC32" s="62" t="s">
        <v>30</v>
      </c>
      <c r="AD32" s="50">
        <v>43</v>
      </c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>
        <v>2.8</v>
      </c>
      <c r="AA33" s="73">
        <f>100-Z33</f>
        <v>97.2</v>
      </c>
      <c r="AB33" s="268"/>
      <c r="AC33" s="51" t="s">
        <v>32</v>
      </c>
      <c r="AD33" s="52">
        <v>42</v>
      </c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W34" t="s">
        <v>65</v>
      </c>
      <c r="X34" s="413"/>
      <c r="Y34" s="44" t="s">
        <v>49</v>
      </c>
      <c r="Z34" s="72">
        <v>2.4</v>
      </c>
      <c r="AA34" s="73">
        <f>100-Z34</f>
        <v>97.6</v>
      </c>
      <c r="AB34" s="268"/>
      <c r="AC34" s="67" t="s">
        <v>35</v>
      </c>
      <c r="AD34" s="52">
        <v>33</v>
      </c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4</v>
      </c>
      <c r="AA35" s="73">
        <f>100-Z35</f>
        <v>96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96.974999999999994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X38" t="s">
        <v>78</v>
      </c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119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70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>
        <v>38</v>
      </c>
      <c r="E42" s="386"/>
      <c r="F42" s="387"/>
      <c r="G42" s="160"/>
      <c r="H42" s="397" t="s">
        <v>88</v>
      </c>
      <c r="I42" s="398"/>
      <c r="J42" s="164">
        <v>9.24</v>
      </c>
      <c r="K42" s="399">
        <v>9.36</v>
      </c>
      <c r="L42" s="400"/>
      <c r="M42" s="164">
        <v>9.18</v>
      </c>
      <c r="N42" s="165">
        <v>9.11</v>
      </c>
      <c r="O42" s="165">
        <v>9.59</v>
      </c>
      <c r="P42" s="165">
        <v>9.4600000000000009</v>
      </c>
      <c r="Q42" s="401">
        <f>AVERAGE(J42:P43)</f>
        <v>9.3233333333333341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187" t="s">
        <v>89</v>
      </c>
      <c r="B43" s="188"/>
      <c r="C43" s="188"/>
      <c r="D43" s="386">
        <v>2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151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193" t="s">
        <v>92</v>
      </c>
      <c r="S44" s="193"/>
      <c r="T44" s="193"/>
      <c r="U44" s="193"/>
      <c r="V44" s="193"/>
      <c r="W44" s="193"/>
      <c r="X44" s="193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R43" sqref="R43:X44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28515625" customWidth="1"/>
    <col min="17" max="18" width="10.140625" customWidth="1"/>
    <col min="19" max="19" width="10" customWidth="1"/>
    <col min="20" max="20" width="9.710937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158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45.3</v>
      </c>
      <c r="Q5" s="29">
        <v>0</v>
      </c>
      <c r="R5" s="30">
        <v>44.08</v>
      </c>
      <c r="S5" s="30">
        <v>33</v>
      </c>
      <c r="T5" s="31">
        <v>12.7</v>
      </c>
      <c r="U5" s="32">
        <f>SUM(P5:T5)</f>
        <v>135.07999999999998</v>
      </c>
      <c r="V5" s="33">
        <v>3</v>
      </c>
      <c r="W5" s="21" t="s">
        <v>27</v>
      </c>
      <c r="X5" s="34">
        <f>'16.01.26см2'!Y5</f>
        <v>524234.5</v>
      </c>
      <c r="Y5" s="34">
        <f>X5+P17</f>
        <v>524755.9</v>
      </c>
      <c r="Z5" s="35">
        <f>Y5-X5</f>
        <v>521.40000000002328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46.1</v>
      </c>
      <c r="Q6" s="29">
        <v>0</v>
      </c>
      <c r="R6" s="30">
        <v>46.112000000000002</v>
      </c>
      <c r="S6" s="30">
        <v>39</v>
      </c>
      <c r="T6" s="31">
        <v>11.58</v>
      </c>
      <c r="U6" s="32">
        <f t="shared" ref="U6:U16" si="1">SUM(P6:T6)</f>
        <v>142.792</v>
      </c>
      <c r="V6" s="44">
        <v>5</v>
      </c>
      <c r="W6" s="37" t="s">
        <v>28</v>
      </c>
      <c r="X6" s="45">
        <f>'16.01.26см2'!Y6</f>
        <v>822060.03600000008</v>
      </c>
      <c r="Y6" s="34">
        <f>X6+R17</f>
        <v>822568.06400000013</v>
      </c>
      <c r="Z6" s="46">
        <f>Y6-X6</f>
        <v>508.02800000004936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>
        <v>70</v>
      </c>
      <c r="C7" s="39">
        <v>63</v>
      </c>
      <c r="D7" s="39">
        <v>72</v>
      </c>
      <c r="E7" s="40">
        <v>64</v>
      </c>
      <c r="F7" s="41">
        <v>66</v>
      </c>
      <c r="G7" s="42">
        <v>45</v>
      </c>
      <c r="H7" s="41">
        <v>38</v>
      </c>
      <c r="I7" s="42">
        <v>49</v>
      </c>
      <c r="J7" s="41">
        <v>37</v>
      </c>
      <c r="K7" s="38">
        <v>54</v>
      </c>
      <c r="L7" s="43">
        <v>55</v>
      </c>
      <c r="M7" s="40">
        <v>47</v>
      </c>
      <c r="N7" s="42">
        <v>53</v>
      </c>
      <c r="O7" s="41">
        <v>72</v>
      </c>
      <c r="P7" s="28">
        <v>46</v>
      </c>
      <c r="Q7" s="29">
        <v>0</v>
      </c>
      <c r="R7" s="30">
        <v>47.649000000000001</v>
      </c>
      <c r="S7" s="30">
        <v>36</v>
      </c>
      <c r="T7" s="31">
        <v>12.95</v>
      </c>
      <c r="U7" s="32">
        <f t="shared" si="1"/>
        <v>142.59899999999999</v>
      </c>
      <c r="V7" s="44">
        <v>8</v>
      </c>
      <c r="W7" s="37" t="s">
        <v>29</v>
      </c>
      <c r="X7" s="48">
        <f>'16.01.26см2'!Y7</f>
        <v>513999</v>
      </c>
      <c r="Y7" s="34">
        <f>X7+S17</f>
        <v>514394</v>
      </c>
      <c r="Z7" s="46">
        <f>Y7-X7</f>
        <v>395</v>
      </c>
      <c r="AA7" s="47">
        <v>4</v>
      </c>
      <c r="AB7" s="267">
        <v>0.875</v>
      </c>
      <c r="AC7" s="49" t="s">
        <v>30</v>
      </c>
      <c r="AD7" s="50">
        <v>45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43</v>
      </c>
      <c r="Q8" s="29">
        <v>0</v>
      </c>
      <c r="R8" s="30">
        <v>43.351999999999997</v>
      </c>
      <c r="S8" s="30">
        <v>34</v>
      </c>
      <c r="T8" s="31">
        <v>11.95</v>
      </c>
      <c r="U8" s="32">
        <f t="shared" si="1"/>
        <v>132.30199999999999</v>
      </c>
      <c r="V8" s="44">
        <v>6</v>
      </c>
      <c r="W8" s="37" t="s">
        <v>31</v>
      </c>
      <c r="X8" s="46">
        <f>'16.01.26см2'!Y8</f>
        <v>4506.78</v>
      </c>
      <c r="Y8" s="34">
        <f>X8+T17</f>
        <v>4647.4299999999994</v>
      </c>
      <c r="Z8" s="46">
        <f>T17</f>
        <v>140.65</v>
      </c>
      <c r="AA8" s="47">
        <v>5</v>
      </c>
      <c r="AB8" s="268"/>
      <c r="AC8" s="51" t="s">
        <v>32</v>
      </c>
      <c r="AD8" s="52">
        <v>43</v>
      </c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44</v>
      </c>
      <c r="Q9" s="29">
        <v>0</v>
      </c>
      <c r="R9" s="30">
        <v>39.646000000000001</v>
      </c>
      <c r="S9" s="30">
        <v>17</v>
      </c>
      <c r="T9" s="31">
        <v>11.63</v>
      </c>
      <c r="U9" s="32">
        <f t="shared" si="1"/>
        <v>112.276</v>
      </c>
      <c r="V9" s="44">
        <v>6</v>
      </c>
      <c r="W9" s="37" t="s">
        <v>33</v>
      </c>
      <c r="X9" s="270" t="s">
        <v>34</v>
      </c>
      <c r="Y9" s="271"/>
      <c r="Z9" s="54">
        <f>SUM(Z5:Z8)</f>
        <v>1565.0780000000727</v>
      </c>
      <c r="AA9" s="55"/>
      <c r="AB9" s="268"/>
      <c r="AC9" s="51" t="s">
        <v>35</v>
      </c>
      <c r="AD9" s="52">
        <v>40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42.8</v>
      </c>
      <c r="Q10" s="29">
        <v>0</v>
      </c>
      <c r="R10" s="30">
        <v>41.505000000000003</v>
      </c>
      <c r="S10" s="30">
        <v>34</v>
      </c>
      <c r="T10" s="31">
        <v>10.82</v>
      </c>
      <c r="U10" s="32">
        <f t="shared" si="1"/>
        <v>129.125</v>
      </c>
      <c r="V10" s="44">
        <v>6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12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42.5</v>
      </c>
      <c r="Q11" s="29">
        <v>0</v>
      </c>
      <c r="R11" s="30">
        <v>43.136000000000003</v>
      </c>
      <c r="S11" s="30">
        <v>35</v>
      </c>
      <c r="T11" s="31">
        <v>11.67</v>
      </c>
      <c r="U11" s="32">
        <f t="shared" si="1"/>
        <v>132.30599999999998</v>
      </c>
      <c r="V11" s="44">
        <v>6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43.8</v>
      </c>
      <c r="Q12" s="29">
        <v>0</v>
      </c>
      <c r="R12" s="30">
        <v>41.292999999999999</v>
      </c>
      <c r="S12" s="30">
        <v>35</v>
      </c>
      <c r="T12" s="31">
        <v>10.83</v>
      </c>
      <c r="U12" s="32">
        <f t="shared" si="1"/>
        <v>130.923</v>
      </c>
      <c r="V12" s="44">
        <v>6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43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>
        <v>72</v>
      </c>
      <c r="C13" s="39">
        <v>62</v>
      </c>
      <c r="D13" s="39">
        <v>74</v>
      </c>
      <c r="E13" s="40">
        <v>65</v>
      </c>
      <c r="F13" s="41">
        <v>69</v>
      </c>
      <c r="G13" s="42">
        <v>44</v>
      </c>
      <c r="H13" s="41">
        <v>35</v>
      </c>
      <c r="I13" s="42">
        <v>51</v>
      </c>
      <c r="J13" s="41">
        <v>39</v>
      </c>
      <c r="K13" s="38">
        <v>52</v>
      </c>
      <c r="L13" s="43">
        <v>57</v>
      </c>
      <c r="M13" s="40">
        <v>45</v>
      </c>
      <c r="N13" s="42">
        <v>55</v>
      </c>
      <c r="O13" s="41">
        <v>73</v>
      </c>
      <c r="P13" s="53">
        <v>42.3</v>
      </c>
      <c r="Q13" s="29">
        <v>0</v>
      </c>
      <c r="R13" s="30">
        <v>42.682000000000002</v>
      </c>
      <c r="S13" s="30">
        <v>29</v>
      </c>
      <c r="T13" s="31">
        <v>11.98</v>
      </c>
      <c r="U13" s="32">
        <f t="shared" si="1"/>
        <v>125.962</v>
      </c>
      <c r="V13" s="44">
        <v>6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43</v>
      </c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43.2</v>
      </c>
      <c r="Q14" s="29">
        <v>0</v>
      </c>
      <c r="R14" s="30">
        <v>43.316000000000003</v>
      </c>
      <c r="S14" s="30">
        <v>35</v>
      </c>
      <c r="T14" s="31">
        <v>11.36</v>
      </c>
      <c r="U14" s="32">
        <f t="shared" si="1"/>
        <v>132.876</v>
      </c>
      <c r="V14" s="44">
        <v>5</v>
      </c>
      <c r="W14" s="37" t="s">
        <v>44</v>
      </c>
      <c r="X14" s="280">
        <v>0.91666666666666663</v>
      </c>
      <c r="Y14" s="210" t="s">
        <v>45</v>
      </c>
      <c r="Z14" s="69">
        <v>2.2999999999999998</v>
      </c>
      <c r="AA14" s="70">
        <f>100-Z14</f>
        <v>97.7</v>
      </c>
      <c r="AB14" s="278"/>
      <c r="AC14" s="51" t="s">
        <v>35</v>
      </c>
      <c r="AD14" s="52">
        <v>36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42.2</v>
      </c>
      <c r="Q15" s="29">
        <v>0</v>
      </c>
      <c r="R15" s="30">
        <v>42.524999999999999</v>
      </c>
      <c r="S15" s="30">
        <v>35</v>
      </c>
      <c r="T15" s="31">
        <v>11.21</v>
      </c>
      <c r="U15" s="32">
        <f t="shared" si="1"/>
        <v>130.935</v>
      </c>
      <c r="V15" s="44">
        <v>3</v>
      </c>
      <c r="W15" s="37" t="s">
        <v>46</v>
      </c>
      <c r="X15" s="281"/>
      <c r="Y15" s="71" t="s">
        <v>47</v>
      </c>
      <c r="Z15" s="72">
        <v>0.9</v>
      </c>
      <c r="AA15" s="73">
        <f>100-Z15</f>
        <v>99.1</v>
      </c>
      <c r="AB15" s="279"/>
      <c r="AC15" s="74" t="s">
        <v>37</v>
      </c>
      <c r="AD15" s="58">
        <v>12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40.200000000000003</v>
      </c>
      <c r="Q16" s="29">
        <v>0</v>
      </c>
      <c r="R16" s="30">
        <v>32.731999999999999</v>
      </c>
      <c r="S16" s="30">
        <v>33</v>
      </c>
      <c r="T16" s="82">
        <v>11.97</v>
      </c>
      <c r="U16" s="32">
        <f t="shared" si="1"/>
        <v>117.902</v>
      </c>
      <c r="V16" s="83">
        <v>6</v>
      </c>
      <c r="W16" s="75" t="s">
        <v>48</v>
      </c>
      <c r="X16" s="281"/>
      <c r="Y16" s="71" t="s">
        <v>49</v>
      </c>
      <c r="Z16" s="72">
        <v>1.4</v>
      </c>
      <c r="AA16" s="73">
        <f>100-Z16</f>
        <v>98.6</v>
      </c>
      <c r="AB16" s="190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71</v>
      </c>
      <c r="C17" s="88">
        <f>AVERAGE(C5:C16)</f>
        <v>62.5</v>
      </c>
      <c r="D17" s="88">
        <f>AVERAGE(D5:D15)</f>
        <v>73</v>
      </c>
      <c r="E17" s="88">
        <f>AVERAGE(E5:E15)</f>
        <v>64.5</v>
      </c>
      <c r="F17" s="88">
        <f>AVERAGE(F5:F15)</f>
        <v>67.5</v>
      </c>
      <c r="G17" s="88">
        <f>AVERAGE(G5:G16)</f>
        <v>44.5</v>
      </c>
      <c r="H17" s="88">
        <f>AVERAGE(H5:H16)</f>
        <v>36.5</v>
      </c>
      <c r="I17" s="88">
        <f t="shared" ref="I17:N17" si="2">AVERAGE(I5:I15)</f>
        <v>50</v>
      </c>
      <c r="J17" s="88">
        <f t="shared" si="2"/>
        <v>38</v>
      </c>
      <c r="K17" s="88">
        <f t="shared" si="2"/>
        <v>53</v>
      </c>
      <c r="L17" s="88">
        <f t="shared" si="2"/>
        <v>56</v>
      </c>
      <c r="M17" s="89">
        <f t="shared" si="2"/>
        <v>46</v>
      </c>
      <c r="N17" s="89">
        <f t="shared" si="2"/>
        <v>54</v>
      </c>
      <c r="O17" s="89">
        <f>AVERAGE(O5:O16)</f>
        <v>72.5</v>
      </c>
      <c r="P17" s="90">
        <f>SUM(P5:P16)</f>
        <v>521.4</v>
      </c>
      <c r="Q17" s="91">
        <f>SUM(Q5:Q16)</f>
        <v>0</v>
      </c>
      <c r="R17" s="92">
        <f>SUM(R5:R16)</f>
        <v>508.02800000000002</v>
      </c>
      <c r="S17" s="93">
        <f>SUM(S5:S16)</f>
        <v>395</v>
      </c>
      <c r="T17" s="93">
        <f>SUM(T5:T16)</f>
        <v>140.65</v>
      </c>
      <c r="U17" s="94">
        <f>SUM(P17:T17)</f>
        <v>1565.078</v>
      </c>
      <c r="V17" s="1">
        <f>SUM(V5:V16)</f>
        <v>66</v>
      </c>
      <c r="W17" s="4"/>
      <c r="X17" s="281"/>
      <c r="Y17" s="71" t="s">
        <v>51</v>
      </c>
      <c r="Z17" s="72">
        <v>1.5</v>
      </c>
      <c r="AA17" s="73">
        <f>100-Z17</f>
        <v>98.5</v>
      </c>
      <c r="AB17" s="283">
        <v>4.1666666666666664E-2</v>
      </c>
      <c r="AC17" s="62" t="s">
        <v>30</v>
      </c>
      <c r="AD17" s="50">
        <v>43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98.474999999999994</v>
      </c>
      <c r="AB18" s="278"/>
      <c r="AC18" s="51" t="s">
        <v>32</v>
      </c>
      <c r="AD18" s="52">
        <v>42</v>
      </c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159</v>
      </c>
      <c r="J19" s="259"/>
      <c r="K19" s="259"/>
      <c r="L19" s="260"/>
      <c r="M19" s="261" t="s">
        <v>57</v>
      </c>
      <c r="N19" s="262"/>
      <c r="O19" s="263"/>
      <c r="P19" s="105">
        <v>2.2000000000000002</v>
      </c>
      <c r="Q19" s="106"/>
      <c r="R19" s="107">
        <v>1.9</v>
      </c>
      <c r="S19" s="107">
        <v>2.4</v>
      </c>
      <c r="T19" s="107">
        <v>1.6</v>
      </c>
      <c r="U19" s="108">
        <f>(U17-U20)/U17*100</f>
        <v>2.0991753765627039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34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30</v>
      </c>
      <c r="B20" s="295"/>
      <c r="C20" s="44">
        <v>70</v>
      </c>
      <c r="D20" s="296">
        <v>0.15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509.92919999999998</v>
      </c>
      <c r="Q20" s="113"/>
      <c r="R20" s="114">
        <f>(R17-(R17*R19/100))</f>
        <v>498.37546800000001</v>
      </c>
      <c r="S20" s="112">
        <f>(S17-(S17*S19/100))</f>
        <v>385.52</v>
      </c>
      <c r="T20" s="112">
        <f>(T17-(T17*T19/100))</f>
        <v>138.39959999999999</v>
      </c>
      <c r="U20" s="115">
        <f>P20+Q20+R20+S20+T20</f>
        <v>1532.2242679999999</v>
      </c>
      <c r="V20" s="4"/>
      <c r="W20" s="4"/>
      <c r="X20" s="281"/>
      <c r="Y20" s="210" t="s">
        <v>45</v>
      </c>
      <c r="Z20" s="69">
        <v>1.8</v>
      </c>
      <c r="AA20" s="70">
        <f>100-Z20</f>
        <v>98.2</v>
      </c>
      <c r="AB20" s="279"/>
      <c r="AC20" s="74" t="s">
        <v>37</v>
      </c>
      <c r="AD20" s="58">
        <v>12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61</v>
      </c>
      <c r="B21" s="295"/>
      <c r="C21" s="44">
        <v>20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46</v>
      </c>
      <c r="K21" s="118"/>
      <c r="L21" s="119"/>
      <c r="M21" s="307" t="s">
        <v>63</v>
      </c>
      <c r="N21" s="308"/>
      <c r="O21" s="309"/>
      <c r="P21" s="120">
        <f>(U17-(U17*U19/100))</f>
        <v>1532.2242679999999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1.3</v>
      </c>
      <c r="AA21" s="73">
        <f>100-Z21</f>
        <v>98.7</v>
      </c>
      <c r="AB21" s="190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32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54</v>
      </c>
      <c r="K22" s="316">
        <f>J22/I22*100</f>
        <v>54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1.6</v>
      </c>
      <c r="AA22" s="73">
        <f>100-Z22</f>
        <v>98.4</v>
      </c>
      <c r="AB22" s="283">
        <v>0.125</v>
      </c>
      <c r="AC22" s="49" t="s">
        <v>30</v>
      </c>
      <c r="AD22" s="50">
        <v>43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 t="s">
        <v>35</v>
      </c>
      <c r="B23" s="295"/>
      <c r="C23" s="44">
        <v>70</v>
      </c>
      <c r="D23" s="296">
        <v>0.2</v>
      </c>
      <c r="E23" s="297"/>
      <c r="F23" s="298" t="s">
        <v>58</v>
      </c>
      <c r="G23" s="299"/>
      <c r="H23" s="4"/>
      <c r="I23" s="133" t="s">
        <v>66</v>
      </c>
      <c r="J23" s="134">
        <v>28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0.8</v>
      </c>
      <c r="AA23" s="73">
        <f>100-Z23</f>
        <v>99.2</v>
      </c>
      <c r="AB23" s="278"/>
      <c r="AC23" s="51" t="s">
        <v>32</v>
      </c>
      <c r="AD23" s="52">
        <v>43</v>
      </c>
      <c r="AE23" s="11">
        <v>21</v>
      </c>
      <c r="AF23" s="12">
        <f t="shared" si="0"/>
        <v>14</v>
      </c>
    </row>
    <row r="24" spans="1:32" ht="16.5" thickBot="1" x14ac:dyDescent="0.3">
      <c r="A24" s="294" t="s">
        <v>37</v>
      </c>
      <c r="B24" s="295"/>
      <c r="C24" s="44">
        <v>70</v>
      </c>
      <c r="D24" s="296">
        <v>0.15</v>
      </c>
      <c r="E24" s="297"/>
      <c r="F24" s="298" t="s">
        <v>58</v>
      </c>
      <c r="G24" s="299"/>
      <c r="H24" s="4"/>
      <c r="I24" s="136">
        <v>100</v>
      </c>
      <c r="J24" s="121">
        <f>I24-J23</f>
        <v>72</v>
      </c>
      <c r="K24" s="316">
        <f>J24/I24*100</f>
        <v>72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98.625</v>
      </c>
      <c r="AB24" s="278"/>
      <c r="AC24" s="51" t="s">
        <v>35</v>
      </c>
      <c r="AD24" s="52">
        <v>35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12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>
        <v>2.2000000000000002</v>
      </c>
      <c r="AA26" s="70">
        <f>100-Z26</f>
        <v>97.8</v>
      </c>
      <c r="AB26" s="189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1</v>
      </c>
      <c r="AA27" s="73">
        <f>100-Z27</f>
        <v>99</v>
      </c>
      <c r="AB27" s="267">
        <v>0.20833333333333334</v>
      </c>
      <c r="AC27" s="62" t="s">
        <v>30</v>
      </c>
      <c r="AD27" s="50">
        <v>42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 t="s">
        <v>196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0.6</v>
      </c>
      <c r="AA28" s="73">
        <f>100-Z28</f>
        <v>99.4</v>
      </c>
      <c r="AB28" s="268"/>
      <c r="AC28" s="67" t="s">
        <v>32</v>
      </c>
      <c r="AD28" s="52">
        <v>43</v>
      </c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56" t="s">
        <v>310</v>
      </c>
      <c r="I29" s="357"/>
      <c r="J29" s="357"/>
      <c r="K29" s="357"/>
      <c r="L29" s="357"/>
      <c r="M29" s="357"/>
      <c r="N29" s="357"/>
      <c r="O29" s="357"/>
      <c r="P29" s="357"/>
      <c r="Q29" s="357"/>
      <c r="R29" s="357"/>
      <c r="S29" s="357"/>
      <c r="T29" s="357"/>
      <c r="U29" s="358"/>
      <c r="V29" s="4"/>
      <c r="W29" s="4"/>
      <c r="X29" s="281"/>
      <c r="Y29" s="71" t="s">
        <v>51</v>
      </c>
      <c r="Z29" s="145">
        <v>1</v>
      </c>
      <c r="AA29" s="73">
        <f>100-Z29</f>
        <v>99</v>
      </c>
      <c r="AB29" s="268"/>
      <c r="AC29" s="51" t="s">
        <v>35</v>
      </c>
      <c r="AD29" s="52">
        <v>35</v>
      </c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56" t="s">
        <v>311</v>
      </c>
      <c r="I30" s="357"/>
      <c r="J30" s="357"/>
      <c r="K30" s="357"/>
      <c r="L30" s="357"/>
      <c r="M30" s="357"/>
      <c r="N30" s="357"/>
      <c r="O30" s="357"/>
      <c r="P30" s="357"/>
      <c r="Q30" s="357"/>
      <c r="R30" s="357"/>
      <c r="S30" s="357"/>
      <c r="T30" s="357"/>
      <c r="U30" s="358"/>
      <c r="V30" s="4"/>
      <c r="W30" s="4" t="s">
        <v>78</v>
      </c>
      <c r="X30" s="282"/>
      <c r="Y30" s="146"/>
      <c r="Z30" s="147"/>
      <c r="AA30" s="103">
        <f>(AA26+AA27+AA28+AA29)/4</f>
        <v>98.800000000000011</v>
      </c>
      <c r="AB30" s="269"/>
      <c r="AC30" s="74" t="s">
        <v>37</v>
      </c>
      <c r="AD30" s="58">
        <v>12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56" t="s">
        <v>313</v>
      </c>
      <c r="I31" s="357"/>
      <c r="J31" s="357"/>
      <c r="K31" s="357"/>
      <c r="L31" s="357"/>
      <c r="M31" s="357"/>
      <c r="N31" s="357"/>
      <c r="O31" s="357"/>
      <c r="P31" s="357"/>
      <c r="Q31" s="357"/>
      <c r="R31" s="357"/>
      <c r="S31" s="357"/>
      <c r="T31" s="357"/>
      <c r="U31" s="358"/>
      <c r="V31" s="4"/>
      <c r="W31" s="96"/>
      <c r="X31" s="280">
        <v>0.20833333333333334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1.6</v>
      </c>
      <c r="AA32" s="70">
        <f>100-Z32</f>
        <v>98.4</v>
      </c>
      <c r="AB32" s="267">
        <v>0.29166666666666669</v>
      </c>
      <c r="AC32" s="62" t="s">
        <v>30</v>
      </c>
      <c r="AD32" s="50">
        <v>43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>
        <v>1.2</v>
      </c>
      <c r="AA33" s="73">
        <f>100-Z33</f>
        <v>98.8</v>
      </c>
      <c r="AB33" s="268"/>
      <c r="AC33" s="51" t="s">
        <v>32</v>
      </c>
      <c r="AD33" s="52">
        <v>42</v>
      </c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1.1000000000000001</v>
      </c>
      <c r="AA34" s="73">
        <f>100-Z34</f>
        <v>98.9</v>
      </c>
      <c r="AB34" s="268"/>
      <c r="AC34" s="67" t="s">
        <v>35</v>
      </c>
      <c r="AD34" s="52">
        <v>35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1.4</v>
      </c>
      <c r="AA35" s="73">
        <f>100-Z35</f>
        <v>98.6</v>
      </c>
      <c r="AB35" s="269"/>
      <c r="AC35" s="74" t="s">
        <v>37</v>
      </c>
      <c r="AD35" s="58">
        <v>12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98.675000000000011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f>'16.01.26см2'!D44:F44</f>
        <v>151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66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>
        <v>24</v>
      </c>
      <c r="E42" s="386"/>
      <c r="F42" s="387"/>
      <c r="G42" s="160"/>
      <c r="H42" s="397" t="s">
        <v>88</v>
      </c>
      <c r="I42" s="398"/>
      <c r="J42" s="164">
        <v>9.08</v>
      </c>
      <c r="K42" s="399">
        <v>9.15</v>
      </c>
      <c r="L42" s="400"/>
      <c r="M42" s="164">
        <v>9.23</v>
      </c>
      <c r="N42" s="165">
        <v>9.17</v>
      </c>
      <c r="O42" s="165">
        <v>9.3000000000000007</v>
      </c>
      <c r="P42" s="165">
        <v>9.2200000000000006</v>
      </c>
      <c r="Q42" s="401">
        <f>AVERAGE(J42:P43)</f>
        <v>9.1916666666666682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187" t="s">
        <v>89</v>
      </c>
      <c r="B43" s="188"/>
      <c r="C43" s="188"/>
      <c r="D43" s="386">
        <v>1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308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193</v>
      </c>
      <c r="E44" s="392"/>
      <c r="F44" s="393"/>
      <c r="G44" s="172"/>
      <c r="H44" s="186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309</v>
      </c>
      <c r="S44" s="427"/>
      <c r="T44" s="427"/>
      <c r="U44" s="427"/>
      <c r="V44" s="427"/>
      <c r="W44" s="193"/>
      <c r="X44" s="193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Z48" t="s">
        <v>312</v>
      </c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4"/>
  <sheetViews>
    <sheetView zoomScale="70" zoomScaleNormal="70" workbookViewId="0">
      <selection activeCell="H35" sqref="H35:U35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85546875" customWidth="1"/>
    <col min="19" max="19" width="10.140625" customWidth="1"/>
    <col min="20" max="20" width="10.28515625" customWidth="1"/>
    <col min="21" max="23" width="10.7109375" customWidth="1"/>
    <col min="24" max="24" width="17.28515625" customWidth="1"/>
    <col min="25" max="25" width="22.42578125" customWidth="1"/>
    <col min="26" max="26" width="18.425781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158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194">
        <v>1</v>
      </c>
      <c r="C4" s="184">
        <v>2</v>
      </c>
      <c r="D4" s="184">
        <v>3</v>
      </c>
      <c r="E4" s="15">
        <v>4</v>
      </c>
      <c r="F4" s="185">
        <v>5</v>
      </c>
      <c r="G4" s="194" t="s">
        <v>23</v>
      </c>
      <c r="H4" s="185" t="s">
        <v>24</v>
      </c>
      <c r="I4" s="194">
        <v>1</v>
      </c>
      <c r="J4" s="185">
        <v>2</v>
      </c>
      <c r="K4" s="17">
        <v>1</v>
      </c>
      <c r="L4" s="18">
        <v>3</v>
      </c>
      <c r="M4" s="15">
        <v>5</v>
      </c>
      <c r="N4" s="194" t="s">
        <v>23</v>
      </c>
      <c r="O4" s="185" t="s">
        <v>24</v>
      </c>
      <c r="P4" s="194">
        <v>1</v>
      </c>
      <c r="Q4" s="17">
        <v>2</v>
      </c>
      <c r="R4" s="184">
        <v>3</v>
      </c>
      <c r="S4" s="185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29.3</v>
      </c>
      <c r="Q5" s="29">
        <v>0</v>
      </c>
      <c r="R5" s="30">
        <v>42.752000000000002</v>
      </c>
      <c r="S5" s="30">
        <v>31</v>
      </c>
      <c r="T5" s="31">
        <v>5.47</v>
      </c>
      <c r="U5" s="32">
        <f>SUM(P5:T5)</f>
        <v>108.52200000000001</v>
      </c>
      <c r="V5" s="33"/>
      <c r="W5" s="21" t="s">
        <v>93</v>
      </c>
      <c r="X5" s="34">
        <f>'17.01.26см1'!Y5</f>
        <v>524755.9</v>
      </c>
      <c r="Y5" s="34">
        <f>X5+P17</f>
        <v>525197.6</v>
      </c>
      <c r="Z5" s="35">
        <f>Y5-X5</f>
        <v>441.69999999995343</v>
      </c>
      <c r="AA5" s="36">
        <v>1</v>
      </c>
      <c r="AB5" s="265"/>
      <c r="AC5" s="265"/>
      <c r="AD5" s="265"/>
      <c r="AE5" s="11">
        <v>3</v>
      </c>
      <c r="AF5" s="12">
        <f t="shared" ref="AF5:AF61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39.4</v>
      </c>
      <c r="Q6" s="29">
        <v>0</v>
      </c>
      <c r="R6" s="30">
        <v>34.484999999999999</v>
      </c>
      <c r="S6" s="30">
        <v>31</v>
      </c>
      <c r="T6" s="31">
        <v>0</v>
      </c>
      <c r="U6" s="32">
        <f t="shared" ref="U6:U16" si="1">SUM(P6:T6)</f>
        <v>104.88499999999999</v>
      </c>
      <c r="V6" s="44">
        <v>3</v>
      </c>
      <c r="W6" s="37" t="s">
        <v>94</v>
      </c>
      <c r="X6" s="45">
        <f>'17.01.26см1'!Y6</f>
        <v>822568.06400000013</v>
      </c>
      <c r="Y6" s="34">
        <f>X6+R17</f>
        <v>823047.32500000019</v>
      </c>
      <c r="Z6" s="46">
        <f>Y6-X6</f>
        <v>479.26100000005681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>
        <v>68</v>
      </c>
      <c r="C7" s="39">
        <v>60</v>
      </c>
      <c r="D7" s="39">
        <v>76</v>
      </c>
      <c r="E7" s="40">
        <v>67</v>
      </c>
      <c r="F7" s="41"/>
      <c r="G7" s="42">
        <v>43</v>
      </c>
      <c r="H7" s="41">
        <v>36</v>
      </c>
      <c r="I7" s="42">
        <v>51</v>
      </c>
      <c r="J7" s="41">
        <v>5</v>
      </c>
      <c r="K7" s="38">
        <v>58</v>
      </c>
      <c r="L7" s="43">
        <v>58</v>
      </c>
      <c r="M7" s="40"/>
      <c r="N7" s="42">
        <v>53</v>
      </c>
      <c r="O7" s="41">
        <v>73</v>
      </c>
      <c r="P7" s="28">
        <v>40.9</v>
      </c>
      <c r="Q7" s="29">
        <v>0</v>
      </c>
      <c r="R7" s="30">
        <v>44.975000000000001</v>
      </c>
      <c r="S7" s="30">
        <v>32</v>
      </c>
      <c r="T7" s="31">
        <v>0</v>
      </c>
      <c r="U7" s="32">
        <f t="shared" si="1"/>
        <v>117.875</v>
      </c>
      <c r="V7" s="44">
        <v>5</v>
      </c>
      <c r="W7" s="37" t="s">
        <v>95</v>
      </c>
      <c r="X7" s="48">
        <f>'17.01.26см1'!Y7</f>
        <v>514394</v>
      </c>
      <c r="Y7" s="34">
        <f>X7+S17</f>
        <v>514770</v>
      </c>
      <c r="Z7" s="46">
        <f>Y7-X7</f>
        <v>376</v>
      </c>
      <c r="AA7" s="47">
        <v>4</v>
      </c>
      <c r="AB7" s="267">
        <v>0.375</v>
      </c>
      <c r="AC7" s="49" t="s">
        <v>30</v>
      </c>
      <c r="AD7" s="50">
        <v>40</v>
      </c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15</v>
      </c>
      <c r="Q8" s="29">
        <v>0</v>
      </c>
      <c r="R8" s="30">
        <v>44.747</v>
      </c>
      <c r="S8" s="30">
        <v>32</v>
      </c>
      <c r="T8" s="31">
        <v>6.2</v>
      </c>
      <c r="U8" s="32">
        <f t="shared" si="1"/>
        <v>97.947000000000003</v>
      </c>
      <c r="V8" s="44">
        <v>7</v>
      </c>
      <c r="W8" s="37" t="s">
        <v>96</v>
      </c>
      <c r="X8" s="46">
        <f>'17.01.26см1'!Y8</f>
        <v>4647.4299999999994</v>
      </c>
      <c r="Y8" s="34">
        <f>X8+T17</f>
        <v>4753.7299999999996</v>
      </c>
      <c r="Z8" s="46">
        <f>T17</f>
        <v>106.3</v>
      </c>
      <c r="AA8" s="47">
        <v>5</v>
      </c>
      <c r="AB8" s="268"/>
      <c r="AC8" s="51" t="s">
        <v>32</v>
      </c>
      <c r="AD8" s="52">
        <v>41</v>
      </c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39.700000000000003</v>
      </c>
      <c r="Q9" s="29">
        <v>0</v>
      </c>
      <c r="R9" s="30">
        <v>39.929000000000002</v>
      </c>
      <c r="S9" s="30">
        <v>31</v>
      </c>
      <c r="T9" s="31">
        <v>11.44</v>
      </c>
      <c r="U9" s="32">
        <f t="shared" si="1"/>
        <v>122.069</v>
      </c>
      <c r="V9" s="44">
        <v>3</v>
      </c>
      <c r="W9" s="37" t="s">
        <v>97</v>
      </c>
      <c r="X9" s="270" t="s">
        <v>34</v>
      </c>
      <c r="Y9" s="271"/>
      <c r="Z9" s="54">
        <f>SUM(Z5:Z8)</f>
        <v>1403.2610000000102</v>
      </c>
      <c r="AA9" s="55"/>
      <c r="AB9" s="268"/>
      <c r="AC9" s="51" t="s">
        <v>35</v>
      </c>
      <c r="AD9" s="52">
        <v>31</v>
      </c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41.3</v>
      </c>
      <c r="Q10" s="29">
        <v>0</v>
      </c>
      <c r="R10" s="30">
        <v>42.545999999999999</v>
      </c>
      <c r="S10" s="30">
        <v>31</v>
      </c>
      <c r="T10" s="31">
        <v>12.24</v>
      </c>
      <c r="U10" s="32">
        <f t="shared" si="1"/>
        <v>127.086</v>
      </c>
      <c r="V10" s="44">
        <v>3</v>
      </c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>
        <v>53</v>
      </c>
      <c r="J11" s="41">
        <v>51</v>
      </c>
      <c r="K11" s="38"/>
      <c r="L11" s="43"/>
      <c r="M11" s="40"/>
      <c r="N11" s="42"/>
      <c r="O11" s="41"/>
      <c r="P11" s="53">
        <v>41.3</v>
      </c>
      <c r="Q11" s="29">
        <v>0</v>
      </c>
      <c r="R11" s="30">
        <v>20.902000000000001</v>
      </c>
      <c r="S11" s="30">
        <v>30</v>
      </c>
      <c r="T11" s="31">
        <v>11.73</v>
      </c>
      <c r="U11" s="32">
        <f t="shared" si="1"/>
        <v>103.932</v>
      </c>
      <c r="V11" s="44">
        <v>5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39.200000000000003</v>
      </c>
      <c r="Q12" s="29">
        <v>0</v>
      </c>
      <c r="R12" s="30">
        <v>41.908999999999999</v>
      </c>
      <c r="S12" s="30">
        <v>31</v>
      </c>
      <c r="T12" s="31">
        <v>12.16</v>
      </c>
      <c r="U12" s="32">
        <f t="shared" si="1"/>
        <v>124.26900000000001</v>
      </c>
      <c r="V12" s="44">
        <v>8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>
        <v>41</v>
      </c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>
        <v>74</v>
      </c>
      <c r="C13" s="39">
        <v>60</v>
      </c>
      <c r="D13" s="39">
        <v>75</v>
      </c>
      <c r="E13" s="40">
        <v>65</v>
      </c>
      <c r="F13" s="41">
        <v>63</v>
      </c>
      <c r="G13" s="42">
        <v>38</v>
      </c>
      <c r="H13" s="41">
        <v>35</v>
      </c>
      <c r="I13" s="42">
        <v>56</v>
      </c>
      <c r="J13" s="41">
        <v>52</v>
      </c>
      <c r="K13" s="38">
        <v>56</v>
      </c>
      <c r="L13" s="43">
        <v>57</v>
      </c>
      <c r="M13" s="40">
        <v>47</v>
      </c>
      <c r="N13" s="42">
        <v>54</v>
      </c>
      <c r="O13" s="41">
        <v>76</v>
      </c>
      <c r="P13" s="53">
        <v>39.5</v>
      </c>
      <c r="Q13" s="29">
        <v>0</v>
      </c>
      <c r="R13" s="30">
        <v>43.572000000000003</v>
      </c>
      <c r="S13" s="30">
        <v>32</v>
      </c>
      <c r="T13" s="31">
        <v>11.47</v>
      </c>
      <c r="U13" s="32">
        <f t="shared" si="1"/>
        <v>126.542</v>
      </c>
      <c r="V13" s="44">
        <v>3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43</v>
      </c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40.700000000000003</v>
      </c>
      <c r="Q14" s="29">
        <v>0</v>
      </c>
      <c r="R14" s="30">
        <v>40.112000000000002</v>
      </c>
      <c r="S14" s="30">
        <v>31</v>
      </c>
      <c r="T14" s="31">
        <v>12.3</v>
      </c>
      <c r="U14" s="32">
        <f t="shared" si="1"/>
        <v>124.11200000000001</v>
      </c>
      <c r="V14" s="44">
        <v>6</v>
      </c>
      <c r="W14" s="37" t="s">
        <v>102</v>
      </c>
      <c r="X14" s="280">
        <v>0.41666666666666669</v>
      </c>
      <c r="Y14" s="192" t="s">
        <v>45</v>
      </c>
      <c r="Z14" s="69">
        <v>3.7</v>
      </c>
      <c r="AA14" s="70">
        <f>100-Z14</f>
        <v>96.3</v>
      </c>
      <c r="AB14" s="278"/>
      <c r="AC14" s="51" t="s">
        <v>35</v>
      </c>
      <c r="AD14" s="52">
        <v>32</v>
      </c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40</v>
      </c>
      <c r="Q15" s="29">
        <v>0</v>
      </c>
      <c r="R15" s="30">
        <v>45.451999999999998</v>
      </c>
      <c r="S15" s="30">
        <v>32</v>
      </c>
      <c r="T15" s="31">
        <v>11.37</v>
      </c>
      <c r="U15" s="32">
        <f t="shared" si="1"/>
        <v>128.822</v>
      </c>
      <c r="V15" s="44">
        <v>9</v>
      </c>
      <c r="W15" s="37" t="s">
        <v>103</v>
      </c>
      <c r="X15" s="281"/>
      <c r="Y15" s="71" t="s">
        <v>47</v>
      </c>
      <c r="Z15" s="72">
        <v>2</v>
      </c>
      <c r="AA15" s="73">
        <f>100-Z15</f>
        <v>98</v>
      </c>
      <c r="AB15" s="279"/>
      <c r="AC15" s="74" t="s">
        <v>37</v>
      </c>
      <c r="AD15" s="58"/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35.4</v>
      </c>
      <c r="Q16" s="29">
        <v>0</v>
      </c>
      <c r="R16" s="30">
        <v>37.880000000000003</v>
      </c>
      <c r="S16" s="30">
        <v>32</v>
      </c>
      <c r="T16" s="82">
        <v>11.92</v>
      </c>
      <c r="U16" s="32">
        <f t="shared" si="1"/>
        <v>117.2</v>
      </c>
      <c r="V16" s="83">
        <v>7</v>
      </c>
      <c r="W16" s="75" t="s">
        <v>104</v>
      </c>
      <c r="X16" s="281"/>
      <c r="Y16" s="71" t="s">
        <v>49</v>
      </c>
      <c r="Z16" s="72">
        <v>4.8</v>
      </c>
      <c r="AA16" s="73">
        <f>100-Z16</f>
        <v>95.2</v>
      </c>
      <c r="AB16" s="190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>
        <f>AVERAGE(B5:B15)</f>
        <v>71</v>
      </c>
      <c r="C17" s="88">
        <f>AVERAGE(C5:C16)</f>
        <v>60</v>
      </c>
      <c r="D17" s="88">
        <f>AVERAGE(D5:D15)</f>
        <v>75.5</v>
      </c>
      <c r="E17" s="88">
        <f>AVERAGE(E5:E15)</f>
        <v>66</v>
      </c>
      <c r="F17" s="88">
        <f>AVERAGE(F5:F15)</f>
        <v>63</v>
      </c>
      <c r="G17" s="88">
        <f>AVERAGE(G5:G16)</f>
        <v>40.5</v>
      </c>
      <c r="H17" s="88">
        <f>AVERAGE(H5:H16)</f>
        <v>35.5</v>
      </c>
      <c r="I17" s="88">
        <f t="shared" ref="I17:N17" si="2">AVERAGE(I5:I15)</f>
        <v>53.333333333333336</v>
      </c>
      <c r="J17" s="88">
        <f t="shared" si="2"/>
        <v>36</v>
      </c>
      <c r="K17" s="88">
        <f t="shared" si="2"/>
        <v>57</v>
      </c>
      <c r="L17" s="88">
        <f t="shared" si="2"/>
        <v>57.5</v>
      </c>
      <c r="M17" s="89">
        <f t="shared" si="2"/>
        <v>47</v>
      </c>
      <c r="N17" s="89">
        <f t="shared" si="2"/>
        <v>53.5</v>
      </c>
      <c r="O17" s="89">
        <f>AVERAGE(O5:O16)</f>
        <v>74.5</v>
      </c>
      <c r="P17" s="90">
        <f>SUM(P5:P16)</f>
        <v>441.7</v>
      </c>
      <c r="Q17" s="91">
        <f>SUM(Q5:Q16)</f>
        <v>0</v>
      </c>
      <c r="R17" s="92">
        <f>SUM(R5:R16)</f>
        <v>479.26100000000002</v>
      </c>
      <c r="S17" s="93">
        <f>SUM(S5:S16)</f>
        <v>376</v>
      </c>
      <c r="T17" s="93">
        <f>SUM(T5:T16)</f>
        <v>106.3</v>
      </c>
      <c r="U17" s="94">
        <f>SUM(P17:T17)</f>
        <v>1403.261</v>
      </c>
      <c r="V17" s="1">
        <f>SUM(V5:V16)</f>
        <v>59</v>
      </c>
      <c r="W17" s="4"/>
      <c r="X17" s="281"/>
      <c r="Y17" s="71" t="s">
        <v>51</v>
      </c>
      <c r="Z17" s="95"/>
      <c r="AA17" s="73">
        <f>100-Z17</f>
        <v>100</v>
      </c>
      <c r="AB17" s="283">
        <v>0.54166666666666663</v>
      </c>
      <c r="AC17" s="62" t="s">
        <v>30</v>
      </c>
      <c r="AD17" s="50">
        <v>42</v>
      </c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97.375</v>
      </c>
      <c r="AB18" s="278"/>
      <c r="AC18" s="51" t="s">
        <v>32</v>
      </c>
      <c r="AD18" s="52">
        <v>43</v>
      </c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315</v>
      </c>
      <c r="J19" s="259"/>
      <c r="K19" s="259"/>
      <c r="L19" s="260"/>
      <c r="M19" s="261" t="s">
        <v>57</v>
      </c>
      <c r="N19" s="262"/>
      <c r="O19" s="263"/>
      <c r="P19" s="105">
        <v>2.9</v>
      </c>
      <c r="Q19" s="106"/>
      <c r="R19" s="107">
        <v>2.4</v>
      </c>
      <c r="S19" s="107">
        <v>2.6</v>
      </c>
      <c r="T19" s="107">
        <v>2.9</v>
      </c>
      <c r="U19" s="108">
        <f>(U17-U20)/U17*100</f>
        <v>2.6488489311681924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31</v>
      </c>
      <c r="AE19" s="11">
        <v>17</v>
      </c>
      <c r="AF19" s="12">
        <f t="shared" si="0"/>
        <v>3.1166666666666667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428.89069999999998</v>
      </c>
      <c r="Q20" s="113"/>
      <c r="R20" s="114">
        <f>(R17-(R17*R19/100))</f>
        <v>467.758736</v>
      </c>
      <c r="S20" s="112">
        <f>(S17-(S17*S19/100))</f>
        <v>366.22399999999999</v>
      </c>
      <c r="T20" s="112">
        <f>(T17-(T17*T19/100))</f>
        <v>103.21729999999999</v>
      </c>
      <c r="U20" s="115">
        <f>P20+Q20+R20+S20+T20</f>
        <v>1366.0907359999999</v>
      </c>
      <c r="V20" s="4"/>
      <c r="W20" s="4"/>
      <c r="X20" s="281"/>
      <c r="Y20" s="192" t="s">
        <v>45</v>
      </c>
      <c r="Z20" s="69">
        <v>3.05</v>
      </c>
      <c r="AA20" s="70">
        <f>100-Z20</f>
        <v>96.95</v>
      </c>
      <c r="AB20" s="279"/>
      <c r="AC20" s="74" t="s">
        <v>37</v>
      </c>
      <c r="AD20" s="58">
        <v>12</v>
      </c>
      <c r="AE20" s="11">
        <v>18</v>
      </c>
      <c r="AF20" s="12">
        <f t="shared" si="0"/>
        <v>3.3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>
        <v>45</v>
      </c>
      <c r="K21" s="118"/>
      <c r="L21" s="119"/>
      <c r="M21" s="307" t="s">
        <v>63</v>
      </c>
      <c r="N21" s="308"/>
      <c r="O21" s="309"/>
      <c r="P21" s="120">
        <f>(U17-(U17*U19/100))</f>
        <v>1366.0907359999999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2.8</v>
      </c>
      <c r="AA21" s="73">
        <f>100-Z21</f>
        <v>97.2</v>
      </c>
      <c r="AB21" s="190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55</v>
      </c>
      <c r="K22" s="316">
        <f>J22/I22*100</f>
        <v>55.000000000000007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4.01</v>
      </c>
      <c r="AA22" s="73">
        <f>100-Z22</f>
        <v>95.99</v>
      </c>
      <c r="AB22" s="283">
        <v>0.625</v>
      </c>
      <c r="AC22" s="49" t="s">
        <v>30</v>
      </c>
      <c r="AD22" s="50">
        <v>42</v>
      </c>
      <c r="AE22" s="11">
        <v>20</v>
      </c>
      <c r="AF22" s="12">
        <f t="shared" si="0"/>
        <v>3.6666666666666665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>
        <v>28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2.5</v>
      </c>
      <c r="AA23" s="73">
        <f>100-Z23</f>
        <v>97.5</v>
      </c>
      <c r="AB23" s="278"/>
      <c r="AC23" s="51" t="s">
        <v>32</v>
      </c>
      <c r="AD23" s="52">
        <v>40</v>
      </c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72</v>
      </c>
      <c r="K24" s="316">
        <f>J24/I24*100</f>
        <v>72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96.91</v>
      </c>
      <c r="AB24" s="278"/>
      <c r="AC24" s="51" t="s">
        <v>35</v>
      </c>
      <c r="AD24" s="52">
        <v>30</v>
      </c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11</v>
      </c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192" t="s">
        <v>45</v>
      </c>
      <c r="Z26" s="69">
        <v>2.5</v>
      </c>
      <c r="AA26" s="70">
        <f>100-Z26</f>
        <v>97.5</v>
      </c>
      <c r="AB26" s="189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191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1.6</v>
      </c>
      <c r="AA27" s="73">
        <f>100-Z27</f>
        <v>98.4</v>
      </c>
      <c r="AB27" s="267">
        <v>0.70833333333333337</v>
      </c>
      <c r="AC27" s="62" t="s">
        <v>30</v>
      </c>
      <c r="AD27" s="50">
        <v>41</v>
      </c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 t="s">
        <v>196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3.1</v>
      </c>
      <c r="AA28" s="73">
        <f>100-Z28</f>
        <v>96.9</v>
      </c>
      <c r="AB28" s="268"/>
      <c r="AC28" s="67" t="s">
        <v>32</v>
      </c>
      <c r="AD28" s="52">
        <v>42</v>
      </c>
      <c r="AE28" s="11">
        <v>26</v>
      </c>
      <c r="AF28" s="12">
        <f t="shared" si="0"/>
        <v>4.7666666666666666</v>
      </c>
    </row>
    <row r="29" spans="1:32" ht="19.5" thickBot="1" x14ac:dyDescent="0.35">
      <c r="A29" s="411"/>
      <c r="B29" s="412"/>
      <c r="C29" s="182"/>
      <c r="D29" s="403"/>
      <c r="E29" s="404"/>
      <c r="F29" s="409"/>
      <c r="G29" s="410"/>
      <c r="H29" s="345" t="s">
        <v>318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 t="s">
        <v>65</v>
      </c>
      <c r="W29" s="4"/>
      <c r="X29" s="281"/>
      <c r="Y29" s="71" t="s">
        <v>51</v>
      </c>
      <c r="Z29" s="145">
        <v>2.2000000000000002</v>
      </c>
      <c r="AA29" s="73">
        <f>100-Z29</f>
        <v>97.8</v>
      </c>
      <c r="AB29" s="268"/>
      <c r="AC29" s="51" t="s">
        <v>35</v>
      </c>
      <c r="AD29" s="52">
        <v>32</v>
      </c>
      <c r="AE29" s="11">
        <v>27</v>
      </c>
      <c r="AF29" s="12">
        <f t="shared" si="0"/>
        <v>4.95</v>
      </c>
    </row>
    <row r="30" spans="1:32" ht="19.5" thickBot="1" x14ac:dyDescent="0.35">
      <c r="A30" s="411" t="s">
        <v>317</v>
      </c>
      <c r="B30" s="412"/>
      <c r="C30" s="182">
        <v>0.36944444444444446</v>
      </c>
      <c r="D30" s="403">
        <v>0.47569444444444442</v>
      </c>
      <c r="E30" s="404"/>
      <c r="F30" s="405" t="s">
        <v>323</v>
      </c>
      <c r="G30" s="406"/>
      <c r="H30" s="354" t="s">
        <v>316</v>
      </c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97.65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56" t="s">
        <v>319</v>
      </c>
      <c r="I31" s="357"/>
      <c r="J31" s="357"/>
      <c r="K31" s="357"/>
      <c r="L31" s="357"/>
      <c r="M31" s="357"/>
      <c r="N31" s="357"/>
      <c r="O31" s="357"/>
      <c r="P31" s="357"/>
      <c r="Q31" s="357"/>
      <c r="R31" s="357"/>
      <c r="S31" s="357"/>
      <c r="T31" s="357"/>
      <c r="U31" s="358"/>
      <c r="V31" s="4"/>
      <c r="W31" s="96"/>
      <c r="X31" s="280">
        <v>0.70833333333333337</v>
      </c>
      <c r="Y31" s="148"/>
      <c r="Z31" s="65"/>
      <c r="AA31" s="66" t="s">
        <v>43</v>
      </c>
      <c r="AB31" s="189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 t="s">
        <v>322</v>
      </c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3.9</v>
      </c>
      <c r="AA32" s="70">
        <f>100-Z32</f>
        <v>96.1</v>
      </c>
      <c r="AB32" s="267">
        <v>0.79166666666666663</v>
      </c>
      <c r="AC32" s="62" t="s">
        <v>30</v>
      </c>
      <c r="AD32" s="50">
        <v>43</v>
      </c>
      <c r="AE32" s="11">
        <v>30</v>
      </c>
      <c r="AF32" s="12">
        <f t="shared" si="0"/>
        <v>5.5</v>
      </c>
    </row>
    <row r="33" spans="1:32" ht="19.5" thickBot="1" x14ac:dyDescent="0.35">
      <c r="A33" s="411" t="s">
        <v>61</v>
      </c>
      <c r="B33" s="412"/>
      <c r="C33" s="182">
        <v>0.47986111111111113</v>
      </c>
      <c r="D33" s="403">
        <v>0.48055555555555557</v>
      </c>
      <c r="E33" s="404"/>
      <c r="F33" s="415" t="s">
        <v>324</v>
      </c>
      <c r="G33" s="416"/>
      <c r="H33" s="345" t="s">
        <v>330</v>
      </c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>
        <v>2.8</v>
      </c>
      <c r="AA33" s="73">
        <f>100-Z33</f>
        <v>97.2</v>
      </c>
      <c r="AB33" s="268"/>
      <c r="AC33" s="51" t="s">
        <v>32</v>
      </c>
      <c r="AD33" s="52">
        <v>42</v>
      </c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 t="s">
        <v>325</v>
      </c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3.2</v>
      </c>
      <c r="AA34" s="73">
        <f>100-Z34</f>
        <v>96.8</v>
      </c>
      <c r="AB34" s="268"/>
      <c r="AC34" s="67" t="s">
        <v>35</v>
      </c>
      <c r="AD34" s="52">
        <v>32</v>
      </c>
      <c r="AE34" s="11">
        <v>32</v>
      </c>
      <c r="AF34" s="12">
        <f t="shared" si="0"/>
        <v>5.8666666666666663</v>
      </c>
    </row>
    <row r="35" spans="1:32" ht="19.5" thickBot="1" x14ac:dyDescent="0.35">
      <c r="A35" s="417" t="s">
        <v>30</v>
      </c>
      <c r="B35" s="418"/>
      <c r="C35" s="182">
        <v>0.4777777777777778</v>
      </c>
      <c r="D35" s="403">
        <v>0.49583333333333335</v>
      </c>
      <c r="E35" s="404"/>
      <c r="F35" s="415" t="s">
        <v>326</v>
      </c>
      <c r="G35" s="416"/>
      <c r="H35" s="354" t="s">
        <v>316</v>
      </c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4.2</v>
      </c>
      <c r="AA35" s="73">
        <f>100-Z35</f>
        <v>95.8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 t="s">
        <v>327</v>
      </c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96.475000000000009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5">
      <c r="A37" s="417" t="s">
        <v>32</v>
      </c>
      <c r="B37" s="418"/>
      <c r="C37" s="182">
        <v>0.60555555555555551</v>
      </c>
      <c r="D37" s="403">
        <v>0.61458333333333337</v>
      </c>
      <c r="E37" s="404"/>
      <c r="F37" s="415" t="s">
        <v>329</v>
      </c>
      <c r="G37" s="416"/>
      <c r="H37" s="354" t="s">
        <v>328</v>
      </c>
      <c r="I37" s="354"/>
      <c r="J37" s="354"/>
      <c r="K37" s="354"/>
      <c r="L37" s="354"/>
      <c r="M37" s="354"/>
      <c r="N37" s="354"/>
      <c r="O37" s="354"/>
      <c r="P37" s="354"/>
      <c r="Q37" s="354"/>
      <c r="R37" s="354"/>
      <c r="S37" s="354"/>
      <c r="T37" s="354"/>
      <c r="U37" s="355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5">
      <c r="A38" s="441" t="s">
        <v>61</v>
      </c>
      <c r="B38" s="442"/>
      <c r="C38" s="183">
        <v>0.76736111111111116</v>
      </c>
      <c r="D38" s="421">
        <v>0.7729166666666667</v>
      </c>
      <c r="E38" s="422"/>
      <c r="F38" s="423" t="s">
        <v>331</v>
      </c>
      <c r="G38" s="393"/>
      <c r="H38" s="345" t="s">
        <v>330</v>
      </c>
      <c r="I38" s="346"/>
      <c r="J38" s="346"/>
      <c r="K38" s="346"/>
      <c r="L38" s="346"/>
      <c r="M38" s="346"/>
      <c r="N38" s="346"/>
      <c r="O38" s="346"/>
      <c r="P38" s="346"/>
      <c r="Q38" s="346"/>
      <c r="R38" s="346"/>
      <c r="S38" s="346"/>
      <c r="T38" s="346"/>
      <c r="U38" s="347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5">
      <c r="A39" s="441" t="s">
        <v>61</v>
      </c>
      <c r="B39" s="442"/>
      <c r="C39" s="183">
        <v>0.77361111111111114</v>
      </c>
      <c r="D39" s="421">
        <v>0.83333333333333337</v>
      </c>
      <c r="E39" s="422"/>
      <c r="F39" s="423" t="s">
        <v>333</v>
      </c>
      <c r="G39" s="393"/>
      <c r="H39" s="345" t="s">
        <v>332</v>
      </c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7"/>
      <c r="AB39" s="154"/>
      <c r="AC39" s="157"/>
      <c r="AD39" s="158"/>
      <c r="AE39" s="11"/>
      <c r="AF39" s="12"/>
    </row>
    <row r="40" spans="1:32" ht="19.5" thickBot="1" x14ac:dyDescent="0.35">
      <c r="A40" s="441"/>
      <c r="B40" s="442"/>
      <c r="C40" s="183"/>
      <c r="D40" s="421"/>
      <c r="E40" s="422"/>
      <c r="F40" s="423"/>
      <c r="G40" s="393"/>
      <c r="H40" s="345" t="s">
        <v>334</v>
      </c>
      <c r="I40" s="346"/>
      <c r="J40" s="346"/>
      <c r="K40" s="346"/>
      <c r="L40" s="346"/>
      <c r="M40" s="346"/>
      <c r="N40" s="346"/>
      <c r="O40" s="346"/>
      <c r="P40" s="346"/>
      <c r="Q40" s="346"/>
      <c r="R40" s="346"/>
      <c r="S40" s="346"/>
      <c r="T40" s="346"/>
      <c r="U40" s="347"/>
      <c r="V40" s="4"/>
      <c r="W40" s="4"/>
      <c r="Y40" t="s">
        <v>80</v>
      </c>
      <c r="Z40" t="s">
        <v>65</v>
      </c>
      <c r="AB40" s="154"/>
      <c r="AC40" s="157"/>
      <c r="AD40" s="158"/>
      <c r="AE40" s="11">
        <v>37</v>
      </c>
      <c r="AF40" s="12">
        <f t="shared" si="0"/>
        <v>6.7833333333333332</v>
      </c>
    </row>
    <row r="41" spans="1:32" ht="19.5" thickBot="1" x14ac:dyDescent="0.3">
      <c r="A41" s="359" t="s">
        <v>81</v>
      </c>
      <c r="B41" s="360"/>
      <c r="C41" s="360"/>
      <c r="D41" s="361">
        <v>193</v>
      </c>
      <c r="E41" s="362"/>
      <c r="F41" s="363"/>
      <c r="G41" s="160"/>
      <c r="V41" s="4"/>
      <c r="W41" s="161"/>
      <c r="Y41" t="s">
        <v>80</v>
      </c>
      <c r="AB41" s="56"/>
      <c r="AC41" s="56"/>
      <c r="AD41" s="56"/>
      <c r="AE41" s="11">
        <v>38</v>
      </c>
      <c r="AF41" s="12">
        <f t="shared" si="0"/>
        <v>6.9666666666666668</v>
      </c>
    </row>
    <row r="42" spans="1:32" ht="19.5" thickBot="1" x14ac:dyDescent="0.3">
      <c r="A42" s="364" t="s">
        <v>82</v>
      </c>
      <c r="B42" s="365"/>
      <c r="C42" s="365"/>
      <c r="D42" s="366">
        <f>V17</f>
        <v>59</v>
      </c>
      <c r="E42" s="366"/>
      <c r="F42" s="367"/>
      <c r="G42" s="160"/>
      <c r="H42" s="368" t="s">
        <v>9</v>
      </c>
      <c r="I42" s="369"/>
      <c r="J42" s="162">
        <v>0.375</v>
      </c>
      <c r="K42" s="370">
        <v>0.45833333333333331</v>
      </c>
      <c r="L42" s="371"/>
      <c r="M42" s="162">
        <v>0.54166666666666663</v>
      </c>
      <c r="N42" s="163" t="s">
        <v>106</v>
      </c>
      <c r="O42" s="163" t="s">
        <v>107</v>
      </c>
      <c r="P42" s="163" t="s">
        <v>108</v>
      </c>
      <c r="Q42" s="397" t="s">
        <v>86</v>
      </c>
      <c r="R42" s="228"/>
      <c r="S42" s="4"/>
      <c r="T42" s="4"/>
      <c r="U42" s="4"/>
      <c r="W42" t="s">
        <v>65</v>
      </c>
      <c r="AE42" s="11">
        <v>39</v>
      </c>
      <c r="AF42" s="12">
        <f t="shared" si="0"/>
        <v>7.15</v>
      </c>
    </row>
    <row r="43" spans="1:32" ht="19.5" thickBot="1" x14ac:dyDescent="0.35">
      <c r="A43" s="364" t="s">
        <v>87</v>
      </c>
      <c r="B43" s="365"/>
      <c r="C43" s="365"/>
      <c r="D43" s="386">
        <v>56</v>
      </c>
      <c r="E43" s="386"/>
      <c r="F43" s="387"/>
      <c r="G43" s="160"/>
      <c r="H43" s="397" t="s">
        <v>88</v>
      </c>
      <c r="I43" s="398"/>
      <c r="J43" s="164">
        <v>9.24</v>
      </c>
      <c r="K43" s="399">
        <v>9.74</v>
      </c>
      <c r="L43" s="400"/>
      <c r="M43" s="164">
        <v>9.7200000000000006</v>
      </c>
      <c r="N43" s="165">
        <v>9.1199999999999992</v>
      </c>
      <c r="O43" s="165">
        <v>9.49</v>
      </c>
      <c r="P43" s="165">
        <v>9.43</v>
      </c>
      <c r="Q43" s="401">
        <f>AVERAGE(J43:P44)</f>
        <v>9.456666666666667</v>
      </c>
      <c r="R43" s="402"/>
      <c r="S43" s="166"/>
      <c r="T43" s="166"/>
      <c r="U43" s="4"/>
      <c r="W43" t="s">
        <v>65</v>
      </c>
      <c r="Y43" s="167" t="s">
        <v>80</v>
      </c>
      <c r="AE43" s="11">
        <v>40</v>
      </c>
      <c r="AF43" s="12">
        <f t="shared" si="0"/>
        <v>7.333333333333333</v>
      </c>
    </row>
    <row r="44" spans="1:32" ht="21" thickBot="1" x14ac:dyDescent="0.35">
      <c r="A44" s="187" t="s">
        <v>89</v>
      </c>
      <c r="B44" s="188"/>
      <c r="C44" s="188"/>
      <c r="D44" s="386">
        <v>3</v>
      </c>
      <c r="E44" s="386"/>
      <c r="F44" s="387"/>
      <c r="G44" s="160"/>
      <c r="H44" s="126"/>
      <c r="I44" s="132"/>
      <c r="J44" s="132"/>
      <c r="K44" s="132"/>
      <c r="L44" s="132"/>
      <c r="M44" s="132"/>
      <c r="N44" s="132"/>
      <c r="O44" s="132"/>
      <c r="P44" s="166"/>
      <c r="Q44" s="166"/>
      <c r="R44" s="388" t="s">
        <v>314</v>
      </c>
      <c r="S44" s="388"/>
      <c r="T44" s="388"/>
      <c r="U44" s="388"/>
      <c r="V44" s="388"/>
      <c r="W44" s="388"/>
      <c r="X44" s="388"/>
      <c r="AA44" s="56"/>
      <c r="AB44" s="170"/>
      <c r="AC44" s="171"/>
      <c r="AE44" s="11">
        <v>41</v>
      </c>
      <c r="AF44" s="12">
        <f t="shared" si="0"/>
        <v>7.5166666666666666</v>
      </c>
    </row>
    <row r="45" spans="1:32" ht="21" thickBot="1" x14ac:dyDescent="0.35">
      <c r="A45" s="389" t="s">
        <v>91</v>
      </c>
      <c r="B45" s="390"/>
      <c r="C45" s="390"/>
      <c r="D45" s="391">
        <f>D41+D42-D43</f>
        <v>196</v>
      </c>
      <c r="E45" s="392"/>
      <c r="F45" s="393"/>
      <c r="G45" s="172"/>
      <c r="H45" s="186"/>
      <c r="I45" s="174"/>
      <c r="J45" s="175"/>
      <c r="K45" s="175"/>
      <c r="L45" s="175"/>
      <c r="M45" s="175"/>
      <c r="N45" s="175"/>
      <c r="O45" s="175"/>
      <c r="P45" s="176"/>
      <c r="Q45" s="166"/>
      <c r="R45" s="193" t="s">
        <v>92</v>
      </c>
      <c r="S45" s="193"/>
      <c r="T45" s="193"/>
      <c r="U45" s="193"/>
      <c r="V45" s="193"/>
      <c r="W45" s="193"/>
      <c r="X45" s="193"/>
      <c r="AA45" s="178"/>
      <c r="AB45" s="179"/>
      <c r="AE45" s="11">
        <v>42</v>
      </c>
      <c r="AF45" s="12">
        <f t="shared" si="0"/>
        <v>7.7</v>
      </c>
    </row>
    <row r="46" spans="1:32" ht="21" thickBot="1" x14ac:dyDescent="0.35">
      <c r="A46" s="394"/>
      <c r="B46" s="394"/>
      <c r="C46" s="394"/>
      <c r="D46" s="395"/>
      <c r="E46" s="396"/>
      <c r="F46" s="396"/>
      <c r="Q46" s="166"/>
      <c r="S46" s="56"/>
      <c r="T46" s="167"/>
      <c r="V46" s="178"/>
      <c r="W46" s="178"/>
      <c r="AE46" s="11">
        <v>45</v>
      </c>
      <c r="AF46" s="12">
        <f t="shared" si="0"/>
        <v>8.25</v>
      </c>
    </row>
    <row r="47" spans="1:32" ht="21" thickBot="1" x14ac:dyDescent="0.35">
      <c r="A47" s="384"/>
      <c r="B47" s="384"/>
      <c r="C47" s="384"/>
      <c r="D47" s="385"/>
      <c r="E47" s="385"/>
      <c r="F47" s="385"/>
      <c r="N47" s="178"/>
      <c r="O47" s="178"/>
      <c r="P47" s="178"/>
      <c r="Q47" s="178"/>
      <c r="R47" s="178"/>
      <c r="S47" s="178"/>
      <c r="AE47" s="11">
        <v>46</v>
      </c>
      <c r="AF47" s="12">
        <f t="shared" si="0"/>
        <v>8.4333333333333336</v>
      </c>
    </row>
    <row r="48" spans="1:32" ht="15.75" thickBot="1" x14ac:dyDescent="0.3">
      <c r="AE48" s="11">
        <v>47</v>
      </c>
      <c r="AF48" s="12">
        <f t="shared" si="0"/>
        <v>8.6166666666666671</v>
      </c>
    </row>
    <row r="49" spans="31:32" ht="15.75" thickBot="1" x14ac:dyDescent="0.3">
      <c r="AE49" s="11">
        <v>48</v>
      </c>
      <c r="AF49" s="12">
        <f t="shared" si="0"/>
        <v>8.8000000000000007</v>
      </c>
    </row>
    <row r="50" spans="31:32" ht="15.75" thickBot="1" x14ac:dyDescent="0.3">
      <c r="AE50" s="11">
        <v>49</v>
      </c>
      <c r="AF50" s="12">
        <f t="shared" si="0"/>
        <v>8.9833333333333325</v>
      </c>
    </row>
    <row r="51" spans="31:32" ht="15.75" thickBot="1" x14ac:dyDescent="0.3">
      <c r="AE51" s="11">
        <v>50</v>
      </c>
      <c r="AF51" s="12">
        <f t="shared" si="0"/>
        <v>9.1666666666666661</v>
      </c>
    </row>
    <row r="52" spans="31:32" ht="15.75" thickBot="1" x14ac:dyDescent="0.3">
      <c r="AE52" s="11">
        <v>51</v>
      </c>
      <c r="AF52" s="12">
        <f t="shared" si="0"/>
        <v>9.35</v>
      </c>
    </row>
    <row r="53" spans="31:32" ht="15.75" thickBot="1" x14ac:dyDescent="0.3">
      <c r="AE53" s="11">
        <v>52</v>
      </c>
      <c r="AF53" s="12">
        <f t="shared" si="0"/>
        <v>9.5333333333333332</v>
      </c>
    </row>
    <row r="54" spans="31:32" ht="15.75" thickBot="1" x14ac:dyDescent="0.3">
      <c r="AE54" s="11">
        <v>53</v>
      </c>
      <c r="AF54" s="12">
        <f t="shared" si="0"/>
        <v>9.7166666666666668</v>
      </c>
    </row>
    <row r="55" spans="31:32" ht="15.75" thickBot="1" x14ac:dyDescent="0.3">
      <c r="AE55" s="11">
        <v>54</v>
      </c>
      <c r="AF55" s="12">
        <f t="shared" si="0"/>
        <v>9.9</v>
      </c>
    </row>
    <row r="56" spans="31:32" ht="15.75" thickBot="1" x14ac:dyDescent="0.3">
      <c r="AE56" s="11">
        <v>55</v>
      </c>
      <c r="AF56" s="12">
        <f t="shared" si="0"/>
        <v>10.083333333333334</v>
      </c>
    </row>
    <row r="57" spans="31:32" ht="15.75" thickBot="1" x14ac:dyDescent="0.3">
      <c r="AE57" s="11">
        <v>56</v>
      </c>
      <c r="AF57" s="12">
        <f t="shared" si="0"/>
        <v>10.266666666666667</v>
      </c>
    </row>
    <row r="58" spans="31:32" ht="15.75" thickBot="1" x14ac:dyDescent="0.3">
      <c r="AE58" s="11">
        <v>57</v>
      </c>
      <c r="AF58" s="12">
        <f t="shared" si="0"/>
        <v>10.45</v>
      </c>
    </row>
    <row r="59" spans="31:32" ht="15.75" thickBot="1" x14ac:dyDescent="0.3">
      <c r="AE59" s="11">
        <v>58</v>
      </c>
      <c r="AF59" s="12">
        <f t="shared" si="0"/>
        <v>10.633333333333333</v>
      </c>
    </row>
    <row r="60" spans="31:32" ht="15.75" thickBot="1" x14ac:dyDescent="0.3">
      <c r="AE60" s="11">
        <v>59</v>
      </c>
      <c r="AF60" s="12">
        <f t="shared" si="0"/>
        <v>10.816666666666666</v>
      </c>
    </row>
    <row r="61" spans="31:32" ht="15.75" thickBot="1" x14ac:dyDescent="0.3">
      <c r="AE61" s="11">
        <v>60</v>
      </c>
      <c r="AF61" s="12">
        <f t="shared" si="0"/>
        <v>11</v>
      </c>
    </row>
    <row r="84" spans="4:4" x14ac:dyDescent="0.25">
      <c r="D84">
        <v>3</v>
      </c>
    </row>
  </sheetData>
  <mergeCells count="142">
    <mergeCell ref="A47:C47"/>
    <mergeCell ref="D47:F47"/>
    <mergeCell ref="D44:F44"/>
    <mergeCell ref="R44:X44"/>
    <mergeCell ref="A45:C45"/>
    <mergeCell ref="D45:F45"/>
    <mergeCell ref="A46:C46"/>
    <mergeCell ref="D46:F46"/>
    <mergeCell ref="Q42:R42"/>
    <mergeCell ref="A43:C43"/>
    <mergeCell ref="D43:F43"/>
    <mergeCell ref="H43:I43"/>
    <mergeCell ref="K43:L43"/>
    <mergeCell ref="Q43:R43"/>
    <mergeCell ref="A41:C41"/>
    <mergeCell ref="D41:F41"/>
    <mergeCell ref="A42:C42"/>
    <mergeCell ref="D42:F42"/>
    <mergeCell ref="H42:I42"/>
    <mergeCell ref="K42:L42"/>
    <mergeCell ref="A37:B37"/>
    <mergeCell ref="D37:E37"/>
    <mergeCell ref="F37:G37"/>
    <mergeCell ref="H37:U37"/>
    <mergeCell ref="A38:B38"/>
    <mergeCell ref="D38:E38"/>
    <mergeCell ref="F38:G38"/>
    <mergeCell ref="H38:U38"/>
    <mergeCell ref="A40:B40"/>
    <mergeCell ref="D40:E40"/>
    <mergeCell ref="F40:G40"/>
    <mergeCell ref="H40:U40"/>
    <mergeCell ref="A39:B39"/>
    <mergeCell ref="D39:E39"/>
    <mergeCell ref="F39:G39"/>
    <mergeCell ref="H39:U39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A20" sqref="A20:G24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28515625" customWidth="1"/>
    <col min="17" max="18" width="10.140625" customWidth="1"/>
    <col min="19" max="19" width="10" customWidth="1"/>
    <col min="20" max="20" width="9.710937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320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39.4</v>
      </c>
      <c r="Q5" s="29">
        <v>0</v>
      </c>
      <c r="R5" s="30">
        <v>39.411999999999999</v>
      </c>
      <c r="S5" s="30">
        <v>35</v>
      </c>
      <c r="T5" s="31">
        <v>11.18</v>
      </c>
      <c r="U5" s="32">
        <f>SUM(P5:T5)</f>
        <v>124.99199999999999</v>
      </c>
      <c r="V5" s="33">
        <v>2</v>
      </c>
      <c r="W5" s="21" t="s">
        <v>27</v>
      </c>
      <c r="X5" s="34">
        <f>'17.01.26см2'!Y5</f>
        <v>525197.6</v>
      </c>
      <c r="Y5" s="34">
        <f>X5+P17</f>
        <v>525660.5</v>
      </c>
      <c r="Z5" s="35">
        <f>Y5-X5</f>
        <v>462.90000000002328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41</v>
      </c>
      <c r="Q6" s="29">
        <v>0</v>
      </c>
      <c r="R6" s="30">
        <v>39.432000000000002</v>
      </c>
      <c r="S6" s="30">
        <v>35</v>
      </c>
      <c r="T6" s="31">
        <v>11.07</v>
      </c>
      <c r="U6" s="32">
        <f t="shared" ref="U6:U16" si="1">SUM(P6:T6)</f>
        <v>126.50200000000001</v>
      </c>
      <c r="V6" s="44">
        <v>4</v>
      </c>
      <c r="W6" s="37" t="s">
        <v>28</v>
      </c>
      <c r="X6" s="45">
        <f>'17.01.26см2'!Y6</f>
        <v>823047.32500000019</v>
      </c>
      <c r="Y6" s="34">
        <f>X6+R17</f>
        <v>823502.01200000022</v>
      </c>
      <c r="Z6" s="46">
        <f>Y6-X6</f>
        <v>454.68700000003446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>
        <v>69</v>
      </c>
      <c r="C7" s="39">
        <v>62</v>
      </c>
      <c r="D7" s="39">
        <v>74</v>
      </c>
      <c r="E7" s="40">
        <v>64</v>
      </c>
      <c r="F7" s="41">
        <v>66</v>
      </c>
      <c r="G7" s="42">
        <v>43</v>
      </c>
      <c r="H7" s="41">
        <v>38</v>
      </c>
      <c r="I7" s="42">
        <v>46</v>
      </c>
      <c r="J7" s="41">
        <v>29</v>
      </c>
      <c r="K7" s="38">
        <v>51</v>
      </c>
      <c r="L7" s="43">
        <v>52</v>
      </c>
      <c r="M7" s="40">
        <v>44</v>
      </c>
      <c r="N7" s="42">
        <v>50</v>
      </c>
      <c r="O7" s="41">
        <v>68</v>
      </c>
      <c r="P7" s="28">
        <v>41.5</v>
      </c>
      <c r="Q7" s="29">
        <v>0</v>
      </c>
      <c r="R7" s="30">
        <v>37.572000000000003</v>
      </c>
      <c r="S7" s="30">
        <v>34</v>
      </c>
      <c r="T7" s="31">
        <v>11.39</v>
      </c>
      <c r="U7" s="32">
        <f t="shared" si="1"/>
        <v>124.462</v>
      </c>
      <c r="V7" s="44">
        <v>4</v>
      </c>
      <c r="W7" s="37" t="s">
        <v>29</v>
      </c>
      <c r="X7" s="48">
        <f>'17.01.26см2'!Y7</f>
        <v>514770</v>
      </c>
      <c r="Y7" s="34">
        <f>X7+S17</f>
        <v>515170</v>
      </c>
      <c r="Z7" s="46">
        <f>Y7-X7</f>
        <v>400</v>
      </c>
      <c r="AA7" s="47">
        <v>4</v>
      </c>
      <c r="AB7" s="267">
        <v>0.875</v>
      </c>
      <c r="AC7" s="49" t="s">
        <v>30</v>
      </c>
      <c r="AD7" s="50">
        <v>43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37.9</v>
      </c>
      <c r="Q8" s="29">
        <v>0</v>
      </c>
      <c r="R8" s="30">
        <v>42.185000000000002</v>
      </c>
      <c r="S8" s="30">
        <v>35</v>
      </c>
      <c r="T8" s="31">
        <v>10.96</v>
      </c>
      <c r="U8" s="32">
        <f t="shared" si="1"/>
        <v>126.04500000000002</v>
      </c>
      <c r="V8" s="44">
        <v>4</v>
      </c>
      <c r="W8" s="37" t="s">
        <v>31</v>
      </c>
      <c r="X8" s="46">
        <f>'17.01.26см2'!Y8</f>
        <v>4753.7299999999996</v>
      </c>
      <c r="Y8" s="34">
        <f>X8+T17</f>
        <v>4865.6899999999996</v>
      </c>
      <c r="Z8" s="46">
        <f>T17</f>
        <v>111.96000000000002</v>
      </c>
      <c r="AA8" s="47">
        <v>5</v>
      </c>
      <c r="AB8" s="268"/>
      <c r="AC8" s="51" t="s">
        <v>32</v>
      </c>
      <c r="AD8" s="52">
        <v>41</v>
      </c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33</v>
      </c>
      <c r="Q9" s="29">
        <v>0</v>
      </c>
      <c r="R9" s="30">
        <v>33.744</v>
      </c>
      <c r="S9" s="30">
        <v>34</v>
      </c>
      <c r="T9" s="31">
        <v>10.039999999999999</v>
      </c>
      <c r="U9" s="32">
        <f t="shared" si="1"/>
        <v>110.78399999999999</v>
      </c>
      <c r="V9" s="44">
        <v>6</v>
      </c>
      <c r="W9" s="37" t="s">
        <v>33</v>
      </c>
      <c r="X9" s="270" t="s">
        <v>34</v>
      </c>
      <c r="Y9" s="271"/>
      <c r="Z9" s="54">
        <f>SUM(Z5:Z8)</f>
        <v>1429.5470000000578</v>
      </c>
      <c r="AA9" s="55"/>
      <c r="AB9" s="268"/>
      <c r="AC9" s="51" t="s">
        <v>35</v>
      </c>
      <c r="AD9" s="52">
        <v>35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40.4</v>
      </c>
      <c r="Q10" s="29">
        <v>0</v>
      </c>
      <c r="R10" s="30">
        <v>40.511000000000003</v>
      </c>
      <c r="S10" s="30">
        <v>34</v>
      </c>
      <c r="T10" s="31">
        <v>9.3699999999999992</v>
      </c>
      <c r="U10" s="32">
        <f t="shared" si="1"/>
        <v>124.28100000000001</v>
      </c>
      <c r="V10" s="44">
        <v>5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12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35</v>
      </c>
      <c r="Q11" s="29">
        <v>0</v>
      </c>
      <c r="R11" s="30">
        <v>38.040999999999997</v>
      </c>
      <c r="S11" s="30">
        <v>33</v>
      </c>
      <c r="T11" s="31">
        <v>10.06</v>
      </c>
      <c r="U11" s="32">
        <f t="shared" si="1"/>
        <v>116.101</v>
      </c>
      <c r="V11" s="44">
        <v>4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30.9</v>
      </c>
      <c r="Q12" s="29">
        <v>0</v>
      </c>
      <c r="R12" s="30">
        <v>25.946000000000002</v>
      </c>
      <c r="S12" s="30">
        <v>28</v>
      </c>
      <c r="T12" s="31">
        <v>9.08</v>
      </c>
      <c r="U12" s="32">
        <f t="shared" si="1"/>
        <v>93.926000000000002</v>
      </c>
      <c r="V12" s="44">
        <v>4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42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>
        <v>71</v>
      </c>
      <c r="C13" s="39">
        <v>60</v>
      </c>
      <c r="D13" s="39">
        <v>75</v>
      </c>
      <c r="E13" s="40">
        <v>66</v>
      </c>
      <c r="F13" s="41">
        <v>69</v>
      </c>
      <c r="G13" s="42">
        <v>44</v>
      </c>
      <c r="H13" s="41">
        <v>37</v>
      </c>
      <c r="I13" s="42">
        <v>42</v>
      </c>
      <c r="J13" s="41">
        <v>40</v>
      </c>
      <c r="K13" s="38">
        <v>50</v>
      </c>
      <c r="L13" s="43">
        <v>54</v>
      </c>
      <c r="M13" s="40">
        <v>48</v>
      </c>
      <c r="N13" s="42">
        <v>51</v>
      </c>
      <c r="O13" s="41">
        <v>72</v>
      </c>
      <c r="P13" s="53">
        <v>41.5</v>
      </c>
      <c r="Q13" s="29">
        <v>0</v>
      </c>
      <c r="R13" s="30">
        <v>39.753999999999998</v>
      </c>
      <c r="S13" s="30">
        <v>32</v>
      </c>
      <c r="T13" s="31">
        <v>5.93</v>
      </c>
      <c r="U13" s="32">
        <f t="shared" si="1"/>
        <v>119.184</v>
      </c>
      <c r="V13" s="44">
        <v>7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41</v>
      </c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42.2</v>
      </c>
      <c r="Q14" s="29">
        <v>0</v>
      </c>
      <c r="R14" s="30">
        <v>38.637999999999998</v>
      </c>
      <c r="S14" s="30">
        <v>32</v>
      </c>
      <c r="T14" s="31">
        <v>6.93</v>
      </c>
      <c r="U14" s="32">
        <f t="shared" si="1"/>
        <v>119.768</v>
      </c>
      <c r="V14" s="44">
        <v>6</v>
      </c>
      <c r="W14" s="37" t="s">
        <v>44</v>
      </c>
      <c r="X14" s="280">
        <v>0.91666666666666663</v>
      </c>
      <c r="Y14" s="210" t="s">
        <v>45</v>
      </c>
      <c r="Z14" s="69">
        <v>3.2</v>
      </c>
      <c r="AA14" s="70">
        <f>100-Z14</f>
        <v>96.8</v>
      </c>
      <c r="AB14" s="278"/>
      <c r="AC14" s="51" t="s">
        <v>35</v>
      </c>
      <c r="AD14" s="52">
        <v>34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42</v>
      </c>
      <c r="Q15" s="29">
        <v>0</v>
      </c>
      <c r="R15" s="30">
        <v>40.206000000000003</v>
      </c>
      <c r="S15" s="30">
        <v>34</v>
      </c>
      <c r="T15" s="31">
        <v>7.22</v>
      </c>
      <c r="U15" s="32">
        <f t="shared" si="1"/>
        <v>123.426</v>
      </c>
      <c r="V15" s="44">
        <v>5</v>
      </c>
      <c r="W15" s="37" t="s">
        <v>46</v>
      </c>
      <c r="X15" s="281"/>
      <c r="Y15" s="71" t="s">
        <v>47</v>
      </c>
      <c r="Z15" s="72">
        <v>2.1</v>
      </c>
      <c r="AA15" s="73">
        <f>100-Z15</f>
        <v>97.9</v>
      </c>
      <c r="AB15" s="279"/>
      <c r="AC15" s="74" t="s">
        <v>37</v>
      </c>
      <c r="AD15" s="58">
        <v>12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38.1</v>
      </c>
      <c r="Q16" s="29">
        <v>0</v>
      </c>
      <c r="R16" s="30">
        <v>39.246000000000002</v>
      </c>
      <c r="S16" s="30">
        <v>34</v>
      </c>
      <c r="T16" s="82">
        <v>8.73</v>
      </c>
      <c r="U16" s="32">
        <f t="shared" si="1"/>
        <v>120.07600000000001</v>
      </c>
      <c r="V16" s="83">
        <v>7</v>
      </c>
      <c r="W16" s="75" t="s">
        <v>48</v>
      </c>
      <c r="X16" s="281"/>
      <c r="Y16" s="71" t="s">
        <v>49</v>
      </c>
      <c r="Z16" s="72">
        <v>3.9</v>
      </c>
      <c r="AA16" s="73">
        <f>100-Z16</f>
        <v>96.1</v>
      </c>
      <c r="AB16" s="205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70</v>
      </c>
      <c r="C17" s="88">
        <f>AVERAGE(C5:C16)</f>
        <v>61</v>
      </c>
      <c r="D17" s="88">
        <f>AVERAGE(D5:D15)</f>
        <v>74.5</v>
      </c>
      <c r="E17" s="88">
        <f>AVERAGE(E5:E15)</f>
        <v>65</v>
      </c>
      <c r="F17" s="88">
        <f>AVERAGE(F5:F15)</f>
        <v>67.5</v>
      </c>
      <c r="G17" s="88">
        <f>AVERAGE(G5:G16)</f>
        <v>43.5</v>
      </c>
      <c r="H17" s="88">
        <f>AVERAGE(H5:H16)</f>
        <v>37.5</v>
      </c>
      <c r="I17" s="88">
        <f t="shared" ref="I17:N17" si="2">AVERAGE(I5:I15)</f>
        <v>44</v>
      </c>
      <c r="J17" s="88">
        <f t="shared" si="2"/>
        <v>34.5</v>
      </c>
      <c r="K17" s="88">
        <f t="shared" si="2"/>
        <v>50.5</v>
      </c>
      <c r="L17" s="88">
        <f t="shared" si="2"/>
        <v>53</v>
      </c>
      <c r="M17" s="89">
        <f t="shared" si="2"/>
        <v>46</v>
      </c>
      <c r="N17" s="89">
        <f t="shared" si="2"/>
        <v>50.5</v>
      </c>
      <c r="O17" s="89">
        <f>AVERAGE(O5:O16)</f>
        <v>70</v>
      </c>
      <c r="P17" s="90">
        <f>SUM(P5:P16)</f>
        <v>462.90000000000003</v>
      </c>
      <c r="Q17" s="91">
        <f>SUM(Q5:Q16)</f>
        <v>0</v>
      </c>
      <c r="R17" s="92">
        <f>SUM(R5:R16)</f>
        <v>454.68700000000001</v>
      </c>
      <c r="S17" s="93">
        <f>SUM(S5:S16)</f>
        <v>400</v>
      </c>
      <c r="T17" s="93">
        <f>SUM(T5:T16)</f>
        <v>111.96000000000002</v>
      </c>
      <c r="U17" s="94">
        <f>SUM(P17:T17)</f>
        <v>1429.547</v>
      </c>
      <c r="V17" s="1">
        <f>SUM(V5:V16)</f>
        <v>58</v>
      </c>
      <c r="W17" s="4"/>
      <c r="X17" s="281"/>
      <c r="Y17" s="71" t="s">
        <v>51</v>
      </c>
      <c r="Z17" s="72">
        <v>4.7</v>
      </c>
      <c r="AA17" s="73">
        <f>100-Z17</f>
        <v>95.3</v>
      </c>
      <c r="AB17" s="283">
        <v>4.1666666666666664E-2</v>
      </c>
      <c r="AC17" s="62" t="s">
        <v>30</v>
      </c>
      <c r="AD17" s="50">
        <v>42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96.524999999999991</v>
      </c>
      <c r="AB18" s="278"/>
      <c r="AC18" s="51" t="s">
        <v>32</v>
      </c>
      <c r="AD18" s="52">
        <v>42</v>
      </c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335</v>
      </c>
      <c r="J19" s="259"/>
      <c r="K19" s="259"/>
      <c r="L19" s="260"/>
      <c r="M19" s="261" t="s">
        <v>57</v>
      </c>
      <c r="N19" s="262"/>
      <c r="O19" s="263"/>
      <c r="P19" s="105">
        <v>2.6</v>
      </c>
      <c r="Q19" s="106"/>
      <c r="R19" s="107">
        <v>2.2000000000000002</v>
      </c>
      <c r="S19" s="107">
        <v>2.4</v>
      </c>
      <c r="T19" s="107">
        <v>2.2999999999999998</v>
      </c>
      <c r="U19" s="108">
        <f>(U17-U20)/U17*100</f>
        <v>2.3933171836952427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34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30</v>
      </c>
      <c r="B20" s="295"/>
      <c r="C20" s="44">
        <v>70</v>
      </c>
      <c r="D20" s="296">
        <v>0.15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450.86460000000005</v>
      </c>
      <c r="Q20" s="113"/>
      <c r="R20" s="114">
        <f>(R17-(R17*R19/100))</f>
        <v>444.68388600000003</v>
      </c>
      <c r="S20" s="112">
        <f>(S17-(S17*S19/100))</f>
        <v>390.4</v>
      </c>
      <c r="T20" s="112">
        <f>(T17-(T17*T19/100))</f>
        <v>109.38492000000002</v>
      </c>
      <c r="U20" s="115">
        <f>P20+Q20+R20+S20+T20</f>
        <v>1395.3334060000002</v>
      </c>
      <c r="V20" s="4"/>
      <c r="W20" s="4"/>
      <c r="X20" s="281"/>
      <c r="Y20" s="210" t="s">
        <v>45</v>
      </c>
      <c r="Z20" s="69">
        <v>1.9</v>
      </c>
      <c r="AA20" s="70">
        <f>100-Z20</f>
        <v>98.1</v>
      </c>
      <c r="AB20" s="279"/>
      <c r="AC20" s="74" t="s">
        <v>37</v>
      </c>
      <c r="AD20" s="58">
        <v>12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61</v>
      </c>
      <c r="B21" s="295"/>
      <c r="C21" s="44">
        <v>20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47</v>
      </c>
      <c r="K21" s="118"/>
      <c r="L21" s="119"/>
      <c r="M21" s="307" t="s">
        <v>63</v>
      </c>
      <c r="N21" s="308"/>
      <c r="O21" s="309"/>
      <c r="P21" s="120">
        <f>(U17-(U17*U19/100))</f>
        <v>1395.3334060000002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2.2999999999999998</v>
      </c>
      <c r="AA21" s="73">
        <f>100-Z21</f>
        <v>97.7</v>
      </c>
      <c r="AB21" s="205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32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53</v>
      </c>
      <c r="K22" s="316">
        <f>J22/I22*100</f>
        <v>53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2.9</v>
      </c>
      <c r="AA22" s="73">
        <f>100-Z22</f>
        <v>97.1</v>
      </c>
      <c r="AB22" s="283">
        <v>0.125</v>
      </c>
      <c r="AC22" s="49" t="s">
        <v>30</v>
      </c>
      <c r="AD22" s="50">
        <v>41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 t="s">
        <v>35</v>
      </c>
      <c r="B23" s="295"/>
      <c r="C23" s="44">
        <v>70</v>
      </c>
      <c r="D23" s="296">
        <v>0.2</v>
      </c>
      <c r="E23" s="297"/>
      <c r="F23" s="298" t="s">
        <v>58</v>
      </c>
      <c r="G23" s="299"/>
      <c r="H23" s="4"/>
      <c r="I23" s="133" t="s">
        <v>66</v>
      </c>
      <c r="J23" s="134">
        <v>26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2.1</v>
      </c>
      <c r="AA23" s="73">
        <f>100-Z23</f>
        <v>97.9</v>
      </c>
      <c r="AB23" s="278"/>
      <c r="AC23" s="51" t="s">
        <v>32</v>
      </c>
      <c r="AD23" s="52">
        <v>41</v>
      </c>
      <c r="AE23" s="11">
        <v>21</v>
      </c>
      <c r="AF23" s="12">
        <f t="shared" si="0"/>
        <v>14</v>
      </c>
    </row>
    <row r="24" spans="1:32" ht="16.5" thickBot="1" x14ac:dyDescent="0.3">
      <c r="A24" s="294" t="s">
        <v>37</v>
      </c>
      <c r="B24" s="295"/>
      <c r="C24" s="44">
        <v>70</v>
      </c>
      <c r="D24" s="296">
        <v>0.15</v>
      </c>
      <c r="E24" s="297"/>
      <c r="F24" s="298" t="s">
        <v>58</v>
      </c>
      <c r="G24" s="299"/>
      <c r="H24" s="4"/>
      <c r="I24" s="136">
        <v>100</v>
      </c>
      <c r="J24" s="121">
        <f>I24-J23</f>
        <v>74</v>
      </c>
      <c r="K24" s="316">
        <f>J24/I24*100</f>
        <v>74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97.699999999999989</v>
      </c>
      <c r="AB24" s="278"/>
      <c r="AC24" s="51" t="s">
        <v>35</v>
      </c>
      <c r="AD24" s="52">
        <v>33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11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>
        <v>1.1000000000000001</v>
      </c>
      <c r="AA26" s="70">
        <f>100-Z26</f>
        <v>98.9</v>
      </c>
      <c r="AB26" s="204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1.8</v>
      </c>
      <c r="AA27" s="73">
        <f>100-Z27</f>
        <v>98.2</v>
      </c>
      <c r="AB27" s="267">
        <v>0.20833333333333334</v>
      </c>
      <c r="AC27" s="62" t="s">
        <v>30</v>
      </c>
      <c r="AD27" s="50">
        <v>41</v>
      </c>
      <c r="AE27" s="11">
        <v>25</v>
      </c>
      <c r="AF27" s="12">
        <f t="shared" si="0"/>
        <v>16.666666666666668</v>
      </c>
    </row>
    <row r="28" spans="1:32" ht="21" thickBot="1" x14ac:dyDescent="0.35">
      <c r="A28" s="445"/>
      <c r="B28" s="446"/>
      <c r="C28" s="218"/>
      <c r="D28" s="447"/>
      <c r="E28" s="448"/>
      <c r="F28" s="449"/>
      <c r="G28" s="450"/>
      <c r="H28" s="345" t="s">
        <v>287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1.5</v>
      </c>
      <c r="AA28" s="73">
        <f>100-Z28</f>
        <v>98.5</v>
      </c>
      <c r="AB28" s="268"/>
      <c r="AC28" s="67" t="s">
        <v>32</v>
      </c>
      <c r="AD28" s="52">
        <v>41</v>
      </c>
      <c r="AE28" s="11">
        <v>26</v>
      </c>
      <c r="AF28" s="12">
        <f t="shared" si="0"/>
        <v>17.333333333333332</v>
      </c>
    </row>
    <row r="29" spans="1:32" ht="21" thickBot="1" x14ac:dyDescent="0.35">
      <c r="A29" s="407" t="s">
        <v>336</v>
      </c>
      <c r="B29" s="408"/>
      <c r="C29" s="181">
        <v>0.83333333333333337</v>
      </c>
      <c r="D29" s="428">
        <v>0.84583333333333333</v>
      </c>
      <c r="E29" s="429"/>
      <c r="F29" s="430" t="s">
        <v>337</v>
      </c>
      <c r="G29" s="431"/>
      <c r="H29" s="345" t="s">
        <v>338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1.4</v>
      </c>
      <c r="AA29" s="73">
        <f>100-Z29</f>
        <v>98.6</v>
      </c>
      <c r="AB29" s="268"/>
      <c r="AC29" s="51" t="s">
        <v>35</v>
      </c>
      <c r="AD29" s="52">
        <v>32</v>
      </c>
      <c r="AE29" s="11">
        <v>27</v>
      </c>
      <c r="AF29" s="12">
        <f t="shared" si="0"/>
        <v>18</v>
      </c>
    </row>
    <row r="30" spans="1:32" ht="21" thickBot="1" x14ac:dyDescent="0.35">
      <c r="A30" s="407"/>
      <c r="B30" s="408"/>
      <c r="C30" s="181"/>
      <c r="D30" s="428"/>
      <c r="E30" s="429"/>
      <c r="F30" s="443"/>
      <c r="G30" s="444"/>
      <c r="H30" s="356" t="s">
        <v>339</v>
      </c>
      <c r="I30" s="357"/>
      <c r="J30" s="357"/>
      <c r="K30" s="357"/>
      <c r="L30" s="357"/>
      <c r="M30" s="357"/>
      <c r="N30" s="357"/>
      <c r="O30" s="357"/>
      <c r="P30" s="357"/>
      <c r="Q30" s="357"/>
      <c r="R30" s="357"/>
      <c r="S30" s="357"/>
      <c r="T30" s="357"/>
      <c r="U30" s="358"/>
      <c r="V30" s="4"/>
      <c r="W30" s="4" t="s">
        <v>78</v>
      </c>
      <c r="X30" s="282"/>
      <c r="Y30" s="146"/>
      <c r="Z30" s="147"/>
      <c r="AA30" s="103">
        <f>(AA26+AA27+AA28+AA29)/4</f>
        <v>98.550000000000011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18.666666666666668</v>
      </c>
    </row>
    <row r="31" spans="1:32" ht="21" thickBot="1" x14ac:dyDescent="0.35">
      <c r="A31" s="407"/>
      <c r="B31" s="408"/>
      <c r="C31" s="181"/>
      <c r="D31" s="428"/>
      <c r="E31" s="429"/>
      <c r="F31" s="430"/>
      <c r="G31" s="431"/>
      <c r="H31" s="356" t="s">
        <v>340</v>
      </c>
      <c r="I31" s="357"/>
      <c r="J31" s="357"/>
      <c r="K31" s="357"/>
      <c r="L31" s="357"/>
      <c r="M31" s="357"/>
      <c r="N31" s="357"/>
      <c r="O31" s="357"/>
      <c r="P31" s="357"/>
      <c r="Q31" s="357"/>
      <c r="R31" s="357"/>
      <c r="S31" s="357"/>
      <c r="T31" s="357"/>
      <c r="U31" s="358"/>
      <c r="V31" s="4"/>
      <c r="W31" s="96"/>
      <c r="X31" s="280">
        <v>0.20833333333333334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19.333333333333332</v>
      </c>
    </row>
    <row r="32" spans="1:32" ht="21" thickBot="1" x14ac:dyDescent="0.35">
      <c r="A32" s="407"/>
      <c r="B32" s="408"/>
      <c r="C32" s="181"/>
      <c r="D32" s="428"/>
      <c r="E32" s="429"/>
      <c r="F32" s="430"/>
      <c r="G32" s="431"/>
      <c r="H32" s="356" t="s">
        <v>341</v>
      </c>
      <c r="I32" s="357"/>
      <c r="J32" s="357"/>
      <c r="K32" s="357"/>
      <c r="L32" s="357"/>
      <c r="M32" s="357"/>
      <c r="N32" s="357"/>
      <c r="O32" s="357"/>
      <c r="P32" s="357"/>
      <c r="Q32" s="357"/>
      <c r="R32" s="357"/>
      <c r="S32" s="357"/>
      <c r="T32" s="357"/>
      <c r="U32" s="358"/>
      <c r="V32" s="4"/>
      <c r="W32" s="96" t="s">
        <v>65</v>
      </c>
      <c r="X32" s="281"/>
      <c r="Y32" s="149" t="s">
        <v>45</v>
      </c>
      <c r="Z32" s="69">
        <v>1.6</v>
      </c>
      <c r="AA32" s="70">
        <f>100-Z32</f>
        <v>98.4</v>
      </c>
      <c r="AB32" s="267">
        <v>0.29166666666666669</v>
      </c>
      <c r="AC32" s="62" t="s">
        <v>30</v>
      </c>
      <c r="AD32" s="50">
        <v>41</v>
      </c>
      <c r="AE32" s="11">
        <v>30</v>
      </c>
      <c r="AF32" s="12">
        <f t="shared" si="0"/>
        <v>20</v>
      </c>
    </row>
    <row r="33" spans="1:32" ht="21" thickBot="1" x14ac:dyDescent="0.35">
      <c r="A33" s="407"/>
      <c r="B33" s="408"/>
      <c r="C33" s="181"/>
      <c r="D33" s="428"/>
      <c r="E33" s="429"/>
      <c r="F33" s="436"/>
      <c r="G33" s="437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>
        <v>1.3</v>
      </c>
      <c r="AA33" s="73">
        <f>100-Z33</f>
        <v>98.7</v>
      </c>
      <c r="AB33" s="268"/>
      <c r="AC33" s="51" t="s">
        <v>32</v>
      </c>
      <c r="AD33" s="52">
        <v>41</v>
      </c>
      <c r="AE33" s="11">
        <v>31</v>
      </c>
      <c r="AF33" s="12">
        <f t="shared" si="0"/>
        <v>20.666666666666668</v>
      </c>
    </row>
    <row r="34" spans="1:32" ht="21" thickBot="1" x14ac:dyDescent="0.35">
      <c r="A34" s="438"/>
      <c r="B34" s="439"/>
      <c r="C34" s="181"/>
      <c r="D34" s="428"/>
      <c r="E34" s="429"/>
      <c r="F34" s="436"/>
      <c r="G34" s="437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2</v>
      </c>
      <c r="AA34" s="73">
        <f>100-Z34</f>
        <v>98</v>
      </c>
      <c r="AB34" s="268"/>
      <c r="AC34" s="67" t="s">
        <v>35</v>
      </c>
      <c r="AD34" s="52">
        <v>34</v>
      </c>
      <c r="AE34" s="11">
        <v>32</v>
      </c>
      <c r="AF34" s="12">
        <f t="shared" si="0"/>
        <v>21.333333333333332</v>
      </c>
    </row>
    <row r="35" spans="1:32" ht="21" thickBot="1" x14ac:dyDescent="0.35">
      <c r="A35" s="438"/>
      <c r="B35" s="439"/>
      <c r="C35" s="181"/>
      <c r="D35" s="428"/>
      <c r="E35" s="429"/>
      <c r="F35" s="436"/>
      <c r="G35" s="437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0.9</v>
      </c>
      <c r="AA35" s="73">
        <f>100-Z35</f>
        <v>99.1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22</v>
      </c>
    </row>
    <row r="36" spans="1:32" ht="21" thickBot="1" x14ac:dyDescent="0.35">
      <c r="A36" s="407"/>
      <c r="B36" s="408"/>
      <c r="C36" s="181"/>
      <c r="D36" s="428"/>
      <c r="E36" s="429"/>
      <c r="F36" s="436"/>
      <c r="G36" s="437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98.550000000000011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21" thickBot="1" x14ac:dyDescent="0.3">
      <c r="A37" s="438"/>
      <c r="B37" s="439"/>
      <c r="C37" s="181"/>
      <c r="D37" s="428"/>
      <c r="E37" s="429"/>
      <c r="F37" s="436"/>
      <c r="G37" s="437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21.75" thickBot="1" x14ac:dyDescent="0.3">
      <c r="A38" s="451"/>
      <c r="B38" s="452"/>
      <c r="C38" s="219"/>
      <c r="D38" s="453"/>
      <c r="E38" s="454"/>
      <c r="F38" s="455"/>
      <c r="G38" s="456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f>'17.01.26см2'!D45:F45</f>
        <v>196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58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>
        <v>50</v>
      </c>
      <c r="E42" s="386"/>
      <c r="F42" s="387"/>
      <c r="G42" s="160"/>
      <c r="H42" s="397" t="s">
        <v>88</v>
      </c>
      <c r="I42" s="398"/>
      <c r="J42" s="164">
        <v>9.35</v>
      </c>
      <c r="K42" s="399">
        <v>9.14</v>
      </c>
      <c r="L42" s="400"/>
      <c r="M42" s="164">
        <v>9.1199999999999992</v>
      </c>
      <c r="N42" s="165">
        <v>9.14</v>
      </c>
      <c r="O42" s="165">
        <v>9.2100000000000009</v>
      </c>
      <c r="P42" s="165">
        <v>9.1199999999999992</v>
      </c>
      <c r="Q42" s="401">
        <f>AVERAGE(J42:P43)</f>
        <v>9.18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202" t="s">
        <v>89</v>
      </c>
      <c r="B43" s="203"/>
      <c r="C43" s="203"/>
      <c r="D43" s="386">
        <v>2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308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204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309</v>
      </c>
      <c r="S44" s="427"/>
      <c r="T44" s="427"/>
      <c r="U44" s="427"/>
      <c r="V44" s="427"/>
      <c r="W44" s="211"/>
      <c r="X44" s="211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5"/>
  <sheetViews>
    <sheetView zoomScale="70" zoomScaleNormal="70" workbookViewId="0">
      <selection activeCell="W36" sqref="W36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85546875" customWidth="1"/>
    <col min="19" max="19" width="10.140625" customWidth="1"/>
    <col min="20" max="20" width="10.28515625" customWidth="1"/>
    <col min="21" max="23" width="10.7109375" customWidth="1"/>
    <col min="24" max="24" width="17.57031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320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27.2</v>
      </c>
      <c r="Q5" s="29">
        <v>0</v>
      </c>
      <c r="R5" s="30">
        <v>23.056000000000001</v>
      </c>
      <c r="S5" s="30">
        <v>28</v>
      </c>
      <c r="T5" s="31">
        <v>8.1999999999999993</v>
      </c>
      <c r="U5" s="32">
        <f>SUM(P5:T5)</f>
        <v>86.456000000000003</v>
      </c>
      <c r="V5" s="33">
        <v>1</v>
      </c>
      <c r="W5" s="21" t="s">
        <v>93</v>
      </c>
      <c r="X5" s="34">
        <f>'18.01.26см1'!Y5</f>
        <v>525660.5</v>
      </c>
      <c r="Y5" s="34">
        <f>X5+P17</f>
        <v>526110.9</v>
      </c>
      <c r="Z5" s="35">
        <f>Y5-X5</f>
        <v>450.40000000002328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32.299999999999997</v>
      </c>
      <c r="Q6" s="29">
        <v>0</v>
      </c>
      <c r="R6" s="30">
        <v>27.109000000000002</v>
      </c>
      <c r="S6" s="30">
        <v>29</v>
      </c>
      <c r="T6" s="31">
        <v>9.4499999999999993</v>
      </c>
      <c r="U6" s="32">
        <f t="shared" ref="U6:U16" si="1">SUM(P6:T6)</f>
        <v>97.858999999999995</v>
      </c>
      <c r="V6" s="44">
        <v>7</v>
      </c>
      <c r="W6" s="37" t="s">
        <v>94</v>
      </c>
      <c r="X6" s="45">
        <f>'18.01.26см1'!Y6</f>
        <v>823502.01200000022</v>
      </c>
      <c r="Y6" s="34">
        <f>X6+R17</f>
        <v>823885.5190000002</v>
      </c>
      <c r="Z6" s="46">
        <f>Y6-X6</f>
        <v>383.50699999998324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>
        <v>64</v>
      </c>
      <c r="C7" s="39">
        <v>62</v>
      </c>
      <c r="D7" s="39">
        <v>75</v>
      </c>
      <c r="E7" s="40">
        <v>68</v>
      </c>
      <c r="F7" s="41">
        <v>52</v>
      </c>
      <c r="G7" s="42">
        <v>41</v>
      </c>
      <c r="H7" s="41">
        <v>34</v>
      </c>
      <c r="I7" s="42">
        <v>59</v>
      </c>
      <c r="J7" s="41">
        <v>42</v>
      </c>
      <c r="K7" s="38">
        <v>56</v>
      </c>
      <c r="L7" s="43">
        <v>57</v>
      </c>
      <c r="M7" s="40">
        <v>37</v>
      </c>
      <c r="N7" s="42">
        <v>40</v>
      </c>
      <c r="O7" s="41">
        <v>69</v>
      </c>
      <c r="P7" s="28">
        <v>38.5</v>
      </c>
      <c r="Q7" s="29">
        <v>0</v>
      </c>
      <c r="R7" s="30">
        <v>29.646999999999998</v>
      </c>
      <c r="S7" s="30">
        <v>26</v>
      </c>
      <c r="T7" s="31">
        <v>3.22</v>
      </c>
      <c r="U7" s="32">
        <f t="shared" si="1"/>
        <v>97.36699999999999</v>
      </c>
      <c r="V7" s="44">
        <v>7</v>
      </c>
      <c r="W7" s="37" t="s">
        <v>95</v>
      </c>
      <c r="X7" s="48">
        <f>'18.01.26см1'!Y7</f>
        <v>515170</v>
      </c>
      <c r="Y7" s="34">
        <f>X7+S17</f>
        <v>515525</v>
      </c>
      <c r="Z7" s="46">
        <f>Y7-X7</f>
        <v>355</v>
      </c>
      <c r="AA7" s="47">
        <v>4</v>
      </c>
      <c r="AB7" s="267">
        <v>0.375</v>
      </c>
      <c r="AC7" s="49" t="s">
        <v>30</v>
      </c>
      <c r="AD7" s="50">
        <v>40</v>
      </c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37.9</v>
      </c>
      <c r="Q8" s="29">
        <v>0</v>
      </c>
      <c r="R8" s="30">
        <v>30.363</v>
      </c>
      <c r="S8" s="30">
        <v>29</v>
      </c>
      <c r="T8" s="31">
        <v>8.92</v>
      </c>
      <c r="U8" s="32">
        <f t="shared" si="1"/>
        <v>106.18300000000001</v>
      </c>
      <c r="V8" s="44">
        <v>7</v>
      </c>
      <c r="W8" s="37" t="s">
        <v>96</v>
      </c>
      <c r="X8" s="46">
        <f>'18.01.26см1'!Y8</f>
        <v>4865.6899999999996</v>
      </c>
      <c r="Y8" s="34">
        <f>X8+T17</f>
        <v>4977.2199999999993</v>
      </c>
      <c r="Z8" s="46">
        <f>T17</f>
        <v>111.53</v>
      </c>
      <c r="AA8" s="47">
        <v>5</v>
      </c>
      <c r="AB8" s="268"/>
      <c r="AC8" s="51" t="s">
        <v>32</v>
      </c>
      <c r="AD8" s="52">
        <v>39</v>
      </c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43.5</v>
      </c>
      <c r="Q9" s="29">
        <v>0</v>
      </c>
      <c r="R9" s="30">
        <v>31.664000000000001</v>
      </c>
      <c r="S9" s="30">
        <v>29</v>
      </c>
      <c r="T9" s="31">
        <v>13.35</v>
      </c>
      <c r="U9" s="32">
        <f t="shared" si="1"/>
        <v>117.514</v>
      </c>
      <c r="V9" s="44">
        <v>2</v>
      </c>
      <c r="W9" s="37" t="s">
        <v>97</v>
      </c>
      <c r="X9" s="270" t="s">
        <v>34</v>
      </c>
      <c r="Y9" s="271"/>
      <c r="Z9" s="54">
        <f>SUM(Z5:Z8)</f>
        <v>1300.4370000000065</v>
      </c>
      <c r="AA9" s="55"/>
      <c r="AB9" s="268"/>
      <c r="AC9" s="51" t="s">
        <v>35</v>
      </c>
      <c r="AD9" s="52">
        <v>28</v>
      </c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42.8</v>
      </c>
      <c r="Q10" s="29">
        <v>0</v>
      </c>
      <c r="R10" s="30">
        <v>30.617000000000001</v>
      </c>
      <c r="S10" s="30">
        <v>31</v>
      </c>
      <c r="T10" s="31">
        <v>12.49</v>
      </c>
      <c r="U10" s="32">
        <f t="shared" si="1"/>
        <v>116.907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10</v>
      </c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41.7</v>
      </c>
      <c r="Q11" s="29">
        <v>0</v>
      </c>
      <c r="R11" s="30">
        <v>32.539000000000001</v>
      </c>
      <c r="S11" s="30">
        <v>31</v>
      </c>
      <c r="T11" s="31">
        <v>10.53</v>
      </c>
      <c r="U11" s="32">
        <f t="shared" si="1"/>
        <v>115.76900000000001</v>
      </c>
      <c r="V11" s="44">
        <v>3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41.9</v>
      </c>
      <c r="Q12" s="29">
        <v>0</v>
      </c>
      <c r="R12" s="30">
        <v>36.901000000000003</v>
      </c>
      <c r="S12" s="30">
        <v>31</v>
      </c>
      <c r="T12" s="31">
        <v>6.89</v>
      </c>
      <c r="U12" s="32">
        <f t="shared" si="1"/>
        <v>116.691</v>
      </c>
      <c r="V12" s="44">
        <v>4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>
        <v>36</v>
      </c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>
        <v>75</v>
      </c>
      <c r="C13" s="39">
        <v>57</v>
      </c>
      <c r="D13" s="39">
        <v>76</v>
      </c>
      <c r="E13" s="40">
        <v>64</v>
      </c>
      <c r="F13" s="41">
        <v>73</v>
      </c>
      <c r="G13" s="42">
        <v>42</v>
      </c>
      <c r="H13" s="41">
        <v>33</v>
      </c>
      <c r="I13" s="42">
        <v>68</v>
      </c>
      <c r="J13" s="41">
        <v>70</v>
      </c>
      <c r="K13" s="38">
        <v>56</v>
      </c>
      <c r="L13" s="43">
        <v>60</v>
      </c>
      <c r="M13" s="40">
        <v>42</v>
      </c>
      <c r="N13" s="42">
        <v>56</v>
      </c>
      <c r="O13" s="41">
        <v>81</v>
      </c>
      <c r="P13" s="53">
        <v>23.9</v>
      </c>
      <c r="Q13" s="29">
        <v>0</v>
      </c>
      <c r="R13" s="30">
        <v>25.471</v>
      </c>
      <c r="S13" s="30">
        <v>29</v>
      </c>
      <c r="T13" s="31">
        <v>8.31</v>
      </c>
      <c r="U13" s="32">
        <f t="shared" si="1"/>
        <v>86.680999999999997</v>
      </c>
      <c r="V13" s="44">
        <v>3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37</v>
      </c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39.5</v>
      </c>
      <c r="Q14" s="29">
        <v>0</v>
      </c>
      <c r="R14" s="30">
        <v>36.435000000000002</v>
      </c>
      <c r="S14" s="30">
        <v>30</v>
      </c>
      <c r="T14" s="31">
        <v>10.130000000000001</v>
      </c>
      <c r="U14" s="32">
        <f t="shared" si="1"/>
        <v>116.065</v>
      </c>
      <c r="V14" s="44">
        <v>6</v>
      </c>
      <c r="W14" s="37" t="s">
        <v>102</v>
      </c>
      <c r="X14" s="280">
        <v>0.41666666666666669</v>
      </c>
      <c r="Y14" s="207" t="s">
        <v>45</v>
      </c>
      <c r="Z14" s="69">
        <v>2.4</v>
      </c>
      <c r="AA14" s="70">
        <f>100-Z14</f>
        <v>97.6</v>
      </c>
      <c r="AB14" s="278"/>
      <c r="AC14" s="51" t="s">
        <v>35</v>
      </c>
      <c r="AD14" s="52">
        <v>26</v>
      </c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40.5</v>
      </c>
      <c r="Q15" s="29">
        <v>0</v>
      </c>
      <c r="R15" s="30">
        <v>37.628</v>
      </c>
      <c r="S15" s="30">
        <v>31</v>
      </c>
      <c r="T15" s="31">
        <v>9.2899999999999991</v>
      </c>
      <c r="U15" s="32">
        <f t="shared" si="1"/>
        <v>118.41800000000001</v>
      </c>
      <c r="V15" s="44">
        <v>7</v>
      </c>
      <c r="W15" s="37" t="s">
        <v>103</v>
      </c>
      <c r="X15" s="281"/>
      <c r="Y15" s="71" t="s">
        <v>47</v>
      </c>
      <c r="Z15" s="72">
        <v>1.9</v>
      </c>
      <c r="AA15" s="73">
        <f>100-Z15</f>
        <v>98.1</v>
      </c>
      <c r="AB15" s="279"/>
      <c r="AC15" s="74" t="s">
        <v>37</v>
      </c>
      <c r="AD15" s="58">
        <v>8</v>
      </c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40.700000000000003</v>
      </c>
      <c r="Q16" s="29">
        <v>0</v>
      </c>
      <c r="R16" s="30">
        <v>42.076999999999998</v>
      </c>
      <c r="S16" s="30">
        <v>31</v>
      </c>
      <c r="T16" s="82">
        <v>10.75</v>
      </c>
      <c r="U16" s="32">
        <f t="shared" si="1"/>
        <v>124.527</v>
      </c>
      <c r="V16" s="83">
        <v>8</v>
      </c>
      <c r="W16" s="75" t="s">
        <v>104</v>
      </c>
      <c r="X16" s="281"/>
      <c r="Y16" s="71" t="s">
        <v>49</v>
      </c>
      <c r="Z16" s="72">
        <v>3.1</v>
      </c>
      <c r="AA16" s="73">
        <f>100-Z16</f>
        <v>96.9</v>
      </c>
      <c r="AB16" s="205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>
        <f>AVERAGE(B5:B15)</f>
        <v>69.5</v>
      </c>
      <c r="C17" s="88">
        <f>AVERAGE(C5:C16)</f>
        <v>59.5</v>
      </c>
      <c r="D17" s="88">
        <f>AVERAGE(D5:D15)</f>
        <v>75.5</v>
      </c>
      <c r="E17" s="88">
        <f>AVERAGE(E5:E15)</f>
        <v>66</v>
      </c>
      <c r="F17" s="88">
        <f>AVERAGE(F5:F15)</f>
        <v>62.5</v>
      </c>
      <c r="G17" s="88">
        <f>AVERAGE(G5:G16)</f>
        <v>41.5</v>
      </c>
      <c r="H17" s="88">
        <f>AVERAGE(H5:H16)</f>
        <v>33.5</v>
      </c>
      <c r="I17" s="88">
        <f t="shared" ref="I17:N17" si="2">AVERAGE(I5:I15)</f>
        <v>63.5</v>
      </c>
      <c r="J17" s="88">
        <f t="shared" si="2"/>
        <v>56</v>
      </c>
      <c r="K17" s="88">
        <f t="shared" si="2"/>
        <v>56</v>
      </c>
      <c r="L17" s="88">
        <f t="shared" si="2"/>
        <v>58.5</v>
      </c>
      <c r="M17" s="89">
        <f t="shared" si="2"/>
        <v>39.5</v>
      </c>
      <c r="N17" s="89">
        <f t="shared" si="2"/>
        <v>48</v>
      </c>
      <c r="O17" s="89">
        <f>AVERAGE(O5:O16)</f>
        <v>75</v>
      </c>
      <c r="P17" s="90">
        <f>SUM(P5:P16)</f>
        <v>450.39999999999992</v>
      </c>
      <c r="Q17" s="91">
        <f>SUM(Q5:Q16)</f>
        <v>0</v>
      </c>
      <c r="R17" s="92">
        <f>SUM(R5:R16)</f>
        <v>383.50700000000001</v>
      </c>
      <c r="S17" s="93">
        <f>SUM(S5:S16)</f>
        <v>355</v>
      </c>
      <c r="T17" s="93">
        <f>SUM(T5:T16)</f>
        <v>111.53</v>
      </c>
      <c r="U17" s="94">
        <f>SUM(P17:T17)</f>
        <v>1300.4369999999999</v>
      </c>
      <c r="V17" s="1">
        <f>SUM(V5:V16)</f>
        <v>55</v>
      </c>
      <c r="W17" s="4"/>
      <c r="X17" s="281"/>
      <c r="Y17" s="71" t="s">
        <v>51</v>
      </c>
      <c r="Z17" s="95">
        <v>2.7</v>
      </c>
      <c r="AA17" s="73">
        <f>100-Z17</f>
        <v>97.3</v>
      </c>
      <c r="AB17" s="283">
        <v>0.54166666666666663</v>
      </c>
      <c r="AC17" s="62" t="s">
        <v>30</v>
      </c>
      <c r="AD17" s="50">
        <v>41</v>
      </c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97.475000000000009</v>
      </c>
      <c r="AB18" s="278"/>
      <c r="AC18" s="51" t="s">
        <v>32</v>
      </c>
      <c r="AD18" s="52">
        <v>40</v>
      </c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321</v>
      </c>
      <c r="J19" s="259"/>
      <c r="K19" s="259"/>
      <c r="L19" s="260"/>
      <c r="M19" s="261" t="s">
        <v>57</v>
      </c>
      <c r="N19" s="262"/>
      <c r="O19" s="263"/>
      <c r="P19" s="105">
        <v>3.5</v>
      </c>
      <c r="Q19" s="106"/>
      <c r="R19" s="107">
        <v>3.6</v>
      </c>
      <c r="S19" s="107">
        <v>3</v>
      </c>
      <c r="T19" s="107">
        <v>3.3</v>
      </c>
      <c r="U19" s="108">
        <f>(U17-U20)/U17*100</f>
        <v>3.3758453504475656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29</v>
      </c>
      <c r="AE19" s="11">
        <v>17</v>
      </c>
      <c r="AF19" s="12">
        <f t="shared" si="0"/>
        <v>3.1166666666666667</v>
      </c>
    </row>
    <row r="20" spans="1:32" ht="16.5" thickBot="1" x14ac:dyDescent="0.3">
      <c r="A20" s="294" t="s">
        <v>61</v>
      </c>
      <c r="B20" s="295"/>
      <c r="C20" s="44">
        <v>20</v>
      </c>
      <c r="D20" s="296">
        <v>0.2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434.63599999999991</v>
      </c>
      <c r="Q20" s="113"/>
      <c r="R20" s="114">
        <f>(R17-(R17*R19/100))</f>
        <v>369.70074800000003</v>
      </c>
      <c r="S20" s="112">
        <f>(S17-(S17*S19/100))</f>
        <v>344.35</v>
      </c>
      <c r="T20" s="112">
        <f>(T17-(T17*T19/100))</f>
        <v>107.84951</v>
      </c>
      <c r="U20" s="115">
        <f>P20+Q20+R20+S20+T20</f>
        <v>1256.5362580000001</v>
      </c>
      <c r="V20" s="4"/>
      <c r="W20" s="4"/>
      <c r="X20" s="281"/>
      <c r="Y20" s="207" t="s">
        <v>45</v>
      </c>
      <c r="Z20" s="69">
        <v>2.8</v>
      </c>
      <c r="AA20" s="70">
        <f>100-Z20</f>
        <v>97.2</v>
      </c>
      <c r="AB20" s="279"/>
      <c r="AC20" s="74" t="s">
        <v>37</v>
      </c>
      <c r="AD20" s="58">
        <v>12</v>
      </c>
      <c r="AE20" s="11">
        <v>18</v>
      </c>
      <c r="AF20" s="12">
        <f t="shared" si="0"/>
        <v>3.3</v>
      </c>
    </row>
    <row r="21" spans="1:32" ht="19.5" thickBot="1" x14ac:dyDescent="0.3">
      <c r="A21" s="294" t="s">
        <v>32</v>
      </c>
      <c r="B21" s="295"/>
      <c r="C21" s="44">
        <v>70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51</v>
      </c>
      <c r="K21" s="118"/>
      <c r="L21" s="119"/>
      <c r="M21" s="307" t="s">
        <v>63</v>
      </c>
      <c r="N21" s="308"/>
      <c r="O21" s="309"/>
      <c r="P21" s="120">
        <f>(U17-(U17*U19/100))</f>
        <v>1256.5362580000001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2.2000000000000002</v>
      </c>
      <c r="AA21" s="73">
        <f>100-Z21</f>
        <v>97.8</v>
      </c>
      <c r="AB21" s="205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 t="s">
        <v>35</v>
      </c>
      <c r="B22" s="295"/>
      <c r="C22" s="44">
        <v>70</v>
      </c>
      <c r="D22" s="296">
        <v>0.2</v>
      </c>
      <c r="E22" s="297"/>
      <c r="F22" s="298" t="s">
        <v>58</v>
      </c>
      <c r="G22" s="299"/>
      <c r="H22" s="4"/>
      <c r="I22" s="125">
        <v>100</v>
      </c>
      <c r="J22" s="126">
        <f>I22-J21</f>
        <v>49</v>
      </c>
      <c r="K22" s="316">
        <f>J22/I22*100</f>
        <v>49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3.2</v>
      </c>
      <c r="AA22" s="73">
        <f>100-Z22</f>
        <v>96.8</v>
      </c>
      <c r="AB22" s="283">
        <v>0.625</v>
      </c>
      <c r="AC22" s="49" t="s">
        <v>30</v>
      </c>
      <c r="AD22" s="50">
        <v>41</v>
      </c>
      <c r="AE22" s="11">
        <v>20</v>
      </c>
      <c r="AF22" s="12">
        <f t="shared" si="0"/>
        <v>3.6666666666666665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>
        <v>30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1.9</v>
      </c>
      <c r="AA23" s="73">
        <f>100-Z23</f>
        <v>98.1</v>
      </c>
      <c r="AB23" s="278"/>
      <c r="AC23" s="51" t="s">
        <v>32</v>
      </c>
      <c r="AD23" s="52">
        <v>42</v>
      </c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70</v>
      </c>
      <c r="K24" s="316">
        <f>J24/I24*100</f>
        <v>70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97.474999999999994</v>
      </c>
      <c r="AB24" s="278"/>
      <c r="AC24" s="51" t="s">
        <v>35</v>
      </c>
      <c r="AD24" s="52">
        <v>31</v>
      </c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12</v>
      </c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07" t="s">
        <v>45</v>
      </c>
      <c r="Z26" s="69">
        <v>2.2000000000000002</v>
      </c>
      <c r="AA26" s="70">
        <f>100-Z26</f>
        <v>97.8</v>
      </c>
      <c r="AB26" s="204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3</v>
      </c>
      <c r="AA27" s="73">
        <f>100-Z27</f>
        <v>97</v>
      </c>
      <c r="AB27" s="267">
        <v>0.70833333333333337</v>
      </c>
      <c r="AC27" s="62" t="s">
        <v>30</v>
      </c>
      <c r="AD27" s="50">
        <v>39</v>
      </c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 t="s">
        <v>287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2.8</v>
      </c>
      <c r="AA28" s="73">
        <f>100-Z28</f>
        <v>97.2</v>
      </c>
      <c r="AB28" s="268"/>
      <c r="AC28" s="67" t="s">
        <v>32</v>
      </c>
      <c r="AD28" s="52">
        <v>40</v>
      </c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56" t="s">
        <v>342</v>
      </c>
      <c r="I29" s="357"/>
      <c r="J29" s="357"/>
      <c r="K29" s="357"/>
      <c r="L29" s="357"/>
      <c r="M29" s="357"/>
      <c r="N29" s="357"/>
      <c r="O29" s="357"/>
      <c r="P29" s="357"/>
      <c r="Q29" s="357"/>
      <c r="R29" s="357"/>
      <c r="S29" s="357"/>
      <c r="T29" s="357"/>
      <c r="U29" s="358"/>
      <c r="V29" s="4"/>
      <c r="W29" s="4"/>
      <c r="X29" s="281"/>
      <c r="Y29" s="71" t="s">
        <v>51</v>
      </c>
      <c r="Z29" s="145">
        <v>1.9</v>
      </c>
      <c r="AA29" s="73">
        <f>100-Z29</f>
        <v>98.1</v>
      </c>
      <c r="AB29" s="268"/>
      <c r="AC29" s="51" t="s">
        <v>35</v>
      </c>
      <c r="AD29" s="52">
        <v>29</v>
      </c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6" t="s">
        <v>344</v>
      </c>
      <c r="I30" s="357"/>
      <c r="J30" s="357"/>
      <c r="K30" s="357"/>
      <c r="L30" s="357"/>
      <c r="M30" s="357"/>
      <c r="N30" s="357"/>
      <c r="O30" s="357"/>
      <c r="P30" s="357"/>
      <c r="Q30" s="357"/>
      <c r="R30" s="357"/>
      <c r="S30" s="357"/>
      <c r="T30" s="357"/>
      <c r="U30" s="358"/>
      <c r="V30" s="4"/>
      <c r="W30" s="4" t="s">
        <v>78</v>
      </c>
      <c r="X30" s="282"/>
      <c r="Y30" s="146"/>
      <c r="Z30" s="147"/>
      <c r="AA30" s="103">
        <f>(AA26+AA27+AA28+AA29)/4</f>
        <v>97.525000000000006</v>
      </c>
      <c r="AB30" s="269"/>
      <c r="AC30" s="74" t="s">
        <v>37</v>
      </c>
      <c r="AD30" s="58">
        <v>9</v>
      </c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56" t="s">
        <v>343</v>
      </c>
      <c r="I31" s="357"/>
      <c r="J31" s="357"/>
      <c r="K31" s="357"/>
      <c r="L31" s="357"/>
      <c r="M31" s="357"/>
      <c r="N31" s="357"/>
      <c r="O31" s="357"/>
      <c r="P31" s="357"/>
      <c r="Q31" s="357"/>
      <c r="R31" s="357"/>
      <c r="S31" s="357"/>
      <c r="T31" s="357"/>
      <c r="U31" s="358"/>
      <c r="V31" s="4"/>
      <c r="W31" s="96"/>
      <c r="X31" s="280">
        <v>0.70833333333333337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56" t="s">
        <v>345</v>
      </c>
      <c r="I32" s="357"/>
      <c r="J32" s="357"/>
      <c r="K32" s="357"/>
      <c r="L32" s="357"/>
      <c r="M32" s="357"/>
      <c r="N32" s="357"/>
      <c r="O32" s="357"/>
      <c r="P32" s="357"/>
      <c r="Q32" s="357"/>
      <c r="R32" s="357"/>
      <c r="S32" s="357"/>
      <c r="T32" s="357"/>
      <c r="U32" s="358"/>
      <c r="V32" s="4"/>
      <c r="W32" s="96"/>
      <c r="X32" s="413"/>
      <c r="Y32" s="149" t="s">
        <v>45</v>
      </c>
      <c r="Z32" s="69">
        <v>1.9</v>
      </c>
      <c r="AA32" s="70">
        <f>100-Z32</f>
        <v>98.1</v>
      </c>
      <c r="AB32" s="267">
        <v>0.79166666666666663</v>
      </c>
      <c r="AC32" s="62" t="s">
        <v>30</v>
      </c>
      <c r="AD32" s="50">
        <v>39</v>
      </c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56"/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8"/>
      <c r="V33" s="4"/>
      <c r="W33" s="96"/>
      <c r="X33" s="413"/>
      <c r="Y33" s="44" t="s">
        <v>47</v>
      </c>
      <c r="Z33" s="72">
        <v>2.5</v>
      </c>
      <c r="AA33" s="73">
        <f>100-Z33</f>
        <v>97.5</v>
      </c>
      <c r="AB33" s="268"/>
      <c r="AC33" s="51" t="s">
        <v>32</v>
      </c>
      <c r="AD33" s="52">
        <v>39</v>
      </c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3.1</v>
      </c>
      <c r="AA34" s="73">
        <f>100-Z34</f>
        <v>96.9</v>
      </c>
      <c r="AB34" s="268"/>
      <c r="AC34" s="67" t="s">
        <v>35</v>
      </c>
      <c r="AD34" s="52">
        <v>31</v>
      </c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V35" t="s">
        <v>65</v>
      </c>
      <c r="X35" s="413"/>
      <c r="Y35" s="44" t="s">
        <v>51</v>
      </c>
      <c r="Z35" s="150">
        <v>2.2000000000000002</v>
      </c>
      <c r="AA35" s="73">
        <f>100-Z35</f>
        <v>97.8</v>
      </c>
      <c r="AB35" s="269"/>
      <c r="AC35" s="74" t="s">
        <v>37</v>
      </c>
      <c r="AD35" s="58">
        <v>10</v>
      </c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97.575000000000003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204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55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>
        <v>102</v>
      </c>
      <c r="E42" s="386"/>
      <c r="F42" s="387"/>
      <c r="G42" s="160"/>
      <c r="H42" s="397" t="s">
        <v>88</v>
      </c>
      <c r="I42" s="398"/>
      <c r="J42" s="164">
        <v>9.33</v>
      </c>
      <c r="K42" s="399">
        <v>9.42</v>
      </c>
      <c r="L42" s="400"/>
      <c r="M42" s="164">
        <v>9.11</v>
      </c>
      <c r="N42" s="165">
        <v>9.5</v>
      </c>
      <c r="O42" s="165">
        <v>9.6300000000000008</v>
      </c>
      <c r="P42" s="165">
        <v>9.1999999999999993</v>
      </c>
      <c r="Q42" s="401">
        <f>AVERAGE(J42:P43)</f>
        <v>9.3650000000000002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202" t="s">
        <v>89</v>
      </c>
      <c r="B43" s="203"/>
      <c r="C43" s="203"/>
      <c r="D43" s="386">
        <v>5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314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157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211" t="s">
        <v>92</v>
      </c>
      <c r="S44" s="211"/>
      <c r="T44" s="211"/>
      <c r="U44" s="211"/>
      <c r="V44" s="211"/>
      <c r="W44" s="211"/>
      <c r="X44" s="211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  <row r="85" spans="25:25" x14ac:dyDescent="0.25">
      <c r="Y85" t="s">
        <v>65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H31" sqref="H31:U31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28515625" customWidth="1"/>
    <col min="17" max="18" width="10.140625" customWidth="1"/>
    <col min="19" max="19" width="10" customWidth="1"/>
    <col min="20" max="20" width="9.710937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346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30.3</v>
      </c>
      <c r="Q5" s="29">
        <v>0</v>
      </c>
      <c r="R5" s="30">
        <v>26.353999999999999</v>
      </c>
      <c r="S5" s="30">
        <v>30</v>
      </c>
      <c r="T5" s="31">
        <v>10.039999999999999</v>
      </c>
      <c r="U5" s="32">
        <f>SUM(P5:T5)</f>
        <v>96.693999999999988</v>
      </c>
      <c r="V5" s="33">
        <v>2</v>
      </c>
      <c r="W5" s="21" t="s">
        <v>27</v>
      </c>
      <c r="X5" s="34">
        <f>'18.01.26см2'!Y5</f>
        <v>526110.9</v>
      </c>
      <c r="Y5" s="34">
        <f>X5+P17</f>
        <v>526575.4</v>
      </c>
      <c r="Z5" s="35">
        <f>Y5-X5</f>
        <v>464.5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39.200000000000003</v>
      </c>
      <c r="Q6" s="29">
        <v>0</v>
      </c>
      <c r="R6" s="30">
        <v>33.01</v>
      </c>
      <c r="S6" s="30">
        <v>30</v>
      </c>
      <c r="T6" s="31">
        <v>10.87</v>
      </c>
      <c r="U6" s="32">
        <f t="shared" ref="U6:U16" si="1">SUM(P6:T6)</f>
        <v>113.08000000000001</v>
      </c>
      <c r="V6" s="44">
        <v>4</v>
      </c>
      <c r="W6" s="37" t="s">
        <v>28</v>
      </c>
      <c r="X6" s="45">
        <f>'18.01.26см2'!Y6</f>
        <v>823885.5190000002</v>
      </c>
      <c r="Y6" s="34">
        <f>X6+R17</f>
        <v>824337.17300000018</v>
      </c>
      <c r="Z6" s="46">
        <f>Y6-X6</f>
        <v>451.65399999998044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>
        <v>70</v>
      </c>
      <c r="C7" s="39">
        <v>62</v>
      </c>
      <c r="D7" s="39">
        <v>73</v>
      </c>
      <c r="E7" s="40">
        <v>64</v>
      </c>
      <c r="F7" s="41">
        <v>66</v>
      </c>
      <c r="G7" s="42">
        <v>47</v>
      </c>
      <c r="H7" s="41">
        <v>38</v>
      </c>
      <c r="I7" s="42">
        <v>41</v>
      </c>
      <c r="J7" s="41">
        <v>32</v>
      </c>
      <c r="K7" s="38">
        <v>51</v>
      </c>
      <c r="L7" s="43">
        <v>54</v>
      </c>
      <c r="M7" s="40">
        <v>44</v>
      </c>
      <c r="N7" s="42">
        <v>52</v>
      </c>
      <c r="O7" s="41">
        <v>74</v>
      </c>
      <c r="P7" s="28">
        <v>41.2</v>
      </c>
      <c r="Q7" s="29">
        <v>0</v>
      </c>
      <c r="R7" s="30">
        <v>38.999000000000002</v>
      </c>
      <c r="S7" s="30">
        <v>32</v>
      </c>
      <c r="T7" s="31">
        <v>11.48</v>
      </c>
      <c r="U7" s="32">
        <f t="shared" si="1"/>
        <v>123.67900000000002</v>
      </c>
      <c r="V7" s="44">
        <v>5</v>
      </c>
      <c r="W7" s="37" t="s">
        <v>29</v>
      </c>
      <c r="X7" s="48">
        <f>'18.01.26см2'!Y7</f>
        <v>515525</v>
      </c>
      <c r="Y7" s="34">
        <f>X7+S17</f>
        <v>515900</v>
      </c>
      <c r="Z7" s="46">
        <f>Y7-X7</f>
        <v>375</v>
      </c>
      <c r="AA7" s="47">
        <v>4</v>
      </c>
      <c r="AB7" s="267">
        <v>0.875</v>
      </c>
      <c r="AC7" s="49" t="s">
        <v>30</v>
      </c>
      <c r="AD7" s="50">
        <v>41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40.6</v>
      </c>
      <c r="Q8" s="29">
        <v>0</v>
      </c>
      <c r="R8" s="30">
        <v>39.878</v>
      </c>
      <c r="S8" s="30">
        <v>32</v>
      </c>
      <c r="T8" s="31">
        <v>10.64</v>
      </c>
      <c r="U8" s="32">
        <f t="shared" si="1"/>
        <v>123.11800000000001</v>
      </c>
      <c r="V8" s="44">
        <v>4</v>
      </c>
      <c r="W8" s="37" t="s">
        <v>31</v>
      </c>
      <c r="X8" s="46">
        <f>'18.01.26см2'!Y8</f>
        <v>4977.2199999999993</v>
      </c>
      <c r="Y8" s="34">
        <f>X8+T17</f>
        <v>5104.619999999999</v>
      </c>
      <c r="Z8" s="46">
        <f>T17</f>
        <v>127.39999999999999</v>
      </c>
      <c r="AA8" s="47">
        <v>5</v>
      </c>
      <c r="AB8" s="268"/>
      <c r="AC8" s="51" t="s">
        <v>32</v>
      </c>
      <c r="AD8" s="52">
        <v>41</v>
      </c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29</v>
      </c>
      <c r="Q9" s="29">
        <v>0</v>
      </c>
      <c r="R9" s="30">
        <v>28.247</v>
      </c>
      <c r="S9" s="30">
        <v>31</v>
      </c>
      <c r="T9" s="31">
        <v>10.07</v>
      </c>
      <c r="U9" s="32">
        <f t="shared" si="1"/>
        <v>98.317000000000007</v>
      </c>
      <c r="V9" s="44">
        <v>1</v>
      </c>
      <c r="W9" s="37" t="s">
        <v>33</v>
      </c>
      <c r="X9" s="270" t="s">
        <v>34</v>
      </c>
      <c r="Y9" s="271"/>
      <c r="Z9" s="54">
        <f>SUM(Z5:Z8)</f>
        <v>1418.5539999999805</v>
      </c>
      <c r="AA9" s="55"/>
      <c r="AB9" s="268"/>
      <c r="AC9" s="51" t="s">
        <v>35</v>
      </c>
      <c r="AD9" s="52">
        <v>30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41.2</v>
      </c>
      <c r="Q10" s="29">
        <v>0</v>
      </c>
      <c r="R10" s="30">
        <v>37.744</v>
      </c>
      <c r="S10" s="30">
        <v>32</v>
      </c>
      <c r="T10" s="31">
        <v>10.42</v>
      </c>
      <c r="U10" s="32">
        <f t="shared" si="1"/>
        <v>121.364</v>
      </c>
      <c r="V10" s="44">
        <v>4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10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40.5</v>
      </c>
      <c r="Q11" s="29">
        <v>0</v>
      </c>
      <c r="R11" s="30">
        <v>34.895000000000003</v>
      </c>
      <c r="S11" s="30">
        <v>31</v>
      </c>
      <c r="T11" s="31">
        <v>10.68</v>
      </c>
      <c r="U11" s="32">
        <f t="shared" si="1"/>
        <v>117.07500000000002</v>
      </c>
      <c r="V11" s="44">
        <v>4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40</v>
      </c>
      <c r="Q12" s="29">
        <v>0</v>
      </c>
      <c r="R12" s="30">
        <v>42.231000000000002</v>
      </c>
      <c r="S12" s="30">
        <v>31</v>
      </c>
      <c r="T12" s="31">
        <v>11.18</v>
      </c>
      <c r="U12" s="32">
        <f t="shared" si="1"/>
        <v>124.411</v>
      </c>
      <c r="V12" s="44">
        <v>2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41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>
        <v>72</v>
      </c>
      <c r="C13" s="39">
        <v>63</v>
      </c>
      <c r="D13" s="39">
        <v>75</v>
      </c>
      <c r="E13" s="40">
        <v>67</v>
      </c>
      <c r="F13" s="41">
        <v>68</v>
      </c>
      <c r="G13" s="42">
        <v>46</v>
      </c>
      <c r="H13" s="41">
        <v>35</v>
      </c>
      <c r="I13" s="42">
        <v>36</v>
      </c>
      <c r="J13" s="41">
        <v>29</v>
      </c>
      <c r="K13" s="38">
        <v>53</v>
      </c>
      <c r="L13" s="43">
        <v>56</v>
      </c>
      <c r="M13" s="40">
        <v>47</v>
      </c>
      <c r="N13" s="42">
        <v>53</v>
      </c>
      <c r="O13" s="41">
        <v>72</v>
      </c>
      <c r="P13" s="53">
        <v>39.799999999999997</v>
      </c>
      <c r="Q13" s="29">
        <v>0</v>
      </c>
      <c r="R13" s="30">
        <v>40.997</v>
      </c>
      <c r="S13" s="30">
        <v>32</v>
      </c>
      <c r="T13" s="31">
        <v>11</v>
      </c>
      <c r="U13" s="32">
        <f t="shared" si="1"/>
        <v>123.797</v>
      </c>
      <c r="V13" s="44">
        <v>4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41</v>
      </c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41.1</v>
      </c>
      <c r="Q14" s="29">
        <v>0</v>
      </c>
      <c r="R14" s="30">
        <v>45.353999999999999</v>
      </c>
      <c r="S14" s="30">
        <v>31</v>
      </c>
      <c r="T14" s="31">
        <v>11.11</v>
      </c>
      <c r="U14" s="32">
        <f t="shared" si="1"/>
        <v>128.56400000000002</v>
      </c>
      <c r="V14" s="44">
        <v>4</v>
      </c>
      <c r="W14" s="37" t="s">
        <v>44</v>
      </c>
      <c r="X14" s="280">
        <v>0.91666666666666663</v>
      </c>
      <c r="Y14" s="210" t="s">
        <v>45</v>
      </c>
      <c r="Z14" s="69">
        <v>2.1</v>
      </c>
      <c r="AA14" s="70">
        <f>100-Z14</f>
        <v>97.9</v>
      </c>
      <c r="AB14" s="278"/>
      <c r="AC14" s="51" t="s">
        <v>35</v>
      </c>
      <c r="AD14" s="52">
        <v>32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41.5</v>
      </c>
      <c r="Q15" s="29">
        <v>0</v>
      </c>
      <c r="R15" s="30">
        <v>45.771999999999998</v>
      </c>
      <c r="S15" s="30">
        <v>32</v>
      </c>
      <c r="T15" s="31">
        <v>10.19</v>
      </c>
      <c r="U15" s="32">
        <f t="shared" si="1"/>
        <v>129.46199999999999</v>
      </c>
      <c r="V15" s="44">
        <v>4</v>
      </c>
      <c r="W15" s="37" t="s">
        <v>46</v>
      </c>
      <c r="X15" s="281"/>
      <c r="Y15" s="71" t="s">
        <v>47</v>
      </c>
      <c r="Z15" s="72">
        <v>1.7</v>
      </c>
      <c r="AA15" s="73">
        <f>100-Z15</f>
        <v>98.3</v>
      </c>
      <c r="AB15" s="279"/>
      <c r="AC15" s="74" t="s">
        <v>37</v>
      </c>
      <c r="AD15" s="58">
        <v>11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40.1</v>
      </c>
      <c r="Q16" s="29">
        <v>0</v>
      </c>
      <c r="R16" s="30">
        <v>38.173000000000002</v>
      </c>
      <c r="S16" s="30">
        <v>31</v>
      </c>
      <c r="T16" s="82">
        <v>9.7200000000000006</v>
      </c>
      <c r="U16" s="32">
        <f t="shared" si="1"/>
        <v>118.99299999999999</v>
      </c>
      <c r="V16" s="83">
        <v>4</v>
      </c>
      <c r="W16" s="75" t="s">
        <v>48</v>
      </c>
      <c r="X16" s="281"/>
      <c r="Y16" s="71" t="s">
        <v>49</v>
      </c>
      <c r="Z16" s="72">
        <v>1.2</v>
      </c>
      <c r="AA16" s="73">
        <f>100-Z16</f>
        <v>98.8</v>
      </c>
      <c r="AB16" s="205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71</v>
      </c>
      <c r="C17" s="88">
        <f>AVERAGE(C5:C16)</f>
        <v>62.5</v>
      </c>
      <c r="D17" s="88">
        <f>AVERAGE(D5:D15)</f>
        <v>74</v>
      </c>
      <c r="E17" s="88">
        <f>AVERAGE(E5:E15)</f>
        <v>65.5</v>
      </c>
      <c r="F17" s="88">
        <f>AVERAGE(F5:F15)</f>
        <v>67</v>
      </c>
      <c r="G17" s="88">
        <f>AVERAGE(G5:G16)</f>
        <v>46.5</v>
      </c>
      <c r="H17" s="88">
        <f>AVERAGE(H5:H16)</f>
        <v>36.5</v>
      </c>
      <c r="I17" s="88">
        <f t="shared" ref="I17:N17" si="2">AVERAGE(I5:I15)</f>
        <v>38.5</v>
      </c>
      <c r="J17" s="88">
        <f t="shared" si="2"/>
        <v>30.5</v>
      </c>
      <c r="K17" s="88">
        <f t="shared" si="2"/>
        <v>52</v>
      </c>
      <c r="L17" s="88">
        <f t="shared" si="2"/>
        <v>55</v>
      </c>
      <c r="M17" s="89">
        <f t="shared" si="2"/>
        <v>45.5</v>
      </c>
      <c r="N17" s="89">
        <f t="shared" si="2"/>
        <v>52.5</v>
      </c>
      <c r="O17" s="89">
        <f>AVERAGE(O5:O16)</f>
        <v>73</v>
      </c>
      <c r="P17" s="90">
        <f>SUM(P5:P16)</f>
        <v>464.50000000000006</v>
      </c>
      <c r="Q17" s="91">
        <f>SUM(Q5:Q16)</f>
        <v>0</v>
      </c>
      <c r="R17" s="92">
        <f>SUM(R5:R16)</f>
        <v>451.654</v>
      </c>
      <c r="S17" s="93">
        <f>SUM(S5:S16)</f>
        <v>375</v>
      </c>
      <c r="T17" s="93">
        <f>SUM(T5:T16)</f>
        <v>127.39999999999999</v>
      </c>
      <c r="U17" s="94">
        <f>SUM(P17:T17)</f>
        <v>1418.5540000000001</v>
      </c>
      <c r="V17" s="1">
        <f>SUM(V5:V16)</f>
        <v>42</v>
      </c>
      <c r="W17" s="4"/>
      <c r="X17" s="281"/>
      <c r="Y17" s="71" t="s">
        <v>51</v>
      </c>
      <c r="Z17" s="72">
        <v>1.5</v>
      </c>
      <c r="AA17" s="73">
        <f>100-Z17</f>
        <v>98.5</v>
      </c>
      <c r="AB17" s="283">
        <v>4.1666666666666664E-2</v>
      </c>
      <c r="AC17" s="62" t="s">
        <v>30</v>
      </c>
      <c r="AD17" s="50">
        <v>42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98.375</v>
      </c>
      <c r="AB18" s="278"/>
      <c r="AC18" s="51" t="s">
        <v>32</v>
      </c>
      <c r="AD18" s="52">
        <v>41</v>
      </c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347</v>
      </c>
      <c r="J19" s="259"/>
      <c r="K19" s="259"/>
      <c r="L19" s="260"/>
      <c r="M19" s="261" t="s">
        <v>57</v>
      </c>
      <c r="N19" s="262"/>
      <c r="O19" s="263"/>
      <c r="P19" s="105">
        <v>2.9</v>
      </c>
      <c r="Q19" s="106"/>
      <c r="R19" s="107">
        <v>2.7</v>
      </c>
      <c r="S19" s="107">
        <v>2.4</v>
      </c>
      <c r="T19" s="107">
        <v>2.6</v>
      </c>
      <c r="U19" s="108">
        <f>(U17-U20)/U17*100</f>
        <v>2.6772021368238392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31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61</v>
      </c>
      <c r="B20" s="295"/>
      <c r="C20" s="44">
        <v>20</v>
      </c>
      <c r="D20" s="296">
        <v>0.15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451.02950000000004</v>
      </c>
      <c r="Q20" s="113"/>
      <c r="R20" s="114">
        <f>(R17-(R17*R19/100))</f>
        <v>439.45934199999999</v>
      </c>
      <c r="S20" s="112">
        <f>(S17-(S17*S19/100))</f>
        <v>366</v>
      </c>
      <c r="T20" s="112">
        <f>(T17-(T17*T19/100))</f>
        <v>124.08759999999999</v>
      </c>
      <c r="U20" s="115">
        <f>P20+Q20+R20+S20+T20</f>
        <v>1380.576442</v>
      </c>
      <c r="V20" s="4"/>
      <c r="W20" s="4"/>
      <c r="X20" s="281"/>
      <c r="Y20" s="210" t="s">
        <v>45</v>
      </c>
      <c r="Z20" s="69">
        <v>1.5</v>
      </c>
      <c r="AA20" s="70">
        <f>100-Z20</f>
        <v>98.5</v>
      </c>
      <c r="AB20" s="279"/>
      <c r="AC20" s="74" t="s">
        <v>37</v>
      </c>
      <c r="AD20" s="58">
        <v>11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35</v>
      </c>
      <c r="B21" s="295"/>
      <c r="C21" s="44">
        <v>60</v>
      </c>
      <c r="D21" s="296">
        <v>0.15</v>
      </c>
      <c r="E21" s="297"/>
      <c r="F21" s="298" t="s">
        <v>58</v>
      </c>
      <c r="G21" s="299"/>
      <c r="H21" s="96"/>
      <c r="I21" s="116" t="s">
        <v>62</v>
      </c>
      <c r="J21" s="117">
        <v>52</v>
      </c>
      <c r="K21" s="118"/>
      <c r="L21" s="119"/>
      <c r="M21" s="307" t="s">
        <v>63</v>
      </c>
      <c r="N21" s="308"/>
      <c r="O21" s="309"/>
      <c r="P21" s="120">
        <f>(U17-(U17*U19/100))</f>
        <v>1380.576442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1.8</v>
      </c>
      <c r="AA21" s="73">
        <f>100-Z21</f>
        <v>98.2</v>
      </c>
      <c r="AB21" s="205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48</v>
      </c>
      <c r="K22" s="316">
        <f>J22/I22*100</f>
        <v>48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1.3</v>
      </c>
      <c r="AA22" s="73">
        <f>100-Z22</f>
        <v>98.7</v>
      </c>
      <c r="AB22" s="283">
        <v>0.125</v>
      </c>
      <c r="AC22" s="49" t="s">
        <v>30</v>
      </c>
      <c r="AD22" s="50">
        <v>41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>
        <v>25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1.1000000000000001</v>
      </c>
      <c r="AA23" s="73">
        <f>100-Z23</f>
        <v>98.9</v>
      </c>
      <c r="AB23" s="278"/>
      <c r="AC23" s="51" t="s">
        <v>32</v>
      </c>
      <c r="AD23" s="52">
        <v>42</v>
      </c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75</v>
      </c>
      <c r="K24" s="316">
        <f>J24/I24*100</f>
        <v>75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98.574999999999989</v>
      </c>
      <c r="AB24" s="278"/>
      <c r="AC24" s="51" t="s">
        <v>35</v>
      </c>
      <c r="AD24" s="52">
        <v>31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11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>
        <v>1.3</v>
      </c>
      <c r="AA26" s="70">
        <f>100-Z26</f>
        <v>98.7</v>
      </c>
      <c r="AB26" s="204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1.6</v>
      </c>
      <c r="AA27" s="73">
        <f>100-Z27</f>
        <v>98.4</v>
      </c>
      <c r="AB27" s="267">
        <v>0.20833333333333334</v>
      </c>
      <c r="AC27" s="62" t="s">
        <v>30</v>
      </c>
      <c r="AD27" s="50">
        <v>41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 t="s">
        <v>287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1.1000000000000001</v>
      </c>
      <c r="AA28" s="73">
        <f>100-Z28</f>
        <v>98.9</v>
      </c>
      <c r="AB28" s="268"/>
      <c r="AC28" s="67" t="s">
        <v>32</v>
      </c>
      <c r="AD28" s="52">
        <v>41</v>
      </c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56" t="s">
        <v>348</v>
      </c>
      <c r="I29" s="357"/>
      <c r="J29" s="357"/>
      <c r="K29" s="357"/>
      <c r="L29" s="357"/>
      <c r="M29" s="357"/>
      <c r="N29" s="357"/>
      <c r="O29" s="357"/>
      <c r="P29" s="357"/>
      <c r="Q29" s="357"/>
      <c r="R29" s="357"/>
      <c r="S29" s="357"/>
      <c r="T29" s="357"/>
      <c r="U29" s="358"/>
      <c r="V29" s="4"/>
      <c r="W29" s="4"/>
      <c r="X29" s="281"/>
      <c r="Y29" s="71" t="s">
        <v>51</v>
      </c>
      <c r="Z29" s="145">
        <v>1.7</v>
      </c>
      <c r="AA29" s="73">
        <f>100-Z29</f>
        <v>98.3</v>
      </c>
      <c r="AB29" s="268"/>
      <c r="AC29" s="51" t="s">
        <v>35</v>
      </c>
      <c r="AD29" s="52">
        <v>32</v>
      </c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56" t="s">
        <v>349</v>
      </c>
      <c r="I30" s="357"/>
      <c r="J30" s="357"/>
      <c r="K30" s="357"/>
      <c r="L30" s="357"/>
      <c r="M30" s="357"/>
      <c r="N30" s="357"/>
      <c r="O30" s="357"/>
      <c r="P30" s="357"/>
      <c r="Q30" s="357"/>
      <c r="R30" s="357"/>
      <c r="S30" s="357"/>
      <c r="T30" s="357"/>
      <c r="U30" s="358"/>
      <c r="V30" s="4"/>
      <c r="W30" s="4" t="s">
        <v>78</v>
      </c>
      <c r="X30" s="282"/>
      <c r="Y30" s="146"/>
      <c r="Z30" s="147"/>
      <c r="AA30" s="103">
        <f>(AA26+AA27+AA28+AA29)/4</f>
        <v>98.575000000000003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56" t="s">
        <v>350</v>
      </c>
      <c r="I31" s="357"/>
      <c r="J31" s="357"/>
      <c r="K31" s="357"/>
      <c r="L31" s="357"/>
      <c r="M31" s="357"/>
      <c r="N31" s="357"/>
      <c r="O31" s="357"/>
      <c r="P31" s="357"/>
      <c r="Q31" s="357"/>
      <c r="R31" s="357"/>
      <c r="S31" s="357"/>
      <c r="T31" s="357"/>
      <c r="U31" s="358"/>
      <c r="V31" s="4"/>
      <c r="W31" s="96"/>
      <c r="X31" s="280">
        <v>0.20833333333333334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2.2000000000000002</v>
      </c>
      <c r="AA32" s="70">
        <f>100-Z32</f>
        <v>97.8</v>
      </c>
      <c r="AB32" s="267">
        <v>0.29166666666666669</v>
      </c>
      <c r="AC32" s="62" t="s">
        <v>30</v>
      </c>
      <c r="AD32" s="50">
        <v>42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>
        <v>2</v>
      </c>
      <c r="AA33" s="73">
        <f>100-Z33</f>
        <v>98</v>
      </c>
      <c r="AB33" s="268"/>
      <c r="AC33" s="51" t="s">
        <v>32</v>
      </c>
      <c r="AD33" s="52">
        <v>43</v>
      </c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1.4</v>
      </c>
      <c r="AA34" s="73">
        <f>100-Z34</f>
        <v>98.6</v>
      </c>
      <c r="AB34" s="268"/>
      <c r="AC34" s="67" t="s">
        <v>35</v>
      </c>
      <c r="AD34" s="52">
        <v>32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1.3</v>
      </c>
      <c r="AA35" s="73">
        <f>100-Z35</f>
        <v>98.7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98.274999999999991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f>'18.01.26см2'!D44:F44</f>
        <v>157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42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>
        <v>30</v>
      </c>
      <c r="E42" s="386"/>
      <c r="F42" s="387"/>
      <c r="G42" s="160"/>
      <c r="H42" s="397" t="s">
        <v>88</v>
      </c>
      <c r="I42" s="398"/>
      <c r="J42" s="164">
        <v>10.050000000000001</v>
      </c>
      <c r="K42" s="399">
        <v>9.8699999999999992</v>
      </c>
      <c r="L42" s="400"/>
      <c r="M42" s="164">
        <v>9.98</v>
      </c>
      <c r="N42" s="165">
        <v>9.41</v>
      </c>
      <c r="O42" s="165">
        <v>9.68</v>
      </c>
      <c r="P42" s="165">
        <v>9.2899999999999991</v>
      </c>
      <c r="Q42" s="401">
        <f>AVERAGE(J42:P43)</f>
        <v>9.7133333333333329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202" t="s">
        <v>89</v>
      </c>
      <c r="B43" s="203"/>
      <c r="C43" s="203"/>
      <c r="D43" s="386">
        <v>1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308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169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309</v>
      </c>
      <c r="S44" s="427"/>
      <c r="T44" s="427"/>
      <c r="U44" s="427"/>
      <c r="V44" s="427"/>
      <c r="W44" s="211"/>
      <c r="X44" s="211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H30" sqref="H30:U30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85546875" customWidth="1"/>
    <col min="19" max="19" width="10.140625" customWidth="1"/>
    <col min="20" max="20" width="10.28515625" customWidth="1"/>
    <col min="21" max="23" width="10.7109375" customWidth="1"/>
    <col min="24" max="24" width="18.140625" customWidth="1"/>
    <col min="25" max="25" width="22.42578125" customWidth="1"/>
    <col min="26" max="26" width="16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346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34.799999999999997</v>
      </c>
      <c r="Q5" s="29">
        <v>0</v>
      </c>
      <c r="R5" s="30">
        <v>35.006999999999998</v>
      </c>
      <c r="S5" s="30">
        <v>31</v>
      </c>
      <c r="T5" s="31">
        <v>9.69</v>
      </c>
      <c r="U5" s="32">
        <f>SUM(P5:T5)</f>
        <v>110.49699999999999</v>
      </c>
      <c r="V5" s="33"/>
      <c r="W5" s="21" t="s">
        <v>93</v>
      </c>
      <c r="X5" s="34">
        <f>'19.01.26см1'!Y5</f>
        <v>526575.4</v>
      </c>
      <c r="Y5" s="34">
        <f>X5+P17</f>
        <v>527045.5</v>
      </c>
      <c r="Z5" s="35">
        <f>Y5-X5</f>
        <v>470.09999999997672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39</v>
      </c>
      <c r="Q6" s="29">
        <v>0</v>
      </c>
      <c r="R6" s="30">
        <v>38.82</v>
      </c>
      <c r="S6" s="30">
        <v>30</v>
      </c>
      <c r="T6" s="31">
        <v>8.65</v>
      </c>
      <c r="U6" s="32">
        <f t="shared" ref="U6:U16" si="1">SUM(P6:T6)</f>
        <v>116.47</v>
      </c>
      <c r="V6" s="44">
        <v>6</v>
      </c>
      <c r="W6" s="37" t="s">
        <v>94</v>
      </c>
      <c r="X6" s="45">
        <f>'19.01.26см1'!Y6</f>
        <v>824337.17300000018</v>
      </c>
      <c r="Y6" s="34">
        <f>X6+R17</f>
        <v>824803.11400000018</v>
      </c>
      <c r="Z6" s="46">
        <f>Y6-X6</f>
        <v>465.94099999999162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>
        <v>70</v>
      </c>
      <c r="C7" s="39"/>
      <c r="D7" s="39">
        <v>76</v>
      </c>
      <c r="E7" s="40">
        <v>61</v>
      </c>
      <c r="F7" s="41">
        <v>63</v>
      </c>
      <c r="G7" s="42">
        <v>42</v>
      </c>
      <c r="H7" s="41"/>
      <c r="I7" s="42">
        <v>56</v>
      </c>
      <c r="J7" s="41">
        <v>40</v>
      </c>
      <c r="K7" s="38">
        <v>51</v>
      </c>
      <c r="L7" s="43">
        <v>52</v>
      </c>
      <c r="M7" s="40">
        <v>52</v>
      </c>
      <c r="N7" s="42">
        <v>54</v>
      </c>
      <c r="O7" s="41"/>
      <c r="P7" s="28">
        <v>36.6</v>
      </c>
      <c r="Q7" s="29">
        <v>0</v>
      </c>
      <c r="R7" s="30">
        <v>37.043999999999997</v>
      </c>
      <c r="S7" s="30">
        <v>31</v>
      </c>
      <c r="T7" s="31">
        <v>8.75</v>
      </c>
      <c r="U7" s="32">
        <f t="shared" si="1"/>
        <v>113.39400000000001</v>
      </c>
      <c r="V7" s="44">
        <v>3</v>
      </c>
      <c r="W7" s="37" t="s">
        <v>95</v>
      </c>
      <c r="X7" s="48">
        <f>'19.01.26см1'!Y7</f>
        <v>515900</v>
      </c>
      <c r="Y7" s="34">
        <f>X7+S17</f>
        <v>516291</v>
      </c>
      <c r="Z7" s="46">
        <f>Y7-X7</f>
        <v>391</v>
      </c>
      <c r="AA7" s="47">
        <v>4</v>
      </c>
      <c r="AB7" s="267">
        <v>0.375</v>
      </c>
      <c r="AC7" s="49" t="s">
        <v>30</v>
      </c>
      <c r="AD7" s="50">
        <v>41</v>
      </c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35.1</v>
      </c>
      <c r="Q8" s="29">
        <v>0</v>
      </c>
      <c r="R8" s="30">
        <v>31.370999999999999</v>
      </c>
      <c r="S8" s="30">
        <v>30</v>
      </c>
      <c r="T8" s="31">
        <v>8.8000000000000007</v>
      </c>
      <c r="U8" s="32">
        <f t="shared" si="1"/>
        <v>105.271</v>
      </c>
      <c r="V8" s="44">
        <v>6</v>
      </c>
      <c r="W8" s="37" t="s">
        <v>96</v>
      </c>
      <c r="X8" s="46">
        <f>'19.01.26см1'!Y8</f>
        <v>5104.619999999999</v>
      </c>
      <c r="Y8" s="34">
        <f>X8+T17</f>
        <v>5232.3499999999985</v>
      </c>
      <c r="Z8" s="46">
        <f>T17</f>
        <v>127.72999999999999</v>
      </c>
      <c r="AA8" s="47">
        <v>5</v>
      </c>
      <c r="AB8" s="268"/>
      <c r="AC8" s="51" t="s">
        <v>32</v>
      </c>
      <c r="AD8" s="52">
        <v>40</v>
      </c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38.9</v>
      </c>
      <c r="Q9" s="29">
        <v>0</v>
      </c>
      <c r="R9" s="30">
        <v>41.607999999999997</v>
      </c>
      <c r="S9" s="30">
        <v>32</v>
      </c>
      <c r="T9" s="31">
        <v>11.49</v>
      </c>
      <c r="U9" s="32">
        <f t="shared" si="1"/>
        <v>123.99799999999999</v>
      </c>
      <c r="V9" s="44">
        <v>5</v>
      </c>
      <c r="W9" s="37" t="s">
        <v>97</v>
      </c>
      <c r="X9" s="270" t="s">
        <v>34</v>
      </c>
      <c r="Y9" s="271"/>
      <c r="Z9" s="54">
        <f>SUM(Z5:Z8)</f>
        <v>1454.7709999999684</v>
      </c>
      <c r="AA9" s="55"/>
      <c r="AB9" s="268"/>
      <c r="AC9" s="51" t="s">
        <v>35</v>
      </c>
      <c r="AD9" s="52">
        <v>31</v>
      </c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41.8</v>
      </c>
      <c r="Q10" s="29">
        <v>0</v>
      </c>
      <c r="R10" s="30">
        <v>41.283999999999999</v>
      </c>
      <c r="S10" s="30">
        <v>33</v>
      </c>
      <c r="T10" s="31">
        <v>11.36</v>
      </c>
      <c r="U10" s="32">
        <f t="shared" si="1"/>
        <v>127.444</v>
      </c>
      <c r="V10" s="44">
        <v>4</v>
      </c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10</v>
      </c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39.1</v>
      </c>
      <c r="Q11" s="29">
        <v>0</v>
      </c>
      <c r="R11" s="30">
        <v>38.725999999999999</v>
      </c>
      <c r="S11" s="30">
        <v>31</v>
      </c>
      <c r="T11" s="31">
        <v>11.65</v>
      </c>
      <c r="U11" s="32">
        <f t="shared" si="1"/>
        <v>120.476</v>
      </c>
      <c r="V11" s="44">
        <v>2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42</v>
      </c>
      <c r="Q12" s="29">
        <v>0</v>
      </c>
      <c r="R12" s="30">
        <v>39.085000000000001</v>
      </c>
      <c r="S12" s="30">
        <v>31</v>
      </c>
      <c r="T12" s="31">
        <v>11.96</v>
      </c>
      <c r="U12" s="32">
        <f t="shared" si="1"/>
        <v>124.04500000000002</v>
      </c>
      <c r="V12" s="44">
        <v>8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>
        <v>40</v>
      </c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>
        <v>69</v>
      </c>
      <c r="C13" s="39">
        <v>65</v>
      </c>
      <c r="D13" s="39">
        <v>73</v>
      </c>
      <c r="E13" s="40">
        <v>66</v>
      </c>
      <c r="F13" s="41">
        <v>70</v>
      </c>
      <c r="G13" s="42">
        <v>41</v>
      </c>
      <c r="H13" s="41">
        <v>37</v>
      </c>
      <c r="I13" s="42">
        <v>41</v>
      </c>
      <c r="J13" s="41">
        <v>33</v>
      </c>
      <c r="K13" s="38">
        <v>56</v>
      </c>
      <c r="L13" s="43">
        <v>60</v>
      </c>
      <c r="M13" s="40">
        <v>46</v>
      </c>
      <c r="N13" s="42">
        <v>56</v>
      </c>
      <c r="O13" s="41">
        <v>77</v>
      </c>
      <c r="P13" s="53">
        <v>38.299999999999997</v>
      </c>
      <c r="Q13" s="29">
        <v>0</v>
      </c>
      <c r="R13" s="30">
        <v>38.424999999999997</v>
      </c>
      <c r="S13" s="30">
        <v>31</v>
      </c>
      <c r="T13" s="31">
        <v>11.13</v>
      </c>
      <c r="U13" s="32">
        <f t="shared" si="1"/>
        <v>118.85499999999999</v>
      </c>
      <c r="V13" s="44">
        <v>2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41</v>
      </c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41.9</v>
      </c>
      <c r="Q14" s="29">
        <v>0</v>
      </c>
      <c r="R14" s="30">
        <v>38.78</v>
      </c>
      <c r="S14" s="30">
        <v>37</v>
      </c>
      <c r="T14" s="31">
        <v>11.36</v>
      </c>
      <c r="U14" s="32">
        <f t="shared" si="1"/>
        <v>129.04000000000002</v>
      </c>
      <c r="V14" s="44">
        <v>6</v>
      </c>
      <c r="W14" s="37" t="s">
        <v>102</v>
      </c>
      <c r="X14" s="280">
        <v>0.41666666666666669</v>
      </c>
      <c r="Y14" s="207" t="s">
        <v>45</v>
      </c>
      <c r="Z14" s="69">
        <v>1.8</v>
      </c>
      <c r="AA14" s="70">
        <f>100-Z14</f>
        <v>98.2</v>
      </c>
      <c r="AB14" s="278"/>
      <c r="AC14" s="51" t="s">
        <v>35</v>
      </c>
      <c r="AD14" s="52">
        <v>31</v>
      </c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42.5</v>
      </c>
      <c r="Q15" s="29">
        <v>0</v>
      </c>
      <c r="R15" s="30">
        <v>42.628</v>
      </c>
      <c r="S15" s="30">
        <v>37</v>
      </c>
      <c r="T15" s="31">
        <v>12.12</v>
      </c>
      <c r="U15" s="32">
        <f t="shared" si="1"/>
        <v>134.24799999999999</v>
      </c>
      <c r="V15" s="44">
        <v>6</v>
      </c>
      <c r="W15" s="37" t="s">
        <v>103</v>
      </c>
      <c r="X15" s="281"/>
      <c r="Y15" s="71" t="s">
        <v>47</v>
      </c>
      <c r="Z15" s="72">
        <v>7.3</v>
      </c>
      <c r="AA15" s="73">
        <f>100-Z15</f>
        <v>92.7</v>
      </c>
      <c r="AB15" s="279"/>
      <c r="AC15" s="74" t="s">
        <v>37</v>
      </c>
      <c r="AD15" s="58">
        <v>10</v>
      </c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40.1</v>
      </c>
      <c r="Q16" s="29">
        <v>0</v>
      </c>
      <c r="R16" s="30">
        <v>43.162999999999997</v>
      </c>
      <c r="S16" s="30">
        <v>37</v>
      </c>
      <c r="T16" s="82">
        <v>10.77</v>
      </c>
      <c r="U16" s="32">
        <f t="shared" si="1"/>
        <v>131.03300000000002</v>
      </c>
      <c r="V16" s="83">
        <v>7</v>
      </c>
      <c r="W16" s="75" t="s">
        <v>104</v>
      </c>
      <c r="X16" s="281"/>
      <c r="Y16" s="71" t="s">
        <v>49</v>
      </c>
      <c r="Z16" s="72">
        <v>4.7</v>
      </c>
      <c r="AA16" s="73">
        <f>100-Z16</f>
        <v>95.3</v>
      </c>
      <c r="AB16" s="205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>
        <f>AVERAGE(B5:B15)</f>
        <v>69.5</v>
      </c>
      <c r="C17" s="88">
        <f>AVERAGE(C5:C16)</f>
        <v>65</v>
      </c>
      <c r="D17" s="88">
        <f>AVERAGE(D5:D15)</f>
        <v>74.5</v>
      </c>
      <c r="E17" s="88">
        <f>AVERAGE(E5:E15)</f>
        <v>63.5</v>
      </c>
      <c r="F17" s="88">
        <f>AVERAGE(F5:F15)</f>
        <v>66.5</v>
      </c>
      <c r="G17" s="88">
        <f>AVERAGE(G5:G16)</f>
        <v>41.5</v>
      </c>
      <c r="H17" s="88">
        <f>AVERAGE(H5:H16)</f>
        <v>37</v>
      </c>
      <c r="I17" s="88">
        <f t="shared" ref="I17:N17" si="2">AVERAGE(I5:I15)</f>
        <v>48.5</v>
      </c>
      <c r="J17" s="88">
        <f t="shared" si="2"/>
        <v>36.5</v>
      </c>
      <c r="K17" s="88">
        <f t="shared" si="2"/>
        <v>53.5</v>
      </c>
      <c r="L17" s="88">
        <f t="shared" si="2"/>
        <v>56</v>
      </c>
      <c r="M17" s="89">
        <f t="shared" si="2"/>
        <v>49</v>
      </c>
      <c r="N17" s="89">
        <f t="shared" si="2"/>
        <v>55</v>
      </c>
      <c r="O17" s="89">
        <f>AVERAGE(O5:O16)</f>
        <v>77</v>
      </c>
      <c r="P17" s="90">
        <f>SUM(P5:P16)</f>
        <v>470.1</v>
      </c>
      <c r="Q17" s="91">
        <f>SUM(Q5:Q16)</f>
        <v>0</v>
      </c>
      <c r="R17" s="92">
        <f>SUM(R5:R16)</f>
        <v>465.94099999999997</v>
      </c>
      <c r="S17" s="93">
        <f>SUM(S5:S16)</f>
        <v>391</v>
      </c>
      <c r="T17" s="93">
        <f>SUM(T5:T16)</f>
        <v>127.72999999999999</v>
      </c>
      <c r="U17" s="94">
        <f>SUM(P17:T17)</f>
        <v>1454.771</v>
      </c>
      <c r="V17" s="1">
        <f>SUM(V5:V16)</f>
        <v>55</v>
      </c>
      <c r="W17" s="4"/>
      <c r="X17" s="281"/>
      <c r="Y17" s="71" t="s">
        <v>51</v>
      </c>
      <c r="Z17" s="95">
        <v>2.7</v>
      </c>
      <c r="AA17" s="73">
        <f>100-Z17</f>
        <v>97.3</v>
      </c>
      <c r="AB17" s="283">
        <v>0.54166666666666663</v>
      </c>
      <c r="AC17" s="62" t="s">
        <v>30</v>
      </c>
      <c r="AD17" s="50">
        <v>40</v>
      </c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95.875</v>
      </c>
      <c r="AB18" s="278"/>
      <c r="AC18" s="51" t="s">
        <v>32</v>
      </c>
      <c r="AD18" s="52">
        <v>41</v>
      </c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351</v>
      </c>
      <c r="J19" s="259"/>
      <c r="K19" s="259"/>
      <c r="L19" s="260"/>
      <c r="M19" s="261" t="s">
        <v>57</v>
      </c>
      <c r="N19" s="262"/>
      <c r="O19" s="263"/>
      <c r="P19" s="105">
        <v>3.2</v>
      </c>
      <c r="Q19" s="106"/>
      <c r="R19" s="107">
        <v>2.2000000000000002</v>
      </c>
      <c r="S19" s="107">
        <v>2.1</v>
      </c>
      <c r="T19" s="107">
        <v>2.7</v>
      </c>
      <c r="U19" s="108">
        <f>(U17-U20)/U17*100</f>
        <v>2.5401669403638114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32</v>
      </c>
      <c r="AE19" s="11">
        <v>17</v>
      </c>
      <c r="AF19" s="12">
        <f t="shared" si="0"/>
        <v>3.1166666666666667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455.05680000000001</v>
      </c>
      <c r="Q20" s="113"/>
      <c r="R20" s="114">
        <f>(R17-(R17*R19/100))</f>
        <v>455.69029799999998</v>
      </c>
      <c r="S20" s="112">
        <f>(S17-(S17*S19/100))</f>
        <v>382.78899999999999</v>
      </c>
      <c r="T20" s="112">
        <f>(T17-(T17*T19/100))</f>
        <v>124.28128999999998</v>
      </c>
      <c r="U20" s="115">
        <f>P20+Q20+R20+S20+T20</f>
        <v>1417.8173879999999</v>
      </c>
      <c r="V20" s="4"/>
      <c r="W20" s="4"/>
      <c r="X20" s="281"/>
      <c r="Y20" s="207" t="s">
        <v>45</v>
      </c>
      <c r="Z20" s="69">
        <v>2</v>
      </c>
      <c r="AA20" s="70">
        <f>100-Z20</f>
        <v>98</v>
      </c>
      <c r="AB20" s="279"/>
      <c r="AC20" s="74" t="s">
        <v>37</v>
      </c>
      <c r="AD20" s="58">
        <v>10</v>
      </c>
      <c r="AE20" s="11">
        <v>18</v>
      </c>
      <c r="AF20" s="12">
        <f t="shared" si="0"/>
        <v>3.3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>
        <v>49</v>
      </c>
      <c r="K21" s="118"/>
      <c r="L21" s="119"/>
      <c r="M21" s="307" t="s">
        <v>63</v>
      </c>
      <c r="N21" s="308"/>
      <c r="O21" s="309"/>
      <c r="P21" s="120">
        <f>(U17-(U17*U19/100))</f>
        <v>1417.8173879999999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4.0999999999999996</v>
      </c>
      <c r="AA21" s="73">
        <f>100-Z21</f>
        <v>95.9</v>
      </c>
      <c r="AB21" s="205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51</v>
      </c>
      <c r="K22" s="316">
        <f>J22/I22*100</f>
        <v>51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3.3</v>
      </c>
      <c r="AA22" s="73">
        <f>100-Z22</f>
        <v>96.7</v>
      </c>
      <c r="AB22" s="283">
        <v>0.625</v>
      </c>
      <c r="AC22" s="49" t="s">
        <v>30</v>
      </c>
      <c r="AD22" s="50">
        <v>42</v>
      </c>
      <c r="AE22" s="11">
        <v>20</v>
      </c>
      <c r="AF22" s="12">
        <f t="shared" si="0"/>
        <v>3.6666666666666665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>
        <v>27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2.2000000000000002</v>
      </c>
      <c r="AA23" s="73">
        <f>100-Z23</f>
        <v>97.8</v>
      </c>
      <c r="AB23" s="278"/>
      <c r="AC23" s="51" t="s">
        <v>32</v>
      </c>
      <c r="AD23" s="52">
        <v>41</v>
      </c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73</v>
      </c>
      <c r="K24" s="316">
        <f>J24/I24*100</f>
        <v>73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97.100000000000009</v>
      </c>
      <c r="AB24" s="278"/>
      <c r="AC24" s="51" t="s">
        <v>35</v>
      </c>
      <c r="AD24" s="52">
        <v>31</v>
      </c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11</v>
      </c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07" t="s">
        <v>45</v>
      </c>
      <c r="Z26" s="69">
        <v>1.9</v>
      </c>
      <c r="AA26" s="70">
        <f>100-Z26</f>
        <v>98.1</v>
      </c>
      <c r="AB26" s="204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2.9</v>
      </c>
      <c r="AA27" s="73">
        <f>100-Z27</f>
        <v>97.1</v>
      </c>
      <c r="AB27" s="267">
        <v>0.70833333333333337</v>
      </c>
      <c r="AC27" s="62" t="s">
        <v>30</v>
      </c>
      <c r="AD27" s="50">
        <v>40</v>
      </c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 t="s">
        <v>287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 t="s">
        <v>65</v>
      </c>
      <c r="W28" s="4"/>
      <c r="X28" s="281"/>
      <c r="Y28" s="71" t="s">
        <v>49</v>
      </c>
      <c r="Z28" s="72">
        <v>3.1</v>
      </c>
      <c r="AA28" s="73">
        <f>100-Z28</f>
        <v>96.9</v>
      </c>
      <c r="AB28" s="268"/>
      <c r="AC28" s="67" t="s">
        <v>32</v>
      </c>
      <c r="AD28" s="52">
        <v>41</v>
      </c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45" t="s">
        <v>356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2.5</v>
      </c>
      <c r="AA29" s="73">
        <f>100-Z29</f>
        <v>97.5</v>
      </c>
      <c r="AB29" s="268"/>
      <c r="AC29" s="51" t="s">
        <v>35</v>
      </c>
      <c r="AD29" s="52">
        <v>31</v>
      </c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45" t="s">
        <v>357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97.4</v>
      </c>
      <c r="AB30" s="269"/>
      <c r="AC30" s="74" t="s">
        <v>37</v>
      </c>
      <c r="AD30" s="58">
        <v>10</v>
      </c>
      <c r="AE30" s="11">
        <v>28</v>
      </c>
      <c r="AF30" s="12">
        <f t="shared" si="0"/>
        <v>5.1333333333333337</v>
      </c>
    </row>
    <row r="31" spans="1:32" ht="19.5" thickBot="1" x14ac:dyDescent="0.35">
      <c r="A31" s="411" t="s">
        <v>61</v>
      </c>
      <c r="B31" s="412"/>
      <c r="C31" s="182">
        <v>0.38263888888888892</v>
      </c>
      <c r="D31" s="403" t="s">
        <v>354</v>
      </c>
      <c r="E31" s="404"/>
      <c r="F31" s="409" t="s">
        <v>355</v>
      </c>
      <c r="G31" s="410"/>
      <c r="H31" s="345" t="s">
        <v>353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 t="s">
        <v>352</v>
      </c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1.6</v>
      </c>
      <c r="AA32" s="70">
        <f>100-Z32</f>
        <v>98.4</v>
      </c>
      <c r="AB32" s="267">
        <v>0.79166666666666663</v>
      </c>
      <c r="AC32" s="62" t="s">
        <v>30</v>
      </c>
      <c r="AD32" s="50">
        <v>41</v>
      </c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>
        <v>2.1</v>
      </c>
      <c r="AA33" s="73">
        <f>100-Z33</f>
        <v>97.9</v>
      </c>
      <c r="AB33" s="268"/>
      <c r="AC33" s="51" t="s">
        <v>32</v>
      </c>
      <c r="AD33" s="52">
        <v>41</v>
      </c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2.2999999999999998</v>
      </c>
      <c r="AA34" s="73">
        <f>100-Z34</f>
        <v>97.7</v>
      </c>
      <c r="AB34" s="268"/>
      <c r="AC34" s="67" t="s">
        <v>35</v>
      </c>
      <c r="AD34" s="52">
        <v>37</v>
      </c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2</v>
      </c>
      <c r="AA35" s="73">
        <f>100-Z35</f>
        <v>98</v>
      </c>
      <c r="AB35" s="269"/>
      <c r="AC35" s="74" t="s">
        <v>37</v>
      </c>
      <c r="AD35" s="58">
        <v>12</v>
      </c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98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169</v>
      </c>
      <c r="E40" s="362"/>
      <c r="F40" s="363"/>
      <c r="G40" s="160"/>
      <c r="V40" s="4"/>
      <c r="W40" s="161"/>
      <c r="Y40" t="s">
        <v>78</v>
      </c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55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Y41" t="s">
        <v>78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>
        <v>46</v>
      </c>
      <c r="E42" s="386"/>
      <c r="F42" s="387"/>
      <c r="G42" s="160"/>
      <c r="H42" s="397" t="s">
        <v>88</v>
      </c>
      <c r="I42" s="398"/>
      <c r="J42" s="164">
        <v>9.36</v>
      </c>
      <c r="K42" s="399">
        <v>9.11</v>
      </c>
      <c r="L42" s="400"/>
      <c r="M42" s="164">
        <v>9.59</v>
      </c>
      <c r="N42" s="165">
        <v>9.6</v>
      </c>
      <c r="O42" s="165">
        <v>9.6300000000000008</v>
      </c>
      <c r="P42" s="165">
        <v>9.59</v>
      </c>
      <c r="Q42" s="401">
        <f>AVERAGE(J42:P43)</f>
        <v>9.4799999999999986</v>
      </c>
      <c r="R42" s="402"/>
      <c r="S42" s="166"/>
      <c r="T42" s="166"/>
      <c r="U42" s="4"/>
      <c r="W42" t="s">
        <v>65</v>
      </c>
      <c r="Y42" s="167" t="s">
        <v>65</v>
      </c>
      <c r="AB42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202" t="s">
        <v>89</v>
      </c>
      <c r="B43" s="203"/>
      <c r="C43" s="203"/>
      <c r="D43" s="386">
        <v>2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314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178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220" t="s">
        <v>92</v>
      </c>
      <c r="S44" s="220"/>
      <c r="T44" s="220"/>
      <c r="U44" s="220"/>
      <c r="V44" s="220"/>
      <c r="W44" s="220"/>
      <c r="X44" s="220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H29" sqref="H29:U29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28515625" customWidth="1"/>
    <col min="17" max="18" width="10.140625" customWidth="1"/>
    <col min="19" max="19" width="10" customWidth="1"/>
    <col min="20" max="20" width="9.710937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358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38.5</v>
      </c>
      <c r="Q5" s="29">
        <v>0</v>
      </c>
      <c r="R5" s="30">
        <v>38.581000000000003</v>
      </c>
      <c r="S5" s="30">
        <v>37</v>
      </c>
      <c r="T5" s="31">
        <v>11.49</v>
      </c>
      <c r="U5" s="32">
        <f>SUM(P5:T5)</f>
        <v>125.571</v>
      </c>
      <c r="V5" s="33">
        <v>1</v>
      </c>
      <c r="W5" s="21" t="s">
        <v>27</v>
      </c>
      <c r="X5" s="34">
        <f>'19.01.26см2'!Y5</f>
        <v>527045.5</v>
      </c>
      <c r="Y5" s="34">
        <f>X5+P17</f>
        <v>527533.69999999995</v>
      </c>
      <c r="Z5" s="35">
        <f>Y5-X5</f>
        <v>488.19999999995343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39.5</v>
      </c>
      <c r="Q6" s="29">
        <v>0</v>
      </c>
      <c r="R6" s="30">
        <v>40.439</v>
      </c>
      <c r="S6" s="30">
        <v>37</v>
      </c>
      <c r="T6" s="31">
        <v>12.16</v>
      </c>
      <c r="U6" s="32">
        <f t="shared" ref="U6:U16" si="1">SUM(P6:T6)</f>
        <v>129.09899999999999</v>
      </c>
      <c r="V6" s="44">
        <v>4</v>
      </c>
      <c r="W6" s="37" t="s">
        <v>28</v>
      </c>
      <c r="X6" s="45">
        <f>'19.01.26см2'!Y6</f>
        <v>824803.11400000018</v>
      </c>
      <c r="Y6" s="34">
        <f>X6+R17</f>
        <v>825296.84100000013</v>
      </c>
      <c r="Z6" s="46">
        <f>Y6-X6</f>
        <v>493.7269999999553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>
        <v>68</v>
      </c>
      <c r="C7" s="39">
        <v>64</v>
      </c>
      <c r="D7" s="39">
        <v>75</v>
      </c>
      <c r="E7" s="40">
        <v>65</v>
      </c>
      <c r="F7" s="41">
        <v>67</v>
      </c>
      <c r="G7" s="42">
        <v>42</v>
      </c>
      <c r="H7" s="41">
        <v>38</v>
      </c>
      <c r="I7" s="42">
        <v>40</v>
      </c>
      <c r="J7" s="41">
        <v>36</v>
      </c>
      <c r="K7" s="38">
        <v>52</v>
      </c>
      <c r="L7" s="43">
        <v>57</v>
      </c>
      <c r="M7" s="40">
        <v>49</v>
      </c>
      <c r="N7" s="42">
        <v>56</v>
      </c>
      <c r="O7" s="41">
        <v>72</v>
      </c>
      <c r="P7" s="28">
        <v>40.5</v>
      </c>
      <c r="Q7" s="29">
        <v>0</v>
      </c>
      <c r="R7" s="30">
        <v>40.628999999999998</v>
      </c>
      <c r="S7" s="30">
        <v>38</v>
      </c>
      <c r="T7" s="31">
        <v>12.6</v>
      </c>
      <c r="U7" s="32">
        <f t="shared" si="1"/>
        <v>131.72899999999998</v>
      </c>
      <c r="V7" s="44">
        <v>4</v>
      </c>
      <c r="W7" s="37" t="s">
        <v>29</v>
      </c>
      <c r="X7" s="48">
        <f>'19.01.26см2'!Y7</f>
        <v>516291</v>
      </c>
      <c r="Y7" s="34">
        <f>X7+S17</f>
        <v>516737</v>
      </c>
      <c r="Z7" s="46">
        <f>Y7-X7</f>
        <v>446</v>
      </c>
      <c r="AA7" s="47">
        <v>4</v>
      </c>
      <c r="AB7" s="267">
        <v>0.875</v>
      </c>
      <c r="AC7" s="49" t="s">
        <v>30</v>
      </c>
      <c r="AD7" s="50">
        <v>42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40.4</v>
      </c>
      <c r="Q8" s="29">
        <v>0</v>
      </c>
      <c r="R8" s="30">
        <v>41.246000000000002</v>
      </c>
      <c r="S8" s="30">
        <v>37</v>
      </c>
      <c r="T8" s="31">
        <v>11.61</v>
      </c>
      <c r="U8" s="32">
        <f t="shared" si="1"/>
        <v>130.256</v>
      </c>
      <c r="V8" s="44">
        <v>5</v>
      </c>
      <c r="W8" s="37" t="s">
        <v>31</v>
      </c>
      <c r="X8" s="46">
        <f>'19.01.26см2'!Y8</f>
        <v>5232.3499999999985</v>
      </c>
      <c r="Y8" s="34">
        <f>X8+T17</f>
        <v>5375.1899999999987</v>
      </c>
      <c r="Z8" s="46">
        <f>T17</f>
        <v>142.83999999999997</v>
      </c>
      <c r="AA8" s="47">
        <v>5</v>
      </c>
      <c r="AB8" s="268"/>
      <c r="AC8" s="51" t="s">
        <v>32</v>
      </c>
      <c r="AD8" s="52">
        <v>41</v>
      </c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40.1</v>
      </c>
      <c r="Q9" s="29">
        <v>0</v>
      </c>
      <c r="R9" s="30">
        <v>39.235999999999997</v>
      </c>
      <c r="S9" s="30">
        <v>38</v>
      </c>
      <c r="T9" s="31">
        <v>11.02</v>
      </c>
      <c r="U9" s="32">
        <f t="shared" si="1"/>
        <v>128.35599999999999</v>
      </c>
      <c r="V9" s="44">
        <v>2</v>
      </c>
      <c r="W9" s="37" t="s">
        <v>33</v>
      </c>
      <c r="X9" s="270" t="s">
        <v>34</v>
      </c>
      <c r="Y9" s="271"/>
      <c r="Z9" s="54">
        <f>SUM(Z5:Z8)</f>
        <v>1570.7669999999086</v>
      </c>
      <c r="AA9" s="55"/>
      <c r="AB9" s="268"/>
      <c r="AC9" s="51" t="s">
        <v>35</v>
      </c>
      <c r="AD9" s="52">
        <v>37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40.1</v>
      </c>
      <c r="Q10" s="29">
        <v>0</v>
      </c>
      <c r="R10" s="30">
        <v>40.051000000000002</v>
      </c>
      <c r="S10" s="30">
        <v>38</v>
      </c>
      <c r="T10" s="31">
        <v>11.94</v>
      </c>
      <c r="U10" s="32">
        <f t="shared" si="1"/>
        <v>130.09100000000001</v>
      </c>
      <c r="V10" s="44">
        <v>3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12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42.8</v>
      </c>
      <c r="Q11" s="29">
        <v>0</v>
      </c>
      <c r="R11" s="30">
        <v>34.308999999999997</v>
      </c>
      <c r="S11" s="30">
        <v>37</v>
      </c>
      <c r="T11" s="31">
        <v>12.22</v>
      </c>
      <c r="U11" s="32">
        <f t="shared" si="1"/>
        <v>126.32899999999999</v>
      </c>
      <c r="V11" s="44">
        <v>4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42.1</v>
      </c>
      <c r="Q12" s="29">
        <v>0</v>
      </c>
      <c r="R12" s="30">
        <v>40.86</v>
      </c>
      <c r="S12" s="30">
        <v>37</v>
      </c>
      <c r="T12" s="31">
        <v>12.29</v>
      </c>
      <c r="U12" s="32">
        <f t="shared" si="1"/>
        <v>132.25</v>
      </c>
      <c r="V12" s="44">
        <v>4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43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>
        <v>73</v>
      </c>
      <c r="C13" s="39">
        <v>65</v>
      </c>
      <c r="D13" s="39">
        <v>75</v>
      </c>
      <c r="E13" s="40">
        <v>72</v>
      </c>
      <c r="F13" s="41">
        <v>64</v>
      </c>
      <c r="G13" s="42">
        <v>52</v>
      </c>
      <c r="H13" s="41">
        <v>42</v>
      </c>
      <c r="I13" s="42">
        <v>36</v>
      </c>
      <c r="J13" s="41">
        <v>38</v>
      </c>
      <c r="K13" s="38">
        <v>67</v>
      </c>
      <c r="L13" s="43">
        <v>62</v>
      </c>
      <c r="M13" s="40">
        <v>57</v>
      </c>
      <c r="N13" s="42">
        <v>48</v>
      </c>
      <c r="O13" s="41">
        <v>67</v>
      </c>
      <c r="P13" s="53">
        <v>40.200000000000003</v>
      </c>
      <c r="Q13" s="29">
        <v>0</v>
      </c>
      <c r="R13" s="30">
        <v>41.371000000000002</v>
      </c>
      <c r="S13" s="30">
        <v>37</v>
      </c>
      <c r="T13" s="31">
        <v>11.8</v>
      </c>
      <c r="U13" s="32">
        <f t="shared" si="1"/>
        <v>130.37100000000001</v>
      </c>
      <c r="V13" s="44">
        <v>6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44</v>
      </c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41.2</v>
      </c>
      <c r="Q14" s="29">
        <v>0</v>
      </c>
      <c r="R14" s="30">
        <v>44.003999999999998</v>
      </c>
      <c r="S14" s="30">
        <v>37</v>
      </c>
      <c r="T14" s="31">
        <v>11.71</v>
      </c>
      <c r="U14" s="32">
        <f t="shared" si="1"/>
        <v>133.91400000000002</v>
      </c>
      <c r="V14" s="44">
        <v>5</v>
      </c>
      <c r="W14" s="37" t="s">
        <v>44</v>
      </c>
      <c r="X14" s="280">
        <v>0.91666666666666663</v>
      </c>
      <c r="Y14" s="210" t="s">
        <v>45</v>
      </c>
      <c r="Z14" s="69">
        <v>0.5</v>
      </c>
      <c r="AA14" s="70">
        <f>100-Z14</f>
        <v>99.5</v>
      </c>
      <c r="AB14" s="278"/>
      <c r="AC14" s="51" t="s">
        <v>35</v>
      </c>
      <c r="AD14" s="52">
        <v>33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41.6</v>
      </c>
      <c r="Q15" s="29">
        <v>0</v>
      </c>
      <c r="R15" s="30">
        <v>47.395000000000003</v>
      </c>
      <c r="S15" s="30">
        <v>38</v>
      </c>
      <c r="T15" s="31">
        <v>12.49</v>
      </c>
      <c r="U15" s="32">
        <f t="shared" si="1"/>
        <v>139.48500000000001</v>
      </c>
      <c r="V15" s="44">
        <v>4</v>
      </c>
      <c r="W15" s="37" t="s">
        <v>46</v>
      </c>
      <c r="X15" s="281"/>
      <c r="Y15" s="71" t="s">
        <v>47</v>
      </c>
      <c r="Z15" s="72">
        <v>0.6</v>
      </c>
      <c r="AA15" s="73">
        <f>100-Z15</f>
        <v>99.4</v>
      </c>
      <c r="AB15" s="279"/>
      <c r="AC15" s="74" t="s">
        <v>37</v>
      </c>
      <c r="AD15" s="58">
        <v>12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41.2</v>
      </c>
      <c r="Q16" s="29">
        <v>0</v>
      </c>
      <c r="R16" s="30">
        <v>45.606000000000002</v>
      </c>
      <c r="S16" s="30">
        <v>35</v>
      </c>
      <c r="T16" s="82">
        <v>11.51</v>
      </c>
      <c r="U16" s="32">
        <f t="shared" si="1"/>
        <v>133.316</v>
      </c>
      <c r="V16" s="83">
        <v>7</v>
      </c>
      <c r="W16" s="75" t="s">
        <v>48</v>
      </c>
      <c r="X16" s="281"/>
      <c r="Y16" s="71" t="s">
        <v>49</v>
      </c>
      <c r="Z16" s="72">
        <v>0.4</v>
      </c>
      <c r="AA16" s="73">
        <f>100-Z16</f>
        <v>99.6</v>
      </c>
      <c r="AB16" s="205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70.5</v>
      </c>
      <c r="C17" s="88">
        <f>AVERAGE(C5:C16)</f>
        <v>64.5</v>
      </c>
      <c r="D17" s="88">
        <f>AVERAGE(D5:D15)</f>
        <v>75</v>
      </c>
      <c r="E17" s="88">
        <f>AVERAGE(E5:E15)</f>
        <v>68.5</v>
      </c>
      <c r="F17" s="88">
        <f>AVERAGE(F5:F15)</f>
        <v>65.5</v>
      </c>
      <c r="G17" s="88">
        <f>AVERAGE(G5:G16)</f>
        <v>47</v>
      </c>
      <c r="H17" s="88">
        <f>AVERAGE(H5:H16)</f>
        <v>40</v>
      </c>
      <c r="I17" s="88">
        <f t="shared" ref="I17:N17" si="2">AVERAGE(I5:I15)</f>
        <v>38</v>
      </c>
      <c r="J17" s="88">
        <f t="shared" si="2"/>
        <v>37</v>
      </c>
      <c r="K17" s="88">
        <f t="shared" si="2"/>
        <v>59.5</v>
      </c>
      <c r="L17" s="88">
        <f t="shared" si="2"/>
        <v>59.5</v>
      </c>
      <c r="M17" s="89">
        <f t="shared" si="2"/>
        <v>53</v>
      </c>
      <c r="N17" s="89">
        <f t="shared" si="2"/>
        <v>52</v>
      </c>
      <c r="O17" s="89">
        <f>AVERAGE(O5:O16)</f>
        <v>69.5</v>
      </c>
      <c r="P17" s="90">
        <f>SUM(P5:P16)</f>
        <v>488.2</v>
      </c>
      <c r="Q17" s="91">
        <f>SUM(Q5:Q16)</f>
        <v>0</v>
      </c>
      <c r="R17" s="92">
        <f>SUM(R5:R16)</f>
        <v>493.72699999999998</v>
      </c>
      <c r="S17" s="93">
        <f>SUM(S5:S16)</f>
        <v>446</v>
      </c>
      <c r="T17" s="93">
        <f>SUM(T5:T16)</f>
        <v>142.83999999999997</v>
      </c>
      <c r="U17" s="94">
        <f>SUM(P17:T17)</f>
        <v>1570.7669999999998</v>
      </c>
      <c r="V17" s="1">
        <f>SUM(V5:V16)</f>
        <v>49</v>
      </c>
      <c r="W17" s="4"/>
      <c r="X17" s="281"/>
      <c r="Y17" s="71" t="s">
        <v>51</v>
      </c>
      <c r="Z17" s="72">
        <v>0.3</v>
      </c>
      <c r="AA17" s="73">
        <f>100-Z17</f>
        <v>99.7</v>
      </c>
      <c r="AB17" s="283">
        <v>4.1666666666666664E-2</v>
      </c>
      <c r="AC17" s="62" t="s">
        <v>30</v>
      </c>
      <c r="AD17" s="50">
        <v>43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99.55</v>
      </c>
      <c r="AB18" s="278"/>
      <c r="AC18" s="51" t="s">
        <v>32</v>
      </c>
      <c r="AD18" s="52">
        <v>43</v>
      </c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359</v>
      </c>
      <c r="J19" s="259"/>
      <c r="K19" s="259"/>
      <c r="L19" s="260"/>
      <c r="M19" s="261" t="s">
        <v>57</v>
      </c>
      <c r="N19" s="262"/>
      <c r="O19" s="263"/>
      <c r="P19" s="105">
        <v>2.2999999999999998</v>
      </c>
      <c r="Q19" s="106"/>
      <c r="R19" s="107">
        <v>2.1</v>
      </c>
      <c r="S19" s="107">
        <v>1.8</v>
      </c>
      <c r="T19" s="107">
        <v>2.5</v>
      </c>
      <c r="U19" s="108">
        <f>(U17-U20)/U17*100</f>
        <v>2.1133539856643226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38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30</v>
      </c>
      <c r="B20" s="295"/>
      <c r="C20" s="44">
        <v>60</v>
      </c>
      <c r="D20" s="296">
        <v>0.1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476.97140000000002</v>
      </c>
      <c r="Q20" s="113"/>
      <c r="R20" s="114">
        <f>(R17-(R17*R19/100))</f>
        <v>483.35873299999997</v>
      </c>
      <c r="S20" s="112">
        <f>(S17-(S17*S19/100))</f>
        <v>437.97199999999998</v>
      </c>
      <c r="T20" s="112">
        <f>(T17-(T17*T19/100))</f>
        <v>139.26899999999998</v>
      </c>
      <c r="U20" s="115">
        <f>P20+Q20+R20+S20+T20</f>
        <v>1537.5711329999999</v>
      </c>
      <c r="V20" s="4"/>
      <c r="W20" s="4"/>
      <c r="X20" s="281"/>
      <c r="Y20" s="210" t="s">
        <v>45</v>
      </c>
      <c r="Z20" s="69">
        <v>1.8</v>
      </c>
      <c r="AA20" s="70">
        <f>100-Z20</f>
        <v>98.2</v>
      </c>
      <c r="AB20" s="279"/>
      <c r="AC20" s="74" t="s">
        <v>37</v>
      </c>
      <c r="AD20" s="58">
        <v>12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61</v>
      </c>
      <c r="B21" s="295"/>
      <c r="C21" s="44">
        <v>20</v>
      </c>
      <c r="D21" s="296">
        <v>0.1</v>
      </c>
      <c r="E21" s="297"/>
      <c r="F21" s="298" t="s">
        <v>58</v>
      </c>
      <c r="G21" s="299"/>
      <c r="H21" s="96"/>
      <c r="I21" s="116" t="s">
        <v>62</v>
      </c>
      <c r="J21" s="117">
        <v>46</v>
      </c>
      <c r="K21" s="118"/>
      <c r="L21" s="119"/>
      <c r="M21" s="307" t="s">
        <v>63</v>
      </c>
      <c r="N21" s="308"/>
      <c r="O21" s="309"/>
      <c r="P21" s="120">
        <f>(U17-(U17*U19/100))</f>
        <v>1537.5711329999999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0.4</v>
      </c>
      <c r="AA21" s="73">
        <f>100-Z21</f>
        <v>99.6</v>
      </c>
      <c r="AB21" s="205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32</v>
      </c>
      <c r="B22" s="295"/>
      <c r="C22" s="44">
        <v>60</v>
      </c>
      <c r="D22" s="296">
        <v>0.1</v>
      </c>
      <c r="E22" s="297"/>
      <c r="F22" s="298" t="s">
        <v>58</v>
      </c>
      <c r="G22" s="299"/>
      <c r="H22" s="4"/>
      <c r="I22" s="125">
        <v>100</v>
      </c>
      <c r="J22" s="126">
        <f>I22-J21</f>
        <v>54</v>
      </c>
      <c r="K22" s="316">
        <f>J22/I22*100</f>
        <v>54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0.5</v>
      </c>
      <c r="AA22" s="73">
        <f>100-Z22</f>
        <v>99.5</v>
      </c>
      <c r="AB22" s="283">
        <v>0.125</v>
      </c>
      <c r="AC22" s="49" t="s">
        <v>30</v>
      </c>
      <c r="AD22" s="50">
        <v>43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 t="s">
        <v>35</v>
      </c>
      <c r="B23" s="295"/>
      <c r="C23" s="44">
        <v>60</v>
      </c>
      <c r="D23" s="296">
        <v>0.2</v>
      </c>
      <c r="E23" s="297"/>
      <c r="F23" s="298" t="s">
        <v>58</v>
      </c>
      <c r="G23" s="299"/>
      <c r="H23" s="4"/>
      <c r="I23" s="133" t="s">
        <v>66</v>
      </c>
      <c r="J23" s="134">
        <v>24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1.6</v>
      </c>
      <c r="AA23" s="73">
        <f>100-Z23</f>
        <v>98.4</v>
      </c>
      <c r="AB23" s="278"/>
      <c r="AC23" s="51" t="s">
        <v>32</v>
      </c>
      <c r="AD23" s="52">
        <v>43</v>
      </c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76</v>
      </c>
      <c r="K24" s="316">
        <f>J24/I24*100</f>
        <v>76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98.925000000000011</v>
      </c>
      <c r="AB24" s="278"/>
      <c r="AC24" s="51" t="s">
        <v>35</v>
      </c>
      <c r="AD24" s="52">
        <v>37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11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>
        <v>0.6</v>
      </c>
      <c r="AA26" s="70">
        <f>100-Z26</f>
        <v>99.4</v>
      </c>
      <c r="AB26" s="204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0.5</v>
      </c>
      <c r="AA27" s="73">
        <f>100-Z27</f>
        <v>99.5</v>
      </c>
      <c r="AB27" s="267">
        <v>0.20833333333333334</v>
      </c>
      <c r="AC27" s="62" t="s">
        <v>30</v>
      </c>
      <c r="AD27" s="50">
        <v>42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 t="s">
        <v>287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0.7</v>
      </c>
      <c r="AA28" s="73">
        <f>100-Z28</f>
        <v>99.3</v>
      </c>
      <c r="AB28" s="268"/>
      <c r="AC28" s="67" t="s">
        <v>32</v>
      </c>
      <c r="AD28" s="52">
        <v>42</v>
      </c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56" t="s">
        <v>360</v>
      </c>
      <c r="I29" s="357"/>
      <c r="J29" s="357"/>
      <c r="K29" s="357"/>
      <c r="L29" s="357"/>
      <c r="M29" s="357"/>
      <c r="N29" s="357"/>
      <c r="O29" s="357"/>
      <c r="P29" s="357"/>
      <c r="Q29" s="357"/>
      <c r="R29" s="357"/>
      <c r="S29" s="357"/>
      <c r="T29" s="357"/>
      <c r="U29" s="358"/>
      <c r="V29" s="4"/>
      <c r="W29" s="4"/>
      <c r="X29" s="281"/>
      <c r="Y29" s="71" t="s">
        <v>51</v>
      </c>
      <c r="Z29" s="145">
        <v>0.7</v>
      </c>
      <c r="AA29" s="73">
        <f>100-Z29</f>
        <v>99.3</v>
      </c>
      <c r="AB29" s="268"/>
      <c r="AC29" s="51" t="s">
        <v>35</v>
      </c>
      <c r="AD29" s="52">
        <v>37</v>
      </c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99.375</v>
      </c>
      <c r="AB30" s="269"/>
      <c r="AC30" s="74" t="s">
        <v>37</v>
      </c>
      <c r="AD30" s="58">
        <v>12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0.5</v>
      </c>
      <c r="AA32" s="70">
        <f>100-Z32</f>
        <v>99.5</v>
      </c>
      <c r="AB32" s="267">
        <v>0.29166666666666669</v>
      </c>
      <c r="AC32" s="62" t="s">
        <v>30</v>
      </c>
      <c r="AD32" s="50">
        <v>42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>
        <v>0.9</v>
      </c>
      <c r="AA33" s="73">
        <f>100-Z33</f>
        <v>99.1</v>
      </c>
      <c r="AB33" s="268"/>
      <c r="AC33" s="51" t="s">
        <v>32</v>
      </c>
      <c r="AD33" s="52">
        <v>44</v>
      </c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0.6</v>
      </c>
      <c r="AA34" s="73">
        <f>100-Z34</f>
        <v>99.4</v>
      </c>
      <c r="AB34" s="268"/>
      <c r="AC34" s="67" t="s">
        <v>35</v>
      </c>
      <c r="AD34" s="52">
        <v>38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0.9</v>
      </c>
      <c r="AA35" s="73">
        <f>100-Z35</f>
        <v>99.1</v>
      </c>
      <c r="AB35" s="269"/>
      <c r="AC35" s="74" t="s">
        <v>37</v>
      </c>
      <c r="AD35" s="58">
        <v>12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99.275000000000006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f>'19.01.26см2'!D44:F44</f>
        <v>178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49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>
        <v>80</v>
      </c>
      <c r="E42" s="386"/>
      <c r="F42" s="387"/>
      <c r="G42" s="160"/>
      <c r="H42" s="397" t="s">
        <v>88</v>
      </c>
      <c r="I42" s="398"/>
      <c r="J42" s="164">
        <v>9.44</v>
      </c>
      <c r="K42" s="399">
        <v>9.59</v>
      </c>
      <c r="L42" s="400"/>
      <c r="M42" s="164">
        <v>9.3699999999999992</v>
      </c>
      <c r="N42" s="165">
        <v>9.41</v>
      </c>
      <c r="O42" s="165">
        <v>9.3800000000000008</v>
      </c>
      <c r="P42" s="165">
        <v>9.48</v>
      </c>
      <c r="Q42" s="401">
        <f>AVERAGE(J42:P43)</f>
        <v>9.4450000000000003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202" t="s">
        <v>89</v>
      </c>
      <c r="B43" s="203"/>
      <c r="C43" s="203"/>
      <c r="D43" s="386">
        <v>4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308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147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309</v>
      </c>
      <c r="S44" s="427"/>
      <c r="T44" s="427"/>
      <c r="U44" s="427"/>
      <c r="V44" s="427"/>
      <c r="W44" s="211"/>
      <c r="X44" s="211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P19" sqref="P19:T19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85546875" customWidth="1"/>
    <col min="19" max="19" width="10.140625" customWidth="1"/>
    <col min="20" max="20" width="10.28515625" customWidth="1"/>
    <col min="21" max="23" width="10.7109375" customWidth="1"/>
    <col min="24" max="24" width="18.710937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358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32.700000000000003</v>
      </c>
      <c r="Q5" s="29">
        <v>0</v>
      </c>
      <c r="R5" s="30">
        <v>30.867999999999999</v>
      </c>
      <c r="S5" s="30">
        <v>35</v>
      </c>
      <c r="T5" s="31">
        <v>10.79</v>
      </c>
      <c r="U5" s="32">
        <f>SUM(P5:T5)</f>
        <v>109.358</v>
      </c>
      <c r="V5" s="33"/>
      <c r="W5" s="21" t="s">
        <v>93</v>
      </c>
      <c r="X5" s="34">
        <f>'20.01.26см1'!Y5</f>
        <v>527533.69999999995</v>
      </c>
      <c r="Y5" s="34">
        <f>X5+P17</f>
        <v>527883.89999999991</v>
      </c>
      <c r="Z5" s="35">
        <f>Y5-X5</f>
        <v>350.19999999995343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31</v>
      </c>
      <c r="Q6" s="29">
        <v>0</v>
      </c>
      <c r="R6" s="30">
        <v>44.677999999999997</v>
      </c>
      <c r="S6" s="30">
        <v>36</v>
      </c>
      <c r="T6" s="31">
        <v>11.12</v>
      </c>
      <c r="U6" s="32">
        <f t="shared" ref="U6:U16" si="1">SUM(P6:T6)</f>
        <v>122.798</v>
      </c>
      <c r="V6" s="44">
        <v>5</v>
      </c>
      <c r="W6" s="37" t="s">
        <v>94</v>
      </c>
      <c r="X6" s="45">
        <f>'20.01.26см1'!Y6</f>
        <v>825296.84100000013</v>
      </c>
      <c r="Y6" s="34">
        <f>X6+R17</f>
        <v>825819.48300000012</v>
      </c>
      <c r="Z6" s="46">
        <f>Y6-X6</f>
        <v>522.64199999999255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>
        <v>72</v>
      </c>
      <c r="C7" s="39">
        <v>62</v>
      </c>
      <c r="D7" s="39">
        <v>72</v>
      </c>
      <c r="E7" s="40">
        <v>71</v>
      </c>
      <c r="F7" s="41">
        <v>62</v>
      </c>
      <c r="G7" s="42">
        <v>44</v>
      </c>
      <c r="H7" s="41">
        <v>36</v>
      </c>
      <c r="I7" s="42">
        <v>46</v>
      </c>
      <c r="J7" s="41">
        <v>41</v>
      </c>
      <c r="K7" s="38"/>
      <c r="L7" s="43">
        <v>57</v>
      </c>
      <c r="M7" s="40">
        <v>53</v>
      </c>
      <c r="N7" s="42">
        <v>50</v>
      </c>
      <c r="O7" s="41">
        <v>79</v>
      </c>
      <c r="P7" s="28">
        <v>32.6</v>
      </c>
      <c r="Q7" s="29">
        <v>0</v>
      </c>
      <c r="R7" s="30">
        <v>49.320999999999998</v>
      </c>
      <c r="S7" s="30">
        <v>37</v>
      </c>
      <c r="T7" s="31">
        <v>11.7</v>
      </c>
      <c r="U7" s="32">
        <f t="shared" si="1"/>
        <v>130.62099999999998</v>
      </c>
      <c r="V7" s="44">
        <v>3</v>
      </c>
      <c r="W7" s="37" t="s">
        <v>95</v>
      </c>
      <c r="X7" s="48">
        <f>'20.01.26см1'!Y7</f>
        <v>516737</v>
      </c>
      <c r="Y7" s="34">
        <f>X7+S17</f>
        <v>517168</v>
      </c>
      <c r="Z7" s="46">
        <f>Y7-X7</f>
        <v>431</v>
      </c>
      <c r="AA7" s="47">
        <v>4</v>
      </c>
      <c r="AB7" s="267">
        <v>0.375</v>
      </c>
      <c r="AC7" s="49" t="s">
        <v>30</v>
      </c>
      <c r="AD7" s="50">
        <v>36</v>
      </c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32.700000000000003</v>
      </c>
      <c r="Q8" s="29">
        <v>0</v>
      </c>
      <c r="R8" s="30">
        <v>45.460999999999999</v>
      </c>
      <c r="S8" s="30">
        <v>37</v>
      </c>
      <c r="T8" s="31">
        <v>11.68</v>
      </c>
      <c r="U8" s="32">
        <f t="shared" si="1"/>
        <v>126.84100000000001</v>
      </c>
      <c r="V8" s="44">
        <v>4</v>
      </c>
      <c r="W8" s="37" t="s">
        <v>96</v>
      </c>
      <c r="X8" s="46">
        <f>'20.01.26см1'!Y8</f>
        <v>5375.1899999999987</v>
      </c>
      <c r="Y8" s="34">
        <f>X8+T17</f>
        <v>5515.9399999999987</v>
      </c>
      <c r="Z8" s="46">
        <f>T17</f>
        <v>140.75</v>
      </c>
      <c r="AA8" s="47">
        <v>5</v>
      </c>
      <c r="AB8" s="268"/>
      <c r="AC8" s="51" t="s">
        <v>32</v>
      </c>
      <c r="AD8" s="52">
        <v>39</v>
      </c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33</v>
      </c>
      <c r="Q9" s="29">
        <v>0</v>
      </c>
      <c r="R9" s="30">
        <v>42.874000000000002</v>
      </c>
      <c r="S9" s="30">
        <v>35</v>
      </c>
      <c r="T9" s="31">
        <v>10.5</v>
      </c>
      <c r="U9" s="32">
        <f t="shared" si="1"/>
        <v>121.374</v>
      </c>
      <c r="V9" s="44">
        <v>5</v>
      </c>
      <c r="W9" s="37" t="s">
        <v>97</v>
      </c>
      <c r="X9" s="270" t="s">
        <v>34</v>
      </c>
      <c r="Y9" s="271"/>
      <c r="Z9" s="54">
        <f>SUM(Z5:Z8)</f>
        <v>1444.591999999946</v>
      </c>
      <c r="AA9" s="55"/>
      <c r="AB9" s="268"/>
      <c r="AC9" s="51" t="s">
        <v>35</v>
      </c>
      <c r="AD9" s="52">
        <v>35</v>
      </c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31.8</v>
      </c>
      <c r="Q10" s="29">
        <v>0</v>
      </c>
      <c r="R10" s="30">
        <v>45.350999999999999</v>
      </c>
      <c r="S10" s="30">
        <v>36</v>
      </c>
      <c r="T10" s="31">
        <v>12.44</v>
      </c>
      <c r="U10" s="32">
        <f t="shared" si="1"/>
        <v>125.59099999999999</v>
      </c>
      <c r="V10" s="44">
        <v>4</v>
      </c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>
        <v>10</v>
      </c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17</v>
      </c>
      <c r="Q11" s="29">
        <v>0</v>
      </c>
      <c r="R11" s="30">
        <v>47.415999999999997</v>
      </c>
      <c r="S11" s="30">
        <v>35</v>
      </c>
      <c r="T11" s="31">
        <v>12.65</v>
      </c>
      <c r="U11" s="32">
        <f t="shared" si="1"/>
        <v>112.066</v>
      </c>
      <c r="V11" s="44">
        <v>5</v>
      </c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0</v>
      </c>
      <c r="Q12" s="29">
        <v>0</v>
      </c>
      <c r="R12" s="30">
        <v>48.908000000000001</v>
      </c>
      <c r="S12" s="30">
        <v>36</v>
      </c>
      <c r="T12" s="31">
        <v>12.19</v>
      </c>
      <c r="U12" s="32">
        <f t="shared" si="1"/>
        <v>97.097999999999999</v>
      </c>
      <c r="V12" s="44">
        <v>3</v>
      </c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>
        <v>34</v>
      </c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>
        <v>69</v>
      </c>
      <c r="C13" s="39">
        <v>66</v>
      </c>
      <c r="D13" s="39">
        <v>75</v>
      </c>
      <c r="E13" s="40">
        <v>68</v>
      </c>
      <c r="F13" s="41">
        <v>68</v>
      </c>
      <c r="G13" s="42">
        <v>39</v>
      </c>
      <c r="H13" s="41">
        <v>29</v>
      </c>
      <c r="I13" s="42">
        <v>43</v>
      </c>
      <c r="J13" s="41">
        <v>35</v>
      </c>
      <c r="K13" s="38">
        <v>45</v>
      </c>
      <c r="L13" s="43">
        <v>55</v>
      </c>
      <c r="M13" s="40">
        <v>49</v>
      </c>
      <c r="N13" s="42">
        <v>55</v>
      </c>
      <c r="O13" s="41">
        <v>79</v>
      </c>
      <c r="P13" s="53">
        <v>20.3</v>
      </c>
      <c r="Q13" s="29">
        <v>0</v>
      </c>
      <c r="R13" s="30">
        <v>48.517000000000003</v>
      </c>
      <c r="S13" s="30">
        <v>36</v>
      </c>
      <c r="T13" s="31">
        <v>12.29</v>
      </c>
      <c r="U13" s="32">
        <f t="shared" si="1"/>
        <v>117.107</v>
      </c>
      <c r="V13" s="44">
        <v>2</v>
      </c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44</v>
      </c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38.6</v>
      </c>
      <c r="Q14" s="29">
        <v>0</v>
      </c>
      <c r="R14" s="30">
        <v>46.042000000000002</v>
      </c>
      <c r="S14" s="30">
        <v>36</v>
      </c>
      <c r="T14" s="31">
        <v>12.29</v>
      </c>
      <c r="U14" s="32">
        <f t="shared" si="1"/>
        <v>132.93199999999999</v>
      </c>
      <c r="V14" s="44">
        <v>3</v>
      </c>
      <c r="W14" s="37" t="s">
        <v>102</v>
      </c>
      <c r="X14" s="280">
        <v>0.41666666666666669</v>
      </c>
      <c r="Y14" s="207" t="s">
        <v>45</v>
      </c>
      <c r="Z14" s="69">
        <v>1.4</v>
      </c>
      <c r="AA14" s="70">
        <f>100-Z14</f>
        <v>98.6</v>
      </c>
      <c r="AB14" s="278"/>
      <c r="AC14" s="51" t="s">
        <v>35</v>
      </c>
      <c r="AD14" s="52">
        <v>37</v>
      </c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41.1</v>
      </c>
      <c r="Q15" s="29">
        <v>0</v>
      </c>
      <c r="R15" s="30">
        <v>37.006</v>
      </c>
      <c r="S15" s="30">
        <v>36</v>
      </c>
      <c r="T15" s="31">
        <v>11.74</v>
      </c>
      <c r="U15" s="32">
        <f t="shared" si="1"/>
        <v>125.84599999999999</v>
      </c>
      <c r="V15" s="44">
        <v>6</v>
      </c>
      <c r="W15" s="37" t="s">
        <v>103</v>
      </c>
      <c r="X15" s="281"/>
      <c r="Y15" s="71" t="s">
        <v>47</v>
      </c>
      <c r="Z15" s="72">
        <v>2.7</v>
      </c>
      <c r="AA15" s="73">
        <f>100-Z15</f>
        <v>97.3</v>
      </c>
      <c r="AB15" s="279"/>
      <c r="AC15" s="74" t="s">
        <v>37</v>
      </c>
      <c r="AD15" s="58">
        <v>10</v>
      </c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39.4</v>
      </c>
      <c r="Q16" s="29">
        <v>0</v>
      </c>
      <c r="R16" s="30">
        <v>36.200000000000003</v>
      </c>
      <c r="S16" s="30">
        <v>36</v>
      </c>
      <c r="T16" s="82">
        <v>11.36</v>
      </c>
      <c r="U16" s="32">
        <f t="shared" si="1"/>
        <v>122.96</v>
      </c>
      <c r="V16" s="83">
        <v>6</v>
      </c>
      <c r="W16" s="75" t="s">
        <v>104</v>
      </c>
      <c r="X16" s="281"/>
      <c r="Y16" s="71" t="s">
        <v>49</v>
      </c>
      <c r="Z16" s="72">
        <v>2.1</v>
      </c>
      <c r="AA16" s="73">
        <f>100-Z16</f>
        <v>97.9</v>
      </c>
      <c r="AB16" s="205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>
        <f>AVERAGE(B5:B15)</f>
        <v>70.5</v>
      </c>
      <c r="C17" s="88">
        <f>AVERAGE(C5:C16)</f>
        <v>64</v>
      </c>
      <c r="D17" s="88">
        <f>AVERAGE(D5:D15)</f>
        <v>73.5</v>
      </c>
      <c r="E17" s="88">
        <f>AVERAGE(E5:E15)</f>
        <v>69.5</v>
      </c>
      <c r="F17" s="88">
        <f>AVERAGE(F5:F15)</f>
        <v>65</v>
      </c>
      <c r="G17" s="88">
        <f>AVERAGE(G5:G16)</f>
        <v>41.5</v>
      </c>
      <c r="H17" s="88">
        <f>AVERAGE(H5:H16)</f>
        <v>32.5</v>
      </c>
      <c r="I17" s="88">
        <f t="shared" ref="I17:N17" si="2">AVERAGE(I5:I15)</f>
        <v>44.5</v>
      </c>
      <c r="J17" s="88">
        <f t="shared" si="2"/>
        <v>38</v>
      </c>
      <c r="K17" s="88">
        <f t="shared" si="2"/>
        <v>45</v>
      </c>
      <c r="L17" s="88">
        <f t="shared" si="2"/>
        <v>56</v>
      </c>
      <c r="M17" s="89">
        <f t="shared" si="2"/>
        <v>51</v>
      </c>
      <c r="N17" s="89">
        <f t="shared" si="2"/>
        <v>52.5</v>
      </c>
      <c r="O17" s="89">
        <f>AVERAGE(O5:O16)</f>
        <v>79</v>
      </c>
      <c r="P17" s="90">
        <f>SUM(P5:P16)</f>
        <v>350.20000000000005</v>
      </c>
      <c r="Q17" s="91">
        <f>SUM(Q5:Q16)</f>
        <v>0</v>
      </c>
      <c r="R17" s="92">
        <f>SUM(R5:R16)</f>
        <v>522.64200000000005</v>
      </c>
      <c r="S17" s="93">
        <f>SUM(S5:S16)</f>
        <v>431</v>
      </c>
      <c r="T17" s="93">
        <f>SUM(T5:T16)</f>
        <v>140.75</v>
      </c>
      <c r="U17" s="94">
        <f>SUM(P17:T17)</f>
        <v>1444.5920000000001</v>
      </c>
      <c r="V17" s="1">
        <f>SUM(V5:V16)</f>
        <v>46</v>
      </c>
      <c r="W17" s="4"/>
      <c r="X17" s="281"/>
      <c r="Y17" s="71" t="s">
        <v>51</v>
      </c>
      <c r="Z17" s="95">
        <v>3.3</v>
      </c>
      <c r="AA17" s="73">
        <f>100-Z17</f>
        <v>96.7</v>
      </c>
      <c r="AB17" s="283">
        <v>0.54166666666666663</v>
      </c>
      <c r="AC17" s="62" t="s">
        <v>30</v>
      </c>
      <c r="AD17" s="50">
        <v>32</v>
      </c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97.624999999999986</v>
      </c>
      <c r="AB18" s="278"/>
      <c r="AC18" s="51" t="s">
        <v>32</v>
      </c>
      <c r="AD18" s="52">
        <v>41</v>
      </c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361</v>
      </c>
      <c r="J19" s="259"/>
      <c r="K19" s="259"/>
      <c r="L19" s="260"/>
      <c r="M19" s="261" t="s">
        <v>57</v>
      </c>
      <c r="N19" s="262"/>
      <c r="O19" s="263"/>
      <c r="P19" s="105">
        <v>2.5</v>
      </c>
      <c r="Q19" s="106"/>
      <c r="R19" s="107">
        <v>3</v>
      </c>
      <c r="S19" s="107">
        <v>2.5</v>
      </c>
      <c r="T19" s="107">
        <v>3</v>
      </c>
      <c r="U19" s="108">
        <f>(U17-U20)/U17*100</f>
        <v>2.7296122365346176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>
        <v>35</v>
      </c>
      <c r="AE19" s="11">
        <v>17</v>
      </c>
      <c r="AF19" s="12">
        <f t="shared" si="0"/>
        <v>3.1166666666666667</v>
      </c>
    </row>
    <row r="20" spans="1:32" ht="16.5" thickBot="1" x14ac:dyDescent="0.3">
      <c r="A20" s="294" t="s">
        <v>30</v>
      </c>
      <c r="B20" s="295"/>
      <c r="C20" s="44">
        <v>60</v>
      </c>
      <c r="D20" s="296">
        <v>0.1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341.44500000000005</v>
      </c>
      <c r="Q20" s="113"/>
      <c r="R20" s="114">
        <f>(R17-(R17*R19/100))</f>
        <v>506.96274000000005</v>
      </c>
      <c r="S20" s="112">
        <f>(S17-(S17*S19/100))</f>
        <v>420.22500000000002</v>
      </c>
      <c r="T20" s="112">
        <f>(T17-(T17*T19/100))</f>
        <v>136.5275</v>
      </c>
      <c r="U20" s="115">
        <f>P20+Q20+R20+S20+T20</f>
        <v>1405.1602399999999</v>
      </c>
      <c r="V20" s="4"/>
      <c r="W20" s="4"/>
      <c r="X20" s="281"/>
      <c r="Y20" s="207" t="s">
        <v>45</v>
      </c>
      <c r="Z20" s="69">
        <v>0.8</v>
      </c>
      <c r="AA20" s="70">
        <f>100-Z20</f>
        <v>99.2</v>
      </c>
      <c r="AB20" s="279"/>
      <c r="AC20" s="74" t="s">
        <v>37</v>
      </c>
      <c r="AD20" s="58">
        <v>11</v>
      </c>
      <c r="AE20" s="11">
        <v>18</v>
      </c>
      <c r="AF20" s="12">
        <f t="shared" si="0"/>
        <v>3.3</v>
      </c>
    </row>
    <row r="21" spans="1:32" ht="19.5" thickBot="1" x14ac:dyDescent="0.3">
      <c r="A21" s="294" t="s">
        <v>61</v>
      </c>
      <c r="B21" s="295"/>
      <c r="C21" s="44">
        <v>20</v>
      </c>
      <c r="D21" s="296">
        <v>0.2</v>
      </c>
      <c r="E21" s="297"/>
      <c r="F21" s="298" t="s">
        <v>58</v>
      </c>
      <c r="G21" s="299"/>
      <c r="H21" s="96"/>
      <c r="I21" s="116" t="s">
        <v>62</v>
      </c>
      <c r="J21" s="117">
        <v>48</v>
      </c>
      <c r="K21" s="118"/>
      <c r="L21" s="119"/>
      <c r="M21" s="307" t="s">
        <v>63</v>
      </c>
      <c r="N21" s="308"/>
      <c r="O21" s="309"/>
      <c r="P21" s="120">
        <f>(U17-(U17*U19/100))</f>
        <v>1405.1602399999999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1.9</v>
      </c>
      <c r="AA21" s="73">
        <f>100-Z21</f>
        <v>98.1</v>
      </c>
      <c r="AB21" s="205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 t="s">
        <v>32</v>
      </c>
      <c r="B22" s="295"/>
      <c r="C22" s="44">
        <v>60</v>
      </c>
      <c r="D22" s="296">
        <v>0.1</v>
      </c>
      <c r="E22" s="297"/>
      <c r="F22" s="298" t="s">
        <v>58</v>
      </c>
      <c r="G22" s="299"/>
      <c r="H22" s="4"/>
      <c r="I22" s="125">
        <v>100</v>
      </c>
      <c r="J22" s="126">
        <f>I22-J21</f>
        <v>52</v>
      </c>
      <c r="K22" s="316">
        <f>J22/I22*100</f>
        <v>52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2.6</v>
      </c>
      <c r="AA22" s="73">
        <f>100-Z22</f>
        <v>97.4</v>
      </c>
      <c r="AB22" s="283">
        <v>0.625</v>
      </c>
      <c r="AC22" s="49" t="s">
        <v>30</v>
      </c>
      <c r="AD22" s="50"/>
      <c r="AE22" s="11">
        <v>20</v>
      </c>
      <c r="AF22" s="12">
        <f t="shared" si="0"/>
        <v>3.6666666666666665</v>
      </c>
    </row>
    <row r="23" spans="1:32" ht="16.5" thickBot="1" x14ac:dyDescent="0.3">
      <c r="A23" s="294" t="s">
        <v>35</v>
      </c>
      <c r="B23" s="295"/>
      <c r="C23" s="44">
        <v>60</v>
      </c>
      <c r="D23" s="296">
        <v>0.2</v>
      </c>
      <c r="E23" s="297"/>
      <c r="F23" s="298" t="s">
        <v>58</v>
      </c>
      <c r="G23" s="299"/>
      <c r="H23" s="4"/>
      <c r="I23" s="133" t="s">
        <v>66</v>
      </c>
      <c r="J23" s="134">
        <v>30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0.6</v>
      </c>
      <c r="AA23" s="73">
        <f>100-Z23</f>
        <v>99.4</v>
      </c>
      <c r="AB23" s="278"/>
      <c r="AC23" s="51" t="s">
        <v>32</v>
      </c>
      <c r="AD23" s="52">
        <v>42</v>
      </c>
      <c r="AE23" s="11">
        <v>21</v>
      </c>
      <c r="AF23" s="12">
        <f t="shared" si="0"/>
        <v>3.85</v>
      </c>
    </row>
    <row r="24" spans="1:32" ht="16.5" thickBot="1" x14ac:dyDescent="0.3">
      <c r="A24" s="294" t="s">
        <v>37</v>
      </c>
      <c r="B24" s="295"/>
      <c r="C24" s="44">
        <v>60</v>
      </c>
      <c r="D24" s="296">
        <v>0.1</v>
      </c>
      <c r="E24" s="297"/>
      <c r="F24" s="298" t="s">
        <v>58</v>
      </c>
      <c r="G24" s="299"/>
      <c r="H24" s="4"/>
      <c r="I24" s="136">
        <v>100</v>
      </c>
      <c r="J24" s="121">
        <f>I24-J23</f>
        <v>70</v>
      </c>
      <c r="K24" s="316">
        <f>J24/I24*100</f>
        <v>70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98.525000000000006</v>
      </c>
      <c r="AB24" s="278"/>
      <c r="AC24" s="51" t="s">
        <v>35</v>
      </c>
      <c r="AD24" s="52">
        <v>35</v>
      </c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>
        <v>11</v>
      </c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07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0.9</v>
      </c>
      <c r="AA27" s="73">
        <f>100-Z27</f>
        <v>99.1</v>
      </c>
      <c r="AB27" s="267">
        <v>0.70833333333333337</v>
      </c>
      <c r="AC27" s="62" t="s">
        <v>30</v>
      </c>
      <c r="AD27" s="50">
        <v>40</v>
      </c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 t="s">
        <v>287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1.2</v>
      </c>
      <c r="AA28" s="73">
        <f>100-Z28</f>
        <v>98.8</v>
      </c>
      <c r="AB28" s="268"/>
      <c r="AC28" s="67" t="s">
        <v>32</v>
      </c>
      <c r="AD28" s="52">
        <v>43</v>
      </c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45" t="s">
        <v>367</v>
      </c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>
        <v>1.7</v>
      </c>
      <c r="AA29" s="73">
        <f>100-Z29</f>
        <v>98.3</v>
      </c>
      <c r="AB29" s="268"/>
      <c r="AC29" s="51" t="s">
        <v>35</v>
      </c>
      <c r="AD29" s="52">
        <v>36</v>
      </c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45" t="s">
        <v>362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v>98.73</v>
      </c>
      <c r="AB30" s="269"/>
      <c r="AC30" s="74" t="s">
        <v>37</v>
      </c>
      <c r="AD30" s="58">
        <v>11</v>
      </c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 t="s">
        <v>363</v>
      </c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 t="s">
        <v>364</v>
      </c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>
        <v>0.9</v>
      </c>
      <c r="AA32" s="70">
        <f>100-Z32</f>
        <v>99.1</v>
      </c>
      <c r="AB32" s="267">
        <v>0.79166666666666663</v>
      </c>
      <c r="AC32" s="62" t="s">
        <v>30</v>
      </c>
      <c r="AD32" s="50">
        <v>40</v>
      </c>
      <c r="AE32" s="11">
        <v>30</v>
      </c>
      <c r="AF32" s="12">
        <f t="shared" si="0"/>
        <v>5.5</v>
      </c>
    </row>
    <row r="33" spans="1:32" ht="19.5" thickBot="1" x14ac:dyDescent="0.35">
      <c r="A33" s="411" t="s">
        <v>30</v>
      </c>
      <c r="B33" s="412"/>
      <c r="C33" s="182">
        <v>0.61111111111111105</v>
      </c>
      <c r="D33" s="403">
        <v>0.68055555555555547</v>
      </c>
      <c r="E33" s="404"/>
      <c r="F33" s="415" t="s">
        <v>368</v>
      </c>
      <c r="G33" s="416"/>
      <c r="H33" s="354" t="s">
        <v>365</v>
      </c>
      <c r="I33" s="354"/>
      <c r="J33" s="354"/>
      <c r="K33" s="354"/>
      <c r="L33" s="354"/>
      <c r="M33" s="354"/>
      <c r="N33" s="354"/>
      <c r="O33" s="354"/>
      <c r="P33" s="354"/>
      <c r="Q33" s="354"/>
      <c r="R33" s="354"/>
      <c r="S33" s="354"/>
      <c r="T33" s="354"/>
      <c r="U33" s="355"/>
      <c r="V33" s="4"/>
      <c r="W33" s="96"/>
      <c r="X33" s="413"/>
      <c r="Y33" s="44" t="s">
        <v>47</v>
      </c>
      <c r="Z33" s="72">
        <v>1.5</v>
      </c>
      <c r="AA33" s="73">
        <f>100-Z33</f>
        <v>98.5</v>
      </c>
      <c r="AB33" s="268"/>
      <c r="AC33" s="51" t="s">
        <v>32</v>
      </c>
      <c r="AD33" s="52">
        <v>42</v>
      </c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 t="s">
        <v>366</v>
      </c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>
        <v>1.9</v>
      </c>
      <c r="AA34" s="73">
        <f>100-Z34</f>
        <v>98.1</v>
      </c>
      <c r="AB34" s="268"/>
      <c r="AC34" s="67" t="s">
        <v>35</v>
      </c>
      <c r="AD34" s="52">
        <v>36</v>
      </c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>
        <v>1.1000000000000001</v>
      </c>
      <c r="AA35" s="73">
        <f>100-Z35</f>
        <v>98.9</v>
      </c>
      <c r="AB35" s="269"/>
      <c r="AC35" s="74" t="s">
        <v>37</v>
      </c>
      <c r="AD35" s="58">
        <v>11</v>
      </c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98.65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147</v>
      </c>
      <c r="E40" s="362"/>
      <c r="F40" s="363"/>
      <c r="G40" s="160"/>
      <c r="V40" s="4"/>
      <c r="W40" s="161"/>
      <c r="X40" t="s">
        <v>65</v>
      </c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46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X41" t="s">
        <v>65</v>
      </c>
      <c r="Y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>
        <v>114</v>
      </c>
      <c r="E42" s="386"/>
      <c r="F42" s="387"/>
      <c r="G42" s="160"/>
      <c r="H42" s="397" t="s">
        <v>88</v>
      </c>
      <c r="I42" s="398"/>
      <c r="J42" s="164">
        <v>9.39</v>
      </c>
      <c r="K42" s="399">
        <v>9.33</v>
      </c>
      <c r="L42" s="400"/>
      <c r="M42" s="164">
        <v>9.51</v>
      </c>
      <c r="N42" s="165">
        <v>9.5500000000000007</v>
      </c>
      <c r="O42" s="165">
        <v>9.11</v>
      </c>
      <c r="P42" s="165">
        <v>9.4499999999999993</v>
      </c>
      <c r="Q42" s="401">
        <f>AVERAGE(J42:P43)</f>
        <v>9.39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202" t="s">
        <v>89</v>
      </c>
      <c r="B43" s="203"/>
      <c r="C43" s="203"/>
      <c r="D43" s="386">
        <v>6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314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79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208" t="s">
        <v>92</v>
      </c>
      <c r="S44" s="208"/>
      <c r="T44" s="208"/>
      <c r="U44" s="208"/>
      <c r="V44" s="208"/>
      <c r="W44" s="208"/>
      <c r="X44" s="208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tabSelected="1" zoomScale="70" zoomScaleNormal="70" workbookViewId="0">
      <selection activeCell="AA41" sqref="AA41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28515625" customWidth="1"/>
    <col min="17" max="18" width="10.140625" customWidth="1"/>
    <col min="19" max="19" width="10" customWidth="1"/>
    <col min="20" max="20" width="9.710937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369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>
        <v>41.1</v>
      </c>
      <c r="Q5" s="29">
        <v>0</v>
      </c>
      <c r="R5" s="30">
        <v>40.584000000000003</v>
      </c>
      <c r="S5" s="30">
        <v>38</v>
      </c>
      <c r="T5" s="31">
        <v>11.99</v>
      </c>
      <c r="U5" s="32">
        <f>SUM(P5:T5)</f>
        <v>131.67400000000001</v>
      </c>
      <c r="V5" s="33">
        <v>3</v>
      </c>
      <c r="W5" s="21" t="s">
        <v>27</v>
      </c>
      <c r="X5" s="34">
        <f>'20.01.26см2'!Y5</f>
        <v>527883.89999999991</v>
      </c>
      <c r="Y5" s="34">
        <f>X5+P17</f>
        <v>528374.99999999988</v>
      </c>
      <c r="Z5" s="35">
        <f>Y5-X5</f>
        <v>491.09999999997672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>
        <v>41.9</v>
      </c>
      <c r="Q6" s="29">
        <v>0</v>
      </c>
      <c r="R6" s="30">
        <v>37.58</v>
      </c>
      <c r="S6" s="30">
        <v>38</v>
      </c>
      <c r="T6" s="31">
        <v>12.48</v>
      </c>
      <c r="U6" s="32">
        <f t="shared" ref="U6:U16" si="1">SUM(P6:T6)</f>
        <v>129.95999999999998</v>
      </c>
      <c r="V6" s="44">
        <v>4</v>
      </c>
      <c r="W6" s="37" t="s">
        <v>28</v>
      </c>
      <c r="X6" s="45">
        <f>'20.01.26см2'!Y6</f>
        <v>825819.48300000012</v>
      </c>
      <c r="Y6" s="34">
        <f>X6+R17</f>
        <v>826265.90300000017</v>
      </c>
      <c r="Z6" s="46">
        <f>Y6-X6</f>
        <v>446.42000000004191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>
        <v>69</v>
      </c>
      <c r="C7" s="39">
        <v>57</v>
      </c>
      <c r="D7" s="39">
        <v>75</v>
      </c>
      <c r="E7" s="40">
        <v>68</v>
      </c>
      <c r="F7" s="41">
        <v>64</v>
      </c>
      <c r="G7" s="42">
        <v>45</v>
      </c>
      <c r="H7" s="41">
        <v>38</v>
      </c>
      <c r="I7" s="42">
        <v>52</v>
      </c>
      <c r="J7" s="41">
        <v>44</v>
      </c>
      <c r="K7" s="38">
        <v>56</v>
      </c>
      <c r="L7" s="43">
        <v>59</v>
      </c>
      <c r="M7" s="40">
        <v>56</v>
      </c>
      <c r="N7" s="42">
        <v>52</v>
      </c>
      <c r="O7" s="41">
        <v>77</v>
      </c>
      <c r="P7" s="28">
        <v>40.9</v>
      </c>
      <c r="Q7" s="29">
        <v>0</v>
      </c>
      <c r="R7" s="30">
        <v>37.398000000000003</v>
      </c>
      <c r="S7" s="30">
        <v>36</v>
      </c>
      <c r="T7" s="31">
        <v>12.06</v>
      </c>
      <c r="U7" s="32">
        <f t="shared" si="1"/>
        <v>126.358</v>
      </c>
      <c r="V7" s="44">
        <v>6</v>
      </c>
      <c r="W7" s="37" t="s">
        <v>29</v>
      </c>
      <c r="X7" s="48">
        <f>'20.01.26см2'!Y7</f>
        <v>517168</v>
      </c>
      <c r="Y7" s="34">
        <f>X7+S17</f>
        <v>517613</v>
      </c>
      <c r="Z7" s="46">
        <f>Y7-X7</f>
        <v>445</v>
      </c>
      <c r="AA7" s="47">
        <v>4</v>
      </c>
      <c r="AB7" s="267">
        <v>0.875</v>
      </c>
      <c r="AC7" s="49" t="s">
        <v>30</v>
      </c>
      <c r="AD7" s="50">
        <v>40</v>
      </c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>
        <v>42.9</v>
      </c>
      <c r="Q8" s="29">
        <v>0</v>
      </c>
      <c r="R8" s="30">
        <v>38.972000000000001</v>
      </c>
      <c r="S8" s="30">
        <v>37</v>
      </c>
      <c r="T8" s="31">
        <v>12.27</v>
      </c>
      <c r="U8" s="32">
        <f t="shared" si="1"/>
        <v>131.142</v>
      </c>
      <c r="V8" s="44">
        <v>4</v>
      </c>
      <c r="W8" s="37" t="s">
        <v>31</v>
      </c>
      <c r="X8" s="46">
        <f>'20.01.26см2'!Y8</f>
        <v>5515.9399999999987</v>
      </c>
      <c r="Y8" s="34">
        <f>X8+T17</f>
        <v>5657.8599999999988</v>
      </c>
      <c r="Z8" s="46">
        <f>T17</f>
        <v>141.91999999999999</v>
      </c>
      <c r="AA8" s="47">
        <v>5</v>
      </c>
      <c r="AB8" s="268"/>
      <c r="AC8" s="51" t="s">
        <v>32</v>
      </c>
      <c r="AD8" s="52">
        <v>40</v>
      </c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>
        <v>36.200000000000003</v>
      </c>
      <c r="Q9" s="29">
        <v>0</v>
      </c>
      <c r="R9" s="30">
        <v>24.393000000000001</v>
      </c>
      <c r="S9" s="30">
        <v>37</v>
      </c>
      <c r="T9" s="31">
        <v>10.96</v>
      </c>
      <c r="U9" s="32">
        <f t="shared" si="1"/>
        <v>108.553</v>
      </c>
      <c r="V9" s="44">
        <v>4</v>
      </c>
      <c r="W9" s="37" t="s">
        <v>33</v>
      </c>
      <c r="X9" s="270" t="s">
        <v>34</v>
      </c>
      <c r="Y9" s="271"/>
      <c r="Z9" s="54">
        <f>SUM(Z5:Z8)</f>
        <v>1524.4400000000187</v>
      </c>
      <c r="AA9" s="55"/>
      <c r="AB9" s="268"/>
      <c r="AC9" s="51" t="s">
        <v>35</v>
      </c>
      <c r="AD9" s="52">
        <v>38</v>
      </c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>
        <v>40.4</v>
      </c>
      <c r="Q10" s="29">
        <v>0</v>
      </c>
      <c r="R10" s="30">
        <v>39.250999999999998</v>
      </c>
      <c r="S10" s="30">
        <v>37</v>
      </c>
      <c r="T10" s="31">
        <v>12.25</v>
      </c>
      <c r="U10" s="32">
        <f t="shared" si="1"/>
        <v>128.90100000000001</v>
      </c>
      <c r="V10" s="44">
        <v>6</v>
      </c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>
        <v>12</v>
      </c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>
        <v>42.3</v>
      </c>
      <c r="Q11" s="29">
        <v>0</v>
      </c>
      <c r="R11" s="30">
        <v>30.050999999999998</v>
      </c>
      <c r="S11" s="30">
        <v>38</v>
      </c>
      <c r="T11" s="31">
        <v>11.82</v>
      </c>
      <c r="U11" s="32">
        <f t="shared" si="1"/>
        <v>122.17099999999999</v>
      </c>
      <c r="V11" s="44">
        <v>5</v>
      </c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>
        <v>40.700000000000003</v>
      </c>
      <c r="Q12" s="29">
        <v>0</v>
      </c>
      <c r="R12" s="30">
        <v>41.942999999999998</v>
      </c>
      <c r="S12" s="30">
        <v>38</v>
      </c>
      <c r="T12" s="31">
        <v>10.83</v>
      </c>
      <c r="U12" s="32">
        <f t="shared" si="1"/>
        <v>131.47300000000001</v>
      </c>
      <c r="V12" s="44">
        <v>6</v>
      </c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>
        <v>42</v>
      </c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>
        <v>71</v>
      </c>
      <c r="C13" s="39">
        <v>60</v>
      </c>
      <c r="D13" s="39">
        <v>74</v>
      </c>
      <c r="E13" s="40">
        <v>66</v>
      </c>
      <c r="F13" s="41">
        <v>66</v>
      </c>
      <c r="G13" s="42">
        <v>43</v>
      </c>
      <c r="H13" s="41">
        <v>35</v>
      </c>
      <c r="I13" s="42">
        <v>42</v>
      </c>
      <c r="J13" s="41">
        <v>34</v>
      </c>
      <c r="K13" s="38">
        <v>53</v>
      </c>
      <c r="L13" s="43">
        <v>56</v>
      </c>
      <c r="M13" s="40">
        <v>51</v>
      </c>
      <c r="N13" s="42">
        <v>53</v>
      </c>
      <c r="O13" s="41">
        <v>75</v>
      </c>
      <c r="P13" s="53">
        <v>39.700000000000003</v>
      </c>
      <c r="Q13" s="29">
        <v>0</v>
      </c>
      <c r="R13" s="30">
        <v>40.610999999999997</v>
      </c>
      <c r="S13" s="30">
        <v>37</v>
      </c>
      <c r="T13" s="31">
        <v>11.81</v>
      </c>
      <c r="U13" s="32">
        <f t="shared" si="1"/>
        <v>129.12100000000001</v>
      </c>
      <c r="V13" s="44">
        <v>4</v>
      </c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>
        <v>43</v>
      </c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>
        <v>42.4</v>
      </c>
      <c r="Q14" s="29">
        <v>0</v>
      </c>
      <c r="R14" s="30">
        <v>38.979999999999997</v>
      </c>
      <c r="S14" s="30">
        <v>37</v>
      </c>
      <c r="T14" s="31">
        <v>12.52</v>
      </c>
      <c r="U14" s="32">
        <f t="shared" si="1"/>
        <v>130.9</v>
      </c>
      <c r="V14" s="44">
        <v>3</v>
      </c>
      <c r="W14" s="37" t="s">
        <v>44</v>
      </c>
      <c r="X14" s="280">
        <v>0.91666666666666663</v>
      </c>
      <c r="Y14" s="210" t="s">
        <v>45</v>
      </c>
      <c r="Z14" s="69">
        <v>1</v>
      </c>
      <c r="AA14" s="70">
        <f>100-Z14</f>
        <v>99</v>
      </c>
      <c r="AB14" s="278"/>
      <c r="AC14" s="51" t="s">
        <v>35</v>
      </c>
      <c r="AD14" s="52">
        <v>36</v>
      </c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>
        <v>41.9</v>
      </c>
      <c r="Q15" s="29">
        <v>0</v>
      </c>
      <c r="R15" s="30">
        <v>39.83</v>
      </c>
      <c r="S15" s="30">
        <v>37</v>
      </c>
      <c r="T15" s="31">
        <v>7.95</v>
      </c>
      <c r="U15" s="32">
        <f t="shared" si="1"/>
        <v>126.67999999999999</v>
      </c>
      <c r="V15" s="44">
        <v>4</v>
      </c>
      <c r="W15" s="37" t="s">
        <v>46</v>
      </c>
      <c r="X15" s="281"/>
      <c r="Y15" s="71" t="s">
        <v>47</v>
      </c>
      <c r="Z15" s="72">
        <v>2.2999999999999998</v>
      </c>
      <c r="AA15" s="73">
        <f>100-Z15</f>
        <v>97.7</v>
      </c>
      <c r="AB15" s="279"/>
      <c r="AC15" s="74" t="s">
        <v>37</v>
      </c>
      <c r="AD15" s="58">
        <v>12</v>
      </c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>
        <v>40.700000000000003</v>
      </c>
      <c r="Q16" s="29">
        <v>0</v>
      </c>
      <c r="R16" s="30">
        <v>36.826999999999998</v>
      </c>
      <c r="S16" s="30">
        <v>35</v>
      </c>
      <c r="T16" s="82">
        <v>14.98</v>
      </c>
      <c r="U16" s="32">
        <f t="shared" si="1"/>
        <v>127.50700000000001</v>
      </c>
      <c r="V16" s="83">
        <v>6</v>
      </c>
      <c r="W16" s="75" t="s">
        <v>48</v>
      </c>
      <c r="X16" s="281"/>
      <c r="Y16" s="71" t="s">
        <v>49</v>
      </c>
      <c r="Z16" s="72">
        <v>1.3</v>
      </c>
      <c r="AA16" s="73">
        <f>100-Z16</f>
        <v>98.7</v>
      </c>
      <c r="AB16" s="205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>
        <f>AVERAGE(B5:B15)</f>
        <v>70</v>
      </c>
      <c r="C17" s="88">
        <f>AVERAGE(C5:C16)</f>
        <v>58.5</v>
      </c>
      <c r="D17" s="88">
        <f>AVERAGE(D5:D15)</f>
        <v>74.5</v>
      </c>
      <c r="E17" s="88">
        <f>AVERAGE(E5:E15)</f>
        <v>67</v>
      </c>
      <c r="F17" s="88">
        <f>AVERAGE(F5:F15)</f>
        <v>65</v>
      </c>
      <c r="G17" s="88">
        <f>AVERAGE(G5:G16)</f>
        <v>44</v>
      </c>
      <c r="H17" s="88">
        <f>AVERAGE(H5:H16)</f>
        <v>36.5</v>
      </c>
      <c r="I17" s="88">
        <f t="shared" ref="I17:N17" si="2">AVERAGE(I5:I15)</f>
        <v>47</v>
      </c>
      <c r="J17" s="88">
        <f t="shared" si="2"/>
        <v>39</v>
      </c>
      <c r="K17" s="88">
        <f t="shared" si="2"/>
        <v>54.5</v>
      </c>
      <c r="L17" s="88">
        <f t="shared" si="2"/>
        <v>57.5</v>
      </c>
      <c r="M17" s="89">
        <f t="shared" si="2"/>
        <v>53.5</v>
      </c>
      <c r="N17" s="89">
        <f t="shared" si="2"/>
        <v>52.5</v>
      </c>
      <c r="O17" s="89">
        <f>AVERAGE(O5:O16)</f>
        <v>76</v>
      </c>
      <c r="P17" s="90">
        <f>SUM(P5:P16)</f>
        <v>491.09999999999991</v>
      </c>
      <c r="Q17" s="91">
        <f>SUM(Q5:Q16)</f>
        <v>0</v>
      </c>
      <c r="R17" s="92">
        <f>SUM(R5:R16)</f>
        <v>446.42</v>
      </c>
      <c r="S17" s="93">
        <f>SUM(S5:S16)</f>
        <v>445</v>
      </c>
      <c r="T17" s="93">
        <f>SUM(T5:T16)</f>
        <v>141.91999999999999</v>
      </c>
      <c r="U17" s="94">
        <f>SUM(P17:T17)</f>
        <v>1524.44</v>
      </c>
      <c r="V17" s="1">
        <f>SUM(V5:V16)</f>
        <v>55</v>
      </c>
      <c r="W17" s="4"/>
      <c r="X17" s="281"/>
      <c r="Y17" s="71" t="s">
        <v>51</v>
      </c>
      <c r="Z17" s="72">
        <v>2.2999999999999998</v>
      </c>
      <c r="AA17" s="73">
        <f>100-Z17</f>
        <v>97.7</v>
      </c>
      <c r="AB17" s="283">
        <v>4.1666666666666664E-2</v>
      </c>
      <c r="AC17" s="62" t="s">
        <v>30</v>
      </c>
      <c r="AD17" s="50">
        <v>41</v>
      </c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98.274999999999991</v>
      </c>
      <c r="AB18" s="278"/>
      <c r="AC18" s="51" t="s">
        <v>32</v>
      </c>
      <c r="AD18" s="52">
        <v>42</v>
      </c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370</v>
      </c>
      <c r="J19" s="259"/>
      <c r="K19" s="259"/>
      <c r="L19" s="260"/>
      <c r="M19" s="261" t="s">
        <v>57</v>
      </c>
      <c r="N19" s="262"/>
      <c r="O19" s="263"/>
      <c r="P19" s="105">
        <v>2.2000000000000002</v>
      </c>
      <c r="Q19" s="106"/>
      <c r="R19" s="107">
        <v>2.5</v>
      </c>
      <c r="S19" s="107">
        <v>2.2999999999999998</v>
      </c>
      <c r="T19" s="107">
        <v>2.7</v>
      </c>
      <c r="U19" s="108">
        <f>(U17-U20)/U17*100</f>
        <v>2.3635918763611672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>
        <v>37</v>
      </c>
      <c r="AE19" s="11">
        <v>17</v>
      </c>
      <c r="AF19" s="12">
        <f t="shared" si="0"/>
        <v>11.333333333333334</v>
      </c>
    </row>
    <row r="20" spans="1:32" ht="16.5" thickBot="1" x14ac:dyDescent="0.3">
      <c r="A20" s="294" t="s">
        <v>30</v>
      </c>
      <c r="B20" s="295"/>
      <c r="C20" s="44">
        <v>60</v>
      </c>
      <c r="D20" s="296">
        <v>0.1</v>
      </c>
      <c r="E20" s="297"/>
      <c r="F20" s="298" t="s">
        <v>58</v>
      </c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480.29579999999993</v>
      </c>
      <c r="Q20" s="113"/>
      <c r="R20" s="114">
        <f>(R17-(R17*R19/100))</f>
        <v>435.2595</v>
      </c>
      <c r="S20" s="112">
        <f>(S17-(S17*S19/100))</f>
        <v>434.76499999999999</v>
      </c>
      <c r="T20" s="112">
        <f>(T17-(T17*T19/100))</f>
        <v>138.08815999999999</v>
      </c>
      <c r="U20" s="115">
        <f>P20+Q20+R20+S20+T20</f>
        <v>1488.4084599999999</v>
      </c>
      <c r="V20" s="4"/>
      <c r="W20" s="4"/>
      <c r="X20" s="281"/>
      <c r="Y20" s="210" t="s">
        <v>45</v>
      </c>
      <c r="Z20" s="69">
        <v>0.7</v>
      </c>
      <c r="AA20" s="70">
        <f>100-Z20</f>
        <v>99.3</v>
      </c>
      <c r="AB20" s="279"/>
      <c r="AC20" s="74" t="s">
        <v>37</v>
      </c>
      <c r="AD20" s="58">
        <v>11</v>
      </c>
      <c r="AE20" s="11">
        <v>18</v>
      </c>
      <c r="AF20" s="12">
        <f t="shared" si="0"/>
        <v>12</v>
      </c>
    </row>
    <row r="21" spans="1:32" ht="19.5" thickBot="1" x14ac:dyDescent="0.3">
      <c r="A21" s="294" t="s">
        <v>61</v>
      </c>
      <c r="B21" s="295"/>
      <c r="C21" s="44">
        <v>20</v>
      </c>
      <c r="D21" s="296">
        <v>0.15</v>
      </c>
      <c r="E21" s="297"/>
      <c r="F21" s="298" t="s">
        <v>58</v>
      </c>
      <c r="G21" s="299"/>
      <c r="H21" s="96"/>
      <c r="I21" s="116" t="s">
        <v>62</v>
      </c>
      <c r="J21" s="117">
        <v>47</v>
      </c>
      <c r="K21" s="118"/>
      <c r="L21" s="119"/>
      <c r="M21" s="307" t="s">
        <v>63</v>
      </c>
      <c r="N21" s="308"/>
      <c r="O21" s="309"/>
      <c r="P21" s="120">
        <f>(U17-(U17*U19/100))</f>
        <v>1488.4084599999999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>
        <v>1.3</v>
      </c>
      <c r="AA21" s="73">
        <f>100-Z21</f>
        <v>98.7</v>
      </c>
      <c r="AB21" s="205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 t="s">
        <v>32</v>
      </c>
      <c r="B22" s="295"/>
      <c r="C22" s="44">
        <v>60</v>
      </c>
      <c r="D22" s="296">
        <v>0.1</v>
      </c>
      <c r="E22" s="297"/>
      <c r="F22" s="298" t="s">
        <v>58</v>
      </c>
      <c r="G22" s="299"/>
      <c r="H22" s="4"/>
      <c r="I22" s="125">
        <v>100</v>
      </c>
      <c r="J22" s="126">
        <f>I22-J21</f>
        <v>53</v>
      </c>
      <c r="K22" s="316">
        <f>J22/I22*100</f>
        <v>53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>
        <v>1.2</v>
      </c>
      <c r="AA22" s="73">
        <f>100-Z22</f>
        <v>98.8</v>
      </c>
      <c r="AB22" s="283">
        <v>0.125</v>
      </c>
      <c r="AC22" s="49" t="s">
        <v>30</v>
      </c>
      <c r="AD22" s="50">
        <v>42</v>
      </c>
      <c r="AE22" s="11">
        <v>20</v>
      </c>
      <c r="AF22" s="12">
        <f t="shared" si="0"/>
        <v>13.333333333333334</v>
      </c>
    </row>
    <row r="23" spans="1:32" ht="16.5" thickBot="1" x14ac:dyDescent="0.3">
      <c r="A23" s="294" t="s">
        <v>35</v>
      </c>
      <c r="B23" s="295"/>
      <c r="C23" s="44">
        <v>60</v>
      </c>
      <c r="D23" s="296">
        <v>0.2</v>
      </c>
      <c r="E23" s="297"/>
      <c r="F23" s="298" t="s">
        <v>58</v>
      </c>
      <c r="G23" s="299"/>
      <c r="H23" s="4"/>
      <c r="I23" s="133" t="s">
        <v>66</v>
      </c>
      <c r="J23" s="134">
        <v>22</v>
      </c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>
        <v>0.9</v>
      </c>
      <c r="AA23" s="73">
        <f>100-Z23</f>
        <v>99.1</v>
      </c>
      <c r="AB23" s="278"/>
      <c r="AC23" s="51" t="s">
        <v>32</v>
      </c>
      <c r="AD23" s="52">
        <v>42</v>
      </c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78</v>
      </c>
      <c r="K24" s="316">
        <f>J24/I24*100</f>
        <v>78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98.974999999999994</v>
      </c>
      <c r="AB24" s="278"/>
      <c r="AC24" s="51" t="s">
        <v>35</v>
      </c>
      <c r="AD24" s="52">
        <v>38</v>
      </c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>
        <v>12</v>
      </c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>
        <v>1.2</v>
      </c>
      <c r="AA26" s="70">
        <f>100-Z26</f>
        <v>98.8</v>
      </c>
      <c r="AB26" s="204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>
        <v>0.8</v>
      </c>
      <c r="AA27" s="73">
        <f>100-Z27</f>
        <v>99.2</v>
      </c>
      <c r="AB27" s="267">
        <v>0.20833333333333334</v>
      </c>
      <c r="AC27" s="62" t="s">
        <v>30</v>
      </c>
      <c r="AD27" s="50">
        <v>41</v>
      </c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 t="s">
        <v>287</v>
      </c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>
        <v>0.7</v>
      </c>
      <c r="AA28" s="73">
        <f>100-Z28</f>
        <v>99.3</v>
      </c>
      <c r="AB28" s="268"/>
      <c r="AC28" s="67" t="s">
        <v>32</v>
      </c>
      <c r="AD28" s="52">
        <v>41</v>
      </c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56" t="s">
        <v>371</v>
      </c>
      <c r="I29" s="357"/>
      <c r="J29" s="357"/>
      <c r="K29" s="357"/>
      <c r="L29" s="357"/>
      <c r="M29" s="357"/>
      <c r="N29" s="357"/>
      <c r="O29" s="357"/>
      <c r="P29" s="357"/>
      <c r="Q29" s="357"/>
      <c r="R29" s="357"/>
      <c r="S29" s="357"/>
      <c r="T29" s="357"/>
      <c r="U29" s="358"/>
      <c r="V29" s="4"/>
      <c r="W29" s="4"/>
      <c r="X29" s="281"/>
      <c r="Y29" s="71" t="s">
        <v>51</v>
      </c>
      <c r="Z29" s="145">
        <v>0.8</v>
      </c>
      <c r="AA29" s="73">
        <f>100-Z29</f>
        <v>99.2</v>
      </c>
      <c r="AB29" s="268"/>
      <c r="AC29" s="51" t="s">
        <v>35</v>
      </c>
      <c r="AD29" s="52">
        <v>37</v>
      </c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 t="s">
        <v>372</v>
      </c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99.125</v>
      </c>
      <c r="AB30" s="269"/>
      <c r="AC30" s="74" t="s">
        <v>37</v>
      </c>
      <c r="AD30" s="58">
        <v>12</v>
      </c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>
        <v>0.9</v>
      </c>
      <c r="AA32" s="70">
        <f>100-Z32</f>
        <v>99.1</v>
      </c>
      <c r="AB32" s="267">
        <v>0.29166666666666669</v>
      </c>
      <c r="AC32" s="62" t="s">
        <v>30</v>
      </c>
      <c r="AD32" s="50">
        <v>41</v>
      </c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>
        <v>1.8</v>
      </c>
      <c r="AA33" s="73">
        <f>100-Z33</f>
        <v>98.2</v>
      </c>
      <c r="AB33" s="268"/>
      <c r="AC33" s="51" t="s">
        <v>32</v>
      </c>
      <c r="AD33" s="52">
        <v>40</v>
      </c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>
        <v>1.4</v>
      </c>
      <c r="AA34" s="73">
        <f>100-Z34</f>
        <v>98.6</v>
      </c>
      <c r="AB34" s="268"/>
      <c r="AC34" s="67" t="s">
        <v>35</v>
      </c>
      <c r="AD34" s="52">
        <v>37</v>
      </c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>
        <v>1.6</v>
      </c>
      <c r="AA35" s="73">
        <f>100-Z35</f>
        <v>98.4</v>
      </c>
      <c r="AB35" s="269"/>
      <c r="AC35" s="74" t="s">
        <v>37</v>
      </c>
      <c r="AD35" s="58">
        <v>12</v>
      </c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98.574999999999989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f>'20.01.26см2'!D44:F44</f>
        <v>79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55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>
        <v>20</v>
      </c>
      <c r="E42" s="386"/>
      <c r="F42" s="387"/>
      <c r="G42" s="160"/>
      <c r="H42" s="397" t="s">
        <v>88</v>
      </c>
      <c r="I42" s="398"/>
      <c r="J42" s="164">
        <v>9.93</v>
      </c>
      <c r="K42" s="399">
        <v>9.6199999999999992</v>
      </c>
      <c r="L42" s="400"/>
      <c r="M42" s="164">
        <v>9.4600000000000009</v>
      </c>
      <c r="N42" s="165">
        <v>9.3699999999999992</v>
      </c>
      <c r="O42" s="165">
        <v>9.5500000000000007</v>
      </c>
      <c r="P42" s="165">
        <v>9.43</v>
      </c>
      <c r="Q42" s="401">
        <f>AVERAGE(J42:P43)</f>
        <v>9.5599999999999987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202" t="s">
        <v>89</v>
      </c>
      <c r="B43" s="203"/>
      <c r="C43" s="203"/>
      <c r="D43" s="386">
        <v>1</v>
      </c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308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114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309</v>
      </c>
      <c r="S44" s="427"/>
      <c r="T44" s="427"/>
      <c r="U44" s="427"/>
      <c r="V44" s="427"/>
      <c r="W44" s="211"/>
      <c r="X44" s="211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W40" sqref="W40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85546875" customWidth="1"/>
    <col min="19" max="19" width="10.140625" customWidth="1"/>
    <col min="20" max="20" width="10.2851562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111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93</v>
      </c>
      <c r="X5" s="34">
        <v>510645.7</v>
      </c>
      <c r="Y5" s="34">
        <f>X5+P17</f>
        <v>510645.7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94</v>
      </c>
      <c r="X6" s="45"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95</v>
      </c>
      <c r="X7" s="48">
        <v>502461</v>
      </c>
      <c r="Y7" s="34">
        <f>X7+S17</f>
        <v>502461</v>
      </c>
      <c r="Z7" s="46">
        <f>Y7-X7</f>
        <v>0</v>
      </c>
      <c r="AA7" s="47">
        <v>4</v>
      </c>
      <c r="AB7" s="267">
        <v>0.375</v>
      </c>
      <c r="AC7" s="49" t="s">
        <v>30</v>
      </c>
      <c r="AD7" s="50"/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96</v>
      </c>
      <c r="X8" s="46">
        <v>101.31699999999999</v>
      </c>
      <c r="Y8" s="34">
        <f>X8+T17</f>
        <v>101.31699999999999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97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/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102</v>
      </c>
      <c r="X14" s="280">
        <v>0.41666666666666669</v>
      </c>
      <c r="Y14" s="207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103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104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95"/>
      <c r="AA17" s="73">
        <f>100-Z17</f>
        <v>100</v>
      </c>
      <c r="AB17" s="283">
        <v>0.54166666666666663</v>
      </c>
      <c r="AC17" s="62" t="s">
        <v>30</v>
      </c>
      <c r="AD17" s="50"/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112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3.1166666666666667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07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3.3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0.625</v>
      </c>
      <c r="AC22" s="49" t="s">
        <v>30</v>
      </c>
      <c r="AD22" s="50"/>
      <c r="AE22" s="11">
        <v>20</v>
      </c>
      <c r="AF22" s="12">
        <f t="shared" si="0"/>
        <v>3.6666666666666665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07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0.70833333333333337</v>
      </c>
      <c r="AC27" s="62" t="s">
        <v>30</v>
      </c>
      <c r="AD27" s="50"/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/>
      <c r="AA32" s="70">
        <f>100-Z32</f>
        <v>100</v>
      </c>
      <c r="AB32" s="267">
        <v>0.79166666666666663</v>
      </c>
      <c r="AC32" s="62" t="s">
        <v>30</v>
      </c>
      <c r="AD32" s="50"/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83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83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208" t="s">
        <v>92</v>
      </c>
      <c r="S44" s="208"/>
      <c r="T44" s="208"/>
      <c r="U44" s="208"/>
      <c r="V44" s="208"/>
      <c r="W44" s="208"/>
      <c r="X44" s="208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AA43" sqref="AA43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28515625" customWidth="1"/>
    <col min="17" max="18" width="10.140625" customWidth="1"/>
    <col min="19" max="19" width="10" customWidth="1"/>
    <col min="20" max="20" width="9.710937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158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27</v>
      </c>
      <c r="X5" s="34">
        <f>'[1]31.12.25см2'!Y5</f>
        <v>510168.7</v>
      </c>
      <c r="Y5" s="34">
        <f>X5+P17</f>
        <v>510168.7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28</v>
      </c>
      <c r="X6" s="45">
        <f>'[1]31.12.25см2'!Y6</f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29</v>
      </c>
      <c r="X7" s="48">
        <f>'[1]31.12.25см2'!Y7</f>
        <v>502129</v>
      </c>
      <c r="Y7" s="34">
        <f>X7+S17</f>
        <v>502129</v>
      </c>
      <c r="Z7" s="46">
        <f>Y7-X7</f>
        <v>0</v>
      </c>
      <c r="AA7" s="47">
        <v>4</v>
      </c>
      <c r="AB7" s="267">
        <v>0.875</v>
      </c>
      <c r="AC7" s="49" t="s">
        <v>30</v>
      </c>
      <c r="AD7" s="50"/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31</v>
      </c>
      <c r="X8" s="46">
        <f>'[1]31.12.25см2'!Y8</f>
        <v>8613.7800000000007</v>
      </c>
      <c r="Y8" s="34">
        <f>X8+T17</f>
        <v>8613.7800000000007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33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/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44</v>
      </c>
      <c r="X14" s="280">
        <v>0.91666666666666663</v>
      </c>
      <c r="Y14" s="210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46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48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72"/>
      <c r="AA17" s="73">
        <f>100-Z17</f>
        <v>100</v>
      </c>
      <c r="AB17" s="283">
        <v>4.1666666666666664E-2</v>
      </c>
      <c r="AC17" s="62" t="s">
        <v>30</v>
      </c>
      <c r="AD17" s="50"/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159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11.333333333333334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10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12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0.125</v>
      </c>
      <c r="AC22" s="49" t="s">
        <v>30</v>
      </c>
      <c r="AD22" s="50"/>
      <c r="AE22" s="11">
        <v>20</v>
      </c>
      <c r="AF22" s="12">
        <f t="shared" si="0"/>
        <v>13.333333333333334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0.20833333333333334</v>
      </c>
      <c r="AC27" s="62" t="s">
        <v>30</v>
      </c>
      <c r="AD27" s="50"/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/>
      <c r="AA32" s="70">
        <f>100-Z32</f>
        <v>100</v>
      </c>
      <c r="AB32" s="267">
        <v>0.29166666666666669</v>
      </c>
      <c r="AC32" s="62" t="s">
        <v>30</v>
      </c>
      <c r="AD32" s="50"/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73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308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73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309</v>
      </c>
      <c r="S44" s="427"/>
      <c r="T44" s="427"/>
      <c r="U44" s="427"/>
      <c r="V44" s="427"/>
      <c r="W44" s="211"/>
      <c r="X44" s="211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W40" sqref="W40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85546875" customWidth="1"/>
    <col min="19" max="19" width="10.140625" customWidth="1"/>
    <col min="20" max="20" width="10.2851562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111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93</v>
      </c>
      <c r="X5" s="34">
        <v>510645.7</v>
      </c>
      <c r="Y5" s="34">
        <f>X5+P17</f>
        <v>510645.7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94</v>
      </c>
      <c r="X6" s="45"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95</v>
      </c>
      <c r="X7" s="48">
        <v>502461</v>
      </c>
      <c r="Y7" s="34">
        <f>X7+S17</f>
        <v>502461</v>
      </c>
      <c r="Z7" s="46">
        <f>Y7-X7</f>
        <v>0</v>
      </c>
      <c r="AA7" s="47">
        <v>4</v>
      </c>
      <c r="AB7" s="267">
        <v>0.375</v>
      </c>
      <c r="AC7" s="49" t="s">
        <v>30</v>
      </c>
      <c r="AD7" s="50"/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96</v>
      </c>
      <c r="X8" s="46">
        <v>101.31699999999999</v>
      </c>
      <c r="Y8" s="34">
        <f>X8+T17</f>
        <v>101.31699999999999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97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/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102</v>
      </c>
      <c r="X14" s="280">
        <v>0.41666666666666669</v>
      </c>
      <c r="Y14" s="207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103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104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95"/>
      <c r="AA17" s="73">
        <f>100-Z17</f>
        <v>100</v>
      </c>
      <c r="AB17" s="283">
        <v>0.54166666666666663</v>
      </c>
      <c r="AC17" s="62" t="s">
        <v>30</v>
      </c>
      <c r="AD17" s="50"/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112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3.1166666666666667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07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3.3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0.625</v>
      </c>
      <c r="AC22" s="49" t="s">
        <v>30</v>
      </c>
      <c r="AD22" s="50"/>
      <c r="AE22" s="11">
        <v>20</v>
      </c>
      <c r="AF22" s="12">
        <f t="shared" si="0"/>
        <v>3.6666666666666665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07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0.70833333333333337</v>
      </c>
      <c r="AC27" s="62" t="s">
        <v>30</v>
      </c>
      <c r="AD27" s="50"/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/>
      <c r="AA32" s="70">
        <f>100-Z32</f>
        <v>100</v>
      </c>
      <c r="AB32" s="267">
        <v>0.79166666666666663</v>
      </c>
      <c r="AC32" s="62" t="s">
        <v>30</v>
      </c>
      <c r="AD32" s="50"/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83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83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208" t="s">
        <v>92</v>
      </c>
      <c r="S44" s="208"/>
      <c r="T44" s="208"/>
      <c r="U44" s="208"/>
      <c r="V44" s="208"/>
      <c r="W44" s="208"/>
      <c r="X44" s="208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J44" sqref="J44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28515625" customWidth="1"/>
    <col min="17" max="18" width="10.140625" customWidth="1"/>
    <col min="19" max="19" width="10" customWidth="1"/>
    <col min="20" max="20" width="9.710937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158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27</v>
      </c>
      <c r="X5" s="34">
        <f>'[1]31.12.25см2'!Y5</f>
        <v>510168.7</v>
      </c>
      <c r="Y5" s="34">
        <f>X5+P17</f>
        <v>510168.7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28</v>
      </c>
      <c r="X6" s="45">
        <f>'[1]31.12.25см2'!Y6</f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29</v>
      </c>
      <c r="X7" s="48">
        <f>'[1]31.12.25см2'!Y7</f>
        <v>502129</v>
      </c>
      <c r="Y7" s="34">
        <f>X7+S17</f>
        <v>502129</v>
      </c>
      <c r="Z7" s="46">
        <f>Y7-X7</f>
        <v>0</v>
      </c>
      <c r="AA7" s="47">
        <v>4</v>
      </c>
      <c r="AB7" s="267">
        <v>0.875</v>
      </c>
      <c r="AC7" s="49" t="s">
        <v>30</v>
      </c>
      <c r="AD7" s="50"/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31</v>
      </c>
      <c r="X8" s="46">
        <f>'[1]31.12.25см2'!Y8</f>
        <v>8613.7800000000007</v>
      </c>
      <c r="Y8" s="34">
        <f>X8+T17</f>
        <v>8613.7800000000007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33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/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44</v>
      </c>
      <c r="X14" s="280">
        <v>0.91666666666666663</v>
      </c>
      <c r="Y14" s="210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46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48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72"/>
      <c r="AA17" s="73">
        <f>100-Z17</f>
        <v>100</v>
      </c>
      <c r="AB17" s="283">
        <v>4.1666666666666664E-2</v>
      </c>
      <c r="AC17" s="62" t="s">
        <v>30</v>
      </c>
      <c r="AD17" s="50"/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159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11.333333333333334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10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12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0.125</v>
      </c>
      <c r="AC22" s="49" t="s">
        <v>30</v>
      </c>
      <c r="AD22" s="50"/>
      <c r="AE22" s="11">
        <v>20</v>
      </c>
      <c r="AF22" s="12">
        <f t="shared" si="0"/>
        <v>13.333333333333334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0.20833333333333334</v>
      </c>
      <c r="AC27" s="62" t="s">
        <v>30</v>
      </c>
      <c r="AD27" s="50"/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/>
      <c r="AA32" s="70">
        <f>100-Z32</f>
        <v>100</v>
      </c>
      <c r="AB32" s="267">
        <v>0.29166666666666669</v>
      </c>
      <c r="AC32" s="62" t="s">
        <v>30</v>
      </c>
      <c r="AD32" s="50"/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73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308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73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309</v>
      </c>
      <c r="S44" s="427"/>
      <c r="T44" s="427"/>
      <c r="U44" s="427"/>
      <c r="V44" s="427"/>
      <c r="W44" s="211"/>
      <c r="X44" s="211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W40" sqref="W40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85546875" customWidth="1"/>
    <col min="19" max="19" width="10.140625" customWidth="1"/>
    <col min="20" max="20" width="10.2851562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111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93</v>
      </c>
      <c r="X5" s="34">
        <v>510645.7</v>
      </c>
      <c r="Y5" s="34">
        <f>X5+P17</f>
        <v>510645.7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94</v>
      </c>
      <c r="X6" s="45"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95</v>
      </c>
      <c r="X7" s="48">
        <v>502461</v>
      </c>
      <c r="Y7" s="34">
        <f>X7+S17</f>
        <v>502461</v>
      </c>
      <c r="Z7" s="46">
        <f>Y7-X7</f>
        <v>0</v>
      </c>
      <c r="AA7" s="47">
        <v>4</v>
      </c>
      <c r="AB7" s="267">
        <v>0.375</v>
      </c>
      <c r="AC7" s="49" t="s">
        <v>30</v>
      </c>
      <c r="AD7" s="50"/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96</v>
      </c>
      <c r="X8" s="46">
        <v>101.31699999999999</v>
      </c>
      <c r="Y8" s="34">
        <f>X8+T17</f>
        <v>101.31699999999999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97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/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102</v>
      </c>
      <c r="X14" s="280">
        <v>0.41666666666666669</v>
      </c>
      <c r="Y14" s="207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103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104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95"/>
      <c r="AA17" s="73">
        <f>100-Z17</f>
        <v>100</v>
      </c>
      <c r="AB17" s="283">
        <v>0.54166666666666663</v>
      </c>
      <c r="AC17" s="62" t="s">
        <v>30</v>
      </c>
      <c r="AD17" s="50"/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112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3.1166666666666667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07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3.3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0.625</v>
      </c>
      <c r="AC22" s="49" t="s">
        <v>30</v>
      </c>
      <c r="AD22" s="50"/>
      <c r="AE22" s="11">
        <v>20</v>
      </c>
      <c r="AF22" s="12">
        <f t="shared" si="0"/>
        <v>3.6666666666666665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07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0.70833333333333337</v>
      </c>
      <c r="AC27" s="62" t="s">
        <v>30</v>
      </c>
      <c r="AD27" s="50"/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/>
      <c r="AA32" s="70">
        <f>100-Z32</f>
        <v>100</v>
      </c>
      <c r="AB32" s="267">
        <v>0.79166666666666663</v>
      </c>
      <c r="AC32" s="62" t="s">
        <v>30</v>
      </c>
      <c r="AD32" s="50"/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83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83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208" t="s">
        <v>92</v>
      </c>
      <c r="S44" s="208"/>
      <c r="T44" s="208"/>
      <c r="U44" s="208"/>
      <c r="V44" s="208"/>
      <c r="W44" s="208"/>
      <c r="X44" s="208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Y14" sqref="Y14:AA36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28515625" customWidth="1"/>
    <col min="17" max="18" width="10.140625" customWidth="1"/>
    <col min="19" max="19" width="10" customWidth="1"/>
    <col min="20" max="20" width="9.710937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158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27</v>
      </c>
      <c r="X5" s="34">
        <f>'[1]31.12.25см2'!Y5</f>
        <v>510168.7</v>
      </c>
      <c r="Y5" s="34">
        <f>X5+P17</f>
        <v>510168.7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28</v>
      </c>
      <c r="X6" s="45">
        <f>'[1]31.12.25см2'!Y6</f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29</v>
      </c>
      <c r="X7" s="48">
        <f>'[1]31.12.25см2'!Y7</f>
        <v>502129</v>
      </c>
      <c r="Y7" s="34">
        <f>X7+S17</f>
        <v>502129</v>
      </c>
      <c r="Z7" s="46">
        <f>Y7-X7</f>
        <v>0</v>
      </c>
      <c r="AA7" s="47">
        <v>4</v>
      </c>
      <c r="AB7" s="267">
        <v>0.875</v>
      </c>
      <c r="AC7" s="49" t="s">
        <v>30</v>
      </c>
      <c r="AD7" s="50"/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31</v>
      </c>
      <c r="X8" s="46">
        <f>'[1]31.12.25см2'!Y8</f>
        <v>8613.7800000000007</v>
      </c>
      <c r="Y8" s="34">
        <f>X8+T17</f>
        <v>8613.7800000000007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33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/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44</v>
      </c>
      <c r="X14" s="280">
        <v>0.91666666666666663</v>
      </c>
      <c r="Y14" s="210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46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48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72"/>
      <c r="AA17" s="73">
        <f>100-Z17</f>
        <v>100</v>
      </c>
      <c r="AB17" s="283">
        <v>4.1666666666666664E-2</v>
      </c>
      <c r="AC17" s="62" t="s">
        <v>30</v>
      </c>
      <c r="AD17" s="50"/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159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11.333333333333334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10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12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0.125</v>
      </c>
      <c r="AC22" s="49" t="s">
        <v>30</v>
      </c>
      <c r="AD22" s="50"/>
      <c r="AE22" s="11">
        <v>20</v>
      </c>
      <c r="AF22" s="12">
        <f t="shared" si="0"/>
        <v>13.333333333333334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0.20833333333333334</v>
      </c>
      <c r="AC27" s="62" t="s">
        <v>30</v>
      </c>
      <c r="AD27" s="50"/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/>
      <c r="AA32" s="70">
        <f>100-Z32</f>
        <v>100</v>
      </c>
      <c r="AB32" s="267">
        <v>0.29166666666666669</v>
      </c>
      <c r="AC32" s="62" t="s">
        <v>30</v>
      </c>
      <c r="AD32" s="50"/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73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73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208"/>
      <c r="X44" s="208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X41" sqref="X41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85546875" customWidth="1"/>
    <col min="19" max="19" width="10.140625" customWidth="1"/>
    <col min="20" max="20" width="10.2851562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111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93</v>
      </c>
      <c r="X5" s="34">
        <v>510645.7</v>
      </c>
      <c r="Y5" s="34">
        <f>X5+P17</f>
        <v>510645.7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94</v>
      </c>
      <c r="X6" s="45"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95</v>
      </c>
      <c r="X7" s="48">
        <v>502461</v>
      </c>
      <c r="Y7" s="34">
        <f>X7+S17</f>
        <v>502461</v>
      </c>
      <c r="Z7" s="46">
        <f>Y7-X7</f>
        <v>0</v>
      </c>
      <c r="AA7" s="47">
        <v>4</v>
      </c>
      <c r="AB7" s="267">
        <v>0.375</v>
      </c>
      <c r="AC7" s="49" t="s">
        <v>30</v>
      </c>
      <c r="AD7" s="50"/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96</v>
      </c>
      <c r="X8" s="46">
        <v>101.31699999999999</v>
      </c>
      <c r="Y8" s="34">
        <f>X8+T17</f>
        <v>101.31699999999999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97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/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102</v>
      </c>
      <c r="X14" s="280">
        <v>0.41666666666666669</v>
      </c>
      <c r="Y14" s="207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103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104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95"/>
      <c r="AA17" s="73">
        <f>100-Z17</f>
        <v>100</v>
      </c>
      <c r="AB17" s="283">
        <v>0.54166666666666663</v>
      </c>
      <c r="AC17" s="62" t="s">
        <v>30</v>
      </c>
      <c r="AD17" s="50"/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112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3.1166666666666667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07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3.3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0.625</v>
      </c>
      <c r="AC22" s="49" t="s">
        <v>30</v>
      </c>
      <c r="AD22" s="50"/>
      <c r="AE22" s="11">
        <v>20</v>
      </c>
      <c r="AF22" s="12">
        <f t="shared" si="0"/>
        <v>3.6666666666666665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07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0.70833333333333337</v>
      </c>
      <c r="AC27" s="62" t="s">
        <v>30</v>
      </c>
      <c r="AD27" s="50"/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/>
      <c r="AA32" s="70">
        <f>100-Z32</f>
        <v>100</v>
      </c>
      <c r="AB32" s="267">
        <v>0.79166666666666663</v>
      </c>
      <c r="AC32" s="62" t="s">
        <v>30</v>
      </c>
      <c r="AD32" s="50"/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83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83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208" t="s">
        <v>92</v>
      </c>
      <c r="S44" s="208"/>
      <c r="T44" s="208"/>
      <c r="U44" s="208"/>
      <c r="V44" s="208"/>
      <c r="W44" s="208"/>
      <c r="X44" s="208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Y14" sqref="Y14:AA36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28515625" customWidth="1"/>
    <col min="17" max="18" width="10.140625" customWidth="1"/>
    <col min="19" max="19" width="10" customWidth="1"/>
    <col min="20" max="20" width="9.710937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158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27</v>
      </c>
      <c r="X5" s="34">
        <f>'[1]31.12.25см2'!Y5</f>
        <v>510168.7</v>
      </c>
      <c r="Y5" s="34">
        <f>X5+P17</f>
        <v>510168.7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28</v>
      </c>
      <c r="X6" s="45">
        <f>'[1]31.12.25см2'!Y6</f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29</v>
      </c>
      <c r="X7" s="48">
        <f>'[1]31.12.25см2'!Y7</f>
        <v>502129</v>
      </c>
      <c r="Y7" s="34">
        <f>X7+S17</f>
        <v>502129</v>
      </c>
      <c r="Z7" s="46">
        <f>Y7-X7</f>
        <v>0</v>
      </c>
      <c r="AA7" s="47">
        <v>4</v>
      </c>
      <c r="AB7" s="267">
        <v>0.875</v>
      </c>
      <c r="AC7" s="49" t="s">
        <v>30</v>
      </c>
      <c r="AD7" s="50"/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31</v>
      </c>
      <c r="X8" s="46">
        <f>'[1]31.12.25см2'!Y8</f>
        <v>8613.7800000000007</v>
      </c>
      <c r="Y8" s="34">
        <f>X8+T17</f>
        <v>8613.7800000000007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33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/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44</v>
      </c>
      <c r="X14" s="280">
        <v>0.91666666666666663</v>
      </c>
      <c r="Y14" s="210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46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48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72"/>
      <c r="AA17" s="73">
        <f>100-Z17</f>
        <v>100</v>
      </c>
      <c r="AB17" s="283">
        <v>4.1666666666666664E-2</v>
      </c>
      <c r="AC17" s="62" t="s">
        <v>30</v>
      </c>
      <c r="AD17" s="50"/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159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11.333333333333334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10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12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0.125</v>
      </c>
      <c r="AC22" s="49" t="s">
        <v>30</v>
      </c>
      <c r="AD22" s="50"/>
      <c r="AE22" s="11">
        <v>20</v>
      </c>
      <c r="AF22" s="12">
        <f t="shared" si="0"/>
        <v>13.333333333333334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0.20833333333333334</v>
      </c>
      <c r="AC27" s="62" t="s">
        <v>30</v>
      </c>
      <c r="AD27" s="50"/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/>
      <c r="AA32" s="70">
        <f>100-Z32</f>
        <v>100</v>
      </c>
      <c r="AB32" s="267">
        <v>0.29166666666666669</v>
      </c>
      <c r="AC32" s="62" t="s">
        <v>30</v>
      </c>
      <c r="AD32" s="50"/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73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73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208"/>
      <c r="X44" s="208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X41" sqref="X41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85546875" customWidth="1"/>
    <col min="19" max="19" width="10.140625" customWidth="1"/>
    <col min="20" max="20" width="10.2851562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111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93</v>
      </c>
      <c r="X5" s="34">
        <v>510645.7</v>
      </c>
      <c r="Y5" s="34">
        <f>X5+P17</f>
        <v>510645.7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94</v>
      </c>
      <c r="X6" s="45"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95</v>
      </c>
      <c r="X7" s="48">
        <v>502461</v>
      </c>
      <c r="Y7" s="34">
        <f>X7+S17</f>
        <v>502461</v>
      </c>
      <c r="Z7" s="46">
        <f>Y7-X7</f>
        <v>0</v>
      </c>
      <c r="AA7" s="47">
        <v>4</v>
      </c>
      <c r="AB7" s="267">
        <v>0.375</v>
      </c>
      <c r="AC7" s="49" t="s">
        <v>30</v>
      </c>
      <c r="AD7" s="50"/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96</v>
      </c>
      <c r="X8" s="46">
        <v>101.31699999999999</v>
      </c>
      <c r="Y8" s="34">
        <f>X8+T17</f>
        <v>101.31699999999999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97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/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102</v>
      </c>
      <c r="X14" s="280">
        <v>0.41666666666666669</v>
      </c>
      <c r="Y14" s="207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103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104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95"/>
      <c r="AA17" s="73">
        <f>100-Z17</f>
        <v>100</v>
      </c>
      <c r="AB17" s="283">
        <v>0.54166666666666663</v>
      </c>
      <c r="AC17" s="62" t="s">
        <v>30</v>
      </c>
      <c r="AD17" s="50"/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112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3.1166666666666667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07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3.3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0.625</v>
      </c>
      <c r="AC22" s="49" t="s">
        <v>30</v>
      </c>
      <c r="AD22" s="50"/>
      <c r="AE22" s="11">
        <v>20</v>
      </c>
      <c r="AF22" s="12">
        <f t="shared" si="0"/>
        <v>3.6666666666666665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07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0.70833333333333337</v>
      </c>
      <c r="AC27" s="62" t="s">
        <v>30</v>
      </c>
      <c r="AD27" s="50"/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/>
      <c r="AA32" s="70">
        <f>100-Z32</f>
        <v>100</v>
      </c>
      <c r="AB32" s="267">
        <v>0.79166666666666663</v>
      </c>
      <c r="AC32" s="62" t="s">
        <v>30</v>
      </c>
      <c r="AD32" s="50"/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83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83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208" t="s">
        <v>92</v>
      </c>
      <c r="S44" s="208"/>
      <c r="T44" s="208"/>
      <c r="U44" s="208"/>
      <c r="V44" s="208"/>
      <c r="W44" s="208"/>
      <c r="X44" s="208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Y14" sqref="Y14:AA36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28515625" customWidth="1"/>
    <col min="17" max="18" width="10.140625" customWidth="1"/>
    <col min="19" max="19" width="10" customWidth="1"/>
    <col min="20" max="20" width="9.710937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158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27</v>
      </c>
      <c r="X5" s="34">
        <f>'[1]31.12.25см2'!Y5</f>
        <v>510168.7</v>
      </c>
      <c r="Y5" s="34">
        <f>X5+P17</f>
        <v>510168.7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28</v>
      </c>
      <c r="X6" s="45">
        <f>'[1]31.12.25см2'!Y6</f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29</v>
      </c>
      <c r="X7" s="48">
        <f>'[1]31.12.25см2'!Y7</f>
        <v>502129</v>
      </c>
      <c r="Y7" s="34">
        <f>X7+S17</f>
        <v>502129</v>
      </c>
      <c r="Z7" s="46">
        <f>Y7-X7</f>
        <v>0</v>
      </c>
      <c r="AA7" s="47">
        <v>4</v>
      </c>
      <c r="AB7" s="267">
        <v>0.875</v>
      </c>
      <c r="AC7" s="49" t="s">
        <v>30</v>
      </c>
      <c r="AD7" s="50"/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31</v>
      </c>
      <c r="X8" s="46">
        <f>'[1]31.12.25см2'!Y8</f>
        <v>8613.7800000000007</v>
      </c>
      <c r="Y8" s="34">
        <f>X8+T17</f>
        <v>8613.7800000000007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33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/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44</v>
      </c>
      <c r="X14" s="280">
        <v>0.91666666666666663</v>
      </c>
      <c r="Y14" s="210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46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48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72"/>
      <c r="AA17" s="73">
        <f>100-Z17</f>
        <v>100</v>
      </c>
      <c r="AB17" s="283">
        <v>4.1666666666666664E-2</v>
      </c>
      <c r="AC17" s="62" t="s">
        <v>30</v>
      </c>
      <c r="AD17" s="50"/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159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11.333333333333334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10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12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0.125</v>
      </c>
      <c r="AC22" s="49" t="s">
        <v>30</v>
      </c>
      <c r="AD22" s="50"/>
      <c r="AE22" s="11">
        <v>20</v>
      </c>
      <c r="AF22" s="12">
        <f t="shared" si="0"/>
        <v>13.333333333333334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0.20833333333333334</v>
      </c>
      <c r="AC27" s="62" t="s">
        <v>30</v>
      </c>
      <c r="AD27" s="50"/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/>
      <c r="AA32" s="70">
        <f>100-Z32</f>
        <v>100</v>
      </c>
      <c r="AB32" s="267">
        <v>0.29166666666666669</v>
      </c>
      <c r="AC32" s="62" t="s">
        <v>30</v>
      </c>
      <c r="AD32" s="50"/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73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73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208"/>
      <c r="X44" s="208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X41" sqref="X41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85546875" customWidth="1"/>
    <col min="19" max="19" width="10.140625" customWidth="1"/>
    <col min="20" max="20" width="10.2851562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111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93</v>
      </c>
      <c r="X5" s="34">
        <v>510645.7</v>
      </c>
      <c r="Y5" s="34">
        <f>X5+P17</f>
        <v>510645.7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94</v>
      </c>
      <c r="X6" s="45"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95</v>
      </c>
      <c r="X7" s="48">
        <v>502461</v>
      </c>
      <c r="Y7" s="34">
        <f>X7+S17</f>
        <v>502461</v>
      </c>
      <c r="Z7" s="46">
        <f>Y7-X7</f>
        <v>0</v>
      </c>
      <c r="AA7" s="47">
        <v>4</v>
      </c>
      <c r="AB7" s="267">
        <v>0.375</v>
      </c>
      <c r="AC7" s="49" t="s">
        <v>30</v>
      </c>
      <c r="AD7" s="50"/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96</v>
      </c>
      <c r="X8" s="46">
        <v>101.31699999999999</v>
      </c>
      <c r="Y8" s="34">
        <f>X8+T17</f>
        <v>101.31699999999999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97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/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102</v>
      </c>
      <c r="X14" s="280">
        <v>0.41666666666666669</v>
      </c>
      <c r="Y14" s="207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103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104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95"/>
      <c r="AA17" s="73">
        <f>100-Z17</f>
        <v>100</v>
      </c>
      <c r="AB17" s="283">
        <v>0.54166666666666663</v>
      </c>
      <c r="AC17" s="62" t="s">
        <v>30</v>
      </c>
      <c r="AD17" s="50"/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112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3.1166666666666667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07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3.3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0.625</v>
      </c>
      <c r="AC22" s="49" t="s">
        <v>30</v>
      </c>
      <c r="AD22" s="50"/>
      <c r="AE22" s="11">
        <v>20</v>
      </c>
      <c r="AF22" s="12">
        <f t="shared" si="0"/>
        <v>3.6666666666666665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07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0.70833333333333337</v>
      </c>
      <c r="AC27" s="62" t="s">
        <v>30</v>
      </c>
      <c r="AD27" s="50"/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/>
      <c r="AA32" s="70">
        <f>100-Z32</f>
        <v>100</v>
      </c>
      <c r="AB32" s="267">
        <v>0.79166666666666663</v>
      </c>
      <c r="AC32" s="62" t="s">
        <v>30</v>
      </c>
      <c r="AD32" s="50"/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83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83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208" t="s">
        <v>92</v>
      </c>
      <c r="S44" s="208"/>
      <c r="T44" s="208"/>
      <c r="U44" s="208"/>
      <c r="V44" s="208"/>
      <c r="W44" s="208"/>
      <c r="X44" s="208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Y14" sqref="Y14:AA36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28515625" customWidth="1"/>
    <col min="17" max="18" width="10.140625" customWidth="1"/>
    <col min="19" max="19" width="10" customWidth="1"/>
    <col min="20" max="20" width="9.710937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158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27</v>
      </c>
      <c r="X5" s="34">
        <f>'[1]31.12.25см2'!Y5</f>
        <v>510168.7</v>
      </c>
      <c r="Y5" s="34">
        <f>X5+P17</f>
        <v>510168.7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28</v>
      </c>
      <c r="X6" s="45">
        <f>'[1]31.12.25см2'!Y6</f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29</v>
      </c>
      <c r="X7" s="48">
        <f>'[1]31.12.25см2'!Y7</f>
        <v>502129</v>
      </c>
      <c r="Y7" s="34">
        <f>X7+S17</f>
        <v>502129</v>
      </c>
      <c r="Z7" s="46">
        <f>Y7-X7</f>
        <v>0</v>
      </c>
      <c r="AA7" s="47">
        <v>4</v>
      </c>
      <c r="AB7" s="267">
        <v>0.875</v>
      </c>
      <c r="AC7" s="49" t="s">
        <v>30</v>
      </c>
      <c r="AD7" s="50"/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31</v>
      </c>
      <c r="X8" s="46">
        <f>'[1]31.12.25см2'!Y8</f>
        <v>8613.7800000000007</v>
      </c>
      <c r="Y8" s="34">
        <f>X8+T17</f>
        <v>8613.7800000000007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33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/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44</v>
      </c>
      <c r="X14" s="280">
        <v>0.91666666666666663</v>
      </c>
      <c r="Y14" s="210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46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48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72"/>
      <c r="AA17" s="73">
        <f>100-Z17</f>
        <v>100</v>
      </c>
      <c r="AB17" s="283">
        <v>4.1666666666666664E-2</v>
      </c>
      <c r="AC17" s="62" t="s">
        <v>30</v>
      </c>
      <c r="AD17" s="50"/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159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11.333333333333334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10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12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0.125</v>
      </c>
      <c r="AC22" s="49" t="s">
        <v>30</v>
      </c>
      <c r="AD22" s="50"/>
      <c r="AE22" s="11">
        <v>20</v>
      </c>
      <c r="AF22" s="12">
        <f t="shared" si="0"/>
        <v>13.333333333333334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0.20833333333333334</v>
      </c>
      <c r="AC27" s="62" t="s">
        <v>30</v>
      </c>
      <c r="AD27" s="50"/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/>
      <c r="AA32" s="70">
        <f>100-Z32</f>
        <v>100</v>
      </c>
      <c r="AB32" s="267">
        <v>0.29166666666666669</v>
      </c>
      <c r="AC32" s="62" t="s">
        <v>30</v>
      </c>
      <c r="AD32" s="50"/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73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73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208"/>
      <c r="X44" s="208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X41" sqref="X41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85546875" customWidth="1"/>
    <col min="19" max="19" width="10.140625" customWidth="1"/>
    <col min="20" max="20" width="10.2851562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111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93</v>
      </c>
      <c r="X5" s="34">
        <v>510645.7</v>
      </c>
      <c r="Y5" s="34">
        <f>X5+P17</f>
        <v>510645.7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94</v>
      </c>
      <c r="X6" s="45"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95</v>
      </c>
      <c r="X7" s="48">
        <v>502461</v>
      </c>
      <c r="Y7" s="34">
        <f>X7+S17</f>
        <v>502461</v>
      </c>
      <c r="Z7" s="46">
        <f>Y7-X7</f>
        <v>0</v>
      </c>
      <c r="AA7" s="47">
        <v>4</v>
      </c>
      <c r="AB7" s="267">
        <v>0.375</v>
      </c>
      <c r="AC7" s="49" t="s">
        <v>30</v>
      </c>
      <c r="AD7" s="50"/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96</v>
      </c>
      <c r="X8" s="46">
        <v>101.31699999999999</v>
      </c>
      <c r="Y8" s="34">
        <f>X8+T17</f>
        <v>101.31699999999999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97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/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102</v>
      </c>
      <c r="X14" s="280">
        <v>0.41666666666666669</v>
      </c>
      <c r="Y14" s="207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103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104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95"/>
      <c r="AA17" s="73">
        <f>100-Z17</f>
        <v>100</v>
      </c>
      <c r="AB17" s="283">
        <v>0.54166666666666663</v>
      </c>
      <c r="AC17" s="62" t="s">
        <v>30</v>
      </c>
      <c r="AD17" s="50"/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112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3.1166666666666667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07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3.3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0.625</v>
      </c>
      <c r="AC22" s="49" t="s">
        <v>30</v>
      </c>
      <c r="AD22" s="50"/>
      <c r="AE22" s="11">
        <v>20</v>
      </c>
      <c r="AF22" s="12">
        <f t="shared" si="0"/>
        <v>3.6666666666666665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07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0.70833333333333337</v>
      </c>
      <c r="AC27" s="62" t="s">
        <v>30</v>
      </c>
      <c r="AD27" s="50"/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/>
      <c r="AA32" s="70">
        <f>100-Z32</f>
        <v>100</v>
      </c>
      <c r="AB32" s="267">
        <v>0.79166666666666663</v>
      </c>
      <c r="AC32" s="62" t="s">
        <v>30</v>
      </c>
      <c r="AD32" s="50"/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83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83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208" t="s">
        <v>92</v>
      </c>
      <c r="S44" s="208"/>
      <c r="T44" s="208"/>
      <c r="U44" s="208"/>
      <c r="V44" s="208"/>
      <c r="W44" s="208"/>
      <c r="X44" s="208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Y14" sqref="Y14:AA36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28515625" customWidth="1"/>
    <col min="17" max="18" width="10.140625" customWidth="1"/>
    <col min="19" max="19" width="10" customWidth="1"/>
    <col min="20" max="20" width="9.710937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158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27</v>
      </c>
      <c r="X5" s="34">
        <f>'[1]31.12.25см2'!Y5</f>
        <v>510168.7</v>
      </c>
      <c r="Y5" s="34">
        <f>X5+P17</f>
        <v>510168.7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28</v>
      </c>
      <c r="X6" s="45">
        <f>'[1]31.12.25см2'!Y6</f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29</v>
      </c>
      <c r="X7" s="48">
        <f>'[1]31.12.25см2'!Y7</f>
        <v>502129</v>
      </c>
      <c r="Y7" s="34">
        <f>X7+S17</f>
        <v>502129</v>
      </c>
      <c r="Z7" s="46">
        <f>Y7-X7</f>
        <v>0</v>
      </c>
      <c r="AA7" s="47">
        <v>4</v>
      </c>
      <c r="AB7" s="267">
        <v>0.875</v>
      </c>
      <c r="AC7" s="49" t="s">
        <v>30</v>
      </c>
      <c r="AD7" s="50"/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31</v>
      </c>
      <c r="X8" s="46">
        <f>'[1]31.12.25см2'!Y8</f>
        <v>8613.7800000000007</v>
      </c>
      <c r="Y8" s="34">
        <f>X8+T17</f>
        <v>8613.7800000000007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33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/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44</v>
      </c>
      <c r="X14" s="280">
        <v>0.91666666666666663</v>
      </c>
      <c r="Y14" s="210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46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48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72"/>
      <c r="AA17" s="73">
        <f>100-Z17</f>
        <v>100</v>
      </c>
      <c r="AB17" s="283">
        <v>4.1666666666666664E-2</v>
      </c>
      <c r="AC17" s="62" t="s">
        <v>30</v>
      </c>
      <c r="AD17" s="50"/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159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11.333333333333334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10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12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0.125</v>
      </c>
      <c r="AC22" s="49" t="s">
        <v>30</v>
      </c>
      <c r="AD22" s="50"/>
      <c r="AE22" s="11">
        <v>20</v>
      </c>
      <c r="AF22" s="12">
        <f t="shared" si="0"/>
        <v>13.333333333333334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0.20833333333333334</v>
      </c>
      <c r="AC27" s="62" t="s">
        <v>30</v>
      </c>
      <c r="AD27" s="50"/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/>
      <c r="AA32" s="70">
        <f>100-Z32</f>
        <v>100</v>
      </c>
      <c r="AB32" s="267">
        <v>0.29166666666666669</v>
      </c>
      <c r="AC32" s="62" t="s">
        <v>30</v>
      </c>
      <c r="AD32" s="50"/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73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73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208"/>
      <c r="X44" s="208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X41" sqref="X41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85546875" customWidth="1"/>
    <col min="19" max="19" width="10.140625" customWidth="1"/>
    <col min="20" max="20" width="10.2851562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111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93</v>
      </c>
      <c r="X5" s="34">
        <v>510645.7</v>
      </c>
      <c r="Y5" s="34">
        <f>X5+P17</f>
        <v>510645.7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94</v>
      </c>
      <c r="X6" s="45"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95</v>
      </c>
      <c r="X7" s="48">
        <v>502461</v>
      </c>
      <c r="Y7" s="34">
        <f>X7+S17</f>
        <v>502461</v>
      </c>
      <c r="Z7" s="46">
        <f>Y7-X7</f>
        <v>0</v>
      </c>
      <c r="AA7" s="47">
        <v>4</v>
      </c>
      <c r="AB7" s="267">
        <v>0.375</v>
      </c>
      <c r="AC7" s="49" t="s">
        <v>30</v>
      </c>
      <c r="AD7" s="50"/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96</v>
      </c>
      <c r="X8" s="46">
        <v>101.31699999999999</v>
      </c>
      <c r="Y8" s="34">
        <f>X8+T17</f>
        <v>101.31699999999999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97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/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102</v>
      </c>
      <c r="X14" s="280">
        <v>0.41666666666666669</v>
      </c>
      <c r="Y14" s="207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103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104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95"/>
      <c r="AA17" s="73">
        <f>100-Z17</f>
        <v>100</v>
      </c>
      <c r="AB17" s="283">
        <v>0.54166666666666663</v>
      </c>
      <c r="AC17" s="62" t="s">
        <v>30</v>
      </c>
      <c r="AD17" s="50"/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112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3.1166666666666667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07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3.3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0.625</v>
      </c>
      <c r="AC22" s="49" t="s">
        <v>30</v>
      </c>
      <c r="AD22" s="50"/>
      <c r="AE22" s="11">
        <v>20</v>
      </c>
      <c r="AF22" s="12">
        <f t="shared" si="0"/>
        <v>3.6666666666666665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07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0.70833333333333337</v>
      </c>
      <c r="AC27" s="62" t="s">
        <v>30</v>
      </c>
      <c r="AD27" s="50"/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/>
      <c r="AA32" s="70">
        <f>100-Z32</f>
        <v>100</v>
      </c>
      <c r="AB32" s="267">
        <v>0.79166666666666663</v>
      </c>
      <c r="AC32" s="62" t="s">
        <v>30</v>
      </c>
      <c r="AD32" s="50"/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83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83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208" t="s">
        <v>92</v>
      </c>
      <c r="S44" s="208"/>
      <c r="T44" s="208"/>
      <c r="U44" s="208"/>
      <c r="V44" s="208"/>
      <c r="W44" s="208"/>
      <c r="X44" s="208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Y14" sqref="Y14:AA36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28515625" customWidth="1"/>
    <col min="17" max="18" width="10.140625" customWidth="1"/>
    <col min="19" max="19" width="10" customWidth="1"/>
    <col min="20" max="20" width="9.710937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158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27</v>
      </c>
      <c r="X5" s="34">
        <f>'[1]31.12.25см2'!Y5</f>
        <v>510168.7</v>
      </c>
      <c r="Y5" s="34">
        <f>X5+P17</f>
        <v>510168.7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28</v>
      </c>
      <c r="X6" s="45">
        <f>'[1]31.12.25см2'!Y6</f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29</v>
      </c>
      <c r="X7" s="48">
        <f>'[1]31.12.25см2'!Y7</f>
        <v>502129</v>
      </c>
      <c r="Y7" s="34">
        <f>X7+S17</f>
        <v>502129</v>
      </c>
      <c r="Z7" s="46">
        <f>Y7-X7</f>
        <v>0</v>
      </c>
      <c r="AA7" s="47">
        <v>4</v>
      </c>
      <c r="AB7" s="267">
        <v>0.875</v>
      </c>
      <c r="AC7" s="49" t="s">
        <v>30</v>
      </c>
      <c r="AD7" s="50"/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31</v>
      </c>
      <c r="X8" s="46">
        <f>'[1]31.12.25см2'!Y8</f>
        <v>8613.7800000000007</v>
      </c>
      <c r="Y8" s="34">
        <f>X8+T17</f>
        <v>8613.7800000000007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33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/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44</v>
      </c>
      <c r="X14" s="280">
        <v>0.91666666666666663</v>
      </c>
      <c r="Y14" s="210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46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48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72"/>
      <c r="AA17" s="73">
        <f>100-Z17</f>
        <v>100</v>
      </c>
      <c r="AB17" s="283">
        <v>4.1666666666666664E-2</v>
      </c>
      <c r="AC17" s="62" t="s">
        <v>30</v>
      </c>
      <c r="AD17" s="50"/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159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11.333333333333334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10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12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0.125</v>
      </c>
      <c r="AC22" s="49" t="s">
        <v>30</v>
      </c>
      <c r="AD22" s="50"/>
      <c r="AE22" s="11">
        <v>20</v>
      </c>
      <c r="AF22" s="12">
        <f t="shared" si="0"/>
        <v>13.333333333333334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0.20833333333333334</v>
      </c>
      <c r="AC27" s="62" t="s">
        <v>30</v>
      </c>
      <c r="AD27" s="50"/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/>
      <c r="AA32" s="70">
        <f>100-Z32</f>
        <v>100</v>
      </c>
      <c r="AB32" s="267">
        <v>0.29166666666666669</v>
      </c>
      <c r="AC32" s="62" t="s">
        <v>30</v>
      </c>
      <c r="AD32" s="50"/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73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73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208"/>
      <c r="X44" s="208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X41" sqref="X41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85546875" customWidth="1"/>
    <col min="19" max="19" width="10.140625" customWidth="1"/>
    <col min="20" max="20" width="10.2851562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111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93</v>
      </c>
      <c r="X5" s="34">
        <v>510645.7</v>
      </c>
      <c r="Y5" s="34">
        <f>X5+P17</f>
        <v>510645.7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94</v>
      </c>
      <c r="X6" s="45"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95</v>
      </c>
      <c r="X7" s="48">
        <v>502461</v>
      </c>
      <c r="Y7" s="34">
        <f>X7+S17</f>
        <v>502461</v>
      </c>
      <c r="Z7" s="46">
        <f>Y7-X7</f>
        <v>0</v>
      </c>
      <c r="AA7" s="47">
        <v>4</v>
      </c>
      <c r="AB7" s="267">
        <v>0.375</v>
      </c>
      <c r="AC7" s="49" t="s">
        <v>30</v>
      </c>
      <c r="AD7" s="50"/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96</v>
      </c>
      <c r="X8" s="46">
        <v>101.31699999999999</v>
      </c>
      <c r="Y8" s="34">
        <f>X8+T17</f>
        <v>101.31699999999999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97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/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102</v>
      </c>
      <c r="X14" s="280">
        <v>0.41666666666666669</v>
      </c>
      <c r="Y14" s="207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103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104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95"/>
      <c r="AA17" s="73">
        <f>100-Z17</f>
        <v>100</v>
      </c>
      <c r="AB17" s="283">
        <v>0.54166666666666663</v>
      </c>
      <c r="AC17" s="62" t="s">
        <v>30</v>
      </c>
      <c r="AD17" s="50"/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112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3.1166666666666667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07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3.3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0.625</v>
      </c>
      <c r="AC22" s="49" t="s">
        <v>30</v>
      </c>
      <c r="AD22" s="50"/>
      <c r="AE22" s="11">
        <v>20</v>
      </c>
      <c r="AF22" s="12">
        <f t="shared" si="0"/>
        <v>3.6666666666666665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07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0.70833333333333337</v>
      </c>
      <c r="AC27" s="62" t="s">
        <v>30</v>
      </c>
      <c r="AD27" s="50"/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/>
      <c r="AA32" s="70">
        <f>100-Z32</f>
        <v>100</v>
      </c>
      <c r="AB32" s="267">
        <v>0.79166666666666663</v>
      </c>
      <c r="AC32" s="62" t="s">
        <v>30</v>
      </c>
      <c r="AD32" s="50"/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83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83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208" t="s">
        <v>92</v>
      </c>
      <c r="S44" s="208"/>
      <c r="T44" s="208"/>
      <c r="U44" s="208"/>
      <c r="V44" s="208"/>
      <c r="W44" s="208"/>
      <c r="X44" s="208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Y14" sqref="Y14:AA36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28515625" customWidth="1"/>
    <col min="17" max="18" width="10.140625" customWidth="1"/>
    <col min="19" max="19" width="10" customWidth="1"/>
    <col min="20" max="20" width="9.710937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158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27</v>
      </c>
      <c r="X5" s="34">
        <f>'[1]31.12.25см2'!Y5</f>
        <v>510168.7</v>
      </c>
      <c r="Y5" s="34">
        <f>X5+P17</f>
        <v>510168.7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28</v>
      </c>
      <c r="X6" s="45">
        <f>'[1]31.12.25см2'!Y6</f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29</v>
      </c>
      <c r="X7" s="48">
        <f>'[1]31.12.25см2'!Y7</f>
        <v>502129</v>
      </c>
      <c r="Y7" s="34">
        <f>X7+S17</f>
        <v>502129</v>
      </c>
      <c r="Z7" s="46">
        <f>Y7-X7</f>
        <v>0</v>
      </c>
      <c r="AA7" s="47">
        <v>4</v>
      </c>
      <c r="AB7" s="267">
        <v>0.875</v>
      </c>
      <c r="AC7" s="49" t="s">
        <v>30</v>
      </c>
      <c r="AD7" s="50"/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31</v>
      </c>
      <c r="X8" s="46">
        <f>'[1]31.12.25см2'!Y8</f>
        <v>8613.7800000000007</v>
      </c>
      <c r="Y8" s="34">
        <f>X8+T17</f>
        <v>8613.7800000000007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33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/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44</v>
      </c>
      <c r="X14" s="280">
        <v>0.91666666666666663</v>
      </c>
      <c r="Y14" s="210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46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48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72"/>
      <c r="AA17" s="73">
        <f>100-Z17</f>
        <v>100</v>
      </c>
      <c r="AB17" s="283">
        <v>4.1666666666666664E-2</v>
      </c>
      <c r="AC17" s="62" t="s">
        <v>30</v>
      </c>
      <c r="AD17" s="50"/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159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11.333333333333334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10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12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0.125</v>
      </c>
      <c r="AC22" s="49" t="s">
        <v>30</v>
      </c>
      <c r="AD22" s="50"/>
      <c r="AE22" s="11">
        <v>20</v>
      </c>
      <c r="AF22" s="12">
        <f t="shared" si="0"/>
        <v>13.333333333333334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0.20833333333333334</v>
      </c>
      <c r="AC27" s="62" t="s">
        <v>30</v>
      </c>
      <c r="AD27" s="50"/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/>
      <c r="AA32" s="70">
        <f>100-Z32</f>
        <v>100</v>
      </c>
      <c r="AB32" s="267">
        <v>0.29166666666666669</v>
      </c>
      <c r="AC32" s="62" t="s">
        <v>30</v>
      </c>
      <c r="AD32" s="50"/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73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73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208"/>
      <c r="X44" s="208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X41" sqref="X41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85546875" customWidth="1"/>
    <col min="19" max="19" width="10.140625" customWidth="1"/>
    <col min="20" max="20" width="10.2851562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111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93</v>
      </c>
      <c r="X5" s="34">
        <v>510645.7</v>
      </c>
      <c r="Y5" s="34">
        <f>X5+P17</f>
        <v>510645.7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94</v>
      </c>
      <c r="X6" s="45"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95</v>
      </c>
      <c r="X7" s="48">
        <v>502461</v>
      </c>
      <c r="Y7" s="34">
        <f>X7+S17</f>
        <v>502461</v>
      </c>
      <c r="Z7" s="46">
        <f>Y7-X7</f>
        <v>0</v>
      </c>
      <c r="AA7" s="47">
        <v>4</v>
      </c>
      <c r="AB7" s="267">
        <v>0.375</v>
      </c>
      <c r="AC7" s="49" t="s">
        <v>30</v>
      </c>
      <c r="AD7" s="50"/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96</v>
      </c>
      <c r="X8" s="46">
        <v>101.31699999999999</v>
      </c>
      <c r="Y8" s="34">
        <f>X8+T17</f>
        <v>101.31699999999999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97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/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102</v>
      </c>
      <c r="X14" s="280">
        <v>0.41666666666666669</v>
      </c>
      <c r="Y14" s="207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103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104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95"/>
      <c r="AA17" s="73">
        <f>100-Z17</f>
        <v>100</v>
      </c>
      <c r="AB17" s="283">
        <v>0.54166666666666663</v>
      </c>
      <c r="AC17" s="62" t="s">
        <v>30</v>
      </c>
      <c r="AD17" s="50"/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112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3.1166666666666667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07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3.3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0.625</v>
      </c>
      <c r="AC22" s="49" t="s">
        <v>30</v>
      </c>
      <c r="AD22" s="50"/>
      <c r="AE22" s="11">
        <v>20</v>
      </c>
      <c r="AF22" s="12">
        <f t="shared" si="0"/>
        <v>3.6666666666666665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07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0.70833333333333337</v>
      </c>
      <c r="AC27" s="62" t="s">
        <v>30</v>
      </c>
      <c r="AD27" s="50"/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/>
      <c r="AA32" s="70">
        <f>100-Z32</f>
        <v>100</v>
      </c>
      <c r="AB32" s="267">
        <v>0.79166666666666663</v>
      </c>
      <c r="AC32" s="62" t="s">
        <v>30</v>
      </c>
      <c r="AD32" s="50"/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83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83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208" t="s">
        <v>92</v>
      </c>
      <c r="S44" s="208"/>
      <c r="T44" s="208"/>
      <c r="U44" s="208"/>
      <c r="V44" s="208"/>
      <c r="W44" s="208"/>
      <c r="X44" s="208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Y14" sqref="Y14:AA36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28515625" customWidth="1"/>
    <col min="17" max="18" width="10.140625" customWidth="1"/>
    <col min="19" max="19" width="10" customWidth="1"/>
    <col min="20" max="20" width="9.710937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158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27</v>
      </c>
      <c r="X5" s="34">
        <f>'[1]31.12.25см2'!Y5</f>
        <v>510168.7</v>
      </c>
      <c r="Y5" s="34">
        <f>X5+P17</f>
        <v>510168.7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28</v>
      </c>
      <c r="X6" s="45">
        <f>'[1]31.12.25см2'!Y6</f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29</v>
      </c>
      <c r="X7" s="48">
        <f>'[1]31.12.25см2'!Y7</f>
        <v>502129</v>
      </c>
      <c r="Y7" s="34">
        <f>X7+S17</f>
        <v>502129</v>
      </c>
      <c r="Z7" s="46">
        <f>Y7-X7</f>
        <v>0</v>
      </c>
      <c r="AA7" s="47">
        <v>4</v>
      </c>
      <c r="AB7" s="267">
        <v>0.875</v>
      </c>
      <c r="AC7" s="49" t="s">
        <v>30</v>
      </c>
      <c r="AD7" s="50"/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31</v>
      </c>
      <c r="X8" s="46">
        <f>'[1]31.12.25см2'!Y8</f>
        <v>8613.7800000000007</v>
      </c>
      <c r="Y8" s="34">
        <f>X8+T17</f>
        <v>8613.7800000000007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33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/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44</v>
      </c>
      <c r="X14" s="280">
        <v>0.91666666666666663</v>
      </c>
      <c r="Y14" s="210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46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48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72"/>
      <c r="AA17" s="73">
        <f>100-Z17</f>
        <v>100</v>
      </c>
      <c r="AB17" s="283">
        <v>4.1666666666666664E-2</v>
      </c>
      <c r="AC17" s="62" t="s">
        <v>30</v>
      </c>
      <c r="AD17" s="50"/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159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11.333333333333334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10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12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0.125</v>
      </c>
      <c r="AC22" s="49" t="s">
        <v>30</v>
      </c>
      <c r="AD22" s="50"/>
      <c r="AE22" s="11">
        <v>20</v>
      </c>
      <c r="AF22" s="12">
        <f t="shared" si="0"/>
        <v>13.333333333333334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0.20833333333333334</v>
      </c>
      <c r="AC27" s="62" t="s">
        <v>30</v>
      </c>
      <c r="AD27" s="50"/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/>
      <c r="AA32" s="70">
        <f>100-Z32</f>
        <v>100</v>
      </c>
      <c r="AB32" s="267">
        <v>0.29166666666666669</v>
      </c>
      <c r="AC32" s="62" t="s">
        <v>30</v>
      </c>
      <c r="AD32" s="50"/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73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73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208"/>
      <c r="X44" s="208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Y40" sqref="Y40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85546875" customWidth="1"/>
    <col min="19" max="19" width="10.140625" customWidth="1"/>
    <col min="20" max="20" width="10.2851562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111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93</v>
      </c>
      <c r="X5" s="34">
        <v>510645.7</v>
      </c>
      <c r="Y5" s="34">
        <f>X5+P17</f>
        <v>510645.7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94</v>
      </c>
      <c r="X6" s="45"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95</v>
      </c>
      <c r="X7" s="48">
        <v>502461</v>
      </c>
      <c r="Y7" s="34">
        <f>X7+S17</f>
        <v>502461</v>
      </c>
      <c r="Z7" s="46">
        <f>Y7-X7</f>
        <v>0</v>
      </c>
      <c r="AA7" s="47">
        <v>4</v>
      </c>
      <c r="AB7" s="267">
        <v>0.375</v>
      </c>
      <c r="AC7" s="49" t="s">
        <v>30</v>
      </c>
      <c r="AD7" s="50"/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96</v>
      </c>
      <c r="X8" s="46">
        <v>101.31699999999999</v>
      </c>
      <c r="Y8" s="34">
        <f>X8+T17</f>
        <v>101.31699999999999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97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/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102</v>
      </c>
      <c r="X14" s="280">
        <v>0.41666666666666669</v>
      </c>
      <c r="Y14" s="207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103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104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95"/>
      <c r="AA17" s="73">
        <f>100-Z17</f>
        <v>100</v>
      </c>
      <c r="AB17" s="283">
        <v>0.54166666666666663</v>
      </c>
      <c r="AC17" s="62" t="s">
        <v>30</v>
      </c>
      <c r="AD17" s="50"/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112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3.1166666666666667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07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3.3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0.625</v>
      </c>
      <c r="AC22" s="49" t="s">
        <v>30</v>
      </c>
      <c r="AD22" s="50"/>
      <c r="AE22" s="11">
        <v>20</v>
      </c>
      <c r="AF22" s="12">
        <f t="shared" si="0"/>
        <v>3.6666666666666665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07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0.70833333333333337</v>
      </c>
      <c r="AC27" s="62" t="s">
        <v>30</v>
      </c>
      <c r="AD27" s="50"/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/>
      <c r="AA32" s="70">
        <f>100-Z32</f>
        <v>100</v>
      </c>
      <c r="AB32" s="267">
        <v>0.79166666666666663</v>
      </c>
      <c r="AC32" s="62" t="s">
        <v>30</v>
      </c>
      <c r="AD32" s="50"/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83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83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208" t="s">
        <v>92</v>
      </c>
      <c r="S44" s="208"/>
      <c r="T44" s="208"/>
      <c r="U44" s="208"/>
      <c r="V44" s="208"/>
      <c r="W44" s="208"/>
      <c r="X44" s="208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Y14" sqref="Y14:AA36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28515625" customWidth="1"/>
    <col min="17" max="18" width="10.140625" customWidth="1"/>
    <col min="19" max="19" width="10" customWidth="1"/>
    <col min="20" max="20" width="9.710937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231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27</v>
      </c>
      <c r="X5" s="34">
        <f>'[1]31.12.25см2'!Y5</f>
        <v>510168.7</v>
      </c>
      <c r="Y5" s="34">
        <f>X5+P17</f>
        <v>510168.7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28</v>
      </c>
      <c r="X6" s="45">
        <f>'[1]31.12.25см2'!Y6</f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29</v>
      </c>
      <c r="X7" s="48">
        <f>'[1]31.12.25см2'!Y7</f>
        <v>502129</v>
      </c>
      <c r="Y7" s="34">
        <f>X7+S17</f>
        <v>502129</v>
      </c>
      <c r="Z7" s="46">
        <f>Y7-X7</f>
        <v>0</v>
      </c>
      <c r="AA7" s="47">
        <v>4</v>
      </c>
      <c r="AB7" s="267">
        <v>0.875</v>
      </c>
      <c r="AC7" s="49" t="s">
        <v>30</v>
      </c>
      <c r="AD7" s="50"/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31</v>
      </c>
      <c r="X8" s="46">
        <f>'[1]31.12.25см2'!Y8</f>
        <v>8613.7800000000007</v>
      </c>
      <c r="Y8" s="34">
        <f>X8+T17</f>
        <v>8613.7800000000007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33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/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44</v>
      </c>
      <c r="X14" s="280">
        <v>0.91666666666666663</v>
      </c>
      <c r="Y14" s="210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46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48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72"/>
      <c r="AA17" s="73">
        <f>100-Z17</f>
        <v>100</v>
      </c>
      <c r="AB17" s="283">
        <v>4.1666666666666664E-2</v>
      </c>
      <c r="AC17" s="62" t="s">
        <v>30</v>
      </c>
      <c r="AD17" s="50"/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232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11.333333333333334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10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12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0.125</v>
      </c>
      <c r="AC22" s="49" t="s">
        <v>30</v>
      </c>
      <c r="AD22" s="50"/>
      <c r="AE22" s="11">
        <v>20</v>
      </c>
      <c r="AF22" s="12">
        <f t="shared" si="0"/>
        <v>13.333333333333334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0.20833333333333334</v>
      </c>
      <c r="AC27" s="62" t="s">
        <v>30</v>
      </c>
      <c r="AD27" s="50"/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/>
      <c r="AA32" s="70">
        <f>100-Z32</f>
        <v>100</v>
      </c>
      <c r="AB32" s="267">
        <v>0.29166666666666669</v>
      </c>
      <c r="AC32" s="62" t="s">
        <v>30</v>
      </c>
      <c r="AD32" s="50"/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73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73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208"/>
      <c r="X44" s="208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Y38" sqref="Y38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85546875" customWidth="1"/>
    <col min="19" max="19" width="10.140625" customWidth="1"/>
    <col min="20" max="20" width="10.2851562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231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93</v>
      </c>
      <c r="X5" s="34">
        <v>510645.7</v>
      </c>
      <c r="Y5" s="34">
        <f>X5+P17</f>
        <v>510645.7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94</v>
      </c>
      <c r="X6" s="45"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95</v>
      </c>
      <c r="X7" s="48">
        <v>502461</v>
      </c>
      <c r="Y7" s="34">
        <f>X7+S17</f>
        <v>502461</v>
      </c>
      <c r="Z7" s="46">
        <f>Y7-X7</f>
        <v>0</v>
      </c>
      <c r="AA7" s="47">
        <v>4</v>
      </c>
      <c r="AB7" s="267">
        <v>0.375</v>
      </c>
      <c r="AC7" s="49" t="s">
        <v>30</v>
      </c>
      <c r="AD7" s="50"/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96</v>
      </c>
      <c r="X8" s="46">
        <v>101.31699999999999</v>
      </c>
      <c r="Y8" s="34">
        <f>X8+T17</f>
        <v>101.31699999999999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97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/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102</v>
      </c>
      <c r="X14" s="280">
        <v>0.41666666666666669</v>
      </c>
      <c r="Y14" s="207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103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104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95"/>
      <c r="AA17" s="73">
        <f>100-Z17</f>
        <v>100</v>
      </c>
      <c r="AB17" s="283">
        <v>0.54166666666666663</v>
      </c>
      <c r="AC17" s="62" t="s">
        <v>30</v>
      </c>
      <c r="AD17" s="50"/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233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3.1166666666666667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07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3.3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0.625</v>
      </c>
      <c r="AC22" s="49" t="s">
        <v>30</v>
      </c>
      <c r="AD22" s="50"/>
      <c r="AE22" s="11">
        <v>20</v>
      </c>
      <c r="AF22" s="12">
        <f t="shared" si="0"/>
        <v>3.6666666666666665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07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0.70833333333333337</v>
      </c>
      <c r="AC27" s="62" t="s">
        <v>30</v>
      </c>
      <c r="AD27" s="50"/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/>
      <c r="AA32" s="70">
        <f>100-Z32</f>
        <v>100</v>
      </c>
      <c r="AB32" s="267">
        <v>0.79166666666666663</v>
      </c>
      <c r="AC32" s="62" t="s">
        <v>30</v>
      </c>
      <c r="AD32" s="50"/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83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83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208" t="s">
        <v>92</v>
      </c>
      <c r="S44" s="208"/>
      <c r="T44" s="208"/>
      <c r="U44" s="208"/>
      <c r="V44" s="208"/>
      <c r="W44" s="208"/>
      <c r="X44" s="208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Y42" sqref="Y42"/>
    </sheetView>
  </sheetViews>
  <sheetFormatPr defaultRowHeight="15" x14ac:dyDescent="0.25"/>
  <cols>
    <col min="2" max="2" width="13.7109375" customWidth="1"/>
    <col min="3" max="3" width="14" customWidth="1"/>
    <col min="4" max="4" width="10.7109375" customWidth="1"/>
    <col min="5" max="5" width="11" customWidth="1"/>
    <col min="6" max="6" width="10.7109375" customWidth="1"/>
    <col min="7" max="7" width="10.42578125" customWidth="1"/>
    <col min="8" max="9" width="10.5703125" customWidth="1"/>
    <col min="10" max="10" width="11.5703125" customWidth="1"/>
    <col min="11" max="11" width="11" customWidth="1"/>
    <col min="12" max="13" width="10.42578125" customWidth="1"/>
    <col min="14" max="14" width="11.28515625" customWidth="1"/>
    <col min="15" max="15" width="11.140625" customWidth="1"/>
    <col min="16" max="16" width="10.28515625" customWidth="1"/>
    <col min="17" max="18" width="10.140625" customWidth="1"/>
    <col min="19" max="19" width="10" customWidth="1"/>
    <col min="20" max="20" width="9.7109375" customWidth="1"/>
    <col min="21" max="21" width="10.140625" customWidth="1"/>
    <col min="22" max="22" width="12.140625" customWidth="1"/>
    <col min="23" max="23" width="10.42578125" customWidth="1"/>
    <col min="24" max="24" width="18.140625" customWidth="1"/>
    <col min="25" max="25" width="23.140625" customWidth="1"/>
    <col min="26" max="26" width="14.7109375" customWidth="1"/>
    <col min="27" max="27" width="11.42578125" customWidth="1"/>
    <col min="28" max="28" width="12.85546875" customWidth="1"/>
    <col min="29" max="29" width="14.28515625" customWidth="1"/>
    <col min="30" max="30" width="13.42578125" customWidth="1"/>
    <col min="31" max="31" width="11.5703125" customWidth="1"/>
    <col min="32" max="32" width="11.42578125" customWidth="1"/>
  </cols>
  <sheetData>
    <row r="1" spans="1:32" ht="19.5" thickBot="1" x14ac:dyDescent="0.35">
      <c r="A1" s="1" t="s">
        <v>0</v>
      </c>
      <c r="B1" s="221" t="s">
        <v>234</v>
      </c>
      <c r="C1" s="222"/>
      <c r="D1" s="223"/>
      <c r="E1" s="2"/>
      <c r="F1" s="1" t="s">
        <v>2</v>
      </c>
      <c r="G1" s="3">
        <v>1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AE3*40/60</f>
        <v>0.66666666666666663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 t="shared" ref="AF4:AF60" si="0">AE4*40/60</f>
        <v>1.3333333333333333</v>
      </c>
    </row>
    <row r="5" spans="1:32" ht="19.5" thickBot="1" x14ac:dyDescent="0.3">
      <c r="A5" s="21" t="s">
        <v>27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27</v>
      </c>
      <c r="X5" s="34">
        <f>'[1]31.12.25см2'!Y5</f>
        <v>510168.7</v>
      </c>
      <c r="Y5" s="34">
        <f>X5+P17</f>
        <v>510168.7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si="0"/>
        <v>2</v>
      </c>
    </row>
    <row r="6" spans="1:32" ht="19.5" thickBot="1" x14ac:dyDescent="0.3">
      <c r="A6" s="37" t="s">
        <v>28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28</v>
      </c>
      <c r="X6" s="45">
        <f>'[1]31.12.25см2'!Y6</f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2.6666666666666665</v>
      </c>
    </row>
    <row r="7" spans="1:32" ht="19.5" thickBot="1" x14ac:dyDescent="0.3">
      <c r="A7" s="37" t="s">
        <v>29</v>
      </c>
      <c r="B7" s="38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29</v>
      </c>
      <c r="X7" s="48">
        <f>'[1]31.12.25см2'!Y7</f>
        <v>502129</v>
      </c>
      <c r="Y7" s="34">
        <f>X7+S17</f>
        <v>502129</v>
      </c>
      <c r="Z7" s="46">
        <f>Y7-X7</f>
        <v>0</v>
      </c>
      <c r="AA7" s="47">
        <v>4</v>
      </c>
      <c r="AB7" s="267">
        <v>0.875</v>
      </c>
      <c r="AC7" s="49" t="s">
        <v>30</v>
      </c>
      <c r="AD7" s="50"/>
      <c r="AE7" s="11">
        <v>5</v>
      </c>
      <c r="AF7" s="12">
        <f t="shared" si="0"/>
        <v>3.3333333333333335</v>
      </c>
    </row>
    <row r="8" spans="1:32" ht="19.5" thickBot="1" x14ac:dyDescent="0.3">
      <c r="A8" s="37" t="s">
        <v>31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31</v>
      </c>
      <c r="X8" s="46">
        <f>'[1]31.12.25см2'!Y8</f>
        <v>8613.7800000000007</v>
      </c>
      <c r="Y8" s="34">
        <f>X8+T17</f>
        <v>8613.7800000000007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4</v>
      </c>
    </row>
    <row r="9" spans="1:32" ht="16.5" thickBot="1" x14ac:dyDescent="0.3">
      <c r="A9" s="37" t="s">
        <v>33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33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4.666666666666667</v>
      </c>
    </row>
    <row r="10" spans="1:32" ht="16.5" thickBot="1" x14ac:dyDescent="0.3">
      <c r="A10" s="37" t="s">
        <v>36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36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5.333333333333333</v>
      </c>
    </row>
    <row r="11" spans="1:32" ht="19.5" thickBot="1" x14ac:dyDescent="0.3">
      <c r="A11" s="37" t="s">
        <v>38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38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6</v>
      </c>
    </row>
    <row r="12" spans="1:32" ht="16.5" thickBot="1" x14ac:dyDescent="0.3">
      <c r="A12" s="37" t="s">
        <v>40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40</v>
      </c>
      <c r="X12" s="275"/>
      <c r="Y12" s="276"/>
      <c r="Z12" s="276"/>
      <c r="AA12" s="277"/>
      <c r="AB12" s="267">
        <v>0.95833333333333337</v>
      </c>
      <c r="AC12" s="62" t="s">
        <v>30</v>
      </c>
      <c r="AD12" s="50"/>
      <c r="AE12" s="11">
        <v>10</v>
      </c>
      <c r="AF12" s="12">
        <f t="shared" si="0"/>
        <v>6.666666666666667</v>
      </c>
    </row>
    <row r="13" spans="1:32" ht="19.5" thickBot="1" x14ac:dyDescent="0.35">
      <c r="A13" s="37" t="s">
        <v>41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41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7.333333333333333</v>
      </c>
    </row>
    <row r="14" spans="1:32" ht="16.5" thickBot="1" x14ac:dyDescent="0.3">
      <c r="A14" s="37" t="s">
        <v>44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44</v>
      </c>
      <c r="X14" s="280">
        <v>0.91666666666666663</v>
      </c>
      <c r="Y14" s="210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8</v>
      </c>
    </row>
    <row r="15" spans="1:32" ht="16.5" thickBot="1" x14ac:dyDescent="0.3">
      <c r="A15" s="37" t="s">
        <v>46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46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8.6666666666666661</v>
      </c>
    </row>
    <row r="16" spans="1:32" ht="19.5" thickBot="1" x14ac:dyDescent="0.3">
      <c r="A16" s="75" t="s">
        <v>48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48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9.3333333333333339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72"/>
      <c r="AA17" s="73">
        <f>100-Z17</f>
        <v>100</v>
      </c>
      <c r="AB17" s="283">
        <v>4.1666666666666664E-2</v>
      </c>
      <c r="AC17" s="62" t="s">
        <v>30</v>
      </c>
      <c r="AD17" s="50"/>
      <c r="AE17" s="11">
        <v>15</v>
      </c>
      <c r="AF17" s="12">
        <f t="shared" si="0"/>
        <v>10</v>
      </c>
    </row>
    <row r="18" spans="1:32" ht="16.5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10.666666666666666</v>
      </c>
    </row>
    <row r="19" spans="1:32" ht="16.5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235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4.1666666666666664E-2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11.333333333333334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10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12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12.666666666666666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0.125</v>
      </c>
      <c r="AC22" s="49" t="s">
        <v>30</v>
      </c>
      <c r="AD22" s="50"/>
      <c r="AE22" s="11">
        <v>20</v>
      </c>
      <c r="AF22" s="12">
        <f t="shared" si="0"/>
        <v>13.333333333333334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14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14.666666666666666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180"/>
      <c r="X25" s="280">
        <v>0.125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15.333333333333334</v>
      </c>
    </row>
    <row r="26" spans="1:32" ht="19.5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10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16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0.20833333333333334</v>
      </c>
      <c r="AC27" s="62" t="s">
        <v>30</v>
      </c>
      <c r="AD27" s="50"/>
      <c r="AE27" s="11">
        <v>25</v>
      </c>
      <c r="AF27" s="12">
        <f t="shared" si="0"/>
        <v>16.666666666666668</v>
      </c>
    </row>
    <row r="28" spans="1:32" ht="19.5" thickBot="1" x14ac:dyDescent="0.35">
      <c r="A28" s="339"/>
      <c r="B28" s="340"/>
      <c r="C28" s="143"/>
      <c r="D28" s="341"/>
      <c r="E28" s="342"/>
      <c r="F28" s="343"/>
      <c r="G28" s="344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17.333333333333332</v>
      </c>
    </row>
    <row r="29" spans="1:32" ht="19.5" thickBot="1" x14ac:dyDescent="0.35">
      <c r="A29" s="348"/>
      <c r="B29" s="349"/>
      <c r="C29" s="144"/>
      <c r="D29" s="335"/>
      <c r="E29" s="336"/>
      <c r="F29" s="350"/>
      <c r="G29" s="35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18</v>
      </c>
    </row>
    <row r="30" spans="1:32" ht="19.5" thickBot="1" x14ac:dyDescent="0.35">
      <c r="A30" s="348"/>
      <c r="B30" s="349"/>
      <c r="C30" s="144"/>
      <c r="D30" s="335"/>
      <c r="E30" s="336"/>
      <c r="F30" s="337"/>
      <c r="G30" s="338"/>
      <c r="H30" s="345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7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18.666666666666668</v>
      </c>
    </row>
    <row r="31" spans="1:32" ht="19.5" thickBot="1" x14ac:dyDescent="0.35">
      <c r="A31" s="348"/>
      <c r="B31" s="349"/>
      <c r="C31" s="144"/>
      <c r="D31" s="335"/>
      <c r="E31" s="336"/>
      <c r="F31" s="350"/>
      <c r="G31" s="351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0.20833333333333334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19.333333333333332</v>
      </c>
    </row>
    <row r="32" spans="1:32" ht="19.5" thickBot="1" x14ac:dyDescent="0.35">
      <c r="A32" s="348"/>
      <c r="B32" s="349"/>
      <c r="C32" s="144"/>
      <c r="D32" s="335"/>
      <c r="E32" s="336"/>
      <c r="F32" s="350"/>
      <c r="G32" s="351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281"/>
      <c r="Y32" s="149" t="s">
        <v>45</v>
      </c>
      <c r="Z32" s="69"/>
      <c r="AA32" s="70">
        <f>100-Z32</f>
        <v>100</v>
      </c>
      <c r="AB32" s="267">
        <v>0.29166666666666669</v>
      </c>
      <c r="AC32" s="62" t="s">
        <v>30</v>
      </c>
      <c r="AD32" s="50"/>
      <c r="AE32" s="11">
        <v>30</v>
      </c>
      <c r="AF32" s="12">
        <f t="shared" si="0"/>
        <v>20</v>
      </c>
    </row>
    <row r="33" spans="1:32" ht="19.5" thickBot="1" x14ac:dyDescent="0.35">
      <c r="A33" s="348"/>
      <c r="B33" s="349"/>
      <c r="C33" s="144"/>
      <c r="D33" s="335"/>
      <c r="E33" s="336"/>
      <c r="F33" s="352"/>
      <c r="G33" s="353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 t="s">
        <v>65</v>
      </c>
      <c r="W33" s="96"/>
      <c r="X33" s="281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20.666666666666668</v>
      </c>
    </row>
    <row r="34" spans="1:32" ht="19.5" thickBot="1" x14ac:dyDescent="0.35">
      <c r="A34" s="294"/>
      <c r="B34" s="295"/>
      <c r="C34" s="144"/>
      <c r="D34" s="335"/>
      <c r="E34" s="336"/>
      <c r="F34" s="352"/>
      <c r="G34" s="353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281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21.333333333333332</v>
      </c>
    </row>
    <row r="35" spans="1:32" ht="19.5" thickBot="1" x14ac:dyDescent="0.35">
      <c r="A35" s="294"/>
      <c r="B35" s="295"/>
      <c r="C35" s="144"/>
      <c r="D35" s="335"/>
      <c r="E35" s="336"/>
      <c r="F35" s="352"/>
      <c r="G35" s="353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281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22</v>
      </c>
    </row>
    <row r="36" spans="1:32" ht="19.5" thickBot="1" x14ac:dyDescent="0.35">
      <c r="A36" s="348"/>
      <c r="B36" s="349"/>
      <c r="C36" s="144"/>
      <c r="D36" s="335"/>
      <c r="E36" s="336"/>
      <c r="F36" s="352"/>
      <c r="G36" s="353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282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22.666666666666668</v>
      </c>
    </row>
    <row r="37" spans="1:32" ht="19.5" thickBot="1" x14ac:dyDescent="0.3">
      <c r="A37" s="294"/>
      <c r="B37" s="295"/>
      <c r="C37" s="144"/>
      <c r="D37" s="335"/>
      <c r="E37" s="336"/>
      <c r="F37" s="352"/>
      <c r="G37" s="353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23.333333333333332</v>
      </c>
    </row>
    <row r="38" spans="1:32" ht="19.5" thickBot="1" x14ac:dyDescent="0.3">
      <c r="A38" s="375"/>
      <c r="B38" s="376"/>
      <c r="C38" s="156"/>
      <c r="D38" s="377"/>
      <c r="E38" s="378"/>
      <c r="F38" s="379"/>
      <c r="G38" s="380"/>
      <c r="H38" s="381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3"/>
      <c r="AB38" s="154"/>
      <c r="AC38" s="157"/>
      <c r="AD38" s="158"/>
      <c r="AE38" s="11">
        <v>36</v>
      </c>
      <c r="AF38" s="12">
        <f t="shared" si="0"/>
        <v>24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24.666666666666668</v>
      </c>
    </row>
    <row r="40" spans="1:32" ht="19.5" thickBot="1" x14ac:dyDescent="0.3">
      <c r="A40" s="359" t="s">
        <v>81</v>
      </c>
      <c r="B40" s="360"/>
      <c r="C40" s="360"/>
      <c r="D40" s="361">
        <v>73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25.333333333333332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0.875</v>
      </c>
      <c r="K41" s="370">
        <v>0.95833333333333337</v>
      </c>
      <c r="L41" s="371"/>
      <c r="M41" s="162">
        <v>4.1666666666666664E-2</v>
      </c>
      <c r="N41" s="163" t="s">
        <v>83</v>
      </c>
      <c r="O41" s="163" t="s">
        <v>84</v>
      </c>
      <c r="P41" s="163" t="s">
        <v>85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26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26.666666666666668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109</v>
      </c>
      <c r="S43" s="388"/>
      <c r="T43" s="388"/>
      <c r="U43" s="388"/>
      <c r="V43" s="388"/>
      <c r="W43" s="388"/>
      <c r="X43" s="388"/>
      <c r="Y43" t="s">
        <v>65</v>
      </c>
      <c r="AA43" s="56"/>
      <c r="AB43" s="170"/>
      <c r="AC43" s="171"/>
      <c r="AE43" s="11">
        <v>41</v>
      </c>
      <c r="AF43" s="12">
        <f t="shared" si="0"/>
        <v>27.333333333333332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73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427" t="s">
        <v>110</v>
      </c>
      <c r="S44" s="427"/>
      <c r="T44" s="427"/>
      <c r="U44" s="427"/>
      <c r="V44" s="427"/>
      <c r="W44" s="208"/>
      <c r="X44" s="208"/>
      <c r="AA44" s="178"/>
      <c r="AB44" s="179"/>
      <c r="AE44" s="11">
        <v>42</v>
      </c>
      <c r="AF44" s="12">
        <f t="shared" si="0"/>
        <v>28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30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30.666666666666668</v>
      </c>
    </row>
    <row r="47" spans="1:32" ht="15.75" thickBot="1" x14ac:dyDescent="0.3">
      <c r="AE47" s="11">
        <v>47</v>
      </c>
      <c r="AF47" s="12">
        <f t="shared" si="0"/>
        <v>31.333333333333332</v>
      </c>
    </row>
    <row r="48" spans="1:32" ht="15.75" thickBot="1" x14ac:dyDescent="0.3">
      <c r="AE48" s="11">
        <v>48</v>
      </c>
      <c r="AF48" s="12">
        <f t="shared" si="0"/>
        <v>32</v>
      </c>
    </row>
    <row r="49" spans="31:32" ht="15.75" thickBot="1" x14ac:dyDescent="0.3">
      <c r="AE49" s="11">
        <v>49</v>
      </c>
      <c r="AF49" s="12">
        <f t="shared" si="0"/>
        <v>32.666666666666664</v>
      </c>
    </row>
    <row r="50" spans="31:32" ht="15.75" thickBot="1" x14ac:dyDescent="0.3">
      <c r="AE50" s="11">
        <v>50</v>
      </c>
      <c r="AF50" s="12">
        <f t="shared" si="0"/>
        <v>33.333333333333336</v>
      </c>
    </row>
    <row r="51" spans="31:32" ht="15.75" thickBot="1" x14ac:dyDescent="0.3">
      <c r="AE51" s="11">
        <v>51</v>
      </c>
      <c r="AF51" s="12">
        <f t="shared" si="0"/>
        <v>34</v>
      </c>
    </row>
    <row r="52" spans="31:32" ht="15.75" thickBot="1" x14ac:dyDescent="0.3">
      <c r="AE52" s="11">
        <v>52</v>
      </c>
      <c r="AF52" s="12">
        <f t="shared" si="0"/>
        <v>34.666666666666664</v>
      </c>
    </row>
    <row r="53" spans="31:32" ht="15.75" thickBot="1" x14ac:dyDescent="0.3">
      <c r="AE53" s="11">
        <v>53</v>
      </c>
      <c r="AF53" s="12">
        <f t="shared" si="0"/>
        <v>35.333333333333336</v>
      </c>
    </row>
    <row r="54" spans="31:32" ht="15.75" thickBot="1" x14ac:dyDescent="0.3">
      <c r="AE54" s="11">
        <v>54</v>
      </c>
      <c r="AF54" s="12">
        <f t="shared" si="0"/>
        <v>36</v>
      </c>
    </row>
    <row r="55" spans="31:32" ht="15.75" thickBot="1" x14ac:dyDescent="0.3">
      <c r="AE55" s="11">
        <v>55</v>
      </c>
      <c r="AF55" s="12">
        <f t="shared" si="0"/>
        <v>36.666666666666664</v>
      </c>
    </row>
    <row r="56" spans="31:32" ht="15.75" thickBot="1" x14ac:dyDescent="0.3">
      <c r="AE56" s="11">
        <v>56</v>
      </c>
      <c r="AF56" s="12">
        <f t="shared" si="0"/>
        <v>37.333333333333336</v>
      </c>
    </row>
    <row r="57" spans="31:32" ht="15.75" thickBot="1" x14ac:dyDescent="0.3">
      <c r="AE57" s="11">
        <v>57</v>
      </c>
      <c r="AF57" s="12">
        <f t="shared" si="0"/>
        <v>38</v>
      </c>
    </row>
    <row r="58" spans="31:32" ht="15.75" thickBot="1" x14ac:dyDescent="0.3">
      <c r="AE58" s="11">
        <v>58</v>
      </c>
      <c r="AF58" s="12">
        <f t="shared" si="0"/>
        <v>38.666666666666664</v>
      </c>
    </row>
    <row r="59" spans="31:32" ht="15.75" thickBot="1" x14ac:dyDescent="0.3">
      <c r="AE59" s="11">
        <v>59</v>
      </c>
      <c r="AF59" s="12">
        <f t="shared" si="0"/>
        <v>39.333333333333336</v>
      </c>
    </row>
    <row r="60" spans="31:32" ht="15.75" thickBot="1" x14ac:dyDescent="0.3">
      <c r="AE60" s="11">
        <v>60</v>
      </c>
      <c r="AF60" s="12">
        <f t="shared" si="0"/>
        <v>40</v>
      </c>
    </row>
  </sheetData>
  <mergeCells count="135">
    <mergeCell ref="A46:C46"/>
    <mergeCell ref="D46:F46"/>
    <mergeCell ref="D43:F43"/>
    <mergeCell ref="R43:X43"/>
    <mergeCell ref="A44:C44"/>
    <mergeCell ref="D44:F44"/>
    <mergeCell ref="R44:V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D35:E35"/>
    <mergeCell ref="F35:G35"/>
    <mergeCell ref="H35:U35"/>
    <mergeCell ref="A36:B36"/>
    <mergeCell ref="D36:E36"/>
    <mergeCell ref="F36:G36"/>
    <mergeCell ref="H36:U36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zoomScale="70" zoomScaleNormal="70" workbookViewId="0">
      <selection activeCell="Z41" sqref="Z41"/>
    </sheetView>
  </sheetViews>
  <sheetFormatPr defaultRowHeight="15" x14ac:dyDescent="0.25"/>
  <cols>
    <col min="1" max="1" width="10.7109375" customWidth="1"/>
    <col min="2" max="2" width="12.85546875" customWidth="1"/>
    <col min="3" max="3" width="13.7109375" customWidth="1"/>
    <col min="4" max="4" width="11.28515625" customWidth="1"/>
    <col min="5" max="6" width="10.7109375" customWidth="1"/>
    <col min="7" max="7" width="11.5703125" customWidth="1"/>
    <col min="8" max="10" width="10.7109375" customWidth="1"/>
    <col min="11" max="12" width="10.140625" customWidth="1"/>
    <col min="13" max="13" width="10.42578125" customWidth="1"/>
    <col min="14" max="14" width="11.7109375" customWidth="1"/>
    <col min="15" max="15" width="10.7109375" customWidth="1"/>
    <col min="16" max="16" width="10.28515625" customWidth="1"/>
    <col min="17" max="17" width="10.140625" customWidth="1"/>
    <col min="18" max="18" width="9.85546875" customWidth="1"/>
    <col min="19" max="19" width="10.140625" customWidth="1"/>
    <col min="20" max="20" width="10.28515625" customWidth="1"/>
    <col min="21" max="23" width="10.7109375" customWidth="1"/>
    <col min="24" max="24" width="15.28515625" customWidth="1"/>
    <col min="25" max="25" width="22.42578125" customWidth="1"/>
    <col min="26" max="26" width="15.140625" customWidth="1"/>
    <col min="27" max="28" width="10.7109375" customWidth="1"/>
    <col min="29" max="29" width="14" customWidth="1"/>
    <col min="30" max="30" width="11.7109375" customWidth="1"/>
    <col min="31" max="32" width="10.7109375" customWidth="1"/>
  </cols>
  <sheetData>
    <row r="1" spans="1:32" ht="19.5" thickBot="1" x14ac:dyDescent="0.35">
      <c r="A1" s="1" t="s">
        <v>0</v>
      </c>
      <c r="B1" s="221" t="s">
        <v>234</v>
      </c>
      <c r="C1" s="222"/>
      <c r="D1" s="223"/>
      <c r="E1" s="2"/>
      <c r="F1" s="1" t="s">
        <v>2</v>
      </c>
      <c r="G1" s="3">
        <v>2</v>
      </c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E1" s="224" t="s">
        <v>3</v>
      </c>
      <c r="AF1" s="225"/>
    </row>
    <row r="2" spans="1:32" ht="19.5" thickBot="1" x14ac:dyDescent="0.35">
      <c r="A2" s="6"/>
      <c r="B2" s="226" t="s">
        <v>4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  <c r="N2" s="229" t="s">
        <v>5</v>
      </c>
      <c r="O2" s="230"/>
      <c r="P2" s="231" t="s">
        <v>6</v>
      </c>
      <c r="Q2" s="232"/>
      <c r="R2" s="232"/>
      <c r="S2" s="232"/>
      <c r="T2" s="233"/>
      <c r="U2" s="233" t="s">
        <v>7</v>
      </c>
      <c r="V2" s="238" t="s">
        <v>8</v>
      </c>
      <c r="W2" s="241" t="s">
        <v>9</v>
      </c>
      <c r="X2" s="244" t="s">
        <v>10</v>
      </c>
      <c r="Y2" s="247" t="s">
        <v>11</v>
      </c>
      <c r="Z2" s="244" t="s">
        <v>12</v>
      </c>
      <c r="AA2" s="7" t="s">
        <v>13</v>
      </c>
      <c r="AB2" s="284" t="s">
        <v>14</v>
      </c>
      <c r="AC2" s="285"/>
      <c r="AD2" s="286"/>
      <c r="AE2" s="8" t="s">
        <v>15</v>
      </c>
      <c r="AF2" s="9" t="s">
        <v>16</v>
      </c>
    </row>
    <row r="3" spans="1:32" ht="19.5" thickBot="1" x14ac:dyDescent="0.35">
      <c r="A3" s="290" t="s">
        <v>9</v>
      </c>
      <c r="B3" s="229" t="s">
        <v>17</v>
      </c>
      <c r="C3" s="291"/>
      <c r="D3" s="291"/>
      <c r="E3" s="291"/>
      <c r="F3" s="230"/>
      <c r="G3" s="229" t="s">
        <v>18</v>
      </c>
      <c r="H3" s="230"/>
      <c r="I3" s="229" t="s">
        <v>19</v>
      </c>
      <c r="J3" s="230"/>
      <c r="K3" s="229" t="s">
        <v>20</v>
      </c>
      <c r="L3" s="291"/>
      <c r="M3" s="230"/>
      <c r="N3" s="292" t="s">
        <v>21</v>
      </c>
      <c r="O3" s="293"/>
      <c r="P3" s="234"/>
      <c r="Q3" s="235"/>
      <c r="R3" s="235"/>
      <c r="S3" s="235"/>
      <c r="T3" s="236"/>
      <c r="U3" s="236"/>
      <c r="V3" s="239"/>
      <c r="W3" s="242"/>
      <c r="X3" s="245"/>
      <c r="Y3" s="248"/>
      <c r="Z3" s="245"/>
      <c r="AA3" s="10" t="s">
        <v>22</v>
      </c>
      <c r="AB3" s="287"/>
      <c r="AC3" s="288"/>
      <c r="AD3" s="289"/>
      <c r="AE3" s="11">
        <v>1</v>
      </c>
      <c r="AF3" s="12">
        <f>AE3*11/60</f>
        <v>0.18333333333333332</v>
      </c>
    </row>
    <row r="4" spans="1:32" ht="19.5" thickBot="1" x14ac:dyDescent="0.35">
      <c r="A4" s="242"/>
      <c r="B4" s="209">
        <v>1</v>
      </c>
      <c r="C4" s="199">
        <v>2</v>
      </c>
      <c r="D4" s="199">
        <v>3</v>
      </c>
      <c r="E4" s="15">
        <v>4</v>
      </c>
      <c r="F4" s="200">
        <v>5</v>
      </c>
      <c r="G4" s="209" t="s">
        <v>23</v>
      </c>
      <c r="H4" s="200" t="s">
        <v>24</v>
      </c>
      <c r="I4" s="209">
        <v>1</v>
      </c>
      <c r="J4" s="200">
        <v>2</v>
      </c>
      <c r="K4" s="17">
        <v>1</v>
      </c>
      <c r="L4" s="18">
        <v>3</v>
      </c>
      <c r="M4" s="15">
        <v>5</v>
      </c>
      <c r="N4" s="209" t="s">
        <v>23</v>
      </c>
      <c r="O4" s="200" t="s">
        <v>24</v>
      </c>
      <c r="P4" s="209">
        <v>1</v>
      </c>
      <c r="Q4" s="17">
        <v>2</v>
      </c>
      <c r="R4" s="199">
        <v>3</v>
      </c>
      <c r="S4" s="200">
        <v>4</v>
      </c>
      <c r="T4" s="19">
        <v>5</v>
      </c>
      <c r="U4" s="237"/>
      <c r="V4" s="240"/>
      <c r="W4" s="243"/>
      <c r="X4" s="246"/>
      <c r="Y4" s="249"/>
      <c r="Z4" s="246"/>
      <c r="AA4" s="20"/>
      <c r="AB4" s="264" t="s">
        <v>9</v>
      </c>
      <c r="AC4" s="264" t="s">
        <v>25</v>
      </c>
      <c r="AD4" s="264" t="s">
        <v>26</v>
      </c>
      <c r="AE4" s="11">
        <v>2</v>
      </c>
      <c r="AF4" s="12">
        <f>AE4*11/60</f>
        <v>0.36666666666666664</v>
      </c>
    </row>
    <row r="5" spans="1:32" ht="19.5" thickBot="1" x14ac:dyDescent="0.3">
      <c r="A5" s="21" t="s">
        <v>93</v>
      </c>
      <c r="B5" s="22"/>
      <c r="C5" s="23"/>
      <c r="D5" s="23"/>
      <c r="E5" s="24"/>
      <c r="F5" s="25"/>
      <c r="G5" s="26"/>
      <c r="H5" s="25"/>
      <c r="I5" s="26"/>
      <c r="J5" s="25"/>
      <c r="K5" s="22"/>
      <c r="L5" s="27"/>
      <c r="M5" s="24"/>
      <c r="N5" s="26"/>
      <c r="O5" s="25"/>
      <c r="P5" s="28"/>
      <c r="Q5" s="29">
        <v>0</v>
      </c>
      <c r="R5" s="30"/>
      <c r="S5" s="30"/>
      <c r="T5" s="31"/>
      <c r="U5" s="32">
        <f>SUM(P5:T5)</f>
        <v>0</v>
      </c>
      <c r="V5" s="33"/>
      <c r="W5" s="21" t="s">
        <v>93</v>
      </c>
      <c r="X5" s="34">
        <v>510645.7</v>
      </c>
      <c r="Y5" s="34">
        <f>X5+P17</f>
        <v>510645.7</v>
      </c>
      <c r="Z5" s="35">
        <f>Y5-X5</f>
        <v>0</v>
      </c>
      <c r="AA5" s="36">
        <v>1</v>
      </c>
      <c r="AB5" s="265"/>
      <c r="AC5" s="265"/>
      <c r="AD5" s="265"/>
      <c r="AE5" s="11">
        <v>3</v>
      </c>
      <c r="AF5" s="12">
        <f t="shared" ref="AF5:AF60" si="0">AE5*11/60</f>
        <v>0.55000000000000004</v>
      </c>
    </row>
    <row r="6" spans="1:32" ht="19.5" thickBot="1" x14ac:dyDescent="0.3">
      <c r="A6" s="37" t="s">
        <v>94</v>
      </c>
      <c r="B6" s="38"/>
      <c r="C6" s="39"/>
      <c r="D6" s="39"/>
      <c r="E6" s="40"/>
      <c r="F6" s="41"/>
      <c r="G6" s="42"/>
      <c r="H6" s="41"/>
      <c r="I6" s="42"/>
      <c r="J6" s="41"/>
      <c r="K6" s="38"/>
      <c r="L6" s="43"/>
      <c r="M6" s="40"/>
      <c r="N6" s="42"/>
      <c r="O6" s="41"/>
      <c r="P6" s="28"/>
      <c r="Q6" s="29">
        <v>0</v>
      </c>
      <c r="R6" s="30"/>
      <c r="S6" s="30"/>
      <c r="T6" s="31"/>
      <c r="U6" s="32">
        <f t="shared" ref="U6:U16" si="1">SUM(P6:T6)</f>
        <v>0</v>
      </c>
      <c r="V6" s="44"/>
      <c r="W6" s="37" t="s">
        <v>94</v>
      </c>
      <c r="X6" s="45">
        <v>810050.11100000003</v>
      </c>
      <c r="Y6" s="34">
        <f>X6+R17</f>
        <v>810050.11100000003</v>
      </c>
      <c r="Z6" s="46">
        <f>Y6-X6</f>
        <v>0</v>
      </c>
      <c r="AA6" s="47">
        <v>3</v>
      </c>
      <c r="AB6" s="265"/>
      <c r="AC6" s="265"/>
      <c r="AD6" s="266"/>
      <c r="AE6" s="11">
        <v>4</v>
      </c>
      <c r="AF6" s="12">
        <f t="shared" si="0"/>
        <v>0.73333333333333328</v>
      </c>
    </row>
    <row r="7" spans="1:32" ht="19.5" thickBot="1" x14ac:dyDescent="0.3">
      <c r="A7" s="37" t="s">
        <v>95</v>
      </c>
      <c r="B7" s="42"/>
      <c r="C7" s="39"/>
      <c r="D7" s="39"/>
      <c r="E7" s="40"/>
      <c r="F7" s="41"/>
      <c r="G7" s="42"/>
      <c r="H7" s="41"/>
      <c r="I7" s="42"/>
      <c r="J7" s="41"/>
      <c r="K7" s="38"/>
      <c r="L7" s="43"/>
      <c r="M7" s="40"/>
      <c r="N7" s="42"/>
      <c r="O7" s="41"/>
      <c r="P7" s="28"/>
      <c r="Q7" s="29">
        <v>0</v>
      </c>
      <c r="R7" s="30"/>
      <c r="S7" s="30"/>
      <c r="T7" s="31"/>
      <c r="U7" s="32">
        <f t="shared" si="1"/>
        <v>0</v>
      </c>
      <c r="V7" s="44"/>
      <c r="W7" s="37" t="s">
        <v>95</v>
      </c>
      <c r="X7" s="48">
        <v>502461</v>
      </c>
      <c r="Y7" s="34">
        <f>X7+S17</f>
        <v>502461</v>
      </c>
      <c r="Z7" s="46">
        <f>Y7-X7</f>
        <v>0</v>
      </c>
      <c r="AA7" s="47">
        <v>4</v>
      </c>
      <c r="AB7" s="267">
        <v>0.375</v>
      </c>
      <c r="AC7" s="49" t="s">
        <v>30</v>
      </c>
      <c r="AD7" s="50"/>
      <c r="AE7" s="11">
        <v>5</v>
      </c>
      <c r="AF7" s="12">
        <f t="shared" si="0"/>
        <v>0.91666666666666663</v>
      </c>
    </row>
    <row r="8" spans="1:32" ht="19.5" thickBot="1" x14ac:dyDescent="0.3">
      <c r="A8" s="37" t="s">
        <v>96</v>
      </c>
      <c r="B8" s="38"/>
      <c r="C8" s="39"/>
      <c r="D8" s="39"/>
      <c r="E8" s="40"/>
      <c r="F8" s="41"/>
      <c r="G8" s="42"/>
      <c r="H8" s="41"/>
      <c r="I8" s="42"/>
      <c r="J8" s="41"/>
      <c r="K8" s="38"/>
      <c r="L8" s="43"/>
      <c r="M8" s="40"/>
      <c r="N8" s="42"/>
      <c r="O8" s="41"/>
      <c r="P8" s="28"/>
      <c r="Q8" s="29">
        <v>0</v>
      </c>
      <c r="R8" s="30"/>
      <c r="S8" s="30"/>
      <c r="T8" s="31"/>
      <c r="U8" s="32">
        <f t="shared" si="1"/>
        <v>0</v>
      </c>
      <c r="V8" s="44"/>
      <c r="W8" s="37" t="s">
        <v>96</v>
      </c>
      <c r="X8" s="46">
        <v>101.31699999999999</v>
      </c>
      <c r="Y8" s="34">
        <f>X8+T17</f>
        <v>101.31699999999999</v>
      </c>
      <c r="Z8" s="46">
        <f>T17</f>
        <v>0</v>
      </c>
      <c r="AA8" s="47">
        <v>5</v>
      </c>
      <c r="AB8" s="268"/>
      <c r="AC8" s="51" t="s">
        <v>32</v>
      </c>
      <c r="AD8" s="52"/>
      <c r="AE8" s="11">
        <v>6</v>
      </c>
      <c r="AF8" s="12">
        <f t="shared" si="0"/>
        <v>1.1000000000000001</v>
      </c>
    </row>
    <row r="9" spans="1:32" ht="16.5" thickBot="1" x14ac:dyDescent="0.3">
      <c r="A9" s="37" t="s">
        <v>97</v>
      </c>
      <c r="B9" s="38"/>
      <c r="C9" s="39"/>
      <c r="D9" s="39"/>
      <c r="E9" s="40"/>
      <c r="F9" s="41"/>
      <c r="G9" s="42"/>
      <c r="H9" s="41"/>
      <c r="I9" s="42"/>
      <c r="J9" s="41"/>
      <c r="K9" s="38"/>
      <c r="L9" s="43"/>
      <c r="M9" s="40"/>
      <c r="N9" s="42"/>
      <c r="O9" s="41"/>
      <c r="P9" s="53"/>
      <c r="Q9" s="29">
        <v>0</v>
      </c>
      <c r="R9" s="30"/>
      <c r="S9" s="30"/>
      <c r="T9" s="31"/>
      <c r="U9" s="32">
        <f t="shared" si="1"/>
        <v>0</v>
      </c>
      <c r="V9" s="44"/>
      <c r="W9" s="37" t="s">
        <v>97</v>
      </c>
      <c r="X9" s="270" t="s">
        <v>34</v>
      </c>
      <c r="Y9" s="271"/>
      <c r="Z9" s="54">
        <f>SUM(Z5:Z8)</f>
        <v>0</v>
      </c>
      <c r="AA9" s="55"/>
      <c r="AB9" s="268"/>
      <c r="AC9" s="51" t="s">
        <v>35</v>
      </c>
      <c r="AD9" s="52"/>
      <c r="AE9" s="11">
        <v>7</v>
      </c>
      <c r="AF9" s="12">
        <f t="shared" si="0"/>
        <v>1.2833333333333334</v>
      </c>
    </row>
    <row r="10" spans="1:32" ht="16.5" thickBot="1" x14ac:dyDescent="0.3">
      <c r="A10" s="37" t="s">
        <v>98</v>
      </c>
      <c r="B10" s="38"/>
      <c r="C10" s="39"/>
      <c r="D10" s="39"/>
      <c r="E10" s="40"/>
      <c r="F10" s="41"/>
      <c r="G10" s="42"/>
      <c r="H10" s="41"/>
      <c r="I10" s="42"/>
      <c r="J10" s="41"/>
      <c r="K10" s="38"/>
      <c r="L10" s="43"/>
      <c r="M10" s="40"/>
      <c r="N10" s="42"/>
      <c r="O10" s="41"/>
      <c r="P10" s="53"/>
      <c r="Q10" s="29">
        <v>0</v>
      </c>
      <c r="R10" s="30"/>
      <c r="S10" s="30"/>
      <c r="T10" s="31"/>
      <c r="U10" s="32">
        <f t="shared" si="1"/>
        <v>0</v>
      </c>
      <c r="V10" s="44"/>
      <c r="W10" s="37" t="s">
        <v>98</v>
      </c>
      <c r="X10" s="56"/>
      <c r="Y10" s="56"/>
      <c r="Z10" s="56"/>
      <c r="AA10" s="56"/>
      <c r="AB10" s="269"/>
      <c r="AC10" s="57" t="s">
        <v>37</v>
      </c>
      <c r="AD10" s="58"/>
      <c r="AE10" s="11">
        <v>8</v>
      </c>
      <c r="AF10" s="12">
        <f t="shared" si="0"/>
        <v>1.4666666666666666</v>
      </c>
    </row>
    <row r="11" spans="1:32" ht="19.5" thickBot="1" x14ac:dyDescent="0.3">
      <c r="A11" s="37" t="s">
        <v>99</v>
      </c>
      <c r="B11" s="38"/>
      <c r="C11" s="39"/>
      <c r="D11" s="39"/>
      <c r="E11" s="40"/>
      <c r="F11" s="41"/>
      <c r="G11" s="42"/>
      <c r="H11" s="41"/>
      <c r="I11" s="42"/>
      <c r="J11" s="41"/>
      <c r="K11" s="38"/>
      <c r="L11" s="43"/>
      <c r="M11" s="40"/>
      <c r="N11" s="42"/>
      <c r="O11" s="41"/>
      <c r="P11" s="53"/>
      <c r="Q11" s="29">
        <v>0</v>
      </c>
      <c r="R11" s="30"/>
      <c r="S11" s="30"/>
      <c r="T11" s="31"/>
      <c r="U11" s="32">
        <f t="shared" si="1"/>
        <v>0</v>
      </c>
      <c r="V11" s="44"/>
      <c r="W11" s="37" t="s">
        <v>99</v>
      </c>
      <c r="X11" s="272" t="s">
        <v>39</v>
      </c>
      <c r="Y11" s="273"/>
      <c r="Z11" s="273"/>
      <c r="AA11" s="274"/>
      <c r="AB11" s="59"/>
      <c r="AC11" s="60"/>
      <c r="AD11" s="61"/>
      <c r="AE11" s="11">
        <v>9</v>
      </c>
      <c r="AF11" s="12">
        <f t="shared" si="0"/>
        <v>1.65</v>
      </c>
    </row>
    <row r="12" spans="1:32" ht="16.5" thickBot="1" x14ac:dyDescent="0.3">
      <c r="A12" s="37" t="s">
        <v>100</v>
      </c>
      <c r="B12" s="38"/>
      <c r="C12" s="39"/>
      <c r="D12" s="39"/>
      <c r="E12" s="40"/>
      <c r="F12" s="41"/>
      <c r="G12" s="42"/>
      <c r="H12" s="41"/>
      <c r="I12" s="42"/>
      <c r="J12" s="41"/>
      <c r="K12" s="38"/>
      <c r="L12" s="43"/>
      <c r="M12" s="40"/>
      <c r="N12" s="42"/>
      <c r="O12" s="41"/>
      <c r="P12" s="53"/>
      <c r="Q12" s="29">
        <v>0</v>
      </c>
      <c r="R12" s="30"/>
      <c r="S12" s="30"/>
      <c r="T12" s="31"/>
      <c r="U12" s="32">
        <f t="shared" si="1"/>
        <v>0</v>
      </c>
      <c r="V12" s="44"/>
      <c r="W12" s="37" t="s">
        <v>100</v>
      </c>
      <c r="X12" s="275"/>
      <c r="Y12" s="276"/>
      <c r="Z12" s="276"/>
      <c r="AA12" s="277"/>
      <c r="AB12" s="267">
        <v>0.45833333333333331</v>
      </c>
      <c r="AC12" s="62" t="s">
        <v>30</v>
      </c>
      <c r="AD12" s="50"/>
      <c r="AE12" s="11">
        <v>10</v>
      </c>
      <c r="AF12" s="12">
        <f t="shared" si="0"/>
        <v>1.8333333333333333</v>
      </c>
    </row>
    <row r="13" spans="1:32" ht="19.5" thickBot="1" x14ac:dyDescent="0.35">
      <c r="A13" s="37" t="s">
        <v>101</v>
      </c>
      <c r="B13" s="38"/>
      <c r="C13" s="39"/>
      <c r="D13" s="39"/>
      <c r="E13" s="40"/>
      <c r="F13" s="41"/>
      <c r="G13" s="42"/>
      <c r="H13" s="41"/>
      <c r="I13" s="42"/>
      <c r="J13" s="41"/>
      <c r="K13" s="38"/>
      <c r="L13" s="43"/>
      <c r="M13" s="40"/>
      <c r="N13" s="42"/>
      <c r="O13" s="41"/>
      <c r="P13" s="53"/>
      <c r="Q13" s="29">
        <v>0</v>
      </c>
      <c r="R13" s="30"/>
      <c r="S13" s="30"/>
      <c r="T13" s="31"/>
      <c r="U13" s="32">
        <f t="shared" si="1"/>
        <v>0</v>
      </c>
      <c r="V13" s="44"/>
      <c r="W13" s="37" t="s">
        <v>101</v>
      </c>
      <c r="X13" s="63" t="s">
        <v>9</v>
      </c>
      <c r="Y13" s="64" t="s">
        <v>25</v>
      </c>
      <c r="Z13" s="65" t="s">
        <v>42</v>
      </c>
      <c r="AA13" s="66" t="s">
        <v>43</v>
      </c>
      <c r="AB13" s="268"/>
      <c r="AC13" s="67" t="s">
        <v>32</v>
      </c>
      <c r="AD13" s="52"/>
      <c r="AE13" s="11">
        <v>11</v>
      </c>
      <c r="AF13" s="12">
        <f t="shared" si="0"/>
        <v>2.0166666666666666</v>
      </c>
    </row>
    <row r="14" spans="1:32" ht="16.5" thickBot="1" x14ac:dyDescent="0.3">
      <c r="A14" s="37" t="s">
        <v>102</v>
      </c>
      <c r="B14" s="38"/>
      <c r="C14" s="39"/>
      <c r="D14" s="39"/>
      <c r="E14" s="40"/>
      <c r="F14" s="41"/>
      <c r="G14" s="42"/>
      <c r="H14" s="41"/>
      <c r="I14" s="42"/>
      <c r="J14" s="41"/>
      <c r="K14" s="38"/>
      <c r="L14" s="43"/>
      <c r="M14" s="40"/>
      <c r="N14" s="42"/>
      <c r="O14" s="41"/>
      <c r="P14" s="53"/>
      <c r="Q14" s="29">
        <v>0</v>
      </c>
      <c r="R14" s="30"/>
      <c r="S14" s="30"/>
      <c r="T14" s="31"/>
      <c r="U14" s="32">
        <f t="shared" si="1"/>
        <v>0</v>
      </c>
      <c r="V14" s="44"/>
      <c r="W14" s="37" t="s">
        <v>102</v>
      </c>
      <c r="X14" s="280">
        <v>0.41666666666666669</v>
      </c>
      <c r="Y14" s="207" t="s">
        <v>45</v>
      </c>
      <c r="Z14" s="69"/>
      <c r="AA14" s="70">
        <f>100-Z14</f>
        <v>100</v>
      </c>
      <c r="AB14" s="278"/>
      <c r="AC14" s="51" t="s">
        <v>35</v>
      </c>
      <c r="AD14" s="52"/>
      <c r="AE14" s="11">
        <v>12</v>
      </c>
      <c r="AF14" s="12">
        <f t="shared" si="0"/>
        <v>2.2000000000000002</v>
      </c>
    </row>
    <row r="15" spans="1:32" ht="16.5" thickBot="1" x14ac:dyDescent="0.3">
      <c r="A15" s="37" t="s">
        <v>103</v>
      </c>
      <c r="B15" s="38"/>
      <c r="C15" s="39"/>
      <c r="D15" s="39"/>
      <c r="E15" s="40"/>
      <c r="F15" s="41"/>
      <c r="G15" s="42"/>
      <c r="H15" s="41"/>
      <c r="I15" s="42"/>
      <c r="J15" s="41"/>
      <c r="K15" s="38"/>
      <c r="L15" s="43"/>
      <c r="M15" s="40"/>
      <c r="N15" s="42"/>
      <c r="O15" s="41"/>
      <c r="P15" s="53"/>
      <c r="Q15" s="29">
        <v>0</v>
      </c>
      <c r="R15" s="30"/>
      <c r="S15" s="30"/>
      <c r="T15" s="31"/>
      <c r="U15" s="32">
        <f t="shared" si="1"/>
        <v>0</v>
      </c>
      <c r="V15" s="44"/>
      <c r="W15" s="37" t="s">
        <v>103</v>
      </c>
      <c r="X15" s="281"/>
      <c r="Y15" s="71" t="s">
        <v>47</v>
      </c>
      <c r="Z15" s="72"/>
      <c r="AA15" s="73">
        <f>100-Z15</f>
        <v>100</v>
      </c>
      <c r="AB15" s="279"/>
      <c r="AC15" s="74" t="s">
        <v>37</v>
      </c>
      <c r="AD15" s="58"/>
      <c r="AE15" s="11">
        <v>13</v>
      </c>
      <c r="AF15" s="12">
        <f t="shared" si="0"/>
        <v>2.3833333333333333</v>
      </c>
    </row>
    <row r="16" spans="1:32" ht="19.5" thickBot="1" x14ac:dyDescent="0.3">
      <c r="A16" s="75" t="s">
        <v>104</v>
      </c>
      <c r="B16" s="76"/>
      <c r="C16" s="76"/>
      <c r="D16" s="76"/>
      <c r="E16" s="77"/>
      <c r="F16" s="78"/>
      <c r="G16" s="79"/>
      <c r="H16" s="78"/>
      <c r="I16" s="79"/>
      <c r="J16" s="80"/>
      <c r="K16" s="76"/>
      <c r="L16" s="77"/>
      <c r="M16" s="78"/>
      <c r="N16" s="79"/>
      <c r="O16" s="80"/>
      <c r="P16" s="81"/>
      <c r="Q16" s="29">
        <v>0</v>
      </c>
      <c r="R16" s="30"/>
      <c r="S16" s="30"/>
      <c r="T16" s="82"/>
      <c r="U16" s="32">
        <f t="shared" si="1"/>
        <v>0</v>
      </c>
      <c r="V16" s="83"/>
      <c r="W16" s="75" t="s">
        <v>104</v>
      </c>
      <c r="X16" s="281"/>
      <c r="Y16" s="71" t="s">
        <v>49</v>
      </c>
      <c r="Z16" s="72"/>
      <c r="AA16" s="73">
        <f>100-Z16</f>
        <v>100</v>
      </c>
      <c r="AB16" s="205"/>
      <c r="AC16" s="85"/>
      <c r="AD16" s="86"/>
      <c r="AE16" s="11">
        <v>14</v>
      </c>
      <c r="AF16" s="12">
        <f t="shared" si="0"/>
        <v>2.5666666666666669</v>
      </c>
    </row>
    <row r="17" spans="1:32" ht="16.5" thickBot="1" x14ac:dyDescent="0.3">
      <c r="A17" s="87" t="s">
        <v>50</v>
      </c>
      <c r="B17" s="88" t="e">
        <f>AVERAGE(B5:B15)</f>
        <v>#DIV/0!</v>
      </c>
      <c r="C17" s="88" t="e">
        <f>AVERAGE(C5:C16)</f>
        <v>#DIV/0!</v>
      </c>
      <c r="D17" s="88" t="e">
        <f>AVERAGE(D5:D15)</f>
        <v>#DIV/0!</v>
      </c>
      <c r="E17" s="88" t="e">
        <f>AVERAGE(E5:E15)</f>
        <v>#DIV/0!</v>
      </c>
      <c r="F17" s="88" t="e">
        <f>AVERAGE(F5:F15)</f>
        <v>#DIV/0!</v>
      </c>
      <c r="G17" s="88" t="e">
        <f>AVERAGE(G5:G16)</f>
        <v>#DIV/0!</v>
      </c>
      <c r="H17" s="88" t="e">
        <f>AVERAGE(H5:H16)</f>
        <v>#DIV/0!</v>
      </c>
      <c r="I17" s="88" t="e">
        <f t="shared" ref="I17:N17" si="2">AVERAGE(I5:I15)</f>
        <v>#DIV/0!</v>
      </c>
      <c r="J17" s="88" t="e">
        <f t="shared" si="2"/>
        <v>#DIV/0!</v>
      </c>
      <c r="K17" s="88" t="e">
        <f t="shared" si="2"/>
        <v>#DIV/0!</v>
      </c>
      <c r="L17" s="88" t="e">
        <f t="shared" si="2"/>
        <v>#DIV/0!</v>
      </c>
      <c r="M17" s="89" t="e">
        <f t="shared" si="2"/>
        <v>#DIV/0!</v>
      </c>
      <c r="N17" s="89" t="e">
        <f t="shared" si="2"/>
        <v>#DIV/0!</v>
      </c>
      <c r="O17" s="89" t="e">
        <f>AVERAGE(O5:O16)</f>
        <v>#DIV/0!</v>
      </c>
      <c r="P17" s="90">
        <f>SUM(P5:P16)</f>
        <v>0</v>
      </c>
      <c r="Q17" s="91">
        <f>SUM(Q5:Q16)</f>
        <v>0</v>
      </c>
      <c r="R17" s="92">
        <f>SUM(R5:R16)</f>
        <v>0</v>
      </c>
      <c r="S17" s="93">
        <f>SUM(S5:S16)</f>
        <v>0</v>
      </c>
      <c r="T17" s="93">
        <f>SUM(T5:T16)</f>
        <v>0</v>
      </c>
      <c r="U17" s="94">
        <f>SUM(P17:T17)</f>
        <v>0</v>
      </c>
      <c r="V17" s="1">
        <f>SUM(V5:V16)</f>
        <v>0</v>
      </c>
      <c r="W17" s="4"/>
      <c r="X17" s="281"/>
      <c r="Y17" s="71" t="s">
        <v>51</v>
      </c>
      <c r="Z17" s="95"/>
      <c r="AA17" s="73">
        <f>100-Z17</f>
        <v>100</v>
      </c>
      <c r="AB17" s="283">
        <v>0.54166666666666663</v>
      </c>
      <c r="AC17" s="62" t="s">
        <v>30</v>
      </c>
      <c r="AD17" s="50"/>
      <c r="AE17" s="11">
        <v>15</v>
      </c>
      <c r="AF17" s="12">
        <f t="shared" si="0"/>
        <v>2.75</v>
      </c>
    </row>
    <row r="18" spans="1:32" ht="18.75" customHeight="1" thickBot="1" x14ac:dyDescent="0.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250"/>
      <c r="N18" s="251"/>
      <c r="O18" s="252"/>
      <c r="P18" s="97"/>
      <c r="Q18" s="98"/>
      <c r="R18" s="98"/>
      <c r="S18" s="98"/>
      <c r="T18" s="99"/>
      <c r="U18" s="100"/>
      <c r="V18" s="4"/>
      <c r="W18" s="4"/>
      <c r="X18" s="282"/>
      <c r="Y18" s="101"/>
      <c r="Z18" s="102"/>
      <c r="AA18" s="103">
        <f>(AA14+AA15+AA16+AA17)/4</f>
        <v>100</v>
      </c>
      <c r="AB18" s="278"/>
      <c r="AC18" s="51" t="s">
        <v>32</v>
      </c>
      <c r="AD18" s="52"/>
      <c r="AE18" s="11">
        <v>16</v>
      </c>
      <c r="AF18" s="12">
        <f t="shared" si="0"/>
        <v>2.9333333333333331</v>
      </c>
    </row>
    <row r="19" spans="1:32" ht="17.25" customHeight="1" thickBot="1" x14ac:dyDescent="0.3">
      <c r="A19" s="253" t="s">
        <v>52</v>
      </c>
      <c r="B19" s="254"/>
      <c r="C19" s="104" t="s">
        <v>53</v>
      </c>
      <c r="D19" s="255" t="s">
        <v>54</v>
      </c>
      <c r="E19" s="256"/>
      <c r="F19" s="255" t="s">
        <v>55</v>
      </c>
      <c r="G19" s="257"/>
      <c r="H19" s="96"/>
      <c r="I19" s="258" t="s">
        <v>236</v>
      </c>
      <c r="J19" s="259"/>
      <c r="K19" s="259"/>
      <c r="L19" s="260"/>
      <c r="M19" s="261" t="s">
        <v>57</v>
      </c>
      <c r="N19" s="262"/>
      <c r="O19" s="263"/>
      <c r="P19" s="105"/>
      <c r="Q19" s="106"/>
      <c r="R19" s="107"/>
      <c r="S19" s="107"/>
      <c r="T19" s="107"/>
      <c r="U19" s="108" t="e">
        <f>(U17-U20)/U17*100</f>
        <v>#DIV/0!</v>
      </c>
      <c r="V19" s="4"/>
      <c r="W19" s="4"/>
      <c r="X19" s="280">
        <v>0.5</v>
      </c>
      <c r="Z19" s="65"/>
      <c r="AA19" s="109" t="s">
        <v>43</v>
      </c>
      <c r="AB19" s="268"/>
      <c r="AC19" s="67" t="s">
        <v>35</v>
      </c>
      <c r="AD19" s="52"/>
      <c r="AE19" s="11">
        <v>17</v>
      </c>
      <c r="AF19" s="12">
        <f t="shared" si="0"/>
        <v>3.1166666666666667</v>
      </c>
    </row>
    <row r="20" spans="1:32" ht="16.5" thickBot="1" x14ac:dyDescent="0.3">
      <c r="A20" s="294"/>
      <c r="B20" s="295"/>
      <c r="C20" s="44"/>
      <c r="D20" s="296"/>
      <c r="E20" s="297"/>
      <c r="F20" s="298"/>
      <c r="G20" s="299"/>
      <c r="H20" s="96"/>
      <c r="I20" s="110"/>
      <c r="J20" s="111"/>
      <c r="K20" s="302" t="s">
        <v>59</v>
      </c>
      <c r="L20" s="303"/>
      <c r="M20" s="304" t="s">
        <v>60</v>
      </c>
      <c r="N20" s="305"/>
      <c r="O20" s="306"/>
      <c r="P20" s="112">
        <f>(P17-(P17*P19/100))</f>
        <v>0</v>
      </c>
      <c r="Q20" s="113"/>
      <c r="R20" s="114">
        <f>(R17-(R17*R19/100))</f>
        <v>0</v>
      </c>
      <c r="S20" s="112">
        <f>(S17-(S17*S19/100))</f>
        <v>0</v>
      </c>
      <c r="T20" s="112">
        <f>(T17-(T17*T19/100))</f>
        <v>0</v>
      </c>
      <c r="U20" s="115">
        <f>P20+Q20+R20+S20+T20</f>
        <v>0</v>
      </c>
      <c r="V20" s="4"/>
      <c r="W20" s="4"/>
      <c r="X20" s="281"/>
      <c r="Y20" s="207" t="s">
        <v>45</v>
      </c>
      <c r="Z20" s="69"/>
      <c r="AA20" s="70">
        <f>100-Z20</f>
        <v>100</v>
      </c>
      <c r="AB20" s="279"/>
      <c r="AC20" s="74" t="s">
        <v>37</v>
      </c>
      <c r="AD20" s="58"/>
      <c r="AE20" s="11">
        <v>18</v>
      </c>
      <c r="AF20" s="12">
        <f t="shared" si="0"/>
        <v>3.3</v>
      </c>
    </row>
    <row r="21" spans="1:32" ht="19.5" thickBot="1" x14ac:dyDescent="0.3">
      <c r="A21" s="294"/>
      <c r="B21" s="295"/>
      <c r="C21" s="44"/>
      <c r="D21" s="296"/>
      <c r="E21" s="297"/>
      <c r="F21" s="298"/>
      <c r="G21" s="299"/>
      <c r="H21" s="96"/>
      <c r="I21" s="116" t="s">
        <v>62</v>
      </c>
      <c r="J21" s="117"/>
      <c r="K21" s="118"/>
      <c r="L21" s="119"/>
      <c r="M21" s="307" t="s">
        <v>63</v>
      </c>
      <c r="N21" s="308"/>
      <c r="O21" s="309"/>
      <c r="P21" s="120" t="e">
        <f>(U17-(U17*U19/100))</f>
        <v>#DIV/0!</v>
      </c>
      <c r="Q21" s="121"/>
      <c r="R21" s="122"/>
      <c r="S21" s="106"/>
      <c r="T21" s="106"/>
      <c r="U21" s="123"/>
      <c r="V21" s="4"/>
      <c r="W21" s="4"/>
      <c r="X21" s="281"/>
      <c r="Y21" s="71" t="s">
        <v>47</v>
      </c>
      <c r="Z21" s="72"/>
      <c r="AA21" s="73">
        <f>100-Z21</f>
        <v>100</v>
      </c>
      <c r="AB21" s="205"/>
      <c r="AC21" s="124"/>
      <c r="AD21" s="86"/>
      <c r="AE21" s="11">
        <v>19</v>
      </c>
      <c r="AF21" s="12">
        <f t="shared" si="0"/>
        <v>3.4833333333333334</v>
      </c>
    </row>
    <row r="22" spans="1:32" ht="16.5" thickBot="1" x14ac:dyDescent="0.3">
      <c r="A22" s="294"/>
      <c r="B22" s="295"/>
      <c r="C22" s="44"/>
      <c r="D22" s="296"/>
      <c r="E22" s="297"/>
      <c r="F22" s="298"/>
      <c r="G22" s="299"/>
      <c r="H22" s="4"/>
      <c r="I22" s="125">
        <v>100</v>
      </c>
      <c r="J22" s="126">
        <f>I22-J21</f>
        <v>100</v>
      </c>
      <c r="K22" s="316">
        <f>J22/I22*100</f>
        <v>100</v>
      </c>
      <c r="L22" s="317"/>
      <c r="M22" s="320"/>
      <c r="N22" s="321"/>
      <c r="O22" s="322"/>
      <c r="P22" s="127"/>
      <c r="Q22" s="128"/>
      <c r="R22" s="128"/>
      <c r="S22" s="129"/>
      <c r="T22" s="130"/>
      <c r="U22" s="131"/>
      <c r="V22" s="4" t="s">
        <v>64</v>
      </c>
      <c r="W22" s="132" t="s">
        <v>65</v>
      </c>
      <c r="X22" s="281"/>
      <c r="Y22" s="71" t="s">
        <v>49</v>
      </c>
      <c r="Z22" s="72"/>
      <c r="AA22" s="73">
        <f>100-Z22</f>
        <v>100</v>
      </c>
      <c r="AB22" s="283">
        <v>0.625</v>
      </c>
      <c r="AC22" s="49" t="s">
        <v>30</v>
      </c>
      <c r="AD22" s="50"/>
      <c r="AE22" s="11">
        <v>20</v>
      </c>
      <c r="AF22" s="12">
        <f t="shared" si="0"/>
        <v>3.6666666666666665</v>
      </c>
    </row>
    <row r="23" spans="1:32" ht="16.5" thickBot="1" x14ac:dyDescent="0.3">
      <c r="A23" s="294"/>
      <c r="B23" s="295"/>
      <c r="C23" s="44"/>
      <c r="D23" s="296"/>
      <c r="E23" s="297"/>
      <c r="F23" s="298"/>
      <c r="G23" s="299"/>
      <c r="H23" s="4"/>
      <c r="I23" s="133" t="s">
        <v>66</v>
      </c>
      <c r="J23" s="134"/>
      <c r="K23" s="118"/>
      <c r="L23" s="119"/>
      <c r="M23" s="300" t="s">
        <v>67</v>
      </c>
      <c r="N23" s="301"/>
      <c r="O23" s="135"/>
      <c r="P23" s="310"/>
      <c r="Q23" s="311"/>
      <c r="R23" s="311"/>
      <c r="S23" s="311"/>
      <c r="T23" s="311"/>
      <c r="U23" s="312"/>
      <c r="V23" s="4"/>
      <c r="W23" s="132"/>
      <c r="X23" s="281"/>
      <c r="Y23" s="71" t="s">
        <v>51</v>
      </c>
      <c r="Z23" s="72"/>
      <c r="AA23" s="73">
        <f>100-Z23</f>
        <v>100</v>
      </c>
      <c r="AB23" s="278"/>
      <c r="AC23" s="51" t="s">
        <v>32</v>
      </c>
      <c r="AD23" s="52"/>
      <c r="AE23" s="11">
        <v>21</v>
      </c>
      <c r="AF23" s="12">
        <f t="shared" si="0"/>
        <v>3.85</v>
      </c>
    </row>
    <row r="24" spans="1:32" ht="16.5" thickBot="1" x14ac:dyDescent="0.3">
      <c r="A24" s="294"/>
      <c r="B24" s="295"/>
      <c r="C24" s="44"/>
      <c r="D24" s="296"/>
      <c r="E24" s="297"/>
      <c r="F24" s="298"/>
      <c r="G24" s="299"/>
      <c r="H24" s="4"/>
      <c r="I24" s="136">
        <v>100</v>
      </c>
      <c r="J24" s="121">
        <f>I24-J23</f>
        <v>100</v>
      </c>
      <c r="K24" s="316">
        <f>J24/I24*100</f>
        <v>100</v>
      </c>
      <c r="L24" s="317"/>
      <c r="M24" s="318" t="s">
        <v>68</v>
      </c>
      <c r="N24" s="319"/>
      <c r="O24" s="137"/>
      <c r="P24" s="313"/>
      <c r="Q24" s="314"/>
      <c r="R24" s="314"/>
      <c r="S24" s="314"/>
      <c r="T24" s="314"/>
      <c r="U24" s="315"/>
      <c r="V24" s="4"/>
      <c r="W24" s="4"/>
      <c r="X24" s="282"/>
      <c r="Y24" s="101"/>
      <c r="Z24" s="102"/>
      <c r="AA24" s="103">
        <f>(AA20+AA21+AA22+AA23)/4</f>
        <v>100</v>
      </c>
      <c r="AB24" s="278"/>
      <c r="AC24" s="51" t="s">
        <v>35</v>
      </c>
      <c r="AD24" s="52"/>
      <c r="AE24" s="11">
        <v>22</v>
      </c>
      <c r="AF24" s="12">
        <f t="shared" si="0"/>
        <v>4.0333333333333332</v>
      </c>
    </row>
    <row r="25" spans="1:32" ht="16.5" thickBot="1" x14ac:dyDescent="0.3">
      <c r="A25" s="323"/>
      <c r="B25" s="324"/>
      <c r="C25" s="138"/>
      <c r="D25" s="325"/>
      <c r="E25" s="325"/>
      <c r="F25" s="326"/>
      <c r="G25" s="327"/>
      <c r="J25" t="s">
        <v>65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4"/>
      <c r="W25" s="4"/>
      <c r="X25" s="280">
        <v>0.625</v>
      </c>
      <c r="Z25" s="65"/>
      <c r="AA25" s="109" t="s">
        <v>43</v>
      </c>
      <c r="AB25" s="269"/>
      <c r="AC25" s="57" t="s">
        <v>37</v>
      </c>
      <c r="AD25" s="58"/>
      <c r="AE25" s="11">
        <v>23</v>
      </c>
      <c r="AF25" s="12">
        <f t="shared" si="0"/>
        <v>4.2166666666666668</v>
      </c>
    </row>
    <row r="26" spans="1:32" ht="16.5" customHeight="1" thickBot="1" x14ac:dyDescent="0.3">
      <c r="M26" s="140"/>
      <c r="N26" s="140"/>
      <c r="O26" s="140"/>
      <c r="P26" s="140"/>
      <c r="Q26" s="140"/>
      <c r="R26" s="140"/>
      <c r="S26" s="140"/>
      <c r="T26" s="140"/>
      <c r="U26" s="140"/>
      <c r="V26" s="4"/>
      <c r="W26" s="4"/>
      <c r="X26" s="281"/>
      <c r="Y26" s="207" t="s">
        <v>45</v>
      </c>
      <c r="Z26" s="69"/>
      <c r="AA26" s="70">
        <f>100-Z26</f>
        <v>100</v>
      </c>
      <c r="AB26" s="204"/>
      <c r="AC26" s="124"/>
      <c r="AD26" s="86"/>
      <c r="AE26" s="11">
        <v>24</v>
      </c>
      <c r="AF26" s="12">
        <f t="shared" si="0"/>
        <v>4.4000000000000004</v>
      </c>
    </row>
    <row r="27" spans="1:32" ht="19.5" thickBot="1" x14ac:dyDescent="0.3">
      <c r="A27" s="328" t="s">
        <v>69</v>
      </c>
      <c r="B27" s="329"/>
      <c r="C27" s="206" t="s">
        <v>70</v>
      </c>
      <c r="D27" s="255" t="s">
        <v>71</v>
      </c>
      <c r="E27" s="257"/>
      <c r="F27" s="330" t="s">
        <v>72</v>
      </c>
      <c r="G27" s="331"/>
      <c r="H27" s="332" t="s">
        <v>73</v>
      </c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226"/>
      <c r="U27" s="334"/>
      <c r="V27" s="4"/>
      <c r="W27" s="4"/>
      <c r="X27" s="281"/>
      <c r="Y27" s="71" t="s">
        <v>47</v>
      </c>
      <c r="Z27" s="72"/>
      <c r="AA27" s="73">
        <f>100-Z27</f>
        <v>100</v>
      </c>
      <c r="AB27" s="267">
        <v>0.70833333333333337</v>
      </c>
      <c r="AC27" s="62" t="s">
        <v>30</v>
      </c>
      <c r="AD27" s="50"/>
      <c r="AE27" s="11">
        <v>25</v>
      </c>
      <c r="AF27" s="12">
        <f t="shared" si="0"/>
        <v>4.583333333333333</v>
      </c>
    </row>
    <row r="28" spans="1:32" ht="18.75" customHeight="1" thickBot="1" x14ac:dyDescent="0.35">
      <c r="A28" s="407"/>
      <c r="B28" s="408"/>
      <c r="C28" s="182"/>
      <c r="D28" s="428"/>
      <c r="E28" s="429"/>
      <c r="F28" s="430"/>
      <c r="G28" s="431"/>
      <c r="H28" s="345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7"/>
      <c r="V28" s="4"/>
      <c r="W28" s="4"/>
      <c r="X28" s="281"/>
      <c r="Y28" s="71" t="s">
        <v>49</v>
      </c>
      <c r="Z28" s="72"/>
      <c r="AA28" s="73">
        <f>100-Z28</f>
        <v>100</v>
      </c>
      <c r="AB28" s="268"/>
      <c r="AC28" s="67" t="s">
        <v>32</v>
      </c>
      <c r="AD28" s="52"/>
      <c r="AE28" s="11">
        <v>26</v>
      </c>
      <c r="AF28" s="12">
        <f t="shared" si="0"/>
        <v>4.7666666666666666</v>
      </c>
    </row>
    <row r="29" spans="1:32" ht="23.25" thickBot="1" x14ac:dyDescent="0.35">
      <c r="A29" s="432"/>
      <c r="B29" s="433"/>
      <c r="C29" s="181"/>
      <c r="D29" s="428"/>
      <c r="E29" s="429"/>
      <c r="F29" s="430"/>
      <c r="G29" s="431"/>
      <c r="H29" s="345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7"/>
      <c r="V29" s="4"/>
      <c r="W29" s="4"/>
      <c r="X29" s="281"/>
      <c r="Y29" s="71" t="s">
        <v>51</v>
      </c>
      <c r="Z29" s="145"/>
      <c r="AA29" s="73">
        <f>100-Z29</f>
        <v>100</v>
      </c>
      <c r="AB29" s="268"/>
      <c r="AC29" s="51" t="s">
        <v>35</v>
      </c>
      <c r="AD29" s="52"/>
      <c r="AE29" s="11">
        <v>27</v>
      </c>
      <c r="AF29" s="12">
        <f t="shared" si="0"/>
        <v>4.95</v>
      </c>
    </row>
    <row r="30" spans="1:32" ht="19.5" thickBot="1" x14ac:dyDescent="0.35">
      <c r="A30" s="411"/>
      <c r="B30" s="412"/>
      <c r="C30" s="182"/>
      <c r="D30" s="403"/>
      <c r="E30" s="404"/>
      <c r="F30" s="405"/>
      <c r="G30" s="406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5"/>
      <c r="V30" s="4"/>
      <c r="W30" s="4" t="s">
        <v>78</v>
      </c>
      <c r="X30" s="282"/>
      <c r="Y30" s="146"/>
      <c r="Z30" s="147"/>
      <c r="AA30" s="103">
        <f>(AA26+AA27+AA28+AA29)/4</f>
        <v>100</v>
      </c>
      <c r="AB30" s="269"/>
      <c r="AC30" s="74" t="s">
        <v>37</v>
      </c>
      <c r="AD30" s="58"/>
      <c r="AE30" s="11">
        <v>28</v>
      </c>
      <c r="AF30" s="12">
        <f t="shared" si="0"/>
        <v>5.1333333333333337</v>
      </c>
    </row>
    <row r="31" spans="1:32" ht="19.5" thickBot="1" x14ac:dyDescent="0.35">
      <c r="A31" s="411"/>
      <c r="B31" s="412"/>
      <c r="C31" s="182"/>
      <c r="D31" s="403"/>
      <c r="E31" s="404"/>
      <c r="F31" s="409"/>
      <c r="G31" s="410"/>
      <c r="H31" s="345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7"/>
      <c r="V31" s="4"/>
      <c r="W31" s="96"/>
      <c r="X31" s="280">
        <v>0.70833333333333337</v>
      </c>
      <c r="Y31" s="148"/>
      <c r="Z31" s="65"/>
      <c r="AA31" s="66" t="s">
        <v>43</v>
      </c>
      <c r="AB31" s="204"/>
      <c r="AC31" s="85"/>
      <c r="AD31" s="86"/>
      <c r="AE31" s="11">
        <v>29</v>
      </c>
      <c r="AF31" s="12">
        <f t="shared" si="0"/>
        <v>5.3166666666666664</v>
      </c>
    </row>
    <row r="32" spans="1:32" ht="19.5" thickBot="1" x14ac:dyDescent="0.35">
      <c r="A32" s="411"/>
      <c r="B32" s="412"/>
      <c r="C32" s="182"/>
      <c r="D32" s="403"/>
      <c r="E32" s="404"/>
      <c r="F32" s="409"/>
      <c r="G32" s="410"/>
      <c r="H32" s="345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7"/>
      <c r="V32" s="4"/>
      <c r="W32" s="96" t="s">
        <v>65</v>
      </c>
      <c r="X32" s="413"/>
      <c r="Y32" s="149" t="s">
        <v>45</v>
      </c>
      <c r="Z32" s="69"/>
      <c r="AA32" s="70">
        <f>100-Z32</f>
        <v>100</v>
      </c>
      <c r="AB32" s="267">
        <v>0.79166666666666663</v>
      </c>
      <c r="AC32" s="62" t="s">
        <v>30</v>
      </c>
      <c r="AD32" s="50"/>
      <c r="AE32" s="11">
        <v>30</v>
      </c>
      <c r="AF32" s="12">
        <f t="shared" si="0"/>
        <v>5.5</v>
      </c>
    </row>
    <row r="33" spans="1:32" ht="19.5" thickBot="1" x14ac:dyDescent="0.35">
      <c r="A33" s="411"/>
      <c r="B33" s="412"/>
      <c r="C33" s="182"/>
      <c r="D33" s="403"/>
      <c r="E33" s="404"/>
      <c r="F33" s="415"/>
      <c r="G33" s="416"/>
      <c r="H33" s="345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7"/>
      <c r="V33" s="4"/>
      <c r="W33" s="96"/>
      <c r="X33" s="413"/>
      <c r="Y33" s="44" t="s">
        <v>47</v>
      </c>
      <c r="Z33" s="72"/>
      <c r="AA33" s="73">
        <f>100-Z33</f>
        <v>100</v>
      </c>
      <c r="AB33" s="268"/>
      <c r="AC33" s="51" t="s">
        <v>32</v>
      </c>
      <c r="AD33" s="52"/>
      <c r="AE33" s="11">
        <v>31</v>
      </c>
      <c r="AF33" s="12">
        <f t="shared" si="0"/>
        <v>5.6833333333333336</v>
      </c>
    </row>
    <row r="34" spans="1:32" ht="19.5" thickBot="1" x14ac:dyDescent="0.35">
      <c r="A34" s="417"/>
      <c r="B34" s="418"/>
      <c r="C34" s="182"/>
      <c r="D34" s="403"/>
      <c r="E34" s="404"/>
      <c r="F34" s="415"/>
      <c r="G34" s="416"/>
      <c r="H34" s="345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7"/>
      <c r="X34" s="413"/>
      <c r="Y34" s="44" t="s">
        <v>49</v>
      </c>
      <c r="Z34" s="72"/>
      <c r="AA34" s="73">
        <f>100-Z34</f>
        <v>100</v>
      </c>
      <c r="AB34" s="268"/>
      <c r="AC34" s="67" t="s">
        <v>35</v>
      </c>
      <c r="AD34" s="52"/>
      <c r="AE34" s="11">
        <v>32</v>
      </c>
      <c r="AF34" s="12">
        <f t="shared" si="0"/>
        <v>5.8666666666666663</v>
      </c>
    </row>
    <row r="35" spans="1:32" ht="19.5" thickBot="1" x14ac:dyDescent="0.35">
      <c r="A35" s="417"/>
      <c r="B35" s="418"/>
      <c r="C35" s="182"/>
      <c r="D35" s="403"/>
      <c r="E35" s="404"/>
      <c r="F35" s="415"/>
      <c r="G35" s="416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5"/>
      <c r="X35" s="413"/>
      <c r="Y35" s="44" t="s">
        <v>51</v>
      </c>
      <c r="Z35" s="150"/>
      <c r="AA35" s="73">
        <f>100-Z35</f>
        <v>100</v>
      </c>
      <c r="AB35" s="269"/>
      <c r="AC35" s="74" t="s">
        <v>37</v>
      </c>
      <c r="AD35" s="58"/>
      <c r="AE35" s="11">
        <v>33</v>
      </c>
      <c r="AF35" s="12">
        <f t="shared" si="0"/>
        <v>6.05</v>
      </c>
    </row>
    <row r="36" spans="1:32" ht="19.5" thickBot="1" x14ac:dyDescent="0.35">
      <c r="A36" s="411"/>
      <c r="B36" s="412"/>
      <c r="C36" s="182"/>
      <c r="D36" s="403"/>
      <c r="E36" s="404"/>
      <c r="F36" s="415"/>
      <c r="G36" s="416"/>
      <c r="H36" s="356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8"/>
      <c r="X36" s="414"/>
      <c r="Y36" s="151" t="s">
        <v>65</v>
      </c>
      <c r="Z36" s="152"/>
      <c r="AA36" s="103">
        <f>(AA32+AA33+AA34+AA35)/4</f>
        <v>100</v>
      </c>
      <c r="AB36" s="59"/>
      <c r="AC36" s="57"/>
      <c r="AD36" s="153"/>
      <c r="AE36" s="11">
        <v>34</v>
      </c>
      <c r="AF36" s="12">
        <f t="shared" si="0"/>
        <v>6.2333333333333334</v>
      </c>
    </row>
    <row r="37" spans="1:32" ht="19.5" thickBot="1" x14ac:dyDescent="0.3">
      <c r="A37" s="417"/>
      <c r="B37" s="418"/>
      <c r="C37" s="182"/>
      <c r="D37" s="403"/>
      <c r="E37" s="404"/>
      <c r="F37" s="415"/>
      <c r="G37" s="416"/>
      <c r="H37" s="372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4"/>
      <c r="X37" t="s">
        <v>65</v>
      </c>
      <c r="Y37" t="s">
        <v>65</v>
      </c>
      <c r="AB37" s="154"/>
      <c r="AC37" s="155"/>
      <c r="AD37" s="86"/>
      <c r="AE37" s="11">
        <v>35</v>
      </c>
      <c r="AF37" s="12">
        <f t="shared" si="0"/>
        <v>6.416666666666667</v>
      </c>
    </row>
    <row r="38" spans="1:32" ht="19.5" thickBot="1" x14ac:dyDescent="0.3">
      <c r="A38" s="419"/>
      <c r="B38" s="420"/>
      <c r="C38" s="183"/>
      <c r="D38" s="421"/>
      <c r="E38" s="422"/>
      <c r="F38" s="423"/>
      <c r="G38" s="393"/>
      <c r="H38" s="424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6"/>
      <c r="AB38" s="154"/>
      <c r="AC38" s="157"/>
      <c r="AD38" s="158"/>
      <c r="AE38" s="11">
        <v>36</v>
      </c>
      <c r="AF38" s="12">
        <f t="shared" si="0"/>
        <v>6.6</v>
      </c>
    </row>
    <row r="39" spans="1:32" ht="19.5" thickBot="1" x14ac:dyDescent="0.3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4"/>
      <c r="W39" s="4"/>
      <c r="Y39" t="s">
        <v>80</v>
      </c>
      <c r="AB39" s="154"/>
      <c r="AC39" s="157"/>
      <c r="AD39" s="158"/>
      <c r="AE39" s="11">
        <v>37</v>
      </c>
      <c r="AF39" s="12">
        <f t="shared" si="0"/>
        <v>6.7833333333333332</v>
      </c>
    </row>
    <row r="40" spans="1:32" ht="19.5" thickBot="1" x14ac:dyDescent="0.3">
      <c r="A40" s="359" t="s">
        <v>81</v>
      </c>
      <c r="B40" s="360"/>
      <c r="C40" s="360"/>
      <c r="D40" s="361">
        <v>83</v>
      </c>
      <c r="E40" s="362"/>
      <c r="F40" s="363"/>
      <c r="G40" s="160"/>
      <c r="V40" s="4"/>
      <c r="W40" s="161"/>
      <c r="AB40" s="56"/>
      <c r="AC40" s="56"/>
      <c r="AD40" s="56"/>
      <c r="AE40" s="11">
        <v>38</v>
      </c>
      <c r="AF40" s="12">
        <f t="shared" si="0"/>
        <v>6.9666666666666668</v>
      </c>
    </row>
    <row r="41" spans="1:32" ht="19.5" thickBot="1" x14ac:dyDescent="0.3">
      <c r="A41" s="364" t="s">
        <v>82</v>
      </c>
      <c r="B41" s="365"/>
      <c r="C41" s="365"/>
      <c r="D41" s="366">
        <f>V17</f>
        <v>0</v>
      </c>
      <c r="E41" s="366"/>
      <c r="F41" s="367"/>
      <c r="G41" s="160"/>
      <c r="H41" s="368" t="s">
        <v>9</v>
      </c>
      <c r="I41" s="369"/>
      <c r="J41" s="162">
        <v>0.375</v>
      </c>
      <c r="K41" s="370">
        <v>0.45833333333333331</v>
      </c>
      <c r="L41" s="371"/>
      <c r="M41" s="162">
        <v>0.54166666666666663</v>
      </c>
      <c r="N41" s="163" t="s">
        <v>106</v>
      </c>
      <c r="O41" s="163" t="s">
        <v>107</v>
      </c>
      <c r="P41" s="163" t="s">
        <v>108</v>
      </c>
      <c r="Q41" s="397" t="s">
        <v>86</v>
      </c>
      <c r="R41" s="228"/>
      <c r="S41" s="4"/>
      <c r="T41" s="4"/>
      <c r="U41" s="4"/>
      <c r="W41" t="s">
        <v>65</v>
      </c>
      <c r="AE41" s="11">
        <v>39</v>
      </c>
      <c r="AF41" s="12">
        <f t="shared" si="0"/>
        <v>7.15</v>
      </c>
    </row>
    <row r="42" spans="1:32" ht="19.5" thickBot="1" x14ac:dyDescent="0.35">
      <c r="A42" s="364" t="s">
        <v>87</v>
      </c>
      <c r="B42" s="365"/>
      <c r="C42" s="365"/>
      <c r="D42" s="386"/>
      <c r="E42" s="386"/>
      <c r="F42" s="387"/>
      <c r="G42" s="160"/>
      <c r="H42" s="397" t="s">
        <v>88</v>
      </c>
      <c r="I42" s="398"/>
      <c r="J42" s="164"/>
      <c r="K42" s="399"/>
      <c r="L42" s="400"/>
      <c r="M42" s="164"/>
      <c r="N42" s="165"/>
      <c r="O42" s="165"/>
      <c r="P42" s="165"/>
      <c r="Q42" s="401" t="e">
        <f>AVERAGE(J42:P43)</f>
        <v>#DIV/0!</v>
      </c>
      <c r="R42" s="402"/>
      <c r="S42" s="166"/>
      <c r="T42" s="166"/>
      <c r="U42" s="4"/>
      <c r="W42" t="s">
        <v>65</v>
      </c>
      <c r="Y42" s="167" t="s">
        <v>80</v>
      </c>
      <c r="AE42" s="11">
        <v>40</v>
      </c>
      <c r="AF42" s="12">
        <f t="shared" si="0"/>
        <v>7.333333333333333</v>
      </c>
    </row>
    <row r="43" spans="1:32" ht="21" thickBot="1" x14ac:dyDescent="0.35">
      <c r="A43" s="202" t="s">
        <v>89</v>
      </c>
      <c r="B43" s="203"/>
      <c r="C43" s="203"/>
      <c r="D43" s="386"/>
      <c r="E43" s="386"/>
      <c r="F43" s="387"/>
      <c r="G43" s="160"/>
      <c r="H43" s="126"/>
      <c r="I43" s="132"/>
      <c r="J43" s="132"/>
      <c r="K43" s="132"/>
      <c r="L43" s="132"/>
      <c r="M43" s="132"/>
      <c r="N43" s="132"/>
      <c r="O43" s="132"/>
      <c r="P43" s="166"/>
      <c r="Q43" s="166"/>
      <c r="R43" s="388" t="s">
        <v>90</v>
      </c>
      <c r="S43" s="388"/>
      <c r="T43" s="388"/>
      <c r="U43" s="388"/>
      <c r="V43" s="388"/>
      <c r="W43" s="388"/>
      <c r="X43" s="388"/>
      <c r="AA43" s="56"/>
      <c r="AB43" s="170"/>
      <c r="AC43" s="171"/>
      <c r="AE43" s="11">
        <v>41</v>
      </c>
      <c r="AF43" s="12">
        <f t="shared" si="0"/>
        <v>7.5166666666666666</v>
      </c>
    </row>
    <row r="44" spans="1:32" ht="21" thickBot="1" x14ac:dyDescent="0.35">
      <c r="A44" s="389" t="s">
        <v>91</v>
      </c>
      <c r="B44" s="390"/>
      <c r="C44" s="390"/>
      <c r="D44" s="391">
        <f>D40+D41-D42</f>
        <v>83</v>
      </c>
      <c r="E44" s="392"/>
      <c r="F44" s="393"/>
      <c r="G44" s="172"/>
      <c r="H44" s="201"/>
      <c r="I44" s="174"/>
      <c r="J44" s="175"/>
      <c r="K44" s="175"/>
      <c r="L44" s="175"/>
      <c r="M44" s="175"/>
      <c r="N44" s="175"/>
      <c r="O44" s="175"/>
      <c r="P44" s="176"/>
      <c r="Q44" s="166"/>
      <c r="R44" s="208" t="s">
        <v>92</v>
      </c>
      <c r="S44" s="208"/>
      <c r="T44" s="208"/>
      <c r="U44" s="208"/>
      <c r="V44" s="208"/>
      <c r="W44" s="208"/>
      <c r="X44" s="208"/>
      <c r="AA44" s="178"/>
      <c r="AB44" s="179"/>
      <c r="AE44" s="11">
        <v>42</v>
      </c>
      <c r="AF44" s="12">
        <f t="shared" si="0"/>
        <v>7.7</v>
      </c>
    </row>
    <row r="45" spans="1:32" ht="21" thickBot="1" x14ac:dyDescent="0.35">
      <c r="A45" s="394"/>
      <c r="B45" s="394"/>
      <c r="C45" s="394"/>
      <c r="D45" s="395"/>
      <c r="E45" s="396"/>
      <c r="F45" s="396"/>
      <c r="Q45" s="166"/>
      <c r="S45" s="56"/>
      <c r="T45" s="167"/>
      <c r="V45" s="178"/>
      <c r="W45" s="178"/>
      <c r="AE45" s="11">
        <v>45</v>
      </c>
      <c r="AF45" s="12">
        <f t="shared" si="0"/>
        <v>8.25</v>
      </c>
    </row>
    <row r="46" spans="1:32" ht="21" thickBot="1" x14ac:dyDescent="0.35">
      <c r="A46" s="384"/>
      <c r="B46" s="384"/>
      <c r="C46" s="384"/>
      <c r="D46" s="385"/>
      <c r="E46" s="385"/>
      <c r="F46" s="385"/>
      <c r="N46" s="178"/>
      <c r="O46" s="178"/>
      <c r="P46" s="178"/>
      <c r="Q46" s="178"/>
      <c r="R46" s="178"/>
      <c r="S46" s="178"/>
      <c r="AE46" s="11">
        <v>46</v>
      </c>
      <c r="AF46" s="12">
        <f t="shared" si="0"/>
        <v>8.4333333333333336</v>
      </c>
    </row>
    <row r="47" spans="1:32" ht="15.75" thickBot="1" x14ac:dyDescent="0.3">
      <c r="AE47" s="11">
        <v>47</v>
      </c>
      <c r="AF47" s="12">
        <f t="shared" si="0"/>
        <v>8.6166666666666671</v>
      </c>
    </row>
    <row r="48" spans="1:32" ht="15.75" thickBot="1" x14ac:dyDescent="0.3">
      <c r="AE48" s="11">
        <v>48</v>
      </c>
      <c r="AF48" s="12">
        <f t="shared" si="0"/>
        <v>8.8000000000000007</v>
      </c>
    </row>
    <row r="49" spans="31:32" ht="15.75" thickBot="1" x14ac:dyDescent="0.3">
      <c r="AE49" s="11">
        <v>49</v>
      </c>
      <c r="AF49" s="12">
        <f t="shared" si="0"/>
        <v>8.9833333333333325</v>
      </c>
    </row>
    <row r="50" spans="31:32" ht="15.75" thickBot="1" x14ac:dyDescent="0.3">
      <c r="AE50" s="11">
        <v>50</v>
      </c>
      <c r="AF50" s="12">
        <f t="shared" si="0"/>
        <v>9.1666666666666661</v>
      </c>
    </row>
    <row r="51" spans="31:32" ht="15.75" thickBot="1" x14ac:dyDescent="0.3">
      <c r="AE51" s="11">
        <v>51</v>
      </c>
      <c r="AF51" s="12">
        <f t="shared" si="0"/>
        <v>9.35</v>
      </c>
    </row>
    <row r="52" spans="31:32" ht="15.75" thickBot="1" x14ac:dyDescent="0.3">
      <c r="AE52" s="11">
        <v>52</v>
      </c>
      <c r="AF52" s="12">
        <f t="shared" si="0"/>
        <v>9.5333333333333332</v>
      </c>
    </row>
    <row r="53" spans="31:32" ht="15.75" thickBot="1" x14ac:dyDescent="0.3">
      <c r="AE53" s="11">
        <v>53</v>
      </c>
      <c r="AF53" s="12">
        <f t="shared" si="0"/>
        <v>9.7166666666666668</v>
      </c>
    </row>
    <row r="54" spans="31:32" ht="15.75" thickBot="1" x14ac:dyDescent="0.3">
      <c r="AE54" s="11">
        <v>54</v>
      </c>
      <c r="AF54" s="12">
        <f t="shared" si="0"/>
        <v>9.9</v>
      </c>
    </row>
    <row r="55" spans="31:32" ht="15.75" thickBot="1" x14ac:dyDescent="0.3">
      <c r="AE55" s="11">
        <v>55</v>
      </c>
      <c r="AF55" s="12">
        <f t="shared" si="0"/>
        <v>10.083333333333334</v>
      </c>
    </row>
    <row r="56" spans="31:32" ht="15.75" thickBot="1" x14ac:dyDescent="0.3">
      <c r="AE56" s="11">
        <v>56</v>
      </c>
      <c r="AF56" s="12">
        <f t="shared" si="0"/>
        <v>10.266666666666667</v>
      </c>
    </row>
    <row r="57" spans="31:32" ht="15.75" thickBot="1" x14ac:dyDescent="0.3">
      <c r="AE57" s="11">
        <v>57</v>
      </c>
      <c r="AF57" s="12">
        <f t="shared" si="0"/>
        <v>10.45</v>
      </c>
    </row>
    <row r="58" spans="31:32" ht="15.75" thickBot="1" x14ac:dyDescent="0.3">
      <c r="AE58" s="11">
        <v>58</v>
      </c>
      <c r="AF58" s="12">
        <f t="shared" si="0"/>
        <v>10.633333333333333</v>
      </c>
    </row>
    <row r="59" spans="31:32" ht="15.75" thickBot="1" x14ac:dyDescent="0.3">
      <c r="AE59" s="11">
        <v>59</v>
      </c>
      <c r="AF59" s="12">
        <f t="shared" si="0"/>
        <v>10.816666666666666</v>
      </c>
    </row>
    <row r="60" spans="31:32" ht="15.75" thickBot="1" x14ac:dyDescent="0.3">
      <c r="AE60" s="11">
        <v>60</v>
      </c>
      <c r="AF60" s="12">
        <f t="shared" si="0"/>
        <v>11</v>
      </c>
    </row>
  </sheetData>
  <mergeCells count="134">
    <mergeCell ref="A46:C46"/>
    <mergeCell ref="D46:F46"/>
    <mergeCell ref="D43:F43"/>
    <mergeCell ref="R43:X43"/>
    <mergeCell ref="A44:C44"/>
    <mergeCell ref="D44:F44"/>
    <mergeCell ref="A45:C45"/>
    <mergeCell ref="D45:F45"/>
    <mergeCell ref="Q41:R41"/>
    <mergeCell ref="A42:C42"/>
    <mergeCell ref="D42:F42"/>
    <mergeCell ref="H42:I42"/>
    <mergeCell ref="K42:L42"/>
    <mergeCell ref="Q42:R42"/>
    <mergeCell ref="A40:C40"/>
    <mergeCell ref="D40:F40"/>
    <mergeCell ref="A41:C41"/>
    <mergeCell ref="D41:F41"/>
    <mergeCell ref="H41:I41"/>
    <mergeCell ref="K41:L41"/>
    <mergeCell ref="A37:B37"/>
    <mergeCell ref="D37:E37"/>
    <mergeCell ref="F37:G37"/>
    <mergeCell ref="H37:U37"/>
    <mergeCell ref="A38:B38"/>
    <mergeCell ref="D38:E38"/>
    <mergeCell ref="F38:G38"/>
    <mergeCell ref="H38:U38"/>
    <mergeCell ref="AB32:AB35"/>
    <mergeCell ref="A33:B33"/>
    <mergeCell ref="D33:E33"/>
    <mergeCell ref="F33:G33"/>
    <mergeCell ref="H33:U33"/>
    <mergeCell ref="A34:B34"/>
    <mergeCell ref="D34:E34"/>
    <mergeCell ref="F34:G34"/>
    <mergeCell ref="H34:U34"/>
    <mergeCell ref="A35:B35"/>
    <mergeCell ref="A31:B31"/>
    <mergeCell ref="D31:E31"/>
    <mergeCell ref="F31:G31"/>
    <mergeCell ref="H31:U31"/>
    <mergeCell ref="X31:X36"/>
    <mergeCell ref="A32:B32"/>
    <mergeCell ref="D32:E32"/>
    <mergeCell ref="F32:G32"/>
    <mergeCell ref="H32:U32"/>
    <mergeCell ref="D35:E35"/>
    <mergeCell ref="F35:G35"/>
    <mergeCell ref="H35:U35"/>
    <mergeCell ref="A36:B36"/>
    <mergeCell ref="D36:E36"/>
    <mergeCell ref="F36:G36"/>
    <mergeCell ref="H36:U36"/>
    <mergeCell ref="AB27:AB30"/>
    <mergeCell ref="A28:B28"/>
    <mergeCell ref="D28:E28"/>
    <mergeCell ref="F28:G28"/>
    <mergeCell ref="H28:U28"/>
    <mergeCell ref="A29:B29"/>
    <mergeCell ref="D29:E29"/>
    <mergeCell ref="F29:G29"/>
    <mergeCell ref="H29:U29"/>
    <mergeCell ref="A30:B30"/>
    <mergeCell ref="H30:U30"/>
    <mergeCell ref="M22:O22"/>
    <mergeCell ref="A25:B25"/>
    <mergeCell ref="D25:E25"/>
    <mergeCell ref="F25:G25"/>
    <mergeCell ref="X25:X30"/>
    <mergeCell ref="A27:B27"/>
    <mergeCell ref="D27:E27"/>
    <mergeCell ref="F27:G27"/>
    <mergeCell ref="H27:U27"/>
    <mergeCell ref="D30:E30"/>
    <mergeCell ref="F30:G30"/>
    <mergeCell ref="AB22:AB25"/>
    <mergeCell ref="A23:B23"/>
    <mergeCell ref="D23:E23"/>
    <mergeCell ref="F23:G23"/>
    <mergeCell ref="M23:N23"/>
    <mergeCell ref="A20:B20"/>
    <mergeCell ref="D20:E20"/>
    <mergeCell ref="F20:G20"/>
    <mergeCell ref="K20:L20"/>
    <mergeCell ref="M20:O20"/>
    <mergeCell ref="A21:B21"/>
    <mergeCell ref="D21:E21"/>
    <mergeCell ref="F21:G21"/>
    <mergeCell ref="M21:O21"/>
    <mergeCell ref="P23:U24"/>
    <mergeCell ref="A24:B24"/>
    <mergeCell ref="D24:E24"/>
    <mergeCell ref="F24:G24"/>
    <mergeCell ref="K24:L24"/>
    <mergeCell ref="M24:N24"/>
    <mergeCell ref="A22:B22"/>
    <mergeCell ref="D22:E22"/>
    <mergeCell ref="F22:G22"/>
    <mergeCell ref="K22:L22"/>
    <mergeCell ref="M18:O18"/>
    <mergeCell ref="A19:B19"/>
    <mergeCell ref="D19:E19"/>
    <mergeCell ref="F19:G19"/>
    <mergeCell ref="I19:L19"/>
    <mergeCell ref="M19:O19"/>
    <mergeCell ref="AD4:AD6"/>
    <mergeCell ref="AB7:AB10"/>
    <mergeCell ref="X9:Y9"/>
    <mergeCell ref="X11:AA12"/>
    <mergeCell ref="AB12:AB15"/>
    <mergeCell ref="X14:X18"/>
    <mergeCell ref="AB17:AB20"/>
    <mergeCell ref="X19:X24"/>
    <mergeCell ref="Z2:Z4"/>
    <mergeCell ref="AB2:AD3"/>
    <mergeCell ref="A3:A4"/>
    <mergeCell ref="B3:F3"/>
    <mergeCell ref="G3:H3"/>
    <mergeCell ref="I3:J3"/>
    <mergeCell ref="K3:M3"/>
    <mergeCell ref="N3:O3"/>
    <mergeCell ref="AB4:AB6"/>
    <mergeCell ref="AC4:AC6"/>
    <mergeCell ref="B1:D1"/>
    <mergeCell ref="AE1:AF1"/>
    <mergeCell ref="B2:M2"/>
    <mergeCell ref="N2:O2"/>
    <mergeCell ref="P2:T3"/>
    <mergeCell ref="U2:U4"/>
    <mergeCell ref="V2:V4"/>
    <mergeCell ref="W2:W4"/>
    <mergeCell ref="X2:X4"/>
    <mergeCell ref="Y2:Y4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67</vt:i4>
      </vt:variant>
    </vt:vector>
  </HeadingPairs>
  <TitlesOfParts>
    <vt:vector size="67" baseType="lpstr">
      <vt:lpstr>01.01.26см1</vt:lpstr>
      <vt:lpstr>01.01.26см2</vt:lpstr>
      <vt:lpstr>02.01.26см1</vt:lpstr>
      <vt:lpstr>02.01.26см2</vt:lpstr>
      <vt:lpstr>03.01.26см1</vt:lpstr>
      <vt:lpstr>03.01.26см2</vt:lpstr>
      <vt:lpstr>04.01.26см1</vt:lpstr>
      <vt:lpstr>04.01.26см2</vt:lpstr>
      <vt:lpstr>05.01.26см1</vt:lpstr>
      <vt:lpstr>05.01.26см2</vt:lpstr>
      <vt:lpstr>06.01.26см1</vt:lpstr>
      <vt:lpstr>06.01.26см2</vt:lpstr>
      <vt:lpstr>07.01.26см1</vt:lpstr>
      <vt:lpstr>07.01.26см2</vt:lpstr>
      <vt:lpstr>08.01.26см1</vt:lpstr>
      <vt:lpstr>08.01.26см2</vt:lpstr>
      <vt:lpstr>09.01.26см1</vt:lpstr>
      <vt:lpstr>09.01.26см2</vt:lpstr>
      <vt:lpstr>10.01.26см1</vt:lpstr>
      <vt:lpstr>10.01.26см2</vt:lpstr>
      <vt:lpstr>11.01.26см1</vt:lpstr>
      <vt:lpstr>11.01.26см2</vt:lpstr>
      <vt:lpstr>12.01.26см1</vt:lpstr>
      <vt:lpstr>12.01.26см2</vt:lpstr>
      <vt:lpstr>13.01.26см1</vt:lpstr>
      <vt:lpstr>13.01.26см2</vt:lpstr>
      <vt:lpstr>14.01.26см1</vt:lpstr>
      <vt:lpstr>14.01.26см2</vt:lpstr>
      <vt:lpstr>15.01.26см1</vt:lpstr>
      <vt:lpstr>15.01.26см2</vt:lpstr>
      <vt:lpstr>16.01.26см1</vt:lpstr>
      <vt:lpstr>16.01.26см2</vt:lpstr>
      <vt:lpstr>17.01.26см1</vt:lpstr>
      <vt:lpstr>17.01.26см2</vt:lpstr>
      <vt:lpstr>18.01.26см1</vt:lpstr>
      <vt:lpstr>18.01.26см2</vt:lpstr>
      <vt:lpstr>19.01.26см1</vt:lpstr>
      <vt:lpstr>19.01.26см2</vt:lpstr>
      <vt:lpstr>20.01.26см1</vt:lpstr>
      <vt:lpstr>20.01.26см2</vt:lpstr>
      <vt:lpstr>21.01.26см1</vt:lpstr>
      <vt:lpstr>21.01.26см2</vt:lpstr>
      <vt:lpstr>22.01.26см1</vt:lpstr>
      <vt:lpstr>22.01.26см2</vt:lpstr>
      <vt:lpstr>23.01.26см1</vt:lpstr>
      <vt:lpstr>23.01.26см2</vt:lpstr>
      <vt:lpstr>24.01.26см1</vt:lpstr>
      <vt:lpstr>24.01.26см2</vt:lpstr>
      <vt:lpstr>25.01.26см1</vt:lpstr>
      <vt:lpstr>25.01.26см2</vt:lpstr>
      <vt:lpstr>26.01.26см1</vt:lpstr>
      <vt:lpstr>26.01.26см2</vt:lpstr>
      <vt:lpstr>27.01.26см1</vt:lpstr>
      <vt:lpstr>27.01.26см2</vt:lpstr>
      <vt:lpstr>28.01.26см1</vt:lpstr>
      <vt:lpstr>28.01.26см2</vt:lpstr>
      <vt:lpstr>29.01.26см1</vt:lpstr>
      <vt:lpstr>29.01.26см2</vt:lpstr>
      <vt:lpstr>30.01.26см1</vt:lpstr>
      <vt:lpstr>30.01.26см2</vt:lpstr>
      <vt:lpstr>31.01.26см1</vt:lpstr>
      <vt:lpstr>31.01.26см2</vt:lpstr>
      <vt:lpstr>01.02.26см1</vt:lpstr>
      <vt:lpstr>01.02.26см2</vt:lpstr>
      <vt:lpstr>02.02.26см1</vt:lpstr>
      <vt:lpstr>02.02.26см2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2026-01-21T05:04:48Z</dcterms:modified>
</cp:coreProperties>
</file>